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din\Files\grodino_brain\Knowledge\Model Outputs\CELH\"/>
    </mc:Choice>
  </mc:AlternateContent>
  <xr:revisionPtr revIDLastSave="0" documentId="13_ncr:1_{1B7FB326-D2F1-4604-BB09-0D104DD99C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M Bridge" sheetId="1" r:id="rId1"/>
    <sheet name="Alani Standalone (May28 Deck)" sheetId="2" r:id="rId2"/>
    <sheet name="Sources &amp; Assumptions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H32" i="1"/>
  <c r="I32" i="1"/>
  <c r="J32" i="1"/>
  <c r="D8" i="2"/>
  <c r="C8" i="2"/>
  <c r="J28" i="1"/>
  <c r="I28" i="1"/>
  <c r="H28" i="1"/>
  <c r="G28" i="1"/>
  <c r="F28" i="1"/>
  <c r="E28" i="1"/>
  <c r="D28" i="1"/>
  <c r="C28" i="1"/>
  <c r="B28" i="1"/>
  <c r="J27" i="1"/>
  <c r="I27" i="1"/>
  <c r="H27" i="1"/>
  <c r="G27" i="1"/>
  <c r="J26" i="1"/>
  <c r="I26" i="1"/>
  <c r="H26" i="1"/>
  <c r="G26" i="1"/>
  <c r="J25" i="1"/>
  <c r="I25" i="1"/>
  <c r="H25" i="1"/>
  <c r="G25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2" i="1"/>
  <c r="I12" i="1"/>
  <c r="H12" i="1"/>
  <c r="G12" i="1"/>
  <c r="F12" i="1"/>
  <c r="E12" i="1"/>
  <c r="D12" i="1"/>
  <c r="C12" i="1"/>
  <c r="B12" i="1"/>
  <c r="J9" i="1"/>
  <c r="I9" i="1"/>
  <c r="H9" i="1"/>
  <c r="G9" i="1"/>
  <c r="F9" i="1"/>
  <c r="E9" i="1"/>
  <c r="D9" i="1"/>
  <c r="C9" i="1"/>
  <c r="B9" i="1"/>
  <c r="F19" i="1" l="1"/>
  <c r="E19" i="1"/>
  <c r="D19" i="1"/>
  <c r="C19" i="1"/>
  <c r="B19" i="1"/>
  <c r="J29" i="1"/>
  <c r="I29" i="1"/>
  <c r="H29" i="1"/>
  <c r="G29" i="1"/>
  <c r="F25" i="1" l="1"/>
  <c r="F26" i="1"/>
  <c r="F27" i="1"/>
  <c r="E25" i="1"/>
  <c r="E26" i="1"/>
  <c r="E27" i="1"/>
  <c r="D25" i="1"/>
  <c r="D27" i="1"/>
  <c r="D26" i="1"/>
  <c r="C25" i="1"/>
  <c r="C26" i="1"/>
  <c r="C27" i="1"/>
  <c r="B25" i="1"/>
  <c r="B26" i="1"/>
  <c r="B27" i="1"/>
  <c r="I31" i="1"/>
  <c r="H31" i="1"/>
  <c r="G31" i="1"/>
  <c r="J31" i="1"/>
  <c r="F29" i="1" l="1"/>
  <c r="F31" i="1"/>
  <c r="E29" i="1"/>
  <c r="E31" i="1"/>
  <c r="D29" i="1"/>
  <c r="D31" i="1"/>
  <c r="C29" i="1"/>
  <c r="C31" i="1"/>
  <c r="B29" i="1"/>
  <c r="B31" i="1"/>
  <c r="B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DISCLOSED. CELH Q1'24 earnings release / 8-K. Mirror of CELH_disclosures.xlsx &gt; 'KPI Consolidated' &gt; Total Revenue.</t>
        </r>
      </text>
    </comment>
    <comment ref="C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DISCLOSED. CELH Q2'24 earnings release / 8-K. Mirror of CELH_disclosures.xlsx &gt; 'KPI Consolidated' &gt; Total Revenue.</t>
        </r>
      </text>
    </comment>
    <comment ref="D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DISCLOSED. CELH Q3'24 earnings release / 8-K. Mirror of CELH_disclosures.xlsx &gt; 'KPI Consolidated' &gt; Total Revenue.</t>
        </r>
      </text>
    </comment>
    <comment ref="E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DISCLOSED. CELH Q4'24 earnings release / 8-K. Mirror of CELH_disclosures.xlsx &gt; 'KPI Consolidated' &gt; Total Revenue.</t>
        </r>
      </text>
    </comment>
    <comment ref="F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DISCLOSED. CELH Q1'25 earnings release / 8-K. Mirror of CELH_disclosures.xlsx &gt; 'KPI Consolidated' &gt; Total Revenue.</t>
        </r>
      </text>
    </comment>
    <comment ref="G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DISCLOSED. CELH Q2'25 earnings release / 8-K. Mirror of CELH_disclosures.xlsx &gt; 'KPI Consolidated' &gt; Total Revenue.</t>
        </r>
      </text>
    </comment>
    <comment ref="H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DISCLOSED. CELH Q3'25 earnings release / 8-K. Mirror of CELH_disclosures.xlsx &gt; 'KPI Consolidated' &gt; Total Revenue.</t>
        </r>
      </text>
    </comment>
    <comment ref="I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DISCLOSED. CELH Q4'25 earnings release / 8-K. Mirror of CELH_disclosures.xlsx &gt; 'KPI Consolidated' &gt; Total Revenue.</t>
        </r>
      </text>
    </comment>
    <comment ref="J7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DISCLOSED. CELH Q1'26 earnings release / 8-K. Mirror of CELH_disclosures.xlsx &gt; 'KPI Consolidated' &gt; Total Revenue.</t>
        </r>
      </text>
    </comment>
    <comment ref="B8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DISCLOSED. CELH Q1'24 earnings release, gross profit.</t>
        </r>
      </text>
    </comment>
    <comment ref="C8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DISCLOSED. CELH Q2'24 earnings release, gross profit.</t>
        </r>
      </text>
    </comment>
    <comment ref="D8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DISCLOSED. CELH Q3'24 earnings release, gross profit.</t>
        </r>
      </text>
    </comment>
    <comment ref="E8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DISCLOSED. CELH Q4'24 earnings release, gross profit.</t>
        </r>
      </text>
    </comment>
    <comment ref="F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DISCLOSED. CELH Q1'25 earnings release, gross profit.</t>
        </r>
      </text>
    </comment>
    <comment ref="G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DISCLOSED. CELH Q2'25 earnings release, gross profit.</t>
        </r>
      </text>
    </comment>
    <comment ref="H8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DISCLOSED. CELH Q3'25 earnings release, gross profit.</t>
        </r>
      </text>
    </comment>
    <comment ref="I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DISCLOSED. CELH Q4'25 earnings release, gross profit.</t>
        </r>
      </text>
    </comment>
    <comment ref="J8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DISCLOSED. CELH Q1'26 earnings release, gross profit.</t>
        </r>
      </text>
    </comment>
    <comment ref="B9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FORMULA = gross profit / total revenue (row8 / row7). Cross-checks to the disclosed gross-margin %.</t>
        </r>
      </text>
    </comment>
    <comment ref="C9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FORMULA = gross profit / total revenue (row8 / row7). Cross-checks to the disclosed gross-margin %.</t>
        </r>
      </text>
    </comment>
    <comment ref="D9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FORMULA = gross profit / total revenue (row8 / row7). Cross-checks to the disclosed gross-margin %.</t>
        </r>
      </text>
    </comment>
    <comment ref="E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FORMULA = gross profit / total revenue (row8 / row7). Cross-checks to the disclosed gross-margin %.</t>
        </r>
      </text>
    </comment>
    <comment ref="F9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FORMULA = gross profit / total revenue (row8 / row7). Cross-checks to the disclosed gross-margin %.</t>
        </r>
      </text>
    </comment>
    <comment ref="G9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FORMULA = gross profit / total revenue (row8 / row7). Cross-checks to the disclosed gross-margin %.</t>
        </r>
      </text>
    </comment>
    <comment ref="H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FORMULA = gross profit / total revenue (row8 / row7). Cross-checks to the disclosed gross-margin %.</t>
        </r>
      </text>
    </comment>
    <comment ref="I9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FORMULA = gross profit / total revenue (row8 / row7). Cross-checks to the disclosed gross-margin %.</t>
        </r>
      </text>
    </comment>
    <comment ref="J9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FORMULA = gross profit / total revenue (row8 / row7). Cross-checks to the disclosed gross-margin %.</t>
        </r>
      </text>
    </comment>
    <comment ref="B1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FORMULA = total revenue − Alani − Rockstar (plug). Pre-acquisition quarters are ~100% Celsius brand.</t>
        </r>
      </text>
    </comment>
    <comment ref="C1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FORMULA = total revenue − Alani − Rockstar (plug). Pre-acquisition quarters are ~100% Celsius brand.</t>
        </r>
      </text>
    </comment>
    <comment ref="D12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FORMULA = total revenue − Alani − Rockstar (plug). Pre-acquisition quarters are ~100% Celsius brand.</t>
        </r>
      </text>
    </comment>
    <comment ref="E1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FORMULA = total revenue − Alani − Rockstar (plug). Pre-acquisition quarters are ~100% Celsius brand.</t>
        </r>
      </text>
    </comment>
    <comment ref="F1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FORMULA = total revenue − Alani − Rockstar (plug). Pre-acquisition quarters are ~100% Celsius brand.</t>
        </r>
      </text>
    </comment>
    <comment ref="G1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FORMULA = total revenue − Alani − Rockstar (plug). Pre-acquisition quarters are ~100% Celsius brand.</t>
        </r>
      </text>
    </comment>
    <comment ref="H1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FORMULA = total revenue − Alani − Rockstar (plug). Pre-acquisition quarters are ~100% Celsius brand.</t>
        </r>
      </text>
    </comment>
    <comment ref="I1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FORMULA = total revenue − Alani − Rockstar (plug). Pre-acquisition quarters are ~100% Celsius brand.</t>
        </r>
      </text>
    </comment>
    <comment ref="J1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FORMULA = total revenue − Alani − Rockstar (plug). Pre-acquisition quarters are ~100% Celsius brand.</t>
        </r>
      </text>
    </comment>
    <comment ref="B13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Alani NOT consolidated into CELH until Q2'25 (deal closed Apr 1, 2025). = 0.</t>
        </r>
      </text>
    </comment>
    <comment ref="C13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Alani NOT consolidated into CELH until Q2'25 (deal closed Apr 1, 2025). = 0.</t>
        </r>
      </text>
    </comment>
    <comment ref="D1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Alani NOT consolidated into CELH until Q2'25 (deal closed Apr 1, 2025). = 0.</t>
        </r>
      </text>
    </comment>
    <comment ref="E13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Alani NOT consolidated into CELH until Q2'25 (deal closed Apr 1, 2025). = 0.</t>
        </r>
      </text>
    </comment>
    <comment ref="F13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Alani NOT consolidated into CELH until Q2'25 (deal closed Apr 1, 2025). = 0.</t>
        </r>
      </text>
    </comment>
    <comment ref="G13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DISCLOSED $301.2M — Q2'25 earnings release (Alani Nu brand net sales).</t>
        </r>
      </text>
    </comment>
    <comment ref="H13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ESTIMATED $328.8M — plug: disclosed 9-month-since-acq Alani = $1.0B, minus Q2 $301.2M minus Q4 $370M. Only non-disclosed revenue cell.</t>
        </r>
      </text>
    </comment>
    <comment ref="I13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DISCLOSED $370M (record) — Q4'25 earnings release (Alani Nu net sales).</t>
        </r>
      </text>
    </comment>
    <comment ref="J13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DISCLOSED $368M — Q1'26 earnings release (Alani Nu net sales).</t>
        </r>
      </text>
    </comment>
    <comment ref="B14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Rockstar acquired ~Aug 29, 2025; not in results before Q3'25. = 0.</t>
        </r>
      </text>
    </comment>
    <comment ref="C14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Rockstar acquired ~Aug 29, 2025; not in results before Q3'25. = 0.</t>
        </r>
      </text>
    </comment>
    <comment ref="D14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Rockstar acquired ~Aug 29, 2025; not in results before Q3'25. = 0.</t>
        </r>
      </text>
    </comment>
    <comment ref="E14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Rockstar acquired ~Aug 29, 2025; not in results before Q3'25. = 0.</t>
        </r>
      </text>
    </comment>
    <comment ref="F14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Rockstar acquired ~Aug 29, 2025; not in results before Q3'25. = 0.</t>
        </r>
      </text>
    </comment>
    <comment ref="G14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Rockstar acquired ~Aug 29, 2025; not in results before Q3'25. = 0.</t>
        </r>
      </text>
    </comment>
    <comment ref="H14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DISCLOSED ~$11M — Rockstar first month under ownership (Q3'25 release).</t>
        </r>
      </text>
    </comment>
    <comment ref="I14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DISCLOSED $45M — Q4'25 earnings release (Rockstar net sales).</t>
        </r>
      </text>
    </comment>
    <comment ref="J14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DISCLOSED $67M — Q1'26 earnings release (Rockstar net sales).</t>
        </r>
      </text>
    </comment>
    <comment ref="B15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FORMULA = Alani net sales / total revenue (row13 / row7).</t>
        </r>
      </text>
    </comment>
    <comment ref="C15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FORMULA = Alani net sales / total revenue (row13 / row7).</t>
        </r>
      </text>
    </comment>
    <comment ref="D15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FORMULA = Alani net sales / total revenue (row13 / row7).</t>
        </r>
      </text>
    </comment>
    <comment ref="E15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FORMULA = Alani net sales / total revenue (row13 / row7).</t>
        </r>
      </text>
    </comment>
    <comment ref="F15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FORMULA = Alani net sales / total revenue (row13 / row7).</t>
        </r>
      </text>
    </comment>
    <comment ref="G15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FORMULA = Alani net sales / total revenue (row13 / row7).</t>
        </r>
      </text>
    </comment>
    <comment ref="H15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FORMULA = Alani net sales / total revenue (row13 / row7).</t>
        </r>
      </text>
    </comment>
    <comment ref="I15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FORMULA = Alani net sales / total revenue (row13 / row7).</t>
        </r>
      </text>
    </comment>
    <comment ref="J15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FORMULA = Alani net sales / total revenue (row13 / row7).</t>
        </r>
      </text>
    </comment>
    <comment ref="B16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FORMULA = Rockstar net sales / total revenue (row14 / row7).</t>
        </r>
      </text>
    </comment>
    <comment ref="C16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FORMULA = Rockstar net sales / total revenue (row14 / row7).</t>
        </r>
      </text>
    </comment>
    <comment ref="D16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FORMULA = Rockstar net sales / total revenue (row14 / row7).</t>
        </r>
      </text>
    </comment>
    <comment ref="E16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FORMULA = Rockstar net sales / total revenue (row14 / row7).</t>
        </r>
      </text>
    </comment>
    <comment ref="F16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FORMULA = Rockstar net sales / total revenue (row14 / row7).</t>
        </r>
      </text>
    </comment>
    <comment ref="G16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FORMULA = Rockstar net sales / total revenue (row14 / row7).</t>
        </r>
      </text>
    </comment>
    <comment ref="H16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FORMULA = Rockstar net sales / total revenue (row14 / row7).</t>
        </r>
      </text>
    </comment>
    <comment ref="I16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FORMULA = Rockstar net sales / total revenue (row14 / row7).</t>
        </r>
      </text>
    </comment>
    <comment ref="J16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FORMULA = Rockstar net sales / total revenue (row14 / row7).</t>
        </r>
      </text>
    </comment>
    <comment ref="B19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FORMULA = reported consolidated GM (row9). Pre-acquisition CELH is ~100% Celsius brand, so brand GM = reported GM.</t>
        </r>
      </text>
    </comment>
    <comment ref="C19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FORMULA = reported consolidated GM (row9). Pre-acquisition CELH is ~100% Celsius brand, so brand GM = reported GM.</t>
        </r>
      </text>
    </comment>
    <comment ref="D19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FORMULA = reported consolidated GM (row9). Pre-acquisition CELH is ~100% Celsius brand, so brand GM = reported GM.</t>
        </r>
      </text>
    </comment>
    <comment ref="E19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FORMULA = reported consolidated GM (row9). Pre-acquisition CELH is ~100% Celsius brand, so brand GM = reported GM.</t>
        </r>
      </text>
    </comment>
    <comment ref="F19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FORMULA = reported consolidated GM (row9). Pre-acquisition CELH is ~100% Celsius brand, so brand GM = reported GM.</t>
        </r>
      </text>
    </comment>
    <comment ref="G19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ASSUMPTION (editable). Celsius brand GM not separately disclosed post-acquisition; held near the pre-acq reported level (~52.5%). Edit to flex.</t>
        </r>
      </text>
    </comment>
    <comment ref="H19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ASSUMPTION (editable). Celsius brand GM not separately disclosed post-acquisition; held near the pre-acq reported level (~52.5%). Edit to flex.</t>
        </r>
      </text>
    </comment>
    <comment ref="I19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ASSUMPTION (editable). Celsius brand GM not separately disclosed post-acquisition; held near the pre-acq reported level (~52.5%). Edit to flex.</t>
        </r>
      </text>
    </comment>
    <comment ref="J19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ASSUMPTION (editable). Celsius brand GM not separately disclosed post-acquisition; held near the pre-acq reported level (~52.5%). Edit to flex.</t>
        </r>
      </text>
    </comment>
    <comment ref="G20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DISCLOSED 42%. May 28, 2025 Alani PF Modeling deck — Alani Nu FY2024 gross margin ('Company financials; FY24 Audited'). Deck discloses annually only; FY24 42% applied to in-CELH quarters. (FY23 was 40%.)</t>
        </r>
      </text>
    </comment>
    <comment ref="H20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DISCLOSED 42%. May 28, 2025 Alani PF Modeling deck — Alani Nu FY2024 gross margin ('Company financials; FY24 Audited'). Deck discloses annually only; FY24 42% applied to in-CELH quarters. (FY23 was 40%.)</t>
        </r>
      </text>
    </comment>
    <comment ref="I20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DISCLOSED 42%. May 28, 2025 Alani PF Modeling deck — Alani Nu FY2024 gross margin ('Company financials; FY24 Audited'). Deck discloses annually only; FY24 42% applied to in-CELH quarters. (FY23 was 40%.)</t>
        </r>
      </text>
    </comment>
    <comment ref="J20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DISCLOSED 42%. May 28, 2025 Alani PF Modeling deck — Alani Nu FY2024 gross margin ('Company financials; FY24 Audited'). Deck discloses annually only; FY24 42% applied to in-CELH quarters. (FY23 was 40%.)</t>
        </r>
      </text>
    </comment>
    <comment ref="H21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ASSUMPTION (editable) 25%. Rockstar 'lower margin profile upon acquisition' (mgmt); no Rockstar GM disclosed. Edit to flex.</t>
        </r>
      </text>
    </comment>
    <comment ref="I21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ASSUMPTION (editable) 25%. Rockstar 'lower margin profile upon acquisition' (mgmt); no Rockstar GM disclosed. Edit to flex.</t>
        </r>
      </text>
    </comment>
    <comment ref="J21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ASSUMPTION (editable) 25%. Rockstar 'lower margin profile upon acquisition' (mgmt); no Rockstar GM disclosed. Edit to flex.</t>
        </r>
      </text>
    </comment>
    <comment ref="G22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DISCLOSED $21.7M — Q2'25 purchase-accounting inventory step-up in COGS. Implies GM ex step-up = 54.0% (also disclosed).</t>
        </r>
      </text>
    </comment>
    <comment ref="H22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ESTIMATED $0.7M tail. Disclosed FY2025 inventory valuation step-up = $22.4M; Q2 took $21.7M, ~$0.7M residual into Q3.</t>
        </r>
      </text>
    </comment>
    <comment ref="B25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FORMULA = Celsius brand GM (row19) — the bridge starting point.</t>
        </r>
      </text>
    </comment>
    <comment ref="C25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FORMULA = Celsius brand GM (row19) — the bridge starting point.</t>
        </r>
      </text>
    </comment>
    <comment ref="D25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FORMULA = Celsius brand GM (row19) — the bridge starting point.</t>
        </r>
      </text>
    </comment>
    <comment ref="E25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FORMULA = Celsius brand GM (row19) — the bridge starting point.</t>
        </r>
      </text>
    </comment>
    <comment ref="F25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FORMULA = Celsius brand GM (row19) — the bridge starting point.</t>
        </r>
      </text>
    </comment>
    <comment ref="G25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FORMULA = Celsius brand GM (row19) — the bridge starting point.</t>
        </r>
      </text>
    </comment>
    <comment ref="H25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FORMULA = Celsius brand GM (row19) — the bridge starting point.</t>
        </r>
      </text>
    </comment>
    <comment ref="I25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FORMULA = Celsius brand GM (row19) — the bridge starting point.</t>
        </r>
      </text>
    </comment>
    <comment ref="J25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FORMULA = Celsius brand GM (row19) — the bridge starting point.</t>
        </r>
      </text>
    </comment>
    <comment ref="B26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FORMULA = Alani weight × (Alani GM − Celsius GM) = row15×(row20−row19). Dilution from mixing in Alani at its REPORTED 42%. (0 pre-acq, weight=0.)</t>
        </r>
      </text>
    </comment>
    <comment ref="C26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FORMULA = Alani weight × (Alani GM − Celsius GM) = row15×(row20−row19). Dilution from mixing in Alani at its REPORTED 42%. (0 pre-acq, weight=0.)</t>
        </r>
      </text>
    </comment>
    <comment ref="D26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FORMULA = Alani weight × (Alani GM − Celsius GM) = row15×(row20−row19). Dilution from mixing in Alani at its REPORTED 42%. (0 pre-acq, weight=0.)</t>
        </r>
      </text>
    </comment>
    <comment ref="E26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FORMULA = Alani weight × (Alani GM − Celsius GM) = row15×(row20−row19). Dilution from mixing in Alani at its REPORTED 42%. (0 pre-acq, weight=0.)</t>
        </r>
      </text>
    </comment>
    <comment ref="F26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FORMULA = Alani weight × (Alani GM − Celsius GM) = row15×(row20−row19). Dilution from mixing in Alani at its REPORTED 42%. (0 pre-acq, weight=0.)</t>
        </r>
      </text>
    </comment>
    <comment ref="G26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FORMULA = Alani weight × (Alani GM − Celsius GM) = row15×(row20−row19). Dilution from mixing in Alani at its REPORTED 42%. (0 pre-acq, weight=0.)</t>
        </r>
      </text>
    </comment>
    <comment ref="H26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FORMULA = Alani weight × (Alani GM − Celsius GM) = row15×(row20−row19). Dilution from mixing in Alani at its REPORTED 42%. (0 pre-acq, weight=0.)</t>
        </r>
      </text>
    </comment>
    <comment ref="I26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FORMULA = Alani weight × (Alani GM − Celsius GM) = row15×(row20−row19). Dilution from mixing in Alani at its REPORTED 42%. (0 pre-acq, weight=0.)</t>
        </r>
      </text>
    </comment>
    <comment ref="J26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FORMULA = Alani weight × (Alani GM − Celsius GM) = row15×(row20−row19). Dilution from mixing in Alani at its REPORTED 42%. (0 pre-acq, weight=0.)</t>
        </r>
      </text>
    </comment>
    <comment ref="B27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FORMULA = Rockstar weight × (Rockstar GM − Celsius GM) = row16×(row21−row19). Dilution from Rockstar at ~25%.</t>
        </r>
      </text>
    </comment>
    <comment ref="C27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FORMULA = Rockstar weight × (Rockstar GM − Celsius GM) = row16×(row21−row19). Dilution from Rockstar at ~25%.</t>
        </r>
      </text>
    </comment>
    <comment ref="D27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FORMULA = Rockstar weight × (Rockstar GM − Celsius GM) = row16×(row21−row19). Dilution from Rockstar at ~25%.</t>
        </r>
      </text>
    </comment>
    <comment ref="E27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FORMULA = Rockstar weight × (Rockstar GM − Celsius GM) = row16×(row21−row19). Dilution from Rockstar at ~25%.</t>
        </r>
      </text>
    </comment>
    <comment ref="F27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FORMULA = Rockstar weight × (Rockstar GM − Celsius GM) = row16×(row21−row19). Dilution from Rockstar at ~25%.</t>
        </r>
      </text>
    </comment>
    <comment ref="G27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FORMULA = Rockstar weight × (Rockstar GM − Celsius GM) = row16×(row21−row19). Dilution from Rockstar at ~25%.</t>
        </r>
      </text>
    </comment>
    <comment ref="H27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FORMULA = Rockstar weight × (Rockstar GM − Celsius GM) = row16×(row21−row19). Dilution from Rockstar at ~25%.</t>
        </r>
      </text>
    </comment>
    <comment ref="I27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FORMULA = Rockstar weight × (Rockstar GM − Celsius GM) = row16×(row21−row19). Dilution from Rockstar at ~25%.</t>
        </r>
      </text>
    </comment>
    <comment ref="J27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FORMULA = Rockstar weight × (Rockstar GM − Celsius GM) = row16×(row21−row19). Dilution from Rockstar at ~25%.</t>
        </r>
      </text>
    </comment>
    <comment ref="B28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FORMULA = −inventory step-up / revenue = −row22/row7. Transitory purchase-accounting COGS.</t>
        </r>
      </text>
    </comment>
    <comment ref="C28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FORMULA = −inventory step-up / revenue = −row22/row7. Transitory purchase-accounting COGS.</t>
        </r>
      </text>
    </comment>
    <comment ref="D28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FORMULA = −inventory step-up / revenue = −row22/row7. Transitory purchase-accounting COGS.</t>
        </r>
      </text>
    </comment>
    <comment ref="E28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FORMULA = −inventory step-up / revenue = −row22/row7. Transitory purchase-accounting COGS.</t>
        </r>
      </text>
    </comment>
    <comment ref="F28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FORMULA = −inventory step-up / revenue = −row22/row7. Transitory purchase-accounting COGS.</t>
        </r>
      </text>
    </comment>
    <comment ref="G28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FORMULA = −inventory step-up / revenue = −row22/row7. Transitory purchase-accounting COGS.</t>
        </r>
      </text>
    </comment>
    <comment ref="H28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FORMULA = −inventory step-up / revenue = −row22/row7. Transitory purchase-accounting COGS.</t>
        </r>
      </text>
    </comment>
    <comment ref="I28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FORMULA = −inventory step-up / revenue = −row22/row7. Transitory purchase-accounting COGS.</t>
        </r>
      </text>
    </comment>
    <comment ref="J28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FORMULA = −inventory step-up / revenue = −row22/row7. Transitory purchase-accounting COGS.</t>
        </r>
      </text>
    </comment>
    <comment ref="B29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FORMULA (plug) = reported GM − every other leg − cost inflation = row9−(row25+row26+row27+row28+row30). Alani's realized margin uplift from moving onto the PepsiCo Distribution System (PDS) + sourcing/scale synergies, ABOVE its reported 42% standalone margin. Re-solves automatically when you edit any assumption.</t>
        </r>
      </text>
    </comment>
    <comment ref="C29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FORMULA (plug) = reported GM − every other leg − cost inflation = row9−(row25+row26+row27+row28+row30). Alani's realized margin uplift from moving onto the PepsiCo Distribution System (PDS) + sourcing/scale synergies, ABOVE its reported 42% standalone margin. Re-solves automatically when you edit any assumption.</t>
        </r>
      </text>
    </comment>
    <comment ref="D29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FORMULA (plug) = reported GM − every other leg − cost inflation = row9−(row25+row26+row27+row28+row30). Alani's realized margin uplift from moving onto the PepsiCo Distribution System (PDS) + sourcing/scale synergies, ABOVE its reported 42% standalone margin. Re-solves automatically when you edit any assumption.</t>
        </r>
      </text>
    </comment>
    <comment ref="E29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FORMULA (plug) = reported GM − every other leg − cost inflation = row9−(row25+row26+row27+row28+row30). Alani's realized margin uplift from moving onto the PepsiCo Distribution System (PDS) + sourcing/scale synergies, ABOVE its reported 42% standalone margin. Re-solves automatically when you edit any assumption.</t>
        </r>
      </text>
    </comment>
    <comment ref="F29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FORMULA (plug) = reported GM − every other leg − cost inflation = row9−(row25+row26+row27+row28+row30). Alani's realized margin uplift from moving onto the PepsiCo Distribution System (PDS) + sourcing/scale synergies, ABOVE its reported 42% standalone margin. Re-solves automatically when you edit any assumption.</t>
        </r>
      </text>
    </comment>
    <comment ref="G29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FORMULA (plug) = reported GM − every other leg − cost inflation = row9−(row25+row26+row27+row28+row30). Alani's realized margin uplift from moving onto the PepsiCo Distribution System (PDS) + sourcing/scale synergies, ABOVE its reported 42% standalone margin. Re-solves automatically when you edit any assumption.</t>
        </r>
      </text>
    </comment>
    <comment ref="H29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FORMULA (plug) = reported GM − every other leg − cost inflation = row9−(row25+row26+row27+row28+row30). Alani's realized margin uplift from moving onto the PepsiCo Distribution System (PDS) + sourcing/scale synergies, ABOVE its reported 42% standalone margin. Re-solves automatically when you edit any assumption.</t>
        </r>
      </text>
    </comment>
    <comment ref="I29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FORMULA (plug) = reported GM − every other leg − cost inflation = row9−(row25+row26+row27+row28+row30). Alani's realized margin uplift from moving onto the PepsiCo Distribution System (PDS) + sourcing/scale synergies, ABOVE its reported 42% standalone margin. Re-solves automatically when you edit any assumption.</t>
        </r>
      </text>
    </comment>
    <comment ref="J29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FORMULA (plug) = reported GM − every other leg − cost inflation = row9−(row25+row26+row27+row28+row30). Alani's realized margin uplift from moving onto the PepsiCo Distribution System (PDS) + sourcing/scale synergies, ABOVE its reported 42% standalone margin. Re-solves automatically when you edit any assumption.</t>
        </r>
      </text>
    </comment>
    <comment ref="B30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Pre-acquisition — no Alani, leg inactive.</t>
        </r>
      </text>
    </comment>
    <comment ref="C30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Pre-acquisition — no Alani, leg inactive.</t>
        </r>
      </text>
    </comment>
    <comment ref="D30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Pre-acquisition — no Alani, leg inactive.</t>
        </r>
      </text>
    </comment>
    <comment ref="E30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Pre-acquisition — no Alani, leg inactive.</t>
        </r>
      </text>
    </comment>
    <comment ref="F30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Pre-acquisition — no Alani, leg inactive.</t>
        </r>
      </text>
    </comment>
    <comment ref="G30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ASSUMPTION (editable) 0. Alani just onto PDS in Q2'25; no flagged cost-inflation drag yet.</t>
        </r>
      </text>
    </comment>
    <comment ref="H30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ASSUMPTION (editable) 0. No flagged cost-inflation drag in Q3'25.</t>
        </r>
      </text>
    </comment>
    <comment ref="I30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ASSUMPTION (editable) −3.0 pts. Q4'25: raw material &amp; freight cost increases (plus year-end scrap/returns/tariffs mgmt flagged) eat into realized margin.</t>
        </r>
      </text>
    </comment>
    <comment ref="J30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ASSUMPTION (editable) −2.0 pts. Q1'26: continued raw material &amp; freight cost pressure.</t>
        </r>
      </text>
    </comment>
    <comment ref="B31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FORMULA = sum of all bridge legs (rows 25:30). Ties to reported GM (row 9) by construction.</t>
        </r>
      </text>
    </comment>
    <comment ref="C31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FORMULA = sum of all bridge legs (rows 25:30). Ties to reported GM (row 9) by construction.</t>
        </r>
      </text>
    </comment>
    <comment ref="D31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FORMULA = sum of all bridge legs (rows 25:30). Ties to reported GM (row 9) by construction.</t>
        </r>
      </text>
    </comment>
    <comment ref="E31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FORMULA = sum of all bridge legs (rows 25:30). Ties to reported GM (row 9) by construction.</t>
        </r>
      </text>
    </comment>
    <comment ref="F31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FORMULA = sum of all bridge legs (rows 25:30). Ties to reported GM (row 9) by construction.</t>
        </r>
      </text>
    </comment>
    <comment ref="G31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FORMULA = sum of all bridge legs (rows 25:30). Ties to reported GM (row 9) by construction.</t>
        </r>
      </text>
    </comment>
    <comment ref="H31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FORMULA = sum of all bridge legs (rows 25:30). Ties to reported GM (row 9) by construction.</t>
        </r>
      </text>
    </comment>
    <comment ref="I31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FORMULA = sum of all bridge legs (rows 25:30). Ties to reported GM (row 9) by construction.</t>
        </r>
      </text>
    </comment>
    <comment ref="J31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FORMULA = sum of all bridge legs (rows 25:30). Ties to reported GM (row 9) by construction.</t>
        </r>
      </text>
    </comment>
    <comment ref="B32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FORMULA = bridge total − reported GM (row31 − row9). Must be 0.</t>
        </r>
      </text>
    </comment>
    <comment ref="C32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FORMULA = bridge total − reported GM (row31 − row9). Must be 0.</t>
        </r>
      </text>
    </comment>
    <comment ref="D32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FORMULA = bridge total − reported GM (row31 − row9). Must be 0.</t>
        </r>
      </text>
    </comment>
    <comment ref="E32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FORMULA = bridge total − reported GM (row31 − row9). Must be 0.</t>
        </r>
      </text>
    </comment>
    <comment ref="F32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FORMULA = bridge total − reported GM (row31 − row9). Must be 0.</t>
        </r>
      </text>
    </comment>
    <comment ref="G32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FORMULA = bridge total − reported GM (row31 − row9). Must be 0.</t>
        </r>
      </text>
    </comment>
    <comment ref="H32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FORMULA = bridge total − reported GM (row31 − row9). Must be 0.</t>
        </r>
      </text>
    </comment>
    <comment ref="I32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FORMULA = bridge total − reported GM (row31 − row9). Must be 0.</t>
        </r>
      </text>
    </comment>
    <comment ref="J32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FORMULA = bridge total − reported GM (row31 − row9). Must be 0.</t>
        </r>
      </text>
    </comment>
    <comment ref="G35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DISCLOSED 54.0% — Q2'25 gross margin excluding the inventory step-up (vs 51.5% reported).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DISCLOSED. CELH_2025_05_28_Alani-Nu-PF-Modeling_Presentation.pdf — Alani Nu net revenue.</t>
        </r>
      </text>
    </comment>
    <comment ref="C5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DISCLOSED. CELH_2025_05_28_Alani-Nu-PF-Modeling_Presentation.pdf — Alani Nu net revenue.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DISCLOSED. CELH_2025_05_28_Alani-Nu-PF-Modeling_Presentation.pdf — Alani Nu net revenue.</t>
        </r>
      </text>
    </comment>
    <comment ref="D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DISCLOSED 49%. CELH_2025_05_28_Alani-Nu-PF-Modeling_Presentation.pdf.</t>
        </r>
      </text>
    </comment>
    <comment ref="C7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DISCLOSED 40%. CELH_2025_05_28_Alani-Nu-PF-Modeling_Presentation.pdf — Alani FY2023 gross margin.</t>
        </r>
      </text>
    </comment>
    <comment ref="D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DISCLOSED 42%. CELH_2025_05_28_Alani-Nu-PF-Modeling_Presentation.pdf — Alani FY2024 gross margin. This is the anchor used in the bridge.</t>
        </r>
      </text>
    </comment>
    <comment ref="C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FORMULA = net revenue × reported GM (C5×C7).</t>
        </r>
      </text>
    </comment>
    <comment ref="D8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FORMULA = net revenue × reported GM (D5×D7).</t>
        </r>
      </text>
    </comment>
    <comment ref="C9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DISCLOSED 48%. CELH_2025_05_28_Alani-Nu-PF-Modeling_Presentation.pdf — CELSIUS standalone FY2023 GM.</t>
        </r>
      </text>
    </comment>
    <comment ref="D9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DISCLOSED 50%. CELH_2025_05_28_Alani-Nu-PF-Modeling_Presentation.pdf — CELSIUS standalone FY2024 GM.</t>
        </r>
      </text>
    </comment>
    <comment ref="C10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DISCLOSED 46%. CELH_2025_05_28_Alani-Nu-PF-Modeling_Presentation.pdf — combined PF FY2023 GM.</t>
        </r>
      </text>
    </comment>
    <comment ref="D10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DISCLOSED 48%. CELH_2025_05_28_Alani-Nu-PF-Modeling_Presentation.pdf — combined PF FY2024 GM.</t>
        </r>
      </text>
    </comment>
    <comment ref="D1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DISCLOSED $88M. CELH_2025_05_28_Alani-Nu-PF-Modeling_Presentation.pdf — Alani FY2024 Adjusted EBITDA.</t>
        </r>
      </text>
    </comment>
    <comment ref="E11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DISCLOSED 15%. CELH_2025_05_28_Alani-Nu-PF-Modeling_Presentation.pdf — Alani FY2024 Adj EBITDA margin.</t>
        </r>
      </text>
    </comment>
    <comment ref="B1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DISCLOSED. CELH_2025_05_28_Alani-Nu-PF-Modeling_Presentation.pdf — Alani Nu Q1'23 net revenue.</t>
        </r>
      </text>
    </comment>
    <comment ref="C1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DISCLOSED. CELH_2025_05_28_Alani-Nu-PF-Modeling_Presentation.pdf — Alani Nu Q2'23 net revenue.</t>
        </r>
      </text>
    </comment>
    <comment ref="D1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DISCLOSED. CELH_2025_05_28_Alani-Nu-PF-Modeling_Presentation.pdf — Alani Nu Q3'23 net revenue.</t>
        </r>
      </text>
    </comment>
    <comment ref="E1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DISCLOSED. CELH_2025_05_28_Alani-Nu-PF-Modeling_Presentation.pdf — Alani Nu Q4'23 net revenue.</t>
        </r>
      </text>
    </comment>
    <comment ref="F1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DISCLOSED. CELH_2025_05_28_Alani-Nu-PF-Modeling_Presentation.pdf — Alani Nu Q1'24 net revenue.</t>
        </r>
      </text>
    </comment>
    <comment ref="G1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DISCLOSED. CELH_2025_05_28_Alani-Nu-PF-Modeling_Presentation.pdf — Alani Nu Q2'24 net revenue.</t>
        </r>
      </text>
    </comment>
    <comment ref="H1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DISCLOSED. CELH_2025_05_28_Alani-Nu-PF-Modeling_Presentation.pdf — Alani Nu Q3'24 net revenue.</t>
        </r>
      </text>
    </comment>
    <comment ref="I1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DISCLOSED. CELH_2025_05_28_Alani-Nu-PF-Modeling_Presentation.pdf — Alani Nu Q4'24 net revenue.</t>
        </r>
      </text>
    </comment>
  </commentList>
</comments>
</file>

<file path=xl/sharedStrings.xml><?xml version="1.0" encoding="utf-8"?>
<sst xmlns="http://schemas.openxmlformats.org/spreadsheetml/2006/main" count="92" uniqueCount="87">
  <si>
    <t>CELSIUS HOLDINGS (CELH) — Alani Nu Gross Margin Bridge</t>
  </si>
  <si>
    <t>Quarterly Q1'24–Q1'26. Bridges Celsius-brand margin to reported consolidated GM, anchored on Alani's REPORTED gross margin (May 28, 2025 PF Modeling deck, FY24 = 42%). Hover any cell for its source footnote.</t>
  </si>
  <si>
    <t>Legend:  BLUE font = hardcoded input (disclosed or assumption)   |   BLACK font = formula   |   yellow fill = editable assumption   |   green fill = tie-out</t>
  </si>
  <si>
    <t>($M unless %)</t>
  </si>
  <si>
    <t>Q1'24</t>
  </si>
  <si>
    <t>Q2'24</t>
  </si>
  <si>
    <t>Q3'24</t>
  </si>
  <si>
    <t>Q4'24</t>
  </si>
  <si>
    <t>Q1'25</t>
  </si>
  <si>
    <t>Q2'25</t>
  </si>
  <si>
    <t>Q3'25</t>
  </si>
  <si>
    <t>Q4'25</t>
  </si>
  <si>
    <t>Q1'26</t>
  </si>
  <si>
    <t>A.  REPORTED CONSOLIDATED  (disclosed)</t>
  </si>
  <si>
    <t>Total net revenue</t>
  </si>
  <si>
    <t>Reported gross profit</t>
  </si>
  <si>
    <t>Reported gross margin %</t>
  </si>
  <si>
    <t>B.  BRAND REVENUE SPLIT  ($M)</t>
  </si>
  <si>
    <t>Celsius brand (+ other)   = total − Alani − Rockstar</t>
  </si>
  <si>
    <t>Alani Nu net sales</t>
  </si>
  <si>
    <t>Rockstar net sales</t>
  </si>
  <si>
    <t>Alani revenue weight</t>
  </si>
  <si>
    <t>Rockstar revenue weight</t>
  </si>
  <si>
    <t>C.  GROSS MARGIN BY BRAND %   (Alani = May-28 deck reported)</t>
  </si>
  <si>
    <t>Celsius brand GM %   (pre-acq = reported; post-acq = assumption)</t>
  </si>
  <si>
    <t>Alani Nu GM %   — REPORTED (May 28 deck, FY24)</t>
  </si>
  <si>
    <t>Rockstar GM %   (assumption)</t>
  </si>
  <si>
    <t>Purchase-accounting inventory step-up ($M)</t>
  </si>
  <si>
    <t>D.  GROSS MARGIN BRIDGE   →  ties to row 9</t>
  </si>
  <si>
    <t>Celsius brand GM %   (starting point)</t>
  </si>
  <si>
    <t xml:space="preserve">   (−) Alani mix-in @ reported 42%</t>
  </si>
  <si>
    <t xml:space="preserve">   (−) Rockstar mix-in @ ~25%</t>
  </si>
  <si>
    <t xml:space="preserve">   (−) Inventory step-up (purchase accounting)</t>
  </si>
  <si>
    <t xml:space="preserve">   (+) Alani onto PDS — distribution + sourcing realization</t>
  </si>
  <si>
    <t xml:space="preserve">   (−) Raw material &amp; freight cost inflation</t>
  </si>
  <si>
    <t xml:space="preserve">   tie-out check (=0)</t>
  </si>
  <si>
    <t>MEMO  (disclosed cross-checks)</t>
  </si>
  <si>
    <t>Reported GM ex inventory step-up  (disclosed)</t>
  </si>
  <si>
    <t>FY gross margin: FY2024 50.2% | FY2025 50.4%  (disclosed)</t>
  </si>
  <si>
    <t>Mgmt margin path: low-50s back-half 2026; mid-50s multi-year (Q4'25 call)</t>
  </si>
  <si>
    <t>Alani margin capture 'most by end Q1 2026'; Rockstar margin improvement starts H1 2026</t>
  </si>
  <si>
    <t>ALANI NU — Reported Standalone Figures</t>
  </si>
  <si>
    <t>Source: CELH_2025_05_28_Alani-Nu-PF-Modeling_Presentation.pdf  (Company financials; FY23/FY24 Audited)</t>
  </si>
  <si>
    <t>ANNUAL</t>
  </si>
  <si>
    <t>FY2022</t>
  </si>
  <si>
    <t>FY2023</t>
  </si>
  <si>
    <t>FY2024</t>
  </si>
  <si>
    <t>Net revenue ($M)</t>
  </si>
  <si>
    <t>Net revenue CAGR '22–'24</t>
  </si>
  <si>
    <t>Alani Nu gross margin %  (REPORTED)</t>
  </si>
  <si>
    <t>Implied Alani gross profit ($M) = rev × GM</t>
  </si>
  <si>
    <t>CELSIUS standalone gross margin %</t>
  </si>
  <si>
    <t>Combined pro-forma gross margin %</t>
  </si>
  <si>
    <t>Alani Adj. EBITDA ($M) / margin %</t>
  </si>
  <si>
    <t>QUARTERLY NET REVENUE ($M)</t>
  </si>
  <si>
    <t>Q1'23</t>
  </si>
  <si>
    <t>Q2'23</t>
  </si>
  <si>
    <t>Q3'23</t>
  </si>
  <si>
    <t>Q4'23</t>
  </si>
  <si>
    <t>NOTE: deck discloses Alani GM annually only (FY23 40%, FY24 42%). Bridge applies FY24 42% to in-CELH quarters (Q2'25+).</t>
  </si>
  <si>
    <t>INPUT / LINE</t>
  </si>
  <si>
    <t>SOURCE or ASSUMPTION</t>
  </si>
  <si>
    <t>Total revenue, gross profit, GM%</t>
  </si>
  <si>
    <t>DISCLOSED — CELH 8-K/press releases; CELH_disclosures.xlsx 'KPI Consolidated'.</t>
  </si>
  <si>
    <t>Alani net sales Q2'25 / Q4'25 / Q1'26</t>
  </si>
  <si>
    <t>DISCLOSED — $301.2M / $370M / $368M.</t>
  </si>
  <si>
    <t>Alani net sales Q3'25 = 328.8</t>
  </si>
  <si>
    <t>ESTIMATED — 9-mo-since-acq $1.0B less Q2 &amp; Q4 (only non-disclosed revenue cell; italic blue).</t>
  </si>
  <si>
    <t>Rockstar net sales Q3'25/Q4'25/Q1'26</t>
  </si>
  <si>
    <t>DISCLOSED — $11M / $45M / $67M.</t>
  </si>
  <si>
    <t>Inventory step-up Q2'25 = $21.7M</t>
  </si>
  <si>
    <t>DISCLOSED — implies GM ex step-up 54.0% (disclosed). Q3'25 $0.7M estimated tail to FY $22.4M.</t>
  </si>
  <si>
    <t>Alani GM % = 42% (FY24)</t>
  </si>
  <si>
    <t>DISCLOSED — May 28, 2025 PF Modeling deck; held flat for in-CELH quarters.</t>
  </si>
  <si>
    <t>Celsius brand GM % = 52.5% (post-acq)</t>
  </si>
  <si>
    <t>ASSUMPTION (editable) — brand GM not disclosed post-acq.</t>
  </si>
  <si>
    <t>Rockstar GM % = 25%</t>
  </si>
  <si>
    <t>ASSUMPTION (editable) — 'lower margin profile' (mgmt).</t>
  </si>
  <si>
    <t>Raw material &amp; freight cost inflation</t>
  </si>
  <si>
    <t>ASSUMPTION (editable) — analyst split of the residual: −3.0 pts Q4'25, −2.0 pts Q1'26, 0 before. Captures raw-material &amp; freight cost increases (plus Q4 scrap/returns/tariffs). EDIT to re-allocate.</t>
  </si>
  <si>
    <t>Alani onto PDS — realization (residual)</t>
  </si>
  <si>
    <t>DERIVED PLUG — reported GM minus all other legs minus cost inflation. Alani's realized margin uplift from the PepsiCo Distribution System + sourcing synergies, above its reported 42% standalone.</t>
  </si>
  <si>
    <t>COLOR / FOOTNOTE KEY</t>
  </si>
  <si>
    <t>BLUE font = hardcoded input. BLACK font = formula. Every data cell has a hover footnote with its source. Yellow = editable assumption; green = tie-out.</t>
  </si>
  <si>
    <t>KEY INSIGHT</t>
  </si>
  <si>
    <t>Anchoring on Alani's reported 42% UNDER-predicts CELH consolidated GM. The gap = Alani's PDS/sourcing realization (the structural uplift), partly given back in Q4'25–Q1'26 by raw-material &amp; freight cost inflation — now shown as two separate, editable legs.</t>
  </si>
  <si>
    <t>@Reported consolidated GM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</si>
</sst>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%;[Red]\-0.0%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9"/>
      <color rgb="FF666666"/>
      <name val="Calibri"/>
      <family val="2"/>
    </font>
    <font>
      <b/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i/>
      <sz val="11"/>
      <color rgb="FF0000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6" fillId="2" borderId="0" xfId="0" applyFont="1" applyFill="1"/>
    <xf numFmtId="0" fontId="0" fillId="2" borderId="0" xfId="0" applyFill="1"/>
    <xf numFmtId="164" fontId="3" fillId="0" borderId="1" xfId="0" applyNumberFormat="1" applyFont="1" applyBorder="1" applyAlignment="1">
      <alignment horizontal="center"/>
    </xf>
    <xf numFmtId="0" fontId="5" fillId="0" borderId="0" xfId="0" applyFont="1"/>
    <xf numFmtId="164" fontId="7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5" fontId="7" fillId="3" borderId="1" xfId="0" applyNumberFormat="1" applyFont="1" applyFill="1" applyBorder="1" applyAlignment="1">
      <alignment horizontal="center"/>
    </xf>
    <xf numFmtId="0" fontId="9" fillId="0" borderId="0" xfId="0" applyFont="1"/>
    <xf numFmtId="165" fontId="9" fillId="3" borderId="0" xfId="0" applyNumberFormat="1" applyFont="1" applyFill="1"/>
    <xf numFmtId="165" fontId="4" fillId="4" borderId="1" xfId="0" applyNumberFormat="1" applyFont="1" applyFill="1" applyBorder="1" applyAlignment="1">
      <alignment horizontal="center"/>
    </xf>
    <xf numFmtId="166" fontId="5" fillId="4" borderId="1" xfId="0" applyNumberFormat="1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B32" sqref="B32"/>
    </sheetView>
  </sheetViews>
  <sheetFormatPr defaultRowHeight="15" x14ac:dyDescent="0.25"/>
  <cols>
    <col min="1" max="1" width="48" customWidth="1"/>
    <col min="2" max="10" width="10.42578125" customWidth="1"/>
  </cols>
  <sheetData>
    <row r="1" spans="1:10" ht="18.75" x14ac:dyDescent="0.3">
      <c r="A1" s="1" t="s">
        <v>0</v>
      </c>
    </row>
    <row r="2" spans="1:10" x14ac:dyDescent="0.25">
      <c r="A2" s="2" t="s">
        <v>1</v>
      </c>
    </row>
    <row r="3" spans="1:10" x14ac:dyDescent="0.25">
      <c r="A3" s="2" t="s">
        <v>2</v>
      </c>
    </row>
    <row r="5" spans="1:10" x14ac:dyDescent="0.2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3" t="s">
        <v>14</v>
      </c>
      <c r="B7" s="7">
        <v>355.7</v>
      </c>
      <c r="C7" s="7">
        <v>402</v>
      </c>
      <c r="D7" s="7">
        <v>265.8</v>
      </c>
      <c r="E7" s="7">
        <v>332.2</v>
      </c>
      <c r="F7" s="7">
        <v>329.3</v>
      </c>
      <c r="G7" s="7">
        <v>739.3</v>
      </c>
      <c r="H7" s="7">
        <v>725.1</v>
      </c>
      <c r="I7" s="7">
        <v>721.6</v>
      </c>
      <c r="J7" s="7">
        <v>782.6</v>
      </c>
    </row>
    <row r="8" spans="1:10" x14ac:dyDescent="0.25">
      <c r="A8" s="8" t="s">
        <v>15</v>
      </c>
      <c r="B8" s="9">
        <v>182.2</v>
      </c>
      <c r="C8" s="9">
        <v>209.1</v>
      </c>
      <c r="D8" s="9">
        <v>122.2</v>
      </c>
      <c r="E8" s="9">
        <v>166.7</v>
      </c>
      <c r="F8" s="9">
        <v>172.4</v>
      </c>
      <c r="G8" s="9">
        <v>380.9</v>
      </c>
      <c r="H8" s="9">
        <v>372.3</v>
      </c>
      <c r="I8" s="9">
        <v>341.8</v>
      </c>
      <c r="J8" s="9">
        <v>378.1</v>
      </c>
    </row>
    <row r="9" spans="1:10" x14ac:dyDescent="0.25">
      <c r="A9" s="3" t="s">
        <v>16</v>
      </c>
      <c r="B9" s="10">
        <f t="shared" ref="B9:J9" si="0">B8/B7</f>
        <v>0.51222940680348605</v>
      </c>
      <c r="C9" s="10">
        <f t="shared" si="0"/>
        <v>0.52014925373134324</v>
      </c>
      <c r="D9" s="10">
        <f t="shared" si="0"/>
        <v>0.45974416854778027</v>
      </c>
      <c r="E9" s="10">
        <f t="shared" si="0"/>
        <v>0.50180614087898856</v>
      </c>
      <c r="F9" s="10">
        <f t="shared" si="0"/>
        <v>0.52353477072578192</v>
      </c>
      <c r="G9" s="10">
        <f t="shared" si="0"/>
        <v>0.51521709725415932</v>
      </c>
      <c r="H9" s="10">
        <f t="shared" si="0"/>
        <v>0.5134464211832851</v>
      </c>
      <c r="I9" s="10">
        <f t="shared" si="0"/>
        <v>0.47366962305986698</v>
      </c>
      <c r="J9" s="10">
        <f t="shared" si="0"/>
        <v>0.4831331459238436</v>
      </c>
    </row>
    <row r="11" spans="1:10" x14ac:dyDescent="0.25">
      <c r="A11" s="5" t="s">
        <v>17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8" t="s">
        <v>18</v>
      </c>
      <c r="B12" s="11">
        <f t="shared" ref="B12:J12" si="1">B7-B13-B14</f>
        <v>355.7</v>
      </c>
      <c r="C12" s="11">
        <f t="shared" si="1"/>
        <v>402</v>
      </c>
      <c r="D12" s="11">
        <f t="shared" si="1"/>
        <v>265.8</v>
      </c>
      <c r="E12" s="11">
        <f t="shared" si="1"/>
        <v>332.2</v>
      </c>
      <c r="F12" s="11">
        <f t="shared" si="1"/>
        <v>329.3</v>
      </c>
      <c r="G12" s="11">
        <f t="shared" si="1"/>
        <v>438.09999999999997</v>
      </c>
      <c r="H12" s="11">
        <f t="shared" si="1"/>
        <v>385.3</v>
      </c>
      <c r="I12" s="11">
        <f t="shared" si="1"/>
        <v>306.60000000000002</v>
      </c>
      <c r="J12" s="11">
        <f t="shared" si="1"/>
        <v>347.6</v>
      </c>
    </row>
    <row r="13" spans="1:10" x14ac:dyDescent="0.25">
      <c r="A13" s="8" t="s">
        <v>19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301.2</v>
      </c>
      <c r="H13" s="12">
        <v>328.8</v>
      </c>
      <c r="I13" s="9">
        <v>370</v>
      </c>
      <c r="J13" s="9">
        <v>368</v>
      </c>
    </row>
    <row r="14" spans="1:10" x14ac:dyDescent="0.25">
      <c r="A14" s="8" t="s">
        <v>20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11</v>
      </c>
      <c r="I14" s="9">
        <v>45</v>
      </c>
      <c r="J14" s="9">
        <v>67</v>
      </c>
    </row>
    <row r="15" spans="1:10" x14ac:dyDescent="0.25">
      <c r="A15" s="8" t="s">
        <v>21</v>
      </c>
      <c r="B15" s="13">
        <f t="shared" ref="B15:J15" si="2">B13/B7</f>
        <v>0</v>
      </c>
      <c r="C15" s="13">
        <f t="shared" si="2"/>
        <v>0</v>
      </c>
      <c r="D15" s="13">
        <f t="shared" si="2"/>
        <v>0</v>
      </c>
      <c r="E15" s="13">
        <f t="shared" si="2"/>
        <v>0</v>
      </c>
      <c r="F15" s="13">
        <f t="shared" si="2"/>
        <v>0</v>
      </c>
      <c r="G15" s="13">
        <f t="shared" si="2"/>
        <v>0.4074124171513594</v>
      </c>
      <c r="H15" s="13">
        <f t="shared" si="2"/>
        <v>0.45345469590401322</v>
      </c>
      <c r="I15" s="13">
        <f t="shared" si="2"/>
        <v>0.5127494456762749</v>
      </c>
      <c r="J15" s="13">
        <f t="shared" si="2"/>
        <v>0.47022744697163299</v>
      </c>
    </row>
    <row r="16" spans="1:10" x14ac:dyDescent="0.25">
      <c r="A16" s="8" t="s">
        <v>22</v>
      </c>
      <c r="B16" s="13">
        <f t="shared" ref="B16:J16" si="3">B14/B7</f>
        <v>0</v>
      </c>
      <c r="C16" s="13">
        <f t="shared" si="3"/>
        <v>0</v>
      </c>
      <c r="D16" s="13">
        <f t="shared" si="3"/>
        <v>0</v>
      </c>
      <c r="E16" s="13">
        <f t="shared" si="3"/>
        <v>0</v>
      </c>
      <c r="F16" s="13">
        <f t="shared" si="3"/>
        <v>0</v>
      </c>
      <c r="G16" s="13">
        <f t="shared" si="3"/>
        <v>0</v>
      </c>
      <c r="H16" s="13">
        <f t="shared" si="3"/>
        <v>1.5170321334988277E-2</v>
      </c>
      <c r="I16" s="13">
        <f t="shared" si="3"/>
        <v>6.2361419068736143E-2</v>
      </c>
      <c r="J16" s="13">
        <f t="shared" si="3"/>
        <v>8.5612062356248395E-2</v>
      </c>
    </row>
    <row r="18" spans="1:10" x14ac:dyDescent="0.25">
      <c r="A18" s="5" t="s">
        <v>23</v>
      </c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8" t="s">
        <v>24</v>
      </c>
      <c r="B19" s="13">
        <f>B9</f>
        <v>0.51222940680348605</v>
      </c>
      <c r="C19" s="13">
        <f>C9</f>
        <v>0.52014925373134324</v>
      </c>
      <c r="D19" s="13">
        <f>D9</f>
        <v>0.45974416854778027</v>
      </c>
      <c r="E19" s="13">
        <f>E9</f>
        <v>0.50180614087898856</v>
      </c>
      <c r="F19" s="13">
        <f>F9</f>
        <v>0.52353477072578192</v>
      </c>
      <c r="G19" s="14">
        <v>0.52500000000000002</v>
      </c>
      <c r="H19" s="14">
        <v>0.52500000000000002</v>
      </c>
      <c r="I19" s="14">
        <v>0.52500000000000002</v>
      </c>
      <c r="J19" s="14">
        <v>0.52500000000000002</v>
      </c>
    </row>
    <row r="20" spans="1:10" x14ac:dyDescent="0.25">
      <c r="A20" s="8" t="s">
        <v>25</v>
      </c>
      <c r="G20" s="14">
        <v>0.42</v>
      </c>
      <c r="H20" s="14">
        <v>0.42</v>
      </c>
      <c r="I20" s="14">
        <v>0.42</v>
      </c>
      <c r="J20" s="14">
        <v>0.42</v>
      </c>
    </row>
    <row r="21" spans="1:10" x14ac:dyDescent="0.25">
      <c r="A21" s="8" t="s">
        <v>26</v>
      </c>
      <c r="H21" s="14">
        <v>0.4</v>
      </c>
      <c r="I21" s="14">
        <v>0.4</v>
      </c>
      <c r="J21" s="14">
        <v>0.4</v>
      </c>
    </row>
    <row r="22" spans="1:10" x14ac:dyDescent="0.25">
      <c r="A22" s="8" t="s">
        <v>27</v>
      </c>
      <c r="B22" s="15"/>
      <c r="C22" s="15"/>
      <c r="D22" s="15"/>
      <c r="E22" s="15"/>
      <c r="F22" s="15"/>
      <c r="G22" s="9">
        <v>21.7</v>
      </c>
      <c r="H22" s="9">
        <v>0.7</v>
      </c>
      <c r="I22" s="15"/>
      <c r="J22" s="15"/>
    </row>
    <row r="24" spans="1:10" x14ac:dyDescent="0.25">
      <c r="A24" s="5" t="s">
        <v>28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3" t="s">
        <v>29</v>
      </c>
      <c r="B25" s="13">
        <f t="shared" ref="B25:J25" si="4">B19</f>
        <v>0.51222940680348605</v>
      </c>
      <c r="C25" s="13">
        <f t="shared" si="4"/>
        <v>0.52014925373134324</v>
      </c>
      <c r="D25" s="13">
        <f t="shared" si="4"/>
        <v>0.45974416854778027</v>
      </c>
      <c r="E25" s="13">
        <f t="shared" si="4"/>
        <v>0.50180614087898856</v>
      </c>
      <c r="F25" s="13">
        <f t="shared" si="4"/>
        <v>0.52353477072578192</v>
      </c>
      <c r="G25" s="13">
        <f t="shared" si="4"/>
        <v>0.52500000000000002</v>
      </c>
      <c r="H25" s="13">
        <f t="shared" si="4"/>
        <v>0.52500000000000002</v>
      </c>
      <c r="I25" s="13">
        <f t="shared" si="4"/>
        <v>0.52500000000000002</v>
      </c>
      <c r="J25" s="13">
        <f t="shared" si="4"/>
        <v>0.52500000000000002</v>
      </c>
    </row>
    <row r="26" spans="1:10" x14ac:dyDescent="0.25">
      <c r="A26" s="8" t="s">
        <v>30</v>
      </c>
      <c r="B26" s="13">
        <f t="shared" ref="B26:J26" si="5">B15*(B20-B19)</f>
        <v>0</v>
      </c>
      <c r="C26" s="13">
        <f t="shared" si="5"/>
        <v>0</v>
      </c>
      <c r="D26" s="13">
        <f t="shared" si="5"/>
        <v>0</v>
      </c>
      <c r="E26" s="13">
        <f t="shared" si="5"/>
        <v>0</v>
      </c>
      <c r="F26" s="13">
        <f t="shared" si="5"/>
        <v>0</v>
      </c>
      <c r="G26" s="13">
        <f t="shared" si="5"/>
        <v>-4.2778303800892752E-2</v>
      </c>
      <c r="H26" s="13">
        <f t="shared" si="5"/>
        <v>-4.7612743069921408E-2</v>
      </c>
      <c r="I26" s="13">
        <f t="shared" si="5"/>
        <v>-5.3838691796008885E-2</v>
      </c>
      <c r="J26" s="13">
        <f t="shared" si="5"/>
        <v>-4.9373881932021482E-2</v>
      </c>
    </row>
    <row r="27" spans="1:10" x14ac:dyDescent="0.25">
      <c r="A27" s="8" t="s">
        <v>31</v>
      </c>
      <c r="B27" s="13">
        <f t="shared" ref="B27:J27" si="6">B16*(B21-B19)</f>
        <v>0</v>
      </c>
      <c r="C27" s="13">
        <f t="shared" si="6"/>
        <v>0</v>
      </c>
      <c r="D27" s="13">
        <f t="shared" si="6"/>
        <v>0</v>
      </c>
      <c r="E27" s="13">
        <f t="shared" si="6"/>
        <v>0</v>
      </c>
      <c r="F27" s="13">
        <f t="shared" si="6"/>
        <v>0</v>
      </c>
      <c r="G27" s="13">
        <f t="shared" si="6"/>
        <v>0</v>
      </c>
      <c r="H27" s="13">
        <f t="shared" si="6"/>
        <v>-1.8962901668735347E-3</v>
      </c>
      <c r="I27" s="13">
        <f t="shared" si="6"/>
        <v>-7.7951773835920179E-3</v>
      </c>
      <c r="J27" s="13">
        <f t="shared" si="6"/>
        <v>-1.0701507794531049E-2</v>
      </c>
    </row>
    <row r="28" spans="1:10" x14ac:dyDescent="0.25">
      <c r="A28" s="8" t="s">
        <v>32</v>
      </c>
      <c r="B28" s="13">
        <f t="shared" ref="B28:J28" si="7">-B22/B7</f>
        <v>0</v>
      </c>
      <c r="C28" s="13">
        <f t="shared" si="7"/>
        <v>0</v>
      </c>
      <c r="D28" s="13">
        <f t="shared" si="7"/>
        <v>0</v>
      </c>
      <c r="E28" s="13">
        <f t="shared" si="7"/>
        <v>0</v>
      </c>
      <c r="F28" s="13">
        <f t="shared" si="7"/>
        <v>0</v>
      </c>
      <c r="G28" s="13">
        <f t="shared" si="7"/>
        <v>-2.9352089814689571E-2</v>
      </c>
      <c r="H28" s="13">
        <f t="shared" si="7"/>
        <v>-9.6538408495379943E-4</v>
      </c>
      <c r="I28" s="13">
        <f t="shared" si="7"/>
        <v>0</v>
      </c>
      <c r="J28" s="13">
        <f t="shared" si="7"/>
        <v>0</v>
      </c>
    </row>
    <row r="29" spans="1:10" x14ac:dyDescent="0.25">
      <c r="A29" s="8" t="s">
        <v>33</v>
      </c>
      <c r="B29" s="13">
        <f t="shared" ref="B29:J29" si="8">B9-(B25+B26+B27+B28+B30)</f>
        <v>0</v>
      </c>
      <c r="C29" s="13">
        <f t="shared" si="8"/>
        <v>0</v>
      </c>
      <c r="D29" s="13">
        <f t="shared" si="8"/>
        <v>0</v>
      </c>
      <c r="E29" s="13">
        <f t="shared" si="8"/>
        <v>0</v>
      </c>
      <c r="F29" s="13">
        <f t="shared" si="8"/>
        <v>0</v>
      </c>
      <c r="G29" s="13">
        <f t="shared" si="8"/>
        <v>6.2347490869741617E-2</v>
      </c>
      <c r="H29" s="13">
        <f t="shared" si="8"/>
        <v>3.8920838505033806E-2</v>
      </c>
      <c r="I29" s="13">
        <f t="shared" si="8"/>
        <v>4.0303492239467886E-2</v>
      </c>
      <c r="J29" s="13">
        <f t="shared" si="8"/>
        <v>3.8208535650396114E-2</v>
      </c>
    </row>
    <row r="30" spans="1:10" x14ac:dyDescent="0.25">
      <c r="A30" s="8" t="s">
        <v>34</v>
      </c>
      <c r="B30" s="16"/>
      <c r="C30" s="16"/>
      <c r="D30" s="16"/>
      <c r="E30" s="16"/>
      <c r="F30" s="16"/>
      <c r="G30" s="14">
        <v>0</v>
      </c>
      <c r="H30" s="14">
        <v>0</v>
      </c>
      <c r="I30" s="14">
        <v>-0.03</v>
      </c>
      <c r="J30" s="14">
        <v>-0.02</v>
      </c>
    </row>
    <row r="31" spans="1:10" x14ac:dyDescent="0.25">
      <c r="A31" s="22" t="s">
        <v>86</v>
      </c>
      <c r="B31" s="17">
        <f t="shared" ref="B31:J31" si="9">B25+B26+B27+B28+B29+B30</f>
        <v>0.51222940680348605</v>
      </c>
      <c r="C31" s="17">
        <f t="shared" si="9"/>
        <v>0.52014925373134324</v>
      </c>
      <c r="D31" s="17">
        <f t="shared" si="9"/>
        <v>0.45974416854778027</v>
      </c>
      <c r="E31" s="17">
        <f t="shared" si="9"/>
        <v>0.50180614087898856</v>
      </c>
      <c r="F31" s="17">
        <f t="shared" si="9"/>
        <v>0.52353477072578192</v>
      </c>
      <c r="G31" s="17">
        <f t="shared" si="9"/>
        <v>0.51521709725415932</v>
      </c>
      <c r="H31" s="17">
        <f t="shared" si="9"/>
        <v>0.5134464211832851</v>
      </c>
      <c r="I31" s="17">
        <f t="shared" si="9"/>
        <v>0.47366962305986693</v>
      </c>
      <c r="J31" s="17">
        <f t="shared" si="9"/>
        <v>0.4831331459238436</v>
      </c>
    </row>
    <row r="32" spans="1:10" x14ac:dyDescent="0.25">
      <c r="A32" s="8" t="s">
        <v>35</v>
      </c>
      <c r="B32" s="18">
        <f t="shared" ref="B32:J32" si="10">B31-B9</f>
        <v>0</v>
      </c>
      <c r="C32" s="18">
        <f t="shared" ref="C32" si="11">C31-C9</f>
        <v>0</v>
      </c>
      <c r="D32" s="18">
        <f t="shared" ref="D32" si="12">D31-D9</f>
        <v>0</v>
      </c>
      <c r="E32" s="18">
        <f t="shared" ref="E32" si="13">E31-E9</f>
        <v>0</v>
      </c>
      <c r="F32" s="18">
        <f t="shared" ref="F32" si="14">F31-F9</f>
        <v>0</v>
      </c>
      <c r="G32" s="18">
        <f t="shared" ref="G32" si="15">G31-G9</f>
        <v>0</v>
      </c>
      <c r="H32" s="18">
        <f t="shared" ref="H32" si="16">H31-H9</f>
        <v>0</v>
      </c>
      <c r="I32" s="18">
        <f t="shared" ref="I32" si="17">I31-I9</f>
        <v>0</v>
      </c>
      <c r="J32" s="18">
        <f t="shared" ref="J32" si="18">J31-J9</f>
        <v>0</v>
      </c>
    </row>
    <row r="34" spans="1:10" x14ac:dyDescent="0.25">
      <c r="A34" s="5" t="s">
        <v>36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8" t="s">
        <v>37</v>
      </c>
      <c r="G35" s="19">
        <v>0.54</v>
      </c>
    </row>
    <row r="36" spans="1:10" x14ac:dyDescent="0.25">
      <c r="A36" s="8" t="s">
        <v>38</v>
      </c>
    </row>
    <row r="37" spans="1:10" x14ac:dyDescent="0.25">
      <c r="A37" s="8" t="s">
        <v>39</v>
      </c>
    </row>
    <row r="38" spans="1:10" x14ac:dyDescent="0.25">
      <c r="A38" s="8" t="s">
        <v>40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workbookViewId="0"/>
  </sheetViews>
  <sheetFormatPr defaultRowHeight="15" x14ac:dyDescent="0.25"/>
  <cols>
    <col min="1" max="1" width="44" customWidth="1"/>
    <col min="2" max="9" width="11" customWidth="1"/>
  </cols>
  <sheetData>
    <row r="1" spans="1:9" ht="18.75" x14ac:dyDescent="0.3">
      <c r="A1" s="1" t="s">
        <v>41</v>
      </c>
    </row>
    <row r="2" spans="1:9" x14ac:dyDescent="0.25">
      <c r="A2" s="2" t="s">
        <v>42</v>
      </c>
    </row>
    <row r="4" spans="1:9" x14ac:dyDescent="0.25">
      <c r="A4" s="3" t="s">
        <v>43</v>
      </c>
      <c r="B4" s="3" t="s">
        <v>44</v>
      </c>
      <c r="C4" s="3" t="s">
        <v>45</v>
      </c>
      <c r="D4" s="3" t="s">
        <v>46</v>
      </c>
    </row>
    <row r="5" spans="1:9" x14ac:dyDescent="0.25">
      <c r="A5" s="8" t="s">
        <v>47</v>
      </c>
      <c r="B5" s="9">
        <v>272</v>
      </c>
      <c r="C5" s="9">
        <v>413</v>
      </c>
      <c r="D5" s="9">
        <v>605</v>
      </c>
    </row>
    <row r="6" spans="1:9" x14ac:dyDescent="0.25">
      <c r="A6" s="8" t="s">
        <v>48</v>
      </c>
      <c r="D6" s="19">
        <v>0.49</v>
      </c>
    </row>
    <row r="7" spans="1:9" x14ac:dyDescent="0.25">
      <c r="A7" s="3" t="s">
        <v>49</v>
      </c>
      <c r="C7" s="19">
        <v>0.4</v>
      </c>
      <c r="D7" s="19">
        <v>0.42</v>
      </c>
    </row>
    <row r="8" spans="1:9" x14ac:dyDescent="0.25">
      <c r="A8" s="8" t="s">
        <v>50</v>
      </c>
      <c r="C8" s="11">
        <f>C5*C7</f>
        <v>165.20000000000002</v>
      </c>
      <c r="D8" s="11">
        <f>D5*D7</f>
        <v>254.1</v>
      </c>
    </row>
    <row r="9" spans="1:9" x14ac:dyDescent="0.25">
      <c r="A9" s="8" t="s">
        <v>51</v>
      </c>
      <c r="C9" s="19">
        <v>0.48</v>
      </c>
      <c r="D9" s="19">
        <v>0.5</v>
      </c>
    </row>
    <row r="10" spans="1:9" x14ac:dyDescent="0.25">
      <c r="A10" s="8" t="s">
        <v>52</v>
      </c>
      <c r="C10" s="19">
        <v>0.46</v>
      </c>
      <c r="D10" s="19">
        <v>0.48</v>
      </c>
    </row>
    <row r="11" spans="1:9" x14ac:dyDescent="0.25">
      <c r="A11" s="8" t="s">
        <v>53</v>
      </c>
      <c r="D11" s="9">
        <v>88</v>
      </c>
      <c r="E11" s="19">
        <v>0.15</v>
      </c>
    </row>
    <row r="13" spans="1:9" x14ac:dyDescent="0.25">
      <c r="A13" s="3" t="s">
        <v>54</v>
      </c>
      <c r="B13" s="3" t="s">
        <v>55</v>
      </c>
      <c r="C13" s="3" t="s">
        <v>56</v>
      </c>
      <c r="D13" s="3" t="s">
        <v>57</v>
      </c>
      <c r="E13" s="3" t="s">
        <v>58</v>
      </c>
      <c r="F13" s="3" t="s">
        <v>4</v>
      </c>
      <c r="G13" s="3" t="s">
        <v>5</v>
      </c>
      <c r="H13" s="3" t="s">
        <v>6</v>
      </c>
      <c r="I13" s="3" t="s">
        <v>7</v>
      </c>
    </row>
    <row r="14" spans="1:9" x14ac:dyDescent="0.25">
      <c r="A14" s="8" t="s">
        <v>47</v>
      </c>
      <c r="B14" s="9">
        <v>86</v>
      </c>
      <c r="C14" s="9">
        <v>104</v>
      </c>
      <c r="D14" s="9">
        <v>119</v>
      </c>
      <c r="E14" s="9">
        <v>103</v>
      </c>
      <c r="F14" s="9">
        <v>136</v>
      </c>
      <c r="G14" s="9">
        <v>146</v>
      </c>
      <c r="H14" s="9">
        <v>166</v>
      </c>
      <c r="I14" s="9">
        <v>157</v>
      </c>
    </row>
    <row r="16" spans="1:9" x14ac:dyDescent="0.25">
      <c r="A16" s="2" t="s">
        <v>59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showGridLines="0" workbookViewId="0"/>
  </sheetViews>
  <sheetFormatPr defaultRowHeight="15" x14ac:dyDescent="0.25"/>
  <cols>
    <col min="1" max="1" width="40" customWidth="1"/>
    <col min="2" max="2" width="78" customWidth="1"/>
  </cols>
  <sheetData>
    <row r="1" spans="1:2" ht="33.950000000000003" customHeight="1" x14ac:dyDescent="0.25">
      <c r="A1" s="20" t="s">
        <v>60</v>
      </c>
      <c r="B1" s="20" t="s">
        <v>61</v>
      </c>
    </row>
    <row r="2" spans="1:2" ht="33.950000000000003" customHeight="1" x14ac:dyDescent="0.25">
      <c r="A2" s="21" t="s">
        <v>62</v>
      </c>
      <c r="B2" s="21" t="s">
        <v>63</v>
      </c>
    </row>
    <row r="3" spans="1:2" ht="33.950000000000003" customHeight="1" x14ac:dyDescent="0.25">
      <c r="A3" s="21" t="s">
        <v>64</v>
      </c>
      <c r="B3" s="21" t="s">
        <v>65</v>
      </c>
    </row>
    <row r="4" spans="1:2" ht="33.950000000000003" customHeight="1" x14ac:dyDescent="0.25">
      <c r="A4" s="21" t="s">
        <v>66</v>
      </c>
      <c r="B4" s="21" t="s">
        <v>67</v>
      </c>
    </row>
    <row r="5" spans="1:2" ht="33.950000000000003" customHeight="1" x14ac:dyDescent="0.25">
      <c r="A5" s="21" t="s">
        <v>68</v>
      </c>
      <c r="B5" s="21" t="s">
        <v>69</v>
      </c>
    </row>
    <row r="6" spans="1:2" ht="33.950000000000003" customHeight="1" x14ac:dyDescent="0.25">
      <c r="A6" s="21" t="s">
        <v>70</v>
      </c>
      <c r="B6" s="21" t="s">
        <v>71</v>
      </c>
    </row>
    <row r="7" spans="1:2" ht="33.950000000000003" customHeight="1" x14ac:dyDescent="0.25">
      <c r="A7" s="21" t="s">
        <v>72</v>
      </c>
      <c r="B7" s="21" t="s">
        <v>73</v>
      </c>
    </row>
    <row r="8" spans="1:2" ht="33.950000000000003" customHeight="1" x14ac:dyDescent="0.25">
      <c r="A8" s="21" t="s">
        <v>74</v>
      </c>
      <c r="B8" s="21" t="s">
        <v>75</v>
      </c>
    </row>
    <row r="9" spans="1:2" ht="33.950000000000003" customHeight="1" x14ac:dyDescent="0.25">
      <c r="A9" s="21" t="s">
        <v>76</v>
      </c>
      <c r="B9" s="21" t="s">
        <v>77</v>
      </c>
    </row>
    <row r="10" spans="1:2" ht="33.950000000000003" customHeight="1" x14ac:dyDescent="0.25">
      <c r="A10" s="21" t="s">
        <v>78</v>
      </c>
      <c r="B10" s="21" t="s">
        <v>79</v>
      </c>
    </row>
    <row r="11" spans="1:2" ht="33.950000000000003" customHeight="1" x14ac:dyDescent="0.25">
      <c r="A11" s="21" t="s">
        <v>80</v>
      </c>
      <c r="B11" s="21" t="s">
        <v>81</v>
      </c>
    </row>
    <row r="12" spans="1:2" ht="33.950000000000003" customHeight="1" x14ac:dyDescent="0.25">
      <c r="A12" s="21" t="s">
        <v>82</v>
      </c>
      <c r="B12" s="21" t="s">
        <v>83</v>
      </c>
    </row>
    <row r="13" spans="1:2" ht="33.950000000000003" customHeight="1" x14ac:dyDescent="0.25">
      <c r="A13" s="21" t="s">
        <v>84</v>
      </c>
      <c r="B13" s="21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GM Bridge</vt:lpstr>
      <vt:lpstr>Alani Standalone (May28 Deck)</vt:lpstr>
      <vt:lpstr>Sources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Rodino</cp:lastModifiedBy>
  <dcterms:created xsi:type="dcterms:W3CDTF">2026-06-09T02:08:29Z</dcterms:created>
  <dcterms:modified xsi:type="dcterms:W3CDTF">2026-06-09T02:23:59Z</dcterms:modified>
</cp:coreProperties>
</file>