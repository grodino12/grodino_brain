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-&quot;"/>
    <numFmt numFmtId="165" formatCode="0.0%;(0.0%);&quot;--&quot;"/>
  </numFmts>
  <fonts count="1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1F4E79"/>
      <sz val="11"/>
    </font>
    <font>
      <b val="1"/>
      <sz val="10"/>
    </font>
    <font>
      <b val="1"/>
      <i val="1"/>
      <color rgb="001F4E79"/>
      <sz val="10"/>
    </font>
    <font>
      <b val="1"/>
      <color rgb="001F4E79"/>
      <sz val="10"/>
    </font>
    <font>
      <sz val="10"/>
    </font>
    <font>
      <i val="1"/>
      <color rgb="00595959"/>
      <sz val="10"/>
    </font>
    <font>
      <i val="1"/>
      <color rgb="00808080"/>
      <sz val="10"/>
    </font>
    <font>
      <b val="1"/>
      <i val="1"/>
      <color rgb="00595959"/>
      <sz val="10"/>
    </font>
    <font>
      <color rgb="00404040"/>
      <sz val="10"/>
    </font>
    <font>
      <b val="1"/>
      <color rgb="002E7D32"/>
      <sz val="11"/>
    </font>
    <font>
      <b val="1"/>
      <color rgb="00C62828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7" fillId="0" borderId="0" pivotButton="0" quotePrefix="0" xfId="0"/>
    <xf numFmtId="0" fontId="9" fillId="0" borderId="0" applyAlignment="1" pivotButton="0" quotePrefix="0" xfId="0">
      <alignment horizontal="right"/>
    </xf>
    <xf numFmtId="165" fontId="4" fillId="0" borderId="1" pivotButton="0" quotePrefix="0" xfId="0"/>
    <xf numFmtId="0" fontId="9" fillId="0" borderId="1" applyAlignment="1" pivotButton="0" quotePrefix="0" xfId="0">
      <alignment horizontal="right"/>
    </xf>
    <xf numFmtId="165" fontId="8" fillId="0" borderId="0" pivotButton="0" quotePrefix="0" xfId="0"/>
    <xf numFmtId="164" fontId="4" fillId="0" borderId="0" pivotButton="0" quotePrefix="0" xfId="0"/>
    <xf numFmtId="164" fontId="10" fillId="0" borderId="0" pivotButton="0" quotePrefix="0" xfId="0"/>
    <xf numFmtId="0" fontId="6" fillId="0" borderId="1" pivotButton="0" quotePrefix="0" xfId="0"/>
    <xf numFmtId="164" fontId="6" fillId="0" borderId="0" pivotButton="0" quotePrefix="0" xfId="0"/>
    <xf numFmtId="0" fontId="11" fillId="0" borderId="0" pivotButton="0" quotePrefix="0" xfId="0"/>
    <xf numFmtId="0" fontId="7" fillId="0" borderId="1" pivotButton="0" quotePrefix="0" xfId="0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Source</author>
  </authors>
  <commentList>
    <comment ref="B6" authorId="0" shapeId="0">
      <text>
        <t>Q1 2024 10-Q comparable column. Q1 2023 10-Q itself did not disclose disaggregation.</t>
      </text>
    </comment>
    <comment ref="C6" authorId="0" shapeId="0">
      <text>
        <t>Q2 2024 10-Q comparable column.</t>
      </text>
    </comment>
    <comment ref="D6" authorId="0" shapeId="0">
      <text>
        <t>Q3 2023 10-Q Note 4.</t>
      </text>
    </comment>
    <comment ref="E6" authorId="0" shapeId="0">
      <text>
        <t>Q4 North America derived as FY - Q1 - Q2 - Q3.</t>
      </text>
    </comment>
    <comment ref="F6" authorId="0" shapeId="0">
      <text>
        <t>FY2023 10-K MD&amp;A geography table.</t>
      </text>
    </comment>
    <comment ref="G6" authorId="0" shapeId="0">
      <text>
        <t>Q1 2024 10-Q MD&amp;A geography table.</t>
      </text>
    </comment>
    <comment ref="H6" authorId="0" shapeId="0">
      <text>
        <t>Q2 2024 10-Q MD&amp;A geography table.</t>
      </text>
    </comment>
    <comment ref="I6" authorId="0" shapeId="0">
      <text>
        <t>Q3 2024 10-Q MD&amp;A. Sweden largest foreign country at $9.5M Q3.</t>
      </text>
    </comment>
    <comment ref="J6" authorId="0" shapeId="0">
      <text>
        <t>Q4 North America derived as FY - Q1 - Q2 - Q3.</t>
      </text>
    </comment>
    <comment ref="K6" authorId="0" shapeId="0">
      <text>
        <t>FY2024 10-K MD&amp;A geography table.</t>
      </text>
    </comment>
    <comment ref="L6" authorId="0" shapeId="0">
      <text>
        <t>Q1 2025 10-Q Note 4.</t>
      </text>
    </comment>
    <comment ref="M6" authorId="0" shapeId="0">
      <text>
        <t>Q2 2025 10-Q Note 4. First quarter post-Alani close (April 1, 2025).</t>
      </text>
    </comment>
    <comment ref="N6" authorId="0" shapeId="0">
      <text>
        <t>Q3 2025 10-Q Note 4. Includes ~33 days of Rockstar (closed Aug 28).</t>
      </text>
    </comment>
    <comment ref="O6" authorId="0" shapeId="0">
      <text>
        <t>Q4 North America derived as FY - Q1 - Q2 - Q3.</t>
      </text>
    </comment>
    <comment ref="P6" authorId="0" shapeId="0">
      <text>
        <t>FY2025 10-K MD&amp;A. Full year of Celsius + 9 months Alani + ~4 months Rockstar.</t>
      </text>
    </comment>
    <comment ref="B7" authorId="0" shapeId="0">
      <text>
        <t>Q1 2024 10-Q comparable.</t>
      </text>
    </comment>
    <comment ref="C7" authorId="0" shapeId="0">
      <text>
        <t>Q2 2024 10-Q comparable.</t>
      </text>
    </comment>
    <comment ref="D7" authorId="0" shapeId="0">
      <text>
        <t>Q3 2023 10-Q Note 4.</t>
      </text>
    </comment>
    <comment ref="E7" authorId="0" shapeId="0">
      <text>
        <t>Q4 Europe derived as FY - Q1 - Q2 - Q3.</t>
      </text>
    </comment>
    <comment ref="F7" authorId="0" shapeId="0">
      <text>
        <t>FY2023 10-K.</t>
      </text>
    </comment>
    <comment ref="G7" authorId="0" shapeId="0">
      <text>
        <t>Q1 2024 10-Q.</t>
      </text>
    </comment>
    <comment ref="H7" authorId="0" shapeId="0">
      <text>
        <t>Q2 2024 10-Q.</t>
      </text>
    </comment>
    <comment ref="I7" authorId="0" shapeId="0">
      <text>
        <t>Q3 2024 10-Q.</t>
      </text>
    </comment>
    <comment ref="J7" authorId="0" shapeId="0">
      <text>
        <t>Q4 Europe derived as FY - Q1 - Q2 - Q3.</t>
      </text>
    </comment>
    <comment ref="K7" authorId="0" shapeId="0">
      <text>
        <t>FY2024 10-K.</t>
      </text>
    </comment>
    <comment ref="L7" authorId="0" shapeId="0">
      <text>
        <t>Q1 2025 10-Q.</t>
      </text>
    </comment>
    <comment ref="M7" authorId="0" shapeId="0">
      <text>
        <t>Q2 2025 10-Q.</t>
      </text>
    </comment>
    <comment ref="N7" authorId="0" shapeId="0">
      <text>
        <t>Q3 2025 10-Q.</t>
      </text>
    </comment>
    <comment ref="O7" authorId="0" shapeId="0">
      <text>
        <t>Q4 Europe derived as FY - Q1 - Q2 - Q3.</t>
      </text>
    </comment>
    <comment ref="P7" authorId="0" shapeId="0">
      <text>
        <t>FY2025 10-K.</t>
      </text>
    </comment>
    <comment ref="B8" authorId="0" shapeId="0">
      <text>
        <t>Q1 2024 10-Q comparable.</t>
      </text>
    </comment>
    <comment ref="C8" authorId="0" shapeId="0">
      <text>
        <t>Q2 2024 10-Q comparable.</t>
      </text>
    </comment>
    <comment ref="D8" authorId="0" shapeId="0">
      <text>
        <t>Q3 2023 10-Q Note 4.</t>
      </text>
    </comment>
    <comment ref="E8" authorId="0" shapeId="0">
      <text>
        <t>Q4 Asia-Pacific derived as FY - Q1 - Q2 - Q3.</t>
      </text>
    </comment>
    <comment ref="F8" authorId="0" shapeId="0">
      <text>
        <t>FY2023 10-K.</t>
      </text>
    </comment>
    <comment ref="G8" authorId="0" shapeId="0">
      <text>
        <t>Q1 2024 10-Q.</t>
      </text>
    </comment>
    <comment ref="H8" authorId="0" shapeId="0">
      <text>
        <t>Q2 2024 10-Q.</t>
      </text>
    </comment>
    <comment ref="I8" authorId="0" shapeId="0">
      <text>
        <t>Q3 2024 10-Q.</t>
      </text>
    </comment>
    <comment ref="J8" authorId="0" shapeId="0">
      <text>
        <t>Q4 Asia-Pacific derived as FY - Q1 - Q2 - Q3.</t>
      </text>
    </comment>
    <comment ref="K8" authorId="0" shapeId="0">
      <text>
        <t>FY2024 10-K.</t>
      </text>
    </comment>
    <comment ref="L8" authorId="0" shapeId="0">
      <text>
        <t>Q1 2025 10-Q.</t>
      </text>
    </comment>
    <comment ref="M8" authorId="0" shapeId="0">
      <text>
        <t>Q2 2025 10-Q.</t>
      </text>
    </comment>
    <comment ref="N8" authorId="0" shapeId="0">
      <text>
        <t>Q3 2025 10-Q.</t>
      </text>
    </comment>
    <comment ref="O8" authorId="0" shapeId="0">
      <text>
        <t>Q4 Asia-Pacific derived as FY - Q1 - Q2 - Q3.</t>
      </text>
    </comment>
    <comment ref="P8" authorId="0" shapeId="0">
      <text>
        <t>FY2025 10-K.</t>
      </text>
    </comment>
    <comment ref="B9" authorId="0" shapeId="0">
      <text>
        <t>Q1 2024 10-Q comparable.</t>
      </text>
    </comment>
    <comment ref="C9" authorId="0" shapeId="0">
      <text>
        <t>Q2 2024 10-Q comparable.</t>
      </text>
    </comment>
    <comment ref="D9" authorId="0" shapeId="0">
      <text>
        <t>Q3 2023 10-Q Note 4.</t>
      </text>
    </comment>
    <comment ref="E9" authorId="0" shapeId="0">
      <text>
        <t>Q4 Other derived as FY - Q1 - Q2 - Q3.</t>
      </text>
    </comment>
    <comment ref="F9" authorId="0" shapeId="0">
      <text>
        <t>FY2023 10-K.</t>
      </text>
    </comment>
    <comment ref="G9" authorId="0" shapeId="0">
      <text>
        <t>Q1 2024 10-Q.</t>
      </text>
    </comment>
    <comment ref="H9" authorId="0" shapeId="0">
      <text>
        <t>Q2 2024 10-Q.</t>
      </text>
    </comment>
    <comment ref="I9" authorId="0" shapeId="0">
      <text>
        <t>Q3 2024 10-Q.</t>
      </text>
    </comment>
    <comment ref="J9" authorId="0" shapeId="0">
      <text>
        <t>Q4 Other derived as FY - Q1 - Q2 - Q3.</t>
      </text>
    </comment>
    <comment ref="K9" authorId="0" shapeId="0">
      <text>
        <t>FY2024 10-K.</t>
      </text>
    </comment>
    <comment ref="L9" authorId="0" shapeId="0">
      <text>
        <t>Q1 2025 10-Q. Puerto Rico included in Other.</t>
      </text>
    </comment>
    <comment ref="M9" authorId="0" shapeId="0">
      <text>
        <t>Q2 2025 10-Q.</t>
      </text>
    </comment>
    <comment ref="N9" authorId="0" shapeId="0">
      <text>
        <t>Q3 2025 10-Q.</t>
      </text>
    </comment>
    <comment ref="O9" authorId="0" shapeId="0">
      <text>
        <t>Q4 Other derived as FY - Q1 - Q2 - Q3.</t>
      </text>
    </comment>
    <comment ref="P9" authorId="0" shapeId="0">
      <text>
        <t>Computed: FY2025 - 9M 2025 = 7264 - 5864 = 1400.</t>
      </text>
    </comment>
    <comment ref="B10" authorId="0" shapeId="0">
      <text>
        <t>Total = sum of regions</t>
      </text>
    </comment>
    <comment ref="C10" authorId="0" shapeId="0">
      <text>
        <t>Total = sum of regions</t>
      </text>
    </comment>
    <comment ref="D10" authorId="0" shapeId="0">
      <text>
        <t>Total = sum of regions</t>
      </text>
    </comment>
    <comment ref="E10" authorId="0" shapeId="0">
      <text>
        <t>Total = sum of regions</t>
      </text>
    </comment>
    <comment ref="F10" authorId="0" shapeId="0">
      <text>
        <t>Total = sum of regions</t>
      </text>
    </comment>
    <comment ref="G10" authorId="0" shapeId="0">
      <text>
        <t>Total = sum of regions</t>
      </text>
    </comment>
    <comment ref="H10" authorId="0" shapeId="0">
      <text>
        <t>Total = sum of regions</t>
      </text>
    </comment>
    <comment ref="I10" authorId="0" shapeId="0">
      <text>
        <t>Total = sum of regions</t>
      </text>
    </comment>
    <comment ref="J10" authorId="0" shapeId="0">
      <text>
        <t>Total = sum of regions</t>
      </text>
    </comment>
    <comment ref="K10" authorId="0" shapeId="0">
      <text>
        <t>Total = sum of regions</t>
      </text>
    </comment>
    <comment ref="L10" authorId="0" shapeId="0">
      <text>
        <t>Total = sum of regions</t>
      </text>
    </comment>
    <comment ref="M10" authorId="0" shapeId="0">
      <text>
        <t>Total = sum of regions</t>
      </text>
    </comment>
    <comment ref="N10" authorId="0" shapeId="0">
      <text>
        <t>Total = sum of regions</t>
      </text>
    </comment>
    <comment ref="O10" authorId="0" shapeId="0">
      <text>
        <t>Total = sum of regions</t>
      </text>
    </comment>
    <comment ref="P10" authorId="0" shapeId="0">
      <text>
        <t>Total = sum of regions</t>
      </text>
    </comment>
    <comment ref="B15" authorId="0" shapeId="0">
      <text>
        <t>Q1 2023 10-Q</t>
      </text>
    </comment>
    <comment ref="C15" authorId="0" shapeId="0">
      <text>
        <t>Q2 2023 10-Q</t>
      </text>
    </comment>
    <comment ref="D15" authorId="0" shapeId="0">
      <text>
        <t>Q3 2023 10-Q</t>
      </text>
    </comment>
    <comment ref="E15" authorId="0" shapeId="0">
      <text>
        <t>Q4 NOT derivable: percentages cannot be subtracted.</t>
      </text>
    </comment>
    <comment ref="F15" authorId="0" shapeId="0">
      <text>
        <t>FY2023 10-K</t>
      </text>
    </comment>
    <comment ref="G15" authorId="0" shapeId="0">
      <text>
        <t>Q1 2024 10-Q</t>
      </text>
    </comment>
    <comment ref="H15" authorId="0" shapeId="0">
      <text>
        <t>Q2 2024 10-Q</t>
      </text>
    </comment>
    <comment ref="I15" authorId="0" shapeId="0">
      <text>
        <t>Q3 2024 10-Q</t>
      </text>
    </comment>
    <comment ref="J15" authorId="0" shapeId="0">
      <text>
        <t>Q4 NOT derivable: percentages cannot be subtracted.</t>
      </text>
    </comment>
    <comment ref="K15" authorId="0" shapeId="0">
      <text>
        <t>FY2024 10-K</t>
      </text>
    </comment>
    <comment ref="L15" authorId="0" shapeId="0">
      <text>
        <t>Q1 2025 10-Q</t>
      </text>
    </comment>
    <comment ref="M15" authorId="0" shapeId="0">
      <text>
        <t>Q2 2025 10-Q</t>
      </text>
    </comment>
    <comment ref="N15" authorId="0" shapeId="0">
      <text>
        <t>Q3 2025 10-Q</t>
      </text>
    </comment>
    <comment ref="O15" authorId="0" shapeId="0">
      <text>
        <t>Q4 NOT derivable: percentages cannot be subtracted.</t>
      </text>
    </comment>
    <comment ref="P15" authorId="0" shapeId="0">
      <text>
        <t>FY2025 10-K</t>
      </text>
    </comment>
    <comment ref="B16" authorId="0" shapeId="0">
      <text>
        <t>Q1 2023 10-Q</t>
      </text>
    </comment>
    <comment ref="C16" authorId="0" shapeId="0">
      <text>
        <t>Q2 2023 10-Q</t>
      </text>
    </comment>
    <comment ref="D16" authorId="0" shapeId="0">
      <text>
        <t>Q3 2023 10-Q</t>
      </text>
    </comment>
    <comment ref="E16" authorId="0" shapeId="0">
      <text>
        <t>Q4 NOT derivable: percentages cannot be subtracted.</t>
      </text>
    </comment>
    <comment ref="F16" authorId="0" shapeId="0">
      <text>
        <t>FY2023 10-K</t>
      </text>
    </comment>
    <comment ref="G16" authorId="0" shapeId="0">
      <text>
        <t>Q1 2024 10-Q</t>
      </text>
    </comment>
    <comment ref="H16" authorId="0" shapeId="0">
      <text>
        <t>Q2 2024 10-Q</t>
      </text>
    </comment>
    <comment ref="I16" authorId="0" shapeId="0">
      <text>
        <t>Q3 2024 10-Q</t>
      </text>
    </comment>
    <comment ref="J16" authorId="0" shapeId="0">
      <text>
        <t>Q4 NOT derivable: percentages cannot be subtracted.</t>
      </text>
    </comment>
    <comment ref="K16" authorId="0" shapeId="0">
      <text>
        <t>FY2024 10-K</t>
      </text>
    </comment>
    <comment ref="L16" authorId="0" shapeId="0">
      <text>
        <t>Q1 2025 10-Q</t>
      </text>
    </comment>
    <comment ref="M16" authorId="0" shapeId="0">
      <text>
        <t>Q2 2025 10-Q</t>
      </text>
    </comment>
    <comment ref="N16" authorId="0" shapeId="0">
      <text>
        <t>Q3 2025 10-Q</t>
      </text>
    </comment>
    <comment ref="O16" authorId="0" shapeId="0">
      <text>
        <t>Q4 NOT derivable: percentages cannot be subtracted.</t>
      </text>
    </comment>
    <comment ref="P16" authorId="0" shapeId="0">
      <text>
        <t>FY2025 10-K</t>
      </text>
    </comment>
    <comment ref="B17" authorId="0" shapeId="0">
      <text>
        <t>Q1 2023 10-Q</t>
      </text>
    </comment>
    <comment ref="C17" authorId="0" shapeId="0">
      <text>
        <t>Amazon below 10% disclosure threshold for this period.</t>
      </text>
    </comment>
    <comment ref="D17" authorId="0" shapeId="0">
      <text>
        <t>Amazon below 10% disclosure threshold for this period.</t>
      </text>
    </comment>
    <comment ref="E17" authorId="0" shapeId="0">
      <text>
        <t>Q4 NOT derivable: percentages cannot be subtracted.</t>
      </text>
    </comment>
    <comment ref="F17" authorId="0" shapeId="0">
      <text>
        <t>FY2023 10-K</t>
      </text>
    </comment>
    <comment ref="G17" authorId="0" shapeId="0">
      <text>
        <t>Amazon below 10% disclosure threshold for this period.</t>
      </text>
    </comment>
    <comment ref="H17" authorId="0" shapeId="0">
      <text>
        <t>Amazon below 10% disclosure threshold for this period.</t>
      </text>
    </comment>
    <comment ref="I17" authorId="0" shapeId="0">
      <text>
        <t>Q3 2024 10-Q</t>
      </text>
    </comment>
    <comment ref="J17" authorId="0" shapeId="0">
      <text>
        <t>Q4 NOT derivable: percentages cannot be subtracted.</t>
      </text>
    </comment>
    <comment ref="K17" authorId="0" shapeId="0">
      <text>
        <t>Amazon below 10% disclosure threshold for this period.</t>
      </text>
    </comment>
    <comment ref="L17" authorId="0" shapeId="0">
      <text>
        <t>Q1 2025 10-Q</t>
      </text>
    </comment>
    <comment ref="M17" authorId="0" shapeId="0">
      <text>
        <t>Amazon below 10% disclosure threshold for this period.</t>
      </text>
    </comment>
    <comment ref="N17" authorId="0" shapeId="0">
      <text>
        <t>Q3 2025 10-Q</t>
      </text>
    </comment>
    <comment ref="O17" authorId="0" shapeId="0">
      <text>
        <t>Q4 NOT derivable: percentages cannot be subtracted.</t>
      </text>
    </comment>
    <comment ref="P17" authorId="0" shapeId="0">
      <text>
        <t>Amazon below 10% disclosure threshold for this period.</t>
      </text>
    </comment>
    <comment ref="B18" authorId="0" shapeId="0">
      <text>
        <t>Q1 2023 10-Q</t>
      </text>
    </comment>
    <comment ref="C18" authorId="0" shapeId="0">
      <text>
        <t>Q2 2023 10-Q</t>
      </text>
    </comment>
    <comment ref="D18" authorId="0" shapeId="0">
      <text>
        <t>Q3 2023 10-Q</t>
      </text>
    </comment>
    <comment ref="E18" authorId="0" shapeId="0">
      <text>
        <t>Q4 NOT derivable: percentages cannot be subtracted.</t>
      </text>
    </comment>
    <comment ref="F18" authorId="0" shapeId="0">
      <text>
        <t>FY2023 10-K</t>
      </text>
    </comment>
    <comment ref="G18" authorId="0" shapeId="0">
      <text>
        <t>Q1 2024 10-Q</t>
      </text>
    </comment>
    <comment ref="H18" authorId="0" shapeId="0">
      <text>
        <t>Q2 2024 10-Q</t>
      </text>
    </comment>
    <comment ref="I18" authorId="0" shapeId="0">
      <text>
        <t>Q3 2024 10-Q</t>
      </text>
    </comment>
    <comment ref="J18" authorId="0" shapeId="0">
      <text>
        <t>Q4 NOT derivable: percentages cannot be subtracted.</t>
      </text>
    </comment>
    <comment ref="K18" authorId="0" shapeId="0">
      <text>
        <t>FY2024 10-K</t>
      </text>
    </comment>
    <comment ref="L18" authorId="0" shapeId="0">
      <text>
        <t>Q1 2025 10-Q</t>
      </text>
    </comment>
    <comment ref="M18" authorId="0" shapeId="0">
      <text>
        <t>Q2 2025 10-Q</t>
      </text>
    </comment>
    <comment ref="N18" authorId="0" shapeId="0">
      <text>
        <t>Q3 2025 10-Q</t>
      </text>
    </comment>
    <comment ref="O18" authorId="0" shapeId="0">
      <text>
        <t>Q4 NOT derivable: percentages cannot be subtracted.</t>
      </text>
    </comment>
    <comment ref="P18" authorId="0" shapeId="0">
      <text>
        <t>FY2025 10-K</t>
      </text>
    </comment>
    <comment ref="B19" authorId="0" shapeId="0">
      <text>
        <t>Should sum to 100%; n/d cells treated as 0.</t>
      </text>
    </comment>
    <comment ref="C19" authorId="0" shapeId="0">
      <text>
        <t>Should sum to 100%; n/d cells treated as 0.</t>
      </text>
    </comment>
    <comment ref="D19" authorId="0" shapeId="0">
      <text>
        <t>Should sum to 100%; n/d cells treated as 0.</t>
      </text>
    </comment>
    <comment ref="F19" authorId="0" shapeId="0">
      <text>
        <t>Should sum to 100%; n/d cells treated as 0.</t>
      </text>
    </comment>
    <comment ref="G19" authorId="0" shapeId="0">
      <text>
        <t>Should sum to 100%; n/d cells treated as 0.</t>
      </text>
    </comment>
    <comment ref="H19" authorId="0" shapeId="0">
      <text>
        <t>Should sum to 100%; n/d cells treated as 0.</t>
      </text>
    </comment>
    <comment ref="I19" authorId="0" shapeId="0">
      <text>
        <t>Should sum to 100%; n/d cells treated as 0.</t>
      </text>
    </comment>
    <comment ref="K19" authorId="0" shapeId="0">
      <text>
        <t>Should sum to 100%; n/d cells treated as 0.</t>
      </text>
    </comment>
    <comment ref="L19" authorId="0" shapeId="0">
      <text>
        <t>Should sum to 100%; n/d cells treated as 0.</t>
      </text>
    </comment>
    <comment ref="M19" authorId="0" shapeId="0">
      <text>
        <t>Should sum to 100%; n/d cells treated as 0.</t>
      </text>
    </comment>
    <comment ref="N19" authorId="0" shapeId="0">
      <text>
        <t>Should sum to 100%; n/d cells treated as 0.</t>
      </text>
    </comment>
    <comment ref="P19" authorId="0" shapeId="0">
      <text>
        <t>Should sum to 100%; n/d cells treated as 0.</t>
      </text>
    </comment>
    <comment ref="E24" authorId="0" shapeId="0">
      <text>
        <t>Q4 NOT derivable from period %.</t>
      </text>
    </comment>
    <comment ref="F24" authorId="0" shapeId="0">
      <text>
        <t>FY2023 10-K Concentrations of Risk</t>
      </text>
    </comment>
    <comment ref="I24" authorId="0" shapeId="0">
      <text>
        <t>Q3 2024 10-Q (3M)</t>
      </text>
    </comment>
    <comment ref="J24" authorId="0" shapeId="0">
      <text>
        <t>Q4 NOT derivable from period %.</t>
      </text>
    </comment>
    <comment ref="K24" authorId="0" shapeId="0">
      <text>
        <t>FY2024 10-K</t>
      </text>
    </comment>
    <comment ref="M24" authorId="0" shapeId="0">
      <text>
        <t>Q2 2025 10-Q (3M)</t>
      </text>
    </comment>
    <comment ref="N24" authorId="0" shapeId="0">
      <text>
        <t>Q3 2025 10-Q (3M)</t>
      </text>
    </comment>
    <comment ref="O24" authorId="0" shapeId="0">
      <text>
        <t>Q4 NOT derivable from period %.</t>
      </text>
    </comment>
    <comment ref="P24" authorId="0" shapeId="0">
      <text>
        <t>FY2025 10-K</t>
      </text>
    </comment>
    <comment ref="E25" authorId="0" shapeId="0">
      <text>
        <t>Q4 NOT derivable from period %.</t>
      </text>
    </comment>
    <comment ref="I25" authorId="0" shapeId="0">
      <text>
        <t>Q3 2024 10-Q (9M)</t>
      </text>
    </comment>
    <comment ref="J25" authorId="0" shapeId="0">
      <text>
        <t>Q4 NOT derivable from period %.</t>
      </text>
    </comment>
    <comment ref="M25" authorId="0" shapeId="0">
      <text>
        <t>Q2 2025 10-Q (6M)</t>
      </text>
    </comment>
    <comment ref="N25" authorId="0" shapeId="0">
      <text>
        <t>Q3 2025 10-Q (9M)</t>
      </text>
    </comment>
    <comment ref="O25" authorId="0" shapeId="0">
      <text>
        <t>Q4 NOT derivable from period %.</t>
      </text>
    </comment>
    <comment ref="L30" authorId="0" shapeId="0">
      <text>
        <t>Residual = Total Revenue (Section 1) - acquired brands.</t>
      </text>
    </comment>
    <comment ref="M30" authorId="0" shapeId="0">
      <text>
        <t>Residual = Total Revenue (Section 1) - acquired brands.</t>
      </text>
    </comment>
    <comment ref="N30" authorId="0" shapeId="0">
      <text>
        <t>Residual = Total Revenue (Section 1) - acquired brands.</t>
      </text>
    </comment>
    <comment ref="O30" authorId="0" shapeId="0">
      <text>
        <t>Residual = Total Revenue (Section 1) - acquired brands.</t>
      </text>
    </comment>
    <comment ref="P30" authorId="0" shapeId="0">
      <text>
        <t>Residual = Total Revenue (Section 1) - acquired brands.</t>
      </text>
    </comment>
    <comment ref="L31" authorId="0" shapeId="0">
      <text>
        <t>Pre-acquisition (closed April 1, 2025).</t>
      </text>
    </comment>
    <comment ref="M31" authorId="0" shapeId="0">
      <text>
        <t>Q2 2025 10-Q Note 5: '$301.2 million from Closing Date through June 30, 2025.'</t>
      </text>
    </comment>
    <comment ref="N31" authorId="0" shapeId="0">
      <text>
        <t>Q3 2025 10-Q MD&amp;A. Cross-check Item 4 = 35.3% x 9M revenue.</t>
      </text>
    </comment>
    <comment ref="O31" authorId="0" shapeId="0">
      <text>
        <t>Q4 Alani Nu derived as FY - Q1 - Q2 - Q3.</t>
      </text>
    </comment>
    <comment ref="P31" authorId="0" shapeId="0">
      <text>
        <t>FY2025 10-K Note 5: '$1,001.9 million from Closing Date through Dec 31, 2025.' Item 9A: 39.8% of consolidated revenue.</t>
      </text>
    </comment>
    <comment ref="L32" authorId="0" shapeId="0">
      <text>
        <t>Pre-acquisition (closed August 28, 2025).</t>
      </text>
    </comment>
    <comment ref="M32" authorId="0" shapeId="0">
      <text>
        <t>Pre-acquisition.</t>
      </text>
    </comment>
    <comment ref="N32" authorId="0" shapeId="0">
      <text>
        <t>Q3 2025 10-Q Note 5: '$12.2 million Aug 28 - Sep 30.'</t>
      </text>
    </comment>
    <comment ref="O32" authorId="0" shapeId="0">
      <text>
        <t>Q4 Rockstar derived as FY - Q1 - Q2 - Q3.</t>
      </text>
    </comment>
    <comment ref="P32" authorId="0" shapeId="0">
      <text>
        <t>FY2025 10-K Note 5: '$55.6 million from Closing Date through Dec 31, 2025.' Item 9A: 2.2% of consolidated revenue.</t>
      </text>
    </comment>
    <comment ref="L33" authorId="0" shapeId="0">
      <text>
        <t>Links to Section 1 Total (L10).</t>
      </text>
    </comment>
    <comment ref="M33" authorId="0" shapeId="0">
      <text>
        <t>Links to Section 1 Total (M10).</t>
      </text>
    </comment>
    <comment ref="N33" authorId="0" shapeId="0">
      <text>
        <t>Links to Section 1 Total (N10).</t>
      </text>
    </comment>
    <comment ref="O33" authorId="0" shapeId="0">
      <text>
        <t>Links to Section 1 Total (O10).</t>
      </text>
    </comment>
    <comment ref="P33" authorId="0" shapeId="0">
      <text>
        <t>Links to Section 1 Total (P10).</t>
      </text>
    </comment>
    <comment ref="L34" authorId="0" shapeId="0">
      <text>
        <t>% Alani Nu.</t>
      </text>
    </comment>
    <comment ref="M34" authorId="0" shapeId="0">
      <text>
        <t>% Alani Nu.</t>
      </text>
    </comment>
    <comment ref="N34" authorId="0" shapeId="0">
      <text>
        <t>% Alani Nu.</t>
      </text>
    </comment>
    <comment ref="O34" authorId="0" shapeId="0">
      <text>
        <t>% Alani Nu.</t>
      </text>
    </comment>
    <comment ref="P34" authorId="0" shapeId="0">
      <text>
        <t>% Alani Nu.</t>
      </text>
    </comment>
    <comment ref="B39" authorId="0" shapeId="0">
      <text>
        <t>Q3 2025 10-Q N5: actual reported revenue.</t>
      </text>
    </comment>
    <comment ref="C39" authorId="0" shapeId="0">
      <text>
        <t>Q3 2025 10-Q N5: actual reported revenue.</t>
      </text>
    </comment>
    <comment ref="D39" authorId="0" shapeId="0">
      <text>
        <t>Q3 2025 10-Q N5: actual reported revenue.</t>
      </text>
    </comment>
    <comment ref="E39" authorId="0" shapeId="0">
      <text>
        <t>Q3 2025 10-Q N5: actual reported revenue.</t>
      </text>
    </comment>
    <comment ref="F39" authorId="0" shapeId="0">
      <text>
        <t>FY2025 10-K N5: actual reported revenue.</t>
      </text>
    </comment>
    <comment ref="G39" authorId="0" shapeId="0">
      <text>
        <t>FY2025 10-K N5: actual reported revenue.</t>
      </text>
    </comment>
    <comment ref="B40" authorId="0" shapeId="0">
      <text>
        <t>Q3 2025 10-Q N5: pro forma revenue.</t>
      </text>
    </comment>
    <comment ref="C40" authorId="0" shapeId="0">
      <text>
        <t>Q3 2025 10-Q N5. Diff = ~2 missing months Rockstar.: pro forma revenue.</t>
      </text>
    </comment>
    <comment ref="D40" authorId="0" shapeId="0">
      <text>
        <t>Q3 2025 10-Q N5: pro forma revenue.</t>
      </text>
    </comment>
    <comment ref="E40" authorId="0" shapeId="0">
      <text>
        <t>Q3 2025 10-Q N5. Diff = Alani Q1 + Rockstar Jan-Aug 27.: pro forma revenue.</t>
      </text>
    </comment>
    <comment ref="F40" authorId="0" shapeId="0">
      <text>
        <t>FY2025 10-K N5. Implied: ~$962M full-year combined in 2024.: pro forma revenue.</t>
      </text>
    </comment>
    <comment ref="G40" authorId="0" shapeId="0">
      <text>
        <t>FY2025 10-K N5. Implied: ~$488M additional from full-year ownership.: pro forma revenue.</t>
      </text>
    </comment>
    <comment ref="B41" authorId="0" shapeId="0">
      <text>
        <t>Pro forma - actual = revenue from acquisitions in periods not yet owned.</t>
      </text>
    </comment>
    <comment ref="C41" authorId="0" shapeId="0">
      <text>
        <t>Pro forma - actual = revenue from acquisitions in periods not yet owned.</t>
      </text>
    </comment>
    <comment ref="D41" authorId="0" shapeId="0">
      <text>
        <t>Pro forma - actual = revenue from acquisitions in periods not yet owned.</t>
      </text>
    </comment>
    <comment ref="E41" authorId="0" shapeId="0">
      <text>
        <t>Pro forma - actual = revenue from acquisitions in periods not yet owned.</t>
      </text>
    </comment>
    <comment ref="F41" authorId="0" shapeId="0">
      <text>
        <t>Pro forma - actual = revenue from acquisitions in periods not yet owned.</t>
      </text>
    </comment>
    <comment ref="G41" authorId="0" shapeId="0">
      <text>
        <t>Pro forma - actual = revenue from acquisitions in periods not yet owned.</t>
      </text>
    </comment>
    <comment ref="C42" authorId="0" shapeId="0">
      <text>
        <t>Pro forma YoY growth (apples-to-apples).</t>
      </text>
    </comment>
    <comment ref="E42" authorId="0" shapeId="0">
      <text>
        <t>Pro forma YoY growth (apples-to-apples).</t>
      </text>
    </comment>
    <comment ref="G42" authorId="0" shapeId="0">
      <text>
        <t>Pro forma YoY growth (apples-to-apples).</t>
      </text>
    </comment>
    <comment ref="B47" authorId="0" shapeId="0">
      <text>
        <t>Q1 2023 10-Q</t>
      </text>
    </comment>
    <comment ref="C47" authorId="0" shapeId="0">
      <text>
        <t>Q2 2023 10-Q</t>
      </text>
    </comment>
    <comment ref="D47" authorId="0" shapeId="0">
      <text>
        <t>Q3 2023 10-Q</t>
      </text>
    </comment>
    <comment ref="E47" authorId="0" shapeId="0">
      <text>
        <t>Q4 2023 SG&amp;A = FY - Q1 - Q2 - Q3.</t>
      </text>
    </comment>
    <comment ref="F47" authorId="0" shapeId="0">
      <text>
        <t>FY2023 10-K</t>
      </text>
    </comment>
    <comment ref="G47" authorId="0" shapeId="0">
      <text>
        <t>Q1 2024 10-Q</t>
      </text>
    </comment>
    <comment ref="H47" authorId="0" shapeId="0">
      <text>
        <t>Q2 2024 10-Q</t>
      </text>
    </comment>
    <comment ref="I47" authorId="0" shapeId="0">
      <text>
        <t>Q3 2024 10-Q</t>
      </text>
    </comment>
    <comment ref="J47" authorId="0" shapeId="0">
      <text>
        <t>Q4 2024 SG&amp;A = FY - Q1 - Q2 - Q3.</t>
      </text>
    </comment>
    <comment ref="K47" authorId="0" shapeId="0">
      <text>
        <t>FY2024 10-K</t>
      </text>
    </comment>
    <comment ref="L47" authorId="0" shapeId="0">
      <text>
        <t>Q1 2025 10-Q</t>
      </text>
    </comment>
    <comment ref="M47" authorId="0" shapeId="0">
      <text>
        <t>Q2 2025 10-Q</t>
      </text>
    </comment>
    <comment ref="N47" authorId="0" shapeId="0">
      <text>
        <t>Q3 2025 10-Q</t>
      </text>
    </comment>
    <comment ref="O47" authorId="0" shapeId="0">
      <text>
        <t>Q4 2025 SG&amp;A = FY - Q1 - Q2 - Q3.</t>
      </text>
    </comment>
    <comment ref="P47" authorId="0" shapeId="0">
      <text>
        <t>FY2025 10-K</t>
      </text>
    </comment>
    <comment ref="G48" authorId="0" shapeId="0">
      <text>
        <t>YoY Δ vs Q1 2023.</t>
      </text>
    </comment>
    <comment ref="H48" authorId="0" shapeId="0">
      <text>
        <t>YoY Δ vs Q2 2023.</t>
      </text>
    </comment>
    <comment ref="I48" authorId="0" shapeId="0">
      <text>
        <t>YoY Δ vs Q3 2023.</t>
      </text>
    </comment>
    <comment ref="J48" authorId="0" shapeId="0">
      <text>
        <t>YoY Δ vs Q4 2023.</t>
      </text>
    </comment>
    <comment ref="K48" authorId="0" shapeId="0">
      <text>
        <t>YoY Δ vs FY2023.</t>
      </text>
    </comment>
    <comment ref="L48" authorId="0" shapeId="0">
      <text>
        <t>YoY Δ vs Q1 2024.</t>
      </text>
    </comment>
    <comment ref="M48" authorId="0" shapeId="0">
      <text>
        <t>YoY Δ vs Q2 2024.</t>
      </text>
    </comment>
    <comment ref="N48" authorId="0" shapeId="0">
      <text>
        <t>YoY Δ vs Q3 2024.</t>
      </text>
    </comment>
    <comment ref="O48" authorId="0" shapeId="0">
      <text>
        <t>YoY Δ vs Q4 2024.</t>
      </text>
    </comment>
    <comment ref="P48" authorId="0" shapeId="0">
      <text>
        <t>YoY Δ vs FY2024.</t>
      </text>
    </comment>
    <comment ref="B50" authorId="0" shapeId="0">
      <text>
        <t>M&amp;S subtotal = sum of M&amp;S driver rows.</t>
      </text>
    </comment>
    <comment ref="C50" authorId="0" shapeId="0">
      <text>
        <t>M&amp;S subtotal = sum of M&amp;S driver rows.</t>
      </text>
    </comment>
    <comment ref="D50" authorId="0" shapeId="0">
      <text>
        <t>M&amp;S subtotal = sum of M&amp;S driver rows.</t>
      </text>
    </comment>
    <comment ref="E50" authorId="0" shapeId="0">
      <text>
        <t>M&amp;S subtotal = sum of M&amp;S driver rows.</t>
      </text>
    </comment>
    <comment ref="F50" authorId="0" shapeId="0">
      <text>
        <t>M&amp;S subtotal = sum of M&amp;S driver rows.</t>
      </text>
    </comment>
    <comment ref="G50" authorId="0" shapeId="0">
      <text>
        <t>M&amp;S subtotal = sum of M&amp;S driver rows.</t>
      </text>
    </comment>
    <comment ref="H50" authorId="0" shapeId="0">
      <text>
        <t>M&amp;S subtotal = sum of M&amp;S driver rows.</t>
      </text>
    </comment>
    <comment ref="I50" authorId="0" shapeId="0">
      <text>
        <t>M&amp;S subtotal = sum of M&amp;S driver rows.</t>
      </text>
    </comment>
    <comment ref="J50" authorId="0" shapeId="0">
      <text>
        <t>M&amp;S subtotal = sum of M&amp;S driver rows.</t>
      </text>
    </comment>
    <comment ref="K50" authorId="0" shapeId="0">
      <text>
        <t>M&amp;S subtotal = sum of M&amp;S driver rows.</t>
      </text>
    </comment>
    <comment ref="L50" authorId="0" shapeId="0">
      <text>
        <t>M&amp;S subtotal = sum of M&amp;S driver rows.</t>
      </text>
    </comment>
    <comment ref="M50" authorId="0" shapeId="0">
      <text>
        <t>M&amp;S subtotal = sum of M&amp;S driver rows.</t>
      </text>
    </comment>
    <comment ref="N50" authorId="0" shapeId="0">
      <text>
        <t>M&amp;S subtotal = sum of M&amp;S driver rows.</t>
      </text>
    </comment>
    <comment ref="O50" authorId="0" shapeId="0">
      <text>
        <t>M&amp;S subtotal = sum of M&amp;S driver rows.</t>
      </text>
    </comment>
    <comment ref="P50" authorId="0" shapeId="0">
      <text>
        <t>M&amp;S subtotal = sum of M&amp;S driver rows.</t>
      </text>
    </comment>
    <comment ref="B51" authorId="0" shapeId="0">
      <text>
        <t>Q1 2023 10-Q MD&amp;A: SG&amp;A $68.9M (+$25.1M YoY). Marketing +$16.5M; Storage -$3.0M; Employee +$3.6M; Admin +$5.5M (audit/legal/insurance/rent); Stock comp +$1.2M; Other (R&amp;D/D&amp;A/use+excise tax) +$1.4M.</t>
      </text>
    </comment>
    <comment ref="C51" authorId="0" shapeId="0">
      <text>
        <t>Q2 2023 10-Q MD&amp;A: SG&amp;A $94.2M (+$47.3M YoY, +101%). Marketing +$21.7M; Storage +$3.0M; Employee +$1.8M; Admin +$15.0M (audit/legal/legal settlements/insurance/rent); Stock comp +$1.5M; Other (D&amp;A/R&amp;D/use+excise/other selling) +$4.3M.</t>
      </text>
    </comment>
    <comment ref="D51" authorId="0" shapeId="0">
      <text>
        <t>Q3 2023 10-Q MD&amp;A: SG&amp;A $96.4M (-$129.8M YoY, -57%). Distributor termination -$149.5M (vs 2022's $193.8M one-time); Marketing +$21.2M; Storage +$2.2M; Employee +$3.9M; Admin -$6.3M (down to $11.3M; mainly $7.8M litigation settlement in 2022); Stock comp -$1.3M (forfeitures).</t>
      </text>
    </comment>
    <comment ref="E51" authorId="0" shapeId="0">
      <text>
        <t>Q4 2023 Marketing investments / campaigns derived as FY - 9M YTD. FY src: FY2023 10-K MD&amp;A: SG&amp;A $366.8M (-$61.9M YoY, -14%). Distributor termination -$181.0M (vs 2022 $193.8M); Marketing +$75.0M; Storage +$12.1M; Employee +$13.4M; Admin +$18.0M (+45%, up to $57.9M); Stock comp +$0.6M.; 9M src: Q3 2023 10-Q 9M walk: SG&amp;A $259.5M (-$57.4M YoY). Distributor termination -$141.6M; Marketing +$59.3M; Employee +$9.3M; Admin +$14.1M (+33%, up to $43.2M); Stock comp +$1.4M..</t>
      </text>
    </comment>
    <comment ref="F51" authorId="0" shapeId="0">
      <text>
        <t>FY2023 10-K MD&amp;A: SG&amp;A $366.8M (-$61.9M YoY, -14%). Distributor termination -$181.0M (vs 2022 $193.8M); Marketing +$75.0M; Storage +$12.1M; Employee +$13.4M; Admin +$18.0M (+45%, up to $57.9M); Stock comp +$0.6M.</t>
      </text>
    </comment>
    <comment ref="G51" authorId="0" shapeId="0">
      <text>
        <t>Q1 2024 10-Q MD&amp;A: SG&amp;A $99.0M (+$30.1M YoY, +44%). Marketing +$14.4M; Storage +$4.5M; Employee +$7.6M; Other selling +$2.7M; Admin +$2.8M (consulting); Stock comp -$1.9M.</t>
      </text>
    </comment>
    <comment ref="H51" authorId="0" shapeId="0">
      <text>
        <t>Q2 2024 10-Q MD&amp;A: SG&amp;A $114.9M (+$20.7M YoY, +22%). Marketing +$22.9M; Employee +$9.7M; Admin -$10.4M (lower consulting); Stock comp -$1.0M; Other (storage/R&amp;D/D&amp;A) -$0.5M.</t>
      </text>
    </comment>
    <comment ref="I51" authorId="0" shapeId="0">
      <text>
        <t>Q3 2024 10-Q MD&amp;A: SG&amp;A $125.4M (+$29.0M YoY, +30%). Marketing +$17.5M; Employee +$9.3M; Other SG&amp;A +$2.2M. Less granular bucket breakdown.</t>
      </text>
    </comment>
    <comment ref="J51" authorId="0" shapeId="0">
      <text>
        <t>Q4 2024 Marketing investments / campaigns derived as FY - 9M YTD. FY src: FY2024 10-K MD&amp;A: SG&amp;A $524.5M (+$157.7M YoY, +43%). Marketing +$61.5M; Employee +$35.5M; Legal accrual +$52.8M (one-time loss contingency); Other (write-offs/restructuring/co-packer/acq) +$20.3M, partially offset by Other -$12.4M = net Other +$7.9M.; 9M src: Q3 2024 10-Q 9M walk: SG&amp;A $339.3M (+$79.8M YoY, +31%). Marketing +$56.0M; Employee +$26.6M; All other SG&amp;A -$2.8M..</t>
      </text>
    </comment>
    <comment ref="K51" authorId="0" shapeId="0">
      <text>
        <t>FY2024 10-K MD&amp;A: SG&amp;A $524.5M (+$157.7M YoY, +43%). Marketing +$61.5M; Employee +$35.5M; Legal accrual +$52.8M (one-time loss contingency); Other (write-offs/restructuring/co-packer/acq) +$20.3M, partially offset by Other -$12.4M = net Other +$7.9M.</t>
      </text>
    </comment>
    <comment ref="L51" authorId="0" shapeId="0">
      <text>
        <t>Q1 2025 10-Q MD&amp;A: SG&amp;A $120.3M (+$21.3M YoY, +22%). Admin +$12.1M (acquisition transaction &amp; legal expenses); Employee +$4.9M; Marketing +$2.8M; All other +$1.5M. Pre-Alani close (April 1, 2025).</t>
      </text>
    </comment>
    <comment ref="M51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51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51" authorId="0" shapeId="0">
      <text>
        <t>Q4 2025 Marketing investments / campaigns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51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B52" authorId="0" shapeId="0">
      <text>
        <t>Q1 2023 10-Q MD&amp;A: SG&amp;A $68.9M (+$25.1M YoY). Marketing +$16.5M; Storage -$3.0M; Employee +$3.6M; Admin +$5.5M (audit/legal/insurance/rent); Stock comp +$1.2M; Other (R&amp;D/D&amp;A/use+excise tax) +$1.4M.</t>
      </text>
    </comment>
    <comment ref="C52" authorId="0" shapeId="0">
      <text>
        <t>Q2 2023 10-Q MD&amp;A: SG&amp;A $94.2M (+$47.3M YoY, +101%). Marketing +$21.7M; Storage +$3.0M; Employee +$1.8M; Admin +$15.0M (audit/legal/legal settlements/insurance/rent); Stock comp +$1.5M; Other (D&amp;A/R&amp;D/use+excise/other selling) +$4.3M.</t>
      </text>
    </comment>
    <comment ref="D52" authorId="0" shapeId="0">
      <text>
        <t>Q3 2023 10-Q MD&amp;A: SG&amp;A $96.4M (-$129.8M YoY, -57%). Distributor termination -$149.5M (vs 2022's $193.8M one-time); Marketing +$21.2M; Storage +$2.2M; Employee +$3.9M; Admin -$6.3M (down to $11.3M; mainly $7.8M litigation settlement in 2022); Stock comp -$1.3M (forfeitures).</t>
      </text>
    </comment>
    <comment ref="E52" authorId="0" shapeId="0">
      <text>
        <t>Q4 2023 Storage / Distribution derived as FY - 9M YTD. FY src: FY2023 10-K MD&amp;A: SG&amp;A $366.8M (-$61.9M YoY, -14%). Distributor termination -$181.0M (vs 2022 $193.8M); Marketing +$75.0M; Storage +$12.1M; Employee +$13.4M; Admin +$18.0M (+45%, up to $57.9M); Stock comp +$0.6M.; 9M src: Q3 2023 10-Q 9M walk: SG&amp;A $259.5M (-$57.4M YoY). Distributor termination -$141.6M; Marketing +$59.3M; Employee +$9.3M; Admin +$14.1M (+33%, up to $43.2M); Stock comp +$1.4M..</t>
      </text>
    </comment>
    <comment ref="F52" authorId="0" shapeId="0">
      <text>
        <t>FY2023 10-K MD&amp;A: SG&amp;A $366.8M (-$61.9M YoY, -14%). Distributor termination -$181.0M (vs 2022 $193.8M); Marketing +$75.0M; Storage +$12.1M; Employee +$13.4M; Admin +$18.0M (+45%, up to $57.9M); Stock comp +$0.6M.</t>
      </text>
    </comment>
    <comment ref="G52" authorId="0" shapeId="0">
      <text>
        <t>Q1 2024 10-Q MD&amp;A: SG&amp;A $99.0M (+$30.1M YoY, +44%). Marketing +$14.4M; Storage +$4.5M; Employee +$7.6M; Other selling +$2.7M; Admin +$2.8M (consulting); Stock comp -$1.9M.</t>
      </text>
    </comment>
    <comment ref="B53" authorId="0" shapeId="0">
      <text>
        <t>Q1 2023 10-Q MD&amp;A: SG&amp;A $68.9M (+$25.1M YoY). Marketing +$16.5M; Storage -$3.0M; Employee +$3.6M; Admin +$5.5M (audit/legal/insurance/rent); Stock comp +$1.2M; Other (R&amp;D/D&amp;A/use+excise tax) +$1.4M.</t>
      </text>
    </comment>
    <comment ref="C53" authorId="0" shapeId="0">
      <text>
        <t>Q2 2023 10-Q MD&amp;A: SG&amp;A $94.2M (+$47.3M YoY, +101%). Marketing +$21.7M; Storage +$3.0M; Employee +$1.8M; Admin +$15.0M (audit/legal/legal settlements/insurance/rent); Stock comp +$1.5M; Other (D&amp;A/R&amp;D/use+excise/other selling) +$4.3M.</t>
      </text>
    </comment>
    <comment ref="D53" authorId="0" shapeId="0">
      <text>
        <t>Q3 2023 10-Q MD&amp;A: SG&amp;A $96.4M (-$129.8M YoY, -57%). Distributor termination -$149.5M (vs 2022's $193.8M one-time); Marketing +$21.2M; Storage +$2.2M; Employee +$3.9M; Admin -$6.3M (down to $11.3M; mainly $7.8M litigation settlement in 2022); Stock comp -$1.3M (forfeitures).</t>
      </text>
    </comment>
    <comment ref="E53" authorId="0" shapeId="0">
      <text>
        <t>Q4 2023 Sales/Marketing Employee derived as FY - 9M YTD. FY src: FY2023 10-K MD&amp;A: SG&amp;A $366.8M (-$61.9M YoY, -14%). Distributor termination -$181.0M (vs 2022 $193.8M); Marketing +$75.0M; Storage +$12.1M; Employee +$13.4M; Admin +$18.0M (+45%, up to $57.9M); Stock comp +$0.6M.; 9M src: Q3 2023 10-Q 9M walk: SG&amp;A $259.5M (-$57.4M YoY). Distributor termination -$141.6M; Marketing +$59.3M; Employee +$9.3M; Admin +$14.1M (+33%, up to $43.2M); Stock comp +$1.4M..</t>
      </text>
    </comment>
    <comment ref="F53" authorId="0" shapeId="0">
      <text>
        <t>FY2023 10-K MD&amp;A: SG&amp;A $366.8M (-$61.9M YoY, -14%). Distributor termination -$181.0M (vs 2022 $193.8M); Marketing +$75.0M; Storage +$12.1M; Employee +$13.4M; Admin +$18.0M (+45%, up to $57.9M); Stock comp +$0.6M.</t>
      </text>
    </comment>
    <comment ref="G53" authorId="0" shapeId="0">
      <text>
        <t>Q1 2024 10-Q MD&amp;A: SG&amp;A $99.0M (+$30.1M YoY, +44%). Marketing +$14.4M; Storage +$4.5M; Employee +$7.6M; Other selling +$2.7M; Admin +$2.8M (consulting); Stock comp -$1.9M.</t>
      </text>
    </comment>
    <comment ref="H53" authorId="0" shapeId="0">
      <text>
        <t>Q2 2024 10-Q MD&amp;A: SG&amp;A $114.9M (+$20.7M YoY, +22%). Marketing +$22.9M; Employee +$9.7M; Admin -$10.4M (lower consulting); Stock comp -$1.0M; Other (storage/R&amp;D/D&amp;A) -$0.5M.</t>
      </text>
    </comment>
    <comment ref="I53" authorId="0" shapeId="0">
      <text>
        <t>Q3 2024 10-Q MD&amp;A: SG&amp;A $125.4M (+$29.0M YoY, +30%). Marketing +$17.5M; Employee +$9.3M; Other SG&amp;A +$2.2M. Less granular bucket breakdown.</t>
      </text>
    </comment>
    <comment ref="J53" authorId="0" shapeId="0">
      <text>
        <t>Q4 2024 Sales/Marketing Employee derived as FY - 9M YTD. FY src: FY2024 10-K MD&amp;A: SG&amp;A $524.5M (+$157.7M YoY, +43%). Marketing +$61.5M; Employee +$35.5M; Legal accrual +$52.8M (one-time loss contingency); Other (write-offs/restructuring/co-packer/acq) +$20.3M, partially offset by Other -$12.4M = net Other +$7.9M.; 9M src: Q3 2024 10-Q 9M walk: SG&amp;A $339.3M (+$79.8M YoY, +31%). Marketing +$56.0M; Employee +$26.6M; All other SG&amp;A -$2.8M..</t>
      </text>
    </comment>
    <comment ref="K53" authorId="0" shapeId="0">
      <text>
        <t>FY2024 10-K MD&amp;A: SG&amp;A $524.5M (+$157.7M YoY, +43%). Marketing +$61.5M; Employee +$35.5M; Legal accrual +$52.8M (one-time loss contingency); Other (write-offs/restructuring/co-packer/acq) +$20.3M, partially offset by Other -$12.4M = net Other +$7.9M.</t>
      </text>
    </comment>
    <comment ref="L53" authorId="0" shapeId="0">
      <text>
        <t>Q1 2025 10-Q MD&amp;A: SG&amp;A $120.3M (+$21.3M YoY, +22%). Admin +$12.1M (acquisition transaction &amp; legal expenses); Employee +$4.9M; Marketing +$2.8M; All other +$1.5M. Pre-Alani close (April 1, 2025).</t>
      </text>
    </comment>
    <comment ref="M53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53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53" authorId="0" shapeId="0">
      <text>
        <t>Q4 2025 Sales/Marketing Employee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53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M54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54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54" authorId="0" shapeId="0">
      <text>
        <t>Q4 2025 Alani attributable (M&amp;S)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54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G55" authorId="0" shapeId="0">
      <text>
        <t>Q1 2024 10-Q MD&amp;A: SG&amp;A $99.0M (+$30.1M YoY, +44%). Marketing +$14.4M; Storage +$4.5M; Employee +$7.6M; Other selling +$2.7M; Admin +$2.8M (consulting); Stock comp -$1.9M.</t>
      </text>
    </comment>
    <comment ref="M55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55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55" authorId="0" shapeId="0">
      <text>
        <t>Q4 2025 Other selling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55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B57" authorId="0" shapeId="0">
      <text>
        <t>G&amp;A subtotal = sum of G&amp;A driver rows.</t>
      </text>
    </comment>
    <comment ref="C57" authorId="0" shapeId="0">
      <text>
        <t>G&amp;A subtotal = sum of G&amp;A driver rows.</t>
      </text>
    </comment>
    <comment ref="D57" authorId="0" shapeId="0">
      <text>
        <t>G&amp;A subtotal = sum of G&amp;A driver rows.</t>
      </text>
    </comment>
    <comment ref="E57" authorId="0" shapeId="0">
      <text>
        <t>G&amp;A subtotal = sum of G&amp;A driver rows.</t>
      </text>
    </comment>
    <comment ref="F57" authorId="0" shapeId="0">
      <text>
        <t>G&amp;A subtotal = sum of G&amp;A driver rows.</t>
      </text>
    </comment>
    <comment ref="G57" authorId="0" shapeId="0">
      <text>
        <t>G&amp;A subtotal = sum of G&amp;A driver rows.</t>
      </text>
    </comment>
    <comment ref="H57" authorId="0" shapeId="0">
      <text>
        <t>G&amp;A subtotal = sum of G&amp;A driver rows.</t>
      </text>
    </comment>
    <comment ref="I57" authorId="0" shapeId="0">
      <text>
        <t>G&amp;A subtotal = sum of G&amp;A driver rows.</t>
      </text>
    </comment>
    <comment ref="J57" authorId="0" shapeId="0">
      <text>
        <t>G&amp;A subtotal = sum of G&amp;A driver rows.</t>
      </text>
    </comment>
    <comment ref="K57" authorId="0" shapeId="0">
      <text>
        <t>G&amp;A subtotal = sum of G&amp;A driver rows.</t>
      </text>
    </comment>
    <comment ref="L57" authorId="0" shapeId="0">
      <text>
        <t>G&amp;A subtotal = sum of G&amp;A driver rows.</t>
      </text>
    </comment>
    <comment ref="M57" authorId="0" shapeId="0">
      <text>
        <t>G&amp;A subtotal = sum of G&amp;A driver rows.</t>
      </text>
    </comment>
    <comment ref="N57" authorId="0" shapeId="0">
      <text>
        <t>G&amp;A subtotal = sum of G&amp;A driver rows.</t>
      </text>
    </comment>
    <comment ref="O57" authorId="0" shapeId="0">
      <text>
        <t>G&amp;A subtotal = sum of G&amp;A driver rows.</t>
      </text>
    </comment>
    <comment ref="P57" authorId="0" shapeId="0">
      <text>
        <t>G&amp;A subtotal = sum of G&amp;A driver rows.</t>
      </text>
    </comment>
    <comment ref="B58" authorId="0" shapeId="0">
      <text>
        <t>Q1 2023 10-Q MD&amp;A: SG&amp;A $68.9M (+$25.1M YoY). Marketing +$16.5M; Storage -$3.0M; Employee +$3.6M; Admin +$5.5M (audit/legal/insurance/rent); Stock comp +$1.2M; Other (R&amp;D/D&amp;A/use+excise tax) +$1.4M.</t>
      </text>
    </comment>
    <comment ref="C58" authorId="0" shapeId="0">
      <text>
        <t>Q2 2023 10-Q MD&amp;A: SG&amp;A $94.2M (+$47.3M YoY, +101%). Marketing +$21.7M; Storage +$3.0M; Employee +$1.8M; Admin +$15.0M (audit/legal/legal settlements/insurance/rent); Stock comp +$1.5M; Other (D&amp;A/R&amp;D/use+excise/other selling) +$4.3M.</t>
      </text>
    </comment>
    <comment ref="D58" authorId="0" shapeId="0">
      <text>
        <t>Q3 2023 10-Q MD&amp;A: SG&amp;A $96.4M (-$129.8M YoY, -57%). Distributor termination -$149.5M (vs 2022's $193.8M one-time); Marketing +$21.2M; Storage +$2.2M; Employee +$3.9M; Admin -$6.3M (down to $11.3M; mainly $7.8M litigation settlement in 2022); Stock comp -$1.3M (forfeitures).</t>
      </text>
    </comment>
    <comment ref="E58" authorId="0" shapeId="0">
      <text>
        <t>Q4 2023 Administrative expenses derived as FY - 9M YTD. FY src: FY2023 10-K MD&amp;A: SG&amp;A $366.8M (-$61.9M YoY, -14%). Distributor termination -$181.0M (vs 2022 $193.8M); Marketing +$75.0M; Storage +$12.1M; Employee +$13.4M; Admin +$18.0M (+45%, up to $57.9M); Stock comp +$0.6M.; 9M src: Q3 2023 10-Q 9M walk: SG&amp;A $259.5M (-$57.4M YoY). Distributor termination -$141.6M; Marketing +$59.3M; Employee +$9.3M; Admin +$14.1M (+33%, up to $43.2M); Stock comp +$1.4M..</t>
      </text>
    </comment>
    <comment ref="F58" authorId="0" shapeId="0">
      <text>
        <t>FY2023 10-K MD&amp;A: SG&amp;A $366.8M (-$61.9M YoY, -14%). Distributor termination -$181.0M (vs 2022 $193.8M); Marketing +$75.0M; Storage +$12.1M; Employee +$13.4M; Admin +$18.0M (+45%, up to $57.9M); Stock comp +$0.6M.</t>
      </text>
    </comment>
    <comment ref="G58" authorId="0" shapeId="0">
      <text>
        <t>Q1 2024 10-Q MD&amp;A: SG&amp;A $99.0M (+$30.1M YoY, +44%). Marketing +$14.4M; Storage +$4.5M; Employee +$7.6M; Other selling +$2.7M; Admin +$2.8M (consulting); Stock comp -$1.9M.</t>
      </text>
    </comment>
    <comment ref="H58" authorId="0" shapeId="0">
      <text>
        <t>Q2 2024 10-Q MD&amp;A: SG&amp;A $114.9M (+$20.7M YoY, +22%). Marketing +$22.9M; Employee +$9.7M; Admin -$10.4M (lower consulting); Stock comp -$1.0M; Other (storage/R&amp;D/D&amp;A) -$0.5M.</t>
      </text>
    </comment>
    <comment ref="L58" authorId="0" shapeId="0">
      <text>
        <t>Q1 2025 10-Q MD&amp;A: SG&amp;A $120.3M (+$21.3M YoY, +22%). Admin +$12.1M (acquisition transaction &amp; legal expenses); Employee +$4.9M; Marketing +$2.8M; All other +$1.5M. Pre-Alani close (April 1, 2025).</t>
      </text>
    </comment>
    <comment ref="M59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59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59" authorId="0" shapeId="0">
      <text>
        <t>Q4 2025 Acquisition / Integration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59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M60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60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60" authorId="0" shapeId="0">
      <text>
        <t>Q4 2025 Alani attributable (G&amp;A)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60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M61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O61" authorId="0" shapeId="0">
      <text>
        <t>Q4 2025 Contingent Consideration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61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J62" authorId="0" shapeId="0">
      <text>
        <t>Q4 2024 Legal Accrual derived as FY - 9M YTD. FY src: FY2024 10-K MD&amp;A: SG&amp;A $524.5M (+$157.7M YoY, +43%). Marketing +$61.5M; Employee +$35.5M; Legal accrual +$52.8M (one-time loss contingency); Other (write-offs/restructuring/co-packer/acq) +$20.3M, partially offset by Other -$12.4M = net Other +$7.9M.; 9M src: Q3 2024 10-Q 9M walk: SG&amp;A $339.3M (+$79.8M YoY, +31%). Marketing +$56.0M; Employee +$26.6M; All other SG&amp;A -$2.8M..</t>
      </text>
    </comment>
    <comment ref="K62" authorId="0" shapeId="0">
      <text>
        <t>FY2024 10-K MD&amp;A: SG&amp;A $524.5M (+$157.7M YoY, +43%). Marketing +$61.5M; Employee +$35.5M; Legal accrual +$52.8M (one-time loss contingency); Other (write-offs/restructuring/co-packer/acq) +$20.3M, partially offset by Other -$12.4M = net Other +$7.9M.</t>
      </text>
    </comment>
    <comment ref="O62" authorId="0" shapeId="0">
      <text>
        <t>Q4 2025 Legal Accrual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62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B63" authorId="0" shapeId="0">
      <text>
        <t>Q1 2023 10-Q MD&amp;A: SG&amp;A $68.9M (+$25.1M YoY). Marketing +$16.5M; Storage -$3.0M; Employee +$3.6M; Admin +$5.5M (audit/legal/insurance/rent); Stock comp +$1.2M; Other (R&amp;D/D&amp;A/use+excise tax) +$1.4M.</t>
      </text>
    </comment>
    <comment ref="C63" authorId="0" shapeId="0">
      <text>
        <t>Q2 2023 10-Q MD&amp;A: SG&amp;A $94.2M (+$47.3M YoY, +101%). Marketing +$21.7M; Storage +$3.0M; Employee +$1.8M; Admin +$15.0M (audit/legal/legal settlements/insurance/rent); Stock comp +$1.5M; Other (D&amp;A/R&amp;D/use+excise/other selling) +$4.3M.</t>
      </text>
    </comment>
    <comment ref="D63" authorId="0" shapeId="0">
      <text>
        <t>Q3 2023 10-Q MD&amp;A: SG&amp;A $96.4M (-$129.8M YoY, -57%). Distributor termination -$149.5M (vs 2022's $193.8M one-time); Marketing +$21.2M; Storage +$2.2M; Employee +$3.9M; Admin -$6.3M (down to $11.3M; mainly $7.8M litigation settlement in 2022); Stock comp -$1.3M (forfeitures).</t>
      </text>
    </comment>
    <comment ref="E63" authorId="0" shapeId="0">
      <text>
        <t>Q4 2023 Stock-based Compensation derived as FY - 9M YTD. FY src: FY2023 10-K MD&amp;A: SG&amp;A $366.8M (-$61.9M YoY, -14%). Distributor termination -$181.0M (vs 2022 $193.8M); Marketing +$75.0M; Storage +$12.1M; Employee +$13.4M; Admin +$18.0M (+45%, up to $57.9M); Stock comp +$0.6M.; 9M src: Q3 2023 10-Q 9M walk: SG&amp;A $259.5M (-$57.4M YoY). Distributor termination -$141.6M; Marketing +$59.3M; Employee +$9.3M; Admin +$14.1M (+33%, up to $43.2M); Stock comp +$1.4M..</t>
      </text>
    </comment>
    <comment ref="F63" authorId="0" shapeId="0">
      <text>
        <t>FY2023 10-K MD&amp;A: SG&amp;A $366.8M (-$61.9M YoY, -14%). Distributor termination -$181.0M (vs 2022 $193.8M); Marketing +$75.0M; Storage +$12.1M; Employee +$13.4M; Admin +$18.0M (+45%, up to $57.9M); Stock comp +$0.6M.</t>
      </text>
    </comment>
    <comment ref="G63" authorId="0" shapeId="0">
      <text>
        <t>Q1 2024 10-Q MD&amp;A: SG&amp;A $99.0M (+$30.1M YoY, +44%). Marketing +$14.4M; Storage +$4.5M; Employee +$7.6M; Other selling +$2.7M; Admin +$2.8M (consulting); Stock comp -$1.9M.</t>
      </text>
    </comment>
    <comment ref="H63" authorId="0" shapeId="0">
      <text>
        <t>Q2 2024 10-Q MD&amp;A: SG&amp;A $114.9M (+$20.7M YoY, +22%). Marketing +$22.9M; Employee +$9.7M; Admin -$10.4M (lower consulting); Stock comp -$1.0M; Other (storage/R&amp;D/D&amp;A) -$0.5M.</t>
      </text>
    </comment>
    <comment ref="B64" authorId="0" shapeId="0">
      <text>
        <t>Q1 2023 10-Q MD&amp;A: SG&amp;A $68.9M (+$25.1M YoY). Marketing +$16.5M; Storage -$3.0M; Employee +$3.6M; Admin +$5.5M (audit/legal/insurance/rent); Stock comp +$1.2M; Other (R&amp;D/D&amp;A/use+excise tax) +$1.4M.</t>
      </text>
    </comment>
    <comment ref="C64" authorId="0" shapeId="0">
      <text>
        <t>Q2 2023 10-Q MD&amp;A: SG&amp;A $94.2M (+$47.3M YoY, +101%). Marketing +$21.7M; Storage +$3.0M; Employee +$1.8M; Admin +$15.0M (audit/legal/legal settlements/insurance/rent); Stock comp +$1.5M; Other (D&amp;A/R&amp;D/use+excise/other selling) +$4.3M.</t>
      </text>
    </comment>
    <comment ref="H64" authorId="0" shapeId="0">
      <text>
        <t>Q2 2024 10-Q MD&amp;A: SG&amp;A $114.9M (+$20.7M YoY, +22%). Marketing +$22.9M; Employee +$9.7M; Admin -$10.4M (lower consulting); Stock comp -$1.0M; Other (storage/R&amp;D/D&amp;A) -$0.5M.</t>
      </text>
    </comment>
    <comment ref="I64" authorId="0" shapeId="0">
      <text>
        <t>Q3 2024 10-Q MD&amp;A: SG&amp;A $125.4M (+$29.0M YoY, +30%). Marketing +$17.5M; Employee +$9.3M; Other SG&amp;A +$2.2M. Less granular bucket breakdown.</t>
      </text>
    </comment>
    <comment ref="J64" authorId="0" shapeId="0">
      <text>
        <t>Q4 2024 Other admin derived as FY - 9M YTD. FY src: FY2024 10-K MD&amp;A: SG&amp;A $524.5M (+$157.7M YoY, +43%). Marketing +$61.5M; Employee +$35.5M; Legal accrual +$52.8M (one-time loss contingency); Other (write-offs/restructuring/co-packer/acq) +$20.3M, partially offset by Other -$12.4M = net Other +$7.9M.; 9M src: Q3 2024 10-Q 9M walk: SG&amp;A $339.3M (+$79.8M YoY, +31%). Marketing +$56.0M; Employee +$26.6M; All other SG&amp;A -$2.8M..</t>
      </text>
    </comment>
    <comment ref="K64" authorId="0" shapeId="0">
      <text>
        <t>FY2024 10-K MD&amp;A: SG&amp;A $524.5M (+$157.7M YoY, +43%). Marketing +$61.5M; Employee +$35.5M; Legal accrual +$52.8M (one-time loss contingency); Other (write-offs/restructuring/co-packer/acq) +$20.3M, partially offset by Other -$12.4M = net Other +$7.9M.</t>
      </text>
    </comment>
    <comment ref="L64" authorId="0" shapeId="0">
      <text>
        <t>Q1 2025 10-Q MD&amp;A: SG&amp;A $120.3M (+$21.3M YoY, +22%). Admin +$12.1M (acquisition transaction &amp; legal expenses); Employee +$4.9M; Marketing +$2.8M; All other +$1.5M. Pre-Alani close (April 1, 2025).</t>
      </text>
    </comment>
    <comment ref="M64" authorId="0" shapeId="0">
      <text>
        <t>Q2 2025 10-Q MD&amp;A: SG&amp;A $237.9M (+$123.0M YoY, +107%). M&amp;S +$60.6M (Alani $29.7M + Marketing $17.5M + Employee $7.9M + Other selling $5.5M). G&amp;A +$62.4M (Acquisition $16.0M + Alani $15.8M + Contingent $13.8M + Legal/consulting $11.7M + Other admin $5.1M = $16.8M combined other).</t>
      </text>
    </comment>
    <comment ref="N64" authorId="0" shapeId="0">
      <text>
        <t>Q3 2025 10-Q MD&amp;A: SG&amp;A $205.6M (+$80.2M YoY, +64%). M&amp;S +$47.9M (Alani $19.3M + Marketing 'Live.Fit.Go.' $17.8M + Employee $4.8M + Other selling $6.0M). G&amp;A +$32.3M (Acquisition/integration $15.3M + Alani $12.5M + Other admin $4.5M). Distributor Termination Fees of $246.7M shown SEPARATELY as new IS line.</t>
      </text>
    </comment>
    <comment ref="O64" authorId="0" shapeId="0">
      <text>
        <t>Q4 2025 Other admin derived as FY - 9M YTD. FY src: 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SEPARATELY.; 9M src: Q3 2025 10-Q 9M walk: SG&amp;A $563.8M (+$224.5M YoY, +66%). M&amp;S +$113.6M (Alani $49.0M + Marketing $38.1M + Employee $15.9M + Other selling $10.6M). G&amp;A +$110.9M (Acquisition $40.4M + Alani $28.3M + Other admin (D&amp;A/stock comp) $16.4M + Contingent $13.8M + Other G&amp;A (legal/consulting) $12.0M = $28.4M combined other admin)..</t>
      </text>
    </comment>
    <comment ref="P64" authorId="0" shapeId="0">
      <text>
        <t>FY2025 10-K MD&amp;A: SG&amp;A $798.8M (+$274.3M YoY, +52%). M&amp;S +$200.6M (Marketing $76.6M + Alani $65.0M + Employee $29.1M + Other selling $29.9M). G&amp;A +$73.7M (Alani $53.4M + Acquisition/integration $44.9M + Contingent $13.8M + Other G&amp;A $7.6M, OFFSET BY -$46.0M legal accrual reversal vs prior year booking). Distributor Termination Fees of $327.5M shown SEPARATELY.</t>
      </text>
    </comment>
    <comment ref="D66" authorId="0" shapeId="0">
      <text>
        <t>Q3 2023 10-Q MD&amp;A: SG&amp;A $96.4M (-$129.8M YoY, -57%). Distributor termination -$149.5M (vs 2022's $193.8M one-time); Marketing +$21.2M; Storage +$2.2M; Employee +$3.9M; Admin -$6.3M (down to $11.3M; mainly $7.8M litigation settlement in 2022); Stock comp -$1.3M (forfeitures).</t>
      </text>
    </comment>
    <comment ref="E66" authorId="0" shapeId="0">
      <text>
        <t>Q4 2023 distrib term derived as FY - 9M YTD.</t>
      </text>
    </comment>
    <comment ref="F66" authorId="0" shapeId="0">
      <text>
        <t>FY2023 10-K MD&amp;A: SG&amp;A $366.8M (-$61.9M YoY, -14%). Distributor termination -$181.0M (vs 2022 $193.8M); Marketing +$75.0M; Storage +$12.1M; Employee +$13.4M; Admin +$18.0M (+45%, up to $57.9M); Stock comp +$0.6M.</t>
      </text>
    </comment>
    <comment ref="B67" authorId="0" shapeId="0">
      <text>
        <t>Σ check = M&amp;S + G&amp;A + Distributor Term Δ; should approximate YoY Total Δ row above.</t>
      </text>
    </comment>
    <comment ref="C67" authorId="0" shapeId="0">
      <text>
        <t>Σ check = M&amp;S + G&amp;A + Distributor Term Δ; should approximate YoY Total Δ row above.</t>
      </text>
    </comment>
    <comment ref="D67" authorId="0" shapeId="0">
      <text>
        <t>Σ check = M&amp;S + G&amp;A + Distributor Term Δ; should approximate YoY Total Δ row above.</t>
      </text>
    </comment>
    <comment ref="E67" authorId="0" shapeId="0">
      <text>
        <t>Σ check = M&amp;S + G&amp;A + Distributor Term Δ; should approximate YoY Total Δ row above.</t>
      </text>
    </comment>
    <comment ref="F67" authorId="0" shapeId="0">
      <text>
        <t>Σ check = M&amp;S + G&amp;A + Distributor Term Δ; should approximate YoY Total Δ row above.</t>
      </text>
    </comment>
    <comment ref="G67" authorId="0" shapeId="0">
      <text>
        <t>Σ check = M&amp;S + G&amp;A + Distributor Term Δ; should approximate YoY Total Δ row above.</t>
      </text>
    </comment>
    <comment ref="H67" authorId="0" shapeId="0">
      <text>
        <t>Σ check = M&amp;S + G&amp;A + Distributor Term Δ; should approximate YoY Total Δ row above.</t>
      </text>
    </comment>
    <comment ref="I67" authorId="0" shapeId="0">
      <text>
        <t>Σ check = M&amp;S + G&amp;A + Distributor Term Δ; should approximate YoY Total Δ row above.</t>
      </text>
    </comment>
    <comment ref="J67" authorId="0" shapeId="0">
      <text>
        <t>Σ check = M&amp;S + G&amp;A + Distributor Term Δ; should approximate YoY Total Δ row above.</t>
      </text>
    </comment>
    <comment ref="K67" authorId="0" shapeId="0">
      <text>
        <t>Σ check = M&amp;S + G&amp;A + Distributor Term Δ; should approximate YoY Total Δ row above.</t>
      </text>
    </comment>
    <comment ref="L67" authorId="0" shapeId="0">
      <text>
        <t>Σ check = M&amp;S + G&amp;A + Distributor Term Δ; should approximate YoY Total Δ row above.</t>
      </text>
    </comment>
    <comment ref="M67" authorId="0" shapeId="0">
      <text>
        <t>Σ check = M&amp;S + G&amp;A + Distributor Term Δ; should approximate YoY Total Δ row above.</t>
      </text>
    </comment>
    <comment ref="N67" authorId="0" shapeId="0">
      <text>
        <t>Σ check = M&amp;S + G&amp;A + Distributor Term Δ; should approximate YoY Total Δ row above.</t>
      </text>
    </comment>
    <comment ref="O67" authorId="0" shapeId="0">
      <text>
        <t>Σ check = M&amp;S + G&amp;A + Distributor Term Δ; should approximate YoY Total Δ row above.</t>
      </text>
    </comment>
    <comment ref="P67" authorId="0" shapeId="0">
      <text>
        <t>Σ check = M&amp;S + G&amp;A + Distributor Term Δ; should approximate YoY Total Δ row above.</t>
      </text>
    </comment>
    <comment ref="N69" authorId="0" shapeId="0">
      <text>
        <t>Q3 2025 10-Q. Separate IS line: $246.7M Q3 alone.</t>
      </text>
    </comment>
    <comment ref="O69" authorId="0" shapeId="0">
      <text>
        <t>Q4 2025 = FY - Q3 (assumes Q1+Q2 = 0).</t>
      </text>
    </comment>
    <comment ref="P69" authorId="0" shapeId="0">
      <text>
        <t>FY2025 10-K. Separate IS line: $327.5M FY total.</t>
      </text>
    </comment>
    <comment ref="B74" authorId="0" shapeId="0">
      <text>
        <t>Q1 2023 10-Q</t>
      </text>
    </comment>
    <comment ref="C74" authorId="0" shapeId="0">
      <text>
        <t>Q2 2023 10-Q</t>
      </text>
    </comment>
    <comment ref="D74" authorId="0" shapeId="0">
      <text>
        <t>Q3 2023 10-Q</t>
      </text>
    </comment>
    <comment ref="E74" authorId="0" shapeId="0">
      <text>
        <t>Q4 GP $ = FY - Q1 - Q2 - Q3.</t>
      </text>
    </comment>
    <comment ref="F74" authorId="0" shapeId="0">
      <text>
        <t>FY2023 10-K</t>
      </text>
    </comment>
    <comment ref="G74" authorId="0" shapeId="0">
      <text>
        <t>Q1 2024 10-Q</t>
      </text>
    </comment>
    <comment ref="H74" authorId="0" shapeId="0">
      <text>
        <t>Q2 2024 10-Q</t>
      </text>
    </comment>
    <comment ref="I74" authorId="0" shapeId="0">
      <text>
        <t>Q3 2024 10-Q</t>
      </text>
    </comment>
    <comment ref="J74" authorId="0" shapeId="0">
      <text>
        <t>Q4 GP $ = FY - Q1 - Q2 - Q3.</t>
      </text>
    </comment>
    <comment ref="K74" authorId="0" shapeId="0">
      <text>
        <t>FY2024 10-K</t>
      </text>
    </comment>
    <comment ref="L74" authorId="0" shapeId="0">
      <text>
        <t>Q1 2025 10-Q</t>
      </text>
    </comment>
    <comment ref="M74" authorId="0" shapeId="0">
      <text>
        <t>Q2 2025 10-Q</t>
      </text>
    </comment>
    <comment ref="N74" authorId="0" shapeId="0">
      <text>
        <t>Q3 2025 10-Q</t>
      </text>
    </comment>
    <comment ref="O74" authorId="0" shapeId="0">
      <text>
        <t>Q4 GP $ = FY - Q1 - Q2 - Q3.</t>
      </text>
    </comment>
    <comment ref="P74" authorId="0" shapeId="0">
      <text>
        <t>FY2025 10-K</t>
      </text>
    </comment>
    <comment ref="B75" authorId="0" shapeId="0">
      <text>
        <t>GP Margin = Gross Profit $ / Total Revenue (row 10).</t>
      </text>
    </comment>
    <comment ref="C75" authorId="0" shapeId="0">
      <text>
        <t>GP Margin = Gross Profit $ / Total Revenue (row 10).</t>
      </text>
    </comment>
    <comment ref="D75" authorId="0" shapeId="0">
      <text>
        <t>GP Margin = Gross Profit $ / Total Revenue (row 10).</t>
      </text>
    </comment>
    <comment ref="E75" authorId="0" shapeId="0">
      <text>
        <t>GP Margin = Gross Profit $ / Total Revenue (row 10).</t>
      </text>
    </comment>
    <comment ref="F75" authorId="0" shapeId="0">
      <text>
        <t>GP Margin = Gross Profit $ / Total Revenue (row 10).</t>
      </text>
    </comment>
    <comment ref="G75" authorId="0" shapeId="0">
      <text>
        <t>GP Margin = Gross Profit $ / Total Revenue (row 10).</t>
      </text>
    </comment>
    <comment ref="H75" authorId="0" shapeId="0">
      <text>
        <t>GP Margin = Gross Profit $ / Total Revenue (row 10).</t>
      </text>
    </comment>
    <comment ref="I75" authorId="0" shapeId="0">
      <text>
        <t>GP Margin = Gross Profit $ / Total Revenue (row 10).</t>
      </text>
    </comment>
    <comment ref="J75" authorId="0" shapeId="0">
      <text>
        <t>GP Margin = Gross Profit $ / Total Revenue (row 10).</t>
      </text>
    </comment>
    <comment ref="K75" authorId="0" shapeId="0">
      <text>
        <t>GP Margin = Gross Profit $ / Total Revenue (row 10).</t>
      </text>
    </comment>
    <comment ref="L75" authorId="0" shapeId="0">
      <text>
        <t>GP Margin = Gross Profit $ / Total Revenue (row 10).</t>
      </text>
    </comment>
    <comment ref="M75" authorId="0" shapeId="0">
      <text>
        <t>GP Margin = Gross Profit $ / Total Revenue (row 10).</t>
      </text>
    </comment>
    <comment ref="N75" authorId="0" shapeId="0">
      <text>
        <t>GP Margin = Gross Profit $ / Total Revenue (row 10).</t>
      </text>
    </comment>
    <comment ref="O75" authorId="0" shapeId="0">
      <text>
        <t>GP Margin = Gross Profit $ / Total Revenue (row 10).</t>
      </text>
    </comment>
    <comment ref="P75" authorId="0" shapeId="0">
      <text>
        <t>GP Margin = Gross Profit $ / Total Revenue (row 10).</t>
      </text>
    </comment>
    <comment ref="G76" authorId="0" shapeId="0">
      <text>
        <t>YoY pts Δ vs Q1 2023.</t>
      </text>
    </comment>
    <comment ref="H76" authorId="0" shapeId="0">
      <text>
        <t>YoY pts Δ vs Q2 2023.</t>
      </text>
    </comment>
    <comment ref="I76" authorId="0" shapeId="0">
      <text>
        <t>YoY pts Δ vs Q3 2023.</t>
      </text>
    </comment>
    <comment ref="J76" authorId="0" shapeId="0">
      <text>
        <t>YoY pts Δ vs Q4 2023.</t>
      </text>
    </comment>
    <comment ref="K76" authorId="0" shapeId="0">
      <text>
        <t>YoY pts Δ vs FY2023.</t>
      </text>
    </comment>
    <comment ref="L76" authorId="0" shapeId="0">
      <text>
        <t>YoY pts Δ vs Q1 2024.</t>
      </text>
    </comment>
    <comment ref="M76" authorId="0" shapeId="0">
      <text>
        <t>YoY pts Δ vs Q2 2024.</t>
      </text>
    </comment>
    <comment ref="N76" authorId="0" shapeId="0">
      <text>
        <t>YoY pts Δ vs Q3 2024.</t>
      </text>
    </comment>
    <comment ref="O76" authorId="0" shapeId="0">
      <text>
        <t>YoY pts Δ vs Q4 2024.</t>
      </text>
    </comment>
    <comment ref="P76" authorId="0" shapeId="0">
      <text>
        <t>YoY pts Δ vs FY2024.</t>
      </text>
    </comment>
    <comment ref="B77" authorId="0" shapeId="0">
      <text>
        <t>Q1 2023 10-Q: Volume leverage; reduced higher-cost intl can mix; offset by inventory write-offs and freight from Pepsi distribution integration.</t>
      </text>
    </comment>
    <comment ref="C77" authorId="0" shapeId="0">
      <text>
        <t>Q2 2023 10-Q: Lower packaging/raw material; reduced waste; freight efficiencies.</t>
      </text>
    </comment>
    <comment ref="D77" authorId="0" shapeId="0">
      <text>
        <t>Q3 2023 10-Q: Packaging/raw savings; waste reduction; freight efficiency; improved promotional leverage.</t>
      </text>
    </comment>
    <comment ref="F77" authorId="0" shapeId="0">
      <text>
        <t>FY2023 10-K: Raw material sourcing efficiencies; product waste reduction.</t>
      </text>
    </comment>
    <comment ref="G77" authorId="0" shapeId="0">
      <text>
        <t>Q1 2024 10-Q: Decreases in raw/package material unit cost; reduced outbound freight.</t>
      </text>
    </comment>
    <comment ref="H77" authorId="0" shapeId="0">
      <text>
        <t>Q2 2024 10-Q: Same: raw/package cost; freight efficiency.</t>
      </text>
    </comment>
    <comment ref="I77" authorId="0" shapeId="0">
      <text>
        <t>Q3 2024 10-Q: Promo allowances UP as % gross revenue (-) due to Pepsi supply chain optimization. Partially offset by lower freight + materials.</t>
      </text>
    </comment>
    <comment ref="K77" authorId="0" shapeId="0">
      <text>
        <t>FY2024 10-K: Raw/package cost decreases + freight reduction; offset by increased promo allowances.</t>
      </text>
    </comment>
    <comment ref="L77" authorId="0" shapeId="0">
      <text>
        <t>Q1 2025 10-Q: Raw/package material decreases (+); offset by increased promo (-).</t>
      </text>
    </comment>
    <comment ref="M77" authorId="0" shapeId="0">
      <text>
        <t>Q2 2025 10-Q: Material savings; product mix and scale efficiencies; offset by lower GM profile of Alani Nu and one-time inventory step-up.</t>
      </text>
    </comment>
    <comment ref="N77" authorId="0" shapeId="0">
      <text>
        <t>Q3 2025 10-Q: Lower promo spend; pack mix; favorable channel mix; raw materials scale; tariffs (-); Alani+Rockstar drag.</t>
      </text>
    </comment>
    <comment ref="P77" authorId="0" shapeId="0">
      <text>
        <t>FY2025 10-K: Comparatively lower margin from Alani Nu and Rockstar; offset by product/pack mix and COGS improvements.</t>
      </text>
    </comment>
    <comment ref="D78" authorId="0" shapeId="0">
      <text>
        <t>Q3 2023 10-Q: Packaging/raw savings; waste reduction; freight efficiency; improved promotional leverage.</t>
      </text>
    </comment>
    <comment ref="I78" authorId="0" shapeId="0">
      <text>
        <t>Q3 2024 10-Q: Promo allowances UP as % gross revenue (-) due to Pepsi supply chain optimization. Partially offset by lower freight + materials.</t>
      </text>
    </comment>
    <comment ref="K78" authorId="0" shapeId="0">
      <text>
        <t>FY2024 10-K: Raw/package cost decreases + freight reduction; offset by increased promo allowances.</t>
      </text>
    </comment>
    <comment ref="L78" authorId="0" shapeId="0">
      <text>
        <t>Q1 2025 10-Q: Raw/package material decreases (+); offset by increased promo (-).</t>
      </text>
    </comment>
    <comment ref="N78" authorId="0" shapeId="0">
      <text>
        <t>Q3 2025 10-Q: Lower promo spend; pack mix; favorable channel mix; raw materials scale; tariffs (-); Alani+Rockstar drag.</t>
      </text>
    </comment>
    <comment ref="P78" authorId="0" shapeId="0">
      <text>
        <t>FY2025 10-K: Comparatively lower margin from Alani Nu and Rockstar; offset by product/pack mix and COGS improvements.</t>
      </text>
    </comment>
    <comment ref="B79" authorId="0" shapeId="0">
      <text>
        <t>Q1 2023 10-Q: Volume leverage; reduced higher-cost intl can mix; offset by inventory write-offs and freight from Pepsi distribution integration.</t>
      </text>
    </comment>
    <comment ref="C79" authorId="0" shapeId="0">
      <text>
        <t>Q2 2023 10-Q: Lower packaging/raw material; reduced waste; freight efficiencies.</t>
      </text>
    </comment>
    <comment ref="D79" authorId="0" shapeId="0">
      <text>
        <t>Q3 2023 10-Q: Packaging/raw savings; waste reduction; freight efficiency; improved promotional leverage.</t>
      </text>
    </comment>
    <comment ref="G79" authorId="0" shapeId="0">
      <text>
        <t>Q1 2024 10-Q: Decreases in raw/package material unit cost; reduced outbound freight.</t>
      </text>
    </comment>
    <comment ref="H79" authorId="0" shapeId="0">
      <text>
        <t>Q2 2024 10-Q: Same: raw/package cost; freight efficiency.</t>
      </text>
    </comment>
    <comment ref="I79" authorId="0" shapeId="0">
      <text>
        <t>Q3 2024 10-Q: Promo allowances UP as % gross revenue (-) due to Pepsi supply chain optimization. Partially offset by lower freight + materials.</t>
      </text>
    </comment>
    <comment ref="K79" authorId="0" shapeId="0">
      <text>
        <t>FY2024 10-K: Raw/package cost decreases + freight reduction; offset by increased promo allowances.</t>
      </text>
    </comment>
    <comment ref="B80" authorId="0" shapeId="0">
      <text>
        <t>Q1 2023 10-Q: Volume leverage; reduced higher-cost intl can mix; offset by inventory write-offs and freight from Pepsi distribution integration.</t>
      </text>
    </comment>
    <comment ref="M80" authorId="0" shapeId="0">
      <text>
        <t>Q2 2025 10-Q: Material savings; product mix and scale efficiencies; offset by lower GM profile of Alani Nu and one-time inventory step-up.</t>
      </text>
    </comment>
    <comment ref="N80" authorId="0" shapeId="0">
      <text>
        <t>Q3 2025 10-Q: Lower promo spend; pack mix; favorable channel mix; raw materials scale; tariffs (-); Alani+Rockstar drag.</t>
      </text>
    </comment>
    <comment ref="P80" authorId="0" shapeId="0">
      <text>
        <t>FY2025 10-K: Comparatively lower margin from Alani Nu and Rockstar; offset by product/pack mix and COGS improvements.</t>
      </text>
    </comment>
    <comment ref="M81" authorId="0" shapeId="0">
      <text>
        <t>Q2 2025 10-Q: Material savings; product mix and scale efficiencies; offset by lower GM profile of Alani Nu and one-time inventory step-up.</t>
      </text>
    </comment>
    <comment ref="N81" authorId="0" shapeId="0">
      <text>
        <t>Q3 2025 10-Q: Lower promo spend; pack mix; favorable channel mix; raw materials scale; tariffs (-); Alani+Rockstar drag.</t>
      </text>
    </comment>
    <comment ref="P81" authorId="0" shapeId="0">
      <text>
        <t>FY2025 10-K: Comparatively lower margin from Alani Nu and Rockstar; offset by product/pack mix and COGS improvements.</t>
      </text>
    </comment>
    <comment ref="M82" authorId="0" shapeId="0">
      <text>
        <t>Q2 2025 10-Q: Material savings; product mix and scale efficiencies; offset by lower GM profile of Alani Nu and one-time inventory step-up.</t>
      </text>
    </comment>
    <comment ref="P82" authorId="0" shapeId="0">
      <text>
        <t>FY2025 10-K: Comparatively lower margin from Alani Nu and Rockstar; offset by product/pack mix and COGS improvements.</t>
      </text>
    </comment>
    <comment ref="N83" authorId="0" shapeId="0">
      <text>
        <t>Q3 2025 10-Q: Lower promo spend; pack mix; favorable channel mix; raw materials scale; tariffs (-); Alani+Rockstar drag.</t>
      </text>
    </comment>
    <comment ref="B88" authorId="0" shapeId="0">
      <text>
        <t>Q1 2023 10-Q</t>
      </text>
    </comment>
    <comment ref="C88" authorId="0" shapeId="0">
      <text>
        <t>Q2 2023 10-Q</t>
      </text>
    </comment>
    <comment ref="D88" authorId="0" shapeId="0">
      <text>
        <t>Q3 2023 10-Q</t>
      </text>
    </comment>
    <comment ref="E88" authorId="0" shapeId="0">
      <text>
        <t>Q4 = FY - Q1 - Q2 - Q3.</t>
      </text>
    </comment>
    <comment ref="F88" authorId="0" shapeId="0">
      <text>
        <t>FY2023 10-K</t>
      </text>
    </comment>
    <comment ref="G88" authorId="0" shapeId="0">
      <text>
        <t>Q1 2024 10-Q</t>
      </text>
    </comment>
    <comment ref="H88" authorId="0" shapeId="0">
      <text>
        <t>Q2 2024 10-Q</t>
      </text>
    </comment>
    <comment ref="I88" authorId="0" shapeId="0">
      <text>
        <t>Q3 2024 10-Q</t>
      </text>
    </comment>
    <comment ref="J88" authorId="0" shapeId="0">
      <text>
        <t>Q4 = FY - Q1 - Q2 - Q3.</t>
      </text>
    </comment>
    <comment ref="K88" authorId="0" shapeId="0">
      <text>
        <t>FY2024 10-K</t>
      </text>
    </comment>
    <comment ref="L88" authorId="0" shapeId="0">
      <text>
        <t>Q1 2025 10-Q</t>
      </text>
    </comment>
    <comment ref="M88" authorId="0" shapeId="0">
      <text>
        <t>Q2 2025: implied from 9M 2025 Other (-$12.6M) - Q1 (+9.0) - Q3 (-8.0) = -13.6M.</t>
      </text>
    </comment>
    <comment ref="N88" authorId="0" shapeId="0">
      <text>
        <t>Q3 2025 10-Q. Net Other Expense (debt issued April 2025).</t>
      </text>
    </comment>
    <comment ref="O88" authorId="0" shapeId="0">
      <text>
        <t>Q4 = FY - Q1 - Q2 - Q3.</t>
      </text>
    </comment>
    <comment ref="P88" authorId="0" shapeId="0">
      <text>
        <t>FY2025 10-K. Net Other Expense.</t>
      </text>
    </comment>
    <comment ref="P89" authorId="0" shapeId="0">
      <text>
        <t>FY2025 10-K full walk: +$49M interest expense (new $900M term loan); -$18.2M interest income (lower cash balance); +$12.6M Rockstar transition agency income; -$0.7M FX/other.</t>
      </text>
    </comment>
    <comment ref="N90" authorId="0" shapeId="0">
      <text>
        <t>Q3 2025 10-Q. Interest expense $18.2M (no debt prior year).</t>
      </text>
    </comment>
    <comment ref="P90" authorId="0" shapeId="0">
      <text>
        <t>FY2025 10-K full walk: +$49M interest expense (new $900M term loan); -$18.2M interest income (lower cash balance); +$12.6M Rockstar transition agency income; -$0.7M FX/other.</t>
      </text>
    </comment>
    <comment ref="P91" authorId="0" shapeId="0">
      <text>
        <t>FY2025 10-K full walk: +$49M interest expense (new $900M term loan); -$18.2M interest income (lower cash balance); +$12.6M Rockstar transition agency income; -$0.7M FX/other.</t>
      </text>
    </comment>
    <comment ref="P92" authorId="0" shapeId="0">
      <text>
        <t>FY2025 10-K full walk: +$49M interest expense (new $900M term loan); -$18.2M interest income (lower cash balance); +$12.6M Rockstar transition agency income; -$0.7M FX/other.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40" customWidth="1" min="17" max="17"/>
  </cols>
  <sheetData>
    <row r="1">
      <c r="A1" s="1" t="inlineStr">
        <is>
          <t>CELH -- MD&amp;A Revenue &amp; P&amp;L Disaggregation</t>
        </is>
      </c>
    </row>
    <row r="2">
      <c r="A2" s="2" t="inlineStr">
        <is>
          <t>Source: CELH 10-Q + 10-K filings. $ in thousands. Q4 derived as FY - 9M YTD where derivable. Hover any cell for source note.</t>
        </is>
      </c>
    </row>
    <row r="4">
      <c r="A4" s="3" t="inlineStr">
        <is>
          <t>1. GEOGRAPHY -- Revenue ($ thousands, single-period)</t>
        </is>
      </c>
    </row>
    <row r="5">
      <c r="A5" s="4" t="inlineStr">
        <is>
          <t>Metric</t>
        </is>
      </c>
      <c r="B5" s="5" t="inlineStr">
        <is>
          <t>Q1 2023</t>
        </is>
      </c>
      <c r="C5" s="5" t="inlineStr">
        <is>
          <t>Q2 2023</t>
        </is>
      </c>
      <c r="D5" s="5" t="inlineStr">
        <is>
          <t>Q3 2023</t>
        </is>
      </c>
      <c r="E5" s="6" t="inlineStr">
        <is>
          <t>Q4 2023</t>
        </is>
      </c>
      <c r="F5" s="7" t="inlineStr">
        <is>
          <t>FY2023</t>
        </is>
      </c>
      <c r="G5" s="5" t="inlineStr">
        <is>
          <t>Q1 2024</t>
        </is>
      </c>
      <c r="H5" s="5" t="inlineStr">
        <is>
          <t>Q2 2024</t>
        </is>
      </c>
      <c r="I5" s="5" t="inlineStr">
        <is>
          <t>Q3 2024</t>
        </is>
      </c>
      <c r="J5" s="6" t="inlineStr">
        <is>
          <t>Q4 2024</t>
        </is>
      </c>
      <c r="K5" s="7" t="inlineStr">
        <is>
          <t>FY2024</t>
        </is>
      </c>
      <c r="L5" s="5" t="inlineStr">
        <is>
          <t>Q1 2025</t>
        </is>
      </c>
      <c r="M5" s="5" t="inlineStr">
        <is>
          <t>Q2 2025</t>
        </is>
      </c>
      <c r="N5" s="5" t="inlineStr">
        <is>
          <t>Q3 2025</t>
        </is>
      </c>
      <c r="O5" s="6" t="inlineStr">
        <is>
          <t>Q4 2025</t>
        </is>
      </c>
      <c r="P5" s="7" t="inlineStr">
        <is>
          <t>FY2025</t>
        </is>
      </c>
      <c r="Q5" s="4" t="inlineStr">
        <is>
          <t>Notes</t>
        </is>
      </c>
    </row>
    <row r="6">
      <c r="A6" s="8" t="inlineStr">
        <is>
          <t>North America</t>
        </is>
      </c>
      <c r="B6" s="9" t="n">
        <v>248552</v>
      </c>
      <c r="C6" s="9" t="n">
        <v>310815</v>
      </c>
      <c r="D6" s="9" t="n">
        <v>371178</v>
      </c>
      <c r="E6" s="10">
        <f>F6-D6-C6-B6</f>
        <v/>
      </c>
      <c r="F6" s="9" t="n">
        <v>1263341</v>
      </c>
      <c r="G6" s="9" t="n">
        <v>339512</v>
      </c>
      <c r="H6" s="9" t="n">
        <v>382351</v>
      </c>
      <c r="I6" s="9" t="n">
        <v>247125</v>
      </c>
      <c r="J6" s="10">
        <f>K6-I6-H6-G6</f>
        <v/>
      </c>
      <c r="K6" s="9" t="n">
        <v>1280894</v>
      </c>
      <c r="L6" s="9" t="n">
        <v>306534</v>
      </c>
      <c r="M6" s="9" t="n">
        <v>714459</v>
      </c>
      <c r="N6" s="9" t="n">
        <v>701990</v>
      </c>
      <c r="O6" s="10">
        <f>P6-N6-M6-L6</f>
        <v/>
      </c>
      <c r="P6" s="9" t="n">
        <v>2422490</v>
      </c>
    </row>
    <row r="7">
      <c r="A7" s="8" t="inlineStr">
        <is>
          <t>Europe</t>
        </is>
      </c>
      <c r="B7" s="9" t="n">
        <v>8652</v>
      </c>
      <c r="C7" s="9" t="n">
        <v>11909</v>
      </c>
      <c r="D7" s="9" t="n">
        <v>11038</v>
      </c>
      <c r="E7" s="10">
        <f>F7-D7-C7-B7</f>
        <v/>
      </c>
      <c r="F7" s="9" t="n">
        <v>43722</v>
      </c>
      <c r="G7" s="9" t="n">
        <v>14142</v>
      </c>
      <c r="H7" s="9" t="n">
        <v>16684</v>
      </c>
      <c r="I7" s="9" t="n">
        <v>16243</v>
      </c>
      <c r="J7" s="10">
        <f>K7-I7-H7-G7</f>
        <v/>
      </c>
      <c r="K7" s="9" t="n">
        <v>61696</v>
      </c>
      <c r="L7" s="9" t="n">
        <v>18659</v>
      </c>
      <c r="M7" s="9" t="n">
        <v>18301</v>
      </c>
      <c r="N7" s="9" t="n">
        <v>17691</v>
      </c>
      <c r="O7" s="10">
        <f>P7-N7-M7-L7</f>
        <v/>
      </c>
      <c r="P7" s="9" t="n">
        <v>72544</v>
      </c>
    </row>
    <row r="8">
      <c r="A8" s="8" t="inlineStr">
        <is>
          <t>Asia-Pacific</t>
        </is>
      </c>
      <c r="B8" s="9" t="n">
        <v>1258</v>
      </c>
      <c r="C8" s="9" t="n">
        <v>1606</v>
      </c>
      <c r="D8" s="9" t="n">
        <v>1247</v>
      </c>
      <c r="E8" s="10">
        <f>F8-D8-C8-B8</f>
        <v/>
      </c>
      <c r="F8" s="9" t="n">
        <v>4755</v>
      </c>
      <c r="G8" s="9" t="n">
        <v>675</v>
      </c>
      <c r="H8" s="9" t="n">
        <v>860</v>
      </c>
      <c r="I8" s="9" t="n">
        <v>594</v>
      </c>
      <c r="J8" s="10">
        <f>K8-I8-H8-G8</f>
        <v/>
      </c>
      <c r="K8" s="9" t="n">
        <v>5658</v>
      </c>
      <c r="L8" s="9" t="n">
        <v>2244</v>
      </c>
      <c r="M8" s="9" t="n">
        <v>4381</v>
      </c>
      <c r="N8" s="9" t="n">
        <v>3518</v>
      </c>
      <c r="O8" s="10">
        <f>P8-N8-M8-L8</f>
        <v/>
      </c>
      <c r="P8" s="9" t="n">
        <v>12971</v>
      </c>
    </row>
    <row r="9">
      <c r="A9" s="8" t="inlineStr">
        <is>
          <t>Other</t>
        </is>
      </c>
      <c r="B9" s="9" t="n">
        <v>1477</v>
      </c>
      <c r="C9" s="9" t="n">
        <v>1553</v>
      </c>
      <c r="D9" s="9" t="n">
        <v>1294</v>
      </c>
      <c r="E9" s="10">
        <f>F9-D9-C9-B9</f>
        <v/>
      </c>
      <c r="F9" s="9" t="n">
        <v>6196</v>
      </c>
      <c r="G9" s="9" t="n">
        <v>1379</v>
      </c>
      <c r="H9" s="9" t="n">
        <v>2082</v>
      </c>
      <c r="I9" s="9" t="n">
        <v>1786</v>
      </c>
      <c r="J9" s="10">
        <f>K9-I9-H9-G9</f>
        <v/>
      </c>
      <c r="K9" s="9" t="n">
        <v>7382</v>
      </c>
      <c r="L9" s="9" t="n">
        <v>1839</v>
      </c>
      <c r="M9" s="9" t="n">
        <v>2118</v>
      </c>
      <c r="N9" s="9" t="n">
        <v>1907</v>
      </c>
      <c r="O9" s="10">
        <f>P9-N9-M9-L9</f>
        <v/>
      </c>
      <c r="P9" s="9" t="n">
        <v>1400</v>
      </c>
    </row>
    <row r="10">
      <c r="A10" s="11" t="inlineStr">
        <is>
          <t>Total Revenue</t>
        </is>
      </c>
      <c r="B10" s="12">
        <f>SUM(B6:B9)</f>
        <v/>
      </c>
      <c r="C10" s="12">
        <f>SUM(C6:C9)</f>
        <v/>
      </c>
      <c r="D10" s="12">
        <f>SUM(D6:D9)</f>
        <v/>
      </c>
      <c r="E10" s="12">
        <f>SUM(E6:E9)</f>
        <v/>
      </c>
      <c r="F10" s="12">
        <f>SUM(F6:F9)</f>
        <v/>
      </c>
      <c r="G10" s="12">
        <f>SUM(G6:G9)</f>
        <v/>
      </c>
      <c r="H10" s="12">
        <f>SUM(H6:H9)</f>
        <v/>
      </c>
      <c r="I10" s="12">
        <f>SUM(I6:I9)</f>
        <v/>
      </c>
      <c r="J10" s="12">
        <f>SUM(J6:J9)</f>
        <v/>
      </c>
      <c r="K10" s="12">
        <f>SUM(K6:K9)</f>
        <v/>
      </c>
      <c r="L10" s="12">
        <f>SUM(L6:L9)</f>
        <v/>
      </c>
      <c r="M10" s="12">
        <f>SUM(M6:M9)</f>
        <v/>
      </c>
      <c r="N10" s="12">
        <f>SUM(N6:N9)</f>
        <v/>
      </c>
      <c r="O10" s="12">
        <f>SUM(O6:O9)</f>
        <v/>
      </c>
      <c r="P10" s="12">
        <f>SUM(P6:P9)</f>
        <v/>
      </c>
    </row>
    <row r="13">
      <c r="A13" s="3" t="inlineStr">
        <is>
          <t>2. CUSTOMER CONCENTRATION -- % of single-period revenue (only customers &gt; 10% disclosed). Q4 NOT derivable from FY/9M %.</t>
        </is>
      </c>
    </row>
    <row r="14">
      <c r="A14" s="4" t="inlineStr">
        <is>
          <t>Metric</t>
        </is>
      </c>
      <c r="B14" s="5" t="inlineStr">
        <is>
          <t>Q1 2023</t>
        </is>
      </c>
      <c r="C14" s="5" t="inlineStr">
        <is>
          <t>Q2 2023</t>
        </is>
      </c>
      <c r="D14" s="5" t="inlineStr">
        <is>
          <t>Q3 2023</t>
        </is>
      </c>
      <c r="E14" s="6" t="inlineStr">
        <is>
          <t>Q4 2023</t>
        </is>
      </c>
      <c r="F14" s="7" t="inlineStr">
        <is>
          <t>FY2023</t>
        </is>
      </c>
      <c r="G14" s="5" t="inlineStr">
        <is>
          <t>Q1 2024</t>
        </is>
      </c>
      <c r="H14" s="5" t="inlineStr">
        <is>
          <t>Q2 2024</t>
        </is>
      </c>
      <c r="I14" s="5" t="inlineStr">
        <is>
          <t>Q3 2024</t>
        </is>
      </c>
      <c r="J14" s="6" t="inlineStr">
        <is>
          <t>Q4 2024</t>
        </is>
      </c>
      <c r="K14" s="7" t="inlineStr">
        <is>
          <t>FY2024</t>
        </is>
      </c>
      <c r="L14" s="5" t="inlineStr">
        <is>
          <t>Q1 2025</t>
        </is>
      </c>
      <c r="M14" s="5" t="inlineStr">
        <is>
          <t>Q2 2025</t>
        </is>
      </c>
      <c r="N14" s="5" t="inlineStr">
        <is>
          <t>Q3 2025</t>
        </is>
      </c>
      <c r="O14" s="6" t="inlineStr">
        <is>
          <t>Q4 2025</t>
        </is>
      </c>
      <c r="P14" s="7" t="inlineStr">
        <is>
          <t>FY2025</t>
        </is>
      </c>
      <c r="Q14" s="4" t="inlineStr">
        <is>
          <t>Notes</t>
        </is>
      </c>
    </row>
    <row r="15">
      <c r="A15" s="8" t="inlineStr">
        <is>
          <t>Pepsi</t>
        </is>
      </c>
      <c r="B15" s="13" t="n">
        <v>0.602</v>
      </c>
      <c r="C15" s="13" t="n">
        <v>0.5669999999999999</v>
      </c>
      <c r="D15" s="13" t="n">
        <v>0.646</v>
      </c>
      <c r="E15" s="14" t="inlineStr">
        <is>
          <t>n/d</t>
        </is>
      </c>
      <c r="F15" s="13" t="n">
        <v>0.594</v>
      </c>
      <c r="G15" s="13" t="n">
        <v>0.592</v>
      </c>
      <c r="H15" s="13" t="n">
        <v>0.529</v>
      </c>
      <c r="I15" s="13" t="n">
        <v>0.47</v>
      </c>
      <c r="J15" s="14" t="inlineStr">
        <is>
          <t>n/d</t>
        </is>
      </c>
      <c r="K15" s="13" t="n">
        <v>0.547</v>
      </c>
      <c r="L15" s="13" t="n">
        <v>0.576</v>
      </c>
      <c r="M15" s="13" t="n">
        <v>0.333</v>
      </c>
      <c r="N15" s="13" t="n">
        <v>0.354</v>
      </c>
      <c r="O15" s="14" t="inlineStr">
        <is>
          <t>n/d</t>
        </is>
      </c>
      <c r="P15" s="13" t="n">
        <v>0.432</v>
      </c>
    </row>
    <row r="16">
      <c r="A16" s="8" t="inlineStr">
        <is>
          <t>Costco</t>
        </is>
      </c>
      <c r="B16" s="13" t="n">
        <v>0.129</v>
      </c>
      <c r="C16" s="13" t="n">
        <v>0.13</v>
      </c>
      <c r="D16" s="13" t="n">
        <v>0.089</v>
      </c>
      <c r="E16" s="14" t="inlineStr">
        <is>
          <t>n/d</t>
        </is>
      </c>
      <c r="F16" s="13" t="n">
        <v>0.12</v>
      </c>
      <c r="G16" s="13" t="n">
        <v>0.102</v>
      </c>
      <c r="H16" s="13" t="n">
        <v>0.121</v>
      </c>
      <c r="I16" s="13" t="n">
        <v>0.149</v>
      </c>
      <c r="J16" s="14" t="inlineStr">
        <is>
          <t>n/d</t>
        </is>
      </c>
      <c r="K16" s="13" t="n">
        <v>0.116</v>
      </c>
      <c r="L16" s="13" t="n">
        <v>0.059</v>
      </c>
      <c r="M16" s="13" t="n">
        <v>0.117</v>
      </c>
      <c r="N16" s="13" t="n">
        <v>0.111</v>
      </c>
      <c r="O16" s="14" t="inlineStr">
        <is>
          <t>n/d</t>
        </is>
      </c>
      <c r="P16" s="13" t="n">
        <v>0.108</v>
      </c>
    </row>
    <row r="17">
      <c r="A17" s="8" t="inlineStr">
        <is>
          <t>Amazon</t>
        </is>
      </c>
      <c r="B17" s="13" t="n">
        <v>0.08400000000000001</v>
      </c>
      <c r="C17" s="14" t="inlineStr">
        <is>
          <t>n/d</t>
        </is>
      </c>
      <c r="D17" s="14" t="inlineStr">
        <is>
          <t>n/d</t>
        </is>
      </c>
      <c r="E17" s="14" t="inlineStr">
        <is>
          <t>n/d</t>
        </is>
      </c>
      <c r="F17" s="13" t="n">
        <v>0.076</v>
      </c>
      <c r="G17" s="14" t="inlineStr">
        <is>
          <t>n/d</t>
        </is>
      </c>
      <c r="H17" s="14" t="inlineStr">
        <is>
          <t>n/d</t>
        </is>
      </c>
      <c r="I17" s="13" t="n">
        <v>0.102</v>
      </c>
      <c r="J17" s="14" t="inlineStr">
        <is>
          <t>n/d</t>
        </is>
      </c>
      <c r="K17" s="14" t="inlineStr">
        <is>
          <t>n/d</t>
        </is>
      </c>
      <c r="L17" s="13" t="n">
        <v>0.121</v>
      </c>
      <c r="M17" s="14" t="inlineStr">
        <is>
          <t>n/d</t>
        </is>
      </c>
      <c r="N17" s="13" t="n">
        <v>0.055</v>
      </c>
      <c r="O17" s="14" t="inlineStr">
        <is>
          <t>n/d</t>
        </is>
      </c>
      <c r="P17" s="14" t="inlineStr">
        <is>
          <t>n/d</t>
        </is>
      </c>
    </row>
    <row r="18">
      <c r="A18" s="8" t="inlineStr">
        <is>
          <t>All others</t>
        </is>
      </c>
      <c r="B18" s="13" t="n">
        <v>0.185</v>
      </c>
      <c r="C18" s="13" t="n">
        <v>0.303</v>
      </c>
      <c r="D18" s="13" t="n">
        <v>0.265</v>
      </c>
      <c r="E18" s="14" t="inlineStr">
        <is>
          <t>n/d</t>
        </is>
      </c>
      <c r="F18" s="13" t="n">
        <v>0.21</v>
      </c>
      <c r="G18" s="13" t="n">
        <v>0.306</v>
      </c>
      <c r="H18" s="13" t="n">
        <v>0.35</v>
      </c>
      <c r="I18" s="13" t="n">
        <v>0.279</v>
      </c>
      <c r="J18" s="14" t="inlineStr">
        <is>
          <t>n/d</t>
        </is>
      </c>
      <c r="K18" s="13" t="n">
        <v>0.337</v>
      </c>
      <c r="L18" s="13" t="n">
        <v>0.244</v>
      </c>
      <c r="M18" s="13" t="n">
        <v>0.55</v>
      </c>
      <c r="N18" s="13" t="n">
        <v>0.48</v>
      </c>
      <c r="O18" s="14" t="inlineStr">
        <is>
          <t>n/d</t>
        </is>
      </c>
      <c r="P18" s="13" t="n">
        <v>0.46</v>
      </c>
    </row>
    <row r="19">
      <c r="A19" s="11" t="inlineStr">
        <is>
          <t>Total</t>
        </is>
      </c>
      <c r="B19" s="15">
        <f>SUM(B15:B18)</f>
        <v/>
      </c>
      <c r="C19" s="15">
        <f>SUM(C15:C18)</f>
        <v/>
      </c>
      <c r="D19" s="15">
        <f>SUM(D15:D18)</f>
        <v/>
      </c>
      <c r="E19" s="16" t="inlineStr">
        <is>
          <t>n/d</t>
        </is>
      </c>
      <c r="F19" s="15">
        <f>SUM(F15:F18)</f>
        <v/>
      </c>
      <c r="G19" s="15">
        <f>SUM(G15:G18)</f>
        <v/>
      </c>
      <c r="H19" s="15">
        <f>SUM(H15:H18)</f>
        <v/>
      </c>
      <c r="I19" s="15">
        <f>SUM(I15:I18)</f>
        <v/>
      </c>
      <c r="J19" s="16" t="inlineStr">
        <is>
          <t>n/d</t>
        </is>
      </c>
      <c r="K19" s="15">
        <f>SUM(K15:K18)</f>
        <v/>
      </c>
      <c r="L19" s="15">
        <f>SUM(L15:L18)</f>
        <v/>
      </c>
      <c r="M19" s="15">
        <f>SUM(M15:M18)</f>
        <v/>
      </c>
      <c r="N19" s="15">
        <f>SUM(N15:N18)</f>
        <v/>
      </c>
      <c r="O19" s="16" t="inlineStr">
        <is>
          <t>n/d</t>
        </is>
      </c>
      <c r="P19" s="15">
        <f>SUM(P15:P18)</f>
        <v/>
      </c>
    </row>
    <row r="22">
      <c r="A22" s="3" t="inlineStr">
        <is>
          <t>3. FUNCTIONAL/PRODUCT CONCENTRATION -- % of revenue. Q4 NOT derivable.</t>
        </is>
      </c>
    </row>
    <row r="23">
      <c r="A23" s="4" t="inlineStr">
        <is>
          <t>Metric</t>
        </is>
      </c>
      <c r="B23" s="5" t="inlineStr">
        <is>
          <t>Q1 2023</t>
        </is>
      </c>
      <c r="C23" s="5" t="inlineStr">
        <is>
          <t>Q2 2023</t>
        </is>
      </c>
      <c r="D23" s="5" t="inlineStr">
        <is>
          <t>Q3 2023</t>
        </is>
      </c>
      <c r="E23" s="6" t="inlineStr">
        <is>
          <t>Q4 2023</t>
        </is>
      </c>
      <c r="F23" s="7" t="inlineStr">
        <is>
          <t>FY2023</t>
        </is>
      </c>
      <c r="G23" s="5" t="inlineStr">
        <is>
          <t>Q1 2024</t>
        </is>
      </c>
      <c r="H23" s="5" t="inlineStr">
        <is>
          <t>Q2 2024</t>
        </is>
      </c>
      <c r="I23" s="5" t="inlineStr">
        <is>
          <t>Q3 2024</t>
        </is>
      </c>
      <c r="J23" s="6" t="inlineStr">
        <is>
          <t>Q4 2024</t>
        </is>
      </c>
      <c r="K23" s="7" t="inlineStr">
        <is>
          <t>FY2024</t>
        </is>
      </c>
      <c r="L23" s="5" t="inlineStr">
        <is>
          <t>Q1 2025</t>
        </is>
      </c>
      <c r="M23" s="5" t="inlineStr">
        <is>
          <t>Q2 2025</t>
        </is>
      </c>
      <c r="N23" s="5" t="inlineStr">
        <is>
          <t>Q3 2025</t>
        </is>
      </c>
      <c r="O23" s="6" t="inlineStr">
        <is>
          <t>Q4 2025</t>
        </is>
      </c>
      <c r="P23" s="7" t="inlineStr">
        <is>
          <t>FY2025</t>
        </is>
      </c>
      <c r="Q23" s="4" t="inlineStr">
        <is>
          <t>Notes</t>
        </is>
      </c>
    </row>
    <row r="24">
      <c r="A24" s="8" t="inlineStr">
        <is>
          <t>Single-Period %</t>
        </is>
      </c>
      <c r="E24" s="14" t="inlineStr">
        <is>
          <t>n/d</t>
        </is>
      </c>
      <c r="F24" s="13" t="n">
        <v>0.961</v>
      </c>
      <c r="I24" s="13" t="n">
        <v>0.945</v>
      </c>
      <c r="J24" s="14" t="inlineStr">
        <is>
          <t>n/d</t>
        </is>
      </c>
      <c r="K24" s="13" t="n">
        <v>0.953</v>
      </c>
      <c r="M24" s="13" t="n">
        <v>0.926</v>
      </c>
      <c r="N24" s="13" t="n">
        <v>0.95</v>
      </c>
      <c r="O24" s="14" t="inlineStr">
        <is>
          <t>n/d</t>
        </is>
      </c>
      <c r="P24" s="13" t="n">
        <v>0.929</v>
      </c>
    </row>
    <row r="25">
      <c r="A25" s="8" t="inlineStr">
        <is>
          <t>YTD %</t>
        </is>
      </c>
      <c r="E25" s="14" t="inlineStr">
        <is>
          <t>n/d</t>
        </is>
      </c>
      <c r="I25" s="13" t="n">
        <v>0.954</v>
      </c>
      <c r="J25" s="14" t="inlineStr">
        <is>
          <t>n/d</t>
        </is>
      </c>
      <c r="M25" s="13" t="n">
        <v>0.9350000000000001</v>
      </c>
      <c r="N25" s="13" t="n">
        <v>0.9409999999999999</v>
      </c>
      <c r="O25" s="14" t="inlineStr">
        <is>
          <t>n/d</t>
        </is>
      </c>
    </row>
    <row r="28">
      <c r="A28" s="3" t="inlineStr">
        <is>
          <t>4. BRAND CONTRIBUTION -- Revenue ($ thousands). Pre-acquisition periods = 100% legacy brand.</t>
        </is>
      </c>
    </row>
    <row r="29">
      <c r="A29" s="4" t="inlineStr">
        <is>
          <t>Metric</t>
        </is>
      </c>
      <c r="B29" s="5" t="inlineStr">
        <is>
          <t>Q1 2023</t>
        </is>
      </c>
      <c r="C29" s="5" t="inlineStr">
        <is>
          <t>Q2 2023</t>
        </is>
      </c>
      <c r="D29" s="5" t="inlineStr">
        <is>
          <t>Q3 2023</t>
        </is>
      </c>
      <c r="E29" s="6" t="inlineStr">
        <is>
          <t>Q4 2023</t>
        </is>
      </c>
      <c r="F29" s="7" t="inlineStr">
        <is>
          <t>FY2023</t>
        </is>
      </c>
      <c r="G29" s="5" t="inlineStr">
        <is>
          <t>Q1 2024</t>
        </is>
      </c>
      <c r="H29" s="5" t="inlineStr">
        <is>
          <t>Q2 2024</t>
        </is>
      </c>
      <c r="I29" s="5" t="inlineStr">
        <is>
          <t>Q3 2024</t>
        </is>
      </c>
      <c r="J29" s="6" t="inlineStr">
        <is>
          <t>Q4 2024</t>
        </is>
      </c>
      <c r="K29" s="7" t="inlineStr">
        <is>
          <t>FY2024</t>
        </is>
      </c>
      <c r="L29" s="5" t="inlineStr">
        <is>
          <t>Q1 2025</t>
        </is>
      </c>
      <c r="M29" s="5" t="inlineStr">
        <is>
          <t>Q2 2025</t>
        </is>
      </c>
      <c r="N29" s="5" t="inlineStr">
        <is>
          <t>Q3 2025</t>
        </is>
      </c>
      <c r="O29" s="6" t="inlineStr">
        <is>
          <t>Q4 2025</t>
        </is>
      </c>
      <c r="P29" s="7" t="inlineStr">
        <is>
          <t>FY2025</t>
        </is>
      </c>
      <c r="Q29" s="4" t="inlineStr">
        <is>
          <t>Notes</t>
        </is>
      </c>
    </row>
    <row r="30">
      <c r="A30" s="8" t="inlineStr">
        <is>
          <t>Celsius (residual)</t>
        </is>
      </c>
      <c r="L30" s="10">
        <f>L10-L31-L32</f>
        <v/>
      </c>
      <c r="M30" s="10">
        <f>M10-M31-M32</f>
        <v/>
      </c>
      <c r="N30" s="10">
        <f>N10-N31-N32</f>
        <v/>
      </c>
      <c r="O30" s="10">
        <f>O10-O31-O32</f>
        <v/>
      </c>
      <c r="P30" s="10">
        <f>P10-P31-P32</f>
        <v/>
      </c>
    </row>
    <row r="31">
      <c r="A31" s="8" t="inlineStr">
        <is>
          <t>Alani Nu</t>
        </is>
      </c>
      <c r="L31" s="9" t="n">
        <v>0</v>
      </c>
      <c r="M31" s="9" t="n">
        <v>301200</v>
      </c>
      <c r="N31" s="9" t="n">
        <v>332000</v>
      </c>
      <c r="O31" s="10">
        <f>P31-L31-M31-N31</f>
        <v/>
      </c>
      <c r="P31" s="9" t="n">
        <v>1001900</v>
      </c>
    </row>
    <row r="32">
      <c r="A32" s="8" t="inlineStr">
        <is>
          <t>Rockstar</t>
        </is>
      </c>
      <c r="L32" s="9" t="n">
        <v>0</v>
      </c>
      <c r="M32" s="9" t="n">
        <v>0</v>
      </c>
      <c r="N32" s="9" t="n">
        <v>12200</v>
      </c>
      <c r="O32" s="10">
        <f>P32-L32-M32-N32</f>
        <v/>
      </c>
      <c r="P32" s="9" t="n">
        <v>55600</v>
      </c>
    </row>
    <row r="33">
      <c r="A33" s="11" t="inlineStr">
        <is>
          <t>Total Revenue (link)</t>
        </is>
      </c>
      <c r="L33" s="12">
        <f>L10</f>
        <v/>
      </c>
      <c r="M33" s="12">
        <f>M10</f>
        <v/>
      </c>
      <c r="N33" s="12">
        <f>N10</f>
        <v/>
      </c>
      <c r="O33" s="12">
        <f>O10</f>
        <v/>
      </c>
      <c r="P33" s="12">
        <f>P10</f>
        <v/>
      </c>
    </row>
    <row r="34">
      <c r="A34" s="8" t="inlineStr">
        <is>
          <t>% Alani Nu of Revenue</t>
        </is>
      </c>
      <c r="L34" s="17">
        <f>IFERROR(L31/L33, 0)</f>
        <v/>
      </c>
      <c r="M34" s="17">
        <f>IFERROR(M31/M33, 0)</f>
        <v/>
      </c>
      <c r="N34" s="17">
        <f>IFERROR(N31/N33, 0)</f>
        <v/>
      </c>
      <c r="O34" s="17">
        <f>IFERROR(O31/O33, 0)</f>
        <v/>
      </c>
      <c r="P34" s="17">
        <f>IFERROR(P31/P33, 0)</f>
        <v/>
      </c>
    </row>
    <row r="37">
      <c r="A37" s="3" t="inlineStr">
        <is>
          <t>5. PRO FORMA vs AS-REPORTED -- Revenue ($ thousands). Pro forma = as if acquisitions closed at start of prior year.</t>
        </is>
      </c>
    </row>
    <row r="38">
      <c r="A38" s="4" t="inlineStr">
        <is>
          <t>Metric</t>
        </is>
      </c>
      <c r="B38" s="5" t="inlineStr">
        <is>
          <t>Q3 2024</t>
        </is>
      </c>
      <c r="C38" s="5" t="inlineStr">
        <is>
          <t>Q3 2025</t>
        </is>
      </c>
      <c r="D38" s="5" t="inlineStr">
        <is>
          <t>9M 2024</t>
        </is>
      </c>
      <c r="E38" s="5" t="inlineStr">
        <is>
          <t>9M 2025</t>
        </is>
      </c>
      <c r="F38" s="7" t="inlineStr">
        <is>
          <t>FY2024</t>
        </is>
      </c>
      <c r="G38" s="7" t="inlineStr">
        <is>
          <t>FY2025</t>
        </is>
      </c>
    </row>
    <row r="39">
      <c r="A39" s="8" t="inlineStr">
        <is>
          <t>As-Reported Revenue</t>
        </is>
      </c>
      <c r="B39" s="9" t="n">
        <v>265748</v>
      </c>
      <c r="C39" s="9" t="n">
        <v>725106</v>
      </c>
      <c r="D39" s="9" t="n">
        <v>1023433</v>
      </c>
      <c r="E39" s="9" t="n">
        <v>1793641</v>
      </c>
      <c r="F39" s="9" t="n">
        <v>1355630</v>
      </c>
      <c r="G39" s="9" t="n">
        <v>2515269</v>
      </c>
    </row>
    <row r="40">
      <c r="A40" s="8" t="inlineStr">
        <is>
          <t>Pro Forma Revenue</t>
        </is>
      </c>
      <c r="B40" s="9" t="n">
        <v>513912</v>
      </c>
      <c r="C40" s="9" t="n">
        <v>798496</v>
      </c>
      <c r="D40" s="9" t="n">
        <v>1737287</v>
      </c>
      <c r="E40" s="9" t="n">
        <v>2271993</v>
      </c>
      <c r="F40" s="9" t="n">
        <v>2317965</v>
      </c>
      <c r="G40" s="9" t="n">
        <v>3003677</v>
      </c>
    </row>
    <row r="41">
      <c r="A41" s="8" t="inlineStr">
        <is>
          <t>Implied "Missing"</t>
        </is>
      </c>
      <c r="B41" s="10">
        <f>B40-B39</f>
        <v/>
      </c>
      <c r="C41" s="10">
        <f>C40-C39</f>
        <v/>
      </c>
      <c r="D41" s="10">
        <f>D40-D39</f>
        <v/>
      </c>
      <c r="E41" s="10">
        <f>E40-E39</f>
        <v/>
      </c>
      <c r="F41" s="10">
        <f>F40-F39</f>
        <v/>
      </c>
      <c r="G41" s="10">
        <f>G40-G39</f>
        <v/>
      </c>
    </row>
    <row r="42">
      <c r="A42" s="8" t="inlineStr">
        <is>
          <t>Pro Forma Y/Y %</t>
        </is>
      </c>
      <c r="C42" s="17">
        <f>C40/B40-1</f>
        <v/>
      </c>
      <c r="E42" s="17">
        <f>E40/D40-1</f>
        <v/>
      </c>
      <c r="G42" s="17">
        <f>G40/F40-1</f>
        <v/>
      </c>
    </row>
    <row r="45">
      <c r="A45" s="3" t="inlineStr">
        <is>
          <t>6. SG&amp;A WALK -- $ thousands. Driver Δ rows are period-over-period change. Q4 derived from FY - 9M YTD where both walks disclose the bucket.</t>
        </is>
      </c>
    </row>
    <row r="46">
      <c r="A46" s="4" t="inlineStr">
        <is>
          <t>Metric</t>
        </is>
      </c>
      <c r="B46" s="5" t="inlineStr">
        <is>
          <t>Q1 2023</t>
        </is>
      </c>
      <c r="C46" s="5" t="inlineStr">
        <is>
          <t>Q2 2023</t>
        </is>
      </c>
      <c r="D46" s="5" t="inlineStr">
        <is>
          <t>Q3 2023</t>
        </is>
      </c>
      <c r="E46" s="6" t="inlineStr">
        <is>
          <t>Q4 2023</t>
        </is>
      </c>
      <c r="F46" s="7" t="inlineStr">
        <is>
          <t>FY2023</t>
        </is>
      </c>
      <c r="G46" s="5" t="inlineStr">
        <is>
          <t>Q1 2024</t>
        </is>
      </c>
      <c r="H46" s="5" t="inlineStr">
        <is>
          <t>Q2 2024</t>
        </is>
      </c>
      <c r="I46" s="5" t="inlineStr">
        <is>
          <t>Q3 2024</t>
        </is>
      </c>
      <c r="J46" s="6" t="inlineStr">
        <is>
          <t>Q4 2024</t>
        </is>
      </c>
      <c r="K46" s="7" t="inlineStr">
        <is>
          <t>FY2024</t>
        </is>
      </c>
      <c r="L46" s="5" t="inlineStr">
        <is>
          <t>Q1 2025</t>
        </is>
      </c>
      <c r="M46" s="5" t="inlineStr">
        <is>
          <t>Q2 2025</t>
        </is>
      </c>
      <c r="N46" s="5" t="inlineStr">
        <is>
          <t>Q3 2025</t>
        </is>
      </c>
      <c r="O46" s="6" t="inlineStr">
        <is>
          <t>Q4 2025</t>
        </is>
      </c>
      <c r="P46" s="7" t="inlineStr">
        <is>
          <t>FY2025</t>
        </is>
      </c>
      <c r="Q46" s="4" t="inlineStr">
        <is>
          <t>Notes</t>
        </is>
      </c>
    </row>
    <row r="47">
      <c r="A47" s="4" t="inlineStr">
        <is>
          <t>Total SG&amp;A</t>
        </is>
      </c>
      <c r="B47" s="18" t="n">
        <v>68900</v>
      </c>
      <c r="C47" s="18" t="n">
        <v>94200</v>
      </c>
      <c r="D47" s="18" t="n">
        <v>96400</v>
      </c>
      <c r="E47" s="19">
        <f>F47-D47-C47-B47</f>
        <v/>
      </c>
      <c r="F47" s="18" t="n">
        <v>366800</v>
      </c>
      <c r="G47" s="18" t="n">
        <v>99000</v>
      </c>
      <c r="H47" s="18" t="n">
        <v>114900</v>
      </c>
      <c r="I47" s="18" t="n">
        <v>125400</v>
      </c>
      <c r="J47" s="19">
        <f>K47-I47-H47-G47</f>
        <v/>
      </c>
      <c r="K47" s="18" t="n">
        <v>524500</v>
      </c>
      <c r="L47" s="18" t="n">
        <v>120300</v>
      </c>
      <c r="M47" s="18" t="n">
        <v>237900</v>
      </c>
      <c r="N47" s="18" t="n">
        <v>205600</v>
      </c>
      <c r="O47" s="19">
        <f>P47-N47-M47-L47</f>
        <v/>
      </c>
      <c r="P47" s="18" t="n">
        <v>798800</v>
      </c>
    </row>
    <row r="48">
      <c r="A48" s="8" t="inlineStr">
        <is>
          <t>YoY Total Δ</t>
        </is>
      </c>
      <c r="G48" s="10">
        <f>G47-B47</f>
        <v/>
      </c>
      <c r="H48" s="10">
        <f>H47-C47</f>
        <v/>
      </c>
      <c r="I48" s="10">
        <f>I47-D47</f>
        <v/>
      </c>
      <c r="J48" s="10">
        <f>J47-E47</f>
        <v/>
      </c>
      <c r="K48" s="10">
        <f>K47-F47</f>
        <v/>
      </c>
      <c r="L48" s="10">
        <f>L47-G47</f>
        <v/>
      </c>
      <c r="M48" s="10">
        <f>M47-H47</f>
        <v/>
      </c>
      <c r="N48" s="10">
        <f>N47-I47</f>
        <v/>
      </c>
      <c r="O48" s="10">
        <f>O47-J47</f>
        <v/>
      </c>
      <c r="P48" s="10">
        <f>P47-K47</f>
        <v/>
      </c>
    </row>
    <row r="50">
      <c r="A50" s="20" t="inlineStr">
        <is>
          <t>MARKETING &amp; SELLING Δ</t>
        </is>
      </c>
      <c r="B50" s="21">
        <f>SUM(B51:B55)</f>
        <v/>
      </c>
      <c r="C50" s="21">
        <f>SUM(C51:C55)</f>
        <v/>
      </c>
      <c r="D50" s="21">
        <f>SUM(D51:D55)</f>
        <v/>
      </c>
      <c r="E50" s="21">
        <f>SUM(E51:E55)</f>
        <v/>
      </c>
      <c r="F50" s="21">
        <f>SUM(F51:F55)</f>
        <v/>
      </c>
      <c r="G50" s="21">
        <f>SUM(G51:G55)</f>
        <v/>
      </c>
      <c r="H50" s="21">
        <f>SUM(H51:H55)</f>
        <v/>
      </c>
      <c r="I50" s="21">
        <f>SUM(I51:I55)</f>
        <v/>
      </c>
      <c r="J50" s="21">
        <f>SUM(J51:J55)</f>
        <v/>
      </c>
      <c r="K50" s="21">
        <f>SUM(K51:K55)</f>
        <v/>
      </c>
      <c r="L50" s="21">
        <f>SUM(L51:L55)</f>
        <v/>
      </c>
      <c r="M50" s="21">
        <f>SUM(M51:M55)</f>
        <v/>
      </c>
      <c r="N50" s="21">
        <f>SUM(N51:N55)</f>
        <v/>
      </c>
      <c r="O50" s="21">
        <f>SUM(O51:O55)</f>
        <v/>
      </c>
      <c r="P50" s="21">
        <f>SUM(P51:P55)</f>
        <v/>
      </c>
    </row>
    <row r="51">
      <c r="A51" s="22" t="inlineStr">
        <is>
          <t xml:space="preserve">  Marketing investments / campaigns</t>
        </is>
      </c>
      <c r="B51" s="9" t="n">
        <v>16500</v>
      </c>
      <c r="C51" s="9" t="n">
        <v>21700</v>
      </c>
      <c r="D51" s="9" t="n">
        <v>21200</v>
      </c>
      <c r="E51" s="9" t="n">
        <v>15700</v>
      </c>
      <c r="F51" s="9" t="n">
        <v>75000</v>
      </c>
      <c r="G51" s="9" t="n">
        <v>14400</v>
      </c>
      <c r="H51" s="9" t="n">
        <v>22900</v>
      </c>
      <c r="I51" s="9" t="n">
        <v>17500</v>
      </c>
      <c r="J51" s="9" t="n">
        <v>5500</v>
      </c>
      <c r="K51" s="9" t="n">
        <v>61500</v>
      </c>
      <c r="L51" s="9" t="n">
        <v>2800</v>
      </c>
      <c r="M51" s="9" t="n">
        <v>17500</v>
      </c>
      <c r="N51" s="9" t="n">
        <v>17800</v>
      </c>
      <c r="O51" s="9" t="n">
        <v>38500</v>
      </c>
      <c r="P51" s="9" t="n">
        <v>76600</v>
      </c>
    </row>
    <row r="52">
      <c r="A52" s="22" t="inlineStr">
        <is>
          <t xml:space="preserve">  Storage / Distribution</t>
        </is>
      </c>
      <c r="B52" s="9" t="n">
        <v>-3000</v>
      </c>
      <c r="C52" s="9" t="n">
        <v>3000</v>
      </c>
      <c r="D52" s="9" t="n">
        <v>2200</v>
      </c>
      <c r="E52" s="9" t="n">
        <v>12100</v>
      </c>
      <c r="F52" s="9" t="n">
        <v>12100</v>
      </c>
      <c r="G52" s="9" t="n">
        <v>4500</v>
      </c>
    </row>
    <row r="53">
      <c r="A53" s="22" t="inlineStr">
        <is>
          <t xml:space="preserve">  Sales/Marketing Employee</t>
        </is>
      </c>
      <c r="B53" s="9" t="n">
        <v>3600</v>
      </c>
      <c r="C53" s="9" t="n">
        <v>1800</v>
      </c>
      <c r="D53" s="9" t="n">
        <v>3900</v>
      </c>
      <c r="E53" s="9" t="n">
        <v>4100</v>
      </c>
      <c r="F53" s="9" t="n">
        <v>13400</v>
      </c>
      <c r="G53" s="9" t="n">
        <v>7600</v>
      </c>
      <c r="H53" s="9" t="n">
        <v>9700</v>
      </c>
      <c r="I53" s="9" t="n">
        <v>9300</v>
      </c>
      <c r="J53" s="9" t="n">
        <v>8900</v>
      </c>
      <c r="K53" s="9" t="n">
        <v>35500</v>
      </c>
      <c r="L53" s="9" t="n">
        <v>4900</v>
      </c>
      <c r="M53" s="9" t="n">
        <v>7900</v>
      </c>
      <c r="N53" s="9" t="n">
        <v>4800</v>
      </c>
      <c r="O53" s="9" t="n">
        <v>13200</v>
      </c>
      <c r="P53" s="9" t="n">
        <v>29100</v>
      </c>
    </row>
    <row r="54">
      <c r="A54" s="22" t="inlineStr">
        <is>
          <t xml:space="preserve">  Alani attributable (M&amp;S)</t>
        </is>
      </c>
      <c r="M54" s="9" t="n">
        <v>29700</v>
      </c>
      <c r="N54" s="9" t="n">
        <v>19300</v>
      </c>
      <c r="O54" s="9" t="n">
        <v>16000</v>
      </c>
      <c r="P54" s="9" t="n">
        <v>65000</v>
      </c>
    </row>
    <row r="55">
      <c r="A55" s="22" t="inlineStr">
        <is>
          <t xml:space="preserve">  Other selling</t>
        </is>
      </c>
      <c r="G55" s="9" t="n">
        <v>2700</v>
      </c>
      <c r="M55" s="9" t="n">
        <v>5500</v>
      </c>
      <c r="N55" s="9" t="n">
        <v>6000</v>
      </c>
      <c r="O55" s="9" t="n">
        <v>19300</v>
      </c>
      <c r="P55" s="9" t="n">
        <v>29900</v>
      </c>
    </row>
    <row r="57">
      <c r="A57" s="20" t="inlineStr">
        <is>
          <t>GENERAL &amp; ADMIN Δ</t>
        </is>
      </c>
      <c r="B57" s="21">
        <f>SUM(B58:B64)</f>
        <v/>
      </c>
      <c r="C57" s="21">
        <f>SUM(C58:C64)</f>
        <v/>
      </c>
      <c r="D57" s="21">
        <f>SUM(D58:D64)</f>
        <v/>
      </c>
      <c r="E57" s="21">
        <f>SUM(E58:E64)</f>
        <v/>
      </c>
      <c r="F57" s="21">
        <f>SUM(F58:F64)</f>
        <v/>
      </c>
      <c r="G57" s="21">
        <f>SUM(G58:G64)</f>
        <v/>
      </c>
      <c r="H57" s="21">
        <f>SUM(H58:H64)</f>
        <v/>
      </c>
      <c r="I57" s="21">
        <f>SUM(I58:I64)</f>
        <v/>
      </c>
      <c r="J57" s="21">
        <f>SUM(J58:J64)</f>
        <v/>
      </c>
      <c r="K57" s="21">
        <f>SUM(K58:K64)</f>
        <v/>
      </c>
      <c r="L57" s="21">
        <f>SUM(L58:L64)</f>
        <v/>
      </c>
      <c r="M57" s="21">
        <f>SUM(M58:M64)</f>
        <v/>
      </c>
      <c r="N57" s="21">
        <f>SUM(N58:N64)</f>
        <v/>
      </c>
      <c r="O57" s="21">
        <f>SUM(O58:O64)</f>
        <v/>
      </c>
      <c r="P57" s="21">
        <f>SUM(P58:P64)</f>
        <v/>
      </c>
    </row>
    <row r="58">
      <c r="A58" s="22" t="inlineStr">
        <is>
          <t xml:space="preserve">  Administrative expenses</t>
        </is>
      </c>
      <c r="B58" s="9" t="n">
        <v>5500</v>
      </c>
      <c r="C58" s="9" t="n">
        <v>15000</v>
      </c>
      <c r="D58" s="9" t="n">
        <v>-6300</v>
      </c>
      <c r="E58" s="9" t="n">
        <v>3900</v>
      </c>
      <c r="F58" s="9" t="n">
        <v>18000</v>
      </c>
      <c r="G58" s="9" t="n">
        <v>2800</v>
      </c>
      <c r="H58" s="9" t="n">
        <v>-10400</v>
      </c>
      <c r="L58" s="9" t="n">
        <v>12100</v>
      </c>
    </row>
    <row r="59">
      <c r="A59" s="22" t="inlineStr">
        <is>
          <t xml:space="preserve">  Acquisition / Integration</t>
        </is>
      </c>
      <c r="M59" s="9" t="n">
        <v>16000</v>
      </c>
      <c r="N59" s="9" t="n">
        <v>15300</v>
      </c>
      <c r="O59" s="9" t="n">
        <v>4500</v>
      </c>
      <c r="P59" s="9" t="n">
        <v>44900</v>
      </c>
    </row>
    <row r="60">
      <c r="A60" s="22" t="inlineStr">
        <is>
          <t xml:space="preserve">  Alani attributable (G&amp;A)</t>
        </is>
      </c>
      <c r="M60" s="9" t="n">
        <v>15800</v>
      </c>
      <c r="N60" s="9" t="n">
        <v>12500</v>
      </c>
      <c r="O60" s="9" t="n">
        <v>25100</v>
      </c>
      <c r="P60" s="9" t="n">
        <v>53400</v>
      </c>
    </row>
    <row r="61">
      <c r="A61" s="22" t="inlineStr">
        <is>
          <t xml:space="preserve">  Contingent Consideration</t>
        </is>
      </c>
      <c r="M61" s="9" t="n">
        <v>13800</v>
      </c>
      <c r="O61" s="9" t="n">
        <v>0</v>
      </c>
      <c r="P61" s="9" t="n">
        <v>13800</v>
      </c>
    </row>
    <row r="62">
      <c r="A62" s="22" t="inlineStr">
        <is>
          <t xml:space="preserve">  Legal Accrual</t>
        </is>
      </c>
      <c r="J62" s="9" t="n">
        <v>52800</v>
      </c>
      <c r="K62" s="9" t="n">
        <v>52800</v>
      </c>
      <c r="O62" s="9" t="n">
        <v>-46000</v>
      </c>
      <c r="P62" s="9" t="n">
        <v>-46000</v>
      </c>
    </row>
    <row r="63">
      <c r="A63" s="22" t="inlineStr">
        <is>
          <t xml:space="preserve">  Stock-based Compensation</t>
        </is>
      </c>
      <c r="B63" s="9" t="n">
        <v>1200</v>
      </c>
      <c r="C63" s="9" t="n">
        <v>1500</v>
      </c>
      <c r="D63" s="9" t="n">
        <v>-1300</v>
      </c>
      <c r="E63" s="9" t="n">
        <v>-800</v>
      </c>
      <c r="F63" s="9" t="n">
        <v>600</v>
      </c>
      <c r="G63" s="9" t="n">
        <v>-1900</v>
      </c>
      <c r="H63" s="9" t="n">
        <v>-1000</v>
      </c>
    </row>
    <row r="64">
      <c r="A64" s="22" t="inlineStr">
        <is>
          <t xml:space="preserve">  Other admin</t>
        </is>
      </c>
      <c r="B64" s="9" t="n">
        <v>1400</v>
      </c>
      <c r="C64" s="9" t="n">
        <v>4300</v>
      </c>
      <c r="H64" s="9" t="n">
        <v>-500</v>
      </c>
      <c r="I64" s="9" t="n">
        <v>2200</v>
      </c>
      <c r="J64" s="9" t="n">
        <v>10700</v>
      </c>
      <c r="K64" s="9" t="n">
        <v>7900</v>
      </c>
      <c r="L64" s="9" t="n">
        <v>1500</v>
      </c>
      <c r="M64" s="9" t="n">
        <v>16800</v>
      </c>
      <c r="N64" s="9" t="n">
        <v>4500</v>
      </c>
      <c r="O64" s="9" t="n">
        <v>-20800</v>
      </c>
      <c r="P64" s="9" t="n">
        <v>7600</v>
      </c>
    </row>
    <row r="66">
      <c r="A66" s="11" t="inlineStr">
        <is>
          <t>Distributor Term Δ (in-SG&amp;A era)</t>
        </is>
      </c>
      <c r="D66" s="9" t="n">
        <v>-149500</v>
      </c>
      <c r="E66" s="9" t="n">
        <v>-39400</v>
      </c>
      <c r="F66" s="9" t="n">
        <v>-181000</v>
      </c>
    </row>
    <row r="67">
      <c r="A67" s="23" t="inlineStr">
        <is>
          <t>Σ Buckets (check)</t>
        </is>
      </c>
      <c r="B67" s="10">
        <f>B50+B57+B66</f>
        <v/>
      </c>
      <c r="C67" s="10">
        <f>C50+C57+C66</f>
        <v/>
      </c>
      <c r="D67" s="10">
        <f>D50+D57+D66</f>
        <v/>
      </c>
      <c r="E67" s="10">
        <f>E50+E57+E66</f>
        <v/>
      </c>
      <c r="F67" s="10">
        <f>F50+F57+F66</f>
        <v/>
      </c>
      <c r="G67" s="10">
        <f>G50+G57+G66</f>
        <v/>
      </c>
      <c r="H67" s="10">
        <f>H50+H57+H66</f>
        <v/>
      </c>
      <c r="I67" s="10">
        <f>I50+I57+I66</f>
        <v/>
      </c>
      <c r="J67" s="10">
        <f>J50+J57+J66</f>
        <v/>
      </c>
      <c r="K67" s="10">
        <f>K50+K57+K66</f>
        <v/>
      </c>
      <c r="L67" s="10">
        <f>L50+L57+L66</f>
        <v/>
      </c>
      <c r="M67" s="10">
        <f>M50+M57+M66</f>
        <v/>
      </c>
      <c r="N67" s="10">
        <f>N50+N57+N66</f>
        <v/>
      </c>
      <c r="O67" s="10">
        <f>O50+O57+O66</f>
        <v/>
      </c>
      <c r="P67" s="10">
        <f>P50+P57+P66</f>
        <v/>
      </c>
    </row>
    <row r="69">
      <c r="A69" s="4" t="inlineStr">
        <is>
          <t>Distributor Term Fees (IS line, post-2025)</t>
        </is>
      </c>
      <c r="N69" s="18" t="n">
        <v>246700</v>
      </c>
      <c r="O69" s="10">
        <f>P69-N69</f>
        <v/>
      </c>
      <c r="P69" s="18" t="n">
        <v>327500</v>
      </c>
    </row>
    <row r="72">
      <c r="A72" s="3" t="inlineStr">
        <is>
          <t>7. GROSS PROFIT &amp; MARGIN -- $ thousands + %. Drivers qualitative (CELH does NOT disclose $ bridges for GP).</t>
        </is>
      </c>
    </row>
    <row r="73">
      <c r="A73" s="4" t="inlineStr">
        <is>
          <t>Metric</t>
        </is>
      </c>
      <c r="B73" s="5" t="inlineStr">
        <is>
          <t>Q1 2023</t>
        </is>
      </c>
      <c r="C73" s="5" t="inlineStr">
        <is>
          <t>Q2 2023</t>
        </is>
      </c>
      <c r="D73" s="5" t="inlineStr">
        <is>
          <t>Q3 2023</t>
        </is>
      </c>
      <c r="E73" s="6" t="inlineStr">
        <is>
          <t>Q4 2023</t>
        </is>
      </c>
      <c r="F73" s="7" t="inlineStr">
        <is>
          <t>FY2023</t>
        </is>
      </c>
      <c r="G73" s="5" t="inlineStr">
        <is>
          <t>Q1 2024</t>
        </is>
      </c>
      <c r="H73" s="5" t="inlineStr">
        <is>
          <t>Q2 2024</t>
        </is>
      </c>
      <c r="I73" s="5" t="inlineStr">
        <is>
          <t>Q3 2024</t>
        </is>
      </c>
      <c r="J73" s="6" t="inlineStr">
        <is>
          <t>Q4 2024</t>
        </is>
      </c>
      <c r="K73" s="7" t="inlineStr">
        <is>
          <t>FY2024</t>
        </is>
      </c>
      <c r="L73" s="5" t="inlineStr">
        <is>
          <t>Q1 2025</t>
        </is>
      </c>
      <c r="M73" s="5" t="inlineStr">
        <is>
          <t>Q2 2025</t>
        </is>
      </c>
      <c r="N73" s="5" t="inlineStr">
        <is>
          <t>Q3 2025</t>
        </is>
      </c>
      <c r="O73" s="6" t="inlineStr">
        <is>
          <t>Q4 2025</t>
        </is>
      </c>
      <c r="P73" s="7" t="inlineStr">
        <is>
          <t>FY2025</t>
        </is>
      </c>
      <c r="Q73" s="4" t="inlineStr">
        <is>
          <t>Notes</t>
        </is>
      </c>
    </row>
    <row r="74">
      <c r="A74" s="8" t="inlineStr">
        <is>
          <t>Gross Profit $</t>
        </is>
      </c>
      <c r="B74" s="9" t="n">
        <v>113800</v>
      </c>
      <c r="C74" s="9" t="n">
        <v>159000</v>
      </c>
      <c r="D74" s="9" t="n">
        <v>194100</v>
      </c>
      <c r="E74" s="10">
        <f>F74-D74-C74-B74</f>
        <v/>
      </c>
      <c r="F74" s="9" t="n">
        <v>633100</v>
      </c>
      <c r="G74" s="9" t="n">
        <v>182200</v>
      </c>
      <c r="H74" s="9" t="n">
        <v>209100</v>
      </c>
      <c r="I74" s="9" t="n">
        <v>122200</v>
      </c>
      <c r="J74" s="10">
        <f>K74-I74-H74-G74</f>
        <v/>
      </c>
      <c r="K74" s="9" t="n">
        <v>680200</v>
      </c>
      <c r="L74" s="9" t="n">
        <v>172400</v>
      </c>
      <c r="M74" s="9" t="n">
        <v>380900</v>
      </c>
      <c r="N74" s="9" t="n">
        <v>372300</v>
      </c>
      <c r="O74" s="10">
        <f>P74-N74-M74-L74</f>
        <v/>
      </c>
      <c r="P74" s="9" t="n">
        <v>1267300</v>
      </c>
    </row>
    <row r="75">
      <c r="A75" s="4" t="inlineStr">
        <is>
          <t>GP Margin %</t>
        </is>
      </c>
      <c r="B75" s="24">
        <f>IFERROR(B74/B10, 0)</f>
        <v/>
      </c>
      <c r="C75" s="24">
        <f>IFERROR(C74/C10, 0)</f>
        <v/>
      </c>
      <c r="D75" s="24">
        <f>IFERROR(D74/D10, 0)</f>
        <v/>
      </c>
      <c r="E75" s="24">
        <f>IFERROR(E74/E10, 0)</f>
        <v/>
      </c>
      <c r="F75" s="24">
        <f>IFERROR(F74/F10, 0)</f>
        <v/>
      </c>
      <c r="G75" s="24">
        <f>IFERROR(G74/G10, 0)</f>
        <v/>
      </c>
      <c r="H75" s="24">
        <f>IFERROR(H74/H10, 0)</f>
        <v/>
      </c>
      <c r="I75" s="24">
        <f>IFERROR(I74/I10, 0)</f>
        <v/>
      </c>
      <c r="J75" s="24">
        <f>IFERROR(J74/J10, 0)</f>
        <v/>
      </c>
      <c r="K75" s="24">
        <f>IFERROR(K74/K10, 0)</f>
        <v/>
      </c>
      <c r="L75" s="24">
        <f>IFERROR(L74/L10, 0)</f>
        <v/>
      </c>
      <c r="M75" s="24">
        <f>IFERROR(M74/M10, 0)</f>
        <v/>
      </c>
      <c r="N75" s="24">
        <f>IFERROR(N74/N10, 0)</f>
        <v/>
      </c>
      <c r="O75" s="24">
        <f>IFERROR(O74/O10, 0)</f>
        <v/>
      </c>
      <c r="P75" s="24">
        <f>IFERROR(P74/P10, 0)</f>
        <v/>
      </c>
    </row>
    <row r="76">
      <c r="A76" s="8" t="inlineStr">
        <is>
          <t>YoY Δ pts</t>
        </is>
      </c>
      <c r="G76" s="17">
        <f>G75-B75</f>
        <v/>
      </c>
      <c r="H76" s="17">
        <f>H75-C75</f>
        <v/>
      </c>
      <c r="I76" s="17">
        <f>I75-D75</f>
        <v/>
      </c>
      <c r="J76" s="17">
        <f>J75-E75</f>
        <v/>
      </c>
      <c r="K76" s="17">
        <f>K75-F75</f>
        <v/>
      </c>
      <c r="L76" s="17">
        <f>L75-G75</f>
        <v/>
      </c>
      <c r="M76" s="17">
        <f>M75-H75</f>
        <v/>
      </c>
      <c r="N76" s="17">
        <f>N75-I75</f>
        <v/>
      </c>
      <c r="O76" s="17">
        <f>O75-J75</f>
        <v/>
      </c>
      <c r="P76" s="17">
        <f>P75-K75</f>
        <v/>
      </c>
    </row>
    <row r="77">
      <c r="A77" s="8" t="inlineStr">
        <is>
          <t>Raw Mat / Pkg</t>
        </is>
      </c>
      <c r="B77" s="25" t="inlineStr">
        <is>
          <t>+</t>
        </is>
      </c>
      <c r="C77" s="25" t="inlineStr">
        <is>
          <t>+</t>
        </is>
      </c>
      <c r="D77" s="25" t="inlineStr">
        <is>
          <t>+</t>
        </is>
      </c>
      <c r="F77" s="25" t="inlineStr">
        <is>
          <t>+</t>
        </is>
      </c>
      <c r="G77" s="25" t="inlineStr">
        <is>
          <t>+</t>
        </is>
      </c>
      <c r="H77" s="25" t="inlineStr">
        <is>
          <t>+</t>
        </is>
      </c>
      <c r="I77" s="25" t="inlineStr">
        <is>
          <t>+</t>
        </is>
      </c>
      <c r="K77" s="25" t="inlineStr">
        <is>
          <t>+</t>
        </is>
      </c>
      <c r="L77" s="25" t="inlineStr">
        <is>
          <t>+</t>
        </is>
      </c>
      <c r="M77" s="25" t="inlineStr">
        <is>
          <t>+</t>
        </is>
      </c>
      <c r="N77" s="25" t="inlineStr">
        <is>
          <t>+</t>
        </is>
      </c>
      <c r="P77" s="25" t="inlineStr">
        <is>
          <t>+</t>
        </is>
      </c>
    </row>
    <row r="78">
      <c r="A78" s="8" t="inlineStr">
        <is>
          <t>Promo Spend</t>
        </is>
      </c>
      <c r="D78" s="25" t="inlineStr">
        <is>
          <t>+</t>
        </is>
      </c>
      <c r="I78" s="26" t="inlineStr">
        <is>
          <t>-</t>
        </is>
      </c>
      <c r="K78" s="26" t="inlineStr">
        <is>
          <t>-</t>
        </is>
      </c>
      <c r="L78" s="26" t="inlineStr">
        <is>
          <t>-</t>
        </is>
      </c>
      <c r="N78" s="25" t="inlineStr">
        <is>
          <t>+</t>
        </is>
      </c>
      <c r="P78" s="25" t="inlineStr">
        <is>
          <t>+</t>
        </is>
      </c>
    </row>
    <row r="79">
      <c r="A79" s="8" t="inlineStr">
        <is>
          <t>Freight</t>
        </is>
      </c>
      <c r="B79" s="26" t="inlineStr">
        <is>
          <t>-</t>
        </is>
      </c>
      <c r="C79" s="25" t="inlineStr">
        <is>
          <t>+</t>
        </is>
      </c>
      <c r="D79" s="25" t="inlineStr">
        <is>
          <t>+</t>
        </is>
      </c>
      <c r="G79" s="25" t="inlineStr">
        <is>
          <t>+</t>
        </is>
      </c>
      <c r="H79" s="25" t="inlineStr">
        <is>
          <t>+</t>
        </is>
      </c>
      <c r="I79" s="25" t="inlineStr">
        <is>
          <t>+</t>
        </is>
      </c>
      <c r="K79" s="25" t="inlineStr">
        <is>
          <t>+</t>
        </is>
      </c>
    </row>
    <row r="80">
      <c r="A80" s="8" t="inlineStr">
        <is>
          <t>Channel/Pack Mix</t>
        </is>
      </c>
      <c r="B80" s="25" t="inlineStr">
        <is>
          <t>+</t>
        </is>
      </c>
      <c r="M80" s="25" t="inlineStr">
        <is>
          <t>+</t>
        </is>
      </c>
      <c r="N80" s="25" t="inlineStr">
        <is>
          <t>+</t>
        </is>
      </c>
      <c r="P80" s="25" t="inlineStr">
        <is>
          <t>+</t>
        </is>
      </c>
    </row>
    <row r="81">
      <c r="A81" s="8" t="inlineStr">
        <is>
          <t>Brand Mix Drag</t>
        </is>
      </c>
      <c r="M81" s="26" t="inlineStr">
        <is>
          <t>-</t>
        </is>
      </c>
      <c r="N81" s="26" t="inlineStr">
        <is>
          <t>-</t>
        </is>
      </c>
      <c r="P81" s="26" t="inlineStr">
        <is>
          <t>-</t>
        </is>
      </c>
    </row>
    <row r="82">
      <c r="A82" s="8" t="inlineStr">
        <is>
          <t>Inv Step-Up</t>
        </is>
      </c>
      <c r="M82" s="26" t="inlineStr">
        <is>
          <t>-</t>
        </is>
      </c>
      <c r="P82" s="26" t="inlineStr">
        <is>
          <t>-</t>
        </is>
      </c>
    </row>
    <row r="83">
      <c r="A83" s="8" t="inlineStr">
        <is>
          <t>Tariffs</t>
        </is>
      </c>
      <c r="N83" s="26" t="inlineStr">
        <is>
          <t>-</t>
        </is>
      </c>
    </row>
    <row r="86">
      <c r="A86" s="3" t="inlineStr">
        <is>
          <t>8. OTHER (EXPENSE) / INCOME WALK -- $ thousands.</t>
        </is>
      </c>
    </row>
    <row r="87">
      <c r="A87" s="4" t="inlineStr">
        <is>
          <t>Metric</t>
        </is>
      </c>
      <c r="B87" s="5" t="inlineStr">
        <is>
          <t>Q1 2023</t>
        </is>
      </c>
      <c r="C87" s="5" t="inlineStr">
        <is>
          <t>Q2 2023</t>
        </is>
      </c>
      <c r="D87" s="5" t="inlineStr">
        <is>
          <t>Q3 2023</t>
        </is>
      </c>
      <c r="E87" s="6" t="inlineStr">
        <is>
          <t>Q4 2023</t>
        </is>
      </c>
      <c r="F87" s="7" t="inlineStr">
        <is>
          <t>FY2023</t>
        </is>
      </c>
      <c r="G87" s="5" t="inlineStr">
        <is>
          <t>Q1 2024</t>
        </is>
      </c>
      <c r="H87" s="5" t="inlineStr">
        <is>
          <t>Q2 2024</t>
        </is>
      </c>
      <c r="I87" s="5" t="inlineStr">
        <is>
          <t>Q3 2024</t>
        </is>
      </c>
      <c r="J87" s="6" t="inlineStr">
        <is>
          <t>Q4 2024</t>
        </is>
      </c>
      <c r="K87" s="7" t="inlineStr">
        <is>
          <t>FY2024</t>
        </is>
      </c>
      <c r="L87" s="5" t="inlineStr">
        <is>
          <t>Q1 2025</t>
        </is>
      </c>
      <c r="M87" s="5" t="inlineStr">
        <is>
          <t>Q2 2025</t>
        </is>
      </c>
      <c r="N87" s="5" t="inlineStr">
        <is>
          <t>Q3 2025</t>
        </is>
      </c>
      <c r="O87" s="6" t="inlineStr">
        <is>
          <t>Q4 2025</t>
        </is>
      </c>
      <c r="P87" s="7" t="inlineStr">
        <is>
          <t>FY2025</t>
        </is>
      </c>
      <c r="Q87" s="4" t="inlineStr">
        <is>
          <t>Notes</t>
        </is>
      </c>
    </row>
    <row r="88">
      <c r="A88" s="4" t="inlineStr">
        <is>
          <t>Total Other Inc/(Exp)</t>
        </is>
      </c>
      <c r="B88" s="18" t="n">
        <v>4900</v>
      </c>
      <c r="C88" s="18" t="n">
        <v>4600</v>
      </c>
      <c r="D88" s="18" t="n">
        <v>7000</v>
      </c>
      <c r="E88" s="10">
        <f>F88-D88-C88-B88</f>
        <v/>
      </c>
      <c r="F88" s="18" t="n">
        <v>25400</v>
      </c>
      <c r="G88" s="18" t="n">
        <v>9300</v>
      </c>
      <c r="H88" s="18" t="n">
        <v>10400</v>
      </c>
      <c r="I88" s="18" t="n">
        <v>11400</v>
      </c>
      <c r="J88" s="10">
        <f>K88-I88-H88-G88</f>
        <v/>
      </c>
      <c r="K88" s="18" t="n">
        <v>39300</v>
      </c>
      <c r="L88" s="18" t="n">
        <v>9000</v>
      </c>
      <c r="M88" s="18" t="n">
        <v>-13600</v>
      </c>
      <c r="N88" s="18" t="n">
        <v>-8000</v>
      </c>
      <c r="O88" s="10">
        <f>P88-N88-M88-L88</f>
        <v/>
      </c>
      <c r="P88" s="18" t="n">
        <v>-16000</v>
      </c>
    </row>
    <row r="89">
      <c r="A89" s="8" t="inlineStr">
        <is>
          <t>Interest Income Δ</t>
        </is>
      </c>
      <c r="P89" s="9" t="n">
        <v>-18200</v>
      </c>
    </row>
    <row r="90">
      <c r="A90" s="8" t="inlineStr">
        <is>
          <t>Interest Expense Δ</t>
        </is>
      </c>
      <c r="N90" s="9" t="n">
        <v>-18200</v>
      </c>
      <c r="P90" s="9" t="n">
        <v>-49000</v>
      </c>
    </row>
    <row r="91">
      <c r="A91" s="8" t="inlineStr">
        <is>
          <t>Rockstar Agency Inc Δ</t>
        </is>
      </c>
      <c r="P91" s="9" t="n">
        <v>12600</v>
      </c>
    </row>
    <row r="92">
      <c r="A92" s="8" t="inlineStr">
        <is>
          <t>FX / Other Δ</t>
        </is>
      </c>
      <c r="P92" s="9" t="n">
        <v>-700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2026-05-06T16:29:30Z</dcterms:created>
  <dcterms:modified xmlns:dcterms="http://purl.org/dc/terms/" xmlns:xsi="http://www.w3.org/2001/XMLSchema-instance" xsi:type="dcterms:W3CDTF">2026-05-06T16:29:30Z</dcterms:modified>
</cp:coreProperties>
</file>