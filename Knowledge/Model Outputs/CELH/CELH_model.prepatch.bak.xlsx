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din\Desktop\Brain\Knowledge\Model Outputs\CELH\"/>
    </mc:Choice>
  </mc:AlternateContent>
  <xr:revisionPtr revIDLastSave="0" documentId="13_ncr:1_{A2BE50A8-4040-4825-BB0B-3713F25D30C1}" xr6:coauthVersionLast="47" xr6:coauthVersionMax="47" xr10:uidLastSave="{00000000-0000-0000-0000-000000000000}"/>
  <bookViews>
    <workbookView xWindow="-108" yWindow="-108" windowWidth="29016" windowHeight="15696" xr2:uid="{00000000-000D-0000-FFFF-FFFF00000000}"/>
  </bookViews>
  <sheets>
    <sheet name="ASSUMPTIONS" sheetId="1" r:id="rId1"/>
    <sheet name="ANNL P&amp;L" sheetId="2" r:id="rId2"/>
    <sheet name="BALANCE SHEET" sheetId="3" r:id="rId3"/>
    <sheet name="CASH FLOW" sheetId="4" r:id="rId4"/>
    <sheet name="YTD P&amp;L" sheetId="5" state="hidden" r:id="rId5"/>
    <sheet name="YTD BS" sheetId="6" state="hidden" r:id="rId6"/>
    <sheet name="YTD CF" sheetId="7" state="hidden" r:id="rId7"/>
    <sheet name="QTR P&amp;L" sheetId="8" r:id="rId8"/>
    <sheet name="QTR BS" sheetId="9" r:id="rId9"/>
    <sheet name="QTR CF" sheetId="10" r:id="rId10"/>
    <sheet name="IS DRIVERS" sheetId="11" r:id="rId11"/>
    <sheet name="BS DRIVERS" sheetId="12" r:id="rId12"/>
    <sheet name="CF DRIVERS" sheetId="13" r:id="rId13"/>
  </sheets>
  <calcPr calcId="191029" iterate="1" iterateCount="20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23" i="13"/>
  <c r="R23" i="13"/>
  <c r="N23" i="13"/>
  <c r="K23" i="13"/>
  <c r="J23" i="13"/>
  <c r="F23" i="13"/>
  <c r="U13" i="13"/>
  <c r="V12" i="13"/>
  <c r="R12" i="13"/>
  <c r="N12" i="13"/>
  <c r="J12" i="13"/>
  <c r="F12" i="13"/>
  <c r="U9" i="13"/>
  <c r="V4" i="13"/>
  <c r="R4" i="13"/>
  <c r="N4" i="13"/>
  <c r="J4" i="13"/>
  <c r="F4" i="13"/>
  <c r="B4" i="13"/>
  <c r="V3" i="13"/>
  <c r="R3" i="13"/>
  <c r="N3" i="13"/>
  <c r="J3" i="13"/>
  <c r="F3" i="13"/>
  <c r="L38" i="12"/>
  <c r="AD35" i="12"/>
  <c r="R35" i="12"/>
  <c r="L35" i="12"/>
  <c r="AG24" i="12"/>
  <c r="AH24" i="12" s="1"/>
  <c r="AI24" i="12" s="1"/>
  <c r="AJ24" i="12" s="1"/>
  <c r="AK24" i="12" s="1"/>
  <c r="AL24" i="12" s="1"/>
  <c r="AM24" i="12" s="1"/>
  <c r="E12" i="12"/>
  <c r="O9" i="12"/>
  <c r="N9" i="12"/>
  <c r="M3" i="12"/>
  <c r="W12" i="11"/>
  <c r="X12" i="11" s="1"/>
  <c r="Y12" i="11" s="1"/>
  <c r="Z12" i="11" s="1"/>
  <c r="AA12" i="11" s="1"/>
  <c r="AB12" i="11" s="1"/>
  <c r="AC12" i="11" s="1"/>
  <c r="AD12" i="11" s="1"/>
  <c r="AE12" i="11" s="1"/>
  <c r="AF12" i="11" s="1"/>
  <c r="AG12" i="11" s="1"/>
  <c r="AH12" i="11" s="1"/>
  <c r="S12" i="11"/>
  <c r="O12" i="11"/>
  <c r="K12" i="11"/>
  <c r="G12" i="11"/>
  <c r="O9" i="11"/>
  <c r="W8" i="11"/>
  <c r="G5" i="11"/>
  <c r="Y53" i="10"/>
  <c r="W53" i="10"/>
  <c r="V53" i="10"/>
  <c r="V50" i="13" s="1"/>
  <c r="W50" i="13" s="1"/>
  <c r="X50" i="13" s="1"/>
  <c r="Y50" i="13" s="1"/>
  <c r="Z50" i="13" s="1"/>
  <c r="U53" i="10"/>
  <c r="U50" i="13" s="1"/>
  <c r="T53" i="10"/>
  <c r="T50" i="13" s="1"/>
  <c r="S53" i="10"/>
  <c r="S50" i="13" s="1"/>
  <c r="R53" i="10"/>
  <c r="R50" i="13" s="1"/>
  <c r="Q53" i="10"/>
  <c r="Q50" i="13" s="1"/>
  <c r="P53" i="10"/>
  <c r="P50" i="13" s="1"/>
  <c r="O53" i="10"/>
  <c r="O50" i="13" s="1"/>
  <c r="N53" i="10"/>
  <c r="N50" i="13" s="1"/>
  <c r="M53" i="10"/>
  <c r="M50" i="13" s="1"/>
  <c r="L53" i="10"/>
  <c r="L50" i="13" s="1"/>
  <c r="K53" i="10"/>
  <c r="K50" i="13" s="1"/>
  <c r="J53" i="10"/>
  <c r="J50" i="13" s="1"/>
  <c r="I53" i="10"/>
  <c r="I50" i="13" s="1"/>
  <c r="H53" i="10"/>
  <c r="H50" i="13" s="1"/>
  <c r="G53" i="10"/>
  <c r="G50" i="13" s="1"/>
  <c r="F53" i="10"/>
  <c r="F50" i="13" s="1"/>
  <c r="E53" i="10"/>
  <c r="E50" i="13" s="1"/>
  <c r="D53" i="10"/>
  <c r="D50" i="13" s="1"/>
  <c r="C53" i="10"/>
  <c r="C50" i="13" s="1"/>
  <c r="B53" i="10"/>
  <c r="B50" i="13" s="1"/>
  <c r="AP51" i="10"/>
  <c r="AO51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V49" i="13" s="1"/>
  <c r="U51" i="10"/>
  <c r="U49" i="13" s="1"/>
  <c r="T51" i="10"/>
  <c r="T49" i="13" s="1"/>
  <c r="S51" i="10"/>
  <c r="S49" i="13" s="1"/>
  <c r="R51" i="10"/>
  <c r="R49" i="13" s="1"/>
  <c r="Q51" i="10"/>
  <c r="Q49" i="13" s="1"/>
  <c r="P51" i="10"/>
  <c r="P49" i="13" s="1"/>
  <c r="O51" i="10"/>
  <c r="O49" i="13" s="1"/>
  <c r="N51" i="10"/>
  <c r="N49" i="13" s="1"/>
  <c r="M51" i="10"/>
  <c r="M49" i="13" s="1"/>
  <c r="L51" i="10"/>
  <c r="L49" i="13" s="1"/>
  <c r="K51" i="10"/>
  <c r="K49" i="13" s="1"/>
  <c r="J51" i="10"/>
  <c r="J49" i="13" s="1"/>
  <c r="I51" i="10"/>
  <c r="I49" i="13" s="1"/>
  <c r="H51" i="10"/>
  <c r="H49" i="13" s="1"/>
  <c r="G51" i="10"/>
  <c r="G49" i="13" s="1"/>
  <c r="F51" i="10"/>
  <c r="F49" i="13" s="1"/>
  <c r="E51" i="10"/>
  <c r="E49" i="13" s="1"/>
  <c r="D51" i="10"/>
  <c r="D49" i="13" s="1"/>
  <c r="C51" i="10"/>
  <c r="C49" i="13" s="1"/>
  <c r="B51" i="10"/>
  <c r="B49" i="13" s="1"/>
  <c r="AP50" i="10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V48" i="13" s="1"/>
  <c r="U50" i="10"/>
  <c r="U48" i="13" s="1"/>
  <c r="T50" i="10"/>
  <c r="T48" i="13" s="1"/>
  <c r="S50" i="10"/>
  <c r="S48" i="13" s="1"/>
  <c r="R50" i="10"/>
  <c r="R48" i="13" s="1"/>
  <c r="Q50" i="10"/>
  <c r="Q48" i="13" s="1"/>
  <c r="P50" i="10"/>
  <c r="P48" i="13" s="1"/>
  <c r="O50" i="10"/>
  <c r="O48" i="13" s="1"/>
  <c r="N50" i="10"/>
  <c r="N48" i="13" s="1"/>
  <c r="M50" i="10"/>
  <c r="M48" i="13" s="1"/>
  <c r="L50" i="10"/>
  <c r="L48" i="13" s="1"/>
  <c r="K50" i="10"/>
  <c r="K48" i="13" s="1"/>
  <c r="J50" i="10"/>
  <c r="J48" i="13" s="1"/>
  <c r="I50" i="10"/>
  <c r="I48" i="13" s="1"/>
  <c r="H50" i="10"/>
  <c r="H48" i="13" s="1"/>
  <c r="G50" i="10"/>
  <c r="G48" i="13" s="1"/>
  <c r="F50" i="10"/>
  <c r="F48" i="13" s="1"/>
  <c r="E50" i="10"/>
  <c r="E48" i="13" s="1"/>
  <c r="D50" i="10"/>
  <c r="D48" i="13" s="1"/>
  <c r="C50" i="10"/>
  <c r="C48" i="13" s="1"/>
  <c r="B50" i="10"/>
  <c r="B48" i="13" s="1"/>
  <c r="AP49" i="10"/>
  <c r="AO49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V47" i="13" s="1"/>
  <c r="U49" i="10"/>
  <c r="U47" i="13" s="1"/>
  <c r="T49" i="10"/>
  <c r="T47" i="13" s="1"/>
  <c r="S49" i="10"/>
  <c r="S47" i="13" s="1"/>
  <c r="R49" i="10"/>
  <c r="R47" i="13" s="1"/>
  <c r="Q49" i="10"/>
  <c r="Q47" i="13" s="1"/>
  <c r="P49" i="10"/>
  <c r="P47" i="13" s="1"/>
  <c r="O49" i="10"/>
  <c r="O47" i="13" s="1"/>
  <c r="N49" i="10"/>
  <c r="N47" i="13" s="1"/>
  <c r="M49" i="10"/>
  <c r="M47" i="13" s="1"/>
  <c r="L49" i="10"/>
  <c r="L47" i="13" s="1"/>
  <c r="K49" i="10"/>
  <c r="K47" i="13" s="1"/>
  <c r="J49" i="10"/>
  <c r="J47" i="13" s="1"/>
  <c r="I49" i="10"/>
  <c r="I47" i="13" s="1"/>
  <c r="H49" i="10"/>
  <c r="H47" i="13" s="1"/>
  <c r="G49" i="10"/>
  <c r="G47" i="13" s="1"/>
  <c r="F49" i="10"/>
  <c r="F47" i="13" s="1"/>
  <c r="E49" i="10"/>
  <c r="E47" i="13" s="1"/>
  <c r="D49" i="10"/>
  <c r="D47" i="13" s="1"/>
  <c r="C49" i="10"/>
  <c r="C47" i="13" s="1"/>
  <c r="B49" i="10"/>
  <c r="B47" i="13" s="1"/>
  <c r="AP48" i="10"/>
  <c r="AO48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V46" i="13" s="1"/>
  <c r="U48" i="10"/>
  <c r="U46" i="13" s="1"/>
  <c r="T48" i="10"/>
  <c r="T46" i="13" s="1"/>
  <c r="S48" i="10"/>
  <c r="S46" i="13" s="1"/>
  <c r="R48" i="10"/>
  <c r="R46" i="13" s="1"/>
  <c r="Q48" i="10"/>
  <c r="Q46" i="13" s="1"/>
  <c r="P48" i="10"/>
  <c r="P46" i="13" s="1"/>
  <c r="O48" i="10"/>
  <c r="O46" i="13" s="1"/>
  <c r="N48" i="10"/>
  <c r="N46" i="13" s="1"/>
  <c r="M48" i="10"/>
  <c r="M46" i="13" s="1"/>
  <c r="L48" i="10"/>
  <c r="L46" i="13" s="1"/>
  <c r="K48" i="10"/>
  <c r="K46" i="13" s="1"/>
  <c r="J48" i="10"/>
  <c r="J46" i="13" s="1"/>
  <c r="I48" i="10"/>
  <c r="I46" i="13" s="1"/>
  <c r="H48" i="10"/>
  <c r="H46" i="13" s="1"/>
  <c r="G48" i="10"/>
  <c r="G46" i="13" s="1"/>
  <c r="F48" i="10"/>
  <c r="F46" i="13" s="1"/>
  <c r="E48" i="10"/>
  <c r="E46" i="13" s="1"/>
  <c r="D48" i="10"/>
  <c r="D46" i="13" s="1"/>
  <c r="C48" i="10"/>
  <c r="C46" i="13" s="1"/>
  <c r="B48" i="10"/>
  <c r="B46" i="13" s="1"/>
  <c r="AP47" i="10"/>
  <c r="AO47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V45" i="13" s="1"/>
  <c r="U47" i="10"/>
  <c r="U45" i="13" s="1"/>
  <c r="T47" i="10"/>
  <c r="T45" i="13" s="1"/>
  <c r="S47" i="10"/>
  <c r="S45" i="13" s="1"/>
  <c r="R47" i="10"/>
  <c r="R45" i="13" s="1"/>
  <c r="Q47" i="10"/>
  <c r="Q45" i="13" s="1"/>
  <c r="P47" i="10"/>
  <c r="P45" i="13" s="1"/>
  <c r="O47" i="10"/>
  <c r="O45" i="13" s="1"/>
  <c r="N47" i="10"/>
  <c r="N45" i="13" s="1"/>
  <c r="M47" i="10"/>
  <c r="M45" i="13" s="1"/>
  <c r="L47" i="10"/>
  <c r="L45" i="13" s="1"/>
  <c r="K47" i="10"/>
  <c r="K45" i="13" s="1"/>
  <c r="J47" i="10"/>
  <c r="J45" i="13" s="1"/>
  <c r="I47" i="10"/>
  <c r="I45" i="13" s="1"/>
  <c r="H47" i="10"/>
  <c r="H45" i="13" s="1"/>
  <c r="G47" i="10"/>
  <c r="G45" i="13" s="1"/>
  <c r="F47" i="10"/>
  <c r="F45" i="13" s="1"/>
  <c r="E47" i="10"/>
  <c r="E45" i="13" s="1"/>
  <c r="D47" i="10"/>
  <c r="D45" i="13" s="1"/>
  <c r="C47" i="10"/>
  <c r="C45" i="13" s="1"/>
  <c r="B47" i="10"/>
  <c r="B45" i="13" s="1"/>
  <c r="V46" i="10"/>
  <c r="V44" i="13" s="1"/>
  <c r="W44" i="13" s="1"/>
  <c r="X44" i="13" s="1"/>
  <c r="U46" i="10"/>
  <c r="U44" i="13" s="1"/>
  <c r="T46" i="10"/>
  <c r="T44" i="13" s="1"/>
  <c r="S46" i="10"/>
  <c r="S44" i="13" s="1"/>
  <c r="R46" i="10"/>
  <c r="R44" i="13" s="1"/>
  <c r="Q46" i="10"/>
  <c r="Q44" i="13" s="1"/>
  <c r="P46" i="10"/>
  <c r="P44" i="13" s="1"/>
  <c r="O46" i="10"/>
  <c r="O44" i="13" s="1"/>
  <c r="N46" i="10"/>
  <c r="N44" i="13" s="1"/>
  <c r="M46" i="10"/>
  <c r="M44" i="13" s="1"/>
  <c r="L46" i="10"/>
  <c r="L44" i="13" s="1"/>
  <c r="K46" i="10"/>
  <c r="K44" i="13" s="1"/>
  <c r="J46" i="10"/>
  <c r="J44" i="13" s="1"/>
  <c r="I46" i="10"/>
  <c r="I44" i="13" s="1"/>
  <c r="H46" i="10"/>
  <c r="H44" i="13" s="1"/>
  <c r="G46" i="10"/>
  <c r="G44" i="13" s="1"/>
  <c r="F46" i="10"/>
  <c r="F44" i="13" s="1"/>
  <c r="E46" i="10"/>
  <c r="E44" i="13" s="1"/>
  <c r="D46" i="10"/>
  <c r="D44" i="13" s="1"/>
  <c r="C46" i="10"/>
  <c r="C44" i="13" s="1"/>
  <c r="B46" i="10"/>
  <c r="B44" i="13" s="1"/>
  <c r="AP45" i="10"/>
  <c r="AO45" i="10"/>
  <c r="AN45" i="10"/>
  <c r="AM45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V43" i="13" s="1"/>
  <c r="U45" i="10"/>
  <c r="U43" i="13" s="1"/>
  <c r="T45" i="10"/>
  <c r="T43" i="13" s="1"/>
  <c r="S45" i="10"/>
  <c r="S43" i="13" s="1"/>
  <c r="R45" i="10"/>
  <c r="R43" i="13" s="1"/>
  <c r="Q45" i="10"/>
  <c r="Q43" i="13" s="1"/>
  <c r="P45" i="10"/>
  <c r="P43" i="13" s="1"/>
  <c r="O45" i="10"/>
  <c r="O43" i="13" s="1"/>
  <c r="N45" i="10"/>
  <c r="N43" i="13" s="1"/>
  <c r="M45" i="10"/>
  <c r="M43" i="13" s="1"/>
  <c r="L45" i="10"/>
  <c r="L43" i="13" s="1"/>
  <c r="K45" i="10"/>
  <c r="K43" i="13" s="1"/>
  <c r="J45" i="10"/>
  <c r="J43" i="13" s="1"/>
  <c r="I45" i="10"/>
  <c r="I43" i="13" s="1"/>
  <c r="H45" i="10"/>
  <c r="H43" i="13" s="1"/>
  <c r="G45" i="10"/>
  <c r="G43" i="13" s="1"/>
  <c r="F45" i="10"/>
  <c r="F43" i="13" s="1"/>
  <c r="E45" i="10"/>
  <c r="E43" i="13" s="1"/>
  <c r="D45" i="10"/>
  <c r="D43" i="13" s="1"/>
  <c r="C45" i="10"/>
  <c r="C43" i="13" s="1"/>
  <c r="B45" i="10"/>
  <c r="B43" i="13" s="1"/>
  <c r="AP44" i="10"/>
  <c r="AO44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V42" i="13" s="1"/>
  <c r="U44" i="10"/>
  <c r="U42" i="13" s="1"/>
  <c r="T44" i="10"/>
  <c r="T42" i="13" s="1"/>
  <c r="S44" i="10"/>
  <c r="S42" i="13" s="1"/>
  <c r="R44" i="10"/>
  <c r="R42" i="13" s="1"/>
  <c r="Q44" i="10"/>
  <c r="Q42" i="13" s="1"/>
  <c r="P44" i="10"/>
  <c r="P42" i="13" s="1"/>
  <c r="O44" i="10"/>
  <c r="O42" i="13" s="1"/>
  <c r="N44" i="10"/>
  <c r="N42" i="13" s="1"/>
  <c r="M44" i="10"/>
  <c r="M42" i="13" s="1"/>
  <c r="L44" i="10"/>
  <c r="L42" i="13" s="1"/>
  <c r="K44" i="10"/>
  <c r="K42" i="13" s="1"/>
  <c r="J44" i="10"/>
  <c r="J42" i="13" s="1"/>
  <c r="I44" i="10"/>
  <c r="I42" i="13" s="1"/>
  <c r="H44" i="10"/>
  <c r="H42" i="13" s="1"/>
  <c r="G44" i="10"/>
  <c r="G42" i="13" s="1"/>
  <c r="F44" i="10"/>
  <c r="F42" i="13" s="1"/>
  <c r="E44" i="10"/>
  <c r="E42" i="13" s="1"/>
  <c r="D44" i="10"/>
  <c r="D42" i="13" s="1"/>
  <c r="C44" i="10"/>
  <c r="C42" i="13" s="1"/>
  <c r="B44" i="10"/>
  <c r="B42" i="13" s="1"/>
  <c r="AP43" i="10"/>
  <c r="AO43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V41" i="13" s="1"/>
  <c r="U43" i="10"/>
  <c r="U41" i="13" s="1"/>
  <c r="T43" i="10"/>
  <c r="T41" i="13" s="1"/>
  <c r="S43" i="10"/>
  <c r="S41" i="13" s="1"/>
  <c r="R43" i="10"/>
  <c r="R41" i="13" s="1"/>
  <c r="Q43" i="10"/>
  <c r="Q41" i="13" s="1"/>
  <c r="P43" i="10"/>
  <c r="P41" i="13" s="1"/>
  <c r="O43" i="10"/>
  <c r="O41" i="13" s="1"/>
  <c r="N43" i="10"/>
  <c r="N41" i="13" s="1"/>
  <c r="M43" i="10"/>
  <c r="M41" i="13" s="1"/>
  <c r="L43" i="10"/>
  <c r="L41" i="13" s="1"/>
  <c r="K43" i="10"/>
  <c r="K41" i="13" s="1"/>
  <c r="J43" i="10"/>
  <c r="J41" i="13" s="1"/>
  <c r="I43" i="10"/>
  <c r="I41" i="13" s="1"/>
  <c r="H43" i="10"/>
  <c r="H41" i="13" s="1"/>
  <c r="G43" i="10"/>
  <c r="G41" i="13" s="1"/>
  <c r="F43" i="10"/>
  <c r="F41" i="13" s="1"/>
  <c r="E43" i="10"/>
  <c r="E41" i="13" s="1"/>
  <c r="D43" i="10"/>
  <c r="D41" i="13" s="1"/>
  <c r="C43" i="10"/>
  <c r="C41" i="13" s="1"/>
  <c r="B43" i="10"/>
  <c r="B41" i="13" s="1"/>
  <c r="AP42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V40" i="13" s="1"/>
  <c r="U42" i="10"/>
  <c r="U40" i="13" s="1"/>
  <c r="T42" i="10"/>
  <c r="T40" i="13" s="1"/>
  <c r="S42" i="10"/>
  <c r="S40" i="13" s="1"/>
  <c r="R42" i="10"/>
  <c r="R40" i="13" s="1"/>
  <c r="Q42" i="10"/>
  <c r="Q40" i="13" s="1"/>
  <c r="P42" i="10"/>
  <c r="P40" i="13" s="1"/>
  <c r="O42" i="10"/>
  <c r="O40" i="13" s="1"/>
  <c r="N42" i="10"/>
  <c r="N40" i="13" s="1"/>
  <c r="M42" i="10"/>
  <c r="M40" i="13" s="1"/>
  <c r="L42" i="10"/>
  <c r="L40" i="13" s="1"/>
  <c r="K42" i="10"/>
  <c r="K40" i="13" s="1"/>
  <c r="J42" i="10"/>
  <c r="J40" i="13" s="1"/>
  <c r="I42" i="10"/>
  <c r="I40" i="13" s="1"/>
  <c r="H42" i="10"/>
  <c r="H40" i="13" s="1"/>
  <c r="G42" i="10"/>
  <c r="G40" i="13" s="1"/>
  <c r="F42" i="10"/>
  <c r="F40" i="13" s="1"/>
  <c r="E42" i="10"/>
  <c r="E40" i="13" s="1"/>
  <c r="D42" i="10"/>
  <c r="D40" i="13" s="1"/>
  <c r="C42" i="10"/>
  <c r="C40" i="13" s="1"/>
  <c r="B42" i="10"/>
  <c r="B40" i="13" s="1"/>
  <c r="AP40" i="10"/>
  <c r="AO40" i="10"/>
  <c r="AN40" i="10"/>
  <c r="AM40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AP39" i="10"/>
  <c r="AO39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V38" i="13" s="1"/>
  <c r="U39" i="10"/>
  <c r="U38" i="13" s="1"/>
  <c r="T39" i="10"/>
  <c r="T38" i="13" s="1"/>
  <c r="S39" i="10"/>
  <c r="S38" i="13" s="1"/>
  <c r="R39" i="10"/>
  <c r="R38" i="13" s="1"/>
  <c r="Q39" i="10"/>
  <c r="Q38" i="13" s="1"/>
  <c r="P39" i="10"/>
  <c r="P38" i="13" s="1"/>
  <c r="O39" i="10"/>
  <c r="O38" i="13" s="1"/>
  <c r="N39" i="10"/>
  <c r="N38" i="13" s="1"/>
  <c r="M39" i="10"/>
  <c r="M38" i="13" s="1"/>
  <c r="L39" i="10"/>
  <c r="L38" i="13" s="1"/>
  <c r="K39" i="10"/>
  <c r="K38" i="13" s="1"/>
  <c r="J39" i="10"/>
  <c r="J38" i="13" s="1"/>
  <c r="I39" i="10"/>
  <c r="I38" i="13" s="1"/>
  <c r="H39" i="10"/>
  <c r="H38" i="13" s="1"/>
  <c r="G39" i="10"/>
  <c r="G38" i="13" s="1"/>
  <c r="F39" i="10"/>
  <c r="F38" i="13" s="1"/>
  <c r="E39" i="10"/>
  <c r="E38" i="13" s="1"/>
  <c r="D39" i="10"/>
  <c r="D38" i="13" s="1"/>
  <c r="C39" i="10"/>
  <c r="C38" i="13" s="1"/>
  <c r="B39" i="10"/>
  <c r="B38" i="13" s="1"/>
  <c r="AP38" i="10"/>
  <c r="AO38" i="10"/>
  <c r="AN38" i="10"/>
  <c r="AM38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V37" i="13" s="1"/>
  <c r="U38" i="10"/>
  <c r="U37" i="13" s="1"/>
  <c r="T38" i="10"/>
  <c r="T37" i="13" s="1"/>
  <c r="S38" i="10"/>
  <c r="S37" i="13" s="1"/>
  <c r="R38" i="10"/>
  <c r="R37" i="13" s="1"/>
  <c r="Q38" i="10"/>
  <c r="Q37" i="13" s="1"/>
  <c r="P38" i="10"/>
  <c r="P37" i="13" s="1"/>
  <c r="O38" i="10"/>
  <c r="O37" i="13" s="1"/>
  <c r="N38" i="10"/>
  <c r="N37" i="13" s="1"/>
  <c r="M38" i="10"/>
  <c r="M37" i="13" s="1"/>
  <c r="L38" i="10"/>
  <c r="L37" i="13" s="1"/>
  <c r="K38" i="10"/>
  <c r="K37" i="13" s="1"/>
  <c r="J38" i="10"/>
  <c r="J37" i="13" s="1"/>
  <c r="I38" i="10"/>
  <c r="I37" i="13" s="1"/>
  <c r="H38" i="10"/>
  <c r="H37" i="13" s="1"/>
  <c r="G38" i="10"/>
  <c r="G37" i="13" s="1"/>
  <c r="F38" i="10"/>
  <c r="F37" i="13" s="1"/>
  <c r="E38" i="10"/>
  <c r="E37" i="13" s="1"/>
  <c r="D38" i="10"/>
  <c r="D37" i="13" s="1"/>
  <c r="C38" i="10"/>
  <c r="C37" i="13" s="1"/>
  <c r="B38" i="10"/>
  <c r="B37" i="13" s="1"/>
  <c r="AP37" i="10"/>
  <c r="AO37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V36" i="13" s="1"/>
  <c r="U37" i="10"/>
  <c r="U36" i="13" s="1"/>
  <c r="T37" i="10"/>
  <c r="T36" i="13" s="1"/>
  <c r="S37" i="10"/>
  <c r="S36" i="13" s="1"/>
  <c r="R37" i="10"/>
  <c r="R36" i="13" s="1"/>
  <c r="Q37" i="10"/>
  <c r="Q36" i="13" s="1"/>
  <c r="P37" i="10"/>
  <c r="P36" i="13" s="1"/>
  <c r="O37" i="10"/>
  <c r="O36" i="13" s="1"/>
  <c r="N37" i="10"/>
  <c r="N36" i="13" s="1"/>
  <c r="M37" i="10"/>
  <c r="M36" i="13" s="1"/>
  <c r="L37" i="10"/>
  <c r="L36" i="13" s="1"/>
  <c r="K37" i="10"/>
  <c r="K36" i="13" s="1"/>
  <c r="J37" i="10"/>
  <c r="J36" i="13" s="1"/>
  <c r="I37" i="10"/>
  <c r="I36" i="13" s="1"/>
  <c r="H37" i="10"/>
  <c r="H36" i="13" s="1"/>
  <c r="G37" i="10"/>
  <c r="G36" i="13" s="1"/>
  <c r="F37" i="10"/>
  <c r="F36" i="13" s="1"/>
  <c r="E37" i="10"/>
  <c r="E36" i="13" s="1"/>
  <c r="D37" i="10"/>
  <c r="D36" i="13" s="1"/>
  <c r="C37" i="10"/>
  <c r="C36" i="13" s="1"/>
  <c r="B37" i="10"/>
  <c r="B36" i="13" s="1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P35" i="10"/>
  <c r="AO35" i="10"/>
  <c r="AN35" i="10"/>
  <c r="AM35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V34" i="13" s="1"/>
  <c r="U35" i="10"/>
  <c r="U34" i="13" s="1"/>
  <c r="T35" i="10"/>
  <c r="T34" i="13" s="1"/>
  <c r="S35" i="10"/>
  <c r="S34" i="13" s="1"/>
  <c r="R35" i="10"/>
  <c r="R34" i="13" s="1"/>
  <c r="Q35" i="10"/>
  <c r="Q34" i="13" s="1"/>
  <c r="P35" i="10"/>
  <c r="P34" i="13" s="1"/>
  <c r="O35" i="10"/>
  <c r="O34" i="13" s="1"/>
  <c r="N35" i="10"/>
  <c r="N34" i="13" s="1"/>
  <c r="M35" i="10"/>
  <c r="M34" i="13" s="1"/>
  <c r="L35" i="10"/>
  <c r="L34" i="13" s="1"/>
  <c r="K35" i="10"/>
  <c r="K34" i="13" s="1"/>
  <c r="J35" i="10"/>
  <c r="J34" i="13" s="1"/>
  <c r="I35" i="10"/>
  <c r="I34" i="13" s="1"/>
  <c r="H35" i="10"/>
  <c r="H34" i="13" s="1"/>
  <c r="G35" i="10"/>
  <c r="G34" i="13" s="1"/>
  <c r="F35" i="10"/>
  <c r="F34" i="13" s="1"/>
  <c r="E35" i="10"/>
  <c r="E34" i="13" s="1"/>
  <c r="D35" i="10"/>
  <c r="D34" i="13" s="1"/>
  <c r="C35" i="10"/>
  <c r="C34" i="13" s="1"/>
  <c r="B35" i="10"/>
  <c r="B34" i="13" s="1"/>
  <c r="AP33" i="10"/>
  <c r="AO33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V33" i="13" s="1"/>
  <c r="U33" i="10"/>
  <c r="U33" i="13" s="1"/>
  <c r="T33" i="10"/>
  <c r="T33" i="13" s="1"/>
  <c r="S33" i="10"/>
  <c r="S33" i="13" s="1"/>
  <c r="R33" i="10"/>
  <c r="R33" i="13" s="1"/>
  <c r="Q33" i="10"/>
  <c r="Q33" i="13" s="1"/>
  <c r="P33" i="10"/>
  <c r="P33" i="13" s="1"/>
  <c r="O33" i="10"/>
  <c r="O33" i="13" s="1"/>
  <c r="N33" i="10"/>
  <c r="N33" i="13" s="1"/>
  <c r="M33" i="10"/>
  <c r="M33" i="13" s="1"/>
  <c r="L33" i="10"/>
  <c r="L33" i="13" s="1"/>
  <c r="K33" i="10"/>
  <c r="K33" i="13" s="1"/>
  <c r="J33" i="10"/>
  <c r="J33" i="13" s="1"/>
  <c r="I33" i="10"/>
  <c r="I33" i="13" s="1"/>
  <c r="H33" i="10"/>
  <c r="H33" i="13" s="1"/>
  <c r="G33" i="10"/>
  <c r="G33" i="13" s="1"/>
  <c r="F33" i="10"/>
  <c r="F33" i="13" s="1"/>
  <c r="E33" i="10"/>
  <c r="E33" i="13" s="1"/>
  <c r="D33" i="10"/>
  <c r="D33" i="13" s="1"/>
  <c r="C33" i="10"/>
  <c r="C33" i="13" s="1"/>
  <c r="B33" i="10"/>
  <c r="B33" i="13" s="1"/>
  <c r="AP32" i="10"/>
  <c r="AO32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V32" i="13" s="1"/>
  <c r="U32" i="10"/>
  <c r="U32" i="13" s="1"/>
  <c r="T32" i="10"/>
  <c r="T32" i="13" s="1"/>
  <c r="S32" i="10"/>
  <c r="S32" i="13" s="1"/>
  <c r="R32" i="10"/>
  <c r="R32" i="13" s="1"/>
  <c r="Q32" i="10"/>
  <c r="Q32" i="13" s="1"/>
  <c r="P32" i="10"/>
  <c r="P32" i="13" s="1"/>
  <c r="O32" i="10"/>
  <c r="O32" i="13" s="1"/>
  <c r="N32" i="10"/>
  <c r="N32" i="13" s="1"/>
  <c r="M32" i="10"/>
  <c r="M32" i="13" s="1"/>
  <c r="L32" i="10"/>
  <c r="L32" i="13" s="1"/>
  <c r="K32" i="10"/>
  <c r="K32" i="13" s="1"/>
  <c r="J32" i="10"/>
  <c r="J32" i="13" s="1"/>
  <c r="I32" i="10"/>
  <c r="I32" i="13" s="1"/>
  <c r="H32" i="10"/>
  <c r="H32" i="13" s="1"/>
  <c r="G32" i="10"/>
  <c r="G32" i="13" s="1"/>
  <c r="F32" i="10"/>
  <c r="F32" i="13" s="1"/>
  <c r="E32" i="10"/>
  <c r="E32" i="13" s="1"/>
  <c r="D32" i="10"/>
  <c r="D32" i="13" s="1"/>
  <c r="C32" i="10"/>
  <c r="C32" i="13" s="1"/>
  <c r="B32" i="10"/>
  <c r="B32" i="13" s="1"/>
  <c r="AP31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V31" i="13" s="1"/>
  <c r="U31" i="10"/>
  <c r="U31" i="13" s="1"/>
  <c r="T31" i="10"/>
  <c r="T31" i="13" s="1"/>
  <c r="S31" i="10"/>
  <c r="S31" i="13" s="1"/>
  <c r="R31" i="10"/>
  <c r="R31" i="13" s="1"/>
  <c r="Q31" i="10"/>
  <c r="Q31" i="13" s="1"/>
  <c r="P31" i="10"/>
  <c r="P31" i="13" s="1"/>
  <c r="O31" i="10"/>
  <c r="O31" i="13" s="1"/>
  <c r="N31" i="10"/>
  <c r="N31" i="13" s="1"/>
  <c r="M31" i="10"/>
  <c r="M31" i="13" s="1"/>
  <c r="L31" i="10"/>
  <c r="L31" i="13" s="1"/>
  <c r="K31" i="10"/>
  <c r="K31" i="13" s="1"/>
  <c r="J31" i="10"/>
  <c r="J31" i="13" s="1"/>
  <c r="I31" i="10"/>
  <c r="I31" i="13" s="1"/>
  <c r="H31" i="10"/>
  <c r="H31" i="13" s="1"/>
  <c r="G31" i="10"/>
  <c r="G31" i="13" s="1"/>
  <c r="F31" i="10"/>
  <c r="F31" i="13" s="1"/>
  <c r="E31" i="10"/>
  <c r="E31" i="13" s="1"/>
  <c r="D31" i="10"/>
  <c r="D31" i="13" s="1"/>
  <c r="C31" i="10"/>
  <c r="C31" i="13" s="1"/>
  <c r="B31" i="10"/>
  <c r="B31" i="13" s="1"/>
  <c r="V30" i="10"/>
  <c r="V30" i="13" s="1"/>
  <c r="U30" i="10"/>
  <c r="U30" i="13" s="1"/>
  <c r="T30" i="10"/>
  <c r="T30" i="13" s="1"/>
  <c r="S30" i="10"/>
  <c r="S30" i="13" s="1"/>
  <c r="R30" i="10"/>
  <c r="R30" i="13" s="1"/>
  <c r="Q30" i="10"/>
  <c r="Q30" i="13" s="1"/>
  <c r="P30" i="10"/>
  <c r="P30" i="13" s="1"/>
  <c r="O30" i="10"/>
  <c r="O30" i="13" s="1"/>
  <c r="N30" i="10"/>
  <c r="N30" i="13" s="1"/>
  <c r="M30" i="10"/>
  <c r="M30" i="13" s="1"/>
  <c r="L30" i="10"/>
  <c r="L30" i="13" s="1"/>
  <c r="K30" i="10"/>
  <c r="K30" i="13" s="1"/>
  <c r="J30" i="10"/>
  <c r="J30" i="13" s="1"/>
  <c r="I30" i="10"/>
  <c r="I30" i="13" s="1"/>
  <c r="H30" i="10"/>
  <c r="H30" i="13" s="1"/>
  <c r="G30" i="10"/>
  <c r="G30" i="13" s="1"/>
  <c r="F30" i="10"/>
  <c r="F30" i="13" s="1"/>
  <c r="E30" i="10"/>
  <c r="E30" i="13" s="1"/>
  <c r="D30" i="10"/>
  <c r="D30" i="13" s="1"/>
  <c r="C30" i="10"/>
  <c r="C30" i="13" s="1"/>
  <c r="B30" i="10"/>
  <c r="B30" i="13" s="1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V29" i="13" s="1"/>
  <c r="U29" i="10"/>
  <c r="U29" i="13" s="1"/>
  <c r="T29" i="10"/>
  <c r="T29" i="13" s="1"/>
  <c r="S29" i="10"/>
  <c r="S29" i="13" s="1"/>
  <c r="R29" i="10"/>
  <c r="R29" i="13" s="1"/>
  <c r="Q29" i="10"/>
  <c r="Q29" i="13" s="1"/>
  <c r="P29" i="10"/>
  <c r="P29" i="13" s="1"/>
  <c r="O29" i="10"/>
  <c r="O29" i="13" s="1"/>
  <c r="N29" i="10"/>
  <c r="N29" i="13" s="1"/>
  <c r="M29" i="10"/>
  <c r="M29" i="13" s="1"/>
  <c r="L29" i="10"/>
  <c r="L29" i="13" s="1"/>
  <c r="K29" i="10"/>
  <c r="K29" i="13" s="1"/>
  <c r="J29" i="10"/>
  <c r="J29" i="13" s="1"/>
  <c r="I29" i="10"/>
  <c r="I29" i="13" s="1"/>
  <c r="H29" i="10"/>
  <c r="H29" i="13" s="1"/>
  <c r="G29" i="10"/>
  <c r="G29" i="13" s="1"/>
  <c r="F29" i="10"/>
  <c r="F29" i="13" s="1"/>
  <c r="E29" i="10"/>
  <c r="E29" i="13" s="1"/>
  <c r="D29" i="10"/>
  <c r="D29" i="13" s="1"/>
  <c r="C29" i="10"/>
  <c r="C29" i="13" s="1"/>
  <c r="B29" i="10"/>
  <c r="B29" i="13" s="1"/>
  <c r="V28" i="10"/>
  <c r="V28" i="13" s="1"/>
  <c r="U28" i="10"/>
  <c r="U28" i="13" s="1"/>
  <c r="T28" i="10"/>
  <c r="T28" i="13" s="1"/>
  <c r="S28" i="10"/>
  <c r="S28" i="13" s="1"/>
  <c r="R28" i="10"/>
  <c r="R28" i="13" s="1"/>
  <c r="Q28" i="10"/>
  <c r="Q28" i="13" s="1"/>
  <c r="P28" i="10"/>
  <c r="P28" i="13" s="1"/>
  <c r="O28" i="10"/>
  <c r="O28" i="13" s="1"/>
  <c r="N28" i="10"/>
  <c r="N28" i="13" s="1"/>
  <c r="M28" i="10"/>
  <c r="M28" i="13" s="1"/>
  <c r="L28" i="10"/>
  <c r="L28" i="13" s="1"/>
  <c r="K28" i="10"/>
  <c r="K28" i="13" s="1"/>
  <c r="J28" i="10"/>
  <c r="J28" i="13" s="1"/>
  <c r="I28" i="10"/>
  <c r="I28" i="13" s="1"/>
  <c r="H28" i="10"/>
  <c r="H28" i="13" s="1"/>
  <c r="G28" i="10"/>
  <c r="G28" i="13" s="1"/>
  <c r="F28" i="10"/>
  <c r="F28" i="13" s="1"/>
  <c r="E28" i="10"/>
  <c r="E28" i="13" s="1"/>
  <c r="D28" i="10"/>
  <c r="D28" i="13" s="1"/>
  <c r="C28" i="10"/>
  <c r="C28" i="13" s="1"/>
  <c r="B28" i="10"/>
  <c r="B28" i="13" s="1"/>
  <c r="V27" i="10"/>
  <c r="V27" i="13" s="1"/>
  <c r="U27" i="10"/>
  <c r="U27" i="13" s="1"/>
  <c r="T27" i="10"/>
  <c r="T27" i="13" s="1"/>
  <c r="S27" i="10"/>
  <c r="S27" i="13" s="1"/>
  <c r="R27" i="10"/>
  <c r="R27" i="13" s="1"/>
  <c r="Q27" i="10"/>
  <c r="Q27" i="13" s="1"/>
  <c r="P27" i="10"/>
  <c r="P27" i="13" s="1"/>
  <c r="O27" i="10"/>
  <c r="O27" i="13" s="1"/>
  <c r="N27" i="10"/>
  <c r="N27" i="13" s="1"/>
  <c r="M27" i="10"/>
  <c r="M27" i="13" s="1"/>
  <c r="L27" i="10"/>
  <c r="L27" i="13" s="1"/>
  <c r="K27" i="10"/>
  <c r="K27" i="13" s="1"/>
  <c r="J27" i="10"/>
  <c r="J27" i="13" s="1"/>
  <c r="I27" i="10"/>
  <c r="I27" i="13" s="1"/>
  <c r="H27" i="10"/>
  <c r="H27" i="13" s="1"/>
  <c r="G27" i="10"/>
  <c r="G27" i="13" s="1"/>
  <c r="F27" i="10"/>
  <c r="F27" i="13" s="1"/>
  <c r="E27" i="10"/>
  <c r="E27" i="13" s="1"/>
  <c r="D27" i="10"/>
  <c r="D27" i="13" s="1"/>
  <c r="C27" i="10"/>
  <c r="C27" i="13" s="1"/>
  <c r="B27" i="10"/>
  <c r="B27" i="13" s="1"/>
  <c r="V26" i="10"/>
  <c r="V26" i="13" s="1"/>
  <c r="U26" i="10"/>
  <c r="U26" i="13" s="1"/>
  <c r="T26" i="10"/>
  <c r="T26" i="13" s="1"/>
  <c r="S26" i="10"/>
  <c r="S26" i="13" s="1"/>
  <c r="R26" i="10"/>
  <c r="R26" i="13" s="1"/>
  <c r="Q26" i="10"/>
  <c r="Q26" i="13" s="1"/>
  <c r="P26" i="10"/>
  <c r="P26" i="13" s="1"/>
  <c r="O26" i="10"/>
  <c r="O26" i="13" s="1"/>
  <c r="N26" i="10"/>
  <c r="N26" i="13" s="1"/>
  <c r="M26" i="10"/>
  <c r="M26" i="13" s="1"/>
  <c r="L26" i="10"/>
  <c r="L26" i="13" s="1"/>
  <c r="K26" i="10"/>
  <c r="K26" i="13" s="1"/>
  <c r="J26" i="10"/>
  <c r="J26" i="13" s="1"/>
  <c r="I26" i="10"/>
  <c r="I26" i="13" s="1"/>
  <c r="H26" i="10"/>
  <c r="H26" i="13" s="1"/>
  <c r="G26" i="10"/>
  <c r="G26" i="13" s="1"/>
  <c r="F26" i="10"/>
  <c r="F26" i="13" s="1"/>
  <c r="E26" i="10"/>
  <c r="E26" i="13" s="1"/>
  <c r="D26" i="10"/>
  <c r="D26" i="13" s="1"/>
  <c r="C26" i="10"/>
  <c r="C26" i="13" s="1"/>
  <c r="B26" i="10"/>
  <c r="B26" i="13" s="1"/>
  <c r="V25" i="10"/>
  <c r="V25" i="13" s="1"/>
  <c r="U25" i="10"/>
  <c r="U25" i="13" s="1"/>
  <c r="T25" i="10"/>
  <c r="T25" i="13" s="1"/>
  <c r="S25" i="10"/>
  <c r="S25" i="13" s="1"/>
  <c r="R25" i="10"/>
  <c r="R25" i="13" s="1"/>
  <c r="Q25" i="10"/>
  <c r="Q25" i="13" s="1"/>
  <c r="P25" i="10"/>
  <c r="P25" i="13" s="1"/>
  <c r="O25" i="10"/>
  <c r="O25" i="13" s="1"/>
  <c r="N25" i="10"/>
  <c r="N25" i="13" s="1"/>
  <c r="M25" i="10"/>
  <c r="M25" i="13" s="1"/>
  <c r="L25" i="10"/>
  <c r="L25" i="13" s="1"/>
  <c r="K25" i="10"/>
  <c r="K25" i="13" s="1"/>
  <c r="J25" i="10"/>
  <c r="J25" i="13" s="1"/>
  <c r="I25" i="10"/>
  <c r="I25" i="13" s="1"/>
  <c r="H25" i="10"/>
  <c r="H25" i="13" s="1"/>
  <c r="G25" i="10"/>
  <c r="G25" i="13" s="1"/>
  <c r="F25" i="10"/>
  <c r="F25" i="13" s="1"/>
  <c r="E25" i="10"/>
  <c r="E25" i="13" s="1"/>
  <c r="D25" i="10"/>
  <c r="D25" i="13" s="1"/>
  <c r="C25" i="10"/>
  <c r="C25" i="13" s="1"/>
  <c r="B25" i="10"/>
  <c r="B25" i="13" s="1"/>
  <c r="V24" i="10"/>
  <c r="V24" i="13" s="1"/>
  <c r="U24" i="10"/>
  <c r="U24" i="13" s="1"/>
  <c r="T24" i="10"/>
  <c r="T24" i="13" s="1"/>
  <c r="S24" i="10"/>
  <c r="S24" i="13" s="1"/>
  <c r="R24" i="10"/>
  <c r="R24" i="13" s="1"/>
  <c r="Q24" i="10"/>
  <c r="Q24" i="13" s="1"/>
  <c r="P24" i="10"/>
  <c r="P24" i="13" s="1"/>
  <c r="O24" i="10"/>
  <c r="O24" i="13" s="1"/>
  <c r="N24" i="10"/>
  <c r="N24" i="13" s="1"/>
  <c r="M24" i="10"/>
  <c r="M24" i="13" s="1"/>
  <c r="L24" i="10"/>
  <c r="L24" i="13" s="1"/>
  <c r="K24" i="10"/>
  <c r="K24" i="13" s="1"/>
  <c r="J24" i="10"/>
  <c r="J24" i="13" s="1"/>
  <c r="I24" i="10"/>
  <c r="I24" i="13" s="1"/>
  <c r="H24" i="10"/>
  <c r="H24" i="13" s="1"/>
  <c r="G24" i="10"/>
  <c r="G24" i="13" s="1"/>
  <c r="F24" i="10"/>
  <c r="F24" i="13" s="1"/>
  <c r="E24" i="10"/>
  <c r="E24" i="13" s="1"/>
  <c r="D24" i="10"/>
  <c r="D24" i="13" s="1"/>
  <c r="C24" i="10"/>
  <c r="C24" i="13" s="1"/>
  <c r="B24" i="10"/>
  <c r="B24" i="13" s="1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U23" i="10"/>
  <c r="U23" i="13" s="1"/>
  <c r="T23" i="10"/>
  <c r="T23" i="13" s="1"/>
  <c r="S23" i="10"/>
  <c r="S23" i="13" s="1"/>
  <c r="Q23" i="10"/>
  <c r="Q23" i="13" s="1"/>
  <c r="P23" i="10"/>
  <c r="P23" i="13" s="1"/>
  <c r="O23" i="10"/>
  <c r="O23" i="13" s="1"/>
  <c r="M23" i="10"/>
  <c r="M23" i="13" s="1"/>
  <c r="L23" i="10"/>
  <c r="L23" i="13" s="1"/>
  <c r="K23" i="10"/>
  <c r="I23" i="10"/>
  <c r="I23" i="13" s="1"/>
  <c r="H23" i="10"/>
  <c r="H23" i="13" s="1"/>
  <c r="G23" i="10"/>
  <c r="G23" i="13" s="1"/>
  <c r="E23" i="10"/>
  <c r="E23" i="13" s="1"/>
  <c r="D23" i="10"/>
  <c r="D23" i="13" s="1"/>
  <c r="C23" i="10"/>
  <c r="C23" i="13" s="1"/>
  <c r="B23" i="10"/>
  <c r="B23" i="13" s="1"/>
  <c r="V22" i="10"/>
  <c r="V22" i="13" s="1"/>
  <c r="U22" i="10"/>
  <c r="U22" i="13" s="1"/>
  <c r="T22" i="10"/>
  <c r="T22" i="13" s="1"/>
  <c r="S22" i="10"/>
  <c r="S22" i="13" s="1"/>
  <c r="R22" i="10"/>
  <c r="R22" i="13" s="1"/>
  <c r="Q22" i="10"/>
  <c r="Q22" i="13" s="1"/>
  <c r="P22" i="10"/>
  <c r="P22" i="13" s="1"/>
  <c r="O22" i="10"/>
  <c r="O22" i="13" s="1"/>
  <c r="N22" i="10"/>
  <c r="N22" i="13" s="1"/>
  <c r="M22" i="10"/>
  <c r="M22" i="13" s="1"/>
  <c r="L22" i="10"/>
  <c r="L22" i="13" s="1"/>
  <c r="K22" i="10"/>
  <c r="K22" i="13" s="1"/>
  <c r="J22" i="10"/>
  <c r="J22" i="13" s="1"/>
  <c r="I22" i="10"/>
  <c r="I22" i="13" s="1"/>
  <c r="H22" i="10"/>
  <c r="H22" i="13" s="1"/>
  <c r="G22" i="10"/>
  <c r="G22" i="13" s="1"/>
  <c r="F22" i="10"/>
  <c r="F22" i="13" s="1"/>
  <c r="E22" i="10"/>
  <c r="E22" i="13" s="1"/>
  <c r="D22" i="10"/>
  <c r="D22" i="13" s="1"/>
  <c r="C22" i="10"/>
  <c r="C22" i="13" s="1"/>
  <c r="B22" i="10"/>
  <c r="B22" i="13" s="1"/>
  <c r="V21" i="10"/>
  <c r="V21" i="13" s="1"/>
  <c r="U21" i="10"/>
  <c r="U21" i="13" s="1"/>
  <c r="T21" i="10"/>
  <c r="T21" i="13" s="1"/>
  <c r="S21" i="10"/>
  <c r="S21" i="13" s="1"/>
  <c r="R21" i="10"/>
  <c r="R21" i="13" s="1"/>
  <c r="Q21" i="10"/>
  <c r="Q21" i="13" s="1"/>
  <c r="P21" i="10"/>
  <c r="P21" i="13" s="1"/>
  <c r="O21" i="10"/>
  <c r="O21" i="13" s="1"/>
  <c r="N21" i="10"/>
  <c r="N21" i="13" s="1"/>
  <c r="M21" i="10"/>
  <c r="M21" i="13" s="1"/>
  <c r="L21" i="10"/>
  <c r="L21" i="13" s="1"/>
  <c r="K21" i="10"/>
  <c r="K21" i="13" s="1"/>
  <c r="J21" i="10"/>
  <c r="J21" i="13" s="1"/>
  <c r="I21" i="10"/>
  <c r="I21" i="13" s="1"/>
  <c r="H21" i="10"/>
  <c r="H21" i="13" s="1"/>
  <c r="G21" i="10"/>
  <c r="G21" i="13" s="1"/>
  <c r="F21" i="10"/>
  <c r="F21" i="13" s="1"/>
  <c r="E21" i="10"/>
  <c r="E21" i="13" s="1"/>
  <c r="D21" i="10"/>
  <c r="D21" i="13" s="1"/>
  <c r="C21" i="10"/>
  <c r="C21" i="13" s="1"/>
  <c r="B21" i="10"/>
  <c r="B21" i="13" s="1"/>
  <c r="AP20" i="10"/>
  <c r="AO20" i="10"/>
  <c r="AN20" i="10"/>
  <c r="AM20" i="10"/>
  <c r="AL20" i="10"/>
  <c r="AK20" i="10"/>
  <c r="AJ20" i="10"/>
  <c r="AI20" i="10"/>
  <c r="J17" i="4" s="1"/>
  <c r="AH20" i="10"/>
  <c r="I17" i="4" s="1"/>
  <c r="AG20" i="10"/>
  <c r="AF20" i="10"/>
  <c r="AE20" i="10"/>
  <c r="AD20" i="10"/>
  <c r="AC20" i="10"/>
  <c r="AB20" i="10"/>
  <c r="AA20" i="10"/>
  <c r="Z20" i="10"/>
  <c r="Y20" i="10"/>
  <c r="X20" i="10"/>
  <c r="G17" i="4" s="1"/>
  <c r="W20" i="10"/>
  <c r="V20" i="10"/>
  <c r="V20" i="13" s="1"/>
  <c r="U20" i="10"/>
  <c r="U20" i="13" s="1"/>
  <c r="T20" i="10"/>
  <c r="T20" i="13" s="1"/>
  <c r="S20" i="10"/>
  <c r="S20" i="13" s="1"/>
  <c r="R20" i="10"/>
  <c r="R20" i="13" s="1"/>
  <c r="Q20" i="10"/>
  <c r="Q20" i="13" s="1"/>
  <c r="P20" i="10"/>
  <c r="P20" i="13" s="1"/>
  <c r="O20" i="10"/>
  <c r="O20" i="13" s="1"/>
  <c r="N20" i="10"/>
  <c r="N20" i="13" s="1"/>
  <c r="M20" i="10"/>
  <c r="M20" i="13" s="1"/>
  <c r="L20" i="10"/>
  <c r="L20" i="13" s="1"/>
  <c r="K20" i="10"/>
  <c r="K20" i="13" s="1"/>
  <c r="J20" i="10"/>
  <c r="J20" i="13" s="1"/>
  <c r="I20" i="10"/>
  <c r="I20" i="13" s="1"/>
  <c r="H20" i="10"/>
  <c r="H20" i="13" s="1"/>
  <c r="G20" i="10"/>
  <c r="G20" i="13" s="1"/>
  <c r="F20" i="10"/>
  <c r="F20" i="13" s="1"/>
  <c r="E20" i="10"/>
  <c r="E20" i="13" s="1"/>
  <c r="D20" i="10"/>
  <c r="D20" i="13" s="1"/>
  <c r="C20" i="10"/>
  <c r="C20" i="13" s="1"/>
  <c r="B20" i="10"/>
  <c r="B20" i="13" s="1"/>
  <c r="V19" i="10"/>
  <c r="V19" i="13" s="1"/>
  <c r="U19" i="10"/>
  <c r="U19" i="13" s="1"/>
  <c r="T19" i="10"/>
  <c r="T19" i="13" s="1"/>
  <c r="S19" i="10"/>
  <c r="S19" i="13" s="1"/>
  <c r="R19" i="10"/>
  <c r="R19" i="13" s="1"/>
  <c r="Q19" i="10"/>
  <c r="Q19" i="13" s="1"/>
  <c r="P19" i="10"/>
  <c r="P19" i="13" s="1"/>
  <c r="O19" i="10"/>
  <c r="O19" i="13" s="1"/>
  <c r="N19" i="10"/>
  <c r="N19" i="13" s="1"/>
  <c r="M19" i="10"/>
  <c r="M19" i="13" s="1"/>
  <c r="L19" i="10"/>
  <c r="L19" i="13" s="1"/>
  <c r="K19" i="10"/>
  <c r="K19" i="13" s="1"/>
  <c r="J19" i="10"/>
  <c r="J19" i="13" s="1"/>
  <c r="I19" i="10"/>
  <c r="I19" i="13" s="1"/>
  <c r="H19" i="10"/>
  <c r="H19" i="13" s="1"/>
  <c r="G19" i="10"/>
  <c r="G19" i="13" s="1"/>
  <c r="F19" i="10"/>
  <c r="F19" i="13" s="1"/>
  <c r="E19" i="10"/>
  <c r="E19" i="13" s="1"/>
  <c r="D19" i="10"/>
  <c r="D19" i="13" s="1"/>
  <c r="C19" i="10"/>
  <c r="C19" i="13" s="1"/>
  <c r="B19" i="10"/>
  <c r="B19" i="13" s="1"/>
  <c r="V18" i="10"/>
  <c r="V18" i="13" s="1"/>
  <c r="U18" i="10"/>
  <c r="U18" i="13" s="1"/>
  <c r="T18" i="10"/>
  <c r="T18" i="13" s="1"/>
  <c r="S18" i="10"/>
  <c r="S18" i="13" s="1"/>
  <c r="R18" i="10"/>
  <c r="R18" i="13" s="1"/>
  <c r="Q18" i="10"/>
  <c r="Q18" i="13" s="1"/>
  <c r="P18" i="10"/>
  <c r="P18" i="13" s="1"/>
  <c r="O18" i="10"/>
  <c r="O18" i="13" s="1"/>
  <c r="N18" i="10"/>
  <c r="N18" i="13" s="1"/>
  <c r="M18" i="10"/>
  <c r="M18" i="13" s="1"/>
  <c r="L18" i="10"/>
  <c r="L18" i="13" s="1"/>
  <c r="K18" i="10"/>
  <c r="K18" i="13" s="1"/>
  <c r="J18" i="10"/>
  <c r="J18" i="13" s="1"/>
  <c r="I18" i="10"/>
  <c r="I18" i="13" s="1"/>
  <c r="H18" i="10"/>
  <c r="H18" i="13" s="1"/>
  <c r="G18" i="10"/>
  <c r="G18" i="13" s="1"/>
  <c r="F18" i="10"/>
  <c r="F18" i="13" s="1"/>
  <c r="E18" i="10"/>
  <c r="E18" i="13" s="1"/>
  <c r="D18" i="10"/>
  <c r="D18" i="13" s="1"/>
  <c r="C18" i="10"/>
  <c r="C18" i="13" s="1"/>
  <c r="B18" i="10"/>
  <c r="B18" i="13" s="1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V17" i="13" s="1"/>
  <c r="U17" i="10"/>
  <c r="U17" i="13" s="1"/>
  <c r="T17" i="10"/>
  <c r="T17" i="13" s="1"/>
  <c r="S17" i="10"/>
  <c r="S17" i="13" s="1"/>
  <c r="R17" i="10"/>
  <c r="R17" i="13" s="1"/>
  <c r="Q17" i="10"/>
  <c r="Q17" i="13" s="1"/>
  <c r="P17" i="10"/>
  <c r="P17" i="13" s="1"/>
  <c r="O17" i="10"/>
  <c r="O17" i="13" s="1"/>
  <c r="N17" i="10"/>
  <c r="N17" i="13" s="1"/>
  <c r="M17" i="10"/>
  <c r="M17" i="13" s="1"/>
  <c r="L17" i="10"/>
  <c r="L17" i="13" s="1"/>
  <c r="K17" i="10"/>
  <c r="K17" i="13" s="1"/>
  <c r="J17" i="10"/>
  <c r="J17" i="13" s="1"/>
  <c r="I17" i="10"/>
  <c r="I17" i="13" s="1"/>
  <c r="H17" i="10"/>
  <c r="H17" i="13" s="1"/>
  <c r="G17" i="10"/>
  <c r="G17" i="13" s="1"/>
  <c r="F17" i="10"/>
  <c r="F17" i="13" s="1"/>
  <c r="E17" i="10"/>
  <c r="E17" i="13" s="1"/>
  <c r="D17" i="10"/>
  <c r="D17" i="13" s="1"/>
  <c r="C17" i="10"/>
  <c r="C17" i="13" s="1"/>
  <c r="B17" i="10"/>
  <c r="B17" i="13" s="1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V16" i="13" s="1"/>
  <c r="U16" i="10"/>
  <c r="U16" i="13" s="1"/>
  <c r="T16" i="10"/>
  <c r="T16" i="13" s="1"/>
  <c r="S16" i="10"/>
  <c r="S16" i="13" s="1"/>
  <c r="R16" i="10"/>
  <c r="R16" i="13" s="1"/>
  <c r="Q16" i="10"/>
  <c r="Q16" i="13" s="1"/>
  <c r="P16" i="10"/>
  <c r="P16" i="13" s="1"/>
  <c r="O16" i="10"/>
  <c r="O16" i="13" s="1"/>
  <c r="N16" i="10"/>
  <c r="N16" i="13" s="1"/>
  <c r="M16" i="10"/>
  <c r="M16" i="13" s="1"/>
  <c r="L16" i="10"/>
  <c r="L16" i="13" s="1"/>
  <c r="K16" i="10"/>
  <c r="K16" i="13" s="1"/>
  <c r="J16" i="10"/>
  <c r="J16" i="13" s="1"/>
  <c r="I16" i="10"/>
  <c r="I16" i="13" s="1"/>
  <c r="H16" i="10"/>
  <c r="H16" i="13" s="1"/>
  <c r="G16" i="10"/>
  <c r="G16" i="13" s="1"/>
  <c r="F16" i="10"/>
  <c r="F16" i="13" s="1"/>
  <c r="E16" i="10"/>
  <c r="E16" i="13" s="1"/>
  <c r="D16" i="10"/>
  <c r="D16" i="13" s="1"/>
  <c r="C16" i="10"/>
  <c r="C16" i="13" s="1"/>
  <c r="B16" i="10"/>
  <c r="B16" i="13" s="1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V15" i="13" s="1"/>
  <c r="U15" i="10"/>
  <c r="U15" i="13" s="1"/>
  <c r="T15" i="10"/>
  <c r="T15" i="13" s="1"/>
  <c r="S15" i="10"/>
  <c r="S15" i="13" s="1"/>
  <c r="R15" i="10"/>
  <c r="R15" i="13" s="1"/>
  <c r="Q15" i="10"/>
  <c r="Q15" i="13" s="1"/>
  <c r="P15" i="10"/>
  <c r="P15" i="13" s="1"/>
  <c r="O15" i="10"/>
  <c r="O15" i="13" s="1"/>
  <c r="N15" i="10"/>
  <c r="N15" i="13" s="1"/>
  <c r="M15" i="10"/>
  <c r="M15" i="13" s="1"/>
  <c r="L15" i="10"/>
  <c r="L15" i="13" s="1"/>
  <c r="K15" i="10"/>
  <c r="K15" i="13" s="1"/>
  <c r="J15" i="10"/>
  <c r="J15" i="13" s="1"/>
  <c r="I15" i="10"/>
  <c r="I15" i="13" s="1"/>
  <c r="H15" i="10"/>
  <c r="H15" i="13" s="1"/>
  <c r="G15" i="10"/>
  <c r="G15" i="13" s="1"/>
  <c r="F15" i="10"/>
  <c r="F15" i="13" s="1"/>
  <c r="E15" i="10"/>
  <c r="E15" i="13" s="1"/>
  <c r="D15" i="10"/>
  <c r="D15" i="13" s="1"/>
  <c r="C15" i="10"/>
  <c r="C15" i="13" s="1"/>
  <c r="B15" i="10"/>
  <c r="B15" i="13" s="1"/>
  <c r="AP14" i="10"/>
  <c r="AO14" i="10"/>
  <c r="AN14" i="10"/>
  <c r="AM14" i="10"/>
  <c r="AL14" i="10"/>
  <c r="AI14" i="10"/>
  <c r="AG14" i="10"/>
  <c r="AF14" i="10"/>
  <c r="AE14" i="10"/>
  <c r="AD14" i="10"/>
  <c r="AC14" i="10"/>
  <c r="AB14" i="10"/>
  <c r="AA14" i="10"/>
  <c r="Z14" i="10"/>
  <c r="W14" i="10"/>
  <c r="V14" i="10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AG14" i="13" s="1"/>
  <c r="AH14" i="13" s="1"/>
  <c r="AI14" i="13" s="1"/>
  <c r="AJ14" i="13" s="1"/>
  <c r="AK14" i="13" s="1"/>
  <c r="AL14" i="13" s="1"/>
  <c r="AM14" i="13" s="1"/>
  <c r="AN14" i="13" s="1"/>
  <c r="AO14" i="13" s="1"/>
  <c r="AP14" i="13" s="1"/>
  <c r="U14" i="10"/>
  <c r="U14" i="13" s="1"/>
  <c r="T14" i="10"/>
  <c r="T14" i="13" s="1"/>
  <c r="S14" i="10"/>
  <c r="S14" i="13" s="1"/>
  <c r="R14" i="10"/>
  <c r="R14" i="13" s="1"/>
  <c r="Q14" i="10"/>
  <c r="Q14" i="13" s="1"/>
  <c r="P14" i="10"/>
  <c r="P14" i="13" s="1"/>
  <c r="O14" i="10"/>
  <c r="O14" i="13" s="1"/>
  <c r="N14" i="10"/>
  <c r="N14" i="13" s="1"/>
  <c r="M14" i="10"/>
  <c r="M14" i="13" s="1"/>
  <c r="L14" i="10"/>
  <c r="L14" i="13" s="1"/>
  <c r="K14" i="10"/>
  <c r="K14" i="13" s="1"/>
  <c r="J14" i="10"/>
  <c r="J14" i="13" s="1"/>
  <c r="I14" i="10"/>
  <c r="I14" i="13" s="1"/>
  <c r="H14" i="10"/>
  <c r="H14" i="13" s="1"/>
  <c r="G14" i="10"/>
  <c r="G14" i="13" s="1"/>
  <c r="F14" i="10"/>
  <c r="F14" i="13" s="1"/>
  <c r="E14" i="10"/>
  <c r="E14" i="13" s="1"/>
  <c r="D14" i="10"/>
  <c r="D14" i="13" s="1"/>
  <c r="C14" i="10"/>
  <c r="C14" i="13" s="1"/>
  <c r="B14" i="10"/>
  <c r="B14" i="13" s="1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V13" i="13" s="1"/>
  <c r="U13" i="10"/>
  <c r="T13" i="10"/>
  <c r="T13" i="13" s="1"/>
  <c r="S13" i="10"/>
  <c r="S13" i="13" s="1"/>
  <c r="R13" i="10"/>
  <c r="R13" i="13" s="1"/>
  <c r="Q13" i="10"/>
  <c r="Q13" i="13" s="1"/>
  <c r="P13" i="10"/>
  <c r="P13" i="13" s="1"/>
  <c r="O13" i="10"/>
  <c r="O13" i="13" s="1"/>
  <c r="N13" i="10"/>
  <c r="N13" i="13" s="1"/>
  <c r="M13" i="10"/>
  <c r="M13" i="13" s="1"/>
  <c r="L13" i="10"/>
  <c r="L13" i="13" s="1"/>
  <c r="K13" i="10"/>
  <c r="K13" i="13" s="1"/>
  <c r="J13" i="10"/>
  <c r="J13" i="13" s="1"/>
  <c r="I13" i="10"/>
  <c r="I13" i="13" s="1"/>
  <c r="H13" i="10"/>
  <c r="H13" i="13" s="1"/>
  <c r="G13" i="10"/>
  <c r="G13" i="13" s="1"/>
  <c r="F13" i="10"/>
  <c r="F13" i="13" s="1"/>
  <c r="E13" i="10"/>
  <c r="E13" i="13" s="1"/>
  <c r="D13" i="10"/>
  <c r="D13" i="13" s="1"/>
  <c r="C13" i="10"/>
  <c r="C13" i="13" s="1"/>
  <c r="B13" i="10"/>
  <c r="B13" i="13" s="1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U12" i="10"/>
  <c r="U12" i="13" s="1"/>
  <c r="T12" i="10"/>
  <c r="T12" i="13" s="1"/>
  <c r="S12" i="10"/>
  <c r="S12" i="13" s="1"/>
  <c r="Q12" i="10"/>
  <c r="Q12" i="13" s="1"/>
  <c r="P12" i="10"/>
  <c r="P12" i="13" s="1"/>
  <c r="O12" i="10"/>
  <c r="O12" i="13" s="1"/>
  <c r="M12" i="10"/>
  <c r="M12" i="13" s="1"/>
  <c r="L12" i="10"/>
  <c r="L12" i="13" s="1"/>
  <c r="K12" i="10"/>
  <c r="K12" i="13" s="1"/>
  <c r="I12" i="10"/>
  <c r="I12" i="13" s="1"/>
  <c r="H12" i="10"/>
  <c r="H12" i="13" s="1"/>
  <c r="G12" i="10"/>
  <c r="G12" i="13" s="1"/>
  <c r="E12" i="10"/>
  <c r="E12" i="13" s="1"/>
  <c r="D12" i="10"/>
  <c r="D12" i="13" s="1"/>
  <c r="C12" i="10"/>
  <c r="C12" i="13" s="1"/>
  <c r="B12" i="10"/>
  <c r="B12" i="13" s="1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V10" i="13" s="1"/>
  <c r="U10" i="10"/>
  <c r="U10" i="13" s="1"/>
  <c r="T10" i="10"/>
  <c r="T10" i="13" s="1"/>
  <c r="S10" i="10"/>
  <c r="S10" i="13" s="1"/>
  <c r="R10" i="10"/>
  <c r="R10" i="13" s="1"/>
  <c r="Q10" i="10"/>
  <c r="Q10" i="13" s="1"/>
  <c r="P10" i="10"/>
  <c r="P10" i="13" s="1"/>
  <c r="O10" i="10"/>
  <c r="O10" i="13" s="1"/>
  <c r="N10" i="10"/>
  <c r="N10" i="13" s="1"/>
  <c r="M10" i="10"/>
  <c r="M10" i="13" s="1"/>
  <c r="L10" i="10"/>
  <c r="L10" i="13" s="1"/>
  <c r="K10" i="10"/>
  <c r="K10" i="13" s="1"/>
  <c r="J10" i="10"/>
  <c r="J10" i="13" s="1"/>
  <c r="I10" i="10"/>
  <c r="I10" i="13" s="1"/>
  <c r="H10" i="10"/>
  <c r="H10" i="13" s="1"/>
  <c r="G10" i="10"/>
  <c r="G10" i="13" s="1"/>
  <c r="F10" i="10"/>
  <c r="F10" i="13" s="1"/>
  <c r="E10" i="10"/>
  <c r="E10" i="13" s="1"/>
  <c r="D10" i="10"/>
  <c r="D10" i="13" s="1"/>
  <c r="C10" i="10"/>
  <c r="C10" i="13" s="1"/>
  <c r="B10" i="10"/>
  <c r="B10" i="13" s="1"/>
  <c r="AP9" i="10"/>
  <c r="AO9" i="10"/>
  <c r="AN9" i="10"/>
  <c r="AM9" i="10"/>
  <c r="AL9" i="10"/>
  <c r="AK9" i="10"/>
  <c r="AJ9" i="10"/>
  <c r="AI9" i="10"/>
  <c r="J7" i="4" s="1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V9" i="13" s="1"/>
  <c r="U9" i="10"/>
  <c r="T9" i="10"/>
  <c r="T9" i="13" s="1"/>
  <c r="S9" i="10"/>
  <c r="S9" i="13" s="1"/>
  <c r="R9" i="10"/>
  <c r="R9" i="13" s="1"/>
  <c r="Q9" i="10"/>
  <c r="Q9" i="13" s="1"/>
  <c r="P9" i="10"/>
  <c r="P9" i="13" s="1"/>
  <c r="O9" i="10"/>
  <c r="O9" i="13" s="1"/>
  <c r="N9" i="10"/>
  <c r="N9" i="13" s="1"/>
  <c r="M9" i="10"/>
  <c r="M9" i="13" s="1"/>
  <c r="L9" i="10"/>
  <c r="L9" i="13" s="1"/>
  <c r="K9" i="10"/>
  <c r="K9" i="13" s="1"/>
  <c r="J9" i="10"/>
  <c r="J9" i="13" s="1"/>
  <c r="I9" i="10"/>
  <c r="I9" i="13" s="1"/>
  <c r="H9" i="10"/>
  <c r="H9" i="13" s="1"/>
  <c r="G9" i="10"/>
  <c r="G9" i="13" s="1"/>
  <c r="F9" i="10"/>
  <c r="F9" i="13" s="1"/>
  <c r="E9" i="10"/>
  <c r="E9" i="13" s="1"/>
  <c r="D9" i="10"/>
  <c r="D9" i="13" s="1"/>
  <c r="C9" i="10"/>
  <c r="C9" i="13" s="1"/>
  <c r="B9" i="10"/>
  <c r="B9" i="13" s="1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V8" i="13" s="1"/>
  <c r="U8" i="10"/>
  <c r="U8" i="13" s="1"/>
  <c r="T8" i="10"/>
  <c r="T8" i="13" s="1"/>
  <c r="S8" i="10"/>
  <c r="S8" i="13" s="1"/>
  <c r="R8" i="10"/>
  <c r="R8" i="13" s="1"/>
  <c r="Q8" i="10"/>
  <c r="Q8" i="13" s="1"/>
  <c r="P8" i="10"/>
  <c r="P8" i="13" s="1"/>
  <c r="O8" i="10"/>
  <c r="O8" i="13" s="1"/>
  <c r="N8" i="10"/>
  <c r="N8" i="13" s="1"/>
  <c r="M8" i="10"/>
  <c r="M8" i="13" s="1"/>
  <c r="L8" i="10"/>
  <c r="L8" i="13" s="1"/>
  <c r="K8" i="10"/>
  <c r="K8" i="13" s="1"/>
  <c r="J8" i="10"/>
  <c r="J8" i="13" s="1"/>
  <c r="I8" i="10"/>
  <c r="I8" i="13" s="1"/>
  <c r="H8" i="10"/>
  <c r="H8" i="13" s="1"/>
  <c r="G8" i="10"/>
  <c r="G8" i="13" s="1"/>
  <c r="F8" i="10"/>
  <c r="F8" i="13" s="1"/>
  <c r="E8" i="10"/>
  <c r="E8" i="13" s="1"/>
  <c r="D8" i="10"/>
  <c r="D8" i="13" s="1"/>
  <c r="C8" i="10"/>
  <c r="C8" i="13" s="1"/>
  <c r="B8" i="10"/>
  <c r="B8" i="13" s="1"/>
  <c r="AP7" i="10"/>
  <c r="AO7" i="10"/>
  <c r="AN7" i="10"/>
  <c r="AM7" i="10"/>
  <c r="AL7" i="10"/>
  <c r="AK7" i="10"/>
  <c r="AJ7" i="10"/>
  <c r="AI7" i="10"/>
  <c r="AH7" i="10"/>
  <c r="AG7" i="10"/>
  <c r="AF7" i="10"/>
  <c r="I5" i="4" s="1"/>
  <c r="AE7" i="10"/>
  <c r="AD7" i="10"/>
  <c r="AC7" i="10"/>
  <c r="AB7" i="10"/>
  <c r="AA7" i="10"/>
  <c r="Z7" i="10"/>
  <c r="Y7" i="10"/>
  <c r="X7" i="10"/>
  <c r="W7" i="10"/>
  <c r="V7" i="10"/>
  <c r="V7" i="13" s="1"/>
  <c r="U7" i="10"/>
  <c r="U7" i="13" s="1"/>
  <c r="T7" i="10"/>
  <c r="T7" i="13" s="1"/>
  <c r="S7" i="10"/>
  <c r="S7" i="13" s="1"/>
  <c r="R7" i="10"/>
  <c r="R7" i="13" s="1"/>
  <c r="Q7" i="10"/>
  <c r="Q7" i="13" s="1"/>
  <c r="P7" i="10"/>
  <c r="P7" i="13" s="1"/>
  <c r="O7" i="10"/>
  <c r="O7" i="13" s="1"/>
  <c r="N7" i="10"/>
  <c r="N7" i="13" s="1"/>
  <c r="M7" i="10"/>
  <c r="M7" i="13" s="1"/>
  <c r="L7" i="10"/>
  <c r="L7" i="13" s="1"/>
  <c r="K7" i="10"/>
  <c r="K7" i="13" s="1"/>
  <c r="J7" i="10"/>
  <c r="J7" i="13" s="1"/>
  <c r="I7" i="10"/>
  <c r="I7" i="13" s="1"/>
  <c r="H7" i="10"/>
  <c r="H7" i="13" s="1"/>
  <c r="G7" i="10"/>
  <c r="G7" i="13" s="1"/>
  <c r="F7" i="10"/>
  <c r="F7" i="13" s="1"/>
  <c r="E7" i="10"/>
  <c r="E7" i="13" s="1"/>
  <c r="D7" i="10"/>
  <c r="D7" i="13" s="1"/>
  <c r="C7" i="10"/>
  <c r="C7" i="13" s="1"/>
  <c r="B7" i="10"/>
  <c r="B7" i="13" s="1"/>
  <c r="V6" i="10"/>
  <c r="V6" i="13" s="1"/>
  <c r="W6" i="13" s="1"/>
  <c r="X6" i="13" s="1"/>
  <c r="Y6" i="13" s="1"/>
  <c r="Z6" i="13" s="1"/>
  <c r="AA6" i="13" s="1"/>
  <c r="AB6" i="13" s="1"/>
  <c r="AC6" i="13" s="1"/>
  <c r="AD6" i="13" s="1"/>
  <c r="AE6" i="13" s="1"/>
  <c r="AF6" i="13" s="1"/>
  <c r="AG6" i="13" s="1"/>
  <c r="AH6" i="13" s="1"/>
  <c r="AI6" i="13" s="1"/>
  <c r="AJ6" i="13" s="1"/>
  <c r="AK6" i="13" s="1"/>
  <c r="AL6" i="13" s="1"/>
  <c r="AM6" i="13" s="1"/>
  <c r="AN6" i="13" s="1"/>
  <c r="AO6" i="13" s="1"/>
  <c r="AP6" i="13" s="1"/>
  <c r="U6" i="10"/>
  <c r="T6" i="10"/>
  <c r="S6" i="10"/>
  <c r="R6" i="10"/>
  <c r="Q6" i="10"/>
  <c r="P6" i="10"/>
  <c r="O6" i="10"/>
  <c r="N6" i="10"/>
  <c r="M6" i="10"/>
  <c r="L6" i="10"/>
  <c r="K6" i="10"/>
  <c r="J6" i="10"/>
  <c r="J6" i="13" s="1"/>
  <c r="I6" i="10"/>
  <c r="H6" i="10"/>
  <c r="G6" i="10"/>
  <c r="F6" i="10"/>
  <c r="E6" i="10"/>
  <c r="D6" i="10"/>
  <c r="C6" i="10"/>
  <c r="B6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H4" i="4" s="1"/>
  <c r="Z5" i="10"/>
  <c r="Y5" i="10"/>
  <c r="X5" i="10"/>
  <c r="W5" i="10"/>
  <c r="V5" i="10"/>
  <c r="V5" i="13" s="1"/>
  <c r="U5" i="10"/>
  <c r="U5" i="13" s="1"/>
  <c r="T5" i="10"/>
  <c r="T5" i="13" s="1"/>
  <c r="S5" i="10"/>
  <c r="S5" i="13" s="1"/>
  <c r="R5" i="10"/>
  <c r="R5" i="13" s="1"/>
  <c r="Q5" i="10"/>
  <c r="Q5" i="13" s="1"/>
  <c r="P5" i="10"/>
  <c r="P5" i="13" s="1"/>
  <c r="O5" i="10"/>
  <c r="O5" i="13" s="1"/>
  <c r="N5" i="10"/>
  <c r="N5" i="13" s="1"/>
  <c r="M5" i="10"/>
  <c r="M5" i="13" s="1"/>
  <c r="L5" i="10"/>
  <c r="L5" i="13" s="1"/>
  <c r="K5" i="10"/>
  <c r="K5" i="13" s="1"/>
  <c r="J5" i="10"/>
  <c r="J5" i="13" s="1"/>
  <c r="I5" i="10"/>
  <c r="I5" i="13" s="1"/>
  <c r="H5" i="10"/>
  <c r="H5" i="13" s="1"/>
  <c r="G5" i="10"/>
  <c r="G5" i="13" s="1"/>
  <c r="F5" i="10"/>
  <c r="F5" i="13" s="1"/>
  <c r="E5" i="10"/>
  <c r="E5" i="13" s="1"/>
  <c r="D5" i="10"/>
  <c r="D5" i="13" s="1"/>
  <c r="C5" i="10"/>
  <c r="C5" i="13" s="1"/>
  <c r="B5" i="10"/>
  <c r="B5" i="13" s="1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U4" i="10"/>
  <c r="U4" i="13" s="1"/>
  <c r="T4" i="10"/>
  <c r="T4" i="13" s="1"/>
  <c r="S4" i="10"/>
  <c r="S4" i="13" s="1"/>
  <c r="Q4" i="10"/>
  <c r="Q4" i="13" s="1"/>
  <c r="P4" i="10"/>
  <c r="P4" i="13" s="1"/>
  <c r="O4" i="10"/>
  <c r="O4" i="13" s="1"/>
  <c r="M4" i="10"/>
  <c r="M4" i="13" s="1"/>
  <c r="L4" i="10"/>
  <c r="L4" i="13" s="1"/>
  <c r="K4" i="10"/>
  <c r="K4" i="13" s="1"/>
  <c r="I4" i="10"/>
  <c r="I4" i="13" s="1"/>
  <c r="H4" i="10"/>
  <c r="H4" i="13" s="1"/>
  <c r="G4" i="10"/>
  <c r="G4" i="13" s="1"/>
  <c r="E4" i="10"/>
  <c r="E4" i="13" s="1"/>
  <c r="D4" i="10"/>
  <c r="D4" i="13" s="1"/>
  <c r="C4" i="10"/>
  <c r="C4" i="13" s="1"/>
  <c r="B4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U3" i="10"/>
  <c r="U3" i="13" s="1"/>
  <c r="T3" i="10"/>
  <c r="T3" i="13" s="1"/>
  <c r="S3" i="10"/>
  <c r="S3" i="13" s="1"/>
  <c r="Q3" i="10"/>
  <c r="Q3" i="13" s="1"/>
  <c r="P3" i="10"/>
  <c r="P3" i="13" s="1"/>
  <c r="O3" i="10"/>
  <c r="O3" i="13" s="1"/>
  <c r="M3" i="10"/>
  <c r="M3" i="13" s="1"/>
  <c r="L3" i="10"/>
  <c r="L3" i="13" s="1"/>
  <c r="K3" i="10"/>
  <c r="K3" i="13" s="1"/>
  <c r="I3" i="10"/>
  <c r="I3" i="13" s="1"/>
  <c r="H3" i="10"/>
  <c r="H3" i="13" s="1"/>
  <c r="G3" i="10"/>
  <c r="G3" i="13" s="1"/>
  <c r="E3" i="10"/>
  <c r="E3" i="13" s="1"/>
  <c r="D3" i="10"/>
  <c r="D3" i="13" s="1"/>
  <c r="C3" i="10"/>
  <c r="C3" i="13" s="1"/>
  <c r="B3" i="10"/>
  <c r="B3" i="13" s="1"/>
  <c r="V2" i="10"/>
  <c r="V2" i="13" s="1"/>
  <c r="U2" i="10"/>
  <c r="U2" i="13" s="1"/>
  <c r="T2" i="10"/>
  <c r="T2" i="13" s="1"/>
  <c r="S2" i="10"/>
  <c r="S2" i="13" s="1"/>
  <c r="R2" i="10"/>
  <c r="R2" i="13" s="1"/>
  <c r="Q2" i="10"/>
  <c r="Q2" i="13" s="1"/>
  <c r="P2" i="10"/>
  <c r="P2" i="13" s="1"/>
  <c r="O2" i="10"/>
  <c r="O2" i="13" s="1"/>
  <c r="N2" i="10"/>
  <c r="N2" i="13" s="1"/>
  <c r="M2" i="10"/>
  <c r="M2" i="13" s="1"/>
  <c r="L2" i="10"/>
  <c r="L2" i="13" s="1"/>
  <c r="K2" i="10"/>
  <c r="K2" i="13" s="1"/>
  <c r="J2" i="10"/>
  <c r="J2" i="13" s="1"/>
  <c r="I2" i="10"/>
  <c r="I2" i="13" s="1"/>
  <c r="H2" i="10"/>
  <c r="H2" i="13" s="1"/>
  <c r="G2" i="10"/>
  <c r="G2" i="13" s="1"/>
  <c r="F2" i="10"/>
  <c r="F2" i="13" s="1"/>
  <c r="E2" i="10"/>
  <c r="E2" i="13" s="1"/>
  <c r="D2" i="10"/>
  <c r="D2" i="13" s="1"/>
  <c r="C2" i="10"/>
  <c r="C2" i="13" s="1"/>
  <c r="B2" i="10"/>
  <c r="B2" i="13" s="1"/>
  <c r="L43" i="9"/>
  <c r="S42" i="9"/>
  <c r="S38" i="12" s="1"/>
  <c r="R42" i="9"/>
  <c r="R38" i="12" s="1"/>
  <c r="Q42" i="9"/>
  <c r="Q38" i="12" s="1"/>
  <c r="P42" i="9"/>
  <c r="P38" i="12" s="1"/>
  <c r="O42" i="9"/>
  <c r="O38" i="12" s="1"/>
  <c r="N42" i="9"/>
  <c r="N38" i="12" s="1"/>
  <c r="M42" i="9"/>
  <c r="M38" i="12" s="1"/>
  <c r="L42" i="9"/>
  <c r="K42" i="9"/>
  <c r="K38" i="12" s="1"/>
  <c r="J42" i="9"/>
  <c r="J38" i="12" s="1"/>
  <c r="I42" i="9"/>
  <c r="I38" i="12" s="1"/>
  <c r="H42" i="9"/>
  <c r="H38" i="12" s="1"/>
  <c r="G42" i="9"/>
  <c r="G38" i="12" s="1"/>
  <c r="F42" i="9"/>
  <c r="F38" i="12" s="1"/>
  <c r="E42" i="9"/>
  <c r="E38" i="12" s="1"/>
  <c r="D42" i="9"/>
  <c r="D38" i="12" s="1"/>
  <c r="C42" i="9"/>
  <c r="C38" i="12" s="1"/>
  <c r="B42" i="9"/>
  <c r="B38" i="12" s="1"/>
  <c r="S41" i="9"/>
  <c r="S37" i="12" s="1"/>
  <c r="T37" i="12" s="1"/>
  <c r="R41" i="9"/>
  <c r="R37" i="12" s="1"/>
  <c r="Q41" i="9"/>
  <c r="Q37" i="12" s="1"/>
  <c r="P41" i="9"/>
  <c r="P37" i="12" s="1"/>
  <c r="O41" i="9"/>
  <c r="O37" i="12" s="1"/>
  <c r="N41" i="9"/>
  <c r="N37" i="12" s="1"/>
  <c r="M41" i="9"/>
  <c r="M37" i="12" s="1"/>
  <c r="L41" i="9"/>
  <c r="L37" i="12" s="1"/>
  <c r="K41" i="9"/>
  <c r="K37" i="12" s="1"/>
  <c r="J41" i="9"/>
  <c r="J37" i="12" s="1"/>
  <c r="I41" i="9"/>
  <c r="I37" i="12" s="1"/>
  <c r="H41" i="9"/>
  <c r="H37" i="12" s="1"/>
  <c r="G41" i="9"/>
  <c r="G37" i="12" s="1"/>
  <c r="F41" i="9"/>
  <c r="F37" i="12" s="1"/>
  <c r="E41" i="9"/>
  <c r="E37" i="12" s="1"/>
  <c r="D41" i="9"/>
  <c r="D37" i="12" s="1"/>
  <c r="C41" i="9"/>
  <c r="C37" i="12" s="1"/>
  <c r="B41" i="9"/>
  <c r="B37" i="12" s="1"/>
  <c r="S40" i="9"/>
  <c r="S36" i="12" s="1"/>
  <c r="R40" i="9"/>
  <c r="R36" i="12" s="1"/>
  <c r="Q40" i="9"/>
  <c r="Q36" i="12" s="1"/>
  <c r="P40" i="9"/>
  <c r="P36" i="12" s="1"/>
  <c r="O40" i="9"/>
  <c r="O36" i="12" s="1"/>
  <c r="N40" i="9"/>
  <c r="N36" i="12" s="1"/>
  <c r="M40" i="9"/>
  <c r="M36" i="12" s="1"/>
  <c r="L40" i="9"/>
  <c r="L36" i="12" s="1"/>
  <c r="K40" i="9"/>
  <c r="K36" i="12" s="1"/>
  <c r="J40" i="9"/>
  <c r="J36" i="12" s="1"/>
  <c r="I40" i="9"/>
  <c r="I36" i="12" s="1"/>
  <c r="H40" i="9"/>
  <c r="H36" i="12" s="1"/>
  <c r="G40" i="9"/>
  <c r="G36" i="12" s="1"/>
  <c r="F40" i="9"/>
  <c r="F36" i="12" s="1"/>
  <c r="E40" i="9"/>
  <c r="E36" i="12" s="1"/>
  <c r="D40" i="9"/>
  <c r="D36" i="12" s="1"/>
  <c r="C40" i="9"/>
  <c r="C36" i="12" s="1"/>
  <c r="B40" i="9"/>
  <c r="B36" i="12" s="1"/>
  <c r="AC39" i="9"/>
  <c r="AB39" i="9"/>
  <c r="AA39" i="9"/>
  <c r="Z39" i="9"/>
  <c r="W39" i="9"/>
  <c r="V39" i="9"/>
  <c r="U39" i="9"/>
  <c r="S39" i="9"/>
  <c r="S35" i="12" s="1"/>
  <c r="T35" i="12" s="1"/>
  <c r="U35" i="12" s="1"/>
  <c r="V35" i="12" s="1"/>
  <c r="W35" i="12" s="1"/>
  <c r="X35" i="12" s="1"/>
  <c r="Y35" i="12" s="1"/>
  <c r="Z35" i="12" s="1"/>
  <c r="AA35" i="12" s="1"/>
  <c r="AB35" i="12" s="1"/>
  <c r="AC35" i="12" s="1"/>
  <c r="R39" i="9"/>
  <c r="Q39" i="9"/>
  <c r="Q35" i="12" s="1"/>
  <c r="P39" i="9"/>
  <c r="P35" i="12" s="1"/>
  <c r="O39" i="9"/>
  <c r="O35" i="12" s="1"/>
  <c r="N39" i="9"/>
  <c r="N35" i="12" s="1"/>
  <c r="M39" i="9"/>
  <c r="M35" i="12" s="1"/>
  <c r="L39" i="9"/>
  <c r="K39" i="9"/>
  <c r="K35" i="12" s="1"/>
  <c r="J39" i="9"/>
  <c r="J35" i="12" s="1"/>
  <c r="I39" i="9"/>
  <c r="I35" i="12" s="1"/>
  <c r="H39" i="9"/>
  <c r="H35" i="12" s="1"/>
  <c r="G39" i="9"/>
  <c r="G35" i="12" s="1"/>
  <c r="F39" i="9"/>
  <c r="F35" i="12" s="1"/>
  <c r="E39" i="9"/>
  <c r="E35" i="12" s="1"/>
  <c r="D39" i="9"/>
  <c r="D35" i="12" s="1"/>
  <c r="C39" i="9"/>
  <c r="C35" i="12" s="1"/>
  <c r="B39" i="9"/>
  <c r="B35" i="12" s="1"/>
  <c r="S38" i="9"/>
  <c r="S34" i="12" s="1"/>
  <c r="T34" i="12" s="1"/>
  <c r="R38" i="9"/>
  <c r="R34" i="12" s="1"/>
  <c r="Q38" i="9"/>
  <c r="Q34" i="12" s="1"/>
  <c r="P38" i="9"/>
  <c r="P34" i="12" s="1"/>
  <c r="O38" i="9"/>
  <c r="O34" i="12" s="1"/>
  <c r="N38" i="9"/>
  <c r="N34" i="12" s="1"/>
  <c r="M38" i="9"/>
  <c r="M34" i="12" s="1"/>
  <c r="L38" i="9"/>
  <c r="L34" i="12" s="1"/>
  <c r="K38" i="9"/>
  <c r="K34" i="12" s="1"/>
  <c r="J38" i="9"/>
  <c r="J34" i="12" s="1"/>
  <c r="I38" i="9"/>
  <c r="I34" i="12" s="1"/>
  <c r="H38" i="9"/>
  <c r="H34" i="12" s="1"/>
  <c r="G38" i="9"/>
  <c r="G34" i="12" s="1"/>
  <c r="F38" i="9"/>
  <c r="F34" i="12" s="1"/>
  <c r="E38" i="9"/>
  <c r="E34" i="12" s="1"/>
  <c r="D38" i="9"/>
  <c r="D34" i="12" s="1"/>
  <c r="C38" i="9"/>
  <c r="C34" i="12" s="1"/>
  <c r="B38" i="9"/>
  <c r="B34" i="12" s="1"/>
  <c r="S37" i="9"/>
  <c r="S33" i="12" s="1"/>
  <c r="T33" i="12" s="1"/>
  <c r="U33" i="12" s="1"/>
  <c r="V33" i="12" s="1"/>
  <c r="R37" i="9"/>
  <c r="R33" i="12" s="1"/>
  <c r="Q37" i="9"/>
  <c r="Q33" i="12" s="1"/>
  <c r="P37" i="9"/>
  <c r="P33" i="12" s="1"/>
  <c r="O37" i="9"/>
  <c r="O33" i="12" s="1"/>
  <c r="N37" i="9"/>
  <c r="N33" i="12" s="1"/>
  <c r="M37" i="9"/>
  <c r="M33" i="12" s="1"/>
  <c r="L37" i="9"/>
  <c r="L33" i="12" s="1"/>
  <c r="K37" i="9"/>
  <c r="K33" i="12" s="1"/>
  <c r="J37" i="9"/>
  <c r="J33" i="12" s="1"/>
  <c r="I37" i="9"/>
  <c r="I33" i="12" s="1"/>
  <c r="H37" i="9"/>
  <c r="H33" i="12" s="1"/>
  <c r="G37" i="9"/>
  <c r="G33" i="12" s="1"/>
  <c r="F37" i="9"/>
  <c r="F33" i="12" s="1"/>
  <c r="E37" i="9"/>
  <c r="E33" i="12" s="1"/>
  <c r="D37" i="9"/>
  <c r="D33" i="12" s="1"/>
  <c r="C37" i="9"/>
  <c r="C33" i="12" s="1"/>
  <c r="B37" i="9"/>
  <c r="B33" i="12" s="1"/>
  <c r="H36" i="9"/>
  <c r="E36" i="9"/>
  <c r="S35" i="9"/>
  <c r="S32" i="12" s="1"/>
  <c r="T32" i="12" s="1"/>
  <c r="U32" i="12" s="1"/>
  <c r="V32" i="12" s="1"/>
  <c r="W32" i="12" s="1"/>
  <c r="X32" i="12" s="1"/>
  <c r="Y32" i="12" s="1"/>
  <c r="Z32" i="12" s="1"/>
  <c r="AA32" i="12" s="1"/>
  <c r="AB32" i="12" s="1"/>
  <c r="AC32" i="12" s="1"/>
  <c r="AD32" i="12" s="1"/>
  <c r="AE32" i="12" s="1"/>
  <c r="AF32" i="12" s="1"/>
  <c r="AG32" i="12" s="1"/>
  <c r="AH32" i="12" s="1"/>
  <c r="AI32" i="12" s="1"/>
  <c r="AJ32" i="12" s="1"/>
  <c r="AK32" i="12" s="1"/>
  <c r="AL32" i="12" s="1"/>
  <c r="AM32" i="12" s="1"/>
  <c r="R35" i="9"/>
  <c r="Q35" i="9"/>
  <c r="P35" i="9"/>
  <c r="O35" i="9"/>
  <c r="N35" i="9"/>
  <c r="M35" i="9"/>
  <c r="L35" i="9"/>
  <c r="K35" i="9"/>
  <c r="J35" i="9"/>
  <c r="I35" i="9"/>
  <c r="H35" i="9"/>
  <c r="G35" i="9"/>
  <c r="G32" i="12" s="1"/>
  <c r="F35" i="9"/>
  <c r="E35" i="9"/>
  <c r="D35" i="9"/>
  <c r="C35" i="9"/>
  <c r="B35" i="9"/>
  <c r="S34" i="9"/>
  <c r="R34" i="9"/>
  <c r="Q34" i="9"/>
  <c r="P34" i="9"/>
  <c r="O34" i="9"/>
  <c r="O31" i="12" s="1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M33" i="9"/>
  <c r="AL33" i="9"/>
  <c r="AI33" i="9"/>
  <c r="AH33" i="9"/>
  <c r="AG33" i="9"/>
  <c r="AC33" i="9"/>
  <c r="AB33" i="9"/>
  <c r="AA33" i="9"/>
  <c r="Z33" i="9"/>
  <c r="W33" i="9"/>
  <c r="V33" i="9"/>
  <c r="U33" i="9"/>
  <c r="S33" i="9"/>
  <c r="S30" i="12" s="1"/>
  <c r="T30" i="12" s="1"/>
  <c r="U30" i="12" s="1"/>
  <c r="V30" i="12" s="1"/>
  <c r="W30" i="12" s="1"/>
  <c r="X30" i="12" s="1"/>
  <c r="Y30" i="12" s="1"/>
  <c r="Z30" i="12" s="1"/>
  <c r="AA30" i="12" s="1"/>
  <c r="AB30" i="12" s="1"/>
  <c r="AC30" i="12" s="1"/>
  <c r="AD30" i="12" s="1"/>
  <c r="AE30" i="12" s="1"/>
  <c r="AF30" i="12" s="1"/>
  <c r="AG30" i="12" s="1"/>
  <c r="AH30" i="12" s="1"/>
  <c r="AI30" i="12" s="1"/>
  <c r="AJ30" i="12" s="1"/>
  <c r="AK30" i="12" s="1"/>
  <c r="AL30" i="12" s="1"/>
  <c r="AM30" i="12" s="1"/>
  <c r="R33" i="9"/>
  <c r="R30" i="12" s="1"/>
  <c r="Q33" i="9"/>
  <c r="Q30" i="12" s="1"/>
  <c r="P33" i="9"/>
  <c r="P30" i="12" s="1"/>
  <c r="O33" i="9"/>
  <c r="O30" i="12" s="1"/>
  <c r="N33" i="9"/>
  <c r="N30" i="12" s="1"/>
  <c r="M33" i="9"/>
  <c r="M30" i="12" s="1"/>
  <c r="L33" i="9"/>
  <c r="L30" i="12" s="1"/>
  <c r="K33" i="9"/>
  <c r="K30" i="12" s="1"/>
  <c r="J33" i="9"/>
  <c r="J30" i="12" s="1"/>
  <c r="I33" i="9"/>
  <c r="I30" i="12" s="1"/>
  <c r="H33" i="9"/>
  <c r="H30" i="12" s="1"/>
  <c r="G33" i="9"/>
  <c r="G30" i="12" s="1"/>
  <c r="F33" i="9"/>
  <c r="F30" i="12" s="1"/>
  <c r="E33" i="9"/>
  <c r="E30" i="12" s="1"/>
  <c r="D33" i="9"/>
  <c r="D30" i="12" s="1"/>
  <c r="C33" i="9"/>
  <c r="C30" i="12" s="1"/>
  <c r="B33" i="9"/>
  <c r="B30" i="12" s="1"/>
  <c r="S32" i="9"/>
  <c r="S29" i="12" s="1"/>
  <c r="T29" i="12" s="1"/>
  <c r="R32" i="9"/>
  <c r="R29" i="12" s="1"/>
  <c r="Q32" i="9"/>
  <c r="Q29" i="12" s="1"/>
  <c r="P32" i="9"/>
  <c r="P29" i="12" s="1"/>
  <c r="O32" i="9"/>
  <c r="O29" i="12" s="1"/>
  <c r="N32" i="9"/>
  <c r="N29" i="12" s="1"/>
  <c r="M32" i="9"/>
  <c r="M29" i="12" s="1"/>
  <c r="L32" i="9"/>
  <c r="L29" i="12" s="1"/>
  <c r="K32" i="9"/>
  <c r="K29" i="12" s="1"/>
  <c r="J32" i="9"/>
  <c r="J29" i="12" s="1"/>
  <c r="I32" i="9"/>
  <c r="I29" i="12" s="1"/>
  <c r="H32" i="9"/>
  <c r="H29" i="12" s="1"/>
  <c r="G32" i="9"/>
  <c r="G29" i="12" s="1"/>
  <c r="F32" i="9"/>
  <c r="F29" i="12" s="1"/>
  <c r="E32" i="9"/>
  <c r="E29" i="12" s="1"/>
  <c r="D32" i="9"/>
  <c r="D29" i="12" s="1"/>
  <c r="C32" i="9"/>
  <c r="C29" i="12" s="1"/>
  <c r="B32" i="9"/>
  <c r="B29" i="12" s="1"/>
  <c r="S31" i="9"/>
  <c r="S28" i="12" s="1"/>
  <c r="T28" i="12" s="1"/>
  <c r="U28" i="12" s="1"/>
  <c r="V28" i="12" s="1"/>
  <c r="W28" i="12" s="1"/>
  <c r="X28" i="12" s="1"/>
  <c r="Y28" i="12" s="1"/>
  <c r="Z28" i="12" s="1"/>
  <c r="AA28" i="12" s="1"/>
  <c r="AB28" i="12" s="1"/>
  <c r="AC28" i="12" s="1"/>
  <c r="AD28" i="12" s="1"/>
  <c r="AE28" i="12" s="1"/>
  <c r="AF28" i="12" s="1"/>
  <c r="AG28" i="12" s="1"/>
  <c r="AH28" i="12" s="1"/>
  <c r="AI28" i="12" s="1"/>
  <c r="AJ28" i="12" s="1"/>
  <c r="AK28" i="12" s="1"/>
  <c r="AL28" i="12" s="1"/>
  <c r="AM28" i="12" s="1"/>
  <c r="R31" i="9"/>
  <c r="Q31" i="9"/>
  <c r="P31" i="9"/>
  <c r="O31" i="9"/>
  <c r="N31" i="9"/>
  <c r="M31" i="9"/>
  <c r="M28" i="12" s="1"/>
  <c r="L31" i="9"/>
  <c r="K31" i="9"/>
  <c r="J31" i="9"/>
  <c r="I31" i="9"/>
  <c r="H31" i="9"/>
  <c r="H28" i="12" s="1"/>
  <c r="G31" i="9"/>
  <c r="G28" i="12" s="1"/>
  <c r="F31" i="9"/>
  <c r="E31" i="9"/>
  <c r="D31" i="9"/>
  <c r="C31" i="9"/>
  <c r="B31" i="9"/>
  <c r="S30" i="9"/>
  <c r="R30" i="9"/>
  <c r="Q30" i="9"/>
  <c r="P30" i="9"/>
  <c r="O30" i="9"/>
  <c r="N30" i="9"/>
  <c r="M30" i="9"/>
  <c r="L30" i="9"/>
  <c r="K30" i="9"/>
  <c r="K27" i="12" s="1"/>
  <c r="J30" i="9"/>
  <c r="I30" i="9"/>
  <c r="H30" i="9"/>
  <c r="G30" i="9"/>
  <c r="F30" i="9"/>
  <c r="E30" i="9"/>
  <c r="D30" i="9"/>
  <c r="C30" i="9"/>
  <c r="B30" i="9"/>
  <c r="S28" i="9"/>
  <c r="R28" i="9"/>
  <c r="Q28" i="9"/>
  <c r="P28" i="9"/>
  <c r="O28" i="9"/>
  <c r="N28" i="9"/>
  <c r="M28" i="9"/>
  <c r="M26" i="12" s="1"/>
  <c r="L28" i="9"/>
  <c r="K28" i="9"/>
  <c r="J28" i="9"/>
  <c r="I28" i="9"/>
  <c r="H28" i="9"/>
  <c r="G28" i="9"/>
  <c r="F28" i="9"/>
  <c r="E28" i="9"/>
  <c r="D28" i="9"/>
  <c r="C28" i="9"/>
  <c r="B28" i="9"/>
  <c r="S27" i="9"/>
  <c r="R27" i="9"/>
  <c r="Q27" i="9"/>
  <c r="P27" i="9"/>
  <c r="O27" i="9"/>
  <c r="O25" i="12" s="1"/>
  <c r="N27" i="9"/>
  <c r="N25" i="12" s="1"/>
  <c r="M27" i="9"/>
  <c r="L27" i="9"/>
  <c r="K27" i="9"/>
  <c r="J27" i="9"/>
  <c r="I27" i="9"/>
  <c r="H27" i="9"/>
  <c r="G27" i="9"/>
  <c r="F27" i="9"/>
  <c r="E27" i="9"/>
  <c r="D27" i="9"/>
  <c r="C27" i="9"/>
  <c r="C25" i="12" s="1"/>
  <c r="B27" i="9"/>
  <c r="B25" i="12" s="1"/>
  <c r="S26" i="9"/>
  <c r="S24" i="12" s="1"/>
  <c r="T24" i="12" s="1"/>
  <c r="U24" i="12" s="1"/>
  <c r="V24" i="12" s="1"/>
  <c r="W24" i="12" s="1"/>
  <c r="X24" i="12" s="1"/>
  <c r="Y24" i="12" s="1"/>
  <c r="Z24" i="12" s="1"/>
  <c r="AA24" i="12" s="1"/>
  <c r="AB24" i="12" s="1"/>
  <c r="AC24" i="12" s="1"/>
  <c r="AD24" i="12" s="1"/>
  <c r="AE24" i="12" s="1"/>
  <c r="AF24" i="12" s="1"/>
  <c r="R26" i="9"/>
  <c r="R24" i="12" s="1"/>
  <c r="Q26" i="9"/>
  <c r="Q24" i="12" s="1"/>
  <c r="P26" i="9"/>
  <c r="P24" i="12" s="1"/>
  <c r="O26" i="9"/>
  <c r="N26" i="9"/>
  <c r="M26" i="9"/>
  <c r="M24" i="12" s="1"/>
  <c r="L26" i="9"/>
  <c r="K26" i="9"/>
  <c r="J26" i="9"/>
  <c r="I26" i="9"/>
  <c r="H26" i="9"/>
  <c r="G26" i="9"/>
  <c r="G24" i="12" s="1"/>
  <c r="F26" i="9"/>
  <c r="F24" i="12" s="1"/>
  <c r="E26" i="9"/>
  <c r="E24" i="12" s="1"/>
  <c r="D26" i="9"/>
  <c r="D24" i="12" s="1"/>
  <c r="C26" i="9"/>
  <c r="B26" i="9"/>
  <c r="S25" i="9"/>
  <c r="R25" i="9"/>
  <c r="Q25" i="9"/>
  <c r="P25" i="9"/>
  <c r="O25" i="9"/>
  <c r="O23" i="12" s="1"/>
  <c r="N25" i="9"/>
  <c r="M25" i="9"/>
  <c r="L25" i="9"/>
  <c r="K25" i="9"/>
  <c r="J25" i="9"/>
  <c r="I25" i="9"/>
  <c r="H25" i="9"/>
  <c r="H23" i="12" s="1"/>
  <c r="G25" i="9"/>
  <c r="F25" i="9"/>
  <c r="E25" i="9"/>
  <c r="D25" i="9"/>
  <c r="C25" i="9"/>
  <c r="B25" i="9"/>
  <c r="S24" i="9"/>
  <c r="R24" i="9"/>
  <c r="Q24" i="9"/>
  <c r="P24" i="9"/>
  <c r="O24" i="9"/>
  <c r="O22" i="12" s="1"/>
  <c r="N24" i="9"/>
  <c r="M24" i="9"/>
  <c r="L24" i="9"/>
  <c r="K24" i="9"/>
  <c r="J24" i="9"/>
  <c r="I24" i="9"/>
  <c r="H24" i="9"/>
  <c r="H22" i="12" s="1"/>
  <c r="G24" i="9"/>
  <c r="F24" i="9"/>
  <c r="E24" i="9"/>
  <c r="D24" i="9"/>
  <c r="C24" i="9"/>
  <c r="C22" i="12" s="1"/>
  <c r="B24" i="9"/>
  <c r="B22" i="12" s="1"/>
  <c r="S23" i="9"/>
  <c r="S21" i="12" s="1"/>
  <c r="T21" i="12" s="1"/>
  <c r="U21" i="12" s="1"/>
  <c r="V21" i="12" s="1"/>
  <c r="W21" i="12" s="1"/>
  <c r="X21" i="12" s="1"/>
  <c r="Y21" i="12" s="1"/>
  <c r="Z21" i="12" s="1"/>
  <c r="AA21" i="12" s="1"/>
  <c r="AB21" i="12" s="1"/>
  <c r="AC21" i="12" s="1"/>
  <c r="AD21" i="12" s="1"/>
  <c r="AE21" i="12" s="1"/>
  <c r="AF21" i="12" s="1"/>
  <c r="AG21" i="12" s="1"/>
  <c r="AH21" i="12" s="1"/>
  <c r="AI21" i="12" s="1"/>
  <c r="AJ21" i="12" s="1"/>
  <c r="AK21" i="12" s="1"/>
  <c r="AL21" i="12" s="1"/>
  <c r="AM21" i="12" s="1"/>
  <c r="R23" i="9"/>
  <c r="Q23" i="9"/>
  <c r="Q21" i="12" s="1"/>
  <c r="P23" i="9"/>
  <c r="O23" i="9"/>
  <c r="N23" i="9"/>
  <c r="M23" i="9"/>
  <c r="L23" i="9"/>
  <c r="K23" i="9"/>
  <c r="J23" i="9"/>
  <c r="I23" i="9"/>
  <c r="H23" i="9"/>
  <c r="G23" i="9"/>
  <c r="G21" i="12" s="1"/>
  <c r="F23" i="9"/>
  <c r="E23" i="9"/>
  <c r="E21" i="12" s="1"/>
  <c r="D23" i="9"/>
  <c r="C23" i="9"/>
  <c r="B23" i="9"/>
  <c r="AM22" i="9"/>
  <c r="AL22" i="9"/>
  <c r="AK22" i="9"/>
  <c r="AJ22" i="9"/>
  <c r="AI22" i="9"/>
  <c r="AH22" i="9"/>
  <c r="AG22" i="9"/>
  <c r="AF22" i="9"/>
  <c r="AE22" i="9"/>
  <c r="H22" i="3" s="1"/>
  <c r="AD22" i="9"/>
  <c r="AC22" i="9"/>
  <c r="AB22" i="9"/>
  <c r="AA22" i="9"/>
  <c r="Z22" i="9"/>
  <c r="Y22" i="9"/>
  <c r="X22" i="9"/>
  <c r="W22" i="9"/>
  <c r="V22" i="9"/>
  <c r="U22" i="9"/>
  <c r="T22" i="9"/>
  <c r="S22" i="9"/>
  <c r="S20" i="12" s="1"/>
  <c r="R22" i="9"/>
  <c r="R20" i="12" s="1"/>
  <c r="Q22" i="9"/>
  <c r="Q20" i="12" s="1"/>
  <c r="P22" i="9"/>
  <c r="P20" i="12" s="1"/>
  <c r="O22" i="9"/>
  <c r="O20" i="12" s="1"/>
  <c r="N22" i="9"/>
  <c r="N20" i="12" s="1"/>
  <c r="M22" i="9"/>
  <c r="M20" i="12" s="1"/>
  <c r="L22" i="9"/>
  <c r="L20" i="12" s="1"/>
  <c r="K22" i="9"/>
  <c r="K20" i="12" s="1"/>
  <c r="J22" i="9"/>
  <c r="J20" i="12" s="1"/>
  <c r="I22" i="9"/>
  <c r="I20" i="12" s="1"/>
  <c r="H22" i="9"/>
  <c r="H20" i="12" s="1"/>
  <c r="G22" i="9"/>
  <c r="G20" i="12" s="1"/>
  <c r="F22" i="9"/>
  <c r="F20" i="12" s="1"/>
  <c r="E22" i="9"/>
  <c r="E20" i="12" s="1"/>
  <c r="D22" i="9"/>
  <c r="D20" i="12" s="1"/>
  <c r="C22" i="9"/>
  <c r="C20" i="12" s="1"/>
  <c r="B22" i="9"/>
  <c r="B20" i="12" s="1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B19" i="12" s="1"/>
  <c r="S20" i="9"/>
  <c r="R20" i="9"/>
  <c r="Q20" i="9"/>
  <c r="P20" i="9"/>
  <c r="O20" i="9"/>
  <c r="N20" i="9"/>
  <c r="M20" i="9"/>
  <c r="M18" i="12" s="1"/>
  <c r="L20" i="9"/>
  <c r="K20" i="9"/>
  <c r="J20" i="9"/>
  <c r="I20" i="9"/>
  <c r="H20" i="9"/>
  <c r="G20" i="9"/>
  <c r="F20" i="9"/>
  <c r="E20" i="9"/>
  <c r="D20" i="9"/>
  <c r="C20" i="9"/>
  <c r="B20" i="9"/>
  <c r="S19" i="9"/>
  <c r="R19" i="9"/>
  <c r="Q19" i="9"/>
  <c r="P19" i="9"/>
  <c r="O19" i="9"/>
  <c r="N19" i="9"/>
  <c r="M19" i="9"/>
  <c r="L19" i="9"/>
  <c r="K19" i="9"/>
  <c r="J19" i="9"/>
  <c r="I19" i="9"/>
  <c r="H19" i="9"/>
  <c r="H17" i="12" s="1"/>
  <c r="G19" i="9"/>
  <c r="F19" i="9"/>
  <c r="E19" i="9"/>
  <c r="D19" i="9"/>
  <c r="C19" i="9"/>
  <c r="B19" i="9"/>
  <c r="C18" i="9"/>
  <c r="S17" i="9"/>
  <c r="S16" i="12" s="1"/>
  <c r="T16" i="12" s="1"/>
  <c r="U16" i="12" s="1"/>
  <c r="V16" i="12" s="1"/>
  <c r="W16" i="12" s="1"/>
  <c r="X16" i="12" s="1"/>
  <c r="Y16" i="12" s="1"/>
  <c r="Z16" i="12" s="1"/>
  <c r="AA16" i="12" s="1"/>
  <c r="AB16" i="12" s="1"/>
  <c r="AC16" i="12" s="1"/>
  <c r="AD16" i="12" s="1"/>
  <c r="AE16" i="12" s="1"/>
  <c r="AF16" i="12" s="1"/>
  <c r="AG16" i="12" s="1"/>
  <c r="AH16" i="12" s="1"/>
  <c r="AI16" i="12" s="1"/>
  <c r="AJ16" i="12" s="1"/>
  <c r="AK16" i="12" s="1"/>
  <c r="AL16" i="12" s="1"/>
  <c r="AM16" i="12" s="1"/>
  <c r="R17" i="9"/>
  <c r="Q17" i="9"/>
  <c r="Q16" i="12" s="1"/>
  <c r="P17" i="9"/>
  <c r="O17" i="9"/>
  <c r="N17" i="9"/>
  <c r="M17" i="9"/>
  <c r="M16" i="12" s="1"/>
  <c r="L17" i="9"/>
  <c r="K17" i="9"/>
  <c r="J17" i="9"/>
  <c r="I17" i="9"/>
  <c r="H17" i="9"/>
  <c r="G17" i="9"/>
  <c r="G16" i="12" s="1"/>
  <c r="F17" i="9"/>
  <c r="E17" i="9"/>
  <c r="E16" i="12" s="1"/>
  <c r="D17" i="9"/>
  <c r="C17" i="9"/>
  <c r="B17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S15" i="9"/>
  <c r="S14" i="12" s="1"/>
  <c r="R15" i="9"/>
  <c r="R14" i="12" s="1"/>
  <c r="Q15" i="9"/>
  <c r="Q14" i="12" s="1"/>
  <c r="P15" i="9"/>
  <c r="P14" i="12" s="1"/>
  <c r="O15" i="9"/>
  <c r="O14" i="12" s="1"/>
  <c r="N15" i="9"/>
  <c r="N14" i="12" s="1"/>
  <c r="M15" i="9"/>
  <c r="M14" i="12" s="1"/>
  <c r="L15" i="9"/>
  <c r="L14" i="12" s="1"/>
  <c r="K15" i="9"/>
  <c r="K14" i="12" s="1"/>
  <c r="J15" i="9"/>
  <c r="J14" i="12" s="1"/>
  <c r="I15" i="9"/>
  <c r="I14" i="12" s="1"/>
  <c r="H15" i="9"/>
  <c r="H14" i="12" s="1"/>
  <c r="G15" i="9"/>
  <c r="G14" i="12" s="1"/>
  <c r="F15" i="9"/>
  <c r="F14" i="12" s="1"/>
  <c r="E15" i="9"/>
  <c r="E14" i="12" s="1"/>
  <c r="D15" i="9"/>
  <c r="D14" i="12" s="1"/>
  <c r="C15" i="9"/>
  <c r="C14" i="12" s="1"/>
  <c r="B15" i="9"/>
  <c r="B14" i="12" s="1"/>
  <c r="S14" i="9"/>
  <c r="R14" i="9"/>
  <c r="Q14" i="9"/>
  <c r="Q13" i="12" s="1"/>
  <c r="P14" i="9"/>
  <c r="O14" i="9"/>
  <c r="N14" i="9"/>
  <c r="M14" i="9"/>
  <c r="L14" i="9"/>
  <c r="K14" i="9"/>
  <c r="J14" i="9"/>
  <c r="I14" i="9"/>
  <c r="H14" i="9"/>
  <c r="G14" i="9"/>
  <c r="F14" i="9"/>
  <c r="E14" i="9"/>
  <c r="E13" i="12" s="1"/>
  <c r="D14" i="9"/>
  <c r="C14" i="9"/>
  <c r="B14" i="9"/>
  <c r="S13" i="9"/>
  <c r="S12" i="12" s="1"/>
  <c r="T12" i="12" s="1"/>
  <c r="U12" i="12" s="1"/>
  <c r="V12" i="12" s="1"/>
  <c r="R13" i="9"/>
  <c r="R12" i="12" s="1"/>
  <c r="Q13" i="9"/>
  <c r="Q12" i="12" s="1"/>
  <c r="P13" i="9"/>
  <c r="P12" i="12" s="1"/>
  <c r="O13" i="9"/>
  <c r="O12" i="12" s="1"/>
  <c r="N13" i="9"/>
  <c r="N12" i="12" s="1"/>
  <c r="M13" i="9"/>
  <c r="M12" i="12" s="1"/>
  <c r="L13" i="9"/>
  <c r="L12" i="12" s="1"/>
  <c r="K13" i="9"/>
  <c r="K12" i="12" s="1"/>
  <c r="J13" i="9"/>
  <c r="J12" i="12" s="1"/>
  <c r="I13" i="9"/>
  <c r="I12" i="12" s="1"/>
  <c r="H13" i="9"/>
  <c r="H12" i="12" s="1"/>
  <c r="G13" i="9"/>
  <c r="G12" i="12" s="1"/>
  <c r="F13" i="9"/>
  <c r="F12" i="12" s="1"/>
  <c r="E13" i="9"/>
  <c r="D13" i="9"/>
  <c r="D12" i="12" s="1"/>
  <c r="C13" i="9"/>
  <c r="C12" i="12" s="1"/>
  <c r="B13" i="9"/>
  <c r="B12" i="12" s="1"/>
  <c r="AM12" i="9"/>
  <c r="AK12" i="9"/>
  <c r="AI12" i="9"/>
  <c r="AH12" i="9"/>
  <c r="AG12" i="9"/>
  <c r="AF12" i="9"/>
  <c r="AD12" i="9"/>
  <c r="AC12" i="9"/>
  <c r="AB12" i="9"/>
  <c r="AA12" i="9"/>
  <c r="Y12" i="9"/>
  <c r="W12" i="9"/>
  <c r="V12" i="9"/>
  <c r="U12" i="9"/>
  <c r="T12" i="9"/>
  <c r="S12" i="9"/>
  <c r="S11" i="12" s="1"/>
  <c r="T11" i="12" s="1"/>
  <c r="U11" i="12" s="1"/>
  <c r="V11" i="12" s="1"/>
  <c r="W11" i="12" s="1"/>
  <c r="X11" i="12" s="1"/>
  <c r="Y11" i="12" s="1"/>
  <c r="Z11" i="12" s="1"/>
  <c r="AA11" i="12" s="1"/>
  <c r="AB11" i="12" s="1"/>
  <c r="AC11" i="12" s="1"/>
  <c r="AD11" i="12" s="1"/>
  <c r="AE11" i="12" s="1"/>
  <c r="AF11" i="12" s="1"/>
  <c r="AG11" i="12" s="1"/>
  <c r="AH11" i="12" s="1"/>
  <c r="AI11" i="12" s="1"/>
  <c r="AJ11" i="12" s="1"/>
  <c r="AK11" i="12" s="1"/>
  <c r="AL11" i="12" s="1"/>
  <c r="AM11" i="12" s="1"/>
  <c r="R12" i="9"/>
  <c r="R11" i="12" s="1"/>
  <c r="Q12" i="9"/>
  <c r="Q11" i="12" s="1"/>
  <c r="P12" i="9"/>
  <c r="P11" i="12" s="1"/>
  <c r="O12" i="9"/>
  <c r="O11" i="12" s="1"/>
  <c r="N12" i="9"/>
  <c r="N11" i="12" s="1"/>
  <c r="M12" i="9"/>
  <c r="M11" i="12" s="1"/>
  <c r="L12" i="9"/>
  <c r="L11" i="12" s="1"/>
  <c r="K12" i="9"/>
  <c r="K11" i="12" s="1"/>
  <c r="J12" i="9"/>
  <c r="J11" i="12" s="1"/>
  <c r="I12" i="9"/>
  <c r="I11" i="12" s="1"/>
  <c r="H12" i="9"/>
  <c r="H11" i="12" s="1"/>
  <c r="G12" i="9"/>
  <c r="G11" i="12" s="1"/>
  <c r="F12" i="9"/>
  <c r="F11" i="12" s="1"/>
  <c r="E12" i="9"/>
  <c r="E11" i="12" s="1"/>
  <c r="D12" i="9"/>
  <c r="D11" i="12" s="1"/>
  <c r="C12" i="9"/>
  <c r="C11" i="12" s="1"/>
  <c r="B12" i="9"/>
  <c r="B11" i="12" s="1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S10" i="9"/>
  <c r="S9" i="12" s="1"/>
  <c r="R10" i="9"/>
  <c r="R9" i="12" s="1"/>
  <c r="Q10" i="9"/>
  <c r="Q9" i="12" s="1"/>
  <c r="P10" i="9"/>
  <c r="P9" i="12" s="1"/>
  <c r="O10" i="9"/>
  <c r="N10" i="9"/>
  <c r="M10" i="9"/>
  <c r="M9" i="12" s="1"/>
  <c r="L10" i="9"/>
  <c r="L9" i="12" s="1"/>
  <c r="K10" i="9"/>
  <c r="K9" i="12" s="1"/>
  <c r="J10" i="9"/>
  <c r="J9" i="12" s="1"/>
  <c r="I10" i="9"/>
  <c r="I9" i="12" s="1"/>
  <c r="H10" i="9"/>
  <c r="H9" i="12" s="1"/>
  <c r="G10" i="9"/>
  <c r="G9" i="12" s="1"/>
  <c r="F10" i="9"/>
  <c r="F9" i="12" s="1"/>
  <c r="E10" i="9"/>
  <c r="E9" i="12" s="1"/>
  <c r="D10" i="9"/>
  <c r="D9" i="12" s="1"/>
  <c r="C10" i="9"/>
  <c r="C9" i="12" s="1"/>
  <c r="B10" i="9"/>
  <c r="B9" i="12" s="1"/>
  <c r="S9" i="9"/>
  <c r="R9" i="9"/>
  <c r="Q9" i="9"/>
  <c r="Q8" i="12" s="1"/>
  <c r="P9" i="9"/>
  <c r="O9" i="9"/>
  <c r="N9" i="9"/>
  <c r="M9" i="9"/>
  <c r="L9" i="9"/>
  <c r="K9" i="9"/>
  <c r="J9" i="9"/>
  <c r="I9" i="9"/>
  <c r="H9" i="9"/>
  <c r="G9" i="9"/>
  <c r="F9" i="9"/>
  <c r="E9" i="9"/>
  <c r="E8" i="12" s="1"/>
  <c r="D9" i="9"/>
  <c r="C9" i="9"/>
  <c r="B9" i="9"/>
  <c r="Q8" i="9"/>
  <c r="P8" i="9"/>
  <c r="F8" i="9"/>
  <c r="D8" i="9"/>
  <c r="S7" i="9"/>
  <c r="R7" i="9"/>
  <c r="Q7" i="9"/>
  <c r="P7" i="9"/>
  <c r="O7" i="9"/>
  <c r="O7" i="12" s="1"/>
  <c r="N7" i="9"/>
  <c r="N7" i="12" s="1"/>
  <c r="M7" i="9"/>
  <c r="M7" i="12" s="1"/>
  <c r="L7" i="9"/>
  <c r="K7" i="9"/>
  <c r="J7" i="9"/>
  <c r="I7" i="9"/>
  <c r="H7" i="9"/>
  <c r="H7" i="12" s="1"/>
  <c r="G7" i="9"/>
  <c r="F7" i="9"/>
  <c r="E7" i="9"/>
  <c r="D7" i="9"/>
  <c r="C7" i="9"/>
  <c r="C7" i="12" s="1"/>
  <c r="B7" i="9"/>
  <c r="B7" i="12" s="1"/>
  <c r="S6" i="9"/>
  <c r="R6" i="9"/>
  <c r="Q6" i="9"/>
  <c r="Q6" i="12" s="1"/>
  <c r="P6" i="9"/>
  <c r="O6" i="9"/>
  <c r="O6" i="12" s="1"/>
  <c r="N6" i="9"/>
  <c r="M6" i="9"/>
  <c r="L6" i="9"/>
  <c r="K6" i="9"/>
  <c r="J6" i="9"/>
  <c r="I6" i="9"/>
  <c r="H6" i="9"/>
  <c r="H6" i="12" s="1"/>
  <c r="G6" i="9"/>
  <c r="F6" i="9"/>
  <c r="E6" i="9"/>
  <c r="E6" i="12" s="1"/>
  <c r="D6" i="9"/>
  <c r="C6" i="9"/>
  <c r="C6" i="12" s="1"/>
  <c r="B6" i="9"/>
  <c r="S5" i="9"/>
  <c r="R5" i="9"/>
  <c r="Q5" i="9"/>
  <c r="P5" i="9"/>
  <c r="O5" i="9"/>
  <c r="O5" i="12" s="1"/>
  <c r="N5" i="9"/>
  <c r="M5" i="9"/>
  <c r="L5" i="9"/>
  <c r="L5" i="12" s="1"/>
  <c r="K5" i="9"/>
  <c r="J5" i="9"/>
  <c r="J5" i="12" s="1"/>
  <c r="I5" i="9"/>
  <c r="H5" i="9"/>
  <c r="G5" i="9"/>
  <c r="F5" i="9"/>
  <c r="E5" i="9"/>
  <c r="D5" i="9"/>
  <c r="C5" i="9"/>
  <c r="C5" i="12" s="1"/>
  <c r="B5" i="9"/>
  <c r="S4" i="9"/>
  <c r="R4" i="9"/>
  <c r="Q4" i="9"/>
  <c r="P4" i="9"/>
  <c r="O4" i="9"/>
  <c r="N4" i="9"/>
  <c r="N4" i="12" s="1"/>
  <c r="M4" i="9"/>
  <c r="M4" i="12" s="1"/>
  <c r="L4" i="9"/>
  <c r="L4" i="12" s="1"/>
  <c r="K4" i="9"/>
  <c r="J4" i="9"/>
  <c r="I4" i="9"/>
  <c r="H4" i="9"/>
  <c r="H4" i="12" s="1"/>
  <c r="G4" i="9"/>
  <c r="F4" i="9"/>
  <c r="E4" i="9"/>
  <c r="D4" i="9"/>
  <c r="C4" i="9"/>
  <c r="B4" i="9"/>
  <c r="B4" i="12" s="1"/>
  <c r="S3" i="9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AF3" i="12" s="1"/>
  <c r="AG3" i="12" s="1"/>
  <c r="AH3" i="12" s="1"/>
  <c r="AI3" i="12" s="1"/>
  <c r="AJ3" i="12" s="1"/>
  <c r="AK3" i="12" s="1"/>
  <c r="AL3" i="12" s="1"/>
  <c r="AM3" i="12" s="1"/>
  <c r="R3" i="9"/>
  <c r="Q3" i="9"/>
  <c r="P3" i="9"/>
  <c r="O3" i="9"/>
  <c r="O3" i="12" s="1"/>
  <c r="N3" i="9"/>
  <c r="M3" i="9"/>
  <c r="L3" i="9"/>
  <c r="K3" i="9"/>
  <c r="J3" i="9"/>
  <c r="I3" i="9"/>
  <c r="H3" i="9"/>
  <c r="G3" i="9"/>
  <c r="G3" i="12" s="1"/>
  <c r="F3" i="9"/>
  <c r="E3" i="9"/>
  <c r="D3" i="9"/>
  <c r="C3" i="9"/>
  <c r="C3" i="12" s="1"/>
  <c r="B3" i="9"/>
  <c r="S2" i="9"/>
  <c r="S2" i="12" s="1"/>
  <c r="T2" i="12" s="1"/>
  <c r="R2" i="9"/>
  <c r="R2" i="12" s="1"/>
  <c r="Q2" i="9"/>
  <c r="Q2" i="12" s="1"/>
  <c r="P2" i="9"/>
  <c r="P2" i="12" s="1"/>
  <c r="O2" i="9"/>
  <c r="O2" i="12" s="1"/>
  <c r="N2" i="9"/>
  <c r="N2" i="12" s="1"/>
  <c r="M2" i="9"/>
  <c r="M2" i="12" s="1"/>
  <c r="L2" i="9"/>
  <c r="L2" i="12" s="1"/>
  <c r="K2" i="9"/>
  <c r="K2" i="12" s="1"/>
  <c r="J2" i="9"/>
  <c r="J2" i="12" s="1"/>
  <c r="I2" i="9"/>
  <c r="I2" i="12" s="1"/>
  <c r="H2" i="9"/>
  <c r="H2" i="12" s="1"/>
  <c r="G2" i="9"/>
  <c r="G2" i="12" s="1"/>
  <c r="F2" i="9"/>
  <c r="F2" i="12" s="1"/>
  <c r="E2" i="9"/>
  <c r="E2" i="12" s="1"/>
  <c r="D2" i="9"/>
  <c r="D2" i="12" s="1"/>
  <c r="C2" i="9"/>
  <c r="C2" i="12" s="1"/>
  <c r="B2" i="9"/>
  <c r="B2" i="12" s="1"/>
  <c r="V19" i="8"/>
  <c r="W15" i="11" s="1"/>
  <c r="X15" i="11" s="1"/>
  <c r="U19" i="8"/>
  <c r="V15" i="11" s="1"/>
  <c r="T19" i="8"/>
  <c r="U15" i="11" s="1"/>
  <c r="S19" i="8"/>
  <c r="T15" i="11" s="1"/>
  <c r="R19" i="8"/>
  <c r="S15" i="11" s="1"/>
  <c r="Q19" i="8"/>
  <c r="R15" i="11" s="1"/>
  <c r="P19" i="8"/>
  <c r="Q15" i="11" s="1"/>
  <c r="O19" i="8"/>
  <c r="P15" i="11" s="1"/>
  <c r="N19" i="8"/>
  <c r="O15" i="11" s="1"/>
  <c r="M19" i="8"/>
  <c r="N15" i="11" s="1"/>
  <c r="L19" i="8"/>
  <c r="M15" i="11" s="1"/>
  <c r="K19" i="8"/>
  <c r="L15" i="11" s="1"/>
  <c r="J19" i="8"/>
  <c r="K15" i="11" s="1"/>
  <c r="I19" i="8"/>
  <c r="J15" i="11" s="1"/>
  <c r="H19" i="8"/>
  <c r="I15" i="11" s="1"/>
  <c r="G19" i="8"/>
  <c r="H15" i="11" s="1"/>
  <c r="F19" i="8"/>
  <c r="G15" i="11" s="1"/>
  <c r="E19" i="8"/>
  <c r="F15" i="11" s="1"/>
  <c r="D19" i="8"/>
  <c r="E15" i="11" s="1"/>
  <c r="C19" i="8"/>
  <c r="D15" i="11" s="1"/>
  <c r="B19" i="8"/>
  <c r="C15" i="11" s="1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F14" i="8"/>
  <c r="AE14" i="8"/>
  <c r="AD14" i="8"/>
  <c r="AC14" i="8"/>
  <c r="AB14" i="8"/>
  <c r="AA14" i="8"/>
  <c r="Z14" i="8"/>
  <c r="Y14" i="8"/>
  <c r="X14" i="8"/>
  <c r="W14" i="8"/>
  <c r="U14" i="8"/>
  <c r="V12" i="11" s="1"/>
  <c r="T14" i="8"/>
  <c r="U12" i="11" s="1"/>
  <c r="S14" i="8"/>
  <c r="T12" i="11" s="1"/>
  <c r="Q14" i="8"/>
  <c r="R12" i="11" s="1"/>
  <c r="P14" i="8"/>
  <c r="Q12" i="11" s="1"/>
  <c r="O14" i="8"/>
  <c r="P12" i="11" s="1"/>
  <c r="M14" i="8"/>
  <c r="N12" i="11" s="1"/>
  <c r="L14" i="8"/>
  <c r="M12" i="11" s="1"/>
  <c r="K14" i="8"/>
  <c r="L12" i="11" s="1"/>
  <c r="I14" i="8"/>
  <c r="J12" i="11" s="1"/>
  <c r="H14" i="8"/>
  <c r="I12" i="11" s="1"/>
  <c r="G14" i="8"/>
  <c r="H12" i="11" s="1"/>
  <c r="E14" i="8"/>
  <c r="F12" i="11" s="1"/>
  <c r="D14" i="8"/>
  <c r="E12" i="11" s="1"/>
  <c r="C14" i="8"/>
  <c r="D12" i="11" s="1"/>
  <c r="B14" i="8"/>
  <c r="C12" i="11" s="1"/>
  <c r="W13" i="8"/>
  <c r="V13" i="8"/>
  <c r="W11" i="11" s="1"/>
  <c r="X11" i="11" s="1"/>
  <c r="Y11" i="11" s="1"/>
  <c r="U13" i="8"/>
  <c r="V11" i="11" s="1"/>
  <c r="T13" i="8"/>
  <c r="U11" i="11" s="1"/>
  <c r="S13" i="8"/>
  <c r="T11" i="11" s="1"/>
  <c r="R13" i="8"/>
  <c r="S11" i="11" s="1"/>
  <c r="Q13" i="8"/>
  <c r="R11" i="11" s="1"/>
  <c r="P13" i="8"/>
  <c r="Q11" i="11" s="1"/>
  <c r="O13" i="8"/>
  <c r="P11" i="11" s="1"/>
  <c r="N13" i="8"/>
  <c r="O11" i="11" s="1"/>
  <c r="M13" i="8"/>
  <c r="N11" i="11" s="1"/>
  <c r="L13" i="8"/>
  <c r="M11" i="11" s="1"/>
  <c r="K13" i="8"/>
  <c r="L11" i="11" s="1"/>
  <c r="J13" i="8"/>
  <c r="K11" i="11" s="1"/>
  <c r="I13" i="8"/>
  <c r="J11" i="11" s="1"/>
  <c r="H13" i="8"/>
  <c r="I11" i="11" s="1"/>
  <c r="G13" i="8"/>
  <c r="H11" i="11" s="1"/>
  <c r="F13" i="8"/>
  <c r="G11" i="11" s="1"/>
  <c r="E13" i="8"/>
  <c r="F11" i="11" s="1"/>
  <c r="D13" i="8"/>
  <c r="E11" i="11" s="1"/>
  <c r="C13" i="8"/>
  <c r="D11" i="11" s="1"/>
  <c r="B13" i="8"/>
  <c r="C11" i="11" s="1"/>
  <c r="V12" i="8"/>
  <c r="W10" i="11" s="1"/>
  <c r="X10" i="11" s="1"/>
  <c r="Y10" i="11" s="1"/>
  <c r="X12" i="8" s="1"/>
  <c r="U12" i="8"/>
  <c r="V10" i="11" s="1"/>
  <c r="T12" i="8"/>
  <c r="U10" i="11" s="1"/>
  <c r="S12" i="8"/>
  <c r="T10" i="11" s="1"/>
  <c r="R12" i="8"/>
  <c r="S10" i="11" s="1"/>
  <c r="Q12" i="8"/>
  <c r="R10" i="11" s="1"/>
  <c r="P12" i="8"/>
  <c r="Q10" i="11" s="1"/>
  <c r="O12" i="8"/>
  <c r="P10" i="11" s="1"/>
  <c r="N12" i="8"/>
  <c r="O10" i="11" s="1"/>
  <c r="M12" i="8"/>
  <c r="N10" i="11" s="1"/>
  <c r="L12" i="8"/>
  <c r="M10" i="11" s="1"/>
  <c r="K12" i="8"/>
  <c r="L10" i="11" s="1"/>
  <c r="J12" i="8"/>
  <c r="K10" i="11" s="1"/>
  <c r="I12" i="8"/>
  <c r="J10" i="11" s="1"/>
  <c r="H12" i="8"/>
  <c r="I10" i="11" s="1"/>
  <c r="G12" i="8"/>
  <c r="H10" i="11" s="1"/>
  <c r="F12" i="8"/>
  <c r="G10" i="11" s="1"/>
  <c r="E12" i="8"/>
  <c r="F10" i="11" s="1"/>
  <c r="D12" i="8"/>
  <c r="E10" i="11" s="1"/>
  <c r="C12" i="8"/>
  <c r="D10" i="11" s="1"/>
  <c r="B12" i="8"/>
  <c r="C10" i="11" s="1"/>
  <c r="AP11" i="8"/>
  <c r="AO11" i="8"/>
  <c r="AM11" i="8"/>
  <c r="AK11" i="8"/>
  <c r="AI11" i="8"/>
  <c r="AG11" i="8"/>
  <c r="AF11" i="8"/>
  <c r="AE11" i="8"/>
  <c r="AD11" i="8"/>
  <c r="AC11" i="8"/>
  <c r="AA11" i="8"/>
  <c r="Z11" i="8"/>
  <c r="Y11" i="8"/>
  <c r="W11" i="8"/>
  <c r="V11" i="8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AJ9" i="11" s="1"/>
  <c r="AK9" i="11" s="1"/>
  <c r="AL9" i="11" s="1"/>
  <c r="AM9" i="11" s="1"/>
  <c r="AN9" i="11" s="1"/>
  <c r="AO9" i="11" s="1"/>
  <c r="AP9" i="11" s="1"/>
  <c r="AQ9" i="11" s="1"/>
  <c r="U11" i="8"/>
  <c r="V9" i="11" s="1"/>
  <c r="T11" i="8"/>
  <c r="U9" i="11" s="1"/>
  <c r="S11" i="8"/>
  <c r="T9" i="11" s="1"/>
  <c r="R11" i="8"/>
  <c r="S9" i="11" s="1"/>
  <c r="Q11" i="8"/>
  <c r="R9" i="11" s="1"/>
  <c r="P11" i="8"/>
  <c r="Q9" i="11" s="1"/>
  <c r="O11" i="8"/>
  <c r="P9" i="11" s="1"/>
  <c r="N11" i="8"/>
  <c r="M11" i="8"/>
  <c r="N9" i="11" s="1"/>
  <c r="L11" i="8"/>
  <c r="M9" i="11" s="1"/>
  <c r="K11" i="8"/>
  <c r="L9" i="11" s="1"/>
  <c r="J11" i="8"/>
  <c r="K9" i="11" s="1"/>
  <c r="I11" i="8"/>
  <c r="J9" i="11" s="1"/>
  <c r="H11" i="8"/>
  <c r="I9" i="11" s="1"/>
  <c r="G11" i="8"/>
  <c r="H9" i="11" s="1"/>
  <c r="F11" i="8"/>
  <c r="G9" i="11" s="1"/>
  <c r="E11" i="8"/>
  <c r="F9" i="11" s="1"/>
  <c r="D11" i="8"/>
  <c r="E9" i="11" s="1"/>
  <c r="C11" i="8"/>
  <c r="D9" i="11" s="1"/>
  <c r="B11" i="8"/>
  <c r="C9" i="11" s="1"/>
  <c r="B10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G6" i="2" s="1"/>
  <c r="V9" i="8"/>
  <c r="U9" i="8"/>
  <c r="V8" i="11" s="1"/>
  <c r="T9" i="8"/>
  <c r="U8" i="11" s="1"/>
  <c r="S9" i="8"/>
  <c r="T8" i="11" s="1"/>
  <c r="R9" i="8"/>
  <c r="S8" i="11" s="1"/>
  <c r="Q9" i="8"/>
  <c r="R8" i="11" s="1"/>
  <c r="P9" i="8"/>
  <c r="Q8" i="11" s="1"/>
  <c r="O9" i="8"/>
  <c r="P8" i="11" s="1"/>
  <c r="N9" i="8"/>
  <c r="O8" i="11" s="1"/>
  <c r="M9" i="8"/>
  <c r="N8" i="11" s="1"/>
  <c r="L9" i="8"/>
  <c r="M8" i="11" s="1"/>
  <c r="K9" i="8"/>
  <c r="L8" i="11" s="1"/>
  <c r="J9" i="8"/>
  <c r="K8" i="11" s="1"/>
  <c r="I9" i="8"/>
  <c r="J8" i="11" s="1"/>
  <c r="H9" i="8"/>
  <c r="I8" i="11" s="1"/>
  <c r="G9" i="8"/>
  <c r="H8" i="11" s="1"/>
  <c r="F9" i="8"/>
  <c r="G8" i="11" s="1"/>
  <c r="E9" i="8"/>
  <c r="F8" i="11" s="1"/>
  <c r="D9" i="8"/>
  <c r="E8" i="11" s="1"/>
  <c r="C9" i="8"/>
  <c r="D8" i="11" s="1"/>
  <c r="B9" i="8"/>
  <c r="C8" i="11" s="1"/>
  <c r="V8" i="8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AH7" i="11" s="1"/>
  <c r="AI7" i="11" s="1"/>
  <c r="AJ7" i="11" s="1"/>
  <c r="AK7" i="11" s="1"/>
  <c r="AL7" i="11" s="1"/>
  <c r="AM7" i="11" s="1"/>
  <c r="AN7" i="11" s="1"/>
  <c r="AO7" i="11" s="1"/>
  <c r="AP7" i="11" s="1"/>
  <c r="AQ7" i="11" s="1"/>
  <c r="U8" i="8"/>
  <c r="T8" i="8"/>
  <c r="S8" i="8"/>
  <c r="R8" i="8"/>
  <c r="S7" i="11" s="1"/>
  <c r="Q8" i="8"/>
  <c r="P8" i="8"/>
  <c r="Q7" i="11" s="1"/>
  <c r="O8" i="8"/>
  <c r="N8" i="8"/>
  <c r="M8" i="8"/>
  <c r="L8" i="8"/>
  <c r="K8" i="8"/>
  <c r="L7" i="11" s="1"/>
  <c r="J8" i="8"/>
  <c r="K7" i="11" s="1"/>
  <c r="I8" i="8"/>
  <c r="H8" i="8"/>
  <c r="G8" i="8"/>
  <c r="F8" i="8"/>
  <c r="G7" i="11" s="1"/>
  <c r="E8" i="8"/>
  <c r="D8" i="8"/>
  <c r="E7" i="11" s="1"/>
  <c r="C8" i="8"/>
  <c r="B8" i="8"/>
  <c r="U7" i="8"/>
  <c r="T7" i="8"/>
  <c r="U6" i="11" s="1"/>
  <c r="S7" i="8"/>
  <c r="Q7" i="8"/>
  <c r="P7" i="8"/>
  <c r="O7" i="8"/>
  <c r="P6" i="11" s="1"/>
  <c r="M7" i="8"/>
  <c r="L7" i="8"/>
  <c r="K7" i="8"/>
  <c r="L6" i="11" s="1"/>
  <c r="I7" i="8"/>
  <c r="H7" i="8"/>
  <c r="G7" i="8"/>
  <c r="E7" i="8"/>
  <c r="D7" i="8"/>
  <c r="E6" i="11" s="1"/>
  <c r="C7" i="8"/>
  <c r="B7" i="8"/>
  <c r="U6" i="8"/>
  <c r="T6" i="8"/>
  <c r="U5" i="11" s="1"/>
  <c r="S6" i="8"/>
  <c r="Q6" i="8"/>
  <c r="P6" i="8"/>
  <c r="O6" i="8"/>
  <c r="P5" i="11" s="1"/>
  <c r="M6" i="8"/>
  <c r="N5" i="11" s="1"/>
  <c r="L6" i="8"/>
  <c r="M5" i="11" s="1"/>
  <c r="K6" i="8"/>
  <c r="L5" i="11" s="1"/>
  <c r="I6" i="8"/>
  <c r="H6" i="8"/>
  <c r="G6" i="8"/>
  <c r="E6" i="8"/>
  <c r="D6" i="8"/>
  <c r="E5" i="11" s="1"/>
  <c r="C6" i="8"/>
  <c r="B6" i="8"/>
  <c r="U5" i="8"/>
  <c r="T5" i="8"/>
  <c r="U4" i="11" s="1"/>
  <c r="S5" i="8"/>
  <c r="Q5" i="8"/>
  <c r="P5" i="8"/>
  <c r="O5" i="8"/>
  <c r="P4" i="11" s="1"/>
  <c r="M5" i="8"/>
  <c r="L5" i="8"/>
  <c r="K5" i="8"/>
  <c r="L4" i="11" s="1"/>
  <c r="I5" i="8"/>
  <c r="H5" i="8"/>
  <c r="G5" i="8"/>
  <c r="E5" i="8"/>
  <c r="F4" i="11" s="1"/>
  <c r="D5" i="8"/>
  <c r="E4" i="11" s="1"/>
  <c r="C5" i="8"/>
  <c r="B5" i="8"/>
  <c r="U4" i="8"/>
  <c r="Q4" i="8"/>
  <c r="P4" i="8"/>
  <c r="O4" i="8"/>
  <c r="I4" i="8"/>
  <c r="G4" i="8"/>
  <c r="B4" i="8"/>
  <c r="V3" i="8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AG3" i="11" s="1"/>
  <c r="AH3" i="11" s="1"/>
  <c r="AI3" i="11" s="1"/>
  <c r="AJ3" i="11" s="1"/>
  <c r="AK3" i="11" s="1"/>
  <c r="AL3" i="11" s="1"/>
  <c r="AM3" i="11" s="1"/>
  <c r="AN3" i="11" s="1"/>
  <c r="AO3" i="11" s="1"/>
  <c r="AP3" i="11" s="1"/>
  <c r="AQ3" i="11" s="1"/>
  <c r="U3" i="8"/>
  <c r="T3" i="8"/>
  <c r="U3" i="11" s="1"/>
  <c r="S3" i="8"/>
  <c r="T3" i="11" s="1"/>
  <c r="R3" i="8"/>
  <c r="S3" i="11" s="1"/>
  <c r="Q3" i="8"/>
  <c r="P3" i="8"/>
  <c r="Q3" i="11" s="1"/>
  <c r="O3" i="8"/>
  <c r="N3" i="8"/>
  <c r="M3" i="8"/>
  <c r="L3" i="8"/>
  <c r="K3" i="8"/>
  <c r="J3" i="8"/>
  <c r="K3" i="11" s="1"/>
  <c r="I3" i="8"/>
  <c r="H3" i="8"/>
  <c r="I3" i="11" s="1"/>
  <c r="G3" i="8"/>
  <c r="H3" i="11" s="1"/>
  <c r="F3" i="8"/>
  <c r="G3" i="11" s="1"/>
  <c r="E3" i="8"/>
  <c r="D3" i="8"/>
  <c r="E3" i="11" s="1"/>
  <c r="C3" i="8"/>
  <c r="B3" i="8"/>
  <c r="V2" i="8"/>
  <c r="U2" i="8"/>
  <c r="V2" i="11" s="1"/>
  <c r="T2" i="8"/>
  <c r="S2" i="8"/>
  <c r="T2" i="11" s="1"/>
  <c r="R2" i="8"/>
  <c r="Q2" i="8"/>
  <c r="R2" i="11" s="1"/>
  <c r="P2" i="8"/>
  <c r="O2" i="8"/>
  <c r="N2" i="8"/>
  <c r="M2" i="8"/>
  <c r="L2" i="8"/>
  <c r="M2" i="11" s="1"/>
  <c r="K2" i="8"/>
  <c r="L2" i="11" s="1"/>
  <c r="J2" i="8"/>
  <c r="I2" i="8"/>
  <c r="J2" i="11" s="1"/>
  <c r="H2" i="8"/>
  <c r="G2" i="8"/>
  <c r="F2" i="8"/>
  <c r="E2" i="8"/>
  <c r="F2" i="11" s="1"/>
  <c r="D2" i="8"/>
  <c r="B18" i="12" s="1"/>
  <c r="C2" i="8"/>
  <c r="B2" i="8"/>
  <c r="R54" i="7"/>
  <c r="Q54" i="7"/>
  <c r="N54" i="7"/>
  <c r="H54" i="7"/>
  <c r="B54" i="7"/>
  <c r="R52" i="7"/>
  <c r="Q52" i="7"/>
  <c r="T52" i="10" s="1"/>
  <c r="P52" i="7"/>
  <c r="S52" i="10" s="1"/>
  <c r="O52" i="7"/>
  <c r="Q52" i="10" s="1"/>
  <c r="N52" i="7"/>
  <c r="M52" i="7"/>
  <c r="O52" i="10" s="1"/>
  <c r="L52" i="7"/>
  <c r="M52" i="10" s="1"/>
  <c r="K52" i="7"/>
  <c r="L52" i="10" s="1"/>
  <c r="J52" i="7"/>
  <c r="K52" i="10" s="1"/>
  <c r="I52" i="7"/>
  <c r="I52" i="10" s="1"/>
  <c r="H52" i="7"/>
  <c r="G52" i="7"/>
  <c r="G52" i="10" s="1"/>
  <c r="F52" i="7"/>
  <c r="E52" i="7"/>
  <c r="D52" i="10" s="1"/>
  <c r="D52" i="7"/>
  <c r="C52" i="10" s="1"/>
  <c r="C52" i="7"/>
  <c r="B52" i="10" s="1"/>
  <c r="B52" i="7"/>
  <c r="R41" i="7"/>
  <c r="Q41" i="7"/>
  <c r="T41" i="10" s="1"/>
  <c r="P41" i="7"/>
  <c r="S41" i="10" s="1"/>
  <c r="O41" i="7"/>
  <c r="Q41" i="10" s="1"/>
  <c r="N41" i="7"/>
  <c r="P41" i="10" s="1"/>
  <c r="M41" i="7"/>
  <c r="O41" i="10" s="1"/>
  <c r="L41" i="7"/>
  <c r="M41" i="10" s="1"/>
  <c r="K41" i="7"/>
  <c r="J41" i="7"/>
  <c r="K41" i="10" s="1"/>
  <c r="I41" i="7"/>
  <c r="H41" i="7"/>
  <c r="H41" i="10" s="1"/>
  <c r="G41" i="7"/>
  <c r="G41" i="10" s="1"/>
  <c r="F41" i="7"/>
  <c r="F54" i="7" s="1"/>
  <c r="E41" i="7"/>
  <c r="D41" i="10" s="1"/>
  <c r="D41" i="7"/>
  <c r="C41" i="10" s="1"/>
  <c r="C41" i="7"/>
  <c r="B41" i="10" s="1"/>
  <c r="B41" i="7"/>
  <c r="R34" i="7"/>
  <c r="Q34" i="7"/>
  <c r="T34" i="10" s="1"/>
  <c r="P34" i="7"/>
  <c r="S34" i="10" s="1"/>
  <c r="O34" i="7"/>
  <c r="N34" i="7"/>
  <c r="M34" i="7"/>
  <c r="O34" i="10" s="1"/>
  <c r="L34" i="7"/>
  <c r="K34" i="7"/>
  <c r="J34" i="7"/>
  <c r="I34" i="7"/>
  <c r="H34" i="7"/>
  <c r="H34" i="10" s="1"/>
  <c r="G34" i="7"/>
  <c r="G34" i="10" s="1"/>
  <c r="F34" i="7"/>
  <c r="E34" i="7"/>
  <c r="D34" i="10" s="1"/>
  <c r="D34" i="7"/>
  <c r="C34" i="10" s="1"/>
  <c r="C34" i="7"/>
  <c r="B34" i="7"/>
  <c r="R44" i="6"/>
  <c r="P44" i="9" s="1"/>
  <c r="P44" i="6"/>
  <c r="N44" i="9" s="1"/>
  <c r="D44" i="6"/>
  <c r="C44" i="9" s="1"/>
  <c r="T43" i="6"/>
  <c r="R43" i="9" s="1"/>
  <c r="S43" i="6"/>
  <c r="Q43" i="9" s="1"/>
  <c r="R43" i="6"/>
  <c r="P43" i="9" s="1"/>
  <c r="Q43" i="6"/>
  <c r="Q44" i="6" s="1"/>
  <c r="P43" i="6"/>
  <c r="N43" i="9" s="1"/>
  <c r="O43" i="6"/>
  <c r="M43" i="9" s="1"/>
  <c r="N43" i="6"/>
  <c r="M43" i="6"/>
  <c r="L43" i="6"/>
  <c r="J43" i="9" s="1"/>
  <c r="K43" i="6"/>
  <c r="I43" i="9" s="1"/>
  <c r="J43" i="6"/>
  <c r="H43" i="9" s="1"/>
  <c r="I43" i="6"/>
  <c r="H43" i="6"/>
  <c r="F43" i="9" s="1"/>
  <c r="G43" i="6"/>
  <c r="E43" i="9" s="1"/>
  <c r="F43" i="6"/>
  <c r="D43" i="9" s="1"/>
  <c r="E43" i="6"/>
  <c r="D43" i="6"/>
  <c r="C43" i="9" s="1"/>
  <c r="C43" i="6"/>
  <c r="B43" i="9" s="1"/>
  <c r="B43" i="6"/>
  <c r="T36" i="6"/>
  <c r="S36" i="6"/>
  <c r="R36" i="6"/>
  <c r="P36" i="9" s="1"/>
  <c r="Q36" i="6"/>
  <c r="P36" i="6"/>
  <c r="N36" i="9" s="1"/>
  <c r="L36" i="6"/>
  <c r="J36" i="9" s="1"/>
  <c r="J36" i="6"/>
  <c r="H36" i="6"/>
  <c r="G36" i="6"/>
  <c r="F36" i="6"/>
  <c r="D36" i="9" s="1"/>
  <c r="E36" i="6"/>
  <c r="E44" i="6" s="1"/>
  <c r="D36" i="6"/>
  <c r="C36" i="9" s="1"/>
  <c r="T29" i="6"/>
  <c r="R29" i="9" s="1"/>
  <c r="S29" i="6"/>
  <c r="Q29" i="9" s="1"/>
  <c r="R29" i="6"/>
  <c r="P29" i="9" s="1"/>
  <c r="Q29" i="6"/>
  <c r="P29" i="6"/>
  <c r="N29" i="9" s="1"/>
  <c r="O29" i="6"/>
  <c r="O36" i="6" s="1"/>
  <c r="M36" i="9" s="1"/>
  <c r="N29" i="6"/>
  <c r="L29" i="9" s="1"/>
  <c r="M29" i="6"/>
  <c r="M36" i="6" s="1"/>
  <c r="M44" i="6" s="1"/>
  <c r="L29" i="6"/>
  <c r="J29" i="9" s="1"/>
  <c r="K29" i="6"/>
  <c r="I29" i="9" s="1"/>
  <c r="J29" i="6"/>
  <c r="H29" i="9" s="1"/>
  <c r="I29" i="6"/>
  <c r="I36" i="6" s="1"/>
  <c r="I44" i="6" s="1"/>
  <c r="H29" i="6"/>
  <c r="F29" i="9" s="1"/>
  <c r="G29" i="6"/>
  <c r="E29" i="9" s="1"/>
  <c r="F29" i="6"/>
  <c r="D29" i="9" s="1"/>
  <c r="E29" i="6"/>
  <c r="D29" i="6"/>
  <c r="C29" i="9" s="1"/>
  <c r="C29" i="6"/>
  <c r="B29" i="6"/>
  <c r="B36" i="6" s="1"/>
  <c r="B44" i="6" s="1"/>
  <c r="T18" i="6"/>
  <c r="R18" i="9" s="1"/>
  <c r="S18" i="6"/>
  <c r="Q18" i="9" s="1"/>
  <c r="R18" i="6"/>
  <c r="P18" i="9" s="1"/>
  <c r="O18" i="6"/>
  <c r="M18" i="9" s="1"/>
  <c r="L18" i="6"/>
  <c r="J18" i="9" s="1"/>
  <c r="H18" i="6"/>
  <c r="F18" i="9" s="1"/>
  <c r="G18" i="6"/>
  <c r="E18" i="9" s="1"/>
  <c r="F18" i="6"/>
  <c r="D18" i="9" s="1"/>
  <c r="D18" i="6"/>
  <c r="C18" i="6"/>
  <c r="B18" i="9" s="1"/>
  <c r="T8" i="6"/>
  <c r="R8" i="9" s="1"/>
  <c r="S8" i="6"/>
  <c r="R8" i="6"/>
  <c r="Q8" i="6"/>
  <c r="Q18" i="6" s="1"/>
  <c r="P8" i="6"/>
  <c r="N8" i="9" s="1"/>
  <c r="O8" i="6"/>
  <c r="M8" i="9" s="1"/>
  <c r="N8" i="6"/>
  <c r="L8" i="9" s="1"/>
  <c r="M8" i="6"/>
  <c r="M18" i="6" s="1"/>
  <c r="L8" i="6"/>
  <c r="J8" i="9" s="1"/>
  <c r="K8" i="6"/>
  <c r="J8" i="6"/>
  <c r="H8" i="9" s="1"/>
  <c r="I8" i="6"/>
  <c r="I18" i="6" s="1"/>
  <c r="H8" i="6"/>
  <c r="G8" i="6"/>
  <c r="E8" i="9" s="1"/>
  <c r="F8" i="6"/>
  <c r="E8" i="6"/>
  <c r="E18" i="6" s="1"/>
  <c r="D8" i="6"/>
  <c r="C8" i="9" s="1"/>
  <c r="C8" i="6"/>
  <c r="B8" i="9" s="1"/>
  <c r="B8" i="6"/>
  <c r="B18" i="6" s="1"/>
  <c r="N17" i="5"/>
  <c r="L17" i="5"/>
  <c r="B17" i="5"/>
  <c r="B20" i="5" s="1"/>
  <c r="Q15" i="5"/>
  <c r="Q17" i="5" s="1"/>
  <c r="Q20" i="5" s="1"/>
  <c r="N15" i="5"/>
  <c r="L15" i="5"/>
  <c r="M15" i="8" s="1"/>
  <c r="G15" i="5"/>
  <c r="G15" i="8" s="1"/>
  <c r="E15" i="5"/>
  <c r="B15" i="5"/>
  <c r="Q10" i="5"/>
  <c r="M10" i="5"/>
  <c r="O10" i="8" s="1"/>
  <c r="L10" i="5"/>
  <c r="M10" i="8" s="1"/>
  <c r="K10" i="5"/>
  <c r="K15" i="5" s="1"/>
  <c r="K17" i="5" s="1"/>
  <c r="K20" i="5" s="1"/>
  <c r="I10" i="5"/>
  <c r="G10" i="5"/>
  <c r="G10" i="8" s="1"/>
  <c r="F10" i="5"/>
  <c r="E10" i="8" s="1"/>
  <c r="E10" i="5"/>
  <c r="D10" i="8" s="1"/>
  <c r="R4" i="5"/>
  <c r="R10" i="5" s="1"/>
  <c r="Q4" i="5"/>
  <c r="T4" i="8" s="1"/>
  <c r="P4" i="5"/>
  <c r="O4" i="5"/>
  <c r="O10" i="5" s="1"/>
  <c r="N4" i="5"/>
  <c r="N10" i="5" s="1"/>
  <c r="P10" i="8" s="1"/>
  <c r="M4" i="5"/>
  <c r="L4" i="5"/>
  <c r="M4" i="8" s="1"/>
  <c r="K4" i="5"/>
  <c r="J4" i="5"/>
  <c r="K4" i="8" s="1"/>
  <c r="I4" i="5"/>
  <c r="H4" i="5"/>
  <c r="H10" i="5" s="1"/>
  <c r="H15" i="5" s="1"/>
  <c r="G4" i="5"/>
  <c r="F4" i="5"/>
  <c r="E4" i="8" s="1"/>
  <c r="E4" i="5"/>
  <c r="D4" i="8" s="1"/>
  <c r="D4" i="5"/>
  <c r="D10" i="5" s="1"/>
  <c r="C4" i="5"/>
  <c r="C10" i="5" s="1"/>
  <c r="C15" i="5" s="1"/>
  <c r="B15" i="8" s="1"/>
  <c r="B4" i="5"/>
  <c r="B10" i="5" s="1"/>
  <c r="E50" i="4"/>
  <c r="D50" i="4"/>
  <c r="C50" i="4"/>
  <c r="L48" i="4"/>
  <c r="F48" i="4"/>
  <c r="V52" i="10" s="1"/>
  <c r="E48" i="4"/>
  <c r="R52" i="10" s="1"/>
  <c r="D48" i="4"/>
  <c r="C48" i="4"/>
  <c r="J52" i="10" s="1"/>
  <c r="B48" i="4"/>
  <c r="F52" i="10" s="1"/>
  <c r="K47" i="4"/>
  <c r="J47" i="4"/>
  <c r="I47" i="4"/>
  <c r="H47" i="4"/>
  <c r="G47" i="4"/>
  <c r="K46" i="4"/>
  <c r="J46" i="4"/>
  <c r="I46" i="4"/>
  <c r="H46" i="4"/>
  <c r="G46" i="4"/>
  <c r="K45" i="4"/>
  <c r="J45" i="4"/>
  <c r="I45" i="4"/>
  <c r="H45" i="4"/>
  <c r="G45" i="4"/>
  <c r="K44" i="4"/>
  <c r="J44" i="4"/>
  <c r="I44" i="4"/>
  <c r="H44" i="4"/>
  <c r="G44" i="4"/>
  <c r="K43" i="4"/>
  <c r="J43" i="4"/>
  <c r="I43" i="4"/>
  <c r="H43" i="4"/>
  <c r="G43" i="4"/>
  <c r="K41" i="4"/>
  <c r="J41" i="4"/>
  <c r="I41" i="4"/>
  <c r="H41" i="4"/>
  <c r="G41" i="4"/>
  <c r="K40" i="4"/>
  <c r="J40" i="4"/>
  <c r="I40" i="4"/>
  <c r="H40" i="4"/>
  <c r="G40" i="4"/>
  <c r="K39" i="4"/>
  <c r="J39" i="4"/>
  <c r="I39" i="4"/>
  <c r="H39" i="4"/>
  <c r="G39" i="4"/>
  <c r="K38" i="4"/>
  <c r="J38" i="4"/>
  <c r="I38" i="4"/>
  <c r="H38" i="4"/>
  <c r="G38" i="4"/>
  <c r="L37" i="4"/>
  <c r="F37" i="4"/>
  <c r="E37" i="4"/>
  <c r="D37" i="4"/>
  <c r="N41" i="10" s="1"/>
  <c r="C37" i="4"/>
  <c r="J41" i="10" s="1"/>
  <c r="B37" i="4"/>
  <c r="F41" i="10" s="1"/>
  <c r="K36" i="4"/>
  <c r="J36" i="4"/>
  <c r="I36" i="4"/>
  <c r="H36" i="4"/>
  <c r="G36" i="4"/>
  <c r="K35" i="4"/>
  <c r="J35" i="4"/>
  <c r="I35" i="4"/>
  <c r="H35" i="4"/>
  <c r="G35" i="4"/>
  <c r="K34" i="4"/>
  <c r="J34" i="4"/>
  <c r="I34" i="4"/>
  <c r="H34" i="4"/>
  <c r="G34" i="4"/>
  <c r="K33" i="4"/>
  <c r="J33" i="4"/>
  <c r="I33" i="4"/>
  <c r="H33" i="4"/>
  <c r="G33" i="4"/>
  <c r="K31" i="4"/>
  <c r="J31" i="4"/>
  <c r="I31" i="4"/>
  <c r="H31" i="4"/>
  <c r="G31" i="4"/>
  <c r="L30" i="4"/>
  <c r="L50" i="4" s="1"/>
  <c r="F30" i="4"/>
  <c r="V34" i="10" s="1"/>
  <c r="E30" i="4"/>
  <c r="D30" i="4"/>
  <c r="N34" i="10" s="1"/>
  <c r="C30" i="4"/>
  <c r="J34" i="10" s="1"/>
  <c r="B30" i="4"/>
  <c r="F34" i="10" s="1"/>
  <c r="K29" i="4"/>
  <c r="J29" i="4"/>
  <c r="I29" i="4"/>
  <c r="H29" i="4"/>
  <c r="G29" i="4"/>
  <c r="K28" i="4"/>
  <c r="J28" i="4"/>
  <c r="I28" i="4"/>
  <c r="H28" i="4"/>
  <c r="G28" i="4"/>
  <c r="K27" i="4"/>
  <c r="J27" i="4"/>
  <c r="I27" i="4"/>
  <c r="H27" i="4"/>
  <c r="G27" i="4"/>
  <c r="K25" i="4"/>
  <c r="J25" i="4"/>
  <c r="I25" i="4"/>
  <c r="H25" i="4"/>
  <c r="G25" i="4"/>
  <c r="K17" i="4"/>
  <c r="H17" i="4"/>
  <c r="K14" i="4"/>
  <c r="J14" i="4"/>
  <c r="I14" i="4"/>
  <c r="H14" i="4"/>
  <c r="G14" i="4"/>
  <c r="K13" i="4"/>
  <c r="J13" i="4"/>
  <c r="I13" i="4"/>
  <c r="H13" i="4"/>
  <c r="G13" i="4"/>
  <c r="K12" i="4"/>
  <c r="J12" i="4"/>
  <c r="I12" i="4"/>
  <c r="H12" i="4"/>
  <c r="G12" i="4"/>
  <c r="K11" i="4"/>
  <c r="J11" i="4"/>
  <c r="I11" i="4"/>
  <c r="H11" i="4"/>
  <c r="G11" i="4"/>
  <c r="K10" i="4"/>
  <c r="H10" i="4"/>
  <c r="J8" i="4"/>
  <c r="I8" i="4"/>
  <c r="H8" i="4"/>
  <c r="G8" i="4"/>
  <c r="K7" i="4"/>
  <c r="I7" i="4"/>
  <c r="H7" i="4"/>
  <c r="G7" i="4"/>
  <c r="J6" i="4"/>
  <c r="I6" i="4"/>
  <c r="H6" i="4"/>
  <c r="G6" i="4"/>
  <c r="K5" i="4"/>
  <c r="J5" i="4"/>
  <c r="H5" i="4"/>
  <c r="G5" i="4"/>
  <c r="K4" i="4"/>
  <c r="J4" i="4"/>
  <c r="I4" i="4"/>
  <c r="G4" i="4"/>
  <c r="K43" i="3"/>
  <c r="E43" i="3"/>
  <c r="S43" i="9" s="1"/>
  <c r="D43" i="3"/>
  <c r="O43" i="9" s="1"/>
  <c r="C43" i="3"/>
  <c r="K43" i="9" s="1"/>
  <c r="B43" i="3"/>
  <c r="G43" i="9" s="1"/>
  <c r="G39" i="3"/>
  <c r="F39" i="3"/>
  <c r="K36" i="3"/>
  <c r="E36" i="3"/>
  <c r="D36" i="3"/>
  <c r="C36" i="3"/>
  <c r="K36" i="9" s="1"/>
  <c r="J33" i="3"/>
  <c r="I33" i="3"/>
  <c r="G33" i="3"/>
  <c r="F33" i="3"/>
  <c r="K29" i="3"/>
  <c r="E29" i="3"/>
  <c r="S29" i="9" s="1"/>
  <c r="D29" i="3"/>
  <c r="O29" i="9" s="1"/>
  <c r="C29" i="3"/>
  <c r="K29" i="9" s="1"/>
  <c r="B29" i="3"/>
  <c r="J22" i="3"/>
  <c r="I22" i="3"/>
  <c r="G22" i="3"/>
  <c r="F22" i="3"/>
  <c r="K18" i="3"/>
  <c r="E18" i="3"/>
  <c r="S18" i="9" s="1"/>
  <c r="C18" i="3"/>
  <c r="K18" i="9" s="1"/>
  <c r="B18" i="3"/>
  <c r="G18" i="9" s="1"/>
  <c r="J13" i="3"/>
  <c r="I13" i="3"/>
  <c r="G13" i="3"/>
  <c r="F13" i="3"/>
  <c r="K8" i="3"/>
  <c r="E8" i="3"/>
  <c r="S8" i="9" s="1"/>
  <c r="D8" i="3"/>
  <c r="C8" i="3"/>
  <c r="K8" i="9" s="1"/>
  <c r="B8" i="3"/>
  <c r="G8" i="9" s="1"/>
  <c r="F13" i="2"/>
  <c r="D13" i="2"/>
  <c r="F11" i="2"/>
  <c r="D11" i="2"/>
  <c r="N15" i="8" s="1"/>
  <c r="L7" i="2"/>
  <c r="L11" i="2" s="1"/>
  <c r="L13" i="2" s="1"/>
  <c r="L16" i="2" s="1"/>
  <c r="F7" i="2"/>
  <c r="D7" i="2"/>
  <c r="N10" i="8" s="1"/>
  <c r="K6" i="2"/>
  <c r="J6" i="2"/>
  <c r="I6" i="2"/>
  <c r="H6" i="2"/>
  <c r="L4" i="2"/>
  <c r="V4" i="8"/>
  <c r="E4" i="2"/>
  <c r="R4" i="8" s="1"/>
  <c r="D4" i="2"/>
  <c r="C4" i="2"/>
  <c r="J4" i="8" s="1"/>
  <c r="B4" i="2"/>
  <c r="U10" i="8" l="1"/>
  <c r="R15" i="5"/>
  <c r="E54" i="10"/>
  <c r="H17" i="5"/>
  <c r="H15" i="8"/>
  <c r="I13" i="11" s="1"/>
  <c r="T10" i="8"/>
  <c r="M29" i="9"/>
  <c r="F16" i="2"/>
  <c r="H10" i="8"/>
  <c r="U54" i="10"/>
  <c r="L4" i="8"/>
  <c r="J10" i="5"/>
  <c r="M15" i="5"/>
  <c r="N36" i="6"/>
  <c r="B34" i="10"/>
  <c r="C54" i="7"/>
  <c r="B54" i="10" s="1"/>
  <c r="Q34" i="10"/>
  <c r="O54" i="7"/>
  <c r="Q54" i="10" s="1"/>
  <c r="P2" i="11"/>
  <c r="C4" i="8"/>
  <c r="M6" i="11"/>
  <c r="H7" i="11"/>
  <c r="T7" i="11"/>
  <c r="K8" i="12"/>
  <c r="T13" i="9"/>
  <c r="I31" i="12"/>
  <c r="N17" i="8"/>
  <c r="D16" i="2"/>
  <c r="V15" i="8"/>
  <c r="W13" i="11" s="1"/>
  <c r="X13" i="11" s="1"/>
  <c r="Y13" i="11" s="1"/>
  <c r="Z13" i="11" s="1"/>
  <c r="AA13" i="11" s="1"/>
  <c r="AB13" i="11" s="1"/>
  <c r="AC13" i="11" s="1"/>
  <c r="AD13" i="11" s="1"/>
  <c r="AE13" i="11" s="1"/>
  <c r="AF13" i="11" s="1"/>
  <c r="AG13" i="11" s="1"/>
  <c r="AH13" i="11" s="1"/>
  <c r="AI13" i="11" s="1"/>
  <c r="AJ13" i="11" s="1"/>
  <c r="AK13" i="11" s="1"/>
  <c r="AL13" i="11" s="1"/>
  <c r="AM13" i="11" s="1"/>
  <c r="AN13" i="11" s="1"/>
  <c r="AO13" i="11" s="1"/>
  <c r="AP13" i="11" s="1"/>
  <c r="AQ13" i="11" s="1"/>
  <c r="W12" i="12"/>
  <c r="V13" i="9"/>
  <c r="C7" i="2"/>
  <c r="J18" i="6"/>
  <c r="H18" i="9" s="1"/>
  <c r="J3" i="11"/>
  <c r="V3" i="11"/>
  <c r="N6" i="11"/>
  <c r="E5" i="12"/>
  <c r="Q5" i="12"/>
  <c r="U13" i="9"/>
  <c r="I15" i="12"/>
  <c r="H4" i="11"/>
  <c r="J7" i="11"/>
  <c r="V7" i="11"/>
  <c r="H13" i="11"/>
  <c r="R5" i="12"/>
  <c r="F28" i="12"/>
  <c r="R28" i="12"/>
  <c r="AI12" i="11"/>
  <c r="AG14" i="8"/>
  <c r="S36" i="9"/>
  <c r="E44" i="3"/>
  <c r="S44" i="9" s="1"/>
  <c r="O4" i="11"/>
  <c r="O6" i="11"/>
  <c r="O2" i="11"/>
  <c r="O5" i="11"/>
  <c r="E7" i="2"/>
  <c r="K44" i="3"/>
  <c r="N18" i="6"/>
  <c r="L18" i="9" s="1"/>
  <c r="E54" i="7"/>
  <c r="D54" i="10" s="1"/>
  <c r="H8" i="2"/>
  <c r="S5" i="12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I6" i="12"/>
  <c r="D25" i="12"/>
  <c r="P25" i="12"/>
  <c r="K6" i="4"/>
  <c r="K8" i="4"/>
  <c r="L11" i="13"/>
  <c r="R54" i="10"/>
  <c r="I10" i="8"/>
  <c r="Y15" i="11"/>
  <c r="W19" i="8"/>
  <c r="J8" i="12"/>
  <c r="G29" i="9"/>
  <c r="B36" i="3"/>
  <c r="V10" i="8"/>
  <c r="O15" i="5"/>
  <c r="Q10" i="8"/>
  <c r="Q36" i="9"/>
  <c r="S44" i="6"/>
  <c r="Q44" i="9" s="1"/>
  <c r="F44" i="6"/>
  <c r="D44" i="9" s="1"/>
  <c r="H2" i="11"/>
  <c r="D23" i="12"/>
  <c r="D7" i="12"/>
  <c r="C6" i="11"/>
  <c r="Z11" i="11"/>
  <c r="X13" i="8"/>
  <c r="J6" i="12"/>
  <c r="D13" i="12"/>
  <c r="P13" i="12"/>
  <c r="K19" i="12"/>
  <c r="M11" i="13"/>
  <c r="O8" i="9"/>
  <c r="D18" i="3"/>
  <c r="O18" i="9" s="1"/>
  <c r="D15" i="5"/>
  <c r="C10" i="8"/>
  <c r="P10" i="5"/>
  <c r="S4" i="8"/>
  <c r="C17" i="5"/>
  <c r="P18" i="6"/>
  <c r="N18" i="9" s="1"/>
  <c r="R36" i="9"/>
  <c r="T44" i="6"/>
  <c r="R44" i="9" s="1"/>
  <c r="J44" i="6"/>
  <c r="H44" i="9" s="1"/>
  <c r="G54" i="7"/>
  <c r="G54" i="10" s="1"/>
  <c r="H5" i="11"/>
  <c r="M7" i="11"/>
  <c r="I23" i="12"/>
  <c r="C44" i="3"/>
  <c r="K44" i="9" s="1"/>
  <c r="G17" i="5"/>
  <c r="L44" i="6"/>
  <c r="J44" i="9" s="1"/>
  <c r="I34" i="10"/>
  <c r="I54" i="7"/>
  <c r="I54" i="10" s="1"/>
  <c r="H54" i="10"/>
  <c r="C3" i="11"/>
  <c r="O3" i="11"/>
  <c r="N4" i="8"/>
  <c r="M4" i="11"/>
  <c r="F36" i="9"/>
  <c r="H44" i="6"/>
  <c r="F44" i="9" s="1"/>
  <c r="N2" i="11"/>
  <c r="J24" i="12"/>
  <c r="B7" i="2"/>
  <c r="F4" i="8"/>
  <c r="E17" i="5"/>
  <c r="O44" i="6"/>
  <c r="M44" i="9" s="1"/>
  <c r="K34" i="10"/>
  <c r="J54" i="7"/>
  <c r="K54" i="10" s="1"/>
  <c r="L54" i="7"/>
  <c r="M54" i="10" s="1"/>
  <c r="N4" i="11"/>
  <c r="C7" i="11"/>
  <c r="J10" i="12"/>
  <c r="F17" i="12"/>
  <c r="R17" i="12"/>
  <c r="M17" i="8"/>
  <c r="L20" i="5"/>
  <c r="M20" i="8" s="1"/>
  <c r="O36" i="9"/>
  <c r="D44" i="3"/>
  <c r="O44" i="9" s="1"/>
  <c r="B29" i="9"/>
  <c r="C36" i="6"/>
  <c r="B50" i="4"/>
  <c r="F54" i="10" s="1"/>
  <c r="F15" i="5"/>
  <c r="N20" i="5"/>
  <c r="I8" i="9"/>
  <c r="K18" i="6"/>
  <c r="I18" i="9" s="1"/>
  <c r="G44" i="6"/>
  <c r="E44" i="9" s="1"/>
  <c r="L34" i="10"/>
  <c r="K54" i="7"/>
  <c r="E41" i="10"/>
  <c r="U41" i="10"/>
  <c r="P54" i="10"/>
  <c r="H6" i="11"/>
  <c r="U2" i="12"/>
  <c r="T2" i="9"/>
  <c r="K10" i="12"/>
  <c r="G17" i="12"/>
  <c r="S17" i="12"/>
  <c r="T17" i="12" s="1"/>
  <c r="U17" i="12" s="1"/>
  <c r="V17" i="12" s="1"/>
  <c r="W17" i="12" s="1"/>
  <c r="X17" i="12" s="1"/>
  <c r="Y17" i="12" s="1"/>
  <c r="Z17" i="12" s="1"/>
  <c r="AA17" i="12" s="1"/>
  <c r="AB17" i="12" s="1"/>
  <c r="AC17" i="12" s="1"/>
  <c r="AD17" i="12" s="1"/>
  <c r="AE17" i="12" s="1"/>
  <c r="AF17" i="12" s="1"/>
  <c r="AG17" i="12" s="1"/>
  <c r="AH17" i="12" s="1"/>
  <c r="AI17" i="12" s="1"/>
  <c r="AJ17" i="12" s="1"/>
  <c r="AK17" i="12" s="1"/>
  <c r="AL17" i="12" s="1"/>
  <c r="AM17" i="12" s="1"/>
  <c r="L26" i="12"/>
  <c r="I3" i="12"/>
  <c r="L10" i="12"/>
  <c r="F13" i="12"/>
  <c r="R13" i="12"/>
  <c r="D18" i="12"/>
  <c r="P18" i="12"/>
  <c r="N19" i="12"/>
  <c r="E25" i="12"/>
  <c r="Q25" i="12"/>
  <c r="I28" i="12"/>
  <c r="B11" i="13"/>
  <c r="N11" i="13"/>
  <c r="E2" i="11"/>
  <c r="F5" i="12"/>
  <c r="K6" i="12"/>
  <c r="L15" i="12"/>
  <c r="F50" i="4"/>
  <c r="V54" i="10" s="1"/>
  <c r="I15" i="5"/>
  <c r="M34" i="10"/>
  <c r="P52" i="10"/>
  <c r="Q2" i="11"/>
  <c r="L3" i="11"/>
  <c r="Q4" i="11"/>
  <c r="Q5" i="11"/>
  <c r="Q6" i="11"/>
  <c r="N7" i="11"/>
  <c r="AH11" i="8"/>
  <c r="I8" i="2" s="1"/>
  <c r="J3" i="12"/>
  <c r="C4" i="12"/>
  <c r="O4" i="12"/>
  <c r="G5" i="12"/>
  <c r="B8" i="12"/>
  <c r="N8" i="12"/>
  <c r="M10" i="12"/>
  <c r="G13" i="12"/>
  <c r="S13" i="12"/>
  <c r="T13" i="12" s="1"/>
  <c r="U13" i="12" s="1"/>
  <c r="V13" i="12" s="1"/>
  <c r="W13" i="12" s="1"/>
  <c r="X13" i="12" s="1"/>
  <c r="Y13" i="12" s="1"/>
  <c r="Z13" i="12" s="1"/>
  <c r="AA13" i="12" s="1"/>
  <c r="AB13" i="12" s="1"/>
  <c r="AC13" i="12" s="1"/>
  <c r="AD13" i="12" s="1"/>
  <c r="AE13" i="12" s="1"/>
  <c r="AF13" i="12" s="1"/>
  <c r="AG13" i="12" s="1"/>
  <c r="AH13" i="12" s="1"/>
  <c r="AI13" i="12" s="1"/>
  <c r="AJ13" i="12" s="1"/>
  <c r="AK13" i="12" s="1"/>
  <c r="AL13" i="12" s="1"/>
  <c r="AM13" i="12" s="1"/>
  <c r="M15" i="12"/>
  <c r="I17" i="12"/>
  <c r="E18" i="12"/>
  <c r="Q18" i="12"/>
  <c r="C19" i="12"/>
  <c r="O19" i="12"/>
  <c r="E22" i="12"/>
  <c r="Q22" i="12"/>
  <c r="B26" i="12"/>
  <c r="N26" i="12"/>
  <c r="C27" i="12"/>
  <c r="O27" i="12"/>
  <c r="L31" i="12"/>
  <c r="C11" i="13"/>
  <c r="O11" i="13"/>
  <c r="Z10" i="11"/>
  <c r="AE35" i="12"/>
  <c r="AD39" i="9"/>
  <c r="R34" i="10"/>
  <c r="C4" i="11"/>
  <c r="R4" i="11"/>
  <c r="C5" i="11"/>
  <c r="R5" i="11"/>
  <c r="R6" i="11"/>
  <c r="O7" i="11"/>
  <c r="K3" i="12"/>
  <c r="M6" i="12"/>
  <c r="F7" i="12"/>
  <c r="R7" i="12"/>
  <c r="C8" i="12"/>
  <c r="O8" i="12"/>
  <c r="B15" i="12"/>
  <c r="N15" i="12"/>
  <c r="F18" i="12"/>
  <c r="R18" i="12"/>
  <c r="D19" i="12"/>
  <c r="P19" i="12"/>
  <c r="J21" i="12"/>
  <c r="M23" i="12"/>
  <c r="C26" i="12"/>
  <c r="O26" i="12"/>
  <c r="D27" i="12"/>
  <c r="U29" i="12"/>
  <c r="T32" i="9"/>
  <c r="M31" i="12"/>
  <c r="M3" i="11"/>
  <c r="K36" i="6"/>
  <c r="P34" i="10"/>
  <c r="I41" i="10"/>
  <c r="G2" i="11"/>
  <c r="G4" i="11"/>
  <c r="S2" i="11"/>
  <c r="S6" i="11"/>
  <c r="S5" i="11"/>
  <c r="S4" i="11"/>
  <c r="N3" i="11"/>
  <c r="H4" i="8"/>
  <c r="D4" i="11"/>
  <c r="T4" i="11"/>
  <c r="D5" i="11"/>
  <c r="T5" i="11"/>
  <c r="D6" i="11"/>
  <c r="T6" i="11"/>
  <c r="D7" i="11"/>
  <c r="P7" i="11"/>
  <c r="X11" i="8"/>
  <c r="G8" i="2" s="1"/>
  <c r="AJ11" i="8"/>
  <c r="J8" i="2" s="1"/>
  <c r="E4" i="12"/>
  <c r="Q4" i="12"/>
  <c r="G7" i="12"/>
  <c r="S7" i="12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AG7" i="12" s="1"/>
  <c r="AH7" i="12" s="1"/>
  <c r="AI7" i="12" s="1"/>
  <c r="AJ7" i="12" s="1"/>
  <c r="AK7" i="12" s="1"/>
  <c r="AL7" i="12" s="1"/>
  <c r="AM7" i="12" s="1"/>
  <c r="D8" i="12"/>
  <c r="P8" i="12"/>
  <c r="C15" i="12"/>
  <c r="O15" i="12"/>
  <c r="J16" i="12"/>
  <c r="G18" i="12"/>
  <c r="S18" i="12"/>
  <c r="T18" i="12" s="1"/>
  <c r="U18" i="12" s="1"/>
  <c r="V18" i="12" s="1"/>
  <c r="W18" i="12" s="1"/>
  <c r="X18" i="12" s="1"/>
  <c r="Y18" i="12" s="1"/>
  <c r="Z18" i="12" s="1"/>
  <c r="AA18" i="12" s="1"/>
  <c r="AB18" i="12" s="1"/>
  <c r="AC18" i="12" s="1"/>
  <c r="AD18" i="12" s="1"/>
  <c r="AE18" i="12" s="1"/>
  <c r="AF18" i="12" s="1"/>
  <c r="AG18" i="12" s="1"/>
  <c r="AH18" i="12" s="1"/>
  <c r="AI18" i="12" s="1"/>
  <c r="AJ18" i="12" s="1"/>
  <c r="AK18" i="12" s="1"/>
  <c r="AL18" i="12" s="1"/>
  <c r="AM18" i="12" s="1"/>
  <c r="E19" i="12"/>
  <c r="Q19" i="12"/>
  <c r="K21" i="12"/>
  <c r="E27" i="12"/>
  <c r="Q27" i="12"/>
  <c r="B31" i="12"/>
  <c r="N31" i="12"/>
  <c r="J32" i="12"/>
  <c r="G6" i="11"/>
  <c r="K16" i="12"/>
  <c r="L21" i="12"/>
  <c r="C23" i="12"/>
  <c r="K24" i="12"/>
  <c r="I25" i="12"/>
  <c r="C31" i="12"/>
  <c r="K32" i="12"/>
  <c r="D6" i="13"/>
  <c r="P6" i="13"/>
  <c r="L41" i="10"/>
  <c r="E52" i="10"/>
  <c r="U52" i="10"/>
  <c r="M54" i="7"/>
  <c r="O54" i="10" s="1"/>
  <c r="I2" i="11"/>
  <c r="U2" i="11"/>
  <c r="D3" i="11"/>
  <c r="P3" i="11"/>
  <c r="V4" i="11"/>
  <c r="F5" i="11"/>
  <c r="V5" i="11"/>
  <c r="F6" i="11"/>
  <c r="V6" i="11"/>
  <c r="F7" i="11"/>
  <c r="R7" i="11"/>
  <c r="AL11" i="8"/>
  <c r="N13" i="11"/>
  <c r="B3" i="12"/>
  <c r="N3" i="12"/>
  <c r="G4" i="12"/>
  <c r="S4" i="12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AG4" i="12" s="1"/>
  <c r="AH4" i="12" s="1"/>
  <c r="AI4" i="12" s="1"/>
  <c r="AJ4" i="12" s="1"/>
  <c r="AK4" i="12" s="1"/>
  <c r="AL4" i="12" s="1"/>
  <c r="AM4" i="12" s="1"/>
  <c r="K5" i="12"/>
  <c r="D6" i="12"/>
  <c r="P6" i="12"/>
  <c r="I7" i="12"/>
  <c r="E10" i="12"/>
  <c r="Q10" i="12"/>
  <c r="K13" i="12"/>
  <c r="L16" i="12"/>
  <c r="M17" i="12"/>
  <c r="M21" i="12"/>
  <c r="I22" i="12"/>
  <c r="L32" i="12"/>
  <c r="E7" i="12"/>
  <c r="C13" i="11"/>
  <c r="O13" i="11"/>
  <c r="F10" i="12"/>
  <c r="R10" i="12"/>
  <c r="J22" i="12"/>
  <c r="K25" i="12"/>
  <c r="G26" i="12"/>
  <c r="S26" i="12"/>
  <c r="T26" i="12" s="1"/>
  <c r="U26" i="12" s="1"/>
  <c r="V26" i="12" s="1"/>
  <c r="W26" i="12" s="1"/>
  <c r="X26" i="12" s="1"/>
  <c r="Y26" i="12" s="1"/>
  <c r="Z26" i="12" s="1"/>
  <c r="AA26" i="12" s="1"/>
  <c r="AB26" i="12" s="1"/>
  <c r="AC26" i="12" s="1"/>
  <c r="AD26" i="12" s="1"/>
  <c r="AE26" i="12" s="1"/>
  <c r="AF26" i="12" s="1"/>
  <c r="AG26" i="12" s="1"/>
  <c r="AH26" i="12" s="1"/>
  <c r="AI26" i="12" s="1"/>
  <c r="AJ26" i="12" s="1"/>
  <c r="AK26" i="12" s="1"/>
  <c r="AL26" i="12" s="1"/>
  <c r="AM26" i="12" s="1"/>
  <c r="H27" i="12"/>
  <c r="C28" i="12"/>
  <c r="O28" i="12"/>
  <c r="M32" i="12"/>
  <c r="W33" i="12"/>
  <c r="V37" i="9"/>
  <c r="R41" i="10"/>
  <c r="N52" i="10"/>
  <c r="E34" i="10"/>
  <c r="U34" i="10"/>
  <c r="H52" i="10"/>
  <c r="K5" i="11"/>
  <c r="K6" i="11"/>
  <c r="K4" i="11"/>
  <c r="K2" i="11"/>
  <c r="W5" i="1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AH5" i="11" s="1"/>
  <c r="AI5" i="11" s="1"/>
  <c r="AJ5" i="11" s="1"/>
  <c r="AK5" i="11" s="1"/>
  <c r="AL5" i="11" s="1"/>
  <c r="AM5" i="11" s="1"/>
  <c r="AN5" i="11" s="1"/>
  <c r="AO5" i="11" s="1"/>
  <c r="AP5" i="11" s="1"/>
  <c r="AQ5" i="11" s="1"/>
  <c r="W6" i="11"/>
  <c r="X6" i="11" s="1"/>
  <c r="Y6" i="11" s="1"/>
  <c r="Z6" i="11" s="1"/>
  <c r="AA6" i="11" s="1"/>
  <c r="AB6" i="11" s="1"/>
  <c r="AC6" i="11" s="1"/>
  <c r="AD6" i="11" s="1"/>
  <c r="AE6" i="11" s="1"/>
  <c r="AF6" i="11" s="1"/>
  <c r="AG6" i="11" s="1"/>
  <c r="AH6" i="11" s="1"/>
  <c r="AI6" i="11" s="1"/>
  <c r="AJ6" i="11" s="1"/>
  <c r="AK6" i="11" s="1"/>
  <c r="AL6" i="11" s="1"/>
  <c r="AM6" i="11" s="1"/>
  <c r="AN6" i="11" s="1"/>
  <c r="AO6" i="11" s="1"/>
  <c r="AP6" i="11" s="1"/>
  <c r="AQ6" i="11" s="1"/>
  <c r="W2" i="11"/>
  <c r="X2" i="11" s="1"/>
  <c r="W4" i="1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AH4" i="11" s="1"/>
  <c r="AI4" i="11" s="1"/>
  <c r="AJ4" i="11" s="1"/>
  <c r="AK4" i="11" s="1"/>
  <c r="AL4" i="11" s="1"/>
  <c r="AM4" i="11" s="1"/>
  <c r="AN4" i="11" s="1"/>
  <c r="AO4" i="11" s="1"/>
  <c r="AP4" i="11" s="1"/>
  <c r="AQ4" i="11" s="1"/>
  <c r="F3" i="11"/>
  <c r="R3" i="11"/>
  <c r="I4" i="11"/>
  <c r="I5" i="11"/>
  <c r="I6" i="11"/>
  <c r="AB11" i="8"/>
  <c r="AN11" i="8"/>
  <c r="K8" i="2" s="1"/>
  <c r="W12" i="8"/>
  <c r="D3" i="12"/>
  <c r="P3" i="12"/>
  <c r="I4" i="12"/>
  <c r="M5" i="12"/>
  <c r="F6" i="12"/>
  <c r="G10" i="12"/>
  <c r="S10" i="12"/>
  <c r="T10" i="12" s="1"/>
  <c r="U10" i="12" s="1"/>
  <c r="V10" i="12" s="1"/>
  <c r="W10" i="12" s="1"/>
  <c r="X10" i="12" s="1"/>
  <c r="Y10" i="12" s="1"/>
  <c r="Z10" i="12" s="1"/>
  <c r="AA10" i="12" s="1"/>
  <c r="AB10" i="12" s="1"/>
  <c r="AC10" i="12" s="1"/>
  <c r="AD10" i="12" s="1"/>
  <c r="AE10" i="12" s="1"/>
  <c r="AF10" i="12" s="1"/>
  <c r="AG10" i="12" s="1"/>
  <c r="AH10" i="12" s="1"/>
  <c r="AI10" i="12" s="1"/>
  <c r="AJ10" i="12" s="1"/>
  <c r="AK10" i="12" s="1"/>
  <c r="AL10" i="12" s="1"/>
  <c r="AM10" i="12" s="1"/>
  <c r="M13" i="12"/>
  <c r="G15" i="12"/>
  <c r="S15" i="12"/>
  <c r="T15" i="12" s="1"/>
  <c r="U15" i="12" s="1"/>
  <c r="V15" i="12" s="1"/>
  <c r="W15" i="12" s="1"/>
  <c r="X15" i="12" s="1"/>
  <c r="Y15" i="12" s="1"/>
  <c r="Z15" i="12" s="1"/>
  <c r="AA15" i="12" s="1"/>
  <c r="AB15" i="12" s="1"/>
  <c r="AC15" i="12" s="1"/>
  <c r="AD15" i="12" s="1"/>
  <c r="AE15" i="12" s="1"/>
  <c r="AF15" i="12" s="1"/>
  <c r="AG15" i="12" s="1"/>
  <c r="AH15" i="12" s="1"/>
  <c r="AI15" i="12" s="1"/>
  <c r="AJ15" i="12" s="1"/>
  <c r="AK15" i="12" s="1"/>
  <c r="AL15" i="12" s="1"/>
  <c r="AM15" i="12" s="1"/>
  <c r="C17" i="12"/>
  <c r="O17" i="12"/>
  <c r="K18" i="12"/>
  <c r="I19" i="12"/>
  <c r="O21" i="12"/>
  <c r="K22" i="12"/>
  <c r="F23" i="12"/>
  <c r="R23" i="12"/>
  <c r="I27" i="12"/>
  <c r="T37" i="9"/>
  <c r="V41" i="10"/>
  <c r="D54" i="7"/>
  <c r="C54" i="10" s="1"/>
  <c r="P54" i="7"/>
  <c r="S54" i="10" s="1"/>
  <c r="J4" i="11"/>
  <c r="J5" i="11"/>
  <c r="J6" i="11"/>
  <c r="I7" i="11"/>
  <c r="U7" i="11"/>
  <c r="E3" i="12"/>
  <c r="Q3" i="12"/>
  <c r="G6" i="12"/>
  <c r="I8" i="12"/>
  <c r="P21" i="12"/>
  <c r="G23" i="12"/>
  <c r="S23" i="12"/>
  <c r="T23" i="12" s="1"/>
  <c r="U23" i="12" s="1"/>
  <c r="V23" i="12" s="1"/>
  <c r="W23" i="12" s="1"/>
  <c r="X23" i="12" s="1"/>
  <c r="Y23" i="12" s="1"/>
  <c r="Z23" i="12" s="1"/>
  <c r="AA23" i="12" s="1"/>
  <c r="AB23" i="12" s="1"/>
  <c r="AC23" i="12" s="1"/>
  <c r="AD23" i="12" s="1"/>
  <c r="AE23" i="12" s="1"/>
  <c r="AF23" i="12" s="1"/>
  <c r="AG23" i="12" s="1"/>
  <c r="AH23" i="12" s="1"/>
  <c r="AI23" i="12" s="1"/>
  <c r="AJ23" i="12" s="1"/>
  <c r="AK23" i="12" s="1"/>
  <c r="AL23" i="12" s="1"/>
  <c r="AM23" i="12" s="1"/>
  <c r="I26" i="12"/>
  <c r="J27" i="12"/>
  <c r="U37" i="9"/>
  <c r="U34" i="12"/>
  <c r="T38" i="9"/>
  <c r="H6" i="13"/>
  <c r="T6" i="13"/>
  <c r="F3" i="12"/>
  <c r="R3" i="12"/>
  <c r="D4" i="12"/>
  <c r="P4" i="12"/>
  <c r="B5" i="12"/>
  <c r="N5" i="12"/>
  <c r="L6" i="12"/>
  <c r="J7" i="12"/>
  <c r="F8" i="12"/>
  <c r="R8" i="12"/>
  <c r="B10" i="12"/>
  <c r="N10" i="12"/>
  <c r="X12" i="9"/>
  <c r="AJ12" i="9"/>
  <c r="H13" i="12"/>
  <c r="D15" i="12"/>
  <c r="P15" i="12"/>
  <c r="B16" i="12"/>
  <c r="N16" i="12"/>
  <c r="J17" i="12"/>
  <c r="H18" i="12"/>
  <c r="F19" i="12"/>
  <c r="R19" i="12"/>
  <c r="B21" i="12"/>
  <c r="N21" i="12"/>
  <c r="L22" i="12"/>
  <c r="J23" i="12"/>
  <c r="H24" i="12"/>
  <c r="F25" i="12"/>
  <c r="R25" i="12"/>
  <c r="D26" i="12"/>
  <c r="P26" i="12"/>
  <c r="L27" i="12"/>
  <c r="J28" i="12"/>
  <c r="AD33" i="9"/>
  <c r="D31" i="12"/>
  <c r="P31" i="12"/>
  <c r="B32" i="12"/>
  <c r="N32" i="12"/>
  <c r="D11" i="13"/>
  <c r="P11" i="13"/>
  <c r="D35" i="13"/>
  <c r="P35" i="13"/>
  <c r="K7" i="12"/>
  <c r="G8" i="12"/>
  <c r="S8" i="12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AF8" i="12" s="1"/>
  <c r="AG8" i="12" s="1"/>
  <c r="AH8" i="12" s="1"/>
  <c r="AI8" i="12" s="1"/>
  <c r="AJ8" i="12" s="1"/>
  <c r="AK8" i="12" s="1"/>
  <c r="AL8" i="12" s="1"/>
  <c r="AM8" i="12" s="1"/>
  <c r="C10" i="12"/>
  <c r="O10" i="12"/>
  <c r="I13" i="12"/>
  <c r="T14" i="12"/>
  <c r="E15" i="12"/>
  <c r="Q15" i="12"/>
  <c r="C16" i="12"/>
  <c r="O16" i="12"/>
  <c r="K17" i="12"/>
  <c r="I18" i="12"/>
  <c r="G19" i="12"/>
  <c r="S19" i="12"/>
  <c r="T19" i="12" s="1"/>
  <c r="U19" i="12" s="1"/>
  <c r="V19" i="12" s="1"/>
  <c r="W19" i="12" s="1"/>
  <c r="X19" i="12" s="1"/>
  <c r="Y19" i="12" s="1"/>
  <c r="Z19" i="12" s="1"/>
  <c r="AA19" i="12" s="1"/>
  <c r="AB19" i="12" s="1"/>
  <c r="AC19" i="12" s="1"/>
  <c r="AD19" i="12" s="1"/>
  <c r="AE19" i="12" s="1"/>
  <c r="AF19" i="12" s="1"/>
  <c r="AG19" i="12" s="1"/>
  <c r="AH19" i="12" s="1"/>
  <c r="AI19" i="12" s="1"/>
  <c r="AJ19" i="12" s="1"/>
  <c r="AK19" i="12" s="1"/>
  <c r="AL19" i="12" s="1"/>
  <c r="AM19" i="12" s="1"/>
  <c r="C21" i="12"/>
  <c r="M22" i="12"/>
  <c r="K23" i="12"/>
  <c r="I24" i="12"/>
  <c r="G25" i="12"/>
  <c r="S25" i="12"/>
  <c r="T25" i="12" s="1"/>
  <c r="U25" i="12" s="1"/>
  <c r="V25" i="12" s="1"/>
  <c r="W25" i="12" s="1"/>
  <c r="X25" i="12" s="1"/>
  <c r="Y25" i="12" s="1"/>
  <c r="Z25" i="12" s="1"/>
  <c r="AA25" i="12" s="1"/>
  <c r="AB25" i="12" s="1"/>
  <c r="AC25" i="12" s="1"/>
  <c r="AD25" i="12" s="1"/>
  <c r="AE25" i="12" s="1"/>
  <c r="AF25" i="12" s="1"/>
  <c r="AG25" i="12" s="1"/>
  <c r="AH25" i="12" s="1"/>
  <c r="AI25" i="12" s="1"/>
  <c r="AJ25" i="12" s="1"/>
  <c r="AK25" i="12" s="1"/>
  <c r="AL25" i="12" s="1"/>
  <c r="AM25" i="12" s="1"/>
  <c r="E26" i="12"/>
  <c r="Q26" i="12"/>
  <c r="M27" i="12"/>
  <c r="K28" i="12"/>
  <c r="AE33" i="9"/>
  <c r="H33" i="3" s="1"/>
  <c r="E31" i="12"/>
  <c r="Q31" i="12"/>
  <c r="C32" i="12"/>
  <c r="O32" i="12"/>
  <c r="E11" i="13"/>
  <c r="Q11" i="13"/>
  <c r="E35" i="13"/>
  <c r="Q35" i="13"/>
  <c r="H3" i="12"/>
  <c r="F4" i="12"/>
  <c r="R4" i="12"/>
  <c r="D5" i="12"/>
  <c r="P5" i="12"/>
  <c r="B6" i="12"/>
  <c r="N6" i="12"/>
  <c r="L7" i="12"/>
  <c r="H8" i="12"/>
  <c r="D10" i="12"/>
  <c r="P10" i="12"/>
  <c r="Z12" i="9"/>
  <c r="AL12" i="9"/>
  <c r="J13" i="12"/>
  <c r="F15" i="12"/>
  <c r="R15" i="12"/>
  <c r="D16" i="12"/>
  <c r="P16" i="12"/>
  <c r="L17" i="12"/>
  <c r="J18" i="12"/>
  <c r="H19" i="12"/>
  <c r="D21" i="12"/>
  <c r="N22" i="12"/>
  <c r="L23" i="12"/>
  <c r="H25" i="12"/>
  <c r="F26" i="12"/>
  <c r="R26" i="12"/>
  <c r="B27" i="12"/>
  <c r="N27" i="12"/>
  <c r="L28" i="12"/>
  <c r="T33" i="9"/>
  <c r="AF33" i="9"/>
  <c r="F31" i="12"/>
  <c r="R31" i="12"/>
  <c r="D32" i="12"/>
  <c r="P32" i="12"/>
  <c r="T39" i="9"/>
  <c r="T41" i="9"/>
  <c r="M6" i="13"/>
  <c r="Y44" i="13"/>
  <c r="X46" i="10"/>
  <c r="Y14" i="11" s="1"/>
  <c r="X18" i="8" s="1"/>
  <c r="G31" i="12"/>
  <c r="S31" i="12"/>
  <c r="T31" i="12" s="1"/>
  <c r="U31" i="12" s="1"/>
  <c r="V31" i="12" s="1"/>
  <c r="W31" i="12" s="1"/>
  <c r="X31" i="12" s="1"/>
  <c r="Y31" i="12" s="1"/>
  <c r="Z31" i="12" s="1"/>
  <c r="AA31" i="12" s="1"/>
  <c r="AB31" i="12" s="1"/>
  <c r="AC31" i="12" s="1"/>
  <c r="AD31" i="12" s="1"/>
  <c r="AE31" i="12" s="1"/>
  <c r="AF31" i="12" s="1"/>
  <c r="AG31" i="12" s="1"/>
  <c r="AH31" i="12" s="1"/>
  <c r="AI31" i="12" s="1"/>
  <c r="AJ31" i="12" s="1"/>
  <c r="AK31" i="12" s="1"/>
  <c r="AL31" i="12" s="1"/>
  <c r="AM31" i="12" s="1"/>
  <c r="E32" i="12"/>
  <c r="Q32" i="12"/>
  <c r="B6" i="13"/>
  <c r="N6" i="13"/>
  <c r="G11" i="13"/>
  <c r="S11" i="13"/>
  <c r="G35" i="13"/>
  <c r="S35" i="13"/>
  <c r="W46" i="10"/>
  <c r="L13" i="12"/>
  <c r="H15" i="12"/>
  <c r="F16" i="12"/>
  <c r="R16" i="12"/>
  <c r="B17" i="12"/>
  <c r="N17" i="12"/>
  <c r="L18" i="12"/>
  <c r="J19" i="12"/>
  <c r="F21" i="12"/>
  <c r="R21" i="12"/>
  <c r="D22" i="12"/>
  <c r="P22" i="12"/>
  <c r="B23" i="12"/>
  <c r="N23" i="12"/>
  <c r="L24" i="12"/>
  <c r="J25" i="12"/>
  <c r="H26" i="12"/>
  <c r="P27" i="12"/>
  <c r="B28" i="12"/>
  <c r="N28" i="12"/>
  <c r="H31" i="12"/>
  <c r="F32" i="12"/>
  <c r="R32" i="12"/>
  <c r="C6" i="13"/>
  <c r="O6" i="13"/>
  <c r="I11" i="13"/>
  <c r="U11" i="13"/>
  <c r="L3" i="12"/>
  <c r="J4" i="12"/>
  <c r="H5" i="12"/>
  <c r="R6" i="12"/>
  <c r="P7" i="12"/>
  <c r="L8" i="12"/>
  <c r="H10" i="12"/>
  <c r="B13" i="12"/>
  <c r="N13" i="12"/>
  <c r="J15" i="12"/>
  <c r="H16" i="12"/>
  <c r="D17" i="12"/>
  <c r="P17" i="12"/>
  <c r="N18" i="12"/>
  <c r="L19" i="12"/>
  <c r="H21" i="12"/>
  <c r="F22" i="12"/>
  <c r="R22" i="12"/>
  <c r="P23" i="12"/>
  <c r="B24" i="12"/>
  <c r="N24" i="12"/>
  <c r="L25" i="12"/>
  <c r="J26" i="12"/>
  <c r="F27" i="12"/>
  <c r="R27" i="12"/>
  <c r="D28" i="12"/>
  <c r="P28" i="12"/>
  <c r="X33" i="9"/>
  <c r="AJ33" i="9"/>
  <c r="J31" i="12"/>
  <c r="H32" i="12"/>
  <c r="X39" i="9"/>
  <c r="E6" i="13"/>
  <c r="Q6" i="13"/>
  <c r="K4" i="12"/>
  <c r="I5" i="12"/>
  <c r="S6" i="12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AF6" i="12" s="1"/>
  <c r="AG6" i="12" s="1"/>
  <c r="AH6" i="12" s="1"/>
  <c r="AI6" i="12" s="1"/>
  <c r="AJ6" i="12" s="1"/>
  <c r="AK6" i="12" s="1"/>
  <c r="AL6" i="12" s="1"/>
  <c r="AM6" i="12" s="1"/>
  <c r="Q7" i="12"/>
  <c r="M8" i="12"/>
  <c r="I10" i="12"/>
  <c r="AE12" i="9"/>
  <c r="H13" i="3" s="1"/>
  <c r="C13" i="12"/>
  <c r="O13" i="12"/>
  <c r="K15" i="12"/>
  <c r="I16" i="12"/>
  <c r="E17" i="12"/>
  <c r="Q17" i="12"/>
  <c r="C18" i="12"/>
  <c r="O18" i="12"/>
  <c r="M19" i="12"/>
  <c r="I21" i="12"/>
  <c r="G22" i="12"/>
  <c r="S22" i="12"/>
  <c r="T22" i="12" s="1"/>
  <c r="U22" i="12" s="1"/>
  <c r="V22" i="12" s="1"/>
  <c r="W22" i="12" s="1"/>
  <c r="X22" i="12" s="1"/>
  <c r="Y22" i="12" s="1"/>
  <c r="Z22" i="12" s="1"/>
  <c r="AA22" i="12" s="1"/>
  <c r="AB22" i="12" s="1"/>
  <c r="AC22" i="12" s="1"/>
  <c r="AD22" i="12" s="1"/>
  <c r="AE22" i="12" s="1"/>
  <c r="AF22" i="12" s="1"/>
  <c r="AG22" i="12" s="1"/>
  <c r="AH22" i="12" s="1"/>
  <c r="AI22" i="12" s="1"/>
  <c r="AJ22" i="12" s="1"/>
  <c r="AK22" i="12" s="1"/>
  <c r="AL22" i="12" s="1"/>
  <c r="AM22" i="12" s="1"/>
  <c r="E23" i="12"/>
  <c r="Q23" i="12"/>
  <c r="C24" i="12"/>
  <c r="O24" i="12"/>
  <c r="M25" i="12"/>
  <c r="K26" i="12"/>
  <c r="G27" i="12"/>
  <c r="S27" i="12"/>
  <c r="T27" i="12" s="1"/>
  <c r="U27" i="12" s="1"/>
  <c r="V27" i="12" s="1"/>
  <c r="W27" i="12" s="1"/>
  <c r="X27" i="12" s="1"/>
  <c r="Y27" i="12" s="1"/>
  <c r="Z27" i="12" s="1"/>
  <c r="AA27" i="12" s="1"/>
  <c r="AB27" i="12" s="1"/>
  <c r="AC27" i="12" s="1"/>
  <c r="AD27" i="12" s="1"/>
  <c r="AE27" i="12" s="1"/>
  <c r="AF27" i="12" s="1"/>
  <c r="AG27" i="12" s="1"/>
  <c r="AH27" i="12" s="1"/>
  <c r="AI27" i="12" s="1"/>
  <c r="AJ27" i="12" s="1"/>
  <c r="AK27" i="12" s="1"/>
  <c r="AL27" i="12" s="1"/>
  <c r="AM27" i="12" s="1"/>
  <c r="E28" i="12"/>
  <c r="Q28" i="12"/>
  <c r="Y33" i="9"/>
  <c r="AK33" i="9"/>
  <c r="K31" i="12"/>
  <c r="I32" i="12"/>
  <c r="Y39" i="9"/>
  <c r="F6" i="13"/>
  <c r="R6" i="13"/>
  <c r="H35" i="13"/>
  <c r="T35" i="13"/>
  <c r="I35" i="13"/>
  <c r="U35" i="13"/>
  <c r="G6" i="13"/>
  <c r="S6" i="13"/>
  <c r="F11" i="13"/>
  <c r="R11" i="13"/>
  <c r="J35" i="13"/>
  <c r="V35" i="13"/>
  <c r="W35" i="13" s="1"/>
  <c r="X35" i="13" s="1"/>
  <c r="Y35" i="13" s="1"/>
  <c r="Z35" i="13" s="1"/>
  <c r="AA35" i="13" s="1"/>
  <c r="AB35" i="13" s="1"/>
  <c r="AC35" i="13" s="1"/>
  <c r="AD35" i="13" s="1"/>
  <c r="AE35" i="13" s="1"/>
  <c r="AF35" i="13" s="1"/>
  <c r="AG35" i="13" s="1"/>
  <c r="AH35" i="13" s="1"/>
  <c r="AI35" i="13" s="1"/>
  <c r="AJ35" i="13" s="1"/>
  <c r="AK35" i="13" s="1"/>
  <c r="AL35" i="13" s="1"/>
  <c r="AM35" i="13" s="1"/>
  <c r="AN35" i="13" s="1"/>
  <c r="AO35" i="13" s="1"/>
  <c r="AP35" i="13" s="1"/>
  <c r="AA50" i="13"/>
  <c r="Z53" i="10"/>
  <c r="I6" i="13"/>
  <c r="U6" i="13"/>
  <c r="H11" i="13"/>
  <c r="T11" i="13"/>
  <c r="AH14" i="10"/>
  <c r="I10" i="4" s="1"/>
  <c r="X52" i="10"/>
  <c r="X53" i="10"/>
  <c r="K6" i="13"/>
  <c r="J11" i="13"/>
  <c r="V11" i="13"/>
  <c r="W11" i="13" s="1"/>
  <c r="X11" i="13" s="1"/>
  <c r="Y11" i="13" s="1"/>
  <c r="Z11" i="13" s="1"/>
  <c r="AA11" i="13" s="1"/>
  <c r="AB11" i="13" s="1"/>
  <c r="AC11" i="13" s="1"/>
  <c r="AD11" i="13" s="1"/>
  <c r="AE11" i="13" s="1"/>
  <c r="AF11" i="13" s="1"/>
  <c r="AG11" i="13" s="1"/>
  <c r="AH11" i="13" s="1"/>
  <c r="AI11" i="13" s="1"/>
  <c r="AJ11" i="13" s="1"/>
  <c r="AK11" i="13" s="1"/>
  <c r="AL11" i="13" s="1"/>
  <c r="AM11" i="13" s="1"/>
  <c r="AN11" i="13" s="1"/>
  <c r="AO11" i="13" s="1"/>
  <c r="AP11" i="13" s="1"/>
  <c r="X14" i="10"/>
  <c r="G10" i="4" s="1"/>
  <c r="AJ14" i="10"/>
  <c r="J10" i="4" s="1"/>
  <c r="B35" i="13"/>
  <c r="N35" i="13"/>
  <c r="L6" i="13"/>
  <c r="K11" i="13"/>
  <c r="Y14" i="10"/>
  <c r="AK14" i="10"/>
  <c r="C35" i="13"/>
  <c r="O35" i="13"/>
  <c r="F35" i="13"/>
  <c r="R35" i="13"/>
  <c r="K35" i="13"/>
  <c r="L35" i="13"/>
  <c r="M35" i="13"/>
  <c r="K44" i="6" l="1"/>
  <c r="I44" i="9" s="1"/>
  <c r="I36" i="9"/>
  <c r="Z15" i="11"/>
  <c r="X19" i="8"/>
  <c r="J10" i="8"/>
  <c r="C11" i="2"/>
  <c r="J15" i="5"/>
  <c r="K10" i="8"/>
  <c r="L10" i="8"/>
  <c r="AJ12" i="11"/>
  <c r="AH14" i="8"/>
  <c r="W13" i="9"/>
  <c r="F14" i="3" s="1"/>
  <c r="X12" i="12"/>
  <c r="V29" i="12"/>
  <c r="U32" i="9"/>
  <c r="L54" i="10"/>
  <c r="D17" i="8"/>
  <c r="E20" i="5"/>
  <c r="E11" i="2"/>
  <c r="R10" i="8"/>
  <c r="H20" i="5"/>
  <c r="H20" i="8" s="1"/>
  <c r="H17" i="8"/>
  <c r="B36" i="9"/>
  <c r="C44" i="6"/>
  <c r="B44" i="9" s="1"/>
  <c r="O15" i="8"/>
  <c r="P13" i="11" s="1"/>
  <c r="M17" i="5"/>
  <c r="J54" i="10"/>
  <c r="AB50" i="13"/>
  <c r="AA53" i="10"/>
  <c r="V34" i="12"/>
  <c r="U38" i="9"/>
  <c r="F10" i="8"/>
  <c r="B11" i="2"/>
  <c r="Q15" i="8"/>
  <c r="R13" i="11" s="1"/>
  <c r="O17" i="5"/>
  <c r="N20" i="8"/>
  <c r="C15" i="8"/>
  <c r="D13" i="11" s="1"/>
  <c r="D17" i="5"/>
  <c r="N54" i="10"/>
  <c r="R17" i="5"/>
  <c r="U15" i="8"/>
  <c r="V13" i="11" s="1"/>
  <c r="AF35" i="12"/>
  <c r="AE39" i="9"/>
  <c r="H39" i="3" s="1"/>
  <c r="I15" i="8"/>
  <c r="J13" i="11" s="1"/>
  <c r="I17" i="5"/>
  <c r="B17" i="8"/>
  <c r="C20" i="5"/>
  <c r="B20" i="8" s="1"/>
  <c r="AA10" i="11"/>
  <c r="Y12" i="8"/>
  <c r="G20" i="5"/>
  <c r="G20" i="8" s="1"/>
  <c r="G17" i="8"/>
  <c r="G36" i="9"/>
  <c r="B44" i="3"/>
  <c r="G44" i="9" s="1"/>
  <c r="X33" i="12"/>
  <c r="W37" i="9"/>
  <c r="D15" i="8"/>
  <c r="E13" i="11" s="1"/>
  <c r="X14" i="11"/>
  <c r="W18" i="8" s="1"/>
  <c r="W52" i="10"/>
  <c r="G49" i="4"/>
  <c r="U37" i="12"/>
  <c r="U14" i="12"/>
  <c r="T15" i="9"/>
  <c r="F17" i="5"/>
  <c r="E15" i="8"/>
  <c r="F13" i="11" s="1"/>
  <c r="P15" i="5"/>
  <c r="S10" i="8"/>
  <c r="AA11" i="11"/>
  <c r="Y13" i="8"/>
  <c r="T54" i="10"/>
  <c r="Z44" i="13"/>
  <c r="Y46" i="10"/>
  <c r="Y2" i="11"/>
  <c r="W2" i="8"/>
  <c r="V2" i="12"/>
  <c r="U2" i="9"/>
  <c r="P15" i="8"/>
  <c r="Q13" i="11" s="1"/>
  <c r="L36" i="9"/>
  <c r="N44" i="6"/>
  <c r="L44" i="9" s="1"/>
  <c r="R15" i="8" l="1"/>
  <c r="S13" i="11" s="1"/>
  <c r="E13" i="2"/>
  <c r="Z2" i="11"/>
  <c r="X2" i="8"/>
  <c r="V14" i="12"/>
  <c r="U15" i="9"/>
  <c r="W34" i="12"/>
  <c r="V38" i="9"/>
  <c r="D20" i="8"/>
  <c r="W36" i="10"/>
  <c r="W11" i="10"/>
  <c r="W6" i="10"/>
  <c r="T35" i="9"/>
  <c r="T23" i="9"/>
  <c r="W28" i="13" s="1"/>
  <c r="W28" i="10" s="1"/>
  <c r="T17" i="9"/>
  <c r="W24" i="13" s="1"/>
  <c r="W24" i="10" s="1"/>
  <c r="T11" i="9"/>
  <c r="T34" i="9"/>
  <c r="T28" i="9"/>
  <c r="W30" i="13" s="1"/>
  <c r="W30" i="10" s="1"/>
  <c r="T16" i="9"/>
  <c r="T27" i="9"/>
  <c r="T21" i="9"/>
  <c r="W27" i="13" s="1"/>
  <c r="W27" i="10" s="1"/>
  <c r="T9" i="9"/>
  <c r="T3" i="9"/>
  <c r="T26" i="9"/>
  <c r="T20" i="9"/>
  <c r="W26" i="13" s="1"/>
  <c r="W26" i="10" s="1"/>
  <c r="T14" i="9"/>
  <c r="T30" i="9"/>
  <c r="T4" i="9"/>
  <c r="T24" i="9"/>
  <c r="W3" i="8"/>
  <c r="W7" i="8"/>
  <c r="W6" i="8"/>
  <c r="T31" i="9"/>
  <c r="T25" i="9"/>
  <c r="W8" i="8"/>
  <c r="T6" i="9"/>
  <c r="W22" i="13" s="1"/>
  <c r="W22" i="10" s="1"/>
  <c r="W5" i="8"/>
  <c r="T7" i="9"/>
  <c r="W4" i="8"/>
  <c r="AK12" i="11"/>
  <c r="AI14" i="8"/>
  <c r="AG35" i="12"/>
  <c r="AF39" i="9"/>
  <c r="AC50" i="13"/>
  <c r="AB53" i="10"/>
  <c r="J17" i="5"/>
  <c r="K15" i="8"/>
  <c r="L13" i="11" s="1"/>
  <c r="L15" i="8"/>
  <c r="M13" i="11" s="1"/>
  <c r="C13" i="2"/>
  <c r="J15" i="8"/>
  <c r="K13" i="11" s="1"/>
  <c r="AB10" i="11"/>
  <c r="Z12" i="8"/>
  <c r="G9" i="2" s="1"/>
  <c r="D20" i="5"/>
  <c r="C20" i="8" s="1"/>
  <c r="C17" i="8"/>
  <c r="O17" i="8"/>
  <c r="M20" i="5"/>
  <c r="P17" i="8"/>
  <c r="W29" i="12"/>
  <c r="V32" i="9"/>
  <c r="F20" i="5"/>
  <c r="E20" i="8" s="1"/>
  <c r="E17" i="8"/>
  <c r="V37" i="12"/>
  <c r="U41" i="9"/>
  <c r="AB11" i="11"/>
  <c r="Z13" i="8"/>
  <c r="G10" i="2" s="1"/>
  <c r="AA15" i="11"/>
  <c r="Y19" i="8"/>
  <c r="W2" i="12"/>
  <c r="V2" i="9"/>
  <c r="B13" i="2"/>
  <c r="F15" i="8"/>
  <c r="G13" i="11" s="1"/>
  <c r="AA44" i="13"/>
  <c r="Z46" i="10"/>
  <c r="R20" i="5"/>
  <c r="U17" i="8"/>
  <c r="V17" i="8"/>
  <c r="P17" i="5"/>
  <c r="S15" i="8"/>
  <c r="T13" i="11" s="1"/>
  <c r="T15" i="8"/>
  <c r="U13" i="11" s="1"/>
  <c r="F37" i="3"/>
  <c r="Q17" i="8"/>
  <c r="O20" i="5"/>
  <c r="Q20" i="8" s="1"/>
  <c r="Y12" i="12"/>
  <c r="X13" i="9"/>
  <c r="Z14" i="11"/>
  <c r="Y18" i="8" s="1"/>
  <c r="Y52" i="10"/>
  <c r="Y33" i="12"/>
  <c r="X37" i="9"/>
  <c r="I17" i="8"/>
  <c r="I20" i="5"/>
  <c r="I20" i="8" s="1"/>
  <c r="AB15" i="11" l="1"/>
  <c r="Z19" i="8"/>
  <c r="G15" i="2" s="1"/>
  <c r="Z33" i="12"/>
  <c r="Y37" i="9"/>
  <c r="X34" i="12"/>
  <c r="W38" i="9"/>
  <c r="AL12" i="11"/>
  <c r="AJ14" i="8"/>
  <c r="T5" i="9"/>
  <c r="W21" i="13" s="1"/>
  <c r="W21" i="10" s="1"/>
  <c r="T19" i="9"/>
  <c r="U20" i="8"/>
  <c r="V20" i="8"/>
  <c r="W37" i="12"/>
  <c r="V41" i="9"/>
  <c r="AC10" i="11"/>
  <c r="AA12" i="8"/>
  <c r="W14" i="12"/>
  <c r="V15" i="9"/>
  <c r="AA14" i="11"/>
  <c r="Z18" i="8" s="1"/>
  <c r="G14" i="2" s="1"/>
  <c r="Z52" i="10"/>
  <c r="X36" i="10"/>
  <c r="X41" i="10" s="1"/>
  <c r="X6" i="10"/>
  <c r="X11" i="10"/>
  <c r="U35" i="9"/>
  <c r="U23" i="9"/>
  <c r="X28" i="13" s="1"/>
  <c r="X28" i="10" s="1"/>
  <c r="U17" i="9"/>
  <c r="X24" i="13" s="1"/>
  <c r="X24" i="10" s="1"/>
  <c r="U11" i="9"/>
  <c r="U26" i="9"/>
  <c r="U20" i="9"/>
  <c r="X26" i="13" s="1"/>
  <c r="X26" i="10" s="1"/>
  <c r="U14" i="9"/>
  <c r="U16" i="9"/>
  <c r="U30" i="9"/>
  <c r="U28" i="9"/>
  <c r="X30" i="13" s="1"/>
  <c r="X30" i="10" s="1"/>
  <c r="U9" i="9"/>
  <c r="U4" i="9"/>
  <c r="X7" i="8"/>
  <c r="X6" i="8"/>
  <c r="X5" i="8"/>
  <c r="X4" i="8"/>
  <c r="U21" i="9"/>
  <c r="X27" i="13" s="1"/>
  <c r="X27" i="10" s="1"/>
  <c r="U24" i="9"/>
  <c r="U7" i="9"/>
  <c r="U27" i="9"/>
  <c r="X3" i="8"/>
  <c r="U31" i="9"/>
  <c r="U3" i="9"/>
  <c r="U25" i="9"/>
  <c r="X8" i="8"/>
  <c r="U6" i="9"/>
  <c r="X22" i="13" s="1"/>
  <c r="X22" i="10" s="1"/>
  <c r="U34" i="9"/>
  <c r="Z12" i="12"/>
  <c r="Y13" i="9"/>
  <c r="AB44" i="13"/>
  <c r="AA46" i="10"/>
  <c r="J17" i="8"/>
  <c r="C16" i="2"/>
  <c r="J20" i="8" s="1"/>
  <c r="AA2" i="11"/>
  <c r="Y2" i="8"/>
  <c r="R17" i="8"/>
  <c r="E16" i="2"/>
  <c r="R20" i="8" s="1"/>
  <c r="W18" i="13"/>
  <c r="W18" i="10" s="1"/>
  <c r="S17" i="8"/>
  <c r="P20" i="5"/>
  <c r="T17" i="8"/>
  <c r="AH35" i="12"/>
  <c r="AG39" i="9"/>
  <c r="AC11" i="11"/>
  <c r="AA13" i="8"/>
  <c r="W10" i="8"/>
  <c r="W15" i="8" s="1"/>
  <c r="F17" i="8"/>
  <c r="B16" i="2"/>
  <c r="F20" i="8" s="1"/>
  <c r="X29" i="12"/>
  <c r="W32" i="9"/>
  <c r="F32" i="3" s="1"/>
  <c r="K17" i="8"/>
  <c r="J20" i="5"/>
  <c r="L17" i="8"/>
  <c r="X2" i="12"/>
  <c r="W2" i="9"/>
  <c r="W19" i="13"/>
  <c r="W19" i="10" s="1"/>
  <c r="T8" i="9"/>
  <c r="T36" i="12"/>
  <c r="O20" i="8"/>
  <c r="P20" i="8"/>
  <c r="AD50" i="13"/>
  <c r="AC53" i="10"/>
  <c r="W41" i="10"/>
  <c r="T9" i="12"/>
  <c r="G42" i="4"/>
  <c r="G48" i="4" s="1"/>
  <c r="W25" i="13" l="1"/>
  <c r="W25" i="10" s="1"/>
  <c r="T29" i="9"/>
  <c r="T36" i="9" s="1"/>
  <c r="AA12" i="12"/>
  <c r="Z13" i="9"/>
  <c r="X10" i="8"/>
  <c r="X15" i="8" s="1"/>
  <c r="F38" i="3"/>
  <c r="AD11" i="11"/>
  <c r="AB13" i="8"/>
  <c r="X37" i="12"/>
  <c r="W41" i="9"/>
  <c r="F41" i="3" s="1"/>
  <c r="AA33" i="12"/>
  <c r="Z37" i="9"/>
  <c r="T18" i="9"/>
  <c r="AB14" i="11"/>
  <c r="AA18" i="8" s="1"/>
  <c r="AA52" i="10"/>
  <c r="F2" i="3"/>
  <c r="U9" i="12"/>
  <c r="T10" i="9"/>
  <c r="K20" i="8"/>
  <c r="L20" i="8"/>
  <c r="X18" i="13"/>
  <c r="X18" i="10" s="1"/>
  <c r="X14" i="12"/>
  <c r="W15" i="9"/>
  <c r="F16" i="3" s="1"/>
  <c r="W16" i="8"/>
  <c r="W17" i="8"/>
  <c r="AD10" i="11"/>
  <c r="AB12" i="8"/>
  <c r="AE50" i="13"/>
  <c r="AD53" i="10"/>
  <c r="H49" i="4" s="1"/>
  <c r="Y36" i="10"/>
  <c r="V34" i="9"/>
  <c r="V28" i="9"/>
  <c r="Y30" i="13" s="1"/>
  <c r="Y30" i="10" s="1"/>
  <c r="V16" i="9"/>
  <c r="V4" i="9"/>
  <c r="V27" i="9"/>
  <c r="V21" i="9"/>
  <c r="Y27" i="13" s="1"/>
  <c r="Y27" i="10" s="1"/>
  <c r="V26" i="9"/>
  <c r="V20" i="9"/>
  <c r="Y26" i="13" s="1"/>
  <c r="Y26" i="10" s="1"/>
  <c r="V14" i="9"/>
  <c r="Y6" i="10"/>
  <c r="V31" i="9"/>
  <c r="V25" i="9"/>
  <c r="V7" i="9"/>
  <c r="V30" i="9"/>
  <c r="V11" i="9"/>
  <c r="V9" i="9"/>
  <c r="Y7" i="8"/>
  <c r="Y6" i="8"/>
  <c r="Y5" i="8"/>
  <c r="V24" i="9"/>
  <c r="Y3" i="8"/>
  <c r="Y4" i="8" s="1"/>
  <c r="Y10" i="8" s="1"/>
  <c r="Y15" i="8" s="1"/>
  <c r="V35" i="9"/>
  <c r="V17" i="9"/>
  <c r="Y24" i="13" s="1"/>
  <c r="Y24" i="10" s="1"/>
  <c r="Y8" i="8"/>
  <c r="V3" i="9"/>
  <c r="V23" i="9"/>
  <c r="Y28" i="13" s="1"/>
  <c r="Y28" i="10" s="1"/>
  <c r="V6" i="9"/>
  <c r="Y22" i="13" s="1"/>
  <c r="Y22" i="10" s="1"/>
  <c r="Y11" i="10"/>
  <c r="AI35" i="12"/>
  <c r="AH39" i="9"/>
  <c r="AB2" i="11"/>
  <c r="Z2" i="8"/>
  <c r="X19" i="13"/>
  <c r="X19" i="10" s="1"/>
  <c r="U8" i="9"/>
  <c r="AC15" i="11"/>
  <c r="AA19" i="8"/>
  <c r="AC44" i="13"/>
  <c r="AB46" i="10"/>
  <c r="Y2" i="12"/>
  <c r="X2" i="9"/>
  <c r="AM12" i="11"/>
  <c r="AK14" i="8"/>
  <c r="Y34" i="12"/>
  <c r="X38" i="9"/>
  <c r="U36" i="12"/>
  <c r="T40" i="9"/>
  <c r="Y29" i="12"/>
  <c r="X32" i="9"/>
  <c r="S20" i="8"/>
  <c r="T20" i="8"/>
  <c r="U5" i="9"/>
  <c r="X21" i="13" s="1"/>
  <c r="X21" i="10" s="1"/>
  <c r="U19" i="9"/>
  <c r="Y16" i="8" l="1"/>
  <c r="Y17" i="8" s="1"/>
  <c r="AB33" i="12"/>
  <c r="AA37" i="9"/>
  <c r="X16" i="8"/>
  <c r="X17" i="8"/>
  <c r="Y18" i="13"/>
  <c r="Y18" i="10" s="1"/>
  <c r="AD44" i="13"/>
  <c r="AC46" i="10"/>
  <c r="Y37" i="12"/>
  <c r="X41" i="9"/>
  <c r="Z2" i="12"/>
  <c r="Y2" i="9"/>
  <c r="AC14" i="11"/>
  <c r="AB18" i="8" s="1"/>
  <c r="AB52" i="10"/>
  <c r="V36" i="12"/>
  <c r="U40" i="9"/>
  <c r="Z36" i="10"/>
  <c r="Z41" i="10" s="1"/>
  <c r="W34" i="9"/>
  <c r="F34" i="3" s="1"/>
  <c r="W28" i="9"/>
  <c r="W16" i="9"/>
  <c r="F12" i="3" s="1"/>
  <c r="W4" i="9"/>
  <c r="Z6" i="10"/>
  <c r="G3" i="4" s="1"/>
  <c r="W31" i="9"/>
  <c r="F31" i="3" s="1"/>
  <c r="W25" i="9"/>
  <c r="F25" i="3" s="1"/>
  <c r="W7" i="9"/>
  <c r="F7" i="3" s="1"/>
  <c r="W24" i="9"/>
  <c r="F24" i="3" s="1"/>
  <c r="W21" i="9"/>
  <c r="W27" i="9"/>
  <c r="F27" i="3" s="1"/>
  <c r="W20" i="9"/>
  <c r="W35" i="9"/>
  <c r="F35" i="3" s="1"/>
  <c r="W17" i="9"/>
  <c r="W14" i="9"/>
  <c r="F15" i="3" s="1"/>
  <c r="Z8" i="8"/>
  <c r="G5" i="2" s="1"/>
  <c r="W26" i="9"/>
  <c r="F26" i="3" s="1"/>
  <c r="W23" i="9"/>
  <c r="W3" i="9"/>
  <c r="W6" i="9"/>
  <c r="W30" i="9"/>
  <c r="F30" i="3" s="1"/>
  <c r="Z7" i="8"/>
  <c r="Z6" i="8"/>
  <c r="W11" i="9"/>
  <c r="F11" i="3" s="1"/>
  <c r="Z11" i="10"/>
  <c r="G9" i="4" s="1"/>
  <c r="Z5" i="8"/>
  <c r="Z3" i="8"/>
  <c r="G3" i="2" s="1"/>
  <c r="Z4" i="8"/>
  <c r="Z10" i="8" s="1"/>
  <c r="Z15" i="8" s="1"/>
  <c r="W9" i="9"/>
  <c r="F9" i="3" s="1"/>
  <c r="AF50" i="13"/>
  <c r="AE53" i="10"/>
  <c r="Z29" i="12"/>
  <c r="Y32" i="9"/>
  <c r="Y19" i="13"/>
  <c r="Y19" i="10" s="1"/>
  <c r="V8" i="9"/>
  <c r="AC2" i="11"/>
  <c r="AA2" i="8"/>
  <c r="V9" i="12"/>
  <c r="U10" i="9"/>
  <c r="U18" i="9" s="1"/>
  <c r="AE11" i="11"/>
  <c r="AC13" i="8"/>
  <c r="AE10" i="11"/>
  <c r="AC12" i="8"/>
  <c r="Y14" i="12"/>
  <c r="X15" i="9"/>
  <c r="AB12" i="12"/>
  <c r="AA13" i="9"/>
  <c r="G14" i="3" s="1"/>
  <c r="V19" i="9"/>
  <c r="V5" i="9"/>
  <c r="Y21" i="13" s="1"/>
  <c r="Y21" i="10" s="1"/>
  <c r="AN12" i="11"/>
  <c r="AL14" i="8"/>
  <c r="X25" i="13"/>
  <c r="X25" i="10" s="1"/>
  <c r="U29" i="9"/>
  <c r="U36" i="9" s="1"/>
  <c r="AJ35" i="12"/>
  <c r="AI39" i="9"/>
  <c r="I39" i="3" s="1"/>
  <c r="W2" i="13"/>
  <c r="W2" i="10" s="1"/>
  <c r="W20" i="8"/>
  <c r="T38" i="12"/>
  <c r="AD15" i="11"/>
  <c r="AB19" i="8"/>
  <c r="Y41" i="10"/>
  <c r="G32" i="4"/>
  <c r="G37" i="4" s="1"/>
  <c r="Z34" i="12"/>
  <c r="Y38" i="9"/>
  <c r="G2" i="2"/>
  <c r="Y2" i="13" l="1"/>
  <c r="Y2" i="10" s="1"/>
  <c r="Y20" i="8"/>
  <c r="AK35" i="12"/>
  <c r="AJ39" i="9"/>
  <c r="AA36" i="10"/>
  <c r="X27" i="9"/>
  <c r="X21" i="9"/>
  <c r="AA27" i="13" s="1"/>
  <c r="AA27" i="10" s="1"/>
  <c r="X9" i="9"/>
  <c r="X3" i="9"/>
  <c r="X26" i="9"/>
  <c r="X20" i="9"/>
  <c r="AA26" i="13" s="1"/>
  <c r="AA26" i="10" s="1"/>
  <c r="X14" i="9"/>
  <c r="AA6" i="10"/>
  <c r="X31" i="9"/>
  <c r="X25" i="9"/>
  <c r="X7" i="9"/>
  <c r="X30" i="9"/>
  <c r="X24" i="9"/>
  <c r="X6" i="9"/>
  <c r="AA22" i="13" s="1"/>
  <c r="AA22" i="10" s="1"/>
  <c r="X28" i="9"/>
  <c r="AA30" i="13" s="1"/>
  <c r="AA30" i="10" s="1"/>
  <c r="X4" i="9"/>
  <c r="AA3" i="8"/>
  <c r="AA4" i="8" s="1"/>
  <c r="AA10" i="8" s="1"/>
  <c r="AA15" i="8" s="1"/>
  <c r="X35" i="9"/>
  <c r="X17" i="9"/>
  <c r="AA24" i="13" s="1"/>
  <c r="AA24" i="10" s="1"/>
  <c r="AA8" i="8"/>
  <c r="X23" i="9"/>
  <c r="AA28" i="13" s="1"/>
  <c r="AA28" i="10" s="1"/>
  <c r="AA6" i="8"/>
  <c r="AA7" i="8"/>
  <c r="X11" i="9"/>
  <c r="AA11" i="10"/>
  <c r="AA5" i="8"/>
  <c r="X34" i="9"/>
  <c r="X16" i="9"/>
  <c r="Z24" i="13"/>
  <c r="Z24" i="10" s="1"/>
  <c r="G20" i="4" s="1"/>
  <c r="F17" i="3"/>
  <c r="Z30" i="13"/>
  <c r="Z30" i="10" s="1"/>
  <c r="G26" i="4" s="1"/>
  <c r="F28" i="3"/>
  <c r="AF11" i="11"/>
  <c r="AD13" i="8"/>
  <c r="Y15" i="9"/>
  <c r="Z14" i="12"/>
  <c r="Z37" i="12"/>
  <c r="Y41" i="9"/>
  <c r="AD2" i="11"/>
  <c r="AB2" i="8"/>
  <c r="AD14" i="11"/>
  <c r="AC18" i="8" s="1"/>
  <c r="AC52" i="10"/>
  <c r="H42" i="4"/>
  <c r="H48" i="4" s="1"/>
  <c r="AC12" i="12"/>
  <c r="AB13" i="9"/>
  <c r="Z18" i="13"/>
  <c r="Z18" i="10" s="1"/>
  <c r="G15" i="4" s="1"/>
  <c r="F4" i="3"/>
  <c r="H9" i="2"/>
  <c r="Z26" i="13"/>
  <c r="Z26" i="10" s="1"/>
  <c r="G22" i="4" s="1"/>
  <c r="F20" i="3"/>
  <c r="AE44" i="13"/>
  <c r="AD46" i="10"/>
  <c r="Z16" i="8"/>
  <c r="G12" i="2" s="1"/>
  <c r="W9" i="12"/>
  <c r="V10" i="9"/>
  <c r="G4" i="2"/>
  <c r="G7" i="2" s="1"/>
  <c r="G11" i="2" s="1"/>
  <c r="AF10" i="11"/>
  <c r="AD12" i="8"/>
  <c r="Z27" i="13"/>
  <c r="Z27" i="10" s="1"/>
  <c r="G23" i="4" s="1"/>
  <c r="F21" i="3"/>
  <c r="W36" i="12"/>
  <c r="V40" i="9"/>
  <c r="W19" i="9"/>
  <c r="W5" i="9"/>
  <c r="W8" i="9" s="1"/>
  <c r="AA29" i="12"/>
  <c r="Z32" i="9"/>
  <c r="Z22" i="13"/>
  <c r="Z22" i="10" s="1"/>
  <c r="G19" i="4" s="1"/>
  <c r="F6" i="3"/>
  <c r="X2" i="13"/>
  <c r="X2" i="10" s="1"/>
  <c r="X34" i="10" s="1"/>
  <c r="X54" i="10" s="1"/>
  <c r="X20" i="8"/>
  <c r="W34" i="10"/>
  <c r="W54" i="10" s="1"/>
  <c r="AE15" i="11"/>
  <c r="AC19" i="8"/>
  <c r="Z19" i="13"/>
  <c r="Z19" i="10" s="1"/>
  <c r="G16" i="4" s="1"/>
  <c r="F3" i="3"/>
  <c r="AC33" i="12"/>
  <c r="AB37" i="9"/>
  <c r="AA34" i="12"/>
  <c r="Z38" i="9"/>
  <c r="V18" i="9"/>
  <c r="AO12" i="11"/>
  <c r="AM14" i="8"/>
  <c r="Y25" i="13"/>
  <c r="Y25" i="10" s="1"/>
  <c r="V29" i="9"/>
  <c r="V36" i="9" s="1"/>
  <c r="U38" i="12"/>
  <c r="T42" i="9"/>
  <c r="T43" i="9" s="1"/>
  <c r="T44" i="9" s="1"/>
  <c r="H10" i="2"/>
  <c r="AG50" i="13"/>
  <c r="AF53" i="10"/>
  <c r="Z28" i="13"/>
  <c r="Z28" i="10" s="1"/>
  <c r="G24" i="4" s="1"/>
  <c r="F23" i="3"/>
  <c r="AA2" i="12"/>
  <c r="Z2" i="9"/>
  <c r="G37" i="3"/>
  <c r="AA16" i="8" l="1"/>
  <c r="AA17" i="8"/>
  <c r="AB34" i="12"/>
  <c r="AA38" i="9"/>
  <c r="AE2" i="11"/>
  <c r="AC2" i="8"/>
  <c r="AA14" i="12"/>
  <c r="Z15" i="9"/>
  <c r="V38" i="12"/>
  <c r="U42" i="9"/>
  <c r="U43" i="9" s="1"/>
  <c r="U44" i="9" s="1"/>
  <c r="AB29" i="12"/>
  <c r="AA32" i="9"/>
  <c r="G32" i="3" s="1"/>
  <c r="AG10" i="11"/>
  <c r="AE12" i="8"/>
  <c r="AA41" i="10"/>
  <c r="AH50" i="13"/>
  <c r="AG53" i="10"/>
  <c r="AG11" i="11"/>
  <c r="AE13" i="8"/>
  <c r="AD12" i="12"/>
  <c r="AC13" i="9"/>
  <c r="AL35" i="12"/>
  <c r="AK39" i="9"/>
  <c r="AD33" i="12"/>
  <c r="AC37" i="9"/>
  <c r="G13" i="2"/>
  <c r="G16" i="2" s="1"/>
  <c r="Z21" i="13"/>
  <c r="Z21" i="10" s="1"/>
  <c r="G18" i="4" s="1"/>
  <c r="F5" i="3"/>
  <c r="F8" i="3" s="1"/>
  <c r="F18" i="3" s="1"/>
  <c r="X9" i="12"/>
  <c r="W10" i="9"/>
  <c r="F10" i="3" s="1"/>
  <c r="X19" i="9"/>
  <c r="X5" i="9"/>
  <c r="AA21" i="13" s="1"/>
  <c r="AA21" i="10" s="1"/>
  <c r="AA19" i="13"/>
  <c r="AA19" i="10" s="1"/>
  <c r="AA37" i="12"/>
  <c r="Z41" i="9"/>
  <c r="AP12" i="11"/>
  <c r="AN14" i="8"/>
  <c r="AF15" i="11"/>
  <c r="AD19" i="8"/>
  <c r="H15" i="2" s="1"/>
  <c r="Z25" i="13"/>
  <c r="Z25" i="10" s="1"/>
  <c r="G21" i="4" s="1"/>
  <c r="W29" i="9"/>
  <c r="W36" i="9" s="1"/>
  <c r="F19" i="3"/>
  <c r="F29" i="3" s="1"/>
  <c r="F36" i="3" s="1"/>
  <c r="Z17" i="8"/>
  <c r="Y34" i="10"/>
  <c r="Y54" i="10" s="1"/>
  <c r="AF44" i="13"/>
  <c r="AE46" i="10"/>
  <c r="AA18" i="13"/>
  <c r="AA18" i="10" s="1"/>
  <c r="AB2" i="12"/>
  <c r="AA2" i="9"/>
  <c r="H14" i="2"/>
  <c r="X36" i="12"/>
  <c r="W40" i="9"/>
  <c r="AE14" i="11"/>
  <c r="AD18" i="8" s="1"/>
  <c r="AD52" i="10"/>
  <c r="AB36" i="10"/>
  <c r="AB41" i="10" s="1"/>
  <c r="Y27" i="9"/>
  <c r="Y21" i="9"/>
  <c r="AB27" i="13" s="1"/>
  <c r="AB27" i="10" s="1"/>
  <c r="Y9" i="9"/>
  <c r="Y3" i="9"/>
  <c r="AB6" i="10"/>
  <c r="Y30" i="9"/>
  <c r="Y24" i="9"/>
  <c r="Y7" i="9"/>
  <c r="Y20" i="9"/>
  <c r="AB26" i="13" s="1"/>
  <c r="AB26" i="10" s="1"/>
  <c r="Y35" i="9"/>
  <c r="Y17" i="9"/>
  <c r="AB24" i="13" s="1"/>
  <c r="AB24" i="10" s="1"/>
  <c r="Y23" i="9"/>
  <c r="AB28" i="13" s="1"/>
  <c r="AB28" i="10" s="1"/>
  <c r="Y14" i="9"/>
  <c r="Y26" i="9"/>
  <c r="Y31" i="9"/>
  <c r="Y6" i="9"/>
  <c r="AB22" i="13" s="1"/>
  <c r="AB22" i="10" s="1"/>
  <c r="AB11" i="10"/>
  <c r="AB6" i="8"/>
  <c r="Y11" i="9"/>
  <c r="Y25" i="9"/>
  <c r="Y4" i="9"/>
  <c r="AB8" i="8"/>
  <c r="AB5" i="8"/>
  <c r="Y28" i="9"/>
  <c r="AB30" i="13" s="1"/>
  <c r="AB30" i="10" s="1"/>
  <c r="AB3" i="8"/>
  <c r="AB4" i="8" s="1"/>
  <c r="AB10" i="8" s="1"/>
  <c r="AB15" i="8" s="1"/>
  <c r="Y34" i="9"/>
  <c r="Y16" i="9"/>
  <c r="AB7" i="8"/>
  <c r="AB16" i="8" l="1"/>
  <c r="AB17" i="8" s="1"/>
  <c r="I49" i="4"/>
  <c r="Z2" i="13"/>
  <c r="Z2" i="10" s="1"/>
  <c r="Z20" i="8"/>
  <c r="AI50" i="13"/>
  <c r="AH53" i="10"/>
  <c r="AF2" i="11"/>
  <c r="AD2" i="8"/>
  <c r="G2" i="3"/>
  <c r="AA25" i="13"/>
  <c r="AA25" i="10" s="1"/>
  <c r="X29" i="9"/>
  <c r="X36" i="9" s="1"/>
  <c r="AM35" i="12"/>
  <c r="AM39" i="9" s="1"/>
  <c r="J39" i="3" s="1"/>
  <c r="AL39" i="9"/>
  <c r="AH10" i="11"/>
  <c r="AF12" i="8"/>
  <c r="G38" i="3"/>
  <c r="AB14" i="12"/>
  <c r="AA15" i="9"/>
  <c r="G16" i="3" s="1"/>
  <c r="Y5" i="9"/>
  <c r="AB21" i="13" s="1"/>
  <c r="AB21" i="10" s="1"/>
  <c r="Y19" i="9"/>
  <c r="AC2" i="12"/>
  <c r="AB2" i="9"/>
  <c r="AG15" i="11"/>
  <c r="AE19" i="8"/>
  <c r="AC34" i="12"/>
  <c r="AB38" i="9"/>
  <c r="AE12" i="12"/>
  <c r="AD13" i="9"/>
  <c r="AC29" i="12"/>
  <c r="AB32" i="9"/>
  <c r="AB19" i="13"/>
  <c r="AB19" i="10" s="1"/>
  <c r="AF14" i="11"/>
  <c r="AE18" i="8" s="1"/>
  <c r="AE52" i="10"/>
  <c r="AQ12" i="11"/>
  <c r="AP14" i="8" s="1"/>
  <c r="AO14" i="8"/>
  <c r="Y9" i="12"/>
  <c r="X10" i="9"/>
  <c r="AG44" i="13"/>
  <c r="AF46" i="10"/>
  <c r="W18" i="9"/>
  <c r="AE33" i="12"/>
  <c r="AD37" i="9"/>
  <c r="AB18" i="13"/>
  <c r="AB18" i="10" s="1"/>
  <c r="F40" i="3"/>
  <c r="AH11" i="11"/>
  <c r="AF13" i="8"/>
  <c r="W38" i="12"/>
  <c r="V42" i="9"/>
  <c r="V43" i="9" s="1"/>
  <c r="V44" i="9" s="1"/>
  <c r="AC36" i="10"/>
  <c r="Z26" i="9"/>
  <c r="Z20" i="9"/>
  <c r="AC26" i="13" s="1"/>
  <c r="AC26" i="10" s="1"/>
  <c r="Z14" i="9"/>
  <c r="AC6" i="10"/>
  <c r="Z31" i="9"/>
  <c r="Z25" i="9"/>
  <c r="Z30" i="9"/>
  <c r="Z24" i="9"/>
  <c r="Z6" i="9"/>
  <c r="AC22" i="13" s="1"/>
  <c r="AC22" i="10" s="1"/>
  <c r="AC11" i="10"/>
  <c r="Z35" i="9"/>
  <c r="Z23" i="9"/>
  <c r="AC28" i="13" s="1"/>
  <c r="AC28" i="10" s="1"/>
  <c r="Z17" i="9"/>
  <c r="AC24" i="13" s="1"/>
  <c r="AC24" i="10" s="1"/>
  <c r="Z11" i="9"/>
  <c r="Z21" i="9"/>
  <c r="AC27" i="13" s="1"/>
  <c r="AC27" i="10" s="1"/>
  <c r="Z7" i="9"/>
  <c r="AC3" i="8"/>
  <c r="Z27" i="9"/>
  <c r="AC8" i="8"/>
  <c r="Z3" i="9"/>
  <c r="Z34" i="9"/>
  <c r="Z4" i="9"/>
  <c r="AC5" i="8"/>
  <c r="Z28" i="9"/>
  <c r="AC30" i="13" s="1"/>
  <c r="AC30" i="10" s="1"/>
  <c r="AC4" i="8"/>
  <c r="AC10" i="8" s="1"/>
  <c r="AC15" i="8" s="1"/>
  <c r="Z16" i="9"/>
  <c r="Z9" i="9"/>
  <c r="AC7" i="8"/>
  <c r="AC6" i="8"/>
  <c r="Y36" i="12"/>
  <c r="X40" i="9"/>
  <c r="AB37" i="12"/>
  <c r="AA41" i="9"/>
  <c r="G41" i="3" s="1"/>
  <c r="AA2" i="13"/>
  <c r="AA2" i="10" s="1"/>
  <c r="AA20" i="8"/>
  <c r="X8" i="9"/>
  <c r="X18" i="9" s="1"/>
  <c r="AB2" i="13" l="1"/>
  <c r="AB2" i="10" s="1"/>
  <c r="AB34" i="10" s="1"/>
  <c r="AB54" i="10" s="1"/>
  <c r="AB20" i="8"/>
  <c r="H9" i="4"/>
  <c r="H5" i="2"/>
  <c r="AH44" i="13"/>
  <c r="AG46" i="10"/>
  <c r="AD29" i="12"/>
  <c r="AC32" i="9"/>
  <c r="Z34" i="10"/>
  <c r="Z54" i="10" s="1"/>
  <c r="G2" i="4"/>
  <c r="G30" i="4" s="1"/>
  <c r="G50" i="4" s="1"/>
  <c r="AC41" i="10"/>
  <c r="AA34" i="10"/>
  <c r="AA54" i="10" s="1"/>
  <c r="X38" i="12"/>
  <c r="W42" i="9"/>
  <c r="AD36" i="10"/>
  <c r="AD41" i="10" s="1"/>
  <c r="AD11" i="10"/>
  <c r="AA26" i="9"/>
  <c r="G26" i="3" s="1"/>
  <c r="AA20" i="9"/>
  <c r="AA14" i="9"/>
  <c r="G15" i="3" s="1"/>
  <c r="AA35" i="9"/>
  <c r="G35" i="3" s="1"/>
  <c r="AA23" i="9"/>
  <c r="AA17" i="9"/>
  <c r="AA11" i="9"/>
  <c r="G11" i="3" s="1"/>
  <c r="AA24" i="9"/>
  <c r="G24" i="3" s="1"/>
  <c r="AA7" i="9"/>
  <c r="G7" i="3" s="1"/>
  <c r="AD3" i="8"/>
  <c r="AA27" i="9"/>
  <c r="G27" i="3" s="1"/>
  <c r="AA3" i="9"/>
  <c r="AA31" i="9"/>
  <c r="G31" i="3" s="1"/>
  <c r="AA6" i="9"/>
  <c r="AA34" i="9"/>
  <c r="G34" i="3" s="1"/>
  <c r="AD7" i="8"/>
  <c r="AD6" i="8"/>
  <c r="AD5" i="8"/>
  <c r="AD4" i="8"/>
  <c r="AD10" i="8" s="1"/>
  <c r="AD15" i="8" s="1"/>
  <c r="AA16" i="9"/>
  <c r="G12" i="3" s="1"/>
  <c r="AA25" i="9"/>
  <c r="G25" i="3" s="1"/>
  <c r="AD6" i="10"/>
  <c r="H3" i="4" s="1"/>
  <c r="AA30" i="9"/>
  <c r="G30" i="3" s="1"/>
  <c r="AA4" i="9"/>
  <c r="AD8" i="8"/>
  <c r="AA28" i="9"/>
  <c r="AA21" i="9"/>
  <c r="AA9" i="9"/>
  <c r="G9" i="3" s="1"/>
  <c r="H2" i="2"/>
  <c r="H4" i="2" s="1"/>
  <c r="H7" i="2" s="1"/>
  <c r="H11" i="2" s="1"/>
  <c r="AC18" i="13"/>
  <c r="AC18" i="10" s="1"/>
  <c r="Z9" i="12"/>
  <c r="Y10" i="9"/>
  <c r="AF12" i="12"/>
  <c r="AE13" i="9"/>
  <c r="H14" i="3" s="1"/>
  <c r="AC14" i="12"/>
  <c r="AB15" i="9"/>
  <c r="AG2" i="11"/>
  <c r="AE2" i="8"/>
  <c r="AC16" i="8"/>
  <c r="AC17" i="8"/>
  <c r="AC37" i="12"/>
  <c r="AB41" i="9"/>
  <c r="AI11" i="11"/>
  <c r="AG13" i="8"/>
  <c r="AD34" i="12"/>
  <c r="AC38" i="9"/>
  <c r="AI10" i="11"/>
  <c r="AG12" i="8"/>
  <c r="AG14" i="11"/>
  <c r="AF18" i="8" s="1"/>
  <c r="AF52" i="10"/>
  <c r="AJ50" i="13"/>
  <c r="AI53" i="10"/>
  <c r="AD2" i="12"/>
  <c r="AC2" i="9"/>
  <c r="AB25" i="13"/>
  <c r="AB25" i="10" s="1"/>
  <c r="Y29" i="9"/>
  <c r="Y36" i="9" s="1"/>
  <c r="AC19" i="13"/>
  <c r="AC19" i="10" s="1"/>
  <c r="Z36" i="12"/>
  <c r="Y40" i="9"/>
  <c r="Z19" i="9"/>
  <c r="Z5" i="9"/>
  <c r="AC21" i="13" s="1"/>
  <c r="AC21" i="10" s="1"/>
  <c r="H3" i="2"/>
  <c r="AF33" i="12"/>
  <c r="AE37" i="9"/>
  <c r="Y8" i="9"/>
  <c r="AH15" i="11"/>
  <c r="AF19" i="8"/>
  <c r="H16" i="4" l="1"/>
  <c r="AD37" i="12"/>
  <c r="AC41" i="9"/>
  <c r="AD24" i="13"/>
  <c r="AD24" i="10" s="1"/>
  <c r="H20" i="4" s="1"/>
  <c r="G17" i="3"/>
  <c r="H32" i="4"/>
  <c r="H37" i="4" s="1"/>
  <c r="AG12" i="12"/>
  <c r="AF13" i="9"/>
  <c r="Z8" i="9"/>
  <c r="Z18" i="9" s="1"/>
  <c r="AD28" i="13"/>
  <c r="AD28" i="10" s="1"/>
  <c r="H24" i="4" s="1"/>
  <c r="G23" i="3"/>
  <c r="Y38" i="12"/>
  <c r="X42" i="9"/>
  <c r="X43" i="9" s="1"/>
  <c r="X44" i="9" s="1"/>
  <c r="AA9" i="12"/>
  <c r="Z10" i="9"/>
  <c r="AI15" i="11"/>
  <c r="AG19" i="8"/>
  <c r="AC2" i="13"/>
  <c r="AC2" i="10" s="1"/>
  <c r="AC20" i="8"/>
  <c r="Y18" i="9"/>
  <c r="I9" i="2"/>
  <c r="AD27" i="13"/>
  <c r="AD27" i="10" s="1"/>
  <c r="H23" i="4" s="1"/>
  <c r="G21" i="3"/>
  <c r="H37" i="3"/>
  <c r="AJ10" i="11"/>
  <c r="AH12" i="8"/>
  <c r="AE36" i="10"/>
  <c r="AE6" i="10"/>
  <c r="AB31" i="9"/>
  <c r="AB25" i="9"/>
  <c r="AB7" i="9"/>
  <c r="AB30" i="9"/>
  <c r="AB24" i="9"/>
  <c r="AB35" i="9"/>
  <c r="AB23" i="9"/>
  <c r="AE28" i="13" s="1"/>
  <c r="AE28" i="10" s="1"/>
  <c r="AB17" i="9"/>
  <c r="AE24" i="13" s="1"/>
  <c r="AE24" i="10" s="1"/>
  <c r="AB11" i="9"/>
  <c r="AE11" i="10"/>
  <c r="AB34" i="9"/>
  <c r="AB28" i="9"/>
  <c r="AE30" i="13" s="1"/>
  <c r="AE30" i="10" s="1"/>
  <c r="AB16" i="9"/>
  <c r="AB4" i="9"/>
  <c r="AB27" i="9"/>
  <c r="AE8" i="8"/>
  <c r="AB20" i="9"/>
  <c r="AE26" i="13" s="1"/>
  <c r="AE26" i="10" s="1"/>
  <c r="AB14" i="9"/>
  <c r="AB26" i="9"/>
  <c r="AB6" i="9"/>
  <c r="AE22" i="13" s="1"/>
  <c r="AE22" i="10" s="1"/>
  <c r="AE7" i="8"/>
  <c r="AE6" i="8"/>
  <c r="AE5" i="8"/>
  <c r="AE4" i="8"/>
  <c r="AB9" i="9"/>
  <c r="AB3" i="9"/>
  <c r="AE3" i="8"/>
  <c r="AB21" i="9"/>
  <c r="AE27" i="13" s="1"/>
  <c r="AE27" i="10" s="1"/>
  <c r="AD30" i="13"/>
  <c r="AD30" i="10" s="1"/>
  <c r="H26" i="4" s="1"/>
  <c r="G28" i="3"/>
  <c r="AD22" i="13"/>
  <c r="AD22" i="10" s="1"/>
  <c r="H19" i="4" s="1"/>
  <c r="G6" i="3"/>
  <c r="AD26" i="13"/>
  <c r="AD26" i="10" s="1"/>
  <c r="H22" i="4" s="1"/>
  <c r="G20" i="3"/>
  <c r="AA36" i="12"/>
  <c r="Z40" i="9"/>
  <c r="AG33" i="12"/>
  <c r="AF37" i="9"/>
  <c r="AH2" i="11"/>
  <c r="AF2" i="8"/>
  <c r="AD16" i="8"/>
  <c r="H12" i="2" s="1"/>
  <c r="H13" i="2" s="1"/>
  <c r="H16" i="2" s="1"/>
  <c r="AE2" i="12"/>
  <c r="AD2" i="9"/>
  <c r="AE34" i="12"/>
  <c r="AD38" i="9"/>
  <c r="AD18" i="13"/>
  <c r="AD18" i="10" s="1"/>
  <c r="H15" i="4" s="1"/>
  <c r="G4" i="3"/>
  <c r="AD19" i="13"/>
  <c r="AD19" i="10" s="1"/>
  <c r="G3" i="3"/>
  <c r="AE29" i="12"/>
  <c r="AD32" i="9"/>
  <c r="AD14" i="12"/>
  <c r="AC15" i="9"/>
  <c r="AH14" i="11"/>
  <c r="AG18" i="8" s="1"/>
  <c r="AG52" i="10"/>
  <c r="AC25" i="13"/>
  <c r="AC25" i="10" s="1"/>
  <c r="Z29" i="9"/>
  <c r="Z36" i="9" s="1"/>
  <c r="AK50" i="13"/>
  <c r="AJ53" i="10"/>
  <c r="AJ11" i="11"/>
  <c r="AH13" i="8"/>
  <c r="I10" i="2" s="1"/>
  <c r="AA5" i="9"/>
  <c r="AA19" i="9"/>
  <c r="F42" i="3"/>
  <c r="F43" i="3" s="1"/>
  <c r="F44" i="3" s="1"/>
  <c r="W43" i="9"/>
  <c r="W44" i="9" s="1"/>
  <c r="AI44" i="13"/>
  <c r="AH46" i="10"/>
  <c r="AB36" i="12" l="1"/>
  <c r="AA40" i="9"/>
  <c r="AD25" i="13"/>
  <c r="AD25" i="10" s="1"/>
  <c r="AA29" i="9"/>
  <c r="AA36" i="9" s="1"/>
  <c r="G19" i="3"/>
  <c r="G29" i="3" s="1"/>
  <c r="G36" i="3" s="1"/>
  <c r="AF2" i="12"/>
  <c r="AE2" i="9"/>
  <c r="AC34" i="10"/>
  <c r="AC54" i="10" s="1"/>
  <c r="AH12" i="12"/>
  <c r="AG13" i="9"/>
  <c r="AE10" i="8"/>
  <c r="AE15" i="8" s="1"/>
  <c r="AF34" i="12"/>
  <c r="AE38" i="9"/>
  <c r="AD21" i="13"/>
  <c r="AD21" i="10" s="1"/>
  <c r="H18" i="4" s="1"/>
  <c r="G5" i="3"/>
  <c r="AK10" i="11"/>
  <c r="AI12" i="8"/>
  <c r="I15" i="2"/>
  <c r="AJ15" i="11"/>
  <c r="AH19" i="8"/>
  <c r="AD17" i="8"/>
  <c r="AK11" i="11"/>
  <c r="AI13" i="8"/>
  <c r="AA8" i="9"/>
  <c r="AA18" i="9" s="1"/>
  <c r="AI2" i="11"/>
  <c r="AG2" i="8"/>
  <c r="AB9" i="12"/>
  <c r="AA10" i="9"/>
  <c r="G10" i="3" s="1"/>
  <c r="AJ44" i="13"/>
  <c r="AI46" i="10"/>
  <c r="AF11" i="10"/>
  <c r="AC31" i="9"/>
  <c r="AC25" i="9"/>
  <c r="AC7" i="9"/>
  <c r="AF6" i="10"/>
  <c r="AC35" i="9"/>
  <c r="AC34" i="9"/>
  <c r="AC28" i="9"/>
  <c r="AF30" i="13" s="1"/>
  <c r="AF30" i="10" s="1"/>
  <c r="AC16" i="9"/>
  <c r="AC27" i="9"/>
  <c r="AF8" i="8"/>
  <c r="AC20" i="9"/>
  <c r="AF26" i="13" s="1"/>
  <c r="AF26" i="10" s="1"/>
  <c r="AC17" i="9"/>
  <c r="AF24" i="13" s="1"/>
  <c r="AF24" i="10" s="1"/>
  <c r="AC14" i="9"/>
  <c r="AC3" i="9"/>
  <c r="AC26" i="9"/>
  <c r="AC23" i="9"/>
  <c r="AF28" i="13" s="1"/>
  <c r="AF28" i="10" s="1"/>
  <c r="AF7" i="8"/>
  <c r="AF6" i="8"/>
  <c r="AF5" i="8"/>
  <c r="AF36" i="10"/>
  <c r="AF41" i="10" s="1"/>
  <c r="AC9" i="9"/>
  <c r="AC4" i="9"/>
  <c r="AC11" i="9"/>
  <c r="AC24" i="9"/>
  <c r="AF3" i="8"/>
  <c r="AC6" i="9"/>
  <c r="AF22" i="13" s="1"/>
  <c r="AF22" i="10" s="1"/>
  <c r="AC21" i="9"/>
  <c r="AF27" i="13" s="1"/>
  <c r="AF27" i="10" s="1"/>
  <c r="AC30" i="9"/>
  <c r="AL50" i="13"/>
  <c r="AK53" i="10"/>
  <c r="G8" i="3"/>
  <c r="G18" i="3" s="1"/>
  <c r="AB19" i="9"/>
  <c r="AB5" i="9"/>
  <c r="AE21" i="13" s="1"/>
  <c r="AE21" i="10" s="1"/>
  <c r="Z38" i="12"/>
  <c r="Y42" i="9"/>
  <c r="Y43" i="9" s="1"/>
  <c r="Y44" i="9" s="1"/>
  <c r="AE37" i="12"/>
  <c r="AD41" i="9"/>
  <c r="AF29" i="12"/>
  <c r="AE32" i="9"/>
  <c r="H32" i="3" s="1"/>
  <c r="AE14" i="12"/>
  <c r="AD15" i="9"/>
  <c r="AE41" i="10"/>
  <c r="H21" i="4"/>
  <c r="AE19" i="13"/>
  <c r="AE19" i="10" s="1"/>
  <c r="AB8" i="9"/>
  <c r="AI14" i="11"/>
  <c r="AH18" i="8" s="1"/>
  <c r="I14" i="2" s="1"/>
  <c r="AH52" i="10"/>
  <c r="I42" i="4"/>
  <c r="I48" i="4" s="1"/>
  <c r="AH33" i="12"/>
  <c r="AG37" i="9"/>
  <c r="AE18" i="13"/>
  <c r="AE18" i="10" s="1"/>
  <c r="AG6" i="10" l="1"/>
  <c r="AD30" i="9"/>
  <c r="AD24" i="9"/>
  <c r="AD6" i="9"/>
  <c r="AG22" i="13" s="1"/>
  <c r="AG22" i="10" s="1"/>
  <c r="AD35" i="9"/>
  <c r="AD23" i="9"/>
  <c r="AG28" i="13" s="1"/>
  <c r="AG28" i="10" s="1"/>
  <c r="AD17" i="9"/>
  <c r="AG24" i="13" s="1"/>
  <c r="AG24" i="10" s="1"/>
  <c r="AG11" i="10"/>
  <c r="AD34" i="9"/>
  <c r="AD28" i="9"/>
  <c r="AG30" i="13" s="1"/>
  <c r="AG30" i="10" s="1"/>
  <c r="AD16" i="9"/>
  <c r="AD4" i="9"/>
  <c r="AD27" i="9"/>
  <c r="AD21" i="9"/>
  <c r="AG27" i="13" s="1"/>
  <c r="AG27" i="10" s="1"/>
  <c r="AD9" i="9"/>
  <c r="AD3" i="9"/>
  <c r="AD20" i="9"/>
  <c r="AG26" i="13" s="1"/>
  <c r="AG26" i="10" s="1"/>
  <c r="AD14" i="9"/>
  <c r="AD26" i="9"/>
  <c r="AG36" i="10"/>
  <c r="AD31" i="9"/>
  <c r="AD25" i="9"/>
  <c r="AD11" i="9"/>
  <c r="AG8" i="8"/>
  <c r="AG3" i="8"/>
  <c r="AG5" i="8"/>
  <c r="AG6" i="8"/>
  <c r="AG4" i="8"/>
  <c r="AG10" i="8" s="1"/>
  <c r="AG15" i="8" s="1"/>
  <c r="AD7" i="9"/>
  <c r="AG7" i="8"/>
  <c r="AC19" i="9"/>
  <c r="AC5" i="9"/>
  <c r="AF21" i="13" s="1"/>
  <c r="AF21" i="10" s="1"/>
  <c r="AF19" i="13"/>
  <c r="AF19" i="10" s="1"/>
  <c r="AC8" i="9"/>
  <c r="AL11" i="11"/>
  <c r="AJ13" i="8"/>
  <c r="H2" i="3"/>
  <c r="AF14" i="12"/>
  <c r="AE15" i="9"/>
  <c r="H16" i="3" s="1"/>
  <c r="AD2" i="13"/>
  <c r="AD2" i="10" s="1"/>
  <c r="AD20" i="8"/>
  <c r="AL10" i="11"/>
  <c r="AJ12" i="8"/>
  <c r="AG2" i="12"/>
  <c r="AF2" i="9"/>
  <c r="AM50" i="13"/>
  <c r="AL53" i="10"/>
  <c r="J49" i="4" s="1"/>
  <c r="AF18" i="13"/>
  <c r="AF18" i="10" s="1"/>
  <c r="AG29" i="12"/>
  <c r="AF32" i="9"/>
  <c r="AJ14" i="11"/>
  <c r="AI18" i="8" s="1"/>
  <c r="AI52" i="10"/>
  <c r="H38" i="3"/>
  <c r="AI12" i="12"/>
  <c r="AH13" i="9"/>
  <c r="AJ2" i="11"/>
  <c r="AH2" i="8"/>
  <c r="AK44" i="13"/>
  <c r="AJ46" i="10"/>
  <c r="AK15" i="11"/>
  <c r="AI19" i="8"/>
  <c r="AG34" i="12"/>
  <c r="AF38" i="9"/>
  <c r="G40" i="3"/>
  <c r="AB18" i="9"/>
  <c r="AC9" i="12"/>
  <c r="AB10" i="9"/>
  <c r="AA38" i="12"/>
  <c r="Z42" i="9"/>
  <c r="Z43" i="9" s="1"/>
  <c r="Z44" i="9" s="1"/>
  <c r="AE25" i="13"/>
  <c r="AE25" i="10" s="1"/>
  <c r="AB29" i="9"/>
  <c r="AB36" i="9" s="1"/>
  <c r="AI33" i="12"/>
  <c r="AH37" i="9"/>
  <c r="AF37" i="12"/>
  <c r="AE41" i="9"/>
  <c r="H41" i="3" s="1"/>
  <c r="AF4" i="8"/>
  <c r="AF10" i="8" s="1"/>
  <c r="AF15" i="8" s="1"/>
  <c r="AE17" i="8"/>
  <c r="AE16" i="8"/>
  <c r="AC36" i="12"/>
  <c r="AB40" i="9"/>
  <c r="AD9" i="12" l="1"/>
  <c r="AC10" i="9"/>
  <c r="AC18" i="9" s="1"/>
  <c r="AF16" i="8"/>
  <c r="AG19" i="13"/>
  <c r="AG19" i="10" s="1"/>
  <c r="AD8" i="9"/>
  <c r="AE2" i="13"/>
  <c r="AE2" i="10" s="1"/>
  <c r="AE20" i="8"/>
  <c r="AG16" i="8"/>
  <c r="AG17" i="8"/>
  <c r="AN50" i="13"/>
  <c r="AM53" i="10"/>
  <c r="AG37" i="12"/>
  <c r="AF41" i="9"/>
  <c r="AH34" i="12"/>
  <c r="AG38" i="9"/>
  <c r="AD5" i="9"/>
  <c r="AG21" i="13" s="1"/>
  <c r="AG21" i="10" s="1"/>
  <c r="AD19" i="9"/>
  <c r="I3" i="2"/>
  <c r="AH2" i="12"/>
  <c r="AG2" i="9"/>
  <c r="AM11" i="11"/>
  <c r="AK13" i="8"/>
  <c r="AG18" i="13"/>
  <c r="AG18" i="10" s="1"/>
  <c r="AK14" i="11"/>
  <c r="AJ18" i="8" s="1"/>
  <c r="AJ52" i="10"/>
  <c r="AJ12" i="12"/>
  <c r="AI13" i="9"/>
  <c r="I14" i="3" s="1"/>
  <c r="AJ33" i="12"/>
  <c r="AI37" i="9"/>
  <c r="AL15" i="11"/>
  <c r="AJ19" i="8"/>
  <c r="AM10" i="11"/>
  <c r="AK12" i="8"/>
  <c r="AL44" i="13"/>
  <c r="AK46" i="10"/>
  <c r="AB38" i="12"/>
  <c r="AA42" i="9"/>
  <c r="AH29" i="12"/>
  <c r="AG32" i="9"/>
  <c r="AD34" i="10"/>
  <c r="AD54" i="10" s="1"/>
  <c r="H2" i="4"/>
  <c r="H30" i="4" s="1"/>
  <c r="H50" i="4" s="1"/>
  <c r="AF25" i="13"/>
  <c r="AF25" i="10" s="1"/>
  <c r="AC29" i="9"/>
  <c r="AC36" i="9" s="1"/>
  <c r="AG41" i="10"/>
  <c r="AD36" i="12"/>
  <c r="AC40" i="9"/>
  <c r="AH11" i="10"/>
  <c r="I9" i="4" s="1"/>
  <c r="AH6" i="10"/>
  <c r="I3" i="4" s="1"/>
  <c r="AE30" i="9"/>
  <c r="H30" i="3" s="1"/>
  <c r="AE24" i="9"/>
  <c r="H24" i="3" s="1"/>
  <c r="AE6" i="9"/>
  <c r="AE34" i="9"/>
  <c r="H34" i="3" s="1"/>
  <c r="AE27" i="9"/>
  <c r="H27" i="3" s="1"/>
  <c r="AE21" i="9"/>
  <c r="AE9" i="9"/>
  <c r="H9" i="3" s="1"/>
  <c r="AE14" i="9"/>
  <c r="H15" i="3" s="1"/>
  <c r="AE26" i="9"/>
  <c r="H26" i="3" s="1"/>
  <c r="AE17" i="9"/>
  <c r="AE3" i="9"/>
  <c r="AE35" i="9"/>
  <c r="H35" i="3" s="1"/>
  <c r="AE23" i="9"/>
  <c r="AH7" i="8"/>
  <c r="AH6" i="8"/>
  <c r="AH5" i="8"/>
  <c r="AH4" i="8"/>
  <c r="AH10" i="8" s="1"/>
  <c r="AH15" i="8" s="1"/>
  <c r="AH36" i="10"/>
  <c r="AH41" i="10" s="1"/>
  <c r="AE31" i="9"/>
  <c r="H31" i="3" s="1"/>
  <c r="AE25" i="9"/>
  <c r="H25" i="3" s="1"/>
  <c r="AE11" i="9"/>
  <c r="H11" i="3" s="1"/>
  <c r="AE16" i="9"/>
  <c r="H12" i="3" s="1"/>
  <c r="AE4" i="9"/>
  <c r="AE28" i="9"/>
  <c r="AH3" i="8"/>
  <c r="AE20" i="9"/>
  <c r="AE7" i="9"/>
  <c r="H7" i="3" s="1"/>
  <c r="AH8" i="8"/>
  <c r="I5" i="2" s="1"/>
  <c r="I2" i="2"/>
  <c r="I4" i="2" s="1"/>
  <c r="AK2" i="11"/>
  <c r="AI2" i="8"/>
  <c r="AG14" i="12"/>
  <c r="AF15" i="9"/>
  <c r="AE36" i="12" l="1"/>
  <c r="AD40" i="9"/>
  <c r="AL14" i="11"/>
  <c r="AK18" i="8" s="1"/>
  <c r="AK52" i="10"/>
  <c r="AI2" i="12"/>
  <c r="AH2" i="9"/>
  <c r="AH37" i="12"/>
  <c r="AG41" i="9"/>
  <c r="AF17" i="8"/>
  <c r="AI34" i="12"/>
  <c r="AH38" i="9"/>
  <c r="AH18" i="13"/>
  <c r="AH18" i="10" s="1"/>
  <c r="I15" i="4" s="1"/>
  <c r="H4" i="3"/>
  <c r="I32" i="4"/>
  <c r="I37" i="4" s="1"/>
  <c r="AM44" i="13"/>
  <c r="AL46" i="10"/>
  <c r="J42" i="4" s="1"/>
  <c r="J48" i="4" s="1"/>
  <c r="AK12" i="12"/>
  <c r="AJ13" i="9"/>
  <c r="AH30" i="13"/>
  <c r="AH30" i="10" s="1"/>
  <c r="I26" i="4" s="1"/>
  <c r="H28" i="3"/>
  <c r="AO50" i="13"/>
  <c r="AN53" i="10"/>
  <c r="AE9" i="12"/>
  <c r="AD10" i="9"/>
  <c r="AH19" i="13"/>
  <c r="AH19" i="10" s="1"/>
  <c r="I16" i="4" s="1"/>
  <c r="H3" i="3"/>
  <c r="AN11" i="11"/>
  <c r="AL13" i="8"/>
  <c r="J10" i="2" s="1"/>
  <c r="AH14" i="12"/>
  <c r="AG15" i="9"/>
  <c r="AL2" i="11"/>
  <c r="AJ2" i="8"/>
  <c r="AG2" i="13"/>
  <c r="AG2" i="10" s="1"/>
  <c r="AG20" i="8"/>
  <c r="AH16" i="8"/>
  <c r="I12" i="2" s="1"/>
  <c r="AG25" i="13"/>
  <c r="AG25" i="10" s="1"/>
  <c r="AD29" i="9"/>
  <c r="AD36" i="9" s="1"/>
  <c r="G42" i="3"/>
  <c r="G43" i="3" s="1"/>
  <c r="G44" i="3" s="1"/>
  <c r="AA43" i="9"/>
  <c r="AA44" i="9" s="1"/>
  <c r="AH27" i="13"/>
  <c r="AH27" i="10" s="1"/>
  <c r="I23" i="4" s="1"/>
  <c r="H21" i="3"/>
  <c r="AN10" i="11"/>
  <c r="AL12" i="8"/>
  <c r="J9" i="2" s="1"/>
  <c r="AD18" i="9"/>
  <c r="AC38" i="12"/>
  <c r="AB42" i="9"/>
  <c r="AB43" i="9" s="1"/>
  <c r="AB44" i="9" s="1"/>
  <c r="AH24" i="13"/>
  <c r="AH24" i="10" s="1"/>
  <c r="I20" i="4" s="1"/>
  <c r="H17" i="3"/>
  <c r="AK33" i="12"/>
  <c r="AJ37" i="9"/>
  <c r="AI36" i="10"/>
  <c r="AI11" i="10"/>
  <c r="AI6" i="10"/>
  <c r="AF35" i="9"/>
  <c r="AF23" i="9"/>
  <c r="AI28" i="13" s="1"/>
  <c r="AI28" i="10" s="1"/>
  <c r="AF17" i="9"/>
  <c r="AI24" i="13" s="1"/>
  <c r="AI24" i="10" s="1"/>
  <c r="AF11" i="9"/>
  <c r="AF34" i="9"/>
  <c r="AF28" i="9"/>
  <c r="AI30" i="13" s="1"/>
  <c r="AI30" i="10" s="1"/>
  <c r="AF16" i="9"/>
  <c r="AF27" i="9"/>
  <c r="AF21" i="9"/>
  <c r="AI27" i="13" s="1"/>
  <c r="AI27" i="10" s="1"/>
  <c r="AF9" i="9"/>
  <c r="AF3" i="9"/>
  <c r="AF26" i="9"/>
  <c r="AF20" i="9"/>
  <c r="AI26" i="13" s="1"/>
  <c r="AI26" i="10" s="1"/>
  <c r="AF14" i="9"/>
  <c r="AF31" i="9"/>
  <c r="AF6" i="9"/>
  <c r="AI22" i="13" s="1"/>
  <c r="AI22" i="10" s="1"/>
  <c r="AF25" i="9"/>
  <c r="AF4" i="9"/>
  <c r="AI3" i="8"/>
  <c r="AI4" i="8" s="1"/>
  <c r="AI10" i="8" s="1"/>
  <c r="AI15" i="8" s="1"/>
  <c r="AF30" i="9"/>
  <c r="AF24" i="9"/>
  <c r="AI5" i="8"/>
  <c r="AF7" i="9"/>
  <c r="AI7" i="8"/>
  <c r="AI6" i="8"/>
  <c r="AI8" i="8"/>
  <c r="I7" i="2"/>
  <c r="I11" i="2" s="1"/>
  <c r="AM15" i="11"/>
  <c r="AK19" i="8"/>
  <c r="AH22" i="13"/>
  <c r="AH22" i="10" s="1"/>
  <c r="I19" i="4" s="1"/>
  <c r="H6" i="3"/>
  <c r="AE34" i="10"/>
  <c r="AE54" i="10" s="1"/>
  <c r="I37" i="3"/>
  <c r="AH26" i="13"/>
  <c r="AH26" i="10" s="1"/>
  <c r="I22" i="4" s="1"/>
  <c r="H20" i="3"/>
  <c r="AE19" i="9"/>
  <c r="AE5" i="9"/>
  <c r="AH28" i="13"/>
  <c r="AH28" i="10" s="1"/>
  <c r="I24" i="4" s="1"/>
  <c r="H23" i="3"/>
  <c r="AI29" i="12"/>
  <c r="AH32" i="9"/>
  <c r="AI16" i="8" l="1"/>
  <c r="AI17" i="8"/>
  <c r="I21" i="4"/>
  <c r="AI18" i="13"/>
  <c r="AI18" i="10" s="1"/>
  <c r="AD38" i="12"/>
  <c r="AC42" i="9"/>
  <c r="AC43" i="9" s="1"/>
  <c r="AC44" i="9" s="1"/>
  <c r="AH17" i="8"/>
  <c r="AN44" i="13"/>
  <c r="AM46" i="10"/>
  <c r="I13" i="2"/>
  <c r="I16" i="2" s="1"/>
  <c r="AN15" i="11"/>
  <c r="AL19" i="8"/>
  <c r="AG34" i="10"/>
  <c r="AG54" i="10" s="1"/>
  <c r="AJ2" i="12"/>
  <c r="AI2" i="9"/>
  <c r="AH25" i="13"/>
  <c r="AH25" i="10" s="1"/>
  <c r="AE29" i="9"/>
  <c r="AE36" i="9" s="1"/>
  <c r="H19" i="3"/>
  <c r="H29" i="3" s="1"/>
  <c r="H36" i="3" s="1"/>
  <c r="AO11" i="11"/>
  <c r="AM13" i="8"/>
  <c r="AM14" i="11"/>
  <c r="AL18" i="8" s="1"/>
  <c r="J14" i="2" s="1"/>
  <c r="AL52" i="10"/>
  <c r="AF9" i="12"/>
  <c r="AE10" i="9"/>
  <c r="H10" i="3" s="1"/>
  <c r="AO10" i="11"/>
  <c r="AM12" i="8"/>
  <c r="AJ36" i="10"/>
  <c r="AJ41" i="10" s="1"/>
  <c r="AJ6" i="10"/>
  <c r="AG35" i="9"/>
  <c r="AG23" i="9"/>
  <c r="AJ28" i="13" s="1"/>
  <c r="AJ28" i="10" s="1"/>
  <c r="AG17" i="9"/>
  <c r="AJ24" i="13" s="1"/>
  <c r="AJ24" i="10" s="1"/>
  <c r="AG11" i="9"/>
  <c r="AJ11" i="10"/>
  <c r="AG26" i="9"/>
  <c r="AG20" i="9"/>
  <c r="AJ26" i="13" s="1"/>
  <c r="AJ26" i="10" s="1"/>
  <c r="AG14" i="9"/>
  <c r="AG3" i="9"/>
  <c r="AJ7" i="8"/>
  <c r="AJ6" i="8"/>
  <c r="AJ5" i="8"/>
  <c r="AG31" i="9"/>
  <c r="AG6" i="9"/>
  <c r="AJ22" i="13" s="1"/>
  <c r="AJ22" i="10" s="1"/>
  <c r="AG25" i="9"/>
  <c r="AG4" i="9"/>
  <c r="AG34" i="9"/>
  <c r="AG16" i="9"/>
  <c r="AG9" i="9"/>
  <c r="AJ3" i="8"/>
  <c r="AJ4" i="8" s="1"/>
  <c r="AJ10" i="8" s="1"/>
  <c r="AJ15" i="8" s="1"/>
  <c r="AG30" i="9"/>
  <c r="AG28" i="9"/>
  <c r="AJ30" i="13" s="1"/>
  <c r="AJ30" i="10" s="1"/>
  <c r="AG7" i="9"/>
  <c r="AG21" i="9"/>
  <c r="AJ27" i="13" s="1"/>
  <c r="AJ27" i="10" s="1"/>
  <c r="AG27" i="9"/>
  <c r="AJ8" i="8"/>
  <c r="AG24" i="9"/>
  <c r="AH21" i="13"/>
  <c r="AH21" i="10" s="1"/>
  <c r="I18" i="4" s="1"/>
  <c r="H5" i="3"/>
  <c r="H8" i="3" s="1"/>
  <c r="H18" i="3" s="1"/>
  <c r="AF36" i="12"/>
  <c r="AE40" i="9"/>
  <c r="AM2" i="11"/>
  <c r="AK2" i="8"/>
  <c r="AP50" i="13"/>
  <c r="AP53" i="10" s="1"/>
  <c r="AO53" i="10"/>
  <c r="K49" i="4" s="1"/>
  <c r="AJ34" i="12"/>
  <c r="AI38" i="9"/>
  <c r="AL12" i="12"/>
  <c r="AK13" i="9"/>
  <c r="AE8" i="9"/>
  <c r="AE18" i="9" s="1"/>
  <c r="AI19" i="13"/>
  <c r="AI19" i="10" s="1"/>
  <c r="AF8" i="9"/>
  <c r="AJ29" i="12"/>
  <c r="AI32" i="9"/>
  <c r="I32" i="3" s="1"/>
  <c r="AI41" i="10"/>
  <c r="AF2" i="13"/>
  <c r="AF2" i="10" s="1"/>
  <c r="AF20" i="8"/>
  <c r="J15" i="2"/>
  <c r="AI14" i="12"/>
  <c r="AH15" i="9"/>
  <c r="AF5" i="9"/>
  <c r="AI21" i="13" s="1"/>
  <c r="AI21" i="10" s="1"/>
  <c r="AF19" i="9"/>
  <c r="AL33" i="12"/>
  <c r="AK37" i="9"/>
  <c r="AI37" i="12"/>
  <c r="AH41" i="9"/>
  <c r="AJ16" i="8" l="1"/>
  <c r="AJ17" i="8"/>
  <c r="AN14" i="11"/>
  <c r="AM18" i="8" s="1"/>
  <c r="AM52" i="10"/>
  <c r="AO44" i="13"/>
  <c r="AN46" i="10"/>
  <c r="AM12" i="12"/>
  <c r="AM13" i="9" s="1"/>
  <c r="J14" i="3" s="1"/>
  <c r="AL13" i="9"/>
  <c r="AK2" i="12"/>
  <c r="AJ2" i="9"/>
  <c r="AG9" i="12"/>
  <c r="AF10" i="9"/>
  <c r="AH2" i="13"/>
  <c r="AH2" i="10" s="1"/>
  <c r="AH34" i="10" s="1"/>
  <c r="AH54" i="10" s="1"/>
  <c r="AH20" i="8"/>
  <c r="AG36" i="12"/>
  <c r="AF40" i="9"/>
  <c r="AF34" i="10"/>
  <c r="AF54" i="10" s="1"/>
  <c r="I38" i="3"/>
  <c r="AJ19" i="13"/>
  <c r="AJ19" i="10" s="1"/>
  <c r="AJ37" i="12"/>
  <c r="AI41" i="9"/>
  <c r="I41" i="3" s="1"/>
  <c r="AJ18" i="13"/>
  <c r="AJ18" i="10" s="1"/>
  <c r="AK34" i="12"/>
  <c r="AJ38" i="9"/>
  <c r="AE38" i="12"/>
  <c r="AD42" i="9"/>
  <c r="AD43" i="9" s="1"/>
  <c r="AD44" i="9" s="1"/>
  <c r="AO15" i="11"/>
  <c r="AM19" i="8"/>
  <c r="AP11" i="11"/>
  <c r="AN13" i="8"/>
  <c r="AG5" i="9"/>
  <c r="AJ21" i="13" s="1"/>
  <c r="AJ21" i="10" s="1"/>
  <c r="AG19" i="9"/>
  <c r="AJ14" i="12"/>
  <c r="AI15" i="9"/>
  <c r="I16" i="3" s="1"/>
  <c r="I2" i="3"/>
  <c r="AK29" i="12"/>
  <c r="AJ32" i="9"/>
  <c r="AK36" i="10"/>
  <c r="AK41" i="10" s="1"/>
  <c r="AH34" i="9"/>
  <c r="AH28" i="9"/>
  <c r="AK30" i="13" s="1"/>
  <c r="AK30" i="10" s="1"/>
  <c r="AH16" i="9"/>
  <c r="AH4" i="9"/>
  <c r="AK11" i="10"/>
  <c r="AH27" i="9"/>
  <c r="AH21" i="9"/>
  <c r="AK27" i="13" s="1"/>
  <c r="AK27" i="10" s="1"/>
  <c r="AH26" i="9"/>
  <c r="AH20" i="9"/>
  <c r="AK26" i="13" s="1"/>
  <c r="AK26" i="10" s="1"/>
  <c r="AH14" i="9"/>
  <c r="AH31" i="9"/>
  <c r="AH25" i="9"/>
  <c r="AH7" i="9"/>
  <c r="AH3" i="9"/>
  <c r="AK7" i="8"/>
  <c r="AK6" i="8"/>
  <c r="AK5" i="8"/>
  <c r="AK4" i="8"/>
  <c r="AK10" i="8" s="1"/>
  <c r="AK15" i="8" s="1"/>
  <c r="AH17" i="9"/>
  <c r="AK24" i="13" s="1"/>
  <c r="AK24" i="10" s="1"/>
  <c r="AH6" i="9"/>
  <c r="AK22" i="13" s="1"/>
  <c r="AK22" i="10" s="1"/>
  <c r="AH35" i="9"/>
  <c r="AH23" i="9"/>
  <c r="AK28" i="13" s="1"/>
  <c r="AK28" i="10" s="1"/>
  <c r="AH11" i="9"/>
  <c r="AH9" i="9"/>
  <c r="AK3" i="8"/>
  <c r="AH30" i="9"/>
  <c r="AK8" i="8"/>
  <c r="AK6" i="10"/>
  <c r="AH24" i="9"/>
  <c r="J2" i="2"/>
  <c r="AF18" i="9"/>
  <c r="AN2" i="11"/>
  <c r="AL2" i="8"/>
  <c r="AM33" i="12"/>
  <c r="AM37" i="9" s="1"/>
  <c r="AL37" i="9"/>
  <c r="AI25" i="13"/>
  <c r="AI25" i="10" s="1"/>
  <c r="AF29" i="9"/>
  <c r="AF36" i="9" s="1"/>
  <c r="AP10" i="11"/>
  <c r="AN12" i="8"/>
  <c r="AI2" i="13"/>
  <c r="AI2" i="10" s="1"/>
  <c r="AI20" i="8"/>
  <c r="H40" i="3"/>
  <c r="AJ25" i="13" l="1"/>
  <c r="AJ25" i="10" s="1"/>
  <c r="AG29" i="9"/>
  <c r="AG36" i="9" s="1"/>
  <c r="J3" i="4"/>
  <c r="AK19" i="13"/>
  <c r="AK19" i="10" s="1"/>
  <c r="AH19" i="9"/>
  <c r="AH5" i="9"/>
  <c r="AK21" i="13" s="1"/>
  <c r="AK21" i="10" s="1"/>
  <c r="AQ11" i="11"/>
  <c r="AP13" i="8" s="1"/>
  <c r="AO13" i="8"/>
  <c r="K10" i="2" s="1"/>
  <c r="AK37" i="12"/>
  <c r="AJ41" i="9"/>
  <c r="AH9" i="12"/>
  <c r="AG10" i="9"/>
  <c r="AL34" i="12"/>
  <c r="AK38" i="9"/>
  <c r="J37" i="3"/>
  <c r="AG8" i="9"/>
  <c r="AQ10" i="11"/>
  <c r="AP12" i="8" s="1"/>
  <c r="AO12" i="8"/>
  <c r="K9" i="2" s="1"/>
  <c r="AK14" i="12"/>
  <c r="AJ15" i="9"/>
  <c r="AL2" i="12"/>
  <c r="AK2" i="9"/>
  <c r="AH36" i="12"/>
  <c r="AG40" i="9"/>
  <c r="AI34" i="9"/>
  <c r="I34" i="3" s="1"/>
  <c r="AI28" i="9"/>
  <c r="AI16" i="9"/>
  <c r="I12" i="3" s="1"/>
  <c r="AI4" i="9"/>
  <c r="AL11" i="10"/>
  <c r="J9" i="4" s="1"/>
  <c r="AI31" i="9"/>
  <c r="I31" i="3" s="1"/>
  <c r="AI25" i="9"/>
  <c r="I25" i="3" s="1"/>
  <c r="AI7" i="9"/>
  <c r="I7" i="3" s="1"/>
  <c r="AI17" i="9"/>
  <c r="AI14" i="9"/>
  <c r="I15" i="3" s="1"/>
  <c r="AI6" i="9"/>
  <c r="AI35" i="9"/>
  <c r="I35" i="3" s="1"/>
  <c r="AI26" i="9"/>
  <c r="I26" i="3" s="1"/>
  <c r="AI23" i="9"/>
  <c r="AL36" i="10"/>
  <c r="AI30" i="9"/>
  <c r="I30" i="3" s="1"/>
  <c r="AL8" i="8"/>
  <c r="J5" i="2" s="1"/>
  <c r="AL6" i="10"/>
  <c r="AI24" i="9"/>
  <c r="I24" i="3" s="1"/>
  <c r="AI21" i="9"/>
  <c r="AI27" i="9"/>
  <c r="I27" i="3" s="1"/>
  <c r="AI11" i="9"/>
  <c r="I11" i="3" s="1"/>
  <c r="AL4" i="8"/>
  <c r="AI20" i="9"/>
  <c r="AL7" i="8"/>
  <c r="AI9" i="9"/>
  <c r="I9" i="3" s="1"/>
  <c r="AL6" i="8"/>
  <c r="AL5" i="8"/>
  <c r="AL3" i="8"/>
  <c r="AI3" i="9"/>
  <c r="AL29" i="12"/>
  <c r="AK32" i="9"/>
  <c r="AP15" i="11"/>
  <c r="AN19" i="8"/>
  <c r="AJ2" i="13"/>
  <c r="AJ2" i="10" s="1"/>
  <c r="AJ20" i="8"/>
  <c r="AK16" i="8"/>
  <c r="AK17" i="8" s="1"/>
  <c r="AF38" i="12"/>
  <c r="AE42" i="9"/>
  <c r="I2" i="4"/>
  <c r="I30" i="4" s="1"/>
  <c r="I50" i="4" s="1"/>
  <c r="AO14" i="11"/>
  <c r="AN18" i="8" s="1"/>
  <c r="AN52" i="10"/>
  <c r="AK18" i="13"/>
  <c r="AK18" i="10" s="1"/>
  <c r="AO2" i="11"/>
  <c r="AM2" i="8"/>
  <c r="AI34" i="10"/>
  <c r="AI54" i="10" s="1"/>
  <c r="J3" i="2"/>
  <c r="J4" i="2" s="1"/>
  <c r="J7" i="2" s="1"/>
  <c r="J11" i="2" s="1"/>
  <c r="AP44" i="13"/>
  <c r="AP46" i="10" s="1"/>
  <c r="AO46" i="10"/>
  <c r="AK2" i="13" l="1"/>
  <c r="AK2" i="10" s="1"/>
  <c r="AK20" i="8"/>
  <c r="AL41" i="10"/>
  <c r="J32" i="4"/>
  <c r="J37" i="4" s="1"/>
  <c r="AL30" i="13"/>
  <c r="AL30" i="10" s="1"/>
  <c r="J26" i="4" s="1"/>
  <c r="I28" i="3"/>
  <c r="AL26" i="13"/>
  <c r="AL26" i="10" s="1"/>
  <c r="J22" i="4" s="1"/>
  <c r="I20" i="3"/>
  <c r="AL37" i="12"/>
  <c r="AK41" i="9"/>
  <c r="AL10" i="8"/>
  <c r="AL15" i="8" s="1"/>
  <c r="AL22" i="13"/>
  <c r="AL22" i="10" s="1"/>
  <c r="J19" i="4" s="1"/>
  <c r="I6" i="3"/>
  <c r="AI36" i="12"/>
  <c r="AH40" i="9"/>
  <c r="AH10" i="9"/>
  <c r="AI9" i="12"/>
  <c r="AJ34" i="10"/>
  <c r="AJ54" i="10" s="1"/>
  <c r="AP2" i="11"/>
  <c r="AN2" i="8"/>
  <c r="AL14" i="12"/>
  <c r="AK15" i="9"/>
  <c r="AM36" i="10"/>
  <c r="AM11" i="10"/>
  <c r="AJ27" i="9"/>
  <c r="AJ21" i="9"/>
  <c r="AM27" i="13" s="1"/>
  <c r="AM27" i="10" s="1"/>
  <c r="AJ9" i="9"/>
  <c r="AJ3" i="9"/>
  <c r="AJ26" i="9"/>
  <c r="AJ20" i="9"/>
  <c r="AM26" i="13" s="1"/>
  <c r="AM26" i="10" s="1"/>
  <c r="AJ14" i="9"/>
  <c r="AJ31" i="9"/>
  <c r="AJ25" i="9"/>
  <c r="AJ7" i="9"/>
  <c r="AJ30" i="9"/>
  <c r="AJ24" i="9"/>
  <c r="AJ6" i="9"/>
  <c r="AM22" i="13" s="1"/>
  <c r="AM22" i="10" s="1"/>
  <c r="AJ35" i="9"/>
  <c r="AJ23" i="9"/>
  <c r="AM28" i="13" s="1"/>
  <c r="AM28" i="10" s="1"/>
  <c r="AJ11" i="9"/>
  <c r="AM3" i="8"/>
  <c r="AM4" i="8" s="1"/>
  <c r="AM10" i="8" s="1"/>
  <c r="AM15" i="8" s="1"/>
  <c r="AJ34" i="9"/>
  <c r="AJ16" i="9"/>
  <c r="AM8" i="8"/>
  <c r="AM6" i="10"/>
  <c r="AJ28" i="9"/>
  <c r="AM30" i="13" s="1"/>
  <c r="AM30" i="10" s="1"/>
  <c r="AM7" i="8"/>
  <c r="AM6" i="8"/>
  <c r="AM5" i="8"/>
  <c r="AJ17" i="9"/>
  <c r="AM24" i="13" s="1"/>
  <c r="AM24" i="10" s="1"/>
  <c r="AJ4" i="9"/>
  <c r="AL24" i="13"/>
  <c r="AL24" i="10" s="1"/>
  <c r="J20" i="4" s="1"/>
  <c r="I17" i="3"/>
  <c r="AL2" i="9"/>
  <c r="AM2" i="12"/>
  <c r="AM2" i="9" s="1"/>
  <c r="AK25" i="13"/>
  <c r="AK25" i="10" s="1"/>
  <c r="AH29" i="9"/>
  <c r="AH36" i="9" s="1"/>
  <c r="AM29" i="12"/>
  <c r="AM32" i="9" s="1"/>
  <c r="J32" i="3" s="1"/>
  <c r="AL32" i="9"/>
  <c r="AL28" i="13"/>
  <c r="AL28" i="10" s="1"/>
  <c r="J24" i="4" s="1"/>
  <c r="I23" i="3"/>
  <c r="AG18" i="9"/>
  <c r="AL27" i="13"/>
  <c r="AL27" i="10" s="1"/>
  <c r="J23" i="4" s="1"/>
  <c r="I21" i="3"/>
  <c r="AP14" i="11"/>
  <c r="AO18" i="8" s="1"/>
  <c r="K14" i="2" s="1"/>
  <c r="AO52" i="10"/>
  <c r="K42" i="4"/>
  <c r="K48" i="4" s="1"/>
  <c r="AL19" i="13"/>
  <c r="AL19" i="10" s="1"/>
  <c r="I3" i="3"/>
  <c r="AI8" i="9"/>
  <c r="AH8" i="9"/>
  <c r="AH18" i="9" s="1"/>
  <c r="AQ15" i="11"/>
  <c r="AP19" i="8" s="1"/>
  <c r="AO19" i="8"/>
  <c r="K15" i="2" s="1"/>
  <c r="AQ14" i="11"/>
  <c r="AP18" i="8" s="1"/>
  <c r="AP52" i="10"/>
  <c r="H42" i="3"/>
  <c r="H43" i="3" s="1"/>
  <c r="H44" i="3" s="1"/>
  <c r="AE43" i="9"/>
  <c r="AE44" i="9" s="1"/>
  <c r="AI19" i="9"/>
  <c r="AI5" i="9"/>
  <c r="AM34" i="12"/>
  <c r="AM38" i="9" s="1"/>
  <c r="AL38" i="9"/>
  <c r="J16" i="4"/>
  <c r="AG38" i="12"/>
  <c r="AF42" i="9"/>
  <c r="AF43" i="9" s="1"/>
  <c r="AF44" i="9" s="1"/>
  <c r="AL18" i="13"/>
  <c r="AL18" i="10" s="1"/>
  <c r="J15" i="4" s="1"/>
  <c r="I4" i="3"/>
  <c r="AM17" i="8" l="1"/>
  <c r="AM16" i="8"/>
  <c r="AL21" i="13"/>
  <c r="AL21" i="10" s="1"/>
  <c r="J18" i="4" s="1"/>
  <c r="I5" i="3"/>
  <c r="I8" i="3" s="1"/>
  <c r="I18" i="3" s="1"/>
  <c r="AJ36" i="12"/>
  <c r="AI40" i="9"/>
  <c r="AM19" i="13"/>
  <c r="AM19" i="10" s="1"/>
  <c r="AJ9" i="12"/>
  <c r="AI10" i="9"/>
  <c r="I10" i="3" s="1"/>
  <c r="J2" i="3"/>
  <c r="AM41" i="10"/>
  <c r="AL16" i="8"/>
  <c r="J12" i="2" s="1"/>
  <c r="J13" i="2" s="1"/>
  <c r="J16" i="2" s="1"/>
  <c r="AL17" i="8"/>
  <c r="AK34" i="10"/>
  <c r="AK54" i="10" s="1"/>
  <c r="J38" i="3"/>
  <c r="AL25" i="13"/>
  <c r="AL25" i="10" s="1"/>
  <c r="J21" i="4" s="1"/>
  <c r="I19" i="3"/>
  <c r="I29" i="3" s="1"/>
  <c r="I36" i="3" s="1"/>
  <c r="AI29" i="9"/>
  <c r="AI36" i="9" s="1"/>
  <c r="AM14" i="12"/>
  <c r="AM15" i="9" s="1"/>
  <c r="J16" i="3" s="1"/>
  <c r="AL15" i="9"/>
  <c r="AM37" i="12"/>
  <c r="AM41" i="9" s="1"/>
  <c r="J41" i="3" s="1"/>
  <c r="AL41" i="9"/>
  <c r="AM18" i="13"/>
  <c r="AM18" i="10" s="1"/>
  <c r="AI18" i="9"/>
  <c r="AJ19" i="9"/>
  <c r="AJ5" i="9"/>
  <c r="AM21" i="13" s="1"/>
  <c r="AM21" i="10" s="1"/>
  <c r="AN36" i="10"/>
  <c r="AN41" i="10" s="1"/>
  <c r="AN11" i="10"/>
  <c r="AK27" i="9"/>
  <c r="AK21" i="9"/>
  <c r="AN27" i="13" s="1"/>
  <c r="AN27" i="10" s="1"/>
  <c r="AK9" i="9"/>
  <c r="AK3" i="9"/>
  <c r="AK30" i="9"/>
  <c r="AK24" i="9"/>
  <c r="AK6" i="9"/>
  <c r="AN22" i="13" s="1"/>
  <c r="AN22" i="10" s="1"/>
  <c r="AK26" i="9"/>
  <c r="AK31" i="9"/>
  <c r="AK11" i="9"/>
  <c r="AK25" i="9"/>
  <c r="AK4" i="9"/>
  <c r="AK34" i="9"/>
  <c r="AK16" i="9"/>
  <c r="AN6" i="10"/>
  <c r="AK28" i="9"/>
  <c r="AN30" i="13" s="1"/>
  <c r="AN30" i="10" s="1"/>
  <c r="AK7" i="9"/>
  <c r="AK35" i="9"/>
  <c r="AK14" i="9"/>
  <c r="AN3" i="8"/>
  <c r="AN4" i="8" s="1"/>
  <c r="AN10" i="8" s="1"/>
  <c r="AN15" i="8" s="1"/>
  <c r="AK20" i="9"/>
  <c r="AN26" i="13" s="1"/>
  <c r="AN26" i="10" s="1"/>
  <c r="AN7" i="8"/>
  <c r="AK17" i="9"/>
  <c r="AN24" i="13" s="1"/>
  <c r="AN24" i="10" s="1"/>
  <c r="AN6" i="8"/>
  <c r="AK23" i="9"/>
  <c r="AN28" i="13" s="1"/>
  <c r="AN28" i="10" s="1"/>
  <c r="AN8" i="8"/>
  <c r="AN5" i="8"/>
  <c r="AH38" i="12"/>
  <c r="AG42" i="9"/>
  <c r="AG43" i="9" s="1"/>
  <c r="AG44" i="9" s="1"/>
  <c r="AQ2" i="11"/>
  <c r="AP2" i="8" s="1"/>
  <c r="AO2" i="8"/>
  <c r="AN17" i="8" l="1"/>
  <c r="AN16" i="8"/>
  <c r="K32" i="4"/>
  <c r="K37" i="4" s="1"/>
  <c r="AL2" i="13"/>
  <c r="AL2" i="10" s="1"/>
  <c r="AL20" i="8"/>
  <c r="AN19" i="13"/>
  <c r="AN19" i="10" s="1"/>
  <c r="AK9" i="12"/>
  <c r="AJ10" i="9"/>
  <c r="AO36" i="10"/>
  <c r="AO41" i="10" s="1"/>
  <c r="AL26" i="9"/>
  <c r="AL20" i="9"/>
  <c r="AO26" i="13" s="1"/>
  <c r="AO26" i="10" s="1"/>
  <c r="AL14" i="9"/>
  <c r="AL31" i="9"/>
  <c r="AL25" i="9"/>
  <c r="AL30" i="9"/>
  <c r="AL24" i="9"/>
  <c r="AL6" i="9"/>
  <c r="AO22" i="13" s="1"/>
  <c r="AO22" i="10" s="1"/>
  <c r="AO6" i="10"/>
  <c r="K3" i="4" s="1"/>
  <c r="AL35" i="9"/>
  <c r="AL23" i="9"/>
  <c r="AO28" i="13" s="1"/>
  <c r="AO28" i="10" s="1"/>
  <c r="AL17" i="9"/>
  <c r="AO24" i="13" s="1"/>
  <c r="AO24" i="10" s="1"/>
  <c r="AL11" i="9"/>
  <c r="AO3" i="8"/>
  <c r="AL4" i="9"/>
  <c r="AO18" i="13" s="1"/>
  <c r="AO18" i="10" s="1"/>
  <c r="AL34" i="9"/>
  <c r="AL16" i="9"/>
  <c r="AL9" i="9"/>
  <c r="AO8" i="8"/>
  <c r="AL28" i="9"/>
  <c r="AO30" i="13" s="1"/>
  <c r="AO30" i="10" s="1"/>
  <c r="AL21" i="9"/>
  <c r="AO27" i="13" s="1"/>
  <c r="AO27" i="10" s="1"/>
  <c r="AL7" i="9"/>
  <c r="AO11" i="10"/>
  <c r="AO7" i="8"/>
  <c r="AO6" i="8"/>
  <c r="AL3" i="9"/>
  <c r="AO5" i="8"/>
  <c r="AO4" i="8"/>
  <c r="AO10" i="8" s="1"/>
  <c r="AO15" i="8" s="1"/>
  <c r="AL27" i="9"/>
  <c r="K2" i="2"/>
  <c r="AI38" i="12"/>
  <c r="AH42" i="9"/>
  <c r="AH43" i="9" s="1"/>
  <c r="AH44" i="9" s="1"/>
  <c r="AJ8" i="9"/>
  <c r="AJ18" i="9" s="1"/>
  <c r="AP36" i="10"/>
  <c r="AP41" i="10" s="1"/>
  <c r="AP11" i="10"/>
  <c r="AM26" i="9"/>
  <c r="J26" i="3" s="1"/>
  <c r="AM20" i="9"/>
  <c r="AM14" i="9"/>
  <c r="J15" i="3" s="1"/>
  <c r="AP6" i="10"/>
  <c r="AM35" i="9"/>
  <c r="J35" i="3" s="1"/>
  <c r="AM23" i="9"/>
  <c r="AM17" i="9"/>
  <c r="AM11" i="9"/>
  <c r="J11" i="3" s="1"/>
  <c r="AM31" i="9"/>
  <c r="J31" i="3" s="1"/>
  <c r="AP3" i="8"/>
  <c r="AM4" i="9"/>
  <c r="AM34" i="9"/>
  <c r="J34" i="3" s="1"/>
  <c r="AM25" i="9"/>
  <c r="J25" i="3" s="1"/>
  <c r="AM16" i="9"/>
  <c r="J12" i="3" s="1"/>
  <c r="AM9" i="9"/>
  <c r="J9" i="3" s="1"/>
  <c r="AM28" i="9"/>
  <c r="AM30" i="9"/>
  <c r="J30" i="3" s="1"/>
  <c r="AM21" i="9"/>
  <c r="AM7" i="9"/>
  <c r="J7" i="3" s="1"/>
  <c r="AM24" i="9"/>
  <c r="J24" i="3" s="1"/>
  <c r="AP7" i="8"/>
  <c r="AP6" i="8"/>
  <c r="AP5" i="8"/>
  <c r="AP4" i="8"/>
  <c r="AM27" i="9"/>
  <c r="J27" i="3" s="1"/>
  <c r="AM6" i="9"/>
  <c r="AM3" i="9"/>
  <c r="AP8" i="8"/>
  <c r="AM25" i="13"/>
  <c r="AM25" i="10" s="1"/>
  <c r="AJ29" i="9"/>
  <c r="AJ36" i="9" s="1"/>
  <c r="I40" i="3"/>
  <c r="AK36" i="12"/>
  <c r="AJ40" i="9"/>
  <c r="AK19" i="9"/>
  <c r="AK5" i="9"/>
  <c r="AN21" i="13" s="1"/>
  <c r="AN21" i="10" s="1"/>
  <c r="AM2" i="13"/>
  <c r="AM2" i="10" s="1"/>
  <c r="AM20" i="8"/>
  <c r="AN18" i="13"/>
  <c r="AN18" i="10" s="1"/>
  <c r="K22" i="4" l="1"/>
  <c r="K19" i="4"/>
  <c r="AP19" i="13"/>
  <c r="AP19" i="10" s="1"/>
  <c r="J3" i="3"/>
  <c r="AM8" i="9"/>
  <c r="AL19" i="9"/>
  <c r="AL5" i="9"/>
  <c r="AO21" i="13" s="1"/>
  <c r="AO21" i="10" s="1"/>
  <c r="AP22" i="13"/>
  <c r="AP22" i="10" s="1"/>
  <c r="J6" i="3"/>
  <c r="K9" i="4"/>
  <c r="AO19" i="13"/>
  <c r="AO19" i="10" s="1"/>
  <c r="K16" i="4" s="1"/>
  <c r="AP10" i="8"/>
  <c r="AP15" i="8" s="1"/>
  <c r="AP18" i="13"/>
  <c r="AP18" i="10" s="1"/>
  <c r="K15" i="4" s="1"/>
  <c r="J4" i="3"/>
  <c r="AL9" i="12"/>
  <c r="AK10" i="9"/>
  <c r="AN25" i="13"/>
  <c r="AN25" i="10" s="1"/>
  <c r="AK29" i="9"/>
  <c r="AK36" i="9" s="1"/>
  <c r="AP26" i="13"/>
  <c r="AP26" i="10" s="1"/>
  <c r="J20" i="3"/>
  <c r="K23" i="4"/>
  <c r="AK8" i="9"/>
  <c r="AO16" i="8"/>
  <c r="AO17" i="8"/>
  <c r="AP30" i="13"/>
  <c r="AP30" i="10" s="1"/>
  <c r="K26" i="4" s="1"/>
  <c r="J28" i="3"/>
  <c r="K3" i="2"/>
  <c r="K4" i="2" s="1"/>
  <c r="K7" i="2" s="1"/>
  <c r="K11" i="2" s="1"/>
  <c r="AM5" i="9"/>
  <c r="AM19" i="9"/>
  <c r="AJ38" i="12"/>
  <c r="AI42" i="9"/>
  <c r="K5" i="2"/>
  <c r="AM34" i="10"/>
  <c r="AM54" i="10" s="1"/>
  <c r="AP24" i="13"/>
  <c r="AP24" i="10" s="1"/>
  <c r="K20" i="4" s="1"/>
  <c r="J17" i="3"/>
  <c r="AN2" i="13"/>
  <c r="AN2" i="10" s="1"/>
  <c r="AN34" i="10" s="1"/>
  <c r="AN54" i="10" s="1"/>
  <c r="AN20" i="8"/>
  <c r="AL36" i="12"/>
  <c r="AK40" i="9"/>
  <c r="AP27" i="13"/>
  <c r="AP27" i="10" s="1"/>
  <c r="J21" i="3"/>
  <c r="AP28" i="13"/>
  <c r="AP28" i="10" s="1"/>
  <c r="K24" i="4" s="1"/>
  <c r="J23" i="3"/>
  <c r="AL34" i="10"/>
  <c r="AL54" i="10" s="1"/>
  <c r="J2" i="4"/>
  <c r="J30" i="4" s="1"/>
  <c r="J50" i="4" s="1"/>
  <c r="AM36" i="12" l="1"/>
  <c r="AM40" i="9" s="1"/>
  <c r="AL40" i="9"/>
  <c r="AM18" i="9"/>
  <c r="AP16" i="8"/>
  <c r="AP17" i="8" s="1"/>
  <c r="AL8" i="9"/>
  <c r="AL18" i="9" s="1"/>
  <c r="AO2" i="13"/>
  <c r="AO2" i="10" s="1"/>
  <c r="AO34" i="10" s="1"/>
  <c r="AO54" i="10" s="1"/>
  <c r="AO20" i="8"/>
  <c r="K12" i="2"/>
  <c r="K13" i="2" s="1"/>
  <c r="K16" i="2" s="1"/>
  <c r="I42" i="3"/>
  <c r="I43" i="3" s="1"/>
  <c r="I44" i="3" s="1"/>
  <c r="AI43" i="9"/>
  <c r="AI44" i="9" s="1"/>
  <c r="AK38" i="12"/>
  <c r="AJ42" i="9"/>
  <c r="AJ43" i="9" s="1"/>
  <c r="AJ44" i="9" s="1"/>
  <c r="AO25" i="13"/>
  <c r="AO25" i="10" s="1"/>
  <c r="AL29" i="9"/>
  <c r="AL36" i="9" s="1"/>
  <c r="J8" i="3"/>
  <c r="J18" i="3" s="1"/>
  <c r="AK18" i="9"/>
  <c r="AP25" i="13"/>
  <c r="AP25" i="10" s="1"/>
  <c r="AM29" i="9"/>
  <c r="AM36" i="9" s="1"/>
  <c r="J19" i="3"/>
  <c r="J29" i="3" s="1"/>
  <c r="J36" i="3" s="1"/>
  <c r="AM9" i="12"/>
  <c r="AM10" i="9" s="1"/>
  <c r="J10" i="3" s="1"/>
  <c r="AL10" i="9"/>
  <c r="AP21" i="13"/>
  <c r="AP21" i="10" s="1"/>
  <c r="K18" i="4" s="1"/>
  <c r="J5" i="3"/>
  <c r="AP2" i="13" l="1"/>
  <c r="AP2" i="10" s="1"/>
  <c r="AP34" i="10" s="1"/>
  <c r="AP54" i="10" s="1"/>
  <c r="AP20" i="8"/>
  <c r="K2" i="4"/>
  <c r="K21" i="4"/>
  <c r="J40" i="3"/>
  <c r="AL38" i="12"/>
  <c r="AK42" i="9"/>
  <c r="AK43" i="9" s="1"/>
  <c r="AK44" i="9" s="1"/>
  <c r="AM38" i="12" l="1"/>
  <c r="AM42" i="9" s="1"/>
  <c r="AL42" i="9"/>
  <c r="AL43" i="9" s="1"/>
  <c r="AL44" i="9" s="1"/>
  <c r="K30" i="4"/>
  <c r="K50" i="4" s="1"/>
  <c r="J42" i="3" l="1"/>
  <c r="J43" i="3" s="1"/>
  <c r="J44" i="3" s="1"/>
  <c r="AM43" i="9"/>
  <c r="AM44" i="9" s="1"/>
</calcChain>
</file>

<file path=xl/sharedStrings.xml><?xml version="1.0" encoding="utf-8"?>
<sst xmlns="http://schemas.openxmlformats.org/spreadsheetml/2006/main" count="772" uniqueCount="198">
  <si>
    <t>Assumption</t>
  </si>
  <si>
    <t>Value</t>
  </si>
  <si>
    <t>Note</t>
  </si>
  <si>
    <t>Days in Quarter</t>
  </si>
  <si>
    <t>Used by DSO/DIO/DPO ratios. Approximation; varies 89-92 by quarter.</t>
  </si>
  <si>
    <t>FY2021</t>
  </si>
  <si>
    <t>FY2022</t>
  </si>
  <si>
    <t>FY2023</t>
  </si>
  <si>
    <t>FY2024</t>
  </si>
  <si>
    <t>FY2025</t>
  </si>
  <si>
    <t>FY2026E</t>
  </si>
  <si>
    <t>FY2027E</t>
  </si>
  <si>
    <t>FY2028E</t>
  </si>
  <si>
    <t>FY2029E</t>
  </si>
  <si>
    <t>FY2030E</t>
  </si>
  <si>
    <t>FY2031E</t>
  </si>
  <si>
    <t>Net Sales / Revenue</t>
  </si>
  <si>
    <t>COGS</t>
  </si>
  <si>
    <t>Gross Profit (Loss)</t>
  </si>
  <si>
    <t>SG&amp;A</t>
  </si>
  <si>
    <t>Distributor Termination Fees</t>
  </si>
  <si>
    <t>Income (Loss) from Operations</t>
  </si>
  <si>
    <t>Interest Income (Expense)</t>
  </si>
  <si>
    <t>Foreign Currency Gain (Loss)</t>
  </si>
  <si>
    <t>Other Income (Expense)</t>
  </si>
  <si>
    <t>Pre-Tax Income (Loss)</t>
  </si>
  <si>
    <t>Income Tax (Expense) Benefit</t>
  </si>
  <si>
    <t>Net Income (Loss)</t>
  </si>
  <si>
    <t>Preferred Dividends</t>
  </si>
  <si>
    <t>Income Allocated to Participating Preferred</t>
  </si>
  <si>
    <t>Net Income (Loss) Attributable to Common Shareholders</t>
  </si>
  <si>
    <t>Cash, Cash Equivalents &amp; Restricted Cash</t>
  </si>
  <si>
    <t>Accounts Receivable</t>
  </si>
  <si>
    <t>Note Receivable - Current</t>
  </si>
  <si>
    <t>Inventories</t>
  </si>
  <si>
    <t>Prepaid Expenses</t>
  </si>
  <si>
    <t>Deferred Other Costs - Current</t>
  </si>
  <si>
    <t>Total Current Assets</t>
  </si>
  <si>
    <t>Note Receivable - Non-Current</t>
  </si>
  <si>
    <t>Net PP&amp;E</t>
  </si>
  <si>
    <t>ROU Assets - Operating - Non-Current</t>
  </si>
  <si>
    <t>ROU Assets - Finance - Non-Current</t>
  </si>
  <si>
    <t>Intangible Assets</t>
  </si>
  <si>
    <t>Goodwill</t>
  </si>
  <si>
    <t>Deferred Other Costs - Non-Current</t>
  </si>
  <si>
    <t>Deferred Tax Assets</t>
  </si>
  <si>
    <t>Other Non-Current Assets</t>
  </si>
  <si>
    <t>Total Assets</t>
  </si>
  <si>
    <t>Accounts Payable</t>
  </si>
  <si>
    <t>Accrued Expenses</t>
  </si>
  <si>
    <t>Income Taxes Payable</t>
  </si>
  <si>
    <t>Accrued Distributor Termination Fees</t>
  </si>
  <si>
    <t>Accrued Promotional Allowance</t>
  </si>
  <si>
    <t>Lease Liability - Operating - Current</t>
  </si>
  <si>
    <t>Lease Liability - Finance - Current</t>
  </si>
  <si>
    <t>Contingent Consideration - Current</t>
  </si>
  <si>
    <t>Deferred Revenue - Current</t>
  </si>
  <si>
    <t>Other Current Liabilities</t>
  </si>
  <si>
    <t>Total Current Liabilities</t>
  </si>
  <si>
    <t>Lease Liability - Operating - Non-Current</t>
  </si>
  <si>
    <t>Lease Liability - Finance - Non-Current</t>
  </si>
  <si>
    <t>Deferred Tax Liability</t>
  </si>
  <si>
    <t>Long-Term Debt</t>
  </si>
  <si>
    <t>Deferred Revenue - Non-Current</t>
  </si>
  <si>
    <t>Other Non-Current Liabilities</t>
  </si>
  <si>
    <t>Total Liabilities</t>
  </si>
  <si>
    <t>Convertible Preferred Stock</t>
  </si>
  <si>
    <t>Common Stock</t>
  </si>
  <si>
    <t>Treasury Stock</t>
  </si>
  <si>
    <t>Additional Paid-in Capital</t>
  </si>
  <si>
    <t>Accumulated Other Comprehensive Income (Loss)</t>
  </si>
  <si>
    <t>Retained Earnings (Accumulated Deficit)</t>
  </si>
  <si>
    <t>Total Stockholders' Equity</t>
  </si>
  <si>
    <t>Total Liabilities, Mezzanine &amp; Stockholders' Equity</t>
  </si>
  <si>
    <t>Depreciation &amp; Amortization</t>
  </si>
  <si>
    <t>Impairment of Intangibles</t>
  </si>
  <si>
    <t>Allowance for Credit Losses</t>
  </si>
  <si>
    <t>Amortization of Deferred Other Costs</t>
  </si>
  <si>
    <t>Inventory Write-Down</t>
  </si>
  <si>
    <t>Gain (Loss) on Disposal of PP&amp;E</t>
  </si>
  <si>
    <t>Stock-Based Compensation</t>
  </si>
  <si>
    <t>(Benefit) Provision for Deferred Income Taxes</t>
  </si>
  <si>
    <t>Gain (Loss) on Lease Cancellations</t>
  </si>
  <si>
    <t>Change in Fair Value of Contingent Consideration</t>
  </si>
  <si>
    <t>Gain (Loss) on Extinguishment of Debt</t>
  </si>
  <si>
    <t>Other Operating Items</t>
  </si>
  <si>
    <t>Note Receivable</t>
  </si>
  <si>
    <t>Change in Income Taxes</t>
  </si>
  <si>
    <t>Accrued Distributor Termination</t>
  </si>
  <si>
    <t>ROU &amp; Lease Liability, Net</t>
  </si>
  <si>
    <t>Deferred Revenue</t>
  </si>
  <si>
    <t>Net Change in Other Working Capital</t>
  </si>
  <si>
    <t>Cash Flow from Operations</t>
  </si>
  <si>
    <t>Collections from Note Receivable</t>
  </si>
  <si>
    <t>Purchase of PP&amp;E</t>
  </si>
  <si>
    <t>Purchase of Non-Marketable Equity Securities</t>
  </si>
  <si>
    <t>Acquisition of Big Beverages</t>
  </si>
  <si>
    <t>Acquisitions, Net of Cash Acquired</t>
  </si>
  <si>
    <t>Working Capital Estimate from Pepsi (Rockstar)</t>
  </si>
  <si>
    <t>Cash Flow from Investing</t>
  </si>
  <si>
    <t>Finance Lease Payments</t>
  </si>
  <si>
    <t>Proceeds from Exercise of Stock Options</t>
  </si>
  <si>
    <t>Proceeds from Issuance of Common Stock</t>
  </si>
  <si>
    <t>Proceeds from Issuance of Preferred Stock</t>
  </si>
  <si>
    <t>Share Repurchases</t>
  </si>
  <si>
    <t>Proceeds from Issuance of Long-Term Debt</t>
  </si>
  <si>
    <t>Repayments of Long-Term Debt</t>
  </si>
  <si>
    <t>Debt Issuance Fees</t>
  </si>
  <si>
    <t>Other Financing Activities</t>
  </si>
  <si>
    <t>Cash Flow from Financing</t>
  </si>
  <si>
    <t>FX Effect on Cash</t>
  </si>
  <si>
    <t>Net Change in Cash</t>
  </si>
  <si>
    <t>Q2 FY2020</t>
  </si>
  <si>
    <t>Q3 FY2020</t>
  </si>
  <si>
    <t>Q1 FY2021</t>
  </si>
  <si>
    <t>Q2 FY2021</t>
  </si>
  <si>
    <t>Q3 FY2021</t>
  </si>
  <si>
    <t>Q1 FY2022</t>
  </si>
  <si>
    <t>Q2 FY2022</t>
  </si>
  <si>
    <t>Q3 FY2022</t>
  </si>
  <si>
    <t>Q1 FY2023</t>
  </si>
  <si>
    <t>Q2 FY2023</t>
  </si>
  <si>
    <t>Q3 FY2023</t>
  </si>
  <si>
    <t>Q1 FY2024</t>
  </si>
  <si>
    <t>Q2 FY2024</t>
  </si>
  <si>
    <t>Q3 FY2024</t>
  </si>
  <si>
    <t>Q1 FY2025</t>
  </si>
  <si>
    <t>Q2 FY2025</t>
  </si>
  <si>
    <t>Q3 FY2025</t>
  </si>
  <si>
    <t>Sales and Marketing</t>
  </si>
  <si>
    <t>General and Administrative</t>
  </si>
  <si>
    <t>Operating Expenses</t>
  </si>
  <si>
    <t>Q4 FY2020</t>
  </si>
  <si>
    <t>Q4 FY2021</t>
  </si>
  <si>
    <t>Q4 FY2022</t>
  </si>
  <si>
    <t>Q4 FY2023</t>
  </si>
  <si>
    <t>Q4 FY2024</t>
  </si>
  <si>
    <t>Depreciation</t>
  </si>
  <si>
    <t>Amortization</t>
  </si>
  <si>
    <t>Gain on China Transaction</t>
  </si>
  <si>
    <t>Change in A/P and Accrued (legacy)</t>
  </si>
  <si>
    <t>Q4 FY2025</t>
  </si>
  <si>
    <t>Q1 FY2026E</t>
  </si>
  <si>
    <t>Q2 FY2026E</t>
  </si>
  <si>
    <t>Q3 FY2026E</t>
  </si>
  <si>
    <t>Q4 FY2026E</t>
  </si>
  <si>
    <t>Q1 FY2027E</t>
  </si>
  <si>
    <t>Q2 FY2027E</t>
  </si>
  <si>
    <t>Q3 FY2027E</t>
  </si>
  <si>
    <t>Q4 FY2027E</t>
  </si>
  <si>
    <t>Q1 FY2028E</t>
  </si>
  <si>
    <t>Q2 FY2028E</t>
  </si>
  <si>
    <t>Q3 FY2028E</t>
  </si>
  <si>
    <t>Q4 FY2028E</t>
  </si>
  <si>
    <t>Q1 FY2029E</t>
  </si>
  <si>
    <t>Q2 FY2029E</t>
  </si>
  <si>
    <t>Q3 FY2029E</t>
  </si>
  <si>
    <t>Q4 FY2029E</t>
  </si>
  <si>
    <t>Q1 FY2030E</t>
  </si>
  <si>
    <t>Q2 FY2030E</t>
  </si>
  <si>
    <t>Q3 FY2030E</t>
  </si>
  <si>
    <t>Q4 FY2030E</t>
  </si>
  <si>
    <t>Driver</t>
  </si>
  <si>
    <t>Basis</t>
  </si>
  <si>
    <t>Net Sales / Revenue — Growth %</t>
  </si>
  <si>
    <t>QoQ</t>
  </si>
  <si>
    <t>COGS — % of Revenue</t>
  </si>
  <si>
    <t>Sales and Marketing — % of Revenue</t>
  </si>
  <si>
    <t>General and Administrative — % of Revenue</t>
  </si>
  <si>
    <t>Operating Expenses — % of Revenue</t>
  </si>
  <si>
    <t>SG&amp;A — % of Revenue</t>
  </si>
  <si>
    <t>Income Tax (Expense) Benefit — Effective Tax Rate %</t>
  </si>
  <si>
    <t>Accounts Receivable — DSO (days)</t>
  </si>
  <si>
    <t>Note Receivable - Current — DSO (days)</t>
  </si>
  <si>
    <t>Inventories — DIO (days)</t>
  </si>
  <si>
    <t>Prepaid Expenses — % of Revenue</t>
  </si>
  <si>
    <t>Deferred Other Costs - Current — % of Revenue</t>
  </si>
  <si>
    <t>Note Receivable - Non-Current — % of Revenue</t>
  </si>
  <si>
    <t>ROU Assets - Operating - Non-Current — % of Revenue</t>
  </si>
  <si>
    <t>Deferred Other Costs - Non-Current — % of Revenue</t>
  </si>
  <si>
    <t>ROU Assets - Finance - Non-Current — % of Revenue</t>
  </si>
  <si>
    <t>Other Non-Current Assets — % of Revenue</t>
  </si>
  <si>
    <t>Accounts Payable — DPO (days)</t>
  </si>
  <si>
    <t>Accrued Expenses — % of Revenue</t>
  </si>
  <si>
    <t>Income Taxes Payable — % of Revenue</t>
  </si>
  <si>
    <t>Accrued Promotional Allowance — % of Revenue</t>
  </si>
  <si>
    <t>Lease Liability - Operating - Current — % of Revenue</t>
  </si>
  <si>
    <t>Lease Liability - Finance - Current — % of Revenue</t>
  </si>
  <si>
    <t>Contingent Consideration - Current — % of Revenue</t>
  </si>
  <si>
    <t>Deferred Revenue - Current — % of Revenue</t>
  </si>
  <si>
    <t>Other Current Liabilities — % of Revenue</t>
  </si>
  <si>
    <t>Lease Liability - Operating - Non-Current — % of Revenue</t>
  </si>
  <si>
    <t>Lease Liability - Finance - Non-Current — % of Revenue</t>
  </si>
  <si>
    <t>Deferred Revenue - Non-Current — % of Revenue</t>
  </si>
  <si>
    <t>Other Non-Current Liabilities — % of Revenue</t>
  </si>
  <si>
    <t>Depreciation &amp; Amortization — % of Revenue</t>
  </si>
  <si>
    <t>Stock-Based Compensation — % of Revenue</t>
  </si>
  <si>
    <t>Purchase of PP&amp;E — %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</si>
</sst>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&quot;--&quot;"/>
    <numFmt numFmtId="165" formatCode="\$#,##0_);\(\$#,##0\);&quot;$--&quot;_)"/>
    <numFmt numFmtId="166" formatCode="0.0%;\(0.0%\);&quot;--&quot;"/>
    <numFmt numFmtId="167" formatCode="0.0_);\(0.0\)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/>
    <xf numFmtId="164" fontId="0" fillId="0" borderId="0" xfId="0" applyNumberFormat="1"/>
    <xf numFmtId="0" fontId="0" fillId="3" borderId="0" xfId="0" applyFill="1"/>
    <xf numFmtId="165" fontId="2" fillId="0" borderId="1" xfId="0" applyNumberFormat="1" applyFont="1" applyBorder="1"/>
    <xf numFmtId="165" fontId="2" fillId="3" borderId="1" xfId="0" applyNumberFormat="1" applyFont="1" applyFill="1" applyBorder="1"/>
    <xf numFmtId="0" fontId="0" fillId="4" borderId="0" xfId="0" applyFill="1"/>
    <xf numFmtId="164" fontId="0" fillId="3" borderId="0" xfId="0" applyNumberFormat="1" applyFill="1"/>
    <xf numFmtId="0" fontId="0" fillId="4" borderId="0" xfId="0" applyFill="1" applyAlignment="1">
      <alignment horizontal="center"/>
    </xf>
    <xf numFmtId="166" fontId="0" fillId="0" borderId="0" xfId="0" applyNumberFormat="1"/>
    <xf numFmtId="166" fontId="0" fillId="4" borderId="0" xfId="0" applyNumberFormat="1" applyFill="1"/>
    <xf numFmtId="164" fontId="0" fillId="4" borderId="0" xfId="0" applyNumberFormat="1" applyFill="1"/>
    <xf numFmtId="167" fontId="0" fillId="0" borderId="0" xfId="0" applyNumberFormat="1"/>
    <xf numFmtId="167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CE46FF-D8D3-4EC3-A9F5-866DE61B52C3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2" customWidth="1"/>
    <col min="3" max="3" width="60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8">
        <v>91</v>
      </c>
      <c r="C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workbookViewId="0">
      <pane xSplit="1" ySplit="1" topLeftCell="B3" activePane="bottomRight" state="frozen"/>
      <selection pane="topRight"/>
      <selection pane="bottomLeft"/>
      <selection pane="bottomRight" activeCell="L1" sqref="L1"/>
    </sheetView>
  </sheetViews>
  <sheetFormatPr defaultRowHeight="14.4" x14ac:dyDescent="0.3"/>
  <cols>
    <col min="1" max="1" width="42" customWidth="1"/>
    <col min="2" max="12" width="13" customWidth="1"/>
  </cols>
  <sheetData>
    <row r="1" spans="1:12" x14ac:dyDescent="0.3">
      <c r="A1" s="1"/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</row>
    <row r="2" spans="1:12" x14ac:dyDescent="0.3">
      <c r="A2" s="3" t="s">
        <v>16</v>
      </c>
      <c r="B2" s="4">
        <v>314272</v>
      </c>
      <c r="C2" s="4">
        <v>653604</v>
      </c>
      <c r="D2" s="4">
        <v>1318014</v>
      </c>
      <c r="E2" s="4">
        <v>1355630</v>
      </c>
      <c r="F2" s="4">
        <v>2515269</v>
      </c>
      <c r="G2" s="9">
        <f>'QTR P&amp;L'!W2+'QTR P&amp;L'!X2+'QTR P&amp;L'!Y2+'QTR P&amp;L'!Z2</f>
        <v>2852064.4493652182</v>
      </c>
      <c r="H2" s="9">
        <f>'QTR P&amp;L'!AA2+'QTR P&amp;L'!AB2+'QTR P&amp;L'!AC2+'QTR P&amp;L'!AD2</f>
        <v>2797736.727237348</v>
      </c>
      <c r="I2" s="9">
        <f>'QTR P&amp;L'!AE2+'QTR P&amp;L'!AF2+'QTR P&amp;L'!AG2+'QTR P&amp;L'!AH2</f>
        <v>2744443.8700096244</v>
      </c>
      <c r="J2" s="9">
        <f>'QTR P&amp;L'!AI2+'QTR P&amp;L'!AJ2+'QTR P&amp;L'!AK2+'QTR P&amp;L'!AL2</f>
        <v>2692166.1649954189</v>
      </c>
      <c r="K2" s="9">
        <f>'QTR P&amp;L'!AM2+'QTR P&amp;L'!AN2+'QTR P&amp;L'!AO2+'QTR P&amp;L'!AP2</f>
        <v>2640884.2750064046</v>
      </c>
      <c r="L2" s="5"/>
    </row>
    <row r="3" spans="1:12" x14ac:dyDescent="0.3">
      <c r="A3" s="3" t="s">
        <v>17</v>
      </c>
      <c r="B3" s="4">
        <v>-186103</v>
      </c>
      <c r="C3" s="4">
        <v>-382735</v>
      </c>
      <c r="D3" s="4">
        <v>-684875</v>
      </c>
      <c r="E3" s="4">
        <v>-675423</v>
      </c>
      <c r="F3" s="4">
        <v>-1247936</v>
      </c>
      <c r="G3" s="9">
        <f>'QTR P&amp;L'!W3+'QTR P&amp;L'!X3+'QTR P&amp;L'!Y3+'QTR P&amp;L'!Z3</f>
        <v>-1501062.006657185</v>
      </c>
      <c r="H3" s="9">
        <f>'QTR P&amp;L'!AA3+'QTR P&amp;L'!AB3+'QTR P&amp;L'!AC3+'QTR P&amp;L'!AD3</f>
        <v>-1472468.9362542618</v>
      </c>
      <c r="I3" s="9">
        <f>'QTR P&amp;L'!AE3+'QTR P&amp;L'!AF3+'QTR P&amp;L'!AG3+'QTR P&amp;L'!AH3</f>
        <v>-1444420.5226819296</v>
      </c>
      <c r="J3" s="9">
        <f>'QTR P&amp;L'!AI3+'QTR P&amp;L'!AJ3+'QTR P&amp;L'!AK3+'QTR P&amp;L'!AL3</f>
        <v>-1416906.3910116155</v>
      </c>
      <c r="K3" s="9">
        <f>'QTR P&amp;L'!AM3+'QTR P&amp;L'!AN3+'QTR P&amp;L'!AO3+'QTR P&amp;L'!AP3</f>
        <v>-1389916.3639422008</v>
      </c>
      <c r="L3" s="5"/>
    </row>
    <row r="4" spans="1:12" x14ac:dyDescent="0.3">
      <c r="A4" s="3" t="s">
        <v>18</v>
      </c>
      <c r="B4" s="6">
        <f t="shared" ref="B4:L4" si="0">B2+B3</f>
        <v>128169</v>
      </c>
      <c r="C4" s="6">
        <f t="shared" si="0"/>
        <v>270869</v>
      </c>
      <c r="D4" s="6">
        <f t="shared" si="0"/>
        <v>633139</v>
      </c>
      <c r="E4" s="6">
        <f t="shared" si="0"/>
        <v>680207</v>
      </c>
      <c r="F4" s="6">
        <f>F2+F3</f>
        <v>1267333</v>
      </c>
      <c r="G4" s="7">
        <f t="shared" si="0"/>
        <v>1351002.4427080331</v>
      </c>
      <c r="H4" s="7">
        <f t="shared" si="0"/>
        <v>1325267.7909830862</v>
      </c>
      <c r="I4" s="7">
        <f t="shared" si="0"/>
        <v>1300023.3473276948</v>
      </c>
      <c r="J4" s="7">
        <f t="shared" si="0"/>
        <v>1275259.7739838033</v>
      </c>
      <c r="K4" s="7">
        <f t="shared" si="0"/>
        <v>1250967.9110642038</v>
      </c>
      <c r="L4" s="7">
        <f t="shared" si="0"/>
        <v>0</v>
      </c>
    </row>
    <row r="5" spans="1:12" x14ac:dyDescent="0.3">
      <c r="A5" s="3" t="s">
        <v>19</v>
      </c>
      <c r="B5" s="4">
        <v>-132259</v>
      </c>
      <c r="C5" s="4">
        <v>-428670</v>
      </c>
      <c r="D5" s="4">
        <v>-366773</v>
      </c>
      <c r="E5" s="4">
        <v>-524479</v>
      </c>
      <c r="F5" s="4">
        <v>-798810</v>
      </c>
      <c r="G5" s="9">
        <f>'QTR P&amp;L'!W8+'QTR P&amp;L'!X8+'QTR P&amp;L'!Y8+'QTR P&amp;L'!Z8</f>
        <v>-928825.54212110559</v>
      </c>
      <c r="H5" s="9">
        <f>'QTR P&amp;L'!AA8+'QTR P&amp;L'!AB8+'QTR P&amp;L'!AC8+'QTR P&amp;L'!AD8</f>
        <v>-911132.75261599652</v>
      </c>
      <c r="I5" s="9">
        <f>'QTR P&amp;L'!AE8+'QTR P&amp;L'!AF8+'QTR P&amp;L'!AG8+'QTR P&amp;L'!AH8</f>
        <v>-893776.98528165743</v>
      </c>
      <c r="J5" s="9">
        <f>'QTR P&amp;L'!AI8+'QTR P&amp;L'!AJ8+'QTR P&amp;L'!AK8+'QTR P&amp;L'!AL8</f>
        <v>-876751.82033088838</v>
      </c>
      <c r="K5" s="9">
        <f>'QTR P&amp;L'!AM8+'QTR P&amp;L'!AN8+'QTR P&amp;L'!AO8+'QTR P&amp;L'!AP8</f>
        <v>-860050.96026419452</v>
      </c>
      <c r="L5" s="5"/>
    </row>
    <row r="6" spans="1:12" x14ac:dyDescent="0.3">
      <c r="A6" s="3" t="s">
        <v>20</v>
      </c>
      <c r="B6" s="4">
        <v>0</v>
      </c>
      <c r="C6" s="4">
        <v>0</v>
      </c>
      <c r="D6" s="4">
        <v>0</v>
      </c>
      <c r="E6" s="4">
        <v>0</v>
      </c>
      <c r="F6" s="4">
        <v>-327461</v>
      </c>
      <c r="G6" s="9">
        <f>'QTR P&amp;L'!W9+'QTR P&amp;L'!X9+'QTR P&amp;L'!Y9+'QTR P&amp;L'!Z9</f>
        <v>0</v>
      </c>
      <c r="H6" s="9">
        <f>'QTR P&amp;L'!AA9+'QTR P&amp;L'!AB9+'QTR P&amp;L'!AC9+'QTR P&amp;L'!AD9</f>
        <v>0</v>
      </c>
      <c r="I6" s="9">
        <f>'QTR P&amp;L'!AE9+'QTR P&amp;L'!AF9+'QTR P&amp;L'!AG9+'QTR P&amp;L'!AH9</f>
        <v>0</v>
      </c>
      <c r="J6" s="9">
        <f>'QTR P&amp;L'!AI9+'QTR P&amp;L'!AJ9+'QTR P&amp;L'!AK9+'QTR P&amp;L'!AL9</f>
        <v>0</v>
      </c>
      <c r="K6" s="9">
        <f>'QTR P&amp;L'!AM9+'QTR P&amp;L'!AN9+'QTR P&amp;L'!AO9+'QTR P&amp;L'!AP9</f>
        <v>0</v>
      </c>
      <c r="L6" s="5"/>
    </row>
    <row r="7" spans="1:12" x14ac:dyDescent="0.3">
      <c r="A7" s="3" t="s">
        <v>21</v>
      </c>
      <c r="B7" s="6">
        <f t="shared" ref="B7:L7" si="1">B4+SUM(B5:B6)</f>
        <v>-4090</v>
      </c>
      <c r="C7" s="6">
        <f t="shared" si="1"/>
        <v>-157801</v>
      </c>
      <c r="D7" s="6">
        <f t="shared" si="1"/>
        <v>266366</v>
      </c>
      <c r="E7" s="6">
        <f t="shared" si="1"/>
        <v>155728</v>
      </c>
      <c r="F7" s="6">
        <f t="shared" si="1"/>
        <v>141062</v>
      </c>
      <c r="G7" s="7">
        <f t="shared" si="1"/>
        <v>422176.90058692754</v>
      </c>
      <c r="H7" s="7">
        <f t="shared" si="1"/>
        <v>414135.0383670897</v>
      </c>
      <c r="I7" s="7">
        <f t="shared" si="1"/>
        <v>406246.36204603733</v>
      </c>
      <c r="J7" s="7">
        <f t="shared" si="1"/>
        <v>398507.95365291496</v>
      </c>
      <c r="K7" s="7">
        <f t="shared" si="1"/>
        <v>390916.9508000093</v>
      </c>
      <c r="L7" s="7">
        <f t="shared" si="1"/>
        <v>0</v>
      </c>
    </row>
    <row r="8" spans="1:12" x14ac:dyDescent="0.3">
      <c r="A8" s="3" t="s">
        <v>22</v>
      </c>
      <c r="B8" s="4">
        <v>307</v>
      </c>
      <c r="C8" s="4">
        <v>5529</v>
      </c>
      <c r="D8" s="4">
        <v>26629</v>
      </c>
      <c r="E8" s="4">
        <v>39263</v>
      </c>
      <c r="F8" s="4">
        <v>-27892</v>
      </c>
      <c r="G8" s="9">
        <f>'QTR P&amp;L'!W11+'QTR P&amp;L'!X11+'QTR P&amp;L'!Y11+'QTR P&amp;L'!Z11</f>
        <v>-33200</v>
      </c>
      <c r="H8" s="9">
        <f>'QTR P&amp;L'!AA11+'QTR P&amp;L'!AB11+'QTR P&amp;L'!AC11+'QTR P&amp;L'!AD11</f>
        <v>-33200</v>
      </c>
      <c r="I8" s="9">
        <f>'QTR P&amp;L'!AE11+'QTR P&amp;L'!AF11+'QTR P&amp;L'!AG11+'QTR P&amp;L'!AH11</f>
        <v>-33200</v>
      </c>
      <c r="J8" s="9">
        <f>'QTR P&amp;L'!AI11+'QTR P&amp;L'!AJ11+'QTR P&amp;L'!AK11+'QTR P&amp;L'!AL11</f>
        <v>-33200</v>
      </c>
      <c r="K8" s="9">
        <f>'QTR P&amp;L'!AM11+'QTR P&amp;L'!AN11+'QTR P&amp;L'!AO11+'QTR P&amp;L'!AP11</f>
        <v>-33200</v>
      </c>
      <c r="L8" s="5"/>
    </row>
    <row r="9" spans="1:12" x14ac:dyDescent="0.3">
      <c r="A9" s="3" t="s">
        <v>23</v>
      </c>
      <c r="B9" s="4">
        <v>-276</v>
      </c>
      <c r="C9" s="4">
        <v>-392</v>
      </c>
      <c r="D9" s="4">
        <v>-1246</v>
      </c>
      <c r="E9" s="4">
        <v>-1734</v>
      </c>
      <c r="F9" s="4">
        <v>0</v>
      </c>
      <c r="G9" s="9">
        <f>'QTR P&amp;L'!W12+'QTR P&amp;L'!X12+'QTR P&amp;L'!Y12+'QTR P&amp;L'!Z12</f>
        <v>0</v>
      </c>
      <c r="H9" s="9">
        <f>'QTR P&amp;L'!AA12+'QTR P&amp;L'!AB12+'QTR P&amp;L'!AC12+'QTR P&amp;L'!AD12</f>
        <v>0</v>
      </c>
      <c r="I9" s="9">
        <f>'QTR P&amp;L'!AE12+'QTR P&amp;L'!AF12+'QTR P&amp;L'!AG12+'QTR P&amp;L'!AH12</f>
        <v>0</v>
      </c>
      <c r="J9" s="9">
        <f>'QTR P&amp;L'!AI12+'QTR P&amp;L'!AJ12+'QTR P&amp;L'!AK12+'QTR P&amp;L'!AL12</f>
        <v>0</v>
      </c>
      <c r="K9" s="9">
        <f>'QTR P&amp;L'!AM12+'QTR P&amp;L'!AN12+'QTR P&amp;L'!AO12+'QTR P&amp;L'!AP12</f>
        <v>0</v>
      </c>
      <c r="L9" s="5"/>
    </row>
    <row r="10" spans="1:12" x14ac:dyDescent="0.3">
      <c r="A10" s="3" t="s">
        <v>24</v>
      </c>
      <c r="B10" s="4">
        <v>0</v>
      </c>
      <c r="C10" s="4">
        <v>0</v>
      </c>
      <c r="D10" s="4">
        <v>0</v>
      </c>
      <c r="E10" s="4">
        <v>1793</v>
      </c>
      <c r="F10" s="4">
        <v>11863</v>
      </c>
      <c r="G10" s="9">
        <f>'QTR P&amp;L'!W13+'QTR P&amp;L'!X13+'QTR P&amp;L'!Y13+'QTR P&amp;L'!Z13</f>
        <v>19364</v>
      </c>
      <c r="H10" s="9">
        <f>'QTR P&amp;L'!AA13+'QTR P&amp;L'!AB13+'QTR P&amp;L'!AC13+'QTR P&amp;L'!AD13</f>
        <v>19364</v>
      </c>
      <c r="I10" s="9">
        <f>'QTR P&amp;L'!AE13+'QTR P&amp;L'!AF13+'QTR P&amp;L'!AG13+'QTR P&amp;L'!AH13</f>
        <v>19364</v>
      </c>
      <c r="J10" s="9">
        <f>'QTR P&amp;L'!AI13+'QTR P&amp;L'!AJ13+'QTR P&amp;L'!AK13+'QTR P&amp;L'!AL13</f>
        <v>19364</v>
      </c>
      <c r="K10" s="9">
        <f>'QTR P&amp;L'!AM13+'QTR P&amp;L'!AN13+'QTR P&amp;L'!AO13+'QTR P&amp;L'!AP13</f>
        <v>19364</v>
      </c>
      <c r="L10" s="5"/>
    </row>
    <row r="11" spans="1:12" x14ac:dyDescent="0.3">
      <c r="A11" s="3" t="s">
        <v>25</v>
      </c>
      <c r="B11" s="6">
        <f t="shared" ref="B11:L11" si="2">B7+SUM(B8:B10)</f>
        <v>-4059</v>
      </c>
      <c r="C11" s="6">
        <f t="shared" si="2"/>
        <v>-152664</v>
      </c>
      <c r="D11" s="6">
        <f t="shared" si="2"/>
        <v>291749</v>
      </c>
      <c r="E11" s="6">
        <f t="shared" si="2"/>
        <v>195050</v>
      </c>
      <c r="F11" s="6">
        <f t="shared" si="2"/>
        <v>125033</v>
      </c>
      <c r="G11" s="7">
        <f t="shared" si="2"/>
        <v>408340.90058692754</v>
      </c>
      <c r="H11" s="7">
        <f t="shared" si="2"/>
        <v>400299.0383670897</v>
      </c>
      <c r="I11" s="7">
        <f t="shared" si="2"/>
        <v>392410.36204603733</v>
      </c>
      <c r="J11" s="7">
        <f t="shared" si="2"/>
        <v>384671.95365291496</v>
      </c>
      <c r="K11" s="7">
        <f t="shared" si="2"/>
        <v>377080.9508000093</v>
      </c>
      <c r="L11" s="7">
        <f t="shared" si="2"/>
        <v>0</v>
      </c>
    </row>
    <row r="12" spans="1:12" x14ac:dyDescent="0.3">
      <c r="A12" s="3" t="s">
        <v>26</v>
      </c>
      <c r="B12" s="4">
        <v>7996</v>
      </c>
      <c r="C12" s="4">
        <v>-34618</v>
      </c>
      <c r="D12" s="4">
        <v>-64948</v>
      </c>
      <c r="E12" s="4">
        <v>-49976</v>
      </c>
      <c r="F12" s="4">
        <v>-17034</v>
      </c>
      <c r="G12" s="9">
        <f>'QTR P&amp;L'!W16+'QTR P&amp;L'!X16+'QTR P&amp;L'!Y16+'QTR P&amp;L'!Z16</f>
        <v>38529.20202388375</v>
      </c>
      <c r="H12" s="9">
        <f>'QTR P&amp;L'!AA16+'QTR P&amp;L'!AB16+'QTR P&amp;L'!AC16+'QTR P&amp;L'!AD16</f>
        <v>37770.408247235355</v>
      </c>
      <c r="I12" s="9">
        <f>'QTR P&amp;L'!AE16+'QTR P&amp;L'!AF16+'QTR P&amp;L'!AG16+'QTR P&amp;L'!AH16</f>
        <v>37026.068399725671</v>
      </c>
      <c r="J12" s="9">
        <f>'QTR P&amp;L'!AI16+'QTR P&amp;L'!AJ16+'QTR P&amp;L'!AK16+'QTR P&amp;L'!AL16</f>
        <v>36295.907154811437</v>
      </c>
      <c r="K12" s="9">
        <f>'QTR P&amp;L'!AM16+'QTR P&amp;L'!AN16+'QTR P&amp;L'!AO16+'QTR P&amp;L'!AP16</f>
        <v>35579.654430523748</v>
      </c>
      <c r="L12" s="5"/>
    </row>
    <row r="13" spans="1:12" x14ac:dyDescent="0.3">
      <c r="A13" s="3" t="s">
        <v>27</v>
      </c>
      <c r="B13" s="6">
        <f t="shared" ref="B13:L13" si="3">B11+B12</f>
        <v>3937</v>
      </c>
      <c r="C13" s="6">
        <f t="shared" si="3"/>
        <v>-187282</v>
      </c>
      <c r="D13" s="6">
        <f t="shared" si="3"/>
        <v>226801</v>
      </c>
      <c r="E13" s="6">
        <f t="shared" si="3"/>
        <v>145074</v>
      </c>
      <c r="F13" s="6">
        <f t="shared" si="3"/>
        <v>107999</v>
      </c>
      <c r="G13" s="7">
        <f t="shared" si="3"/>
        <v>446870.1026108113</v>
      </c>
      <c r="H13" s="7">
        <f t="shared" si="3"/>
        <v>438069.44661432505</v>
      </c>
      <c r="I13" s="7">
        <f t="shared" si="3"/>
        <v>429436.43044576299</v>
      </c>
      <c r="J13" s="7">
        <f t="shared" si="3"/>
        <v>420967.86080772639</v>
      </c>
      <c r="K13" s="7">
        <f t="shared" si="3"/>
        <v>412660.60523053305</v>
      </c>
      <c r="L13" s="7">
        <f t="shared" si="3"/>
        <v>0</v>
      </c>
    </row>
    <row r="14" spans="1:12" x14ac:dyDescent="0.3">
      <c r="A14" s="3" t="s">
        <v>28</v>
      </c>
      <c r="B14" s="4">
        <v>0</v>
      </c>
      <c r="C14" s="4">
        <v>-11526</v>
      </c>
      <c r="D14" s="4">
        <v>-27462</v>
      </c>
      <c r="E14" s="4">
        <v>-27500</v>
      </c>
      <c r="F14" s="4">
        <v>-37608</v>
      </c>
      <c r="G14" s="9">
        <f>'QTR P&amp;L'!W18+'QTR P&amp;L'!X18+'QTR P&amp;L'!Y18+'QTR P&amp;L'!Z18</f>
        <v>-57228</v>
      </c>
      <c r="H14" s="9">
        <f>'QTR P&amp;L'!AA18+'QTR P&amp;L'!AB18+'QTR P&amp;L'!AC18+'QTR P&amp;L'!AD18</f>
        <v>-57228</v>
      </c>
      <c r="I14" s="9">
        <f>'QTR P&amp;L'!AE18+'QTR P&amp;L'!AF18+'QTR P&amp;L'!AG18+'QTR P&amp;L'!AH18</f>
        <v>-57228</v>
      </c>
      <c r="J14" s="9">
        <f>'QTR P&amp;L'!AI18+'QTR P&amp;L'!AJ18+'QTR P&amp;L'!AK18+'QTR P&amp;L'!AL18</f>
        <v>-57228</v>
      </c>
      <c r="K14" s="9">
        <f>'QTR P&amp;L'!AM18+'QTR P&amp;L'!AN18+'QTR P&amp;L'!AO18+'QTR P&amp;L'!AP18</f>
        <v>-57228</v>
      </c>
      <c r="L14" s="5"/>
    </row>
    <row r="15" spans="1:12" x14ac:dyDescent="0.3">
      <c r="A15" s="3" t="s">
        <v>29</v>
      </c>
      <c r="B15" s="4">
        <v>0</v>
      </c>
      <c r="C15" s="4">
        <v>0</v>
      </c>
      <c r="D15" s="4">
        <v>-17348</v>
      </c>
      <c r="E15" s="4">
        <v>-10117</v>
      </c>
      <c r="F15" s="4">
        <v>-6554</v>
      </c>
      <c r="G15" s="9">
        <f>'QTR P&amp;L'!W19+'QTR P&amp;L'!X19+'QTR P&amp;L'!Y19+'QTR P&amp;L'!Z19</f>
        <v>-5128</v>
      </c>
      <c r="H15" s="9">
        <f>'QTR P&amp;L'!AA19+'QTR P&amp;L'!AB19+'QTR P&amp;L'!AC19+'QTR P&amp;L'!AD19</f>
        <v>-5128</v>
      </c>
      <c r="I15" s="9">
        <f>'QTR P&amp;L'!AE19+'QTR P&amp;L'!AF19+'QTR P&amp;L'!AG19+'QTR P&amp;L'!AH19</f>
        <v>-5128</v>
      </c>
      <c r="J15" s="9">
        <f>'QTR P&amp;L'!AI19+'QTR P&amp;L'!AJ19+'QTR P&amp;L'!AK19+'QTR P&amp;L'!AL19</f>
        <v>-5128</v>
      </c>
      <c r="K15" s="9">
        <f>'QTR P&amp;L'!AM19+'QTR P&amp;L'!AN19+'QTR P&amp;L'!AO19+'QTR P&amp;L'!AP19</f>
        <v>-5128</v>
      </c>
      <c r="L15" s="5"/>
    </row>
    <row r="16" spans="1:12" x14ac:dyDescent="0.3">
      <c r="A16" s="3" t="s">
        <v>30</v>
      </c>
      <c r="B16" s="6">
        <f t="shared" ref="B16:L16" si="4">B13+B14+B15</f>
        <v>3937</v>
      </c>
      <c r="C16" s="6">
        <f t="shared" si="4"/>
        <v>-198808</v>
      </c>
      <c r="D16" s="6">
        <f t="shared" si="4"/>
        <v>181991</v>
      </c>
      <c r="E16" s="6">
        <f t="shared" si="4"/>
        <v>107457</v>
      </c>
      <c r="F16" s="6">
        <f t="shared" si="4"/>
        <v>63837</v>
      </c>
      <c r="G16" s="7">
        <f t="shared" si="4"/>
        <v>384514.1026108113</v>
      </c>
      <c r="H16" s="7">
        <f t="shared" si="4"/>
        <v>375713.44661432505</v>
      </c>
      <c r="I16" s="7">
        <f t="shared" si="4"/>
        <v>367080.43044576299</v>
      </c>
      <c r="J16" s="7">
        <f t="shared" si="4"/>
        <v>358611.86080772639</v>
      </c>
      <c r="K16" s="7">
        <f t="shared" si="4"/>
        <v>350304.60523053305</v>
      </c>
      <c r="L16" s="7">
        <f t="shared" si="4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4"/>
  <sheetViews>
    <sheetView workbookViewId="0">
      <pane xSplit="1" ySplit="1" topLeftCell="B2" activePane="bottomRight" state="frozen"/>
      <selection pane="topRight"/>
      <selection pane="bottomLeft"/>
      <selection pane="bottomRight" activeCell="E4" sqref="E4"/>
    </sheetView>
  </sheetViews>
  <sheetFormatPr defaultRowHeight="14.4" x14ac:dyDescent="0.3"/>
  <cols>
    <col min="1" max="1" width="42" customWidth="1"/>
    <col min="2" max="11" width="13" customWidth="1"/>
  </cols>
  <sheetData>
    <row r="1" spans="1:11" x14ac:dyDescent="0.3">
      <c r="A1" s="1"/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</row>
    <row r="2" spans="1:11" x14ac:dyDescent="0.3">
      <c r="A2" s="3" t="s">
        <v>31</v>
      </c>
      <c r="B2" s="4">
        <v>652927</v>
      </c>
      <c r="C2" s="4">
        <v>755981</v>
      </c>
      <c r="D2" s="4">
        <v>890190</v>
      </c>
      <c r="E2" s="4">
        <v>539987</v>
      </c>
      <c r="F2" s="9">
        <f>'QTR BS'!W2</f>
        <v>539987</v>
      </c>
      <c r="G2" s="9">
        <f>'QTR BS'!AA2</f>
        <v>539987</v>
      </c>
      <c r="H2" s="9">
        <f>'QTR BS'!AE2</f>
        <v>539987</v>
      </c>
      <c r="I2" s="9">
        <f>'QTR BS'!AI2</f>
        <v>539987</v>
      </c>
      <c r="J2" s="9">
        <f>'QTR BS'!AM2</f>
        <v>539987</v>
      </c>
      <c r="K2" s="5"/>
    </row>
    <row r="3" spans="1:11" x14ac:dyDescent="0.3">
      <c r="A3" s="3" t="s">
        <v>32</v>
      </c>
      <c r="B3" s="4">
        <v>63311</v>
      </c>
      <c r="C3" s="4">
        <v>183703</v>
      </c>
      <c r="D3" s="4">
        <v>270342</v>
      </c>
      <c r="E3" s="4">
        <v>755499</v>
      </c>
      <c r="F3" s="9">
        <f>'QTR BS'!W3</f>
        <v>741107.83161352854</v>
      </c>
      <c r="G3" s="9">
        <f>'QTR BS'!AA3</f>
        <v>726990.79426829994</v>
      </c>
      <c r="H3" s="9">
        <f>'QTR BS'!AE3</f>
        <v>713142.66616259806</v>
      </c>
      <c r="I3" s="9">
        <f>'QTR BS'!AI3</f>
        <v>699558.32496251294</v>
      </c>
      <c r="J3" s="9">
        <f>'QTR BS'!AM3</f>
        <v>686232.7459072218</v>
      </c>
      <c r="K3" s="5"/>
    </row>
    <row r="4" spans="1:11" x14ac:dyDescent="0.3">
      <c r="A4" s="3" t="s">
        <v>33</v>
      </c>
      <c r="B4" s="4">
        <v>2979</v>
      </c>
      <c r="C4" s="4">
        <v>2318</v>
      </c>
      <c r="D4" s="4">
        <v>0</v>
      </c>
      <c r="E4" s="4">
        <v>0</v>
      </c>
      <c r="F4" s="9">
        <f>'QTR BS'!W4</f>
        <v>0</v>
      </c>
      <c r="G4" s="9">
        <f>'QTR BS'!AA4</f>
        <v>0</v>
      </c>
      <c r="H4" s="9">
        <f>'QTR BS'!AE4</f>
        <v>0</v>
      </c>
      <c r="I4" s="9">
        <f>'QTR BS'!AI4</f>
        <v>0</v>
      </c>
      <c r="J4" s="9">
        <f>'QTR BS'!AM4</f>
        <v>0</v>
      </c>
      <c r="K4" s="5"/>
    </row>
    <row r="5" spans="1:11" x14ac:dyDescent="0.3">
      <c r="A5" s="3" t="s">
        <v>34</v>
      </c>
      <c r="B5" s="4">
        <v>173289</v>
      </c>
      <c r="C5" s="4">
        <v>229275</v>
      </c>
      <c r="D5" s="4">
        <v>131165</v>
      </c>
      <c r="E5" s="4">
        <v>337698</v>
      </c>
      <c r="F5" s="9">
        <f>'QTR BS'!W5</f>
        <v>331265.33922642568</v>
      </c>
      <c r="G5" s="9">
        <f>'QTR BS'!AA5</f>
        <v>324955.21138057939</v>
      </c>
      <c r="H5" s="9">
        <f>'QTR BS'!AE5</f>
        <v>318765.28238657763</v>
      </c>
      <c r="I5" s="9">
        <f>'QTR BS'!AI5</f>
        <v>312693.26262932271</v>
      </c>
      <c r="J5" s="9">
        <f>'QTR BS'!AM5</f>
        <v>306736.9061075885</v>
      </c>
      <c r="K5" s="5"/>
    </row>
    <row r="6" spans="1:11" x14ac:dyDescent="0.3">
      <c r="A6" s="3" t="s">
        <v>35</v>
      </c>
      <c r="B6" s="4">
        <v>11341</v>
      </c>
      <c r="C6" s="4">
        <v>19503</v>
      </c>
      <c r="D6" s="4">
        <v>18759</v>
      </c>
      <c r="E6" s="4">
        <v>128806</v>
      </c>
      <c r="F6" s="9">
        <f>'QTR BS'!W6</f>
        <v>126352.43112011024</v>
      </c>
      <c r="G6" s="9">
        <f>'QTR BS'!AA6</f>
        <v>123945.59919539621</v>
      </c>
      <c r="H6" s="9">
        <f>'QTR BS'!AE6</f>
        <v>121584.61395414104</v>
      </c>
      <c r="I6" s="9">
        <f>'QTR BS'!AI6</f>
        <v>119268.60208302253</v>
      </c>
      <c r="J6" s="9">
        <f>'QTR BS'!AM6</f>
        <v>116996.7069040801</v>
      </c>
      <c r="K6" s="5"/>
    </row>
    <row r="7" spans="1:11" x14ac:dyDescent="0.3">
      <c r="A7" s="3" t="s">
        <v>36</v>
      </c>
      <c r="B7" s="4">
        <v>14124</v>
      </c>
      <c r="C7" s="4">
        <v>14124</v>
      </c>
      <c r="D7" s="4">
        <v>14124</v>
      </c>
      <c r="E7" s="4">
        <v>49164</v>
      </c>
      <c r="F7" s="9">
        <f>'QTR BS'!W7</f>
        <v>48227.496573056371</v>
      </c>
      <c r="G7" s="9">
        <f>'QTR BS'!AA7</f>
        <v>47308.83218827119</v>
      </c>
      <c r="H7" s="9">
        <f>'QTR BS'!AE7</f>
        <v>46407.667037571155</v>
      </c>
      <c r="I7" s="9">
        <f>'QTR BS'!AI7</f>
        <v>45523.667785737613</v>
      </c>
      <c r="J7" s="9">
        <f>'QTR BS'!AM7</f>
        <v>44656.507447108008</v>
      </c>
      <c r="K7" s="5"/>
    </row>
    <row r="8" spans="1:11" x14ac:dyDescent="0.3">
      <c r="A8" s="3" t="s">
        <v>37</v>
      </c>
      <c r="B8" s="6">
        <f t="shared" ref="B8:K8" si="0">SUM(B2:B7)</f>
        <v>917971</v>
      </c>
      <c r="C8" s="6">
        <f t="shared" si="0"/>
        <v>1204904</v>
      </c>
      <c r="D8" s="6">
        <f t="shared" si="0"/>
        <v>1324580</v>
      </c>
      <c r="E8" s="6">
        <f t="shared" si="0"/>
        <v>1811154</v>
      </c>
      <c r="F8" s="7">
        <f t="shared" si="0"/>
        <v>1786940.0985331207</v>
      </c>
      <c r="G8" s="7">
        <f t="shared" si="0"/>
        <v>1763187.4370325468</v>
      </c>
      <c r="H8" s="7">
        <f t="shared" si="0"/>
        <v>1739887.2295408878</v>
      </c>
      <c r="I8" s="7">
        <f t="shared" si="0"/>
        <v>1717030.8574605959</v>
      </c>
      <c r="J8" s="7">
        <f t="shared" si="0"/>
        <v>1694609.8663659983</v>
      </c>
      <c r="K8" s="7">
        <f t="shared" si="0"/>
        <v>0</v>
      </c>
    </row>
    <row r="9" spans="1:11" x14ac:dyDescent="0.3">
      <c r="A9" s="3" t="s">
        <v>38</v>
      </c>
      <c r="B9" s="4">
        <v>3574</v>
      </c>
      <c r="C9" s="4">
        <v>0</v>
      </c>
      <c r="D9" s="4">
        <v>0</v>
      </c>
      <c r="E9" s="4">
        <v>0</v>
      </c>
      <c r="F9" s="9">
        <f>'QTR BS'!W9</f>
        <v>0</v>
      </c>
      <c r="G9" s="9">
        <f>'QTR BS'!AA9</f>
        <v>0</v>
      </c>
      <c r="H9" s="9">
        <f>'QTR BS'!AE9</f>
        <v>0</v>
      </c>
      <c r="I9" s="9">
        <f>'QTR BS'!AI9</f>
        <v>0</v>
      </c>
      <c r="J9" s="9">
        <f>'QTR BS'!AM9</f>
        <v>0</v>
      </c>
      <c r="K9" s="5"/>
    </row>
    <row r="10" spans="1:11" x14ac:dyDescent="0.3">
      <c r="A10" s="3" t="s">
        <v>39</v>
      </c>
      <c r="B10" s="4">
        <v>10185</v>
      </c>
      <c r="C10" s="4">
        <v>24868</v>
      </c>
      <c r="D10" s="4">
        <v>55602</v>
      </c>
      <c r="E10" s="4">
        <v>87910</v>
      </c>
      <c r="F10" s="9">
        <f>'QTR BS'!W10</f>
        <v>94205.956736488602</v>
      </c>
      <c r="G10" s="9">
        <f>'QTR BS'!AA10</f>
        <v>100381.98456036614</v>
      </c>
      <c r="H10" s="9">
        <f>'QTR BS'!AE10</f>
        <v>106440.36794477659</v>
      </c>
      <c r="I10" s="9">
        <f>'QTR BS'!AI10</f>
        <v>112383.34784693907</v>
      </c>
      <c r="J10" s="9">
        <f>'QTR BS'!AM10</f>
        <v>118213.12253706362</v>
      </c>
      <c r="K10" s="5"/>
    </row>
    <row r="11" spans="1:11" x14ac:dyDescent="0.3">
      <c r="A11" s="3" t="s">
        <v>40</v>
      </c>
      <c r="B11" s="4">
        <v>972</v>
      </c>
      <c r="C11" s="4">
        <v>1957</v>
      </c>
      <c r="D11" s="4">
        <v>21606</v>
      </c>
      <c r="E11" s="4">
        <v>0</v>
      </c>
      <c r="F11" s="9">
        <f>'QTR BS'!W11</f>
        <v>0</v>
      </c>
      <c r="G11" s="9">
        <f>'QTR BS'!AA11</f>
        <v>0</v>
      </c>
      <c r="H11" s="9">
        <f>'QTR BS'!AE11</f>
        <v>0</v>
      </c>
      <c r="I11" s="9">
        <f>'QTR BS'!AI11</f>
        <v>0</v>
      </c>
      <c r="J11" s="9">
        <f>'QTR BS'!AM11</f>
        <v>0</v>
      </c>
      <c r="K11" s="5"/>
    </row>
    <row r="12" spans="1:11" x14ac:dyDescent="0.3">
      <c r="A12" s="3" t="s">
        <v>41</v>
      </c>
      <c r="B12" s="4">
        <v>208</v>
      </c>
      <c r="C12" s="4">
        <v>208</v>
      </c>
      <c r="D12" s="4">
        <v>230</v>
      </c>
      <c r="E12" s="4">
        <v>0</v>
      </c>
      <c r="F12" s="9">
        <f>'QTR BS'!W16</f>
        <v>0</v>
      </c>
      <c r="G12" s="9">
        <f>'QTR BS'!AA16</f>
        <v>0</v>
      </c>
      <c r="H12" s="9">
        <f>'QTR BS'!AE16</f>
        <v>0</v>
      </c>
      <c r="I12" s="9">
        <f>'QTR BS'!AI16</f>
        <v>0</v>
      </c>
      <c r="J12" s="9">
        <f>'QTR BS'!AM16</f>
        <v>0</v>
      </c>
      <c r="K12" s="5"/>
    </row>
    <row r="13" spans="1:11" x14ac:dyDescent="0.3">
      <c r="A13" s="3" t="s">
        <v>42</v>
      </c>
      <c r="B13" s="4">
        <v>12254</v>
      </c>
      <c r="C13" s="4">
        <v>12139</v>
      </c>
      <c r="D13" s="4">
        <v>12213</v>
      </c>
      <c r="E13" s="4">
        <v>1391915</v>
      </c>
      <c r="F13" s="9">
        <f>'QTR BS'!W12</f>
        <v>1391915</v>
      </c>
      <c r="G13" s="9">
        <f>'QTR BS'!AA12</f>
        <v>1391915</v>
      </c>
      <c r="H13" s="9">
        <f>'QTR BS'!AE12</f>
        <v>1391915</v>
      </c>
      <c r="I13" s="9">
        <f>'QTR BS'!AI12</f>
        <v>1391915</v>
      </c>
      <c r="J13" s="9">
        <f>'QTR BS'!AM12</f>
        <v>1391915</v>
      </c>
      <c r="K13" s="5"/>
    </row>
    <row r="14" spans="1:11" x14ac:dyDescent="0.3">
      <c r="A14" s="3" t="s">
        <v>43</v>
      </c>
      <c r="B14" s="4">
        <v>13679</v>
      </c>
      <c r="C14" s="4">
        <v>14173</v>
      </c>
      <c r="D14" s="4">
        <v>71582</v>
      </c>
      <c r="E14" s="4">
        <v>917560</v>
      </c>
      <c r="F14" s="9">
        <f>'QTR BS'!W13</f>
        <v>917560</v>
      </c>
      <c r="G14" s="9">
        <f>'QTR BS'!AA13</f>
        <v>917560</v>
      </c>
      <c r="H14" s="9">
        <f>'QTR BS'!AE13</f>
        <v>917560</v>
      </c>
      <c r="I14" s="9">
        <f>'QTR BS'!AI13</f>
        <v>917560</v>
      </c>
      <c r="J14" s="9">
        <f>'QTR BS'!AM13</f>
        <v>917560</v>
      </c>
      <c r="K14" s="5"/>
    </row>
    <row r="15" spans="1:11" x14ac:dyDescent="0.3">
      <c r="A15" s="3" t="s">
        <v>44</v>
      </c>
      <c r="B15" s="4">
        <v>262462</v>
      </c>
      <c r="C15" s="4">
        <v>248338</v>
      </c>
      <c r="D15" s="4">
        <v>234215</v>
      </c>
      <c r="E15" s="4">
        <v>771635</v>
      </c>
      <c r="F15" s="9">
        <f>'QTR BS'!W14</f>
        <v>756936.4640417858</v>
      </c>
      <c r="G15" s="9">
        <f>'QTR BS'!AA14</f>
        <v>742517.91403459129</v>
      </c>
      <c r="H15" s="9">
        <f>'QTR BS'!AE14</f>
        <v>728374.01664909732</v>
      </c>
      <c r="I15" s="9">
        <f>'QTR BS'!AI14</f>
        <v>714499.54014823143</v>
      </c>
      <c r="J15" s="9">
        <f>'QTR BS'!AM14</f>
        <v>700889.35245198093</v>
      </c>
      <c r="K15" s="5"/>
    </row>
    <row r="16" spans="1:11" x14ac:dyDescent="0.3">
      <c r="A16" s="3" t="s">
        <v>45</v>
      </c>
      <c r="B16" s="4">
        <v>501</v>
      </c>
      <c r="C16" s="4">
        <v>29518</v>
      </c>
      <c r="D16" s="4">
        <v>38699</v>
      </c>
      <c r="E16" s="4">
        <v>96013</v>
      </c>
      <c r="F16" s="9">
        <f>'QTR BS'!W15</f>
        <v>39725</v>
      </c>
      <c r="G16" s="9">
        <f>'QTR BS'!AA15</f>
        <v>-16563</v>
      </c>
      <c r="H16" s="9">
        <f>'QTR BS'!AE15</f>
        <v>-72851</v>
      </c>
      <c r="I16" s="9">
        <f>'QTR BS'!AI15</f>
        <v>-129139</v>
      </c>
      <c r="J16" s="9">
        <f>'QTR BS'!AM15</f>
        <v>-185427</v>
      </c>
      <c r="K16" s="5"/>
    </row>
    <row r="17" spans="1:11" x14ac:dyDescent="0.3">
      <c r="A17" s="3" t="s">
        <v>46</v>
      </c>
      <c r="B17" s="4">
        <v>263</v>
      </c>
      <c r="C17" s="4">
        <v>291</v>
      </c>
      <c r="D17" s="4">
        <v>8154</v>
      </c>
      <c r="E17" s="4">
        <v>43434</v>
      </c>
      <c r="F17" s="9">
        <f>'QTR BS'!W17</f>
        <v>42606.644824549076</v>
      </c>
      <c r="G17" s="9">
        <f>'QTR BS'!AA17</f>
        <v>41795.04957418784</v>
      </c>
      <c r="H17" s="9">
        <f>'QTR BS'!AE17</f>
        <v>40998.914045030215</v>
      </c>
      <c r="I17" s="9">
        <f>'QTR BS'!AI17</f>
        <v>40217.943751642008</v>
      </c>
      <c r="J17" s="9">
        <f>'QTR BS'!AM17</f>
        <v>39451.849818112627</v>
      </c>
      <c r="K17" s="5"/>
    </row>
    <row r="18" spans="1:11" x14ac:dyDescent="0.3">
      <c r="A18" s="3" t="s">
        <v>47</v>
      </c>
      <c r="B18" s="6">
        <f t="shared" ref="B18:K18" si="1">B8+SUM(B9:B17)</f>
        <v>1222069</v>
      </c>
      <c r="C18" s="6">
        <f t="shared" si="1"/>
        <v>1536396</v>
      </c>
      <c r="D18" s="6">
        <f t="shared" si="1"/>
        <v>1766881</v>
      </c>
      <c r="E18" s="6">
        <f t="shared" si="1"/>
        <v>5119621</v>
      </c>
      <c r="F18" s="7">
        <f t="shared" si="1"/>
        <v>5029889.1641359441</v>
      </c>
      <c r="G18" s="7">
        <f t="shared" si="1"/>
        <v>4940794.3852016926</v>
      </c>
      <c r="H18" s="7">
        <f t="shared" si="1"/>
        <v>4852324.5281797918</v>
      </c>
      <c r="I18" s="7">
        <f t="shared" si="1"/>
        <v>4764467.6892074086</v>
      </c>
      <c r="J18" s="7">
        <f t="shared" si="1"/>
        <v>4677212.1911731558</v>
      </c>
      <c r="K18" s="7">
        <f t="shared" si="1"/>
        <v>0</v>
      </c>
    </row>
    <row r="19" spans="1:11" x14ac:dyDescent="0.3">
      <c r="A19" s="3" t="s">
        <v>48</v>
      </c>
      <c r="B19" s="4">
        <v>36248</v>
      </c>
      <c r="C19" s="4">
        <v>42840</v>
      </c>
      <c r="D19" s="4">
        <v>41287</v>
      </c>
      <c r="E19" s="4">
        <v>137930</v>
      </c>
      <c r="F19" s="9">
        <f>'QTR BS'!W19</f>
        <v>135302.63205438259</v>
      </c>
      <c r="G19" s="9">
        <f>'QTR BS'!AA19</f>
        <v>132725.31168595408</v>
      </c>
      <c r="H19" s="9">
        <f>'QTR BS'!AE19</f>
        <v>130197.08556041392</v>
      </c>
      <c r="I19" s="9">
        <f>'QTR BS'!AI19</f>
        <v>127717.01850310777</v>
      </c>
      <c r="J19" s="9">
        <f>'QTR BS'!AM19</f>
        <v>125284.19315311221</v>
      </c>
      <c r="K19" s="5"/>
    </row>
    <row r="20" spans="1:11" x14ac:dyDescent="0.3">
      <c r="A20" s="3" t="s">
        <v>49</v>
      </c>
      <c r="B20" s="4">
        <v>69899</v>
      </c>
      <c r="C20" s="4">
        <v>62120</v>
      </c>
      <c r="D20" s="4">
        <v>148780</v>
      </c>
      <c r="E20" s="4">
        <v>230721</v>
      </c>
      <c r="F20" s="9">
        <f>'QTR BS'!W20</f>
        <v>226326.09707981735</v>
      </c>
      <c r="G20" s="9">
        <f>'QTR BS'!AA20</f>
        <v>222014.9107336693</v>
      </c>
      <c r="H20" s="9">
        <f>'QTR BS'!AE20</f>
        <v>217785.84628133298</v>
      </c>
      <c r="I20" s="9">
        <f>'QTR BS'!AI20</f>
        <v>213637.33941894819</v>
      </c>
      <c r="J20" s="9">
        <f>'QTR BS'!AM20</f>
        <v>209567.85564039147</v>
      </c>
      <c r="K20" s="5"/>
    </row>
    <row r="21" spans="1:11" x14ac:dyDescent="0.3">
      <c r="A21" s="3" t="s">
        <v>50</v>
      </c>
      <c r="B21" s="4">
        <v>1193</v>
      </c>
      <c r="C21" s="4">
        <v>50424</v>
      </c>
      <c r="D21" s="4">
        <v>10834</v>
      </c>
      <c r="E21" s="4">
        <v>49612</v>
      </c>
      <c r="F21" s="9">
        <f>'QTR BS'!W21</f>
        <v>48666.962817965847</v>
      </c>
      <c r="G21" s="9">
        <f>'QTR BS'!AA21</f>
        <v>47739.927233840011</v>
      </c>
      <c r="H21" s="9">
        <f>'QTR BS'!AE21</f>
        <v>46830.550343096176</v>
      </c>
      <c r="I21" s="9">
        <f>'QTR BS'!AI21</f>
        <v>45938.495773045623</v>
      </c>
      <c r="J21" s="9">
        <f>'QTR BS'!AM21</f>
        <v>45063.433558415156</v>
      </c>
      <c r="K21" s="5"/>
    </row>
    <row r="22" spans="1:11" x14ac:dyDescent="0.3">
      <c r="A22" s="3" t="s">
        <v>51</v>
      </c>
      <c r="B22" s="4">
        <v>3986</v>
      </c>
      <c r="C22" s="4">
        <v>0</v>
      </c>
      <c r="D22" s="4">
        <v>0</v>
      </c>
      <c r="E22" s="4">
        <v>264088</v>
      </c>
      <c r="F22" s="9">
        <f>'QTR BS'!W22</f>
        <v>0</v>
      </c>
      <c r="G22" s="9">
        <f>'QTR BS'!AA22</f>
        <v>0</v>
      </c>
      <c r="H22" s="9">
        <f>'QTR BS'!AE22</f>
        <v>0</v>
      </c>
      <c r="I22" s="9">
        <f>'QTR BS'!AI22</f>
        <v>0</v>
      </c>
      <c r="J22" s="9">
        <f>'QTR BS'!AM22</f>
        <v>0</v>
      </c>
      <c r="K22" s="5"/>
    </row>
    <row r="23" spans="1:11" x14ac:dyDescent="0.3">
      <c r="A23" s="3" t="s">
        <v>52</v>
      </c>
      <c r="B23" s="4">
        <v>35977</v>
      </c>
      <c r="C23" s="4">
        <v>99787</v>
      </c>
      <c r="D23" s="4">
        <v>135948</v>
      </c>
      <c r="E23" s="4">
        <v>307922</v>
      </c>
      <c r="F23" s="9">
        <f>'QTR BS'!W23</f>
        <v>302056.52916297829</v>
      </c>
      <c r="G23" s="9">
        <f>'QTR BS'!AA23</f>
        <v>296302.7871018803</v>
      </c>
      <c r="H23" s="9">
        <f>'QTR BS'!AE23</f>
        <v>290658.64554436144</v>
      </c>
      <c r="I23" s="9">
        <f>'QTR BS'!AI23</f>
        <v>285122.01675860182</v>
      </c>
      <c r="J23" s="9">
        <f>'QTR BS'!AM23</f>
        <v>279690.85278106731</v>
      </c>
      <c r="K23" s="5"/>
    </row>
    <row r="24" spans="1:11" x14ac:dyDescent="0.3">
      <c r="A24" s="3" t="s">
        <v>53</v>
      </c>
      <c r="B24" s="4">
        <v>661</v>
      </c>
      <c r="C24" s="4">
        <v>980</v>
      </c>
      <c r="D24" s="4">
        <v>3265</v>
      </c>
      <c r="E24" s="4">
        <v>0</v>
      </c>
      <c r="F24" s="9">
        <f>'QTR BS'!W24</f>
        <v>0</v>
      </c>
      <c r="G24" s="9">
        <f>'QTR BS'!AA24</f>
        <v>0</v>
      </c>
      <c r="H24" s="9">
        <f>'QTR BS'!AE24</f>
        <v>0</v>
      </c>
      <c r="I24" s="9">
        <f>'QTR BS'!AI24</f>
        <v>0</v>
      </c>
      <c r="J24" s="9">
        <f>'QTR BS'!AM24</f>
        <v>0</v>
      </c>
      <c r="K24" s="5"/>
    </row>
    <row r="25" spans="1:11" x14ac:dyDescent="0.3">
      <c r="A25" s="3" t="s">
        <v>54</v>
      </c>
      <c r="B25" s="4">
        <v>70</v>
      </c>
      <c r="C25" s="4">
        <v>59</v>
      </c>
      <c r="D25" s="4">
        <v>100</v>
      </c>
      <c r="E25" s="4">
        <v>0</v>
      </c>
      <c r="F25" s="9">
        <f>'QTR BS'!W25</f>
        <v>0</v>
      </c>
      <c r="G25" s="9">
        <f>'QTR BS'!AA25</f>
        <v>0</v>
      </c>
      <c r="H25" s="9">
        <f>'QTR BS'!AE25</f>
        <v>0</v>
      </c>
      <c r="I25" s="9">
        <f>'QTR BS'!AI25</f>
        <v>0</v>
      </c>
      <c r="J25" s="9">
        <f>'QTR BS'!AM25</f>
        <v>0</v>
      </c>
      <c r="K25" s="5"/>
    </row>
    <row r="26" spans="1:11" x14ac:dyDescent="0.3">
      <c r="A26" s="3" t="s">
        <v>55</v>
      </c>
      <c r="B26" s="4">
        <v>0</v>
      </c>
      <c r="C26" s="4">
        <v>0</v>
      </c>
      <c r="D26" s="4">
        <v>0</v>
      </c>
      <c r="E26" s="4">
        <v>25000</v>
      </c>
      <c r="F26" s="9">
        <f>'QTR BS'!W26</f>
        <v>24523.785988251755</v>
      </c>
      <c r="G26" s="9">
        <f>'QTR BS'!AA26</f>
        <v>24056.64316790293</v>
      </c>
      <c r="H26" s="9">
        <f>'QTR BS'!AE26</f>
        <v>23598.398745815612</v>
      </c>
      <c r="I26" s="9">
        <f>'QTR BS'!AI26</f>
        <v>23148.883220312433</v>
      </c>
      <c r="J26" s="9">
        <f>'QTR BS'!AM26</f>
        <v>22707.930318478971</v>
      </c>
      <c r="K26" s="5"/>
    </row>
    <row r="27" spans="1:11" x14ac:dyDescent="0.3">
      <c r="A27" s="3" t="s">
        <v>56</v>
      </c>
      <c r="B27" s="4">
        <v>9675</v>
      </c>
      <c r="C27" s="4">
        <v>9513</v>
      </c>
      <c r="D27" s="4">
        <v>9513</v>
      </c>
      <c r="E27" s="4">
        <v>26988</v>
      </c>
      <c r="F27" s="9">
        <f>'QTR BS'!W27</f>
        <v>26473.917450037537</v>
      </c>
      <c r="G27" s="9">
        <f>'QTR BS'!AA27</f>
        <v>25969.627432614572</v>
      </c>
      <c r="H27" s="9">
        <f>'QTR BS'!AE27</f>
        <v>25474.943414082871</v>
      </c>
      <c r="I27" s="9">
        <f>'QTR BS'!AI27</f>
        <v>24989.682413991679</v>
      </c>
      <c r="J27" s="9">
        <f>'QTR BS'!AM27</f>
        <v>24513.664937404421</v>
      </c>
      <c r="K27" s="5"/>
    </row>
    <row r="28" spans="1:11" x14ac:dyDescent="0.3">
      <c r="A28" s="3" t="s">
        <v>57</v>
      </c>
      <c r="B28" s="4">
        <v>3586</v>
      </c>
      <c r="C28" s="4">
        <v>10890</v>
      </c>
      <c r="D28" s="4">
        <v>15808</v>
      </c>
      <c r="E28" s="4">
        <v>36465</v>
      </c>
      <c r="F28" s="9">
        <f>'QTR BS'!W28</f>
        <v>35770.394242464012</v>
      </c>
      <c r="G28" s="9">
        <f>'QTR BS'!AA28</f>
        <v>35089.019724703212</v>
      </c>
      <c r="H28" s="9">
        <f>'QTR BS'!AE28</f>
        <v>34420.624410646655</v>
      </c>
      <c r="I28" s="9">
        <f>'QTR BS'!AI28</f>
        <v>33764.961065147712</v>
      </c>
      <c r="J28" s="9">
        <f>'QTR BS'!AM28</f>
        <v>33121.78716253343</v>
      </c>
      <c r="K28" s="5"/>
    </row>
    <row r="29" spans="1:11" x14ac:dyDescent="0.3">
      <c r="A29" s="3" t="s">
        <v>58</v>
      </c>
      <c r="B29" s="6">
        <f t="shared" ref="B29:K29" si="2">SUM(B19:B28)</f>
        <v>161295</v>
      </c>
      <c r="C29" s="6">
        <f t="shared" si="2"/>
        <v>276613</v>
      </c>
      <c r="D29" s="6">
        <f t="shared" si="2"/>
        <v>365535</v>
      </c>
      <c r="E29" s="6">
        <f t="shared" si="2"/>
        <v>1078726</v>
      </c>
      <c r="F29" s="7">
        <f t="shared" si="2"/>
        <v>799120.3187958973</v>
      </c>
      <c r="G29" s="7">
        <f t="shared" si="2"/>
        <v>783898.22708056436</v>
      </c>
      <c r="H29" s="7">
        <f t="shared" si="2"/>
        <v>768966.09429974959</v>
      </c>
      <c r="I29" s="7">
        <f t="shared" si="2"/>
        <v>754318.39715315518</v>
      </c>
      <c r="J29" s="7">
        <f t="shared" si="2"/>
        <v>739949.71755140286</v>
      </c>
      <c r="K29" s="7">
        <f t="shared" si="2"/>
        <v>0</v>
      </c>
    </row>
    <row r="30" spans="1:11" x14ac:dyDescent="0.3">
      <c r="A30" s="3" t="s">
        <v>59</v>
      </c>
      <c r="B30" s="4">
        <v>326</v>
      </c>
      <c r="C30" s="4">
        <v>955</v>
      </c>
      <c r="D30" s="4">
        <v>16674</v>
      </c>
      <c r="E30" s="4">
        <v>0</v>
      </c>
      <c r="F30" s="9">
        <f>'QTR BS'!W30</f>
        <v>0</v>
      </c>
      <c r="G30" s="9">
        <f>'QTR BS'!AA30</f>
        <v>0</v>
      </c>
      <c r="H30" s="9">
        <f>'QTR BS'!AE30</f>
        <v>0</v>
      </c>
      <c r="I30" s="9">
        <f>'QTR BS'!AI30</f>
        <v>0</v>
      </c>
      <c r="J30" s="9">
        <f>'QTR BS'!AM30</f>
        <v>0</v>
      </c>
      <c r="K30" s="5"/>
    </row>
    <row r="31" spans="1:11" x14ac:dyDescent="0.3">
      <c r="A31" s="3" t="s">
        <v>60</v>
      </c>
      <c r="B31" s="4">
        <v>162</v>
      </c>
      <c r="C31" s="4">
        <v>193</v>
      </c>
      <c r="D31" s="4">
        <v>211</v>
      </c>
      <c r="E31" s="4">
        <v>0</v>
      </c>
      <c r="F31" s="9">
        <f>'QTR BS'!W31</f>
        <v>0</v>
      </c>
      <c r="G31" s="9">
        <f>'QTR BS'!AA31</f>
        <v>0</v>
      </c>
      <c r="H31" s="9">
        <f>'QTR BS'!AE31</f>
        <v>0</v>
      </c>
      <c r="I31" s="9">
        <f>'QTR BS'!AI31</f>
        <v>0</v>
      </c>
      <c r="J31" s="9">
        <f>'QTR BS'!AM31</f>
        <v>0</v>
      </c>
      <c r="K31" s="5"/>
    </row>
    <row r="32" spans="1:11" x14ac:dyDescent="0.3">
      <c r="A32" s="3" t="s">
        <v>61</v>
      </c>
      <c r="B32" s="4">
        <v>15919</v>
      </c>
      <c r="C32" s="4">
        <v>2880</v>
      </c>
      <c r="D32" s="4">
        <v>2330</v>
      </c>
      <c r="E32" s="4">
        <v>0</v>
      </c>
      <c r="F32" s="9">
        <f>'QTR BS'!W32</f>
        <v>0</v>
      </c>
      <c r="G32" s="9">
        <f>'QTR BS'!AA32</f>
        <v>0</v>
      </c>
      <c r="H32" s="9">
        <f>'QTR BS'!AE32</f>
        <v>0</v>
      </c>
      <c r="I32" s="9">
        <f>'QTR BS'!AI32</f>
        <v>0</v>
      </c>
      <c r="J32" s="9">
        <f>'QTR BS'!AM32</f>
        <v>0</v>
      </c>
      <c r="K32" s="5"/>
    </row>
    <row r="33" spans="1:11" x14ac:dyDescent="0.3">
      <c r="A33" s="3" t="s">
        <v>62</v>
      </c>
      <c r="B33" s="4">
        <v>0</v>
      </c>
      <c r="C33" s="4">
        <v>0</v>
      </c>
      <c r="D33" s="4">
        <v>0</v>
      </c>
      <c r="E33" s="4">
        <v>669926</v>
      </c>
      <c r="F33" s="9">
        <f>'QTR BS'!W33</f>
        <v>669926</v>
      </c>
      <c r="G33" s="9">
        <f>'QTR BS'!AA33</f>
        <v>669926</v>
      </c>
      <c r="H33" s="9">
        <f>'QTR BS'!AE33</f>
        <v>669926</v>
      </c>
      <c r="I33" s="9">
        <f>'QTR BS'!AI33</f>
        <v>669926</v>
      </c>
      <c r="J33" s="9">
        <f>'QTR BS'!AM33</f>
        <v>669926</v>
      </c>
      <c r="K33" s="5"/>
    </row>
    <row r="34" spans="1:11" x14ac:dyDescent="0.3">
      <c r="A34" s="3" t="s">
        <v>63</v>
      </c>
      <c r="B34" s="4">
        <v>179788</v>
      </c>
      <c r="C34" s="4">
        <v>167227</v>
      </c>
      <c r="D34" s="4">
        <v>157714</v>
      </c>
      <c r="E34" s="4">
        <v>401155</v>
      </c>
      <c r="F34" s="9">
        <f>'QTR BS'!W34</f>
        <v>393513.5747246854</v>
      </c>
      <c r="G34" s="9">
        <f>'QTR BS'!AA34</f>
        <v>386017.70760080405</v>
      </c>
      <c r="H34" s="9">
        <f>'QTR BS'!AE34</f>
        <v>378664.62595510657</v>
      </c>
      <c r="I34" s="9">
        <f>'QTR BS'!AI34</f>
        <v>371451.60992977739</v>
      </c>
      <c r="J34" s="9">
        <f>'QTR BS'!AM34</f>
        <v>364375.99147637736</v>
      </c>
      <c r="K34" s="5"/>
    </row>
    <row r="35" spans="1:11" x14ac:dyDescent="0.3">
      <c r="A35" s="3" t="s">
        <v>64</v>
      </c>
      <c r="B35" s="4">
        <v>0</v>
      </c>
      <c r="C35" s="4">
        <v>0</v>
      </c>
      <c r="D35" s="4">
        <v>0</v>
      </c>
      <c r="E35" s="4">
        <v>28372</v>
      </c>
      <c r="F35" s="9">
        <f>'QTR BS'!W35</f>
        <v>27831.554242347156</v>
      </c>
      <c r="G35" s="9">
        <f>'QTR BS'!AA35</f>
        <v>27301.403198389682</v>
      </c>
      <c r="H35" s="9">
        <f>'QTR BS'!AE35</f>
        <v>26781.350768651224</v>
      </c>
      <c r="I35" s="9">
        <f>'QTR BS'!AI35</f>
        <v>26271.204589068177</v>
      </c>
      <c r="J35" s="9">
        <f>'QTR BS'!AM35</f>
        <v>25770.775959835417</v>
      </c>
      <c r="K35" s="5"/>
    </row>
    <row r="36" spans="1:11" x14ac:dyDescent="0.3">
      <c r="A36" s="3" t="s">
        <v>65</v>
      </c>
      <c r="B36" s="6">
        <f t="shared" ref="B36:K36" si="3">B29+SUM(B30:B35)</f>
        <v>357490</v>
      </c>
      <c r="C36" s="6">
        <f t="shared" si="3"/>
        <v>447868</v>
      </c>
      <c r="D36" s="6">
        <f t="shared" si="3"/>
        <v>542464</v>
      </c>
      <c r="E36" s="6">
        <f t="shared" si="3"/>
        <v>2178179</v>
      </c>
      <c r="F36" s="7">
        <f t="shared" si="3"/>
        <v>1890391.4477629298</v>
      </c>
      <c r="G36" s="7">
        <f t="shared" si="3"/>
        <v>1867143.3378797579</v>
      </c>
      <c r="H36" s="7">
        <f t="shared" si="3"/>
        <v>1844338.0710235075</v>
      </c>
      <c r="I36" s="7">
        <f t="shared" si="3"/>
        <v>1821967.2116720008</v>
      </c>
      <c r="J36" s="7">
        <f t="shared" si="3"/>
        <v>1800022.4849876156</v>
      </c>
      <c r="K36" s="7">
        <f t="shared" si="3"/>
        <v>0</v>
      </c>
    </row>
    <row r="37" spans="1:11" x14ac:dyDescent="0.3">
      <c r="A37" s="3" t="s">
        <v>66</v>
      </c>
      <c r="B37" s="4">
        <v>824488</v>
      </c>
      <c r="C37" s="4">
        <v>824488</v>
      </c>
      <c r="D37" s="4">
        <v>824488</v>
      </c>
      <c r="E37" s="4">
        <v>1759975</v>
      </c>
      <c r="F37" s="9">
        <f>'QTR BS'!W37</f>
        <v>1759975</v>
      </c>
      <c r="G37" s="9">
        <f>'QTR BS'!AA37</f>
        <v>1759975</v>
      </c>
      <c r="H37" s="9">
        <f>'QTR BS'!AE37</f>
        <v>1759975</v>
      </c>
      <c r="I37" s="9">
        <f>'QTR BS'!AI37</f>
        <v>1759975</v>
      </c>
      <c r="J37" s="9">
        <f>'QTR BS'!AM37</f>
        <v>1759975</v>
      </c>
      <c r="K37" s="5"/>
    </row>
    <row r="38" spans="1:11" x14ac:dyDescent="0.3">
      <c r="A38" s="3" t="s">
        <v>67</v>
      </c>
      <c r="B38" s="4">
        <v>76</v>
      </c>
      <c r="C38" s="4">
        <v>77</v>
      </c>
      <c r="D38" s="4">
        <v>79</v>
      </c>
      <c r="E38" s="4">
        <v>101</v>
      </c>
      <c r="F38" s="9">
        <f>'QTR BS'!W38</f>
        <v>101</v>
      </c>
      <c r="G38" s="9">
        <f>'QTR BS'!AA38</f>
        <v>101</v>
      </c>
      <c r="H38" s="9">
        <f>'QTR BS'!AE38</f>
        <v>101</v>
      </c>
      <c r="I38" s="9">
        <f>'QTR BS'!AI38</f>
        <v>101</v>
      </c>
      <c r="J38" s="9">
        <f>'QTR BS'!AM38</f>
        <v>101</v>
      </c>
      <c r="K38" s="5"/>
    </row>
    <row r="39" spans="1:11" x14ac:dyDescent="0.3">
      <c r="A39" s="3" t="s">
        <v>68</v>
      </c>
      <c r="B39" s="4">
        <v>0</v>
      </c>
      <c r="C39" s="4">
        <v>0</v>
      </c>
      <c r="D39" s="4">
        <v>0</v>
      </c>
      <c r="E39" s="4">
        <v>-48226</v>
      </c>
      <c r="F39" s="9">
        <f>'QTR BS'!W39</f>
        <v>-48226</v>
      </c>
      <c r="G39" s="9">
        <f>'QTR BS'!AA39</f>
        <v>-48226</v>
      </c>
      <c r="H39" s="9">
        <f>'QTR BS'!AE39</f>
        <v>-48226</v>
      </c>
      <c r="I39" s="9">
        <f>'QTR BS'!AI39</f>
        <v>-48226</v>
      </c>
      <c r="J39" s="9">
        <f>'QTR BS'!AM39</f>
        <v>-48226</v>
      </c>
      <c r="K39" s="5"/>
    </row>
    <row r="40" spans="1:11" x14ac:dyDescent="0.3">
      <c r="A40" s="3" t="s">
        <v>69</v>
      </c>
      <c r="B40" s="4">
        <v>280668</v>
      </c>
      <c r="C40" s="4">
        <v>276717</v>
      </c>
      <c r="D40" s="4">
        <v>297579</v>
      </c>
      <c r="E40" s="4">
        <v>1050518</v>
      </c>
      <c r="F40" s="9">
        <f>'QTR BS'!W40</f>
        <v>1086890.686657818</v>
      </c>
      <c r="G40" s="9">
        <f>'QTR BS'!AA40</f>
        <v>1122570.5259943812</v>
      </c>
      <c r="H40" s="9">
        <f>'QTR BS'!AE40</f>
        <v>1157570.7157537844</v>
      </c>
      <c r="I40" s="9">
        <f>'QTR BS'!AI40</f>
        <v>1191904.2022820965</v>
      </c>
      <c r="J40" s="9">
        <f>'QTR BS'!AM40</f>
        <v>1225583.6853161305</v>
      </c>
      <c r="K40" s="5"/>
    </row>
    <row r="41" spans="1:11" x14ac:dyDescent="0.3">
      <c r="A41" s="3" t="s">
        <v>70</v>
      </c>
      <c r="B41" s="4">
        <v>-1881</v>
      </c>
      <c r="C41" s="4">
        <v>-701</v>
      </c>
      <c r="D41" s="4">
        <v>-3250</v>
      </c>
      <c r="E41" s="4">
        <v>3162</v>
      </c>
      <c r="F41" s="9">
        <f>'QTR BS'!W41</f>
        <v>7550</v>
      </c>
      <c r="G41" s="9">
        <f>'QTR BS'!AA41</f>
        <v>11938</v>
      </c>
      <c r="H41" s="9">
        <f>'QTR BS'!AE41</f>
        <v>16326</v>
      </c>
      <c r="I41" s="9">
        <f>'QTR BS'!AI41</f>
        <v>20714</v>
      </c>
      <c r="J41" s="9">
        <f>'QTR BS'!AM41</f>
        <v>25102</v>
      </c>
      <c r="K41" s="5"/>
    </row>
    <row r="42" spans="1:11" x14ac:dyDescent="0.3">
      <c r="A42" s="3" t="s">
        <v>71</v>
      </c>
      <c r="B42" s="4">
        <v>-238772</v>
      </c>
      <c r="C42" s="4">
        <v>-12053</v>
      </c>
      <c r="D42" s="4">
        <v>105521</v>
      </c>
      <c r="E42" s="4">
        <v>175912</v>
      </c>
      <c r="F42" s="9">
        <f>'QTR BS'!W42</f>
        <v>565554.10261081113</v>
      </c>
      <c r="G42" s="9">
        <f>'QTR BS'!AA42</f>
        <v>946395.54922513629</v>
      </c>
      <c r="H42" s="9">
        <f>'QTR BS'!AE42</f>
        <v>1318603.9796708997</v>
      </c>
      <c r="I42" s="9">
        <f>'QTR BS'!AI42</f>
        <v>1682343.8404786258</v>
      </c>
      <c r="J42" s="9">
        <f>'QTR BS'!AM42</f>
        <v>2037776.4457091591</v>
      </c>
      <c r="K42" s="5"/>
    </row>
    <row r="43" spans="1:11" x14ac:dyDescent="0.3">
      <c r="A43" s="3" t="s">
        <v>72</v>
      </c>
      <c r="B43" s="6">
        <f t="shared" ref="B43:K43" si="4">SUM(B37:B42)</f>
        <v>864579</v>
      </c>
      <c r="C43" s="6">
        <f t="shared" si="4"/>
        <v>1088528</v>
      </c>
      <c r="D43" s="6">
        <f t="shared" si="4"/>
        <v>1224417</v>
      </c>
      <c r="E43" s="6">
        <f t="shared" si="4"/>
        <v>2941442</v>
      </c>
      <c r="F43" s="7">
        <f t="shared" si="4"/>
        <v>3371844.7892686292</v>
      </c>
      <c r="G43" s="7">
        <f t="shared" si="4"/>
        <v>3792754.0752195171</v>
      </c>
      <c r="H43" s="7">
        <f t="shared" si="4"/>
        <v>4204350.6954246843</v>
      </c>
      <c r="I43" s="7">
        <f t="shared" si="4"/>
        <v>4606812.0427607223</v>
      </c>
      <c r="J43" s="7">
        <f t="shared" si="4"/>
        <v>5000312.1310252901</v>
      </c>
      <c r="K43" s="7">
        <f t="shared" si="4"/>
        <v>0</v>
      </c>
    </row>
    <row r="44" spans="1:11" x14ac:dyDescent="0.3">
      <c r="A44" s="3" t="s">
        <v>73</v>
      </c>
      <c r="B44" s="6">
        <f t="shared" ref="B44:K44" si="5">B36+B43</f>
        <v>1222069</v>
      </c>
      <c r="C44" s="6">
        <f t="shared" si="5"/>
        <v>1536396</v>
      </c>
      <c r="D44" s="6">
        <f t="shared" si="5"/>
        <v>1766881</v>
      </c>
      <c r="E44" s="6">
        <f t="shared" si="5"/>
        <v>5119621</v>
      </c>
      <c r="F44" s="7">
        <f t="shared" si="5"/>
        <v>5262236.2370315585</v>
      </c>
      <c r="G44" s="7">
        <f t="shared" si="5"/>
        <v>5659897.413099275</v>
      </c>
      <c r="H44" s="7">
        <f t="shared" si="5"/>
        <v>6048688.7664481923</v>
      </c>
      <c r="I44" s="7">
        <f t="shared" si="5"/>
        <v>6428779.2544327229</v>
      </c>
      <c r="J44" s="7">
        <f t="shared" si="5"/>
        <v>6800334.6160129057</v>
      </c>
      <c r="K44" s="7">
        <f t="shared" si="5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"/>
  <sheetViews>
    <sheetView workbookViewId="0">
      <pane xSplit="1" ySplit="1" topLeftCell="B2" activePane="bottomRight" state="frozen"/>
      <selection pane="topRight"/>
      <selection pane="bottomLeft"/>
      <selection pane="bottomRight" activeCell="F30" sqref="F30"/>
    </sheetView>
  </sheetViews>
  <sheetFormatPr defaultRowHeight="14.4" x14ac:dyDescent="0.3"/>
  <cols>
    <col min="1" max="1" width="42" customWidth="1"/>
    <col min="2" max="12" width="13" customWidth="1"/>
  </cols>
  <sheetData>
    <row r="1" spans="1:12" x14ac:dyDescent="0.3">
      <c r="A1" s="1"/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</row>
    <row r="2" spans="1:12" x14ac:dyDescent="0.3">
      <c r="A2" s="3" t="s">
        <v>27</v>
      </c>
      <c r="B2" s="4">
        <v>3937</v>
      </c>
      <c r="C2" s="4">
        <v>-187282</v>
      </c>
      <c r="D2" s="4">
        <v>226801</v>
      </c>
      <c r="E2" s="4">
        <v>145074</v>
      </c>
      <c r="F2" s="4">
        <v>107999</v>
      </c>
      <c r="G2" s="9">
        <f>'QTR CF'!W2+'QTR CF'!X2+'QTR CF'!Y2+'QTR CF'!Z2</f>
        <v>446870.10261081113</v>
      </c>
      <c r="H2" s="9">
        <f>'QTR CF'!AA2+'QTR CF'!AB2+'QTR CF'!AC2+'QTR CF'!AD2</f>
        <v>438069.4466143251</v>
      </c>
      <c r="I2" s="9">
        <f>'QTR CF'!AE2+'QTR CF'!AF2+'QTR CF'!AG2+'QTR CF'!AH2</f>
        <v>429436.4304457634</v>
      </c>
      <c r="J2" s="9">
        <f>'QTR CF'!AI2+'QTR CF'!AJ2+'QTR CF'!AK2+'QTR CF'!AL2</f>
        <v>420967.86080772628</v>
      </c>
      <c r="K2" s="9">
        <f>'QTR CF'!AM2+'QTR CF'!AN2+'QTR CF'!AO2+'QTR CF'!AP2</f>
        <v>412660.60523053311</v>
      </c>
      <c r="L2" s="5"/>
    </row>
    <row r="3" spans="1:12" x14ac:dyDescent="0.3">
      <c r="A3" s="3" t="s">
        <v>74</v>
      </c>
      <c r="B3" s="4">
        <v>1264</v>
      </c>
      <c r="C3" s="4">
        <v>1917</v>
      </c>
      <c r="D3" s="4">
        <v>3226</v>
      </c>
      <c r="E3" s="4">
        <v>7274</v>
      </c>
      <c r="F3" s="4">
        <v>29451</v>
      </c>
      <c r="G3" s="9">
        <f>'QTR CF'!W6+'QTR CF'!X6+'QTR CF'!Y6+'QTR CF'!Z6</f>
        <v>35313.479874780664</v>
      </c>
      <c r="H3" s="9">
        <f>'QTR CF'!AA6+'QTR CF'!AB6+'QTR CF'!AC6+'QTR CF'!AD6</f>
        <v>34640.808917982271</v>
      </c>
      <c r="I3" s="9">
        <f>'QTR CF'!AE6+'QTR CF'!AF6+'QTR CF'!AG6+'QTR CF'!AH6</f>
        <v>33980.951374580807</v>
      </c>
      <c r="J3" s="9">
        <f>'QTR CF'!AI6+'QTR CF'!AJ6+'QTR CF'!AK6+'QTR CF'!AL6</f>
        <v>33333.663167496365</v>
      </c>
      <c r="K3" s="9">
        <f>'QTR CF'!AM6+'QTR CF'!AN6+'QTR CF'!AO6+'QTR CF'!AP6</f>
        <v>32698.704868966041</v>
      </c>
      <c r="L3" s="5"/>
    </row>
    <row r="4" spans="1:12" x14ac:dyDescent="0.3">
      <c r="A4" s="3" t="s">
        <v>75</v>
      </c>
      <c r="B4" s="4">
        <v>0</v>
      </c>
      <c r="C4" s="4">
        <v>2379</v>
      </c>
      <c r="D4" s="4">
        <v>0</v>
      </c>
      <c r="E4" s="4">
        <v>0</v>
      </c>
      <c r="F4" s="4">
        <v>0</v>
      </c>
      <c r="G4" s="9">
        <f>'QTR CF'!W5+'QTR CF'!X5+'QTR CF'!Y5+'QTR CF'!Z5</f>
        <v>0</v>
      </c>
      <c r="H4" s="9">
        <f>'QTR CF'!AA5+'QTR CF'!AB5+'QTR CF'!AC5+'QTR CF'!AD5</f>
        <v>0</v>
      </c>
      <c r="I4" s="9">
        <f>'QTR CF'!AE5+'QTR CF'!AF5+'QTR CF'!AG5+'QTR CF'!AH5</f>
        <v>0</v>
      </c>
      <c r="J4" s="9">
        <f>'QTR CF'!AI5+'QTR CF'!AJ5+'QTR CF'!AK5+'QTR CF'!AL5</f>
        <v>0</v>
      </c>
      <c r="K4" s="9">
        <f>'QTR CF'!AM5+'QTR CF'!AN5+'QTR CF'!AO5+'QTR CF'!AP5</f>
        <v>0</v>
      </c>
      <c r="L4" s="5"/>
    </row>
    <row r="5" spans="1:12" x14ac:dyDescent="0.3">
      <c r="A5" s="3" t="s">
        <v>76</v>
      </c>
      <c r="B5" s="4">
        <v>1494</v>
      </c>
      <c r="C5" s="4">
        <v>2352</v>
      </c>
      <c r="D5" s="4">
        <v>2128</v>
      </c>
      <c r="E5" s="4">
        <v>3294</v>
      </c>
      <c r="F5" s="4">
        <v>10600</v>
      </c>
      <c r="G5" s="9">
        <f>'QTR CF'!W7+'QTR CF'!X7+'QTR CF'!Y7+'QTR CF'!Z7</f>
        <v>0</v>
      </c>
      <c r="H5" s="9">
        <f>'QTR CF'!AA7+'QTR CF'!AB7+'QTR CF'!AC7+'QTR CF'!AD7</f>
        <v>0</v>
      </c>
      <c r="I5" s="9">
        <f>'QTR CF'!AE7+'QTR CF'!AF7+'QTR CF'!AG7+'QTR CF'!AH7</f>
        <v>0</v>
      </c>
      <c r="J5" s="9">
        <f>'QTR CF'!AI7+'QTR CF'!AJ7+'QTR CF'!AK7+'QTR CF'!AL7</f>
        <v>0</v>
      </c>
      <c r="K5" s="9">
        <f>'QTR CF'!AM7+'QTR CF'!AN7+'QTR CF'!AO7+'QTR CF'!AP7</f>
        <v>0</v>
      </c>
      <c r="L5" s="5"/>
    </row>
    <row r="6" spans="1:12" x14ac:dyDescent="0.3">
      <c r="A6" s="3" t="s">
        <v>77</v>
      </c>
      <c r="B6" s="4">
        <v>0</v>
      </c>
      <c r="C6" s="4">
        <v>5885</v>
      </c>
      <c r="D6" s="4">
        <v>14124</v>
      </c>
      <c r="E6" s="4">
        <v>14124</v>
      </c>
      <c r="F6" s="4">
        <v>26326</v>
      </c>
      <c r="G6" s="9">
        <f>'QTR CF'!W8+'QTR CF'!X8+'QTR CF'!Y8+'QTR CF'!Z8</f>
        <v>0</v>
      </c>
      <c r="H6" s="9">
        <f>'QTR CF'!AA8+'QTR CF'!AB8+'QTR CF'!AC8+'QTR CF'!AD8</f>
        <v>0</v>
      </c>
      <c r="I6" s="9">
        <f>'QTR CF'!AE8+'QTR CF'!AF8+'QTR CF'!AG8+'QTR CF'!AH8</f>
        <v>0</v>
      </c>
      <c r="J6" s="9">
        <f>'QTR CF'!AI8+'QTR CF'!AJ8+'QTR CF'!AK8+'QTR CF'!AL8</f>
        <v>0</v>
      </c>
      <c r="K6" s="9">
        <f>'QTR CF'!AM8+'QTR CF'!AN8+'QTR CF'!AO8+'QTR CF'!AP8</f>
        <v>0</v>
      </c>
      <c r="L6" s="5"/>
    </row>
    <row r="7" spans="1:12" x14ac:dyDescent="0.3">
      <c r="A7" s="3" t="s">
        <v>78</v>
      </c>
      <c r="B7" s="4">
        <v>2355</v>
      </c>
      <c r="C7" s="4">
        <v>6131</v>
      </c>
      <c r="D7" s="4">
        <v>7312</v>
      </c>
      <c r="E7" s="4">
        <v>19086</v>
      </c>
      <c r="F7" s="4">
        <v>29190</v>
      </c>
      <c r="G7" s="9">
        <f>'QTR CF'!W9+'QTR CF'!X9+'QTR CF'!Y9+'QTR CF'!Z9</f>
        <v>0</v>
      </c>
      <c r="H7" s="9">
        <f>'QTR CF'!AA9+'QTR CF'!AB9+'QTR CF'!AC9+'QTR CF'!AD9</f>
        <v>0</v>
      </c>
      <c r="I7" s="9">
        <f>'QTR CF'!AE9+'QTR CF'!AF9+'QTR CF'!AG9+'QTR CF'!AH9</f>
        <v>0</v>
      </c>
      <c r="J7" s="9">
        <f>'QTR CF'!AI9+'QTR CF'!AJ9+'QTR CF'!AK9+'QTR CF'!AL9</f>
        <v>0</v>
      </c>
      <c r="K7" s="9">
        <f>'QTR CF'!AM9+'QTR CF'!AN9+'QTR CF'!AO9+'QTR CF'!AP9</f>
        <v>0</v>
      </c>
      <c r="L7" s="5"/>
    </row>
    <row r="8" spans="1:12" x14ac:dyDescent="0.3">
      <c r="A8" s="3" t="s">
        <v>79</v>
      </c>
      <c r="B8" s="4">
        <v>0</v>
      </c>
      <c r="C8" s="4">
        <v>0</v>
      </c>
      <c r="D8" s="4">
        <v>198</v>
      </c>
      <c r="E8" s="4">
        <v>173</v>
      </c>
      <c r="F8" s="4">
        <v>0</v>
      </c>
      <c r="G8" s="9">
        <f>'QTR CF'!W10+'QTR CF'!X10+'QTR CF'!Y10+'QTR CF'!Z10</f>
        <v>0</v>
      </c>
      <c r="H8" s="9">
        <f>'QTR CF'!AA10+'QTR CF'!AB10+'QTR CF'!AC10+'QTR CF'!AD10</f>
        <v>0</v>
      </c>
      <c r="I8" s="9">
        <f>'QTR CF'!AE10+'QTR CF'!AF10+'QTR CF'!AG10+'QTR CF'!AH10</f>
        <v>0</v>
      </c>
      <c r="J8" s="9">
        <f>'QTR CF'!AI10+'QTR CF'!AJ10+'QTR CF'!AK10+'QTR CF'!AL10</f>
        <v>0</v>
      </c>
      <c r="K8" s="9">
        <f>'QTR CF'!AM10+'QTR CF'!AN10+'QTR CF'!AO10+'QTR CF'!AP10</f>
        <v>0</v>
      </c>
      <c r="L8" s="5"/>
    </row>
    <row r="9" spans="1:12" x14ac:dyDescent="0.3">
      <c r="A9" s="3" t="s">
        <v>80</v>
      </c>
      <c r="B9" s="4">
        <v>36475</v>
      </c>
      <c r="C9" s="4">
        <v>20665</v>
      </c>
      <c r="D9" s="4">
        <v>21226</v>
      </c>
      <c r="E9" s="4">
        <v>19591</v>
      </c>
      <c r="F9" s="4">
        <v>28050</v>
      </c>
      <c r="G9" s="9">
        <f>'QTR CF'!W11+'QTR CF'!X11+'QTR CF'!Y11+'QTR CF'!Z11</f>
        <v>36372.686657818296</v>
      </c>
      <c r="H9" s="9">
        <f>'QTR CF'!AA11+'QTR CF'!AB11+'QTR CF'!AC11+'QTR CF'!AD11</f>
        <v>35679.83933656304</v>
      </c>
      <c r="I9" s="9">
        <f>'QTR CF'!AE11+'QTR CF'!AF11+'QTR CF'!AG11+'QTR CF'!AH11</f>
        <v>35000.189759403147</v>
      </c>
      <c r="J9" s="9">
        <f>'QTR CF'!AI11+'QTR CF'!AJ11+'QTR CF'!AK11+'QTR CF'!AL11</f>
        <v>34333.486528312147</v>
      </c>
      <c r="K9" s="9">
        <f>'QTR CF'!AM11+'QTR CF'!AN11+'QTR CF'!AO11+'QTR CF'!AP11</f>
        <v>33679.483034034078</v>
      </c>
      <c r="L9" s="5"/>
    </row>
    <row r="10" spans="1:12" x14ac:dyDescent="0.3">
      <c r="A10" s="3" t="s">
        <v>81</v>
      </c>
      <c r="B10" s="4">
        <v>-9201</v>
      </c>
      <c r="C10" s="4">
        <v>20244</v>
      </c>
      <c r="D10" s="4">
        <v>-42055</v>
      </c>
      <c r="E10" s="4">
        <v>-9730</v>
      </c>
      <c r="F10" s="4">
        <v>-57336</v>
      </c>
      <c r="G10" s="9">
        <f>'QTR CF'!W14+'QTR CF'!X14+'QTR CF'!Y14+'QTR CF'!Z14</f>
        <v>56288</v>
      </c>
      <c r="H10" s="9">
        <f>'QTR CF'!AA14+'QTR CF'!AB14+'QTR CF'!AC14+'QTR CF'!AD14</f>
        <v>56288</v>
      </c>
      <c r="I10" s="9">
        <f>'QTR CF'!AE14+'QTR CF'!AF14+'QTR CF'!AG14+'QTR CF'!AH14</f>
        <v>56288</v>
      </c>
      <c r="J10" s="9">
        <f>'QTR CF'!AI14+'QTR CF'!AJ14+'QTR CF'!AK14+'QTR CF'!AL14</f>
        <v>56288</v>
      </c>
      <c r="K10" s="9">
        <f>'QTR CF'!AM14+'QTR CF'!AN14+'QTR CF'!AO14+'QTR CF'!AP14</f>
        <v>56288</v>
      </c>
      <c r="L10" s="5"/>
    </row>
    <row r="11" spans="1:12" x14ac:dyDescent="0.3">
      <c r="A11" s="3" t="s">
        <v>23</v>
      </c>
      <c r="B11" s="4">
        <v>880</v>
      </c>
      <c r="C11" s="4">
        <v>483</v>
      </c>
      <c r="D11" s="4">
        <v>1246</v>
      </c>
      <c r="E11" s="4">
        <v>1734</v>
      </c>
      <c r="F11" s="4">
        <v>0</v>
      </c>
      <c r="G11" s="9">
        <f>'QTR CF'!W15+'QTR CF'!X15+'QTR CF'!Y15+'QTR CF'!Z15</f>
        <v>0</v>
      </c>
      <c r="H11" s="9">
        <f>'QTR CF'!AA15+'QTR CF'!AB15+'QTR CF'!AC15+'QTR CF'!AD15</f>
        <v>0</v>
      </c>
      <c r="I11" s="9">
        <f>'QTR CF'!AE15+'QTR CF'!AF15+'QTR CF'!AG15+'QTR CF'!AH15</f>
        <v>0</v>
      </c>
      <c r="J11" s="9">
        <f>'QTR CF'!AI15+'QTR CF'!AJ15+'QTR CF'!AK15+'QTR CF'!AL15</f>
        <v>0</v>
      </c>
      <c r="K11" s="9">
        <f>'QTR CF'!AM15+'QTR CF'!AN15+'QTR CF'!AO15+'QTR CF'!AP15</f>
        <v>0</v>
      </c>
      <c r="L11" s="5"/>
    </row>
    <row r="12" spans="1:12" x14ac:dyDescent="0.3">
      <c r="A12" s="3" t="s">
        <v>82</v>
      </c>
      <c r="B12" s="4">
        <v>-28</v>
      </c>
      <c r="C12" s="4">
        <v>0</v>
      </c>
      <c r="D12" s="4">
        <v>0</v>
      </c>
      <c r="E12" s="4">
        <v>0</v>
      </c>
      <c r="F12" s="4">
        <v>0</v>
      </c>
      <c r="G12" s="9">
        <f>'QTR CF'!W13+'QTR CF'!X13+'QTR CF'!Y13+'QTR CF'!Z13</f>
        <v>0</v>
      </c>
      <c r="H12" s="9">
        <f>'QTR CF'!AA13+'QTR CF'!AB13+'QTR CF'!AC13+'QTR CF'!AD13</f>
        <v>0</v>
      </c>
      <c r="I12" s="9">
        <f>'QTR CF'!AE13+'QTR CF'!AF13+'QTR CF'!AG13+'QTR CF'!AH13</f>
        <v>0</v>
      </c>
      <c r="J12" s="9">
        <f>'QTR CF'!AI13+'QTR CF'!AJ13+'QTR CF'!AK13+'QTR CF'!AL13</f>
        <v>0</v>
      </c>
      <c r="K12" s="9">
        <f>'QTR CF'!AM13+'QTR CF'!AN13+'QTR CF'!AO13+'QTR CF'!AP13</f>
        <v>0</v>
      </c>
      <c r="L12" s="5"/>
    </row>
    <row r="13" spans="1:12" x14ac:dyDescent="0.3">
      <c r="A13" s="3" t="s">
        <v>83</v>
      </c>
      <c r="B13" s="4">
        <v>0</v>
      </c>
      <c r="C13" s="4">
        <v>0</v>
      </c>
      <c r="D13" s="4">
        <v>0</v>
      </c>
      <c r="E13" s="4">
        <v>0</v>
      </c>
      <c r="F13" s="4">
        <v>13800</v>
      </c>
      <c r="G13" s="9">
        <f>'QTR CF'!W16+'QTR CF'!X16+'QTR CF'!Y16+'QTR CF'!Z16</f>
        <v>0</v>
      </c>
      <c r="H13" s="9">
        <f>'QTR CF'!AA16+'QTR CF'!AB16+'QTR CF'!AC16+'QTR CF'!AD16</f>
        <v>0</v>
      </c>
      <c r="I13" s="9">
        <f>'QTR CF'!AE16+'QTR CF'!AF16+'QTR CF'!AG16+'QTR CF'!AH16</f>
        <v>0</v>
      </c>
      <c r="J13" s="9">
        <f>'QTR CF'!AI16+'QTR CF'!AJ16+'QTR CF'!AK16+'QTR CF'!AL16</f>
        <v>0</v>
      </c>
      <c r="K13" s="9">
        <f>'QTR CF'!AM16+'QTR CF'!AN16+'QTR CF'!AO16+'QTR CF'!AP16</f>
        <v>0</v>
      </c>
      <c r="L13" s="5"/>
    </row>
    <row r="14" spans="1:12" x14ac:dyDescent="0.3">
      <c r="A14" s="3" t="s">
        <v>84</v>
      </c>
      <c r="B14" s="4">
        <v>0</v>
      </c>
      <c r="C14" s="4">
        <v>0</v>
      </c>
      <c r="D14" s="4">
        <v>0</v>
      </c>
      <c r="E14" s="4">
        <v>0</v>
      </c>
      <c r="F14" s="4">
        <v>6003</v>
      </c>
      <c r="G14" s="9">
        <f>'QTR CF'!W17+'QTR CF'!X17+'QTR CF'!Y17+'QTR CF'!Z17</f>
        <v>0</v>
      </c>
      <c r="H14" s="9">
        <f>'QTR CF'!AA17+'QTR CF'!AB17+'QTR CF'!AC17+'QTR CF'!AD17</f>
        <v>0</v>
      </c>
      <c r="I14" s="9">
        <f>'QTR CF'!AE17+'QTR CF'!AF17+'QTR CF'!AG17+'QTR CF'!AH17</f>
        <v>0</v>
      </c>
      <c r="J14" s="9">
        <f>'QTR CF'!AI17+'QTR CF'!AJ17+'QTR CF'!AK17+'QTR CF'!AL17</f>
        <v>0</v>
      </c>
      <c r="K14" s="9">
        <f>'QTR CF'!AM17+'QTR CF'!AN17+'QTR CF'!AO17+'QTR CF'!AP17</f>
        <v>0</v>
      </c>
      <c r="L14" s="5"/>
    </row>
    <row r="15" spans="1:12" x14ac:dyDescent="0.3">
      <c r="A15" s="3" t="s">
        <v>85</v>
      </c>
      <c r="B15" s="4">
        <v>0</v>
      </c>
      <c r="C15" s="4">
        <v>37</v>
      </c>
      <c r="D15" s="4">
        <v>-28</v>
      </c>
      <c r="E15" s="4">
        <v>-324</v>
      </c>
      <c r="F15" s="4">
        <v>-1687</v>
      </c>
      <c r="G15" s="9">
        <f>'QTR CF'!W18+'QTR CF'!X18+'QTR CF'!Y18+'QTR CF'!Z18</f>
        <v>-257625.12820952034</v>
      </c>
      <c r="H15" s="9">
        <f>'QTR CF'!AA18+'QTR CF'!AB18+'QTR CF'!AC18+'QTR CF'!AD18</f>
        <v>6339.7633863690753</v>
      </c>
      <c r="I15" s="9">
        <f>'QTR CF'!AE18+'QTR CF'!AF18+'QTR CF'!AG18+'QTR CF'!AH18</f>
        <v>6219.000020139054</v>
      </c>
      <c r="J15" s="9">
        <f>'QTR CF'!AI18+'QTR CF'!AJ18+'QTR CF'!AK18+'QTR CF'!AL18</f>
        <v>6100.5370221928279</v>
      </c>
      <c r="K15" s="9">
        <f>'QTR CF'!AM18+'QTR CF'!AN18+'QTR CF'!AO18+'QTR CF'!AP18</f>
        <v>5984.3305738265954</v>
      </c>
      <c r="L15" s="5"/>
    </row>
    <row r="16" spans="1:12" x14ac:dyDescent="0.3">
      <c r="A16" s="3" t="s">
        <v>32</v>
      </c>
      <c r="B16" s="4">
        <v>-25249</v>
      </c>
      <c r="C16" s="4">
        <v>-26369</v>
      </c>
      <c r="D16" s="4">
        <v>-121558</v>
      </c>
      <c r="E16" s="4">
        <v>-89665</v>
      </c>
      <c r="F16" s="4">
        <v>-412091</v>
      </c>
      <c r="G16" s="9">
        <f>'QTR CF'!W19+'QTR CF'!X19+'QTR CF'!Y19+'QTR CF'!Z19</f>
        <v>14391.168386471458</v>
      </c>
      <c r="H16" s="9">
        <f>'QTR CF'!AA19+'QTR CF'!AB19+'QTR CF'!AC19+'QTR CF'!AD19</f>
        <v>14117.0373452286</v>
      </c>
      <c r="I16" s="9">
        <f>'QTR CF'!AE19+'QTR CF'!AF19+'QTR CF'!AG19+'QTR CF'!AH19</f>
        <v>13848.128105701879</v>
      </c>
      <c r="J16" s="9">
        <f>'QTR CF'!AI19+'QTR CF'!AJ19+'QTR CF'!AK19+'QTR CF'!AL19</f>
        <v>13584.341200085124</v>
      </c>
      <c r="K16" s="9">
        <f>'QTR CF'!AM19+'QTR CF'!AN19+'QTR CF'!AO19+'QTR CF'!AP19</f>
        <v>13325.579055291135</v>
      </c>
      <c r="L16" s="5"/>
    </row>
    <row r="17" spans="1:12" x14ac:dyDescent="0.3">
      <c r="A17" s="3" t="s">
        <v>86</v>
      </c>
      <c r="B17" s="4">
        <v>0</v>
      </c>
      <c r="C17" s="4">
        <v>0</v>
      </c>
      <c r="D17" s="4">
        <v>0</v>
      </c>
      <c r="E17" s="4">
        <v>2318</v>
      </c>
      <c r="F17" s="4">
        <v>0</v>
      </c>
      <c r="G17" s="9">
        <f>'QTR CF'!W20+'QTR CF'!X20+'QTR CF'!Y20+'QTR CF'!Z20</f>
        <v>0</v>
      </c>
      <c r="H17" s="9">
        <f>'QTR CF'!AA20+'QTR CF'!AB20+'QTR CF'!AC20+'QTR CF'!AD20</f>
        <v>0</v>
      </c>
      <c r="I17" s="9">
        <f>'QTR CF'!AE20+'QTR CF'!AF20+'QTR CF'!AG20+'QTR CF'!AH20</f>
        <v>0</v>
      </c>
      <c r="J17" s="9">
        <f>'QTR CF'!AI20+'QTR CF'!AJ20+'QTR CF'!AK20+'QTR CF'!AL20</f>
        <v>0</v>
      </c>
      <c r="K17" s="9">
        <f>'QTR CF'!AM20+'QTR CF'!AN20+'QTR CF'!AO20+'QTR CF'!AP20</f>
        <v>0</v>
      </c>
      <c r="L17" s="5"/>
    </row>
    <row r="18" spans="1:12" x14ac:dyDescent="0.3">
      <c r="A18" s="3" t="s">
        <v>34</v>
      </c>
      <c r="B18" s="4">
        <v>-175174</v>
      </c>
      <c r="C18" s="4">
        <v>11802</v>
      </c>
      <c r="D18" s="4">
        <v>-63299</v>
      </c>
      <c r="E18" s="4">
        <v>77190</v>
      </c>
      <c r="F18" s="4">
        <v>-129777</v>
      </c>
      <c r="G18" s="9">
        <f>'QTR CF'!W21+'QTR CF'!X21+'QTR CF'!Y21+'QTR CF'!Z21</f>
        <v>6432.6607735743164</v>
      </c>
      <c r="H18" s="9">
        <f>'QTR CF'!AA21+'QTR CF'!AB21+'QTR CF'!AC21+'QTR CF'!AD21</f>
        <v>6310.1278458462912</v>
      </c>
      <c r="I18" s="9">
        <f>'QTR CF'!AE21+'QTR CF'!AF21+'QTR CF'!AG21+'QTR CF'!AH21</f>
        <v>6189.9289940017625</v>
      </c>
      <c r="J18" s="9">
        <f>'QTR CF'!AI21+'QTR CF'!AJ21+'QTR CF'!AK21+'QTR CF'!AL21</f>
        <v>6072.0197572549223</v>
      </c>
      <c r="K18" s="9">
        <f>'QTR CF'!AM21+'QTR CF'!AN21+'QTR CF'!AO21+'QTR CF'!AP21</f>
        <v>5956.3565217342111</v>
      </c>
      <c r="L18" s="5"/>
    </row>
    <row r="19" spans="1:12" x14ac:dyDescent="0.3">
      <c r="A19" s="3" t="s">
        <v>35</v>
      </c>
      <c r="B19" s="4">
        <v>1072</v>
      </c>
      <c r="C19" s="4">
        <v>2214</v>
      </c>
      <c r="D19" s="4">
        <v>-7980</v>
      </c>
      <c r="E19" s="4">
        <v>1074</v>
      </c>
      <c r="F19" s="4">
        <v>-108321</v>
      </c>
      <c r="G19" s="9">
        <f>'QTR CF'!W22+'QTR CF'!X22+'QTR CF'!Y22+'QTR CF'!Z22</f>
        <v>2453.5688798897609</v>
      </c>
      <c r="H19" s="9">
        <f>'QTR CF'!AA22+'QTR CF'!AB22+'QTR CF'!AC22+'QTR CF'!AD22</f>
        <v>2406.8319247140316</v>
      </c>
      <c r="I19" s="9">
        <f>'QTR CF'!AE22+'QTR CF'!AF22+'QTR CF'!AG22+'QTR CF'!AH22</f>
        <v>2360.98524125517</v>
      </c>
      <c r="J19" s="9">
        <f>'QTR CF'!AI22+'QTR CF'!AJ22+'QTR CF'!AK22+'QTR CF'!AL22</f>
        <v>2316.011871118506</v>
      </c>
      <c r="K19" s="9">
        <f>'QTR CF'!AM22+'QTR CF'!AN22+'QTR CF'!AO22+'QTR CF'!AP22</f>
        <v>2271.8951789424318</v>
      </c>
      <c r="L19" s="5"/>
    </row>
    <row r="20" spans="1:12" x14ac:dyDescent="0.3">
      <c r="A20" s="3" t="s">
        <v>46</v>
      </c>
      <c r="B20" s="4">
        <v>0</v>
      </c>
      <c r="C20" s="4">
        <v>0</v>
      </c>
      <c r="D20" s="4">
        <v>0</v>
      </c>
      <c r="E20" s="4">
        <v>-4862</v>
      </c>
      <c r="F20" s="4">
        <v>2857</v>
      </c>
      <c r="G20" s="9">
        <f>'QTR CF'!W24+'QTR CF'!X24+'QTR CF'!Y24+'QTR CF'!Z24</f>
        <v>827.35517545092443</v>
      </c>
      <c r="H20" s="9">
        <f>'QTR CF'!AA24+'QTR CF'!AB24+'QTR CF'!AC24+'QTR CF'!AD24</f>
        <v>811.59525036123523</v>
      </c>
      <c r="I20" s="9">
        <f>'QTR CF'!AE24+'QTR CF'!AF24+'QTR CF'!AG24+'QTR CF'!AH24</f>
        <v>796.13552915762557</v>
      </c>
      <c r="J20" s="9">
        <f>'QTR CF'!AI24+'QTR CF'!AJ24+'QTR CF'!AK24+'QTR CF'!AL24</f>
        <v>780.97029338820721</v>
      </c>
      <c r="K20" s="9">
        <f>'QTR CF'!AM24+'QTR CF'!AN24+'QTR CF'!AO24+'QTR CF'!AP24</f>
        <v>766.09393352938059</v>
      </c>
      <c r="L20" s="5"/>
    </row>
    <row r="21" spans="1:12" x14ac:dyDescent="0.3">
      <c r="A21" s="3" t="s">
        <v>48</v>
      </c>
      <c r="B21" s="4">
        <v>23966</v>
      </c>
      <c r="C21" s="4">
        <v>428</v>
      </c>
      <c r="D21" s="4">
        <v>5249</v>
      </c>
      <c r="E21" s="4">
        <v>-1170</v>
      </c>
      <c r="F21" s="4">
        <v>51252</v>
      </c>
      <c r="G21" s="9">
        <f>'QTR CF'!W25+'QTR CF'!X25+'QTR CF'!Y25+'QTR CF'!Z25</f>
        <v>-2627.3679456174141</v>
      </c>
      <c r="H21" s="9">
        <f>'QTR CF'!AA25+'QTR CF'!AB25+'QTR CF'!AC25+'QTR CF'!AD25</f>
        <v>-2577.3203684285108</v>
      </c>
      <c r="I21" s="9">
        <f>'QTR CF'!AE25+'QTR CF'!AF25+'QTR CF'!AG25+'QTR CF'!AH25</f>
        <v>-2528.2261255401536</v>
      </c>
      <c r="J21" s="9">
        <f>'QTR CF'!AI25+'QTR CF'!AJ25+'QTR CF'!AK25+'QTR CF'!AL25</f>
        <v>-2480.0670573061507</v>
      </c>
      <c r="K21" s="9">
        <f>'QTR CF'!AM25+'QTR CF'!AN25+'QTR CF'!AO25+'QTR CF'!AP25</f>
        <v>-2432.8253499955608</v>
      </c>
      <c r="L21" s="5"/>
    </row>
    <row r="22" spans="1:12" x14ac:dyDescent="0.3">
      <c r="A22" s="3" t="s">
        <v>49</v>
      </c>
      <c r="B22" s="4">
        <v>26484</v>
      </c>
      <c r="C22" s="4">
        <v>34644</v>
      </c>
      <c r="D22" s="4">
        <v>-8025</v>
      </c>
      <c r="E22" s="4">
        <v>85398</v>
      </c>
      <c r="F22" s="4">
        <v>45618</v>
      </c>
      <c r="G22" s="9">
        <f>'QTR CF'!W26+'QTR CF'!X26+'QTR CF'!Y26+'QTR CF'!Z26</f>
        <v>-4394.9029201826488</v>
      </c>
      <c r="H22" s="9">
        <f>'QTR CF'!AA26+'QTR CF'!AB26+'QTR CF'!AC26+'QTR CF'!AD26</f>
        <v>-4311.1863461480534</v>
      </c>
      <c r="I22" s="9">
        <f>'QTR CF'!AE26+'QTR CF'!AF26+'QTR CF'!AG26+'QTR CF'!AH26</f>
        <v>-4229.0644523363153</v>
      </c>
      <c r="J22" s="9">
        <f>'QTR CF'!AI26+'QTR CF'!AJ26+'QTR CF'!AK26+'QTR CF'!AL26</f>
        <v>-4148.506862384791</v>
      </c>
      <c r="K22" s="9">
        <f>'QTR CF'!AM26+'QTR CF'!AN26+'QTR CF'!AO26+'QTR CF'!AP26</f>
        <v>-4069.4837785567215</v>
      </c>
      <c r="L22" s="5"/>
    </row>
    <row r="23" spans="1:12" x14ac:dyDescent="0.3">
      <c r="A23" s="3" t="s">
        <v>87</v>
      </c>
      <c r="B23" s="4">
        <v>1357</v>
      </c>
      <c r="C23" s="4">
        <v>-164</v>
      </c>
      <c r="D23" s="4">
        <v>48102</v>
      </c>
      <c r="E23" s="4">
        <v>-39536</v>
      </c>
      <c r="F23" s="4">
        <v>38750</v>
      </c>
      <c r="G23" s="9">
        <f>'QTR CF'!W27+'QTR CF'!X27+'QTR CF'!Y27+'QTR CF'!Z27</f>
        <v>-945.03718203415337</v>
      </c>
      <c r="H23" s="9">
        <f>'QTR CF'!AA27+'QTR CF'!AB27+'QTR CF'!AC27+'QTR CF'!AD27</f>
        <v>-927.03558412583516</v>
      </c>
      <c r="I23" s="9">
        <f>'QTR CF'!AE27+'QTR CF'!AF27+'QTR CF'!AG27+'QTR CF'!AH27</f>
        <v>-909.37689074383525</v>
      </c>
      <c r="J23" s="9">
        <f>'QTR CF'!AI27+'QTR CF'!AJ27+'QTR CF'!AK27+'QTR CF'!AL27</f>
        <v>-892.05457005055359</v>
      </c>
      <c r="K23" s="9">
        <f>'QTR CF'!AM27+'QTR CF'!AN27+'QTR CF'!AO27+'QTR CF'!AP27</f>
        <v>-875.06221463046677</v>
      </c>
      <c r="L23" s="5"/>
    </row>
    <row r="24" spans="1:12" x14ac:dyDescent="0.3">
      <c r="A24" s="3" t="s">
        <v>52</v>
      </c>
      <c r="B24" s="4">
        <v>13379</v>
      </c>
      <c r="C24" s="4">
        <v>16940</v>
      </c>
      <c r="D24" s="4">
        <v>63810</v>
      </c>
      <c r="E24" s="4">
        <v>36161</v>
      </c>
      <c r="F24" s="4">
        <v>153635</v>
      </c>
      <c r="G24" s="9">
        <f>'QTR CF'!W28+'QTR CF'!X28+'QTR CF'!Y28+'QTR CF'!Z28</f>
        <v>-5865.4708370217122</v>
      </c>
      <c r="H24" s="9">
        <f>'QTR CF'!AA28+'QTR CF'!AB28+'QTR CF'!AC28+'QTR CF'!AD28</f>
        <v>-5753.7420610979898</v>
      </c>
      <c r="I24" s="9">
        <f>'QTR CF'!AE28+'QTR CF'!AF28+'QTR CF'!AG28+'QTR CF'!AH28</f>
        <v>-5644.1415575188585</v>
      </c>
      <c r="J24" s="9">
        <f>'QTR CF'!AI28+'QTR CF'!AJ28+'QTR CF'!AK28+'QTR CF'!AL28</f>
        <v>-5536.628785759618</v>
      </c>
      <c r="K24" s="9">
        <f>'QTR CF'!AM28+'QTR CF'!AN28+'QTR CF'!AO28+'QTR CF'!AP28</f>
        <v>-5431.1639775345102</v>
      </c>
      <c r="L24" s="5"/>
    </row>
    <row r="25" spans="1:12" x14ac:dyDescent="0.3">
      <c r="A25" s="3" t="s">
        <v>88</v>
      </c>
      <c r="B25" s="4">
        <v>0</v>
      </c>
      <c r="C25" s="4">
        <v>3986</v>
      </c>
      <c r="D25" s="4">
        <v>-3739</v>
      </c>
      <c r="E25" s="4">
        <v>-248</v>
      </c>
      <c r="F25" s="4">
        <v>257595</v>
      </c>
      <c r="G25" s="9">
        <f>'QTR CF'!W29+'QTR CF'!X29+'QTR CF'!Y29+'QTR CF'!Z29</f>
        <v>0</v>
      </c>
      <c r="H25" s="9">
        <f>'QTR CF'!AA29+'QTR CF'!AB29+'QTR CF'!AC29+'QTR CF'!AD29</f>
        <v>0</v>
      </c>
      <c r="I25" s="9">
        <f>'QTR CF'!AE29+'QTR CF'!AF29+'QTR CF'!AG29+'QTR CF'!AH29</f>
        <v>0</v>
      </c>
      <c r="J25" s="9">
        <f>'QTR CF'!AI29+'QTR CF'!AJ29+'QTR CF'!AK29+'QTR CF'!AL29</f>
        <v>0</v>
      </c>
      <c r="K25" s="9">
        <f>'QTR CF'!AM29+'QTR CF'!AN29+'QTR CF'!AO29+'QTR CF'!AP29</f>
        <v>0</v>
      </c>
      <c r="L25" s="5"/>
    </row>
    <row r="26" spans="1:12" x14ac:dyDescent="0.3">
      <c r="A26" s="3" t="s">
        <v>57</v>
      </c>
      <c r="B26" s="4">
        <v>374</v>
      </c>
      <c r="C26" s="4">
        <v>2610</v>
      </c>
      <c r="D26" s="4">
        <v>7305</v>
      </c>
      <c r="E26" s="4">
        <v>4920</v>
      </c>
      <c r="F26" s="4">
        <v>9937</v>
      </c>
      <c r="G26" s="9">
        <f>'QTR CF'!W30+'QTR CF'!X30+'QTR CF'!Y30+'QTR CF'!Z30</f>
        <v>-694.60575753598823</v>
      </c>
      <c r="H26" s="9">
        <f>'QTR CF'!AA30+'QTR CF'!AB30+'QTR CF'!AC30+'QTR CF'!AD30</f>
        <v>-681.37451776079979</v>
      </c>
      <c r="I26" s="9">
        <f>'QTR CF'!AE30+'QTR CF'!AF30+'QTR CF'!AG30+'QTR CF'!AH30</f>
        <v>-668.39531405655725</v>
      </c>
      <c r="J26" s="9">
        <f>'QTR CF'!AI30+'QTR CF'!AJ30+'QTR CF'!AK30+'QTR CF'!AL30</f>
        <v>-655.66334549894236</v>
      </c>
      <c r="K26" s="9">
        <f>'QTR CF'!AM30+'QTR CF'!AN30+'QTR CF'!AO30+'QTR CF'!AP30</f>
        <v>-643.17390261428227</v>
      </c>
      <c r="L26" s="5"/>
    </row>
    <row r="27" spans="1:12" x14ac:dyDescent="0.3">
      <c r="A27" s="3" t="s">
        <v>89</v>
      </c>
      <c r="B27" s="4">
        <v>29</v>
      </c>
      <c r="C27" s="4">
        <v>-183</v>
      </c>
      <c r="D27" s="4">
        <v>-102</v>
      </c>
      <c r="E27" s="4">
        <v>535</v>
      </c>
      <c r="F27" s="4">
        <v>0</v>
      </c>
      <c r="G27" s="9">
        <f>'QTR CF'!W31+'QTR CF'!X31+'QTR CF'!Y31+'QTR CF'!Z31</f>
        <v>0</v>
      </c>
      <c r="H27" s="9">
        <f>'QTR CF'!AA31+'QTR CF'!AB31+'QTR CF'!AC31+'QTR CF'!AD31</f>
        <v>0</v>
      </c>
      <c r="I27" s="9">
        <f>'QTR CF'!AE31+'QTR CF'!AF31+'QTR CF'!AG31+'QTR CF'!AH31</f>
        <v>0</v>
      </c>
      <c r="J27" s="9">
        <f>'QTR CF'!AI31+'QTR CF'!AJ31+'QTR CF'!AK31+'QTR CF'!AL31</f>
        <v>0</v>
      </c>
      <c r="K27" s="9">
        <f>'QTR CF'!AM31+'QTR CF'!AN31+'QTR CF'!AO31+'QTR CF'!AP31</f>
        <v>0</v>
      </c>
      <c r="L27" s="5"/>
    </row>
    <row r="28" spans="1:12" x14ac:dyDescent="0.3">
      <c r="A28" s="3" t="s">
        <v>90</v>
      </c>
      <c r="B28" s="4">
        <v>0</v>
      </c>
      <c r="C28" s="4">
        <v>189463</v>
      </c>
      <c r="D28" s="4">
        <v>-12723</v>
      </c>
      <c r="E28" s="4">
        <v>-9513</v>
      </c>
      <c r="F28" s="4">
        <v>255110</v>
      </c>
      <c r="G28" s="9">
        <f>'QTR CF'!W32+'QTR CF'!X32+'QTR CF'!Y32+'QTR CF'!Z32</f>
        <v>0</v>
      </c>
      <c r="H28" s="9">
        <f>'QTR CF'!AA32+'QTR CF'!AB32+'QTR CF'!AC32+'QTR CF'!AD32</f>
        <v>0</v>
      </c>
      <c r="I28" s="9">
        <f>'QTR CF'!AE32+'QTR CF'!AF32+'QTR CF'!AG32+'QTR CF'!AH32</f>
        <v>0</v>
      </c>
      <c r="J28" s="9">
        <f>'QTR CF'!AI32+'QTR CF'!AJ32+'QTR CF'!AK32+'QTR CF'!AL32</f>
        <v>0</v>
      </c>
      <c r="K28" s="9">
        <f>'QTR CF'!AM32+'QTR CF'!AN32+'QTR CF'!AO32+'QTR CF'!AP32</f>
        <v>0</v>
      </c>
      <c r="L28" s="5"/>
    </row>
    <row r="29" spans="1:12" x14ac:dyDescent="0.3">
      <c r="A29" s="3" t="s">
        <v>91</v>
      </c>
      <c r="B29" s="4">
        <v>0</v>
      </c>
      <c r="C29" s="4">
        <v>0</v>
      </c>
      <c r="D29" s="4">
        <v>0</v>
      </c>
      <c r="E29" s="4">
        <v>0</v>
      </c>
      <c r="F29" s="4">
        <v>2481</v>
      </c>
      <c r="G29" s="9">
        <f>'QTR CF'!W33+'QTR CF'!X33+'QTR CF'!Y33+'QTR CF'!Z33</f>
        <v>0</v>
      </c>
      <c r="H29" s="9">
        <f>'QTR CF'!AA33+'QTR CF'!AB33+'QTR CF'!AC33+'QTR CF'!AD33</f>
        <v>0</v>
      </c>
      <c r="I29" s="9">
        <f>'QTR CF'!AE33+'QTR CF'!AF33+'QTR CF'!AG33+'QTR CF'!AH33</f>
        <v>0</v>
      </c>
      <c r="J29" s="9">
        <f>'QTR CF'!AI33+'QTR CF'!AJ33+'QTR CF'!AK33+'QTR CF'!AL33</f>
        <v>0</v>
      </c>
      <c r="K29" s="9">
        <f>'QTR CF'!AM33+'QTR CF'!AN33+'QTR CF'!AO33+'QTR CF'!AP33</f>
        <v>0</v>
      </c>
      <c r="L29" s="5"/>
    </row>
    <row r="30" spans="1:12" x14ac:dyDescent="0.3">
      <c r="A30" s="3" t="s">
        <v>92</v>
      </c>
      <c r="B30" s="6">
        <f t="shared" ref="B30:L30" si="0">SUM(B2:B29)</f>
        <v>-96586</v>
      </c>
      <c r="C30" s="6">
        <f t="shared" si="0"/>
        <v>108182</v>
      </c>
      <c r="D30" s="6">
        <f t="shared" si="0"/>
        <v>141218</v>
      </c>
      <c r="E30" s="6">
        <f t="shared" si="0"/>
        <v>262898</v>
      </c>
      <c r="F30" s="6">
        <f t="shared" si="0"/>
        <v>359442</v>
      </c>
      <c r="G30" s="7">
        <f t="shared" si="0"/>
        <v>326796.50950688415</v>
      </c>
      <c r="H30" s="7">
        <f t="shared" si="0"/>
        <v>580412.79174382868</v>
      </c>
      <c r="I30" s="7">
        <f t="shared" si="0"/>
        <v>570140.54512980697</v>
      </c>
      <c r="J30" s="7">
        <f t="shared" si="0"/>
        <v>560063.97002657456</v>
      </c>
      <c r="K30" s="7">
        <f t="shared" si="0"/>
        <v>550179.33917352546</v>
      </c>
      <c r="L30" s="7">
        <f t="shared" si="0"/>
        <v>0</v>
      </c>
    </row>
    <row r="31" spans="1:12" x14ac:dyDescent="0.3">
      <c r="A31" s="3" t="s">
        <v>93</v>
      </c>
      <c r="B31" s="4">
        <v>1886</v>
      </c>
      <c r="C31" s="4">
        <v>2592</v>
      </c>
      <c r="D31" s="4">
        <v>3233</v>
      </c>
      <c r="E31" s="4">
        <v>0</v>
      </c>
      <c r="F31" s="4">
        <v>0</v>
      </c>
      <c r="G31" s="9">
        <f>'QTR CF'!W35+'QTR CF'!X35+'QTR CF'!Y35+'QTR CF'!Z35</f>
        <v>0</v>
      </c>
      <c r="H31" s="9">
        <f>'QTR CF'!AA35+'QTR CF'!AB35+'QTR CF'!AC35+'QTR CF'!AD35</f>
        <v>0</v>
      </c>
      <c r="I31" s="9">
        <f>'QTR CF'!AE35+'QTR CF'!AF35+'QTR CF'!AG35+'QTR CF'!AH35</f>
        <v>0</v>
      </c>
      <c r="J31" s="9">
        <f>'QTR CF'!AI35+'QTR CF'!AJ35+'QTR CF'!AK35+'QTR CF'!AL35</f>
        <v>0</v>
      </c>
      <c r="K31" s="9">
        <f>'QTR CF'!AM35+'QTR CF'!AN35+'QTR CF'!AO35+'QTR CF'!AP35</f>
        <v>0</v>
      </c>
      <c r="L31" s="5"/>
    </row>
    <row r="32" spans="1:12" x14ac:dyDescent="0.3">
      <c r="A32" s="3" t="s">
        <v>94</v>
      </c>
      <c r="B32" s="4">
        <v>-3150</v>
      </c>
      <c r="C32" s="4">
        <v>-8264</v>
      </c>
      <c r="D32" s="4">
        <v>-17433</v>
      </c>
      <c r="E32" s="4">
        <v>-23390</v>
      </c>
      <c r="F32" s="4">
        <v>-36067</v>
      </c>
      <c r="G32" s="9">
        <f>'QTR CF'!W36+'QTR CF'!X36+'QTR CF'!Y36+'QTR CF'!Z36</f>
        <v>-41609.436611269266</v>
      </c>
      <c r="H32" s="9">
        <f>'QTR CF'!AA36+'QTR CF'!AB36+'QTR CF'!AC36+'QTR CF'!AD36</f>
        <v>-40816.836741859799</v>
      </c>
      <c r="I32" s="9">
        <f>'QTR CF'!AE36+'QTR CF'!AF36+'QTR CF'!AG36+'QTR CF'!AH36</f>
        <v>-40039.334758991237</v>
      </c>
      <c r="J32" s="9">
        <f>'QTR CF'!AI36+'QTR CF'!AJ36+'QTR CF'!AK36+'QTR CF'!AL36</f>
        <v>-39276.643069658836</v>
      </c>
      <c r="K32" s="9">
        <f>'QTR CF'!AM36+'QTR CF'!AN36+'QTR CF'!AO36+'QTR CF'!AP36</f>
        <v>-38528.4795590906</v>
      </c>
      <c r="L32" s="5"/>
    </row>
    <row r="33" spans="1:12" x14ac:dyDescent="0.3">
      <c r="A33" s="3" t="s">
        <v>95</v>
      </c>
      <c r="B33" s="4">
        <v>0</v>
      </c>
      <c r="C33" s="4">
        <v>0</v>
      </c>
      <c r="D33" s="4">
        <v>0</v>
      </c>
      <c r="E33" s="4">
        <v>-3000</v>
      </c>
      <c r="F33" s="4">
        <v>-10000</v>
      </c>
      <c r="G33" s="9">
        <f>'QTR CF'!W37+'QTR CF'!X37+'QTR CF'!Y37+'QTR CF'!Z37</f>
        <v>0</v>
      </c>
      <c r="H33" s="9">
        <f>'QTR CF'!AA37+'QTR CF'!AB37+'QTR CF'!AC37+'QTR CF'!AD37</f>
        <v>0</v>
      </c>
      <c r="I33" s="9">
        <f>'QTR CF'!AE37+'QTR CF'!AF37+'QTR CF'!AG37+'QTR CF'!AH37</f>
        <v>0</v>
      </c>
      <c r="J33" s="9">
        <f>'QTR CF'!AI37+'QTR CF'!AJ37+'QTR CF'!AK37+'QTR CF'!AL37</f>
        <v>0</v>
      </c>
      <c r="K33" s="9">
        <f>'QTR CF'!AM37+'QTR CF'!AN37+'QTR CF'!AO37+'QTR CF'!AP37</f>
        <v>0</v>
      </c>
      <c r="L33" s="5"/>
    </row>
    <row r="34" spans="1:12" x14ac:dyDescent="0.3">
      <c r="A34" s="3" t="s">
        <v>96</v>
      </c>
      <c r="B34" s="4">
        <v>0</v>
      </c>
      <c r="C34" s="4">
        <v>0</v>
      </c>
      <c r="D34" s="4">
        <v>0</v>
      </c>
      <c r="E34" s="4">
        <v>-75336</v>
      </c>
      <c r="F34" s="4">
        <v>0</v>
      </c>
      <c r="G34" s="9">
        <f>'QTR CF'!W38+'QTR CF'!X38+'QTR CF'!Y38+'QTR CF'!Z38</f>
        <v>0</v>
      </c>
      <c r="H34" s="9">
        <f>'QTR CF'!AA38+'QTR CF'!AB38+'QTR CF'!AC38+'QTR CF'!AD38</f>
        <v>0</v>
      </c>
      <c r="I34" s="9">
        <f>'QTR CF'!AE38+'QTR CF'!AF38+'QTR CF'!AG38+'QTR CF'!AH38</f>
        <v>0</v>
      </c>
      <c r="J34" s="9">
        <f>'QTR CF'!AI38+'QTR CF'!AJ38+'QTR CF'!AK38+'QTR CF'!AL38</f>
        <v>0</v>
      </c>
      <c r="K34" s="9">
        <f>'QTR CF'!AM38+'QTR CF'!AN38+'QTR CF'!AO38+'QTR CF'!AP38</f>
        <v>0</v>
      </c>
      <c r="L34" s="5"/>
    </row>
    <row r="35" spans="1:12" x14ac:dyDescent="0.3">
      <c r="A35" s="3" t="s">
        <v>97</v>
      </c>
      <c r="B35" s="4">
        <v>0</v>
      </c>
      <c r="C35" s="4">
        <v>0</v>
      </c>
      <c r="D35" s="4">
        <v>0</v>
      </c>
      <c r="E35" s="4">
        <v>0</v>
      </c>
      <c r="F35" s="4">
        <v>-1278769</v>
      </c>
      <c r="G35" s="9">
        <f>'QTR CF'!W39+'QTR CF'!X39+'QTR CF'!Y39+'QTR CF'!Z39</f>
        <v>0</v>
      </c>
      <c r="H35" s="9">
        <f>'QTR CF'!AA39+'QTR CF'!AB39+'QTR CF'!AC39+'QTR CF'!AD39</f>
        <v>0</v>
      </c>
      <c r="I35" s="9">
        <f>'QTR CF'!AE39+'QTR CF'!AF39+'QTR CF'!AG39+'QTR CF'!AH39</f>
        <v>0</v>
      </c>
      <c r="J35" s="9">
        <f>'QTR CF'!AI39+'QTR CF'!AJ39+'QTR CF'!AK39+'QTR CF'!AL39</f>
        <v>0</v>
      </c>
      <c r="K35" s="9">
        <f>'QTR CF'!AM39+'QTR CF'!AN39+'QTR CF'!AO39+'QTR CF'!AP39</f>
        <v>0</v>
      </c>
      <c r="L35" s="5"/>
    </row>
    <row r="36" spans="1:12" x14ac:dyDescent="0.3">
      <c r="A36" s="3" t="s">
        <v>98</v>
      </c>
      <c r="B36" s="4">
        <v>0</v>
      </c>
      <c r="C36" s="4">
        <v>0</v>
      </c>
      <c r="D36" s="4">
        <v>0</v>
      </c>
      <c r="E36" s="4">
        <v>0</v>
      </c>
      <c r="F36" s="4">
        <v>29156</v>
      </c>
      <c r="G36" s="9">
        <f>'QTR CF'!W40+'QTR CF'!X40+'QTR CF'!Y40+'QTR CF'!Z40</f>
        <v>0</v>
      </c>
      <c r="H36" s="9">
        <f>'QTR CF'!AA40+'QTR CF'!AB40+'QTR CF'!AC40+'QTR CF'!AD40</f>
        <v>0</v>
      </c>
      <c r="I36" s="9">
        <f>'QTR CF'!AE40+'QTR CF'!AF40+'QTR CF'!AG40+'QTR CF'!AH40</f>
        <v>0</v>
      </c>
      <c r="J36" s="9">
        <f>'QTR CF'!AI40+'QTR CF'!AJ40+'QTR CF'!AK40+'QTR CF'!AL40</f>
        <v>0</v>
      </c>
      <c r="K36" s="9">
        <f>'QTR CF'!AM40+'QTR CF'!AN40+'QTR CF'!AO40+'QTR CF'!AP40</f>
        <v>0</v>
      </c>
      <c r="L36" s="5"/>
    </row>
    <row r="37" spans="1:12" x14ac:dyDescent="0.3">
      <c r="A37" s="3" t="s">
        <v>99</v>
      </c>
      <c r="B37" s="6">
        <f t="shared" ref="B37:L37" si="1">SUM(B31:B36)</f>
        <v>-1264</v>
      </c>
      <c r="C37" s="6">
        <f t="shared" si="1"/>
        <v>-5672</v>
      </c>
      <c r="D37" s="6">
        <f t="shared" si="1"/>
        <v>-14200</v>
      </c>
      <c r="E37" s="6">
        <f t="shared" si="1"/>
        <v>-101726</v>
      </c>
      <c r="F37" s="6">
        <f t="shared" si="1"/>
        <v>-1295680</v>
      </c>
      <c r="G37" s="7">
        <f t="shared" si="1"/>
        <v>-41609.436611269266</v>
      </c>
      <c r="H37" s="7">
        <f t="shared" si="1"/>
        <v>-40816.836741859799</v>
      </c>
      <c r="I37" s="7">
        <f t="shared" si="1"/>
        <v>-40039.334758991237</v>
      </c>
      <c r="J37" s="7">
        <f t="shared" si="1"/>
        <v>-39276.643069658836</v>
      </c>
      <c r="K37" s="7">
        <f t="shared" si="1"/>
        <v>-38528.4795590906</v>
      </c>
      <c r="L37" s="7">
        <f t="shared" si="1"/>
        <v>0</v>
      </c>
    </row>
    <row r="38" spans="1:12" x14ac:dyDescent="0.3">
      <c r="A38" s="3" t="s">
        <v>100</v>
      </c>
      <c r="B38" s="4">
        <v>-94</v>
      </c>
      <c r="C38" s="4">
        <v>-63</v>
      </c>
      <c r="D38" s="4">
        <v>-44</v>
      </c>
      <c r="E38" s="4">
        <v>-61</v>
      </c>
      <c r="F38" s="4">
        <v>0</v>
      </c>
      <c r="G38" s="9">
        <f>'QTR CF'!W42+'QTR CF'!X42+'QTR CF'!Y42+'QTR CF'!Z42</f>
        <v>0</v>
      </c>
      <c r="H38" s="9">
        <f>'QTR CF'!AA42+'QTR CF'!AB42+'QTR CF'!AC42+'QTR CF'!AD42</f>
        <v>0</v>
      </c>
      <c r="I38" s="9">
        <f>'QTR CF'!AE42+'QTR CF'!AF42+'QTR CF'!AG42+'QTR CF'!AH42</f>
        <v>0</v>
      </c>
      <c r="J38" s="9">
        <f>'QTR CF'!AI42+'QTR CF'!AJ42+'QTR CF'!AK42+'QTR CF'!AL42</f>
        <v>0</v>
      </c>
      <c r="K38" s="9">
        <f>'QTR CF'!AM42+'QTR CF'!AN42+'QTR CF'!AO42+'QTR CF'!AP42</f>
        <v>0</v>
      </c>
      <c r="L38" s="5"/>
    </row>
    <row r="39" spans="1:12" x14ac:dyDescent="0.3">
      <c r="A39" s="3" t="s">
        <v>101</v>
      </c>
      <c r="B39" s="4">
        <v>3720</v>
      </c>
      <c r="C39" s="4">
        <v>3683</v>
      </c>
      <c r="D39" s="4">
        <v>2285</v>
      </c>
      <c r="E39" s="4">
        <v>3856</v>
      </c>
      <c r="F39" s="4">
        <v>0</v>
      </c>
      <c r="G39" s="9">
        <f>'QTR CF'!W44+'QTR CF'!X44+'QTR CF'!Y44+'QTR CF'!Z44</f>
        <v>0</v>
      </c>
      <c r="H39" s="9">
        <f>'QTR CF'!AA44+'QTR CF'!AB44+'QTR CF'!AC44+'QTR CF'!AD44</f>
        <v>0</v>
      </c>
      <c r="I39" s="9">
        <f>'QTR CF'!AE44+'QTR CF'!AF44+'QTR CF'!AG44+'QTR CF'!AH44</f>
        <v>0</v>
      </c>
      <c r="J39" s="9">
        <f>'QTR CF'!AI44+'QTR CF'!AJ44+'QTR CF'!AK44+'QTR CF'!AL44</f>
        <v>0</v>
      </c>
      <c r="K39" s="9">
        <f>'QTR CF'!AM44+'QTR CF'!AN44+'QTR CF'!AO44+'QTR CF'!AP44</f>
        <v>0</v>
      </c>
      <c r="L39" s="5"/>
    </row>
    <row r="40" spans="1:12" x14ac:dyDescent="0.3">
      <c r="A40" s="3" t="s">
        <v>102</v>
      </c>
      <c r="B40" s="4">
        <v>67769</v>
      </c>
      <c r="C40" s="4">
        <v>0</v>
      </c>
      <c r="D40" s="4">
        <v>0</v>
      </c>
      <c r="E40" s="4">
        <v>0</v>
      </c>
      <c r="F40" s="4">
        <v>0</v>
      </c>
      <c r="G40" s="9">
        <f>'QTR CF'!W43+'QTR CF'!X43+'QTR CF'!Y43+'QTR CF'!Z43</f>
        <v>0</v>
      </c>
      <c r="H40" s="9">
        <f>'QTR CF'!AA43+'QTR CF'!AB43+'QTR CF'!AC43+'QTR CF'!AD43</f>
        <v>0</v>
      </c>
      <c r="I40" s="9">
        <f>'QTR CF'!AE43+'QTR CF'!AF43+'QTR CF'!AG43+'QTR CF'!AH43</f>
        <v>0</v>
      </c>
      <c r="J40" s="9">
        <f>'QTR CF'!AI43+'QTR CF'!AJ43+'QTR CF'!AK43+'QTR CF'!AL43</f>
        <v>0</v>
      </c>
      <c r="K40" s="9">
        <f>'QTR CF'!AM43+'QTR CF'!AN43+'QTR CF'!AO43+'QTR CF'!AP43</f>
        <v>0</v>
      </c>
      <c r="L40" s="5"/>
    </row>
    <row r="41" spans="1:12" x14ac:dyDescent="0.3">
      <c r="A41" s="3" t="s">
        <v>103</v>
      </c>
      <c r="B41" s="4">
        <v>0</v>
      </c>
      <c r="C41" s="4">
        <v>542018</v>
      </c>
      <c r="D41" s="4">
        <v>0</v>
      </c>
      <c r="E41" s="4">
        <v>0</v>
      </c>
      <c r="F41" s="4">
        <v>0</v>
      </c>
      <c r="G41" s="9">
        <f>'QTR CF'!W45+'QTR CF'!X45+'QTR CF'!Y45+'QTR CF'!Z45</f>
        <v>0</v>
      </c>
      <c r="H41" s="9">
        <f>'QTR CF'!AA45+'QTR CF'!AB45+'QTR CF'!AC45+'QTR CF'!AD45</f>
        <v>0</v>
      </c>
      <c r="I41" s="9">
        <f>'QTR CF'!AE45+'QTR CF'!AF45+'QTR CF'!AG45+'QTR CF'!AH45</f>
        <v>0</v>
      </c>
      <c r="J41" s="9">
        <f>'QTR CF'!AI45+'QTR CF'!AJ45+'QTR CF'!AK45+'QTR CF'!AL45</f>
        <v>0</v>
      </c>
      <c r="K41" s="9">
        <f>'QTR CF'!AM45+'QTR CF'!AN45+'QTR CF'!AO45+'QTR CF'!AP45</f>
        <v>0</v>
      </c>
      <c r="L41" s="5"/>
    </row>
    <row r="42" spans="1:12" x14ac:dyDescent="0.3">
      <c r="A42" s="3" t="s">
        <v>28</v>
      </c>
      <c r="B42" s="4">
        <v>0</v>
      </c>
      <c r="C42" s="4">
        <v>-11526</v>
      </c>
      <c r="D42" s="4">
        <v>-27462</v>
      </c>
      <c r="E42" s="4">
        <v>-27500</v>
      </c>
      <c r="F42" s="4">
        <v>-37608</v>
      </c>
      <c r="G42" s="9">
        <f>'QTR CF'!W46+'QTR CF'!X46+'QTR CF'!Y46+'QTR CF'!Z46</f>
        <v>-57228</v>
      </c>
      <c r="H42" s="9">
        <f>'QTR CF'!AA46+'QTR CF'!AB46+'QTR CF'!AC46+'QTR CF'!AD46</f>
        <v>-57228</v>
      </c>
      <c r="I42" s="9">
        <f>'QTR CF'!AE46+'QTR CF'!AF46+'QTR CF'!AG46+'QTR CF'!AH46</f>
        <v>-57228</v>
      </c>
      <c r="J42" s="9">
        <f>'QTR CF'!AI46+'QTR CF'!AJ46+'QTR CF'!AK46+'QTR CF'!AL46</f>
        <v>-57228</v>
      </c>
      <c r="K42" s="9">
        <f>'QTR CF'!AM46+'QTR CF'!AN46+'QTR CF'!AO46+'QTR CF'!AP46</f>
        <v>-57228</v>
      </c>
      <c r="L42" s="5"/>
    </row>
    <row r="43" spans="1:12" x14ac:dyDescent="0.3">
      <c r="A43" s="3" t="s">
        <v>104</v>
      </c>
      <c r="B43" s="4">
        <v>0</v>
      </c>
      <c r="C43" s="4">
        <v>0</v>
      </c>
      <c r="D43" s="4">
        <v>0</v>
      </c>
      <c r="E43" s="4">
        <v>-2261</v>
      </c>
      <c r="F43" s="4">
        <v>-45504</v>
      </c>
      <c r="G43" s="9">
        <f>'QTR CF'!W47+'QTR CF'!X47+'QTR CF'!Y47+'QTR CF'!Z47</f>
        <v>0</v>
      </c>
      <c r="H43" s="9">
        <f>'QTR CF'!AA47+'QTR CF'!AB47+'QTR CF'!AC47+'QTR CF'!AD47</f>
        <v>0</v>
      </c>
      <c r="I43" s="9">
        <f>'QTR CF'!AE47+'QTR CF'!AF47+'QTR CF'!AG47+'QTR CF'!AH47</f>
        <v>0</v>
      </c>
      <c r="J43" s="9">
        <f>'QTR CF'!AI47+'QTR CF'!AJ47+'QTR CF'!AK47+'QTR CF'!AL47</f>
        <v>0</v>
      </c>
      <c r="K43" s="9">
        <f>'QTR CF'!AM47+'QTR CF'!AN47+'QTR CF'!AO47+'QTR CF'!AP47</f>
        <v>0</v>
      </c>
      <c r="L43" s="5"/>
    </row>
    <row r="44" spans="1:12" x14ac:dyDescent="0.3">
      <c r="A44" s="3" t="s">
        <v>105</v>
      </c>
      <c r="B44" s="4">
        <v>0</v>
      </c>
      <c r="C44" s="4">
        <v>0</v>
      </c>
      <c r="D44" s="4">
        <v>0</v>
      </c>
      <c r="E44" s="4">
        <v>0</v>
      </c>
      <c r="F44" s="4">
        <v>900000</v>
      </c>
      <c r="G44" s="9">
        <f>'QTR CF'!W48+'QTR CF'!X48+'QTR CF'!Y48+'QTR CF'!Z48</f>
        <v>0</v>
      </c>
      <c r="H44" s="9">
        <f>'QTR CF'!AA48+'QTR CF'!AB48+'QTR CF'!AC48+'QTR CF'!AD48</f>
        <v>0</v>
      </c>
      <c r="I44" s="9">
        <f>'QTR CF'!AE48+'QTR CF'!AF48+'QTR CF'!AG48+'QTR CF'!AH48</f>
        <v>0</v>
      </c>
      <c r="J44" s="9">
        <f>'QTR CF'!AI48+'QTR CF'!AJ48+'QTR CF'!AK48+'QTR CF'!AL48</f>
        <v>0</v>
      </c>
      <c r="K44" s="9">
        <f>'QTR CF'!AM48+'QTR CF'!AN48+'QTR CF'!AO48+'QTR CF'!AP48</f>
        <v>0</v>
      </c>
      <c r="L44" s="5"/>
    </row>
    <row r="45" spans="1:12" x14ac:dyDescent="0.3">
      <c r="A45" s="3" t="s">
        <v>106</v>
      </c>
      <c r="B45" s="4">
        <v>0</v>
      </c>
      <c r="C45" s="4">
        <v>0</v>
      </c>
      <c r="D45" s="4">
        <v>0</v>
      </c>
      <c r="E45" s="4">
        <v>0</v>
      </c>
      <c r="F45" s="4">
        <v>-201750</v>
      </c>
      <c r="G45" s="9">
        <f>'QTR CF'!W49+'QTR CF'!X49+'QTR CF'!Y49+'QTR CF'!Z49</f>
        <v>0</v>
      </c>
      <c r="H45" s="9">
        <f>'QTR CF'!AA49+'QTR CF'!AB49+'QTR CF'!AC49+'QTR CF'!AD49</f>
        <v>0</v>
      </c>
      <c r="I45" s="9">
        <f>'QTR CF'!AE49+'QTR CF'!AF49+'QTR CF'!AG49+'QTR CF'!AH49</f>
        <v>0</v>
      </c>
      <c r="J45" s="9">
        <f>'QTR CF'!AI49+'QTR CF'!AJ49+'QTR CF'!AK49+'QTR CF'!AL49</f>
        <v>0</v>
      </c>
      <c r="K45" s="9">
        <f>'QTR CF'!AM49+'QTR CF'!AN49+'QTR CF'!AO49+'QTR CF'!AP49</f>
        <v>0</v>
      </c>
      <c r="L45" s="5"/>
    </row>
    <row r="46" spans="1:12" x14ac:dyDescent="0.3">
      <c r="A46" s="3" t="s">
        <v>107</v>
      </c>
      <c r="B46" s="4">
        <v>0</v>
      </c>
      <c r="C46" s="4">
        <v>0</v>
      </c>
      <c r="D46" s="4">
        <v>0</v>
      </c>
      <c r="E46" s="4">
        <v>0</v>
      </c>
      <c r="F46" s="4">
        <v>-32367</v>
      </c>
      <c r="G46" s="9">
        <f>'QTR CF'!W50+'QTR CF'!X50+'QTR CF'!Y50+'QTR CF'!Z50</f>
        <v>0</v>
      </c>
      <c r="H46" s="9">
        <f>'QTR CF'!AA50+'QTR CF'!AB50+'QTR CF'!AC50+'QTR CF'!AD50</f>
        <v>0</v>
      </c>
      <c r="I46" s="9">
        <f>'QTR CF'!AE50+'QTR CF'!AF50+'QTR CF'!AG50+'QTR CF'!AH50</f>
        <v>0</v>
      </c>
      <c r="J46" s="9">
        <f>'QTR CF'!AI50+'QTR CF'!AJ50+'QTR CF'!AK50+'QTR CF'!AL50</f>
        <v>0</v>
      </c>
      <c r="K46" s="9">
        <f>'QTR CF'!AM50+'QTR CF'!AN50+'QTR CF'!AO50+'QTR CF'!AP50</f>
        <v>0</v>
      </c>
      <c r="L46" s="5"/>
    </row>
    <row r="47" spans="1:12" x14ac:dyDescent="0.3">
      <c r="A47" s="3" t="s">
        <v>108</v>
      </c>
      <c r="B47" s="4">
        <v>0</v>
      </c>
      <c r="C47" s="4">
        <v>0</v>
      </c>
      <c r="D47" s="4">
        <v>0</v>
      </c>
      <c r="E47" s="4">
        <v>0</v>
      </c>
      <c r="F47" s="4">
        <v>-7</v>
      </c>
      <c r="G47" s="9">
        <f>'QTR CF'!W51+'QTR CF'!X51+'QTR CF'!Y51+'QTR CF'!Z51</f>
        <v>0</v>
      </c>
      <c r="H47" s="9">
        <f>'QTR CF'!AA51+'QTR CF'!AB51+'QTR CF'!AC51+'QTR CF'!AD51</f>
        <v>0</v>
      </c>
      <c r="I47" s="9">
        <f>'QTR CF'!AE51+'QTR CF'!AF51+'QTR CF'!AG51+'QTR CF'!AH51</f>
        <v>0</v>
      </c>
      <c r="J47" s="9">
        <f>'QTR CF'!AI51+'QTR CF'!AJ51+'QTR CF'!AK51+'QTR CF'!AL51</f>
        <v>0</v>
      </c>
      <c r="K47" s="9">
        <f>'QTR CF'!AM51+'QTR CF'!AN51+'QTR CF'!AO51+'QTR CF'!AP51</f>
        <v>0</v>
      </c>
      <c r="L47" s="5"/>
    </row>
    <row r="48" spans="1:12" x14ac:dyDescent="0.3">
      <c r="A48" s="3" t="s">
        <v>109</v>
      </c>
      <c r="B48" s="6">
        <f t="shared" ref="B48:L48" si="2">SUM(B38:B47)</f>
        <v>71395</v>
      </c>
      <c r="C48" s="6">
        <f t="shared" si="2"/>
        <v>534112</v>
      </c>
      <c r="D48" s="6">
        <f t="shared" si="2"/>
        <v>-25221</v>
      </c>
      <c r="E48" s="6">
        <f t="shared" si="2"/>
        <v>-25966</v>
      </c>
      <c r="F48" s="6">
        <f t="shared" si="2"/>
        <v>582764</v>
      </c>
      <c r="G48" s="7">
        <f t="shared" si="2"/>
        <v>-57228</v>
      </c>
      <c r="H48" s="7">
        <f t="shared" si="2"/>
        <v>-57228</v>
      </c>
      <c r="I48" s="7">
        <f t="shared" si="2"/>
        <v>-57228</v>
      </c>
      <c r="J48" s="7">
        <f t="shared" si="2"/>
        <v>-57228</v>
      </c>
      <c r="K48" s="7">
        <f t="shared" si="2"/>
        <v>-57228</v>
      </c>
      <c r="L48" s="7">
        <f t="shared" si="2"/>
        <v>0</v>
      </c>
    </row>
    <row r="49" spans="1:12" x14ac:dyDescent="0.3">
      <c r="A49" s="3" t="s">
        <v>110</v>
      </c>
      <c r="B49" s="4">
        <v>-538</v>
      </c>
      <c r="C49" s="4">
        <v>50</v>
      </c>
      <c r="D49" s="4">
        <v>1257</v>
      </c>
      <c r="E49" s="4">
        <v>-997</v>
      </c>
      <c r="F49" s="4">
        <v>3271</v>
      </c>
      <c r="G49" s="9">
        <f>'QTR CF'!W53+'QTR CF'!X53+'QTR CF'!Y53+'QTR CF'!Z53</f>
        <v>4388</v>
      </c>
      <c r="H49" s="9">
        <f>'QTR CF'!AA53+'QTR CF'!AB53+'QTR CF'!AC53+'QTR CF'!AD53</f>
        <v>4388</v>
      </c>
      <c r="I49" s="9">
        <f>'QTR CF'!AE53+'QTR CF'!AF53+'QTR CF'!AG53+'QTR CF'!AH53</f>
        <v>4388</v>
      </c>
      <c r="J49" s="9">
        <f>'QTR CF'!AI53+'QTR CF'!AJ53+'QTR CF'!AK53+'QTR CF'!AL53</f>
        <v>4388</v>
      </c>
      <c r="K49" s="9">
        <f>'QTR CF'!AM53+'QTR CF'!AN53+'QTR CF'!AO53+'QTR CF'!AP53</f>
        <v>4388</v>
      </c>
      <c r="L49" s="5"/>
    </row>
    <row r="50" spans="1:12" x14ac:dyDescent="0.3">
      <c r="A50" s="3" t="s">
        <v>111</v>
      </c>
      <c r="B50" s="6">
        <f t="shared" ref="B50:L50" si="3">B30+B37+B48+B49</f>
        <v>-26993</v>
      </c>
      <c r="C50" s="6">
        <f t="shared" si="3"/>
        <v>636672</v>
      </c>
      <c r="D50" s="6">
        <f t="shared" si="3"/>
        <v>103054</v>
      </c>
      <c r="E50" s="6">
        <f t="shared" si="3"/>
        <v>134209</v>
      </c>
      <c r="F50" s="6">
        <f t="shared" si="3"/>
        <v>-350203</v>
      </c>
      <c r="G50" s="7">
        <f t="shared" si="3"/>
        <v>232347.0728956149</v>
      </c>
      <c r="H50" s="7">
        <f t="shared" si="3"/>
        <v>486755.95500196889</v>
      </c>
      <c r="I50" s="7">
        <f t="shared" si="3"/>
        <v>477261.21037081571</v>
      </c>
      <c r="J50" s="7">
        <f t="shared" si="3"/>
        <v>467947.32695691573</v>
      </c>
      <c r="K50" s="7">
        <f t="shared" si="3"/>
        <v>458810.85961443488</v>
      </c>
      <c r="L50" s="7">
        <f t="shared" si="3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2" customWidth="1"/>
    <col min="2" max="18" width="13" customWidth="1"/>
  </cols>
  <sheetData>
    <row r="1" spans="1:18" x14ac:dyDescent="0.3">
      <c r="A1" s="1"/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121</v>
      </c>
      <c r="L1" s="2" t="s">
        <v>122</v>
      </c>
      <c r="M1" s="2" t="s">
        <v>123</v>
      </c>
      <c r="N1" s="2" t="s">
        <v>124</v>
      </c>
      <c r="O1" s="2" t="s">
        <v>125</v>
      </c>
      <c r="P1" s="2" t="s">
        <v>126</v>
      </c>
      <c r="Q1" s="2" t="s">
        <v>127</v>
      </c>
      <c r="R1" s="2" t="s">
        <v>128</v>
      </c>
    </row>
    <row r="2" spans="1:18" x14ac:dyDescent="0.3">
      <c r="A2" s="3" t="s">
        <v>16</v>
      </c>
      <c r="B2" s="4">
        <v>58222116</v>
      </c>
      <c r="C2" s="4">
        <v>95061265</v>
      </c>
      <c r="D2" s="4">
        <v>50035</v>
      </c>
      <c r="E2" s="4">
        <v>115108202</v>
      </c>
      <c r="F2" s="4">
        <v>210017302</v>
      </c>
      <c r="G2" s="4">
        <v>133388</v>
      </c>
      <c r="H2" s="4">
        <v>287408</v>
      </c>
      <c r="I2" s="4">
        <v>475640</v>
      </c>
      <c r="J2" s="4">
        <v>259939</v>
      </c>
      <c r="K2" s="4">
        <v>585822</v>
      </c>
      <c r="L2" s="4">
        <v>970579</v>
      </c>
      <c r="M2" s="4">
        <v>355708</v>
      </c>
      <c r="N2" s="4">
        <v>757685</v>
      </c>
      <c r="O2" s="4">
        <v>1023433</v>
      </c>
      <c r="P2" s="4">
        <v>329276</v>
      </c>
      <c r="Q2" s="4">
        <v>1068535</v>
      </c>
      <c r="R2" s="4">
        <v>1793641</v>
      </c>
    </row>
    <row r="3" spans="1:18" x14ac:dyDescent="0.3">
      <c r="A3" s="3" t="s">
        <v>17</v>
      </c>
      <c r="B3" s="4">
        <v>-32207118</v>
      </c>
      <c r="C3" s="4">
        <v>-51512534</v>
      </c>
      <c r="D3" s="4">
        <v>-29456</v>
      </c>
      <c r="E3" s="4">
        <v>-66279738</v>
      </c>
      <c r="F3" s="4">
        <v>-123495466</v>
      </c>
      <c r="G3" s="4">
        <v>-79494</v>
      </c>
      <c r="H3" s="4">
        <v>-174195</v>
      </c>
      <c r="I3" s="4">
        <v>-283778</v>
      </c>
      <c r="J3" s="4">
        <v>-146121</v>
      </c>
      <c r="K3" s="4">
        <v>-313010</v>
      </c>
      <c r="L3" s="4">
        <v>-503685</v>
      </c>
      <c r="M3" s="4">
        <v>-173501</v>
      </c>
      <c r="N3" s="4">
        <v>-366380</v>
      </c>
      <c r="O3" s="4">
        <v>-509899</v>
      </c>
      <c r="P3" s="4">
        <v>-156903</v>
      </c>
      <c r="Q3" s="4">
        <v>-515311</v>
      </c>
      <c r="R3" s="4">
        <v>-868138</v>
      </c>
    </row>
    <row r="4" spans="1:18" x14ac:dyDescent="0.3">
      <c r="A4" s="3" t="s">
        <v>18</v>
      </c>
      <c r="B4" s="6">
        <f t="shared" ref="B4:R4" si="0">B2+B3</f>
        <v>26014998</v>
      </c>
      <c r="C4" s="6">
        <f t="shared" si="0"/>
        <v>43548731</v>
      </c>
      <c r="D4" s="6">
        <f t="shared" si="0"/>
        <v>20579</v>
      </c>
      <c r="E4" s="6">
        <f t="shared" si="0"/>
        <v>48828464</v>
      </c>
      <c r="F4" s="6">
        <f t="shared" si="0"/>
        <v>86521836</v>
      </c>
      <c r="G4" s="6">
        <f t="shared" si="0"/>
        <v>53894</v>
      </c>
      <c r="H4" s="6">
        <f t="shared" si="0"/>
        <v>113213</v>
      </c>
      <c r="I4" s="6">
        <f t="shared" si="0"/>
        <v>191862</v>
      </c>
      <c r="J4" s="6">
        <f t="shared" si="0"/>
        <v>113818</v>
      </c>
      <c r="K4" s="6">
        <f t="shared" si="0"/>
        <v>272812</v>
      </c>
      <c r="L4" s="6">
        <f t="shared" si="0"/>
        <v>466894</v>
      </c>
      <c r="M4" s="6">
        <f t="shared" si="0"/>
        <v>182207</v>
      </c>
      <c r="N4" s="6">
        <f t="shared" si="0"/>
        <v>391305</v>
      </c>
      <c r="O4" s="6">
        <f t="shared" si="0"/>
        <v>513534</v>
      </c>
      <c r="P4" s="6">
        <f t="shared" si="0"/>
        <v>172373</v>
      </c>
      <c r="Q4" s="6">
        <f t="shared" si="0"/>
        <v>553224</v>
      </c>
      <c r="R4" s="6">
        <f t="shared" si="0"/>
        <v>925503</v>
      </c>
    </row>
    <row r="5" spans="1:18" x14ac:dyDescent="0.3">
      <c r="A5" s="3" t="s">
        <v>129</v>
      </c>
      <c r="B5" s="4">
        <v>-15372918</v>
      </c>
      <c r="C5" s="4">
        <v>-23640914</v>
      </c>
      <c r="D5" s="4">
        <v>-11959</v>
      </c>
      <c r="E5" s="4">
        <v>-27490041</v>
      </c>
      <c r="F5" s="4">
        <v>-50111103</v>
      </c>
      <c r="G5" s="4">
        <v>-31597</v>
      </c>
      <c r="H5" s="4">
        <v>-64072</v>
      </c>
      <c r="I5" s="4">
        <v>-262782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</row>
    <row r="6" spans="1:18" x14ac:dyDescent="0.3">
      <c r="A6" s="3" t="s">
        <v>130</v>
      </c>
      <c r="B6" s="4">
        <v>-8426165</v>
      </c>
      <c r="C6" s="4">
        <v>-13178593</v>
      </c>
      <c r="D6" s="4">
        <v>-7807</v>
      </c>
      <c r="E6" s="4">
        <v>-16926198</v>
      </c>
      <c r="F6" s="4">
        <v>-28066228</v>
      </c>
      <c r="G6" s="4">
        <v>-12181</v>
      </c>
      <c r="H6" s="4">
        <v>-26595</v>
      </c>
      <c r="I6" s="4">
        <v>-54135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</row>
    <row r="7" spans="1:18" x14ac:dyDescent="0.3">
      <c r="A7" s="3" t="s">
        <v>131</v>
      </c>
      <c r="B7" s="4">
        <v>-23799083</v>
      </c>
      <c r="C7" s="4">
        <v>-36819507</v>
      </c>
      <c r="D7" s="4">
        <v>-19766</v>
      </c>
      <c r="E7" s="4">
        <v>-44416239</v>
      </c>
      <c r="F7" s="4">
        <v>-78177331</v>
      </c>
      <c r="G7" s="4">
        <v>-43778</v>
      </c>
      <c r="H7" s="4">
        <v>-90667</v>
      </c>
      <c r="I7" s="4">
        <v>-316917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</row>
    <row r="8" spans="1:18" x14ac:dyDescent="0.3">
      <c r="A8" s="3" t="s">
        <v>19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-68905</v>
      </c>
      <c r="K8" s="4">
        <v>-163086</v>
      </c>
      <c r="L8" s="4">
        <v>-259471</v>
      </c>
      <c r="M8" s="4">
        <v>-99017</v>
      </c>
      <c r="N8" s="4">
        <v>-213867</v>
      </c>
      <c r="O8" s="4">
        <v>-339310</v>
      </c>
      <c r="P8" s="4">
        <v>-120342</v>
      </c>
      <c r="Q8" s="4">
        <v>-358228</v>
      </c>
      <c r="R8" s="4">
        <v>-563799</v>
      </c>
    </row>
    <row r="9" spans="1:18" x14ac:dyDescent="0.3">
      <c r="A9" s="3" t="s">
        <v>20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-246707</v>
      </c>
    </row>
    <row r="10" spans="1:18" x14ac:dyDescent="0.3">
      <c r="A10" s="3" t="s">
        <v>21</v>
      </c>
      <c r="B10" s="6">
        <f t="shared" ref="B10:R10" si="1">B4+SUM(B5:B9)</f>
        <v>-21583168</v>
      </c>
      <c r="C10" s="6">
        <f t="shared" si="1"/>
        <v>-30090283</v>
      </c>
      <c r="D10" s="6">
        <f t="shared" si="1"/>
        <v>-18953</v>
      </c>
      <c r="E10" s="6">
        <f t="shared" si="1"/>
        <v>-40004014</v>
      </c>
      <c r="F10" s="6">
        <f t="shared" si="1"/>
        <v>-69832826</v>
      </c>
      <c r="G10" s="6">
        <f t="shared" si="1"/>
        <v>-33662</v>
      </c>
      <c r="H10" s="6">
        <f t="shared" si="1"/>
        <v>-68121</v>
      </c>
      <c r="I10" s="6">
        <f t="shared" si="1"/>
        <v>-441972</v>
      </c>
      <c r="J10" s="6">
        <f t="shared" si="1"/>
        <v>44913</v>
      </c>
      <c r="K10" s="6">
        <f t="shared" si="1"/>
        <v>109726</v>
      </c>
      <c r="L10" s="6">
        <f t="shared" si="1"/>
        <v>207423</v>
      </c>
      <c r="M10" s="6">
        <f t="shared" si="1"/>
        <v>83190</v>
      </c>
      <c r="N10" s="6">
        <f t="shared" si="1"/>
        <v>177438</v>
      </c>
      <c r="O10" s="6">
        <f t="shared" si="1"/>
        <v>174224</v>
      </c>
      <c r="P10" s="6">
        <f t="shared" si="1"/>
        <v>52031</v>
      </c>
      <c r="Q10" s="6">
        <f t="shared" si="1"/>
        <v>194996</v>
      </c>
      <c r="R10" s="6">
        <f t="shared" si="1"/>
        <v>114997</v>
      </c>
    </row>
    <row r="11" spans="1:18" x14ac:dyDescent="0.3">
      <c r="A11" s="3" t="s">
        <v>22</v>
      </c>
      <c r="B11" s="4">
        <v>-394850</v>
      </c>
      <c r="C11" s="4">
        <v>-642249</v>
      </c>
      <c r="D11" s="4">
        <v>85</v>
      </c>
      <c r="E11" s="4">
        <v>160141</v>
      </c>
      <c r="F11" s="4">
        <v>232090</v>
      </c>
      <c r="G11" s="4">
        <v>76</v>
      </c>
      <c r="H11" s="4">
        <v>129</v>
      </c>
      <c r="I11" s="4">
        <v>1579</v>
      </c>
      <c r="J11" s="4">
        <v>4969</v>
      </c>
      <c r="K11" s="4">
        <v>10542</v>
      </c>
      <c r="L11" s="4">
        <v>17767</v>
      </c>
      <c r="M11" s="4">
        <v>9640</v>
      </c>
      <c r="N11" s="4">
        <v>20287</v>
      </c>
      <c r="O11" s="4">
        <v>31399</v>
      </c>
      <c r="P11" s="4">
        <v>7846</v>
      </c>
      <c r="Q11" s="4">
        <v>-6196</v>
      </c>
      <c r="R11" s="4">
        <v>-19592</v>
      </c>
    </row>
    <row r="12" spans="1:18" x14ac:dyDescent="0.3">
      <c r="A12" s="3" t="s">
        <v>23</v>
      </c>
      <c r="B12" s="4">
        <v>96005</v>
      </c>
      <c r="C12" s="4">
        <v>646515</v>
      </c>
      <c r="D12" s="4">
        <v>-301</v>
      </c>
      <c r="E12" s="4">
        <v>-123636</v>
      </c>
      <c r="F12" s="4">
        <v>-451217</v>
      </c>
      <c r="G12" s="4">
        <v>-162</v>
      </c>
      <c r="H12" s="4">
        <v>-676</v>
      </c>
      <c r="I12" s="4">
        <v>-930</v>
      </c>
      <c r="J12" s="4">
        <v>-118</v>
      </c>
      <c r="K12" s="4">
        <v>-1049</v>
      </c>
      <c r="L12" s="4">
        <v>-1226</v>
      </c>
      <c r="M12" s="4">
        <v>-369</v>
      </c>
      <c r="N12" s="4">
        <v>-633</v>
      </c>
      <c r="O12" s="4">
        <v>-356</v>
      </c>
      <c r="P12" s="4">
        <v>0</v>
      </c>
      <c r="Q12" s="4">
        <v>0</v>
      </c>
      <c r="R12" s="4">
        <v>0</v>
      </c>
    </row>
    <row r="13" spans="1:18" x14ac:dyDescent="0.3">
      <c r="A13" s="3" t="s">
        <v>24</v>
      </c>
      <c r="B13" s="4">
        <v>35203</v>
      </c>
      <c r="C13" s="4">
        <v>-27614</v>
      </c>
      <c r="D13" s="4">
        <v>-12</v>
      </c>
      <c r="E13" s="4">
        <v>97038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1116</v>
      </c>
      <c r="Q13" s="4">
        <v>1658</v>
      </c>
      <c r="R13" s="4">
        <v>7022</v>
      </c>
    </row>
    <row r="14" spans="1:18" x14ac:dyDescent="0.3">
      <c r="A14" s="3" t="s">
        <v>82</v>
      </c>
      <c r="B14" s="4">
        <v>152112</v>
      </c>
      <c r="C14" s="4">
        <v>152112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</row>
    <row r="15" spans="1:18" x14ac:dyDescent="0.3">
      <c r="A15" s="3" t="s">
        <v>25</v>
      </c>
      <c r="B15" s="6">
        <f t="shared" ref="B15:R15" si="2">B10+SUM(B11:B14)</f>
        <v>-21694698</v>
      </c>
      <c r="C15" s="6">
        <f t="shared" si="2"/>
        <v>-29961519</v>
      </c>
      <c r="D15" s="6">
        <f t="shared" si="2"/>
        <v>-19181</v>
      </c>
      <c r="E15" s="6">
        <f t="shared" si="2"/>
        <v>-39870471</v>
      </c>
      <c r="F15" s="6">
        <f t="shared" si="2"/>
        <v>-70051953</v>
      </c>
      <c r="G15" s="6">
        <f t="shared" si="2"/>
        <v>-33748</v>
      </c>
      <c r="H15" s="6">
        <f t="shared" si="2"/>
        <v>-68668</v>
      </c>
      <c r="I15" s="6">
        <f t="shared" si="2"/>
        <v>-441323</v>
      </c>
      <c r="J15" s="6">
        <f t="shared" si="2"/>
        <v>49764</v>
      </c>
      <c r="K15" s="6">
        <f t="shared" si="2"/>
        <v>119219</v>
      </c>
      <c r="L15" s="6">
        <f t="shared" si="2"/>
        <v>223964</v>
      </c>
      <c r="M15" s="6">
        <f t="shared" si="2"/>
        <v>92461</v>
      </c>
      <c r="N15" s="6">
        <f t="shared" si="2"/>
        <v>197092</v>
      </c>
      <c r="O15" s="6">
        <f t="shared" si="2"/>
        <v>205267</v>
      </c>
      <c r="P15" s="6">
        <f t="shared" si="2"/>
        <v>60993</v>
      </c>
      <c r="Q15" s="6">
        <f t="shared" si="2"/>
        <v>190458</v>
      </c>
      <c r="R15" s="6">
        <f t="shared" si="2"/>
        <v>102427</v>
      </c>
    </row>
    <row r="16" spans="1:18" x14ac:dyDescent="0.3">
      <c r="A16" s="3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-833819</v>
      </c>
      <c r="G16" s="4">
        <v>-3351</v>
      </c>
      <c r="H16" s="4">
        <v>-6161</v>
      </c>
      <c r="I16" s="4">
        <v>-41653</v>
      </c>
      <c r="J16" s="4">
        <v>-8537</v>
      </c>
      <c r="K16" s="4">
        <v>-26483</v>
      </c>
      <c r="L16" s="4">
        <v>-47279</v>
      </c>
      <c r="M16" s="4">
        <v>-14650</v>
      </c>
      <c r="N16" s="4">
        <v>-39498</v>
      </c>
      <c r="O16" s="4">
        <v>-41317</v>
      </c>
      <c r="P16" s="4">
        <v>-16574</v>
      </c>
      <c r="Q16" s="4">
        <v>-46184</v>
      </c>
      <c r="R16" s="4">
        <v>-19167</v>
      </c>
    </row>
    <row r="17" spans="1:18" x14ac:dyDescent="0.3">
      <c r="A17" s="3" t="s">
        <v>27</v>
      </c>
      <c r="B17" s="6">
        <f t="shared" ref="B17:R17" si="3">B15+B16</f>
        <v>-21694698</v>
      </c>
      <c r="C17" s="6">
        <f t="shared" si="3"/>
        <v>-29961519</v>
      </c>
      <c r="D17" s="6">
        <f t="shared" si="3"/>
        <v>-19181</v>
      </c>
      <c r="E17" s="6">
        <f t="shared" si="3"/>
        <v>-39870471</v>
      </c>
      <c r="F17" s="6">
        <f t="shared" si="3"/>
        <v>-70885772</v>
      </c>
      <c r="G17" s="6">
        <f t="shared" si="3"/>
        <v>-37099</v>
      </c>
      <c r="H17" s="6">
        <f t="shared" si="3"/>
        <v>-74829</v>
      </c>
      <c r="I17" s="6">
        <f t="shared" si="3"/>
        <v>-482976</v>
      </c>
      <c r="J17" s="6">
        <f t="shared" si="3"/>
        <v>41227</v>
      </c>
      <c r="K17" s="6">
        <f t="shared" si="3"/>
        <v>92736</v>
      </c>
      <c r="L17" s="6">
        <f t="shared" si="3"/>
        <v>176685</v>
      </c>
      <c r="M17" s="6">
        <f t="shared" si="3"/>
        <v>77811</v>
      </c>
      <c r="N17" s="6">
        <f t="shared" si="3"/>
        <v>157594</v>
      </c>
      <c r="O17" s="6">
        <f t="shared" si="3"/>
        <v>163950</v>
      </c>
      <c r="P17" s="6">
        <f t="shared" si="3"/>
        <v>44419</v>
      </c>
      <c r="Q17" s="6">
        <f t="shared" si="3"/>
        <v>144274</v>
      </c>
      <c r="R17" s="6">
        <f t="shared" si="3"/>
        <v>83260</v>
      </c>
    </row>
    <row r="18" spans="1:18" x14ac:dyDescent="0.3">
      <c r="A18" s="3" t="s">
        <v>28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-4596</v>
      </c>
      <c r="J18" s="4">
        <v>-6781</v>
      </c>
      <c r="K18" s="4">
        <v>-13637</v>
      </c>
      <c r="L18" s="4">
        <v>-20512</v>
      </c>
      <c r="M18" s="4">
        <v>-6837</v>
      </c>
      <c r="N18" s="4">
        <v>-13675</v>
      </c>
      <c r="O18" s="4">
        <v>-20588</v>
      </c>
      <c r="P18" s="4">
        <v>-6781</v>
      </c>
      <c r="Q18" s="4">
        <v>-13632</v>
      </c>
      <c r="R18" s="4">
        <v>-23289</v>
      </c>
    </row>
    <row r="19" spans="1:18" x14ac:dyDescent="0.3">
      <c r="A19" s="3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-6727</v>
      </c>
      <c r="L19" s="4">
        <v>-13263</v>
      </c>
      <c r="M19" s="4">
        <v>-6128</v>
      </c>
      <c r="N19" s="4">
        <v>-12417</v>
      </c>
      <c r="O19" s="4">
        <v>-12357</v>
      </c>
      <c r="P19" s="4">
        <v>-3219</v>
      </c>
      <c r="Q19" s="4">
        <v>-10703</v>
      </c>
      <c r="R19" s="4">
        <v>-5272</v>
      </c>
    </row>
    <row r="20" spans="1:18" x14ac:dyDescent="0.3">
      <c r="A20" s="3" t="s">
        <v>30</v>
      </c>
      <c r="B20" s="6">
        <f t="shared" ref="B20:R20" si="4">B17+B18+B19</f>
        <v>-21694698</v>
      </c>
      <c r="C20" s="6">
        <f t="shared" si="4"/>
        <v>-29961519</v>
      </c>
      <c r="D20" s="6">
        <f t="shared" si="4"/>
        <v>-19181</v>
      </c>
      <c r="E20" s="6">
        <f t="shared" si="4"/>
        <v>-39870471</v>
      </c>
      <c r="F20" s="6">
        <f t="shared" si="4"/>
        <v>-70885772</v>
      </c>
      <c r="G20" s="6">
        <f t="shared" si="4"/>
        <v>-37099</v>
      </c>
      <c r="H20" s="6">
        <f t="shared" si="4"/>
        <v>-74829</v>
      </c>
      <c r="I20" s="6">
        <f t="shared" si="4"/>
        <v>-487572</v>
      </c>
      <c r="J20" s="6">
        <f t="shared" si="4"/>
        <v>34446</v>
      </c>
      <c r="K20" s="6">
        <f t="shared" si="4"/>
        <v>72372</v>
      </c>
      <c r="L20" s="6">
        <f t="shared" si="4"/>
        <v>142910</v>
      </c>
      <c r="M20" s="6">
        <f t="shared" si="4"/>
        <v>64846</v>
      </c>
      <c r="N20" s="6">
        <f t="shared" si="4"/>
        <v>131502</v>
      </c>
      <c r="O20" s="6">
        <f t="shared" si="4"/>
        <v>131005</v>
      </c>
      <c r="P20" s="6">
        <f t="shared" si="4"/>
        <v>34419</v>
      </c>
      <c r="Q20" s="6">
        <f t="shared" si="4"/>
        <v>119939</v>
      </c>
      <c r="R20" s="6">
        <f t="shared" si="4"/>
        <v>54699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2" customWidth="1"/>
    <col min="2" max="20" width="13" customWidth="1"/>
  </cols>
  <sheetData>
    <row r="1" spans="1:20" x14ac:dyDescent="0.3">
      <c r="A1" s="1"/>
      <c r="B1" s="2" t="s">
        <v>132</v>
      </c>
      <c r="C1" s="2" t="s">
        <v>115</v>
      </c>
      <c r="D1" s="2" t="s">
        <v>116</v>
      </c>
      <c r="E1" s="2" t="s">
        <v>133</v>
      </c>
      <c r="F1" s="2" t="s">
        <v>117</v>
      </c>
      <c r="G1" s="2" t="s">
        <v>118</v>
      </c>
      <c r="H1" s="2" t="s">
        <v>119</v>
      </c>
      <c r="I1" s="2" t="s">
        <v>134</v>
      </c>
      <c r="J1" s="2" t="s">
        <v>120</v>
      </c>
      <c r="K1" s="2" t="s">
        <v>121</v>
      </c>
      <c r="L1" s="2" t="s">
        <v>122</v>
      </c>
      <c r="M1" s="2" t="s">
        <v>135</v>
      </c>
      <c r="N1" s="2" t="s">
        <v>123</v>
      </c>
      <c r="O1" s="2" t="s">
        <v>124</v>
      </c>
      <c r="P1" s="2" t="s">
        <v>125</v>
      </c>
      <c r="Q1" s="2" t="s">
        <v>136</v>
      </c>
      <c r="R1" s="2" t="s">
        <v>126</v>
      </c>
      <c r="S1" s="2" t="s">
        <v>127</v>
      </c>
      <c r="T1" s="2" t="s">
        <v>128</v>
      </c>
    </row>
    <row r="2" spans="1:20" x14ac:dyDescent="0.3">
      <c r="A2" s="3" t="s">
        <v>31</v>
      </c>
      <c r="B2" s="4">
        <v>43248021</v>
      </c>
      <c r="C2" s="4">
        <v>83789981</v>
      </c>
      <c r="D2" s="4">
        <v>61377202</v>
      </c>
      <c r="E2" s="4">
        <v>16255</v>
      </c>
      <c r="F2" s="4">
        <v>25532</v>
      </c>
      <c r="G2" s="4">
        <v>60031</v>
      </c>
      <c r="H2" s="4">
        <v>726972</v>
      </c>
      <c r="I2" s="4">
        <v>652927</v>
      </c>
      <c r="J2" s="4">
        <v>633581</v>
      </c>
      <c r="K2" s="4">
        <v>681054</v>
      </c>
      <c r="L2" s="4">
        <v>760022</v>
      </c>
      <c r="M2" s="4">
        <v>755981</v>
      </c>
      <c r="N2" s="4">
        <v>879498</v>
      </c>
      <c r="O2" s="4">
        <v>903210</v>
      </c>
      <c r="P2" s="4">
        <v>903748</v>
      </c>
      <c r="Q2" s="4">
        <v>890190</v>
      </c>
      <c r="R2" s="4">
        <v>977285</v>
      </c>
      <c r="S2" s="4">
        <v>615233</v>
      </c>
      <c r="T2" s="4">
        <v>932463</v>
      </c>
    </row>
    <row r="3" spans="1:20" x14ac:dyDescent="0.3">
      <c r="A3" s="3" t="s">
        <v>32</v>
      </c>
      <c r="B3" s="4">
        <v>14986213</v>
      </c>
      <c r="C3" s="4">
        <v>32398823</v>
      </c>
      <c r="D3" s="4">
        <v>43500578</v>
      </c>
      <c r="E3" s="4">
        <v>38741</v>
      </c>
      <c r="F3" s="4">
        <v>72707</v>
      </c>
      <c r="G3" s="4">
        <v>66195</v>
      </c>
      <c r="H3" s="4">
        <v>117003</v>
      </c>
      <c r="I3" s="4">
        <v>63311</v>
      </c>
      <c r="J3" s="4">
        <v>172032</v>
      </c>
      <c r="K3" s="4">
        <v>197811</v>
      </c>
      <c r="L3" s="4">
        <v>215243</v>
      </c>
      <c r="M3" s="4">
        <v>183703</v>
      </c>
      <c r="N3" s="4">
        <v>200117</v>
      </c>
      <c r="O3" s="4">
        <v>262920</v>
      </c>
      <c r="P3" s="4">
        <v>208774</v>
      </c>
      <c r="Q3" s="4">
        <v>270342</v>
      </c>
      <c r="R3" s="4">
        <v>256424</v>
      </c>
      <c r="S3" s="4">
        <v>490389</v>
      </c>
      <c r="T3" s="4">
        <v>513682</v>
      </c>
    </row>
    <row r="4" spans="1:20" x14ac:dyDescent="0.3">
      <c r="A4" s="3" t="s">
        <v>33</v>
      </c>
      <c r="B4" s="4">
        <v>1885887</v>
      </c>
      <c r="C4" s="4">
        <v>2545745</v>
      </c>
      <c r="D4" s="4">
        <v>2543225</v>
      </c>
      <c r="E4" s="4">
        <v>2588</v>
      </c>
      <c r="F4" s="4">
        <v>5833</v>
      </c>
      <c r="G4" s="4">
        <v>3066</v>
      </c>
      <c r="H4" s="4">
        <v>2888</v>
      </c>
      <c r="I4" s="4">
        <v>2979</v>
      </c>
      <c r="J4" s="4">
        <v>3587</v>
      </c>
      <c r="K4" s="4">
        <v>3323</v>
      </c>
      <c r="L4" s="4">
        <v>3309</v>
      </c>
      <c r="M4" s="4">
        <v>2318</v>
      </c>
      <c r="N4" s="4">
        <v>2259</v>
      </c>
      <c r="O4" s="4">
        <v>1166</v>
      </c>
      <c r="P4" s="4">
        <v>1025</v>
      </c>
      <c r="Q4" s="4">
        <v>0</v>
      </c>
      <c r="R4" s="4">
        <v>0</v>
      </c>
      <c r="S4" s="4">
        <v>0</v>
      </c>
      <c r="T4" s="4">
        <v>0</v>
      </c>
    </row>
    <row r="5" spans="1:20" x14ac:dyDescent="0.3">
      <c r="A5" s="3" t="s">
        <v>34</v>
      </c>
      <c r="B5" s="4">
        <v>18403622</v>
      </c>
      <c r="C5" s="4">
        <v>63826596</v>
      </c>
      <c r="D5" s="4">
        <v>122311445</v>
      </c>
      <c r="E5" s="4">
        <v>191222</v>
      </c>
      <c r="F5" s="4">
        <v>184094</v>
      </c>
      <c r="G5" s="4">
        <v>162138</v>
      </c>
      <c r="H5" s="4">
        <v>153933</v>
      </c>
      <c r="I5" s="4">
        <v>173289</v>
      </c>
      <c r="J5" s="4">
        <v>154280</v>
      </c>
      <c r="K5" s="4">
        <v>152545</v>
      </c>
      <c r="L5" s="4">
        <v>198704</v>
      </c>
      <c r="M5" s="4">
        <v>229275</v>
      </c>
      <c r="N5" s="4">
        <v>197504</v>
      </c>
      <c r="O5" s="4">
        <v>180669</v>
      </c>
      <c r="P5" s="4">
        <v>197572</v>
      </c>
      <c r="Q5" s="4">
        <v>131165</v>
      </c>
      <c r="R5" s="4">
        <v>141159</v>
      </c>
      <c r="S5" s="4">
        <v>230046</v>
      </c>
      <c r="T5" s="4">
        <v>282514</v>
      </c>
    </row>
    <row r="6" spans="1:20" x14ac:dyDescent="0.3">
      <c r="A6" s="3" t="s">
        <v>35</v>
      </c>
      <c r="B6" s="4">
        <v>14626922</v>
      </c>
      <c r="C6" s="4">
        <v>22744642</v>
      </c>
      <c r="D6" s="4">
        <v>22829510</v>
      </c>
      <c r="E6" s="4">
        <v>13555</v>
      </c>
      <c r="F6" s="4">
        <v>10042</v>
      </c>
      <c r="G6" s="4">
        <v>12298</v>
      </c>
      <c r="H6" s="4">
        <v>12096</v>
      </c>
      <c r="I6" s="4">
        <v>11341</v>
      </c>
      <c r="J6" s="4">
        <v>15507</v>
      </c>
      <c r="K6" s="4">
        <v>23398</v>
      </c>
      <c r="L6" s="4">
        <v>23747</v>
      </c>
      <c r="M6" s="4">
        <v>19503</v>
      </c>
      <c r="N6" s="4">
        <v>21523</v>
      </c>
      <c r="O6" s="4">
        <v>22900</v>
      </c>
      <c r="P6" s="4">
        <v>38227</v>
      </c>
      <c r="Q6" s="4">
        <v>18759</v>
      </c>
      <c r="R6" s="4">
        <v>22464</v>
      </c>
      <c r="S6" s="4">
        <v>41420</v>
      </c>
      <c r="T6" s="4">
        <v>163395</v>
      </c>
    </row>
    <row r="7" spans="1:20" x14ac:dyDescent="0.3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14124</v>
      </c>
      <c r="I7" s="4">
        <v>14124</v>
      </c>
      <c r="J7" s="4">
        <v>14124</v>
      </c>
      <c r="K7" s="4">
        <v>14124</v>
      </c>
      <c r="L7" s="4">
        <v>14124</v>
      </c>
      <c r="M7" s="4">
        <v>14124</v>
      </c>
      <c r="N7" s="4">
        <v>14124</v>
      </c>
      <c r="O7" s="4">
        <v>14124</v>
      </c>
      <c r="P7" s="4">
        <v>14124</v>
      </c>
      <c r="Q7" s="4">
        <v>14124</v>
      </c>
      <c r="R7" s="4">
        <v>14124</v>
      </c>
      <c r="S7" s="4">
        <v>14124</v>
      </c>
      <c r="T7" s="4">
        <v>49520</v>
      </c>
    </row>
    <row r="8" spans="1:20" x14ac:dyDescent="0.3">
      <c r="A8" s="3" t="s">
        <v>37</v>
      </c>
      <c r="B8" s="6">
        <f t="shared" ref="B8:T8" si="0">SUM(B2:B7)</f>
        <v>93150665</v>
      </c>
      <c r="C8" s="6">
        <f t="shared" si="0"/>
        <v>205305787</v>
      </c>
      <c r="D8" s="6">
        <f t="shared" si="0"/>
        <v>252561960</v>
      </c>
      <c r="E8" s="6">
        <f t="shared" si="0"/>
        <v>262361</v>
      </c>
      <c r="F8" s="6">
        <f t="shared" si="0"/>
        <v>298208</v>
      </c>
      <c r="G8" s="6">
        <f t="shared" si="0"/>
        <v>303728</v>
      </c>
      <c r="H8" s="6">
        <f t="shared" si="0"/>
        <v>1027016</v>
      </c>
      <c r="I8" s="6">
        <f t="shared" si="0"/>
        <v>917971</v>
      </c>
      <c r="J8" s="6">
        <f t="shared" si="0"/>
        <v>993111</v>
      </c>
      <c r="K8" s="6">
        <f t="shared" si="0"/>
        <v>1072255</v>
      </c>
      <c r="L8" s="6">
        <f t="shared" si="0"/>
        <v>1215149</v>
      </c>
      <c r="M8" s="6">
        <f t="shared" si="0"/>
        <v>1204904</v>
      </c>
      <c r="N8" s="6">
        <f t="shared" si="0"/>
        <v>1315025</v>
      </c>
      <c r="O8" s="6">
        <f t="shared" si="0"/>
        <v>1384989</v>
      </c>
      <c r="P8" s="6">
        <f t="shared" si="0"/>
        <v>1363470</v>
      </c>
      <c r="Q8" s="6">
        <f t="shared" si="0"/>
        <v>1324580</v>
      </c>
      <c r="R8" s="6">
        <f t="shared" si="0"/>
        <v>1411456</v>
      </c>
      <c r="S8" s="6">
        <f t="shared" si="0"/>
        <v>1391212</v>
      </c>
      <c r="T8" s="6">
        <f t="shared" si="0"/>
        <v>1941574</v>
      </c>
    </row>
    <row r="9" spans="1:20" x14ac:dyDescent="0.3">
      <c r="A9" s="3" t="s">
        <v>38</v>
      </c>
      <c r="B9" s="4">
        <v>9429437</v>
      </c>
      <c r="C9" s="4">
        <v>7000800</v>
      </c>
      <c r="D9" s="4">
        <v>6993869</v>
      </c>
      <c r="E9" s="4">
        <v>7117</v>
      </c>
      <c r="F9" s="4">
        <v>3888</v>
      </c>
      <c r="G9" s="4">
        <v>3679</v>
      </c>
      <c r="H9" s="4">
        <v>3465</v>
      </c>
      <c r="I9" s="4">
        <v>3574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</row>
    <row r="10" spans="1:20" x14ac:dyDescent="0.3">
      <c r="A10" s="3" t="s">
        <v>39</v>
      </c>
      <c r="B10" s="4">
        <v>579377</v>
      </c>
      <c r="C10" s="4">
        <v>1617002</v>
      </c>
      <c r="D10" s="4">
        <v>2454914</v>
      </c>
      <c r="E10" s="4">
        <v>3180</v>
      </c>
      <c r="F10" s="4">
        <v>3702</v>
      </c>
      <c r="G10" s="4">
        <v>5135</v>
      </c>
      <c r="H10" s="4">
        <v>5782</v>
      </c>
      <c r="I10" s="4">
        <v>10185</v>
      </c>
      <c r="J10" s="4">
        <v>12054</v>
      </c>
      <c r="K10" s="4">
        <v>15892</v>
      </c>
      <c r="L10" s="4">
        <v>21061</v>
      </c>
      <c r="M10" s="4">
        <v>24868</v>
      </c>
      <c r="N10" s="4">
        <v>28350</v>
      </c>
      <c r="O10" s="4">
        <v>36282</v>
      </c>
      <c r="P10" s="4">
        <v>38370</v>
      </c>
      <c r="Q10" s="4">
        <v>55602</v>
      </c>
      <c r="R10" s="4">
        <v>58698</v>
      </c>
      <c r="S10" s="4">
        <v>72516</v>
      </c>
      <c r="T10" s="4">
        <v>80925</v>
      </c>
    </row>
    <row r="11" spans="1:20" x14ac:dyDescent="0.3">
      <c r="A11" s="3" t="s">
        <v>40</v>
      </c>
      <c r="B11" s="4">
        <v>836038</v>
      </c>
      <c r="C11" s="4">
        <v>704857</v>
      </c>
      <c r="D11" s="4">
        <v>888911</v>
      </c>
      <c r="E11" s="4">
        <v>1128</v>
      </c>
      <c r="F11" s="4">
        <v>1141</v>
      </c>
      <c r="G11" s="4">
        <v>954</v>
      </c>
      <c r="H11" s="4">
        <v>1105</v>
      </c>
      <c r="I11" s="4">
        <v>972</v>
      </c>
      <c r="J11" s="4">
        <v>931</v>
      </c>
      <c r="K11" s="4">
        <v>756</v>
      </c>
      <c r="L11" s="4">
        <v>1152</v>
      </c>
      <c r="M11" s="4">
        <v>1957</v>
      </c>
      <c r="N11" s="4">
        <v>1688</v>
      </c>
      <c r="O11" s="4">
        <v>1507</v>
      </c>
      <c r="P11" s="4">
        <v>5506</v>
      </c>
      <c r="Q11" s="4">
        <v>21606</v>
      </c>
      <c r="R11" s="4">
        <v>20866</v>
      </c>
      <c r="S11" s="4">
        <v>0</v>
      </c>
      <c r="T11" s="4">
        <v>0</v>
      </c>
    </row>
    <row r="12" spans="1:20" x14ac:dyDescent="0.3">
      <c r="A12" s="3" t="s">
        <v>42</v>
      </c>
      <c r="B12" s="4">
        <v>16590083</v>
      </c>
      <c r="C12" s="4">
        <v>16287537</v>
      </c>
      <c r="D12" s="4">
        <v>16811762</v>
      </c>
      <c r="E12" s="4">
        <v>16301</v>
      </c>
      <c r="F12" s="4">
        <v>15838</v>
      </c>
      <c r="G12" s="4">
        <v>14689</v>
      </c>
      <c r="H12" s="4">
        <v>11322</v>
      </c>
      <c r="I12" s="4">
        <v>12254</v>
      </c>
      <c r="J12" s="4">
        <v>12359</v>
      </c>
      <c r="K12" s="4">
        <v>12211</v>
      </c>
      <c r="L12" s="4">
        <v>11772</v>
      </c>
      <c r="M12" s="4">
        <v>12139</v>
      </c>
      <c r="N12" s="4">
        <v>11741</v>
      </c>
      <c r="O12" s="4">
        <v>11491</v>
      </c>
      <c r="P12" s="4">
        <v>11877</v>
      </c>
      <c r="Q12" s="4">
        <v>12213</v>
      </c>
      <c r="R12" s="4">
        <v>12444</v>
      </c>
      <c r="S12" s="4">
        <v>1222115</v>
      </c>
      <c r="T12" s="4">
        <v>1397819</v>
      </c>
    </row>
    <row r="13" spans="1:20" x14ac:dyDescent="0.3">
      <c r="A13" s="3" t="s">
        <v>43</v>
      </c>
      <c r="B13" s="4">
        <v>10419321</v>
      </c>
      <c r="C13" s="4">
        <v>10419321</v>
      </c>
      <c r="D13" s="4">
        <v>14851635</v>
      </c>
      <c r="E13" s="4">
        <v>14527</v>
      </c>
      <c r="F13" s="4">
        <v>14238</v>
      </c>
      <c r="G13" s="4">
        <v>13323</v>
      </c>
      <c r="H13" s="4">
        <v>12502</v>
      </c>
      <c r="I13" s="4">
        <v>13679</v>
      </c>
      <c r="J13" s="4">
        <v>13949</v>
      </c>
      <c r="K13" s="4">
        <v>13937</v>
      </c>
      <c r="L13" s="4">
        <v>13588</v>
      </c>
      <c r="M13" s="4">
        <v>14173</v>
      </c>
      <c r="N13" s="4">
        <v>13866</v>
      </c>
      <c r="O13" s="4">
        <v>13730</v>
      </c>
      <c r="P13" s="4">
        <v>14360</v>
      </c>
      <c r="Q13" s="4">
        <v>71582</v>
      </c>
      <c r="R13" s="4">
        <v>72128</v>
      </c>
      <c r="S13" s="4">
        <v>802234</v>
      </c>
      <c r="T13" s="4">
        <v>914957</v>
      </c>
    </row>
    <row r="14" spans="1:20" x14ac:dyDescent="0.3">
      <c r="A14" s="3" t="s">
        <v>44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265993</v>
      </c>
      <c r="I14" s="4">
        <v>262462</v>
      </c>
      <c r="J14" s="4">
        <v>258931</v>
      </c>
      <c r="K14" s="4">
        <v>255400</v>
      </c>
      <c r="L14" s="4">
        <v>251869</v>
      </c>
      <c r="M14" s="4">
        <v>248338</v>
      </c>
      <c r="N14" s="4">
        <v>244807</v>
      </c>
      <c r="O14" s="4">
        <v>241276</v>
      </c>
      <c r="P14" s="4">
        <v>237746</v>
      </c>
      <c r="Q14" s="4">
        <v>234215</v>
      </c>
      <c r="R14" s="4">
        <v>230684</v>
      </c>
      <c r="S14" s="4">
        <v>227153</v>
      </c>
      <c r="T14" s="4">
        <v>784214</v>
      </c>
    </row>
    <row r="15" spans="1:20" x14ac:dyDescent="0.3">
      <c r="A15" s="3" t="s">
        <v>45</v>
      </c>
      <c r="B15" s="4">
        <v>0</v>
      </c>
      <c r="C15" s="4">
        <v>0</v>
      </c>
      <c r="D15" s="4">
        <v>0</v>
      </c>
      <c r="E15" s="4">
        <v>9019</v>
      </c>
      <c r="F15" s="4">
        <v>6396</v>
      </c>
      <c r="G15" s="4">
        <v>7686</v>
      </c>
      <c r="H15" s="4">
        <v>0</v>
      </c>
      <c r="I15" s="4">
        <v>501</v>
      </c>
      <c r="J15" s="4">
        <v>482</v>
      </c>
      <c r="K15" s="4">
        <v>28373</v>
      </c>
      <c r="L15" s="4">
        <v>30614</v>
      </c>
      <c r="M15" s="4">
        <v>29518</v>
      </c>
      <c r="N15" s="4">
        <v>22437</v>
      </c>
      <c r="O15" s="4">
        <v>22727</v>
      </c>
      <c r="P15" s="4">
        <v>24186</v>
      </c>
      <c r="Q15" s="4">
        <v>38699</v>
      </c>
      <c r="R15" s="4">
        <v>38525</v>
      </c>
      <c r="S15" s="4">
        <v>43158</v>
      </c>
      <c r="T15" s="4">
        <v>110410</v>
      </c>
    </row>
    <row r="16" spans="1:20" x14ac:dyDescent="0.3">
      <c r="A16" s="3" t="s">
        <v>41</v>
      </c>
      <c r="B16" s="4">
        <v>162119</v>
      </c>
      <c r="C16" s="4">
        <v>100365</v>
      </c>
      <c r="D16" s="4">
        <v>106675</v>
      </c>
      <c r="E16" s="4">
        <v>86</v>
      </c>
      <c r="F16" s="4">
        <v>220</v>
      </c>
      <c r="G16" s="4">
        <v>180</v>
      </c>
      <c r="H16" s="4">
        <v>222</v>
      </c>
      <c r="I16" s="4">
        <v>208</v>
      </c>
      <c r="J16" s="4">
        <v>191</v>
      </c>
      <c r="K16" s="4">
        <v>171</v>
      </c>
      <c r="L16" s="4">
        <v>148</v>
      </c>
      <c r="M16" s="4">
        <v>208</v>
      </c>
      <c r="N16" s="4">
        <v>263</v>
      </c>
      <c r="O16" s="4">
        <v>233</v>
      </c>
      <c r="P16" s="4">
        <v>214</v>
      </c>
      <c r="Q16" s="4">
        <v>0</v>
      </c>
      <c r="R16" s="4">
        <v>0</v>
      </c>
      <c r="S16" s="4">
        <v>0</v>
      </c>
      <c r="T16" s="4">
        <v>0</v>
      </c>
    </row>
    <row r="17" spans="1:20" x14ac:dyDescent="0.3">
      <c r="A17" s="3" t="s">
        <v>46</v>
      </c>
      <c r="B17" s="4">
        <v>122733</v>
      </c>
      <c r="C17" s="4">
        <v>112456</v>
      </c>
      <c r="D17" s="4">
        <v>308449</v>
      </c>
      <c r="E17" s="4">
        <v>300</v>
      </c>
      <c r="F17" s="4">
        <v>293</v>
      </c>
      <c r="G17" s="4">
        <v>264</v>
      </c>
      <c r="H17" s="4">
        <v>242</v>
      </c>
      <c r="I17" s="4">
        <v>263</v>
      </c>
      <c r="J17" s="4">
        <v>263</v>
      </c>
      <c r="K17" s="4">
        <v>254</v>
      </c>
      <c r="L17" s="4">
        <v>265</v>
      </c>
      <c r="M17" s="4">
        <v>291</v>
      </c>
      <c r="N17" s="4">
        <v>7963</v>
      </c>
      <c r="O17" s="4">
        <v>6653</v>
      </c>
      <c r="P17" s="4">
        <v>8594</v>
      </c>
      <c r="Q17" s="4">
        <v>8384</v>
      </c>
      <c r="R17" s="4">
        <v>14717</v>
      </c>
      <c r="S17" s="4">
        <v>36755</v>
      </c>
      <c r="T17" s="4">
        <v>35809</v>
      </c>
    </row>
    <row r="18" spans="1:20" x14ac:dyDescent="0.3">
      <c r="A18" s="3" t="s">
        <v>47</v>
      </c>
      <c r="B18" s="6">
        <f t="shared" ref="B18:T18" si="1">B8+SUM(B9:B17)</f>
        <v>131289773</v>
      </c>
      <c r="C18" s="6">
        <f t="shared" si="1"/>
        <v>241548125</v>
      </c>
      <c r="D18" s="6">
        <f t="shared" si="1"/>
        <v>294978175</v>
      </c>
      <c r="E18" s="6">
        <f t="shared" si="1"/>
        <v>314019</v>
      </c>
      <c r="F18" s="6">
        <f t="shared" si="1"/>
        <v>343924</v>
      </c>
      <c r="G18" s="6">
        <f t="shared" si="1"/>
        <v>349638</v>
      </c>
      <c r="H18" s="6">
        <f t="shared" si="1"/>
        <v>1327649</v>
      </c>
      <c r="I18" s="6">
        <f t="shared" si="1"/>
        <v>1222069</v>
      </c>
      <c r="J18" s="6">
        <f t="shared" si="1"/>
        <v>1292271</v>
      </c>
      <c r="K18" s="6">
        <f t="shared" si="1"/>
        <v>1399249</v>
      </c>
      <c r="L18" s="6">
        <f t="shared" si="1"/>
        <v>1545618</v>
      </c>
      <c r="M18" s="6">
        <f t="shared" si="1"/>
        <v>1536396</v>
      </c>
      <c r="N18" s="6">
        <f t="shared" si="1"/>
        <v>1646140</v>
      </c>
      <c r="O18" s="6">
        <f t="shared" si="1"/>
        <v>1718888</v>
      </c>
      <c r="P18" s="6">
        <f t="shared" si="1"/>
        <v>1704323</v>
      </c>
      <c r="Q18" s="6">
        <f t="shared" si="1"/>
        <v>1766881</v>
      </c>
      <c r="R18" s="6">
        <f t="shared" si="1"/>
        <v>1859518</v>
      </c>
      <c r="S18" s="6">
        <f t="shared" si="1"/>
        <v>3795143</v>
      </c>
      <c r="T18" s="6">
        <f t="shared" si="1"/>
        <v>5265708</v>
      </c>
    </row>
    <row r="19" spans="1:20" x14ac:dyDescent="0.3">
      <c r="A19" s="3" t="s">
        <v>48</v>
      </c>
      <c r="B19" s="4">
        <v>25412753</v>
      </c>
      <c r="C19" s="4">
        <v>52992075</v>
      </c>
      <c r="D19" s="4">
        <v>91931593</v>
      </c>
      <c r="E19" s="4">
        <v>91479</v>
      </c>
      <c r="F19" s="4">
        <v>109307</v>
      </c>
      <c r="G19" s="4">
        <v>102416</v>
      </c>
      <c r="H19" s="4">
        <v>143947</v>
      </c>
      <c r="I19" s="4">
        <v>107340</v>
      </c>
      <c r="J19" s="4">
        <v>107112</v>
      </c>
      <c r="K19" s="4">
        <v>94313</v>
      </c>
      <c r="L19" s="4">
        <v>121088</v>
      </c>
      <c r="M19" s="4">
        <v>42840</v>
      </c>
      <c r="N19" s="4">
        <v>40196</v>
      </c>
      <c r="O19" s="4">
        <v>47423</v>
      </c>
      <c r="P19" s="4">
        <v>30938</v>
      </c>
      <c r="Q19" s="4">
        <v>41287</v>
      </c>
      <c r="R19" s="4">
        <v>61052</v>
      </c>
      <c r="S19" s="4">
        <v>120962</v>
      </c>
      <c r="T19" s="4">
        <v>97794</v>
      </c>
    </row>
    <row r="20" spans="1:20" x14ac:dyDescent="0.3">
      <c r="A20" s="3" t="s">
        <v>49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62120</v>
      </c>
      <c r="N20" s="4">
        <v>63871</v>
      </c>
      <c r="O20" s="4">
        <v>79633</v>
      </c>
      <c r="P20" s="4">
        <v>73024</v>
      </c>
      <c r="Q20" s="4">
        <v>148780</v>
      </c>
      <c r="R20" s="4">
        <v>152046</v>
      </c>
      <c r="S20" s="4">
        <v>225859</v>
      </c>
      <c r="T20" s="4">
        <v>311768</v>
      </c>
    </row>
    <row r="21" spans="1:20" x14ac:dyDescent="0.3">
      <c r="A21" s="3" t="s">
        <v>50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58798</v>
      </c>
      <c r="L21" s="4">
        <v>58855</v>
      </c>
      <c r="M21" s="4">
        <v>50424</v>
      </c>
      <c r="N21" s="4">
        <v>58619</v>
      </c>
      <c r="O21" s="4">
        <v>5374</v>
      </c>
      <c r="P21" s="4">
        <v>739</v>
      </c>
      <c r="Q21" s="4">
        <v>10834</v>
      </c>
      <c r="R21" s="4">
        <v>26206</v>
      </c>
      <c r="S21" s="4">
        <v>21765</v>
      </c>
      <c r="T21" s="4">
        <v>49590</v>
      </c>
    </row>
    <row r="22" spans="1:20" x14ac:dyDescent="0.3">
      <c r="A22" s="3" t="s">
        <v>51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115551</v>
      </c>
      <c r="I22" s="4">
        <v>3986</v>
      </c>
      <c r="J22" s="4">
        <v>1063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252953</v>
      </c>
    </row>
    <row r="23" spans="1:20" x14ac:dyDescent="0.3">
      <c r="A23" s="3" t="s">
        <v>52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35977</v>
      </c>
      <c r="J23" s="4">
        <v>68225</v>
      </c>
      <c r="K23" s="4">
        <v>98933</v>
      </c>
      <c r="L23" s="4">
        <v>136557</v>
      </c>
      <c r="M23" s="4">
        <v>99787</v>
      </c>
      <c r="N23" s="4">
        <v>129201</v>
      </c>
      <c r="O23" s="4">
        <v>156479</v>
      </c>
      <c r="P23" s="4">
        <v>158810</v>
      </c>
      <c r="Q23" s="4">
        <v>135948</v>
      </c>
      <c r="R23" s="4">
        <v>151327</v>
      </c>
      <c r="S23" s="4">
        <v>200169</v>
      </c>
      <c r="T23" s="4">
        <v>234068</v>
      </c>
    </row>
    <row r="24" spans="1:20" x14ac:dyDescent="0.3">
      <c r="A24" s="3" t="s">
        <v>53</v>
      </c>
      <c r="B24" s="4">
        <v>321283</v>
      </c>
      <c r="C24" s="4">
        <v>318142</v>
      </c>
      <c r="D24" s="4">
        <v>376602</v>
      </c>
      <c r="E24" s="4">
        <v>512</v>
      </c>
      <c r="F24" s="4">
        <v>569</v>
      </c>
      <c r="G24" s="4">
        <v>556</v>
      </c>
      <c r="H24" s="4">
        <v>663</v>
      </c>
      <c r="I24" s="4">
        <v>661</v>
      </c>
      <c r="J24" s="4">
        <v>605</v>
      </c>
      <c r="K24" s="4">
        <v>505</v>
      </c>
      <c r="L24" s="4">
        <v>628</v>
      </c>
      <c r="M24" s="4">
        <v>980</v>
      </c>
      <c r="N24" s="4">
        <v>821</v>
      </c>
      <c r="O24" s="4">
        <v>729</v>
      </c>
      <c r="P24" s="4">
        <v>1358</v>
      </c>
      <c r="Q24" s="4">
        <v>3265</v>
      </c>
      <c r="R24" s="4">
        <v>3550</v>
      </c>
      <c r="S24" s="4">
        <v>0</v>
      </c>
      <c r="T24" s="4">
        <v>0</v>
      </c>
    </row>
    <row r="25" spans="1:20" x14ac:dyDescent="0.3">
      <c r="A25" s="3" t="s">
        <v>54</v>
      </c>
      <c r="B25" s="4">
        <v>205824</v>
      </c>
      <c r="C25" s="4">
        <v>191753</v>
      </c>
      <c r="D25" s="4">
        <v>155508</v>
      </c>
      <c r="E25" s="4">
        <v>157</v>
      </c>
      <c r="F25" s="4">
        <v>141</v>
      </c>
      <c r="G25" s="4">
        <v>101</v>
      </c>
      <c r="H25" s="4">
        <v>95</v>
      </c>
      <c r="I25" s="4">
        <v>70</v>
      </c>
      <c r="J25" s="4">
        <v>69</v>
      </c>
      <c r="K25" s="4">
        <v>67</v>
      </c>
      <c r="L25" s="4">
        <v>63</v>
      </c>
      <c r="M25" s="4">
        <v>59</v>
      </c>
      <c r="N25" s="4">
        <v>61</v>
      </c>
      <c r="O25" s="4">
        <v>61</v>
      </c>
      <c r="P25" s="4">
        <v>99</v>
      </c>
      <c r="Q25" s="4">
        <v>0</v>
      </c>
      <c r="R25" s="4">
        <v>0</v>
      </c>
      <c r="S25" s="4">
        <v>0</v>
      </c>
      <c r="T25" s="4">
        <v>0</v>
      </c>
    </row>
    <row r="26" spans="1:20" x14ac:dyDescent="0.3">
      <c r="A26" s="3" t="s">
        <v>55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25000</v>
      </c>
      <c r="T26" s="4">
        <v>25000</v>
      </c>
    </row>
    <row r="27" spans="1:20" x14ac:dyDescent="0.3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7770</v>
      </c>
      <c r="I27" s="4">
        <v>9675</v>
      </c>
      <c r="J27" s="4">
        <v>9563</v>
      </c>
      <c r="K27" s="4">
        <v>9500</v>
      </c>
      <c r="L27" s="4">
        <v>9500</v>
      </c>
      <c r="M27" s="4">
        <v>9513</v>
      </c>
      <c r="N27" s="4">
        <v>9513</v>
      </c>
      <c r="O27" s="4">
        <v>9513</v>
      </c>
      <c r="P27" s="4">
        <v>9513</v>
      </c>
      <c r="Q27" s="4">
        <v>9513</v>
      </c>
      <c r="R27" s="4">
        <v>9513</v>
      </c>
      <c r="S27" s="4">
        <v>16071</v>
      </c>
      <c r="T27" s="4">
        <v>25557</v>
      </c>
    </row>
    <row r="28" spans="1:20" x14ac:dyDescent="0.3">
      <c r="A28" s="3" t="s">
        <v>57</v>
      </c>
      <c r="B28" s="4">
        <v>425232</v>
      </c>
      <c r="C28" s="4">
        <v>754907</v>
      </c>
      <c r="D28" s="4">
        <v>957627</v>
      </c>
      <c r="E28" s="4">
        <v>976</v>
      </c>
      <c r="F28" s="4">
        <v>1734</v>
      </c>
      <c r="G28" s="4">
        <v>2761</v>
      </c>
      <c r="H28" s="4">
        <v>3267</v>
      </c>
      <c r="I28" s="4">
        <v>3586</v>
      </c>
      <c r="J28" s="4">
        <v>5094</v>
      </c>
      <c r="K28" s="4">
        <v>7109</v>
      </c>
      <c r="L28" s="4">
        <v>8826</v>
      </c>
      <c r="M28" s="4">
        <v>10890</v>
      </c>
      <c r="N28" s="4">
        <v>12987</v>
      </c>
      <c r="O28" s="4">
        <v>13772</v>
      </c>
      <c r="P28" s="4">
        <v>14979</v>
      </c>
      <c r="Q28" s="4">
        <v>15908</v>
      </c>
      <c r="R28" s="4">
        <v>14160</v>
      </c>
      <c r="S28" s="4">
        <v>49949</v>
      </c>
      <c r="T28" s="4">
        <v>32258</v>
      </c>
    </row>
    <row r="29" spans="1:20" x14ac:dyDescent="0.3">
      <c r="A29" s="3" t="s">
        <v>58</v>
      </c>
      <c r="B29" s="6">
        <f t="shared" ref="B29:T29" si="2">SUM(B19:B28)</f>
        <v>26365092</v>
      </c>
      <c r="C29" s="6">
        <f t="shared" si="2"/>
        <v>54256877</v>
      </c>
      <c r="D29" s="6">
        <f t="shared" si="2"/>
        <v>93421330</v>
      </c>
      <c r="E29" s="6">
        <f t="shared" si="2"/>
        <v>93124</v>
      </c>
      <c r="F29" s="6">
        <f t="shared" si="2"/>
        <v>111751</v>
      </c>
      <c r="G29" s="6">
        <f t="shared" si="2"/>
        <v>105834</v>
      </c>
      <c r="H29" s="6">
        <f t="shared" si="2"/>
        <v>271293</v>
      </c>
      <c r="I29" s="6">
        <f t="shared" si="2"/>
        <v>161295</v>
      </c>
      <c r="J29" s="6">
        <f t="shared" si="2"/>
        <v>191731</v>
      </c>
      <c r="K29" s="6">
        <f t="shared" si="2"/>
        <v>269225</v>
      </c>
      <c r="L29" s="6">
        <f t="shared" si="2"/>
        <v>335517</v>
      </c>
      <c r="M29" s="6">
        <f t="shared" si="2"/>
        <v>276613</v>
      </c>
      <c r="N29" s="6">
        <f t="shared" si="2"/>
        <v>315269</v>
      </c>
      <c r="O29" s="6">
        <f t="shared" si="2"/>
        <v>312984</v>
      </c>
      <c r="P29" s="6">
        <f t="shared" si="2"/>
        <v>289460</v>
      </c>
      <c r="Q29" s="6">
        <f t="shared" si="2"/>
        <v>365535</v>
      </c>
      <c r="R29" s="6">
        <f t="shared" si="2"/>
        <v>417854</v>
      </c>
      <c r="S29" s="6">
        <f t="shared" si="2"/>
        <v>659775</v>
      </c>
      <c r="T29" s="6">
        <f t="shared" si="2"/>
        <v>1028988</v>
      </c>
    </row>
    <row r="30" spans="1:20" x14ac:dyDescent="0.3">
      <c r="A30" s="3" t="s">
        <v>59</v>
      </c>
      <c r="B30" s="4">
        <v>514948</v>
      </c>
      <c r="C30" s="4">
        <v>391157</v>
      </c>
      <c r="D30" s="4">
        <v>550547</v>
      </c>
      <c r="E30" s="4">
        <v>658</v>
      </c>
      <c r="F30" s="4">
        <v>597</v>
      </c>
      <c r="G30" s="4">
        <v>420</v>
      </c>
      <c r="H30" s="4">
        <v>462</v>
      </c>
      <c r="I30" s="4">
        <v>326</v>
      </c>
      <c r="J30" s="4">
        <v>336</v>
      </c>
      <c r="K30" s="4">
        <v>249</v>
      </c>
      <c r="L30" s="4">
        <v>512</v>
      </c>
      <c r="M30" s="4">
        <v>955</v>
      </c>
      <c r="N30" s="4">
        <v>850</v>
      </c>
      <c r="O30" s="4">
        <v>762</v>
      </c>
      <c r="P30" s="4">
        <v>4193</v>
      </c>
      <c r="Q30" s="4">
        <v>16674</v>
      </c>
      <c r="R30" s="4">
        <v>16152</v>
      </c>
      <c r="S30" s="4">
        <v>0</v>
      </c>
      <c r="T30" s="4">
        <v>0</v>
      </c>
    </row>
    <row r="31" spans="1:20" x14ac:dyDescent="0.3">
      <c r="A31" s="3" t="s">
        <v>60</v>
      </c>
      <c r="B31" s="4">
        <v>82290</v>
      </c>
      <c r="C31" s="4">
        <v>60731</v>
      </c>
      <c r="D31" s="4">
        <v>88649</v>
      </c>
      <c r="E31" s="4">
        <v>45</v>
      </c>
      <c r="F31" s="4">
        <v>138</v>
      </c>
      <c r="G31" s="4">
        <v>138</v>
      </c>
      <c r="H31" s="4">
        <v>167</v>
      </c>
      <c r="I31" s="4">
        <v>162</v>
      </c>
      <c r="J31" s="4">
        <v>156</v>
      </c>
      <c r="K31" s="4">
        <v>147</v>
      </c>
      <c r="L31" s="4">
        <v>135</v>
      </c>
      <c r="M31" s="4">
        <v>193</v>
      </c>
      <c r="N31" s="4">
        <v>245</v>
      </c>
      <c r="O31" s="4">
        <v>228</v>
      </c>
      <c r="P31" s="4">
        <v>189</v>
      </c>
      <c r="Q31" s="4">
        <v>0</v>
      </c>
      <c r="R31" s="4">
        <v>0</v>
      </c>
      <c r="S31" s="4">
        <v>0</v>
      </c>
      <c r="T31" s="4">
        <v>0</v>
      </c>
    </row>
    <row r="32" spans="1:20" x14ac:dyDescent="0.3">
      <c r="A32" s="3" t="s">
        <v>61</v>
      </c>
      <c r="B32" s="4">
        <v>0</v>
      </c>
      <c r="C32" s="4">
        <v>0</v>
      </c>
      <c r="D32" s="4">
        <v>3497240</v>
      </c>
      <c r="E32" s="4">
        <v>3146</v>
      </c>
      <c r="F32" s="4">
        <v>3084</v>
      </c>
      <c r="G32" s="4">
        <v>2886</v>
      </c>
      <c r="H32" s="4">
        <v>25457</v>
      </c>
      <c r="I32" s="4">
        <v>15919</v>
      </c>
      <c r="J32" s="4">
        <v>19250</v>
      </c>
      <c r="K32" s="4">
        <v>2333</v>
      </c>
      <c r="L32" s="4">
        <v>2249</v>
      </c>
      <c r="M32" s="4">
        <v>2880</v>
      </c>
      <c r="N32" s="4">
        <v>2248</v>
      </c>
      <c r="O32" s="4">
        <v>2201</v>
      </c>
      <c r="P32" s="4">
        <v>2275</v>
      </c>
      <c r="Q32" s="4">
        <v>0</v>
      </c>
      <c r="R32" s="4">
        <v>0</v>
      </c>
      <c r="S32" s="4">
        <v>0</v>
      </c>
      <c r="T32" s="4">
        <v>0</v>
      </c>
    </row>
    <row r="33" spans="1:20" x14ac:dyDescent="0.3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862917</v>
      </c>
      <c r="T33" s="4">
        <v>861472</v>
      </c>
    </row>
    <row r="34" spans="1:20" x14ac:dyDescent="0.3">
      <c r="A34" s="3" t="s">
        <v>63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146333</v>
      </c>
      <c r="I34" s="4">
        <v>179788</v>
      </c>
      <c r="J34" s="4">
        <v>175275</v>
      </c>
      <c r="K34" s="4">
        <v>171745</v>
      </c>
      <c r="L34" s="4">
        <v>169370</v>
      </c>
      <c r="M34" s="4">
        <v>167227</v>
      </c>
      <c r="N34" s="4">
        <v>164849</v>
      </c>
      <c r="O34" s="4">
        <v>162471</v>
      </c>
      <c r="P34" s="4">
        <v>160092</v>
      </c>
      <c r="Q34" s="4">
        <v>157714</v>
      </c>
      <c r="R34" s="4">
        <v>155336</v>
      </c>
      <c r="S34" s="4">
        <v>156135</v>
      </c>
      <c r="T34" s="4">
        <v>387432</v>
      </c>
    </row>
    <row r="35" spans="1:20" x14ac:dyDescent="0.3">
      <c r="A35" s="3" t="s">
        <v>64</v>
      </c>
      <c r="B35" s="4">
        <v>0</v>
      </c>
      <c r="C35" s="4">
        <v>0</v>
      </c>
      <c r="D35" s="4">
        <v>22198</v>
      </c>
      <c r="E35" s="4">
        <v>0</v>
      </c>
      <c r="F35" s="4">
        <v>0</v>
      </c>
      <c r="G35" s="4">
        <v>487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2541</v>
      </c>
      <c r="R35" s="4">
        <v>2574</v>
      </c>
      <c r="S35" s="4">
        <v>25002</v>
      </c>
      <c r="T35" s="4">
        <v>24431</v>
      </c>
    </row>
    <row r="36" spans="1:20" x14ac:dyDescent="0.3">
      <c r="A36" s="3" t="s">
        <v>65</v>
      </c>
      <c r="B36" s="6">
        <f t="shared" ref="B36:T36" si="3">B29+SUM(B30:B35)</f>
        <v>26962330</v>
      </c>
      <c r="C36" s="6">
        <f t="shared" si="3"/>
        <v>54708765</v>
      </c>
      <c r="D36" s="6">
        <f t="shared" si="3"/>
        <v>97579964</v>
      </c>
      <c r="E36" s="6">
        <f t="shared" si="3"/>
        <v>96973</v>
      </c>
      <c r="F36" s="6">
        <f t="shared" si="3"/>
        <v>115570</v>
      </c>
      <c r="G36" s="6">
        <f t="shared" si="3"/>
        <v>109765</v>
      </c>
      <c r="H36" s="6">
        <f t="shared" si="3"/>
        <v>443712</v>
      </c>
      <c r="I36" s="6">
        <f t="shared" si="3"/>
        <v>357490</v>
      </c>
      <c r="J36" s="6">
        <f t="shared" si="3"/>
        <v>386748</v>
      </c>
      <c r="K36" s="6">
        <f t="shared" si="3"/>
        <v>443699</v>
      </c>
      <c r="L36" s="6">
        <f t="shared" si="3"/>
        <v>507783</v>
      </c>
      <c r="M36" s="6">
        <f t="shared" si="3"/>
        <v>447868</v>
      </c>
      <c r="N36" s="6">
        <f t="shared" si="3"/>
        <v>483461</v>
      </c>
      <c r="O36" s="6">
        <f t="shared" si="3"/>
        <v>478646</v>
      </c>
      <c r="P36" s="6">
        <f t="shared" si="3"/>
        <v>456209</v>
      </c>
      <c r="Q36" s="6">
        <f t="shared" si="3"/>
        <v>542464</v>
      </c>
      <c r="R36" s="6">
        <f t="shared" si="3"/>
        <v>591916</v>
      </c>
      <c r="S36" s="6">
        <f t="shared" si="3"/>
        <v>1703829</v>
      </c>
      <c r="T36" s="6">
        <f t="shared" si="3"/>
        <v>2302323</v>
      </c>
    </row>
    <row r="37" spans="1:20" x14ac:dyDescent="0.3">
      <c r="A37" s="3" t="s">
        <v>66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824488</v>
      </c>
      <c r="I37" s="4">
        <v>824488</v>
      </c>
      <c r="J37" s="4">
        <v>824488</v>
      </c>
      <c r="K37" s="4">
        <v>824488</v>
      </c>
      <c r="L37" s="4">
        <v>824488</v>
      </c>
      <c r="M37" s="4">
        <v>824488</v>
      </c>
      <c r="N37" s="4">
        <v>824488</v>
      </c>
      <c r="O37" s="4">
        <v>824488</v>
      </c>
      <c r="P37" s="4">
        <v>824488</v>
      </c>
      <c r="Q37" s="4">
        <v>824488</v>
      </c>
      <c r="R37" s="4">
        <v>824488</v>
      </c>
      <c r="S37" s="4">
        <v>824488</v>
      </c>
      <c r="T37" s="4">
        <v>1760275</v>
      </c>
    </row>
    <row r="38" spans="1:20" x14ac:dyDescent="0.3">
      <c r="A38" s="3" t="s">
        <v>67</v>
      </c>
      <c r="B38" s="4">
        <v>72263</v>
      </c>
      <c r="C38" s="4">
        <v>74471</v>
      </c>
      <c r="D38" s="4">
        <v>74746</v>
      </c>
      <c r="E38" s="4">
        <v>75</v>
      </c>
      <c r="F38" s="4">
        <v>75</v>
      </c>
      <c r="G38" s="4">
        <v>76</v>
      </c>
      <c r="H38" s="4">
        <v>76</v>
      </c>
      <c r="I38" s="4">
        <v>76</v>
      </c>
      <c r="J38" s="4">
        <v>77</v>
      </c>
      <c r="K38" s="4">
        <v>77</v>
      </c>
      <c r="L38" s="4">
        <v>77</v>
      </c>
      <c r="M38" s="4">
        <v>77</v>
      </c>
      <c r="N38" s="4">
        <v>78</v>
      </c>
      <c r="O38" s="4">
        <v>78</v>
      </c>
      <c r="P38" s="4">
        <v>79</v>
      </c>
      <c r="Q38" s="4">
        <v>79</v>
      </c>
      <c r="R38" s="4">
        <v>79</v>
      </c>
      <c r="S38" s="4">
        <v>101</v>
      </c>
      <c r="T38" s="4">
        <v>101</v>
      </c>
    </row>
    <row r="39" spans="1:20" x14ac:dyDescent="0.3">
      <c r="A39" s="3" t="s">
        <v>68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</row>
    <row r="40" spans="1:20" x14ac:dyDescent="0.3">
      <c r="A40" s="3" t="s">
        <v>69</v>
      </c>
      <c r="B40" s="4">
        <v>159884154</v>
      </c>
      <c r="C40" s="4">
        <v>237763609</v>
      </c>
      <c r="D40" s="4">
        <v>244293710</v>
      </c>
      <c r="E40" s="4">
        <v>267847</v>
      </c>
      <c r="F40" s="4">
        <v>272967</v>
      </c>
      <c r="G40" s="4">
        <v>277623</v>
      </c>
      <c r="H40" s="4">
        <v>281133</v>
      </c>
      <c r="I40" s="4">
        <v>280668</v>
      </c>
      <c r="J40" s="4">
        <v>279872</v>
      </c>
      <c r="K40" s="4">
        <v>278980</v>
      </c>
      <c r="L40" s="4">
        <v>277980</v>
      </c>
      <c r="M40" s="4">
        <v>276717</v>
      </c>
      <c r="N40" s="4">
        <v>281247</v>
      </c>
      <c r="O40" s="4">
        <v>286173</v>
      </c>
      <c r="P40" s="4">
        <v>292576</v>
      </c>
      <c r="Q40" s="4">
        <v>297579</v>
      </c>
      <c r="R40" s="4">
        <v>300877</v>
      </c>
      <c r="S40" s="4">
        <v>1028384</v>
      </c>
      <c r="T40" s="4">
        <v>1035021</v>
      </c>
    </row>
    <row r="41" spans="1:20" x14ac:dyDescent="0.3">
      <c r="A41" s="3" t="s">
        <v>70</v>
      </c>
      <c r="B41" s="4">
        <v>-202142</v>
      </c>
      <c r="C41" s="4">
        <v>-117656</v>
      </c>
      <c r="D41" s="4">
        <v>1165027</v>
      </c>
      <c r="E41" s="4">
        <v>614</v>
      </c>
      <c r="F41" s="4">
        <v>123</v>
      </c>
      <c r="G41" s="4">
        <v>-2173</v>
      </c>
      <c r="H41" s="4">
        <v>-4211</v>
      </c>
      <c r="I41" s="4">
        <v>-1881</v>
      </c>
      <c r="J41" s="4">
        <v>-1287</v>
      </c>
      <c r="K41" s="4">
        <v>-1877</v>
      </c>
      <c r="L41" s="4">
        <v>-2541</v>
      </c>
      <c r="M41" s="4">
        <v>-701</v>
      </c>
      <c r="N41" s="4">
        <v>-2055</v>
      </c>
      <c r="O41" s="4">
        <v>-2363</v>
      </c>
      <c r="P41" s="4">
        <v>-338</v>
      </c>
      <c r="Q41" s="4">
        <v>-3250</v>
      </c>
      <c r="R41" s="4">
        <v>-1001</v>
      </c>
      <c r="S41" s="4">
        <v>2178</v>
      </c>
      <c r="T41" s="4">
        <v>2508</v>
      </c>
    </row>
    <row r="42" spans="1:20" x14ac:dyDescent="0.3">
      <c r="A42" s="3" t="s">
        <v>71</v>
      </c>
      <c r="B42" s="4">
        <v>-55426832</v>
      </c>
      <c r="C42" s="4">
        <v>-50881064</v>
      </c>
      <c r="D42" s="4">
        <v>-48135273</v>
      </c>
      <c r="E42" s="4">
        <v>-51490</v>
      </c>
      <c r="F42" s="4">
        <v>-44811</v>
      </c>
      <c r="G42" s="4">
        <v>-35653</v>
      </c>
      <c r="H42" s="4">
        <v>-217549</v>
      </c>
      <c r="I42" s="4">
        <v>-238772</v>
      </c>
      <c r="J42" s="4">
        <v>-197627</v>
      </c>
      <c r="K42" s="4">
        <v>-146118</v>
      </c>
      <c r="L42" s="4">
        <v>-62169</v>
      </c>
      <c r="M42" s="4">
        <v>-12053</v>
      </c>
      <c r="N42" s="4">
        <v>58921</v>
      </c>
      <c r="O42" s="4">
        <v>131866</v>
      </c>
      <c r="P42" s="4">
        <v>131309</v>
      </c>
      <c r="Q42" s="4">
        <v>105521</v>
      </c>
      <c r="R42" s="4">
        <v>143159</v>
      </c>
      <c r="S42" s="4">
        <v>236163</v>
      </c>
      <c r="T42" s="4">
        <v>165480</v>
      </c>
    </row>
    <row r="43" spans="1:20" x14ac:dyDescent="0.3">
      <c r="A43" s="3" t="s">
        <v>72</v>
      </c>
      <c r="B43" s="6">
        <f t="shared" ref="B43:T43" si="4">SUM(B37:B42)</f>
        <v>104327443</v>
      </c>
      <c r="C43" s="6">
        <f t="shared" si="4"/>
        <v>186839360</v>
      </c>
      <c r="D43" s="6">
        <f t="shared" si="4"/>
        <v>197398210</v>
      </c>
      <c r="E43" s="6">
        <f t="shared" si="4"/>
        <v>217046</v>
      </c>
      <c r="F43" s="6">
        <f t="shared" si="4"/>
        <v>228354</v>
      </c>
      <c r="G43" s="6">
        <f t="shared" si="4"/>
        <v>239873</v>
      </c>
      <c r="H43" s="6">
        <f t="shared" si="4"/>
        <v>883937</v>
      </c>
      <c r="I43" s="6">
        <f t="shared" si="4"/>
        <v>864579</v>
      </c>
      <c r="J43" s="6">
        <f t="shared" si="4"/>
        <v>905523</v>
      </c>
      <c r="K43" s="6">
        <f t="shared" si="4"/>
        <v>955550</v>
      </c>
      <c r="L43" s="6">
        <f t="shared" si="4"/>
        <v>1037835</v>
      </c>
      <c r="M43" s="6">
        <f t="shared" si="4"/>
        <v>1088528</v>
      </c>
      <c r="N43" s="6">
        <f t="shared" si="4"/>
        <v>1162679</v>
      </c>
      <c r="O43" s="6">
        <f t="shared" si="4"/>
        <v>1240242</v>
      </c>
      <c r="P43" s="6">
        <f t="shared" si="4"/>
        <v>1248114</v>
      </c>
      <c r="Q43" s="6">
        <f t="shared" si="4"/>
        <v>1224417</v>
      </c>
      <c r="R43" s="6">
        <f t="shared" si="4"/>
        <v>1267602</v>
      </c>
      <c r="S43" s="6">
        <f t="shared" si="4"/>
        <v>2091314</v>
      </c>
      <c r="T43" s="6">
        <f t="shared" si="4"/>
        <v>2963385</v>
      </c>
    </row>
    <row r="44" spans="1:20" x14ac:dyDescent="0.3">
      <c r="A44" s="3" t="s">
        <v>73</v>
      </c>
      <c r="B44" s="6">
        <f t="shared" ref="B44:T44" si="5">B36+B43</f>
        <v>131289773</v>
      </c>
      <c r="C44" s="6">
        <f t="shared" si="5"/>
        <v>241548125</v>
      </c>
      <c r="D44" s="6">
        <f t="shared" si="5"/>
        <v>294978174</v>
      </c>
      <c r="E44" s="6">
        <f t="shared" si="5"/>
        <v>314019</v>
      </c>
      <c r="F44" s="6">
        <f t="shared" si="5"/>
        <v>343924</v>
      </c>
      <c r="G44" s="6">
        <f t="shared" si="5"/>
        <v>349638</v>
      </c>
      <c r="H44" s="6">
        <f t="shared" si="5"/>
        <v>1327649</v>
      </c>
      <c r="I44" s="6">
        <f t="shared" si="5"/>
        <v>1222069</v>
      </c>
      <c r="J44" s="6">
        <f t="shared" si="5"/>
        <v>1292271</v>
      </c>
      <c r="K44" s="6">
        <f t="shared" si="5"/>
        <v>1399249</v>
      </c>
      <c r="L44" s="6">
        <f t="shared" si="5"/>
        <v>1545618</v>
      </c>
      <c r="M44" s="6">
        <f t="shared" si="5"/>
        <v>1536396</v>
      </c>
      <c r="N44" s="6">
        <f t="shared" si="5"/>
        <v>1646140</v>
      </c>
      <c r="O44" s="6">
        <f t="shared" si="5"/>
        <v>1718888</v>
      </c>
      <c r="P44" s="6">
        <f t="shared" si="5"/>
        <v>1704323</v>
      </c>
      <c r="Q44" s="6">
        <f t="shared" si="5"/>
        <v>1766881</v>
      </c>
      <c r="R44" s="6">
        <f t="shared" si="5"/>
        <v>1859518</v>
      </c>
      <c r="S44" s="6">
        <f t="shared" si="5"/>
        <v>3795143</v>
      </c>
      <c r="T44" s="6">
        <f t="shared" si="5"/>
        <v>5265708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2" customWidth="1"/>
    <col min="2" max="18" width="13" customWidth="1"/>
  </cols>
  <sheetData>
    <row r="1" spans="1:18" x14ac:dyDescent="0.3">
      <c r="A1" s="1"/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121</v>
      </c>
      <c r="L1" s="2" t="s">
        <v>122</v>
      </c>
      <c r="M1" s="2" t="s">
        <v>123</v>
      </c>
      <c r="N1" s="2" t="s">
        <v>124</v>
      </c>
      <c r="O1" s="2" t="s">
        <v>125</v>
      </c>
      <c r="P1" s="2" t="s">
        <v>126</v>
      </c>
      <c r="Q1" s="2" t="s">
        <v>127</v>
      </c>
      <c r="R1" s="2" t="s">
        <v>128</v>
      </c>
    </row>
    <row r="2" spans="1:18" x14ac:dyDescent="0.3">
      <c r="A2" s="3" t="s">
        <v>27</v>
      </c>
      <c r="B2" s="4">
        <v>2104385</v>
      </c>
      <c r="C2" s="4">
        <v>6857988</v>
      </c>
      <c r="D2" s="4">
        <v>585</v>
      </c>
      <c r="E2" s="4">
        <v>4545768</v>
      </c>
      <c r="F2" s="4">
        <v>7291559</v>
      </c>
      <c r="G2" s="4">
        <v>6679</v>
      </c>
      <c r="H2" s="4">
        <v>15838</v>
      </c>
      <c r="I2" s="4">
        <v>-166059</v>
      </c>
      <c r="J2" s="4">
        <v>41227</v>
      </c>
      <c r="K2" s="4">
        <v>92736</v>
      </c>
      <c r="L2" s="4">
        <v>176685</v>
      </c>
      <c r="M2" s="4">
        <v>77811</v>
      </c>
      <c r="N2" s="4">
        <v>157594</v>
      </c>
      <c r="O2" s="4">
        <v>163950</v>
      </c>
      <c r="P2" s="4">
        <v>44419</v>
      </c>
      <c r="Q2" s="4">
        <v>144274</v>
      </c>
      <c r="R2" s="4">
        <v>83260</v>
      </c>
    </row>
    <row r="3" spans="1:18" x14ac:dyDescent="0.3">
      <c r="A3" s="3" t="s">
        <v>137</v>
      </c>
      <c r="B3" s="4">
        <v>50351</v>
      </c>
      <c r="C3" s="4">
        <v>82180</v>
      </c>
      <c r="D3" s="4">
        <v>108</v>
      </c>
      <c r="E3" s="4">
        <v>178425</v>
      </c>
      <c r="F3" s="4">
        <v>519765</v>
      </c>
      <c r="G3" s="4">
        <v>245</v>
      </c>
      <c r="H3" s="4">
        <v>556</v>
      </c>
      <c r="I3" s="4">
        <v>952</v>
      </c>
      <c r="J3" s="4">
        <v>404</v>
      </c>
      <c r="K3" s="4">
        <v>953</v>
      </c>
      <c r="L3" s="4">
        <v>1676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</row>
    <row r="4" spans="1:18" x14ac:dyDescent="0.3">
      <c r="A4" s="3" t="s">
        <v>138</v>
      </c>
      <c r="B4" s="4">
        <v>851045</v>
      </c>
      <c r="C4" s="4">
        <v>1224684</v>
      </c>
      <c r="D4" s="4">
        <v>188</v>
      </c>
      <c r="E4" s="4">
        <v>375141</v>
      </c>
      <c r="F4" s="4">
        <v>550800</v>
      </c>
      <c r="G4" s="4">
        <v>141</v>
      </c>
      <c r="H4" s="4">
        <v>275</v>
      </c>
      <c r="I4" s="4">
        <v>402</v>
      </c>
      <c r="J4" s="4">
        <v>145</v>
      </c>
      <c r="K4" s="4">
        <v>294</v>
      </c>
      <c r="L4" s="4">
        <v>445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</row>
    <row r="5" spans="1:18" x14ac:dyDescent="0.3">
      <c r="A5" s="3" t="s">
        <v>75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2379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</row>
    <row r="6" spans="1:18" x14ac:dyDescent="0.3">
      <c r="A6" s="3" t="s">
        <v>74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1229</v>
      </c>
      <c r="N6" s="4">
        <v>2648</v>
      </c>
      <c r="O6" s="4">
        <v>4888</v>
      </c>
      <c r="P6" s="4">
        <v>2611</v>
      </c>
      <c r="Q6" s="4">
        <v>11730</v>
      </c>
      <c r="R6" s="4">
        <v>20516</v>
      </c>
    </row>
    <row r="7" spans="1:18" x14ac:dyDescent="0.3">
      <c r="A7" s="3" t="s">
        <v>76</v>
      </c>
      <c r="B7" s="4">
        <v>221182</v>
      </c>
      <c r="C7" s="4">
        <v>244685</v>
      </c>
      <c r="D7" s="4">
        <v>223</v>
      </c>
      <c r="E7" s="4">
        <v>854606</v>
      </c>
      <c r="F7" s="4">
        <v>-207261</v>
      </c>
      <c r="G7" s="4">
        <v>455</v>
      </c>
      <c r="H7" s="4">
        <v>466</v>
      </c>
      <c r="I7" s="4">
        <v>705</v>
      </c>
      <c r="J7" s="4">
        <v>837</v>
      </c>
      <c r="K7" s="4">
        <v>1088</v>
      </c>
      <c r="L7" s="4">
        <v>1880</v>
      </c>
      <c r="M7" s="4">
        <v>2250</v>
      </c>
      <c r="N7" s="4">
        <v>4072</v>
      </c>
      <c r="O7" s="4">
        <v>4279</v>
      </c>
      <c r="P7" s="4">
        <v>2077</v>
      </c>
      <c r="Q7" s="4">
        <v>5529</v>
      </c>
      <c r="R7" s="4">
        <v>3226</v>
      </c>
    </row>
    <row r="8" spans="1:18" x14ac:dyDescent="0.3">
      <c r="A8" s="3" t="s">
        <v>77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2354</v>
      </c>
      <c r="J8" s="4">
        <v>3531</v>
      </c>
      <c r="K8" s="4">
        <v>7062</v>
      </c>
      <c r="L8" s="4">
        <v>10593</v>
      </c>
      <c r="M8" s="4">
        <v>3531</v>
      </c>
      <c r="N8" s="4">
        <v>7062</v>
      </c>
      <c r="O8" s="4">
        <v>10593</v>
      </c>
      <c r="P8" s="4">
        <v>3531</v>
      </c>
      <c r="Q8" s="4">
        <v>7062</v>
      </c>
      <c r="R8" s="4">
        <v>13391</v>
      </c>
    </row>
    <row r="9" spans="1:18" x14ac:dyDescent="0.3">
      <c r="A9" s="3" t="s">
        <v>78</v>
      </c>
      <c r="B9" s="4">
        <v>-137370</v>
      </c>
      <c r="C9" s="4">
        <v>211822</v>
      </c>
      <c r="D9" s="4">
        <v>754</v>
      </c>
      <c r="E9" s="4">
        <v>1260076</v>
      </c>
      <c r="F9" s="4">
        <v>12234</v>
      </c>
      <c r="G9" s="4">
        <v>2596</v>
      </c>
      <c r="H9" s="4">
        <v>331</v>
      </c>
      <c r="I9" s="4">
        <v>1078</v>
      </c>
      <c r="J9" s="4">
        <v>1672</v>
      </c>
      <c r="K9" s="4">
        <v>-3888</v>
      </c>
      <c r="L9" s="4">
        <v>2677</v>
      </c>
      <c r="M9" s="4">
        <v>2386</v>
      </c>
      <c r="N9" s="4">
        <v>11554</v>
      </c>
      <c r="O9" s="4">
        <v>17118</v>
      </c>
      <c r="P9" s="4">
        <v>5337</v>
      </c>
      <c r="Q9" s="4">
        <v>15262</v>
      </c>
      <c r="R9" s="4">
        <v>22313</v>
      </c>
    </row>
    <row r="10" spans="1:18" x14ac:dyDescent="0.3">
      <c r="A10" s="3" t="s">
        <v>79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191</v>
      </c>
      <c r="L10" s="4">
        <v>195</v>
      </c>
      <c r="M10" s="4">
        <v>-8</v>
      </c>
      <c r="N10" s="4">
        <v>31</v>
      </c>
      <c r="O10" s="4">
        <v>126</v>
      </c>
      <c r="P10" s="4">
        <v>0</v>
      </c>
      <c r="Q10" s="4">
        <v>0</v>
      </c>
      <c r="R10" s="4">
        <v>0</v>
      </c>
    </row>
    <row r="11" spans="1:18" x14ac:dyDescent="0.3">
      <c r="A11" s="3" t="s">
        <v>80</v>
      </c>
      <c r="B11" s="4">
        <v>2574999</v>
      </c>
      <c r="C11" s="4">
        <v>4718699</v>
      </c>
      <c r="D11" s="4">
        <v>3575</v>
      </c>
      <c r="E11" s="4">
        <v>7597260</v>
      </c>
      <c r="F11" s="4">
        <v>13400581</v>
      </c>
      <c r="G11" s="4">
        <v>4310</v>
      </c>
      <c r="H11" s="4">
        <v>8517</v>
      </c>
      <c r="I11" s="4">
        <v>14780</v>
      </c>
      <c r="J11" s="4">
        <v>5507</v>
      </c>
      <c r="K11" s="4">
        <v>11242</v>
      </c>
      <c r="L11" s="4">
        <v>16221</v>
      </c>
      <c r="M11" s="4">
        <v>3563</v>
      </c>
      <c r="N11" s="4">
        <v>8309</v>
      </c>
      <c r="O11" s="4">
        <v>13685</v>
      </c>
      <c r="P11" s="4">
        <v>5029</v>
      </c>
      <c r="Q11" s="4">
        <v>11463</v>
      </c>
      <c r="R11" s="4">
        <v>18847</v>
      </c>
    </row>
    <row r="12" spans="1:18" x14ac:dyDescent="0.3">
      <c r="A12" s="3" t="s">
        <v>139</v>
      </c>
      <c r="B12" s="4">
        <v>23100</v>
      </c>
      <c r="C12" s="4">
        <v>-384493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</row>
    <row r="13" spans="1:18" x14ac:dyDescent="0.3">
      <c r="A13" s="3" t="s">
        <v>82</v>
      </c>
      <c r="B13" s="4">
        <v>-152112</v>
      </c>
      <c r="C13" s="4">
        <v>-152112</v>
      </c>
      <c r="D13" s="4">
        <v>0</v>
      </c>
      <c r="E13" s="4">
        <v>0</v>
      </c>
      <c r="F13" s="4">
        <v>-14669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</row>
    <row r="14" spans="1:18" x14ac:dyDescent="0.3">
      <c r="A14" s="3" t="s">
        <v>81</v>
      </c>
      <c r="B14" s="4">
        <v>0</v>
      </c>
      <c r="C14" s="4">
        <v>0</v>
      </c>
      <c r="D14" s="4">
        <v>0</v>
      </c>
      <c r="E14" s="4">
        <v>0</v>
      </c>
      <c r="F14" s="4">
        <v>-182156</v>
      </c>
      <c r="G14" s="4">
        <v>2561</v>
      </c>
      <c r="H14" s="4">
        <v>1072</v>
      </c>
      <c r="I14" s="4">
        <v>31329</v>
      </c>
      <c r="J14" s="4">
        <v>2873</v>
      </c>
      <c r="K14" s="4">
        <v>-41044</v>
      </c>
      <c r="L14" s="4">
        <v>-44303</v>
      </c>
      <c r="M14" s="4">
        <v>6450</v>
      </c>
      <c r="N14" s="4">
        <v>6112</v>
      </c>
      <c r="O14" s="4">
        <v>4727</v>
      </c>
      <c r="P14" s="4">
        <v>269</v>
      </c>
      <c r="Q14" s="4">
        <v>-4161</v>
      </c>
      <c r="R14" s="4">
        <v>-71408</v>
      </c>
    </row>
    <row r="15" spans="1:18" x14ac:dyDescent="0.3">
      <c r="A15" s="3" t="s">
        <v>23</v>
      </c>
      <c r="B15" s="4">
        <v>0</v>
      </c>
      <c r="C15" s="4">
        <v>0</v>
      </c>
      <c r="D15" s="4">
        <v>0</v>
      </c>
      <c r="E15" s="4">
        <v>0</v>
      </c>
      <c r="F15" s="4">
        <v>-76765</v>
      </c>
      <c r="G15" s="4">
        <v>85</v>
      </c>
      <c r="H15" s="4">
        <v>602</v>
      </c>
      <c r="I15" s="4">
        <v>1007</v>
      </c>
      <c r="J15" s="4">
        <v>69</v>
      </c>
      <c r="K15" s="4">
        <v>206</v>
      </c>
      <c r="L15" s="4">
        <v>258</v>
      </c>
      <c r="M15" s="4">
        <v>369</v>
      </c>
      <c r="N15" s="4">
        <v>633</v>
      </c>
      <c r="O15" s="4">
        <v>356</v>
      </c>
      <c r="P15" s="4">
        <v>0</v>
      </c>
      <c r="Q15" s="4">
        <v>0</v>
      </c>
      <c r="R15" s="4">
        <v>0</v>
      </c>
    </row>
    <row r="16" spans="1:18" x14ac:dyDescent="0.3">
      <c r="A16" s="3" t="s">
        <v>83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13800</v>
      </c>
      <c r="R16" s="4">
        <v>13800</v>
      </c>
    </row>
    <row r="17" spans="1:18" x14ac:dyDescent="0.3">
      <c r="A17" s="3" t="s">
        <v>84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</row>
    <row r="18" spans="1:18" x14ac:dyDescent="0.3">
      <c r="A18" s="3" t="s">
        <v>85</v>
      </c>
      <c r="B18" s="4">
        <v>0</v>
      </c>
      <c r="C18" s="4">
        <v>43259</v>
      </c>
      <c r="D18" s="4">
        <v>0</v>
      </c>
      <c r="E18" s="4">
        <v>0</v>
      </c>
      <c r="F18" s="4">
        <v>-185716</v>
      </c>
      <c r="G18" s="4">
        <v>0</v>
      </c>
      <c r="H18" s="4">
        <v>0</v>
      </c>
      <c r="I18" s="4">
        <v>56</v>
      </c>
      <c r="J18" s="4">
        <v>-4</v>
      </c>
      <c r="K18" s="4">
        <v>8</v>
      </c>
      <c r="L18" s="4">
        <v>-2</v>
      </c>
      <c r="M18" s="4">
        <v>-7672</v>
      </c>
      <c r="N18" s="4">
        <v>0</v>
      </c>
      <c r="O18" s="4">
        <v>0</v>
      </c>
      <c r="P18" s="4">
        <v>-1014</v>
      </c>
      <c r="Q18" s="4">
        <v>-257</v>
      </c>
      <c r="R18" s="4">
        <v>1964</v>
      </c>
    </row>
    <row r="19" spans="1:18" x14ac:dyDescent="0.3">
      <c r="A19" s="3" t="s">
        <v>32</v>
      </c>
      <c r="B19" s="4">
        <v>-4668549</v>
      </c>
      <c r="C19" s="4">
        <v>-9031438</v>
      </c>
      <c r="D19" s="4">
        <v>-9234</v>
      </c>
      <c r="E19" s="4">
        <v>-18267216</v>
      </c>
      <c r="F19" s="4">
        <v>-28307104</v>
      </c>
      <c r="G19" s="4">
        <v>-34420</v>
      </c>
      <c r="H19" s="4">
        <v>-27920</v>
      </c>
      <c r="I19" s="4">
        <v>-78967</v>
      </c>
      <c r="J19" s="4">
        <v>-109639</v>
      </c>
      <c r="K19" s="4">
        <v>-135600</v>
      </c>
      <c r="L19" s="4">
        <v>-153271</v>
      </c>
      <c r="M19" s="4">
        <v>-18664</v>
      </c>
      <c r="N19" s="4">
        <v>-82213</v>
      </c>
      <c r="O19" s="4">
        <v>-26529</v>
      </c>
      <c r="P19" s="4">
        <v>11841</v>
      </c>
      <c r="Q19" s="4">
        <v>-143153</v>
      </c>
      <c r="R19" s="4">
        <v>-164133</v>
      </c>
    </row>
    <row r="20" spans="1:18" x14ac:dyDescent="0.3">
      <c r="A20" s="3" t="s">
        <v>86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</row>
    <row r="21" spans="1:18" x14ac:dyDescent="0.3">
      <c r="A21" s="3" t="s">
        <v>34</v>
      </c>
      <c r="B21" s="4">
        <v>-8082699</v>
      </c>
      <c r="C21" s="4">
        <v>-598665</v>
      </c>
      <c r="D21" s="4">
        <v>-19242</v>
      </c>
      <c r="E21" s="4">
        <v>-46683050</v>
      </c>
      <c r="F21" s="4">
        <v>-103920057</v>
      </c>
      <c r="G21" s="4">
        <v>4531</v>
      </c>
      <c r="H21" s="4">
        <v>28753</v>
      </c>
      <c r="I21" s="4">
        <v>36211</v>
      </c>
      <c r="J21" s="4">
        <v>17338</v>
      </c>
      <c r="K21" s="4">
        <v>24632</v>
      </c>
      <c r="L21" s="4">
        <v>-28092</v>
      </c>
      <c r="M21" s="4">
        <v>29386</v>
      </c>
      <c r="N21" s="4">
        <v>37052</v>
      </c>
      <c r="O21" s="4">
        <v>14585</v>
      </c>
      <c r="P21" s="4">
        <v>4794</v>
      </c>
      <c r="Q21" s="4">
        <v>23039</v>
      </c>
      <c r="R21" s="4">
        <v>31132</v>
      </c>
    </row>
    <row r="22" spans="1:18" x14ac:dyDescent="0.3">
      <c r="A22" s="3" t="s">
        <v>35</v>
      </c>
      <c r="B22" s="4">
        <v>-142419</v>
      </c>
      <c r="C22" s="4">
        <v>-561752</v>
      </c>
      <c r="D22" s="4">
        <v>-2557</v>
      </c>
      <c r="E22" s="4">
        <v>-8117719</v>
      </c>
      <c r="F22" s="4">
        <v>-8202588</v>
      </c>
      <c r="G22" s="4">
        <v>3513</v>
      </c>
      <c r="H22" s="4">
        <v>1257</v>
      </c>
      <c r="I22" s="4">
        <v>1459</v>
      </c>
      <c r="J22" s="4">
        <v>-4166</v>
      </c>
      <c r="K22" s="4">
        <v>-12058</v>
      </c>
      <c r="L22" s="4">
        <v>-12406</v>
      </c>
      <c r="M22" s="4">
        <v>-2076</v>
      </c>
      <c r="N22" s="4">
        <v>-3469</v>
      </c>
      <c r="O22" s="4">
        <v>-20261</v>
      </c>
      <c r="P22" s="4">
        <v>-3687</v>
      </c>
      <c r="Q22" s="4">
        <v>-20645</v>
      </c>
      <c r="R22" s="4">
        <v>-142920</v>
      </c>
    </row>
    <row r="23" spans="1:18" x14ac:dyDescent="0.3">
      <c r="A23" s="3" t="s">
        <v>140</v>
      </c>
      <c r="B23" s="4">
        <v>2856654</v>
      </c>
      <c r="C23" s="4">
        <v>824964</v>
      </c>
      <c r="D23" s="4">
        <v>12113</v>
      </c>
      <c r="E23" s="4">
        <v>27579323</v>
      </c>
      <c r="F23" s="4">
        <v>66694568</v>
      </c>
      <c r="G23" s="4">
        <v>17742</v>
      </c>
      <c r="H23" s="4">
        <v>10336</v>
      </c>
      <c r="I23" s="4">
        <v>51462</v>
      </c>
      <c r="J23" s="4">
        <v>182</v>
      </c>
      <c r="K23" s="4">
        <v>-12491</v>
      </c>
      <c r="L23" s="4">
        <v>14652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</row>
    <row r="24" spans="1:18" x14ac:dyDescent="0.3">
      <c r="A24" s="3" t="s">
        <v>46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-6362</v>
      </c>
      <c r="O24" s="4">
        <v>-5303</v>
      </c>
      <c r="P24" s="4">
        <v>-1700</v>
      </c>
      <c r="Q24" s="4">
        <v>742</v>
      </c>
      <c r="R24" s="4">
        <v>1511</v>
      </c>
    </row>
    <row r="25" spans="1:18" x14ac:dyDescent="0.3">
      <c r="A25" s="3" t="s">
        <v>48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-3013</v>
      </c>
      <c r="N25" s="4">
        <v>3950</v>
      </c>
      <c r="O25" s="4">
        <v>-12259</v>
      </c>
      <c r="P25" s="4">
        <v>11679</v>
      </c>
      <c r="Q25" s="4">
        <v>20789</v>
      </c>
      <c r="R25" s="4">
        <v>4081</v>
      </c>
    </row>
    <row r="26" spans="1:18" x14ac:dyDescent="0.3">
      <c r="A26" s="3" t="s">
        <v>49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1998</v>
      </c>
      <c r="N26" s="4">
        <v>17760</v>
      </c>
      <c r="O26" s="4">
        <v>11151</v>
      </c>
      <c r="P26" s="4">
        <v>-8673</v>
      </c>
      <c r="Q26" s="4">
        <v>-7013</v>
      </c>
      <c r="R26" s="4">
        <v>32961</v>
      </c>
    </row>
    <row r="27" spans="1:18" x14ac:dyDescent="0.3">
      <c r="A27" s="3" t="s">
        <v>87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57605</v>
      </c>
      <c r="L27" s="4">
        <v>57662</v>
      </c>
      <c r="M27" s="4">
        <v>8250</v>
      </c>
      <c r="N27" s="4">
        <v>-44978</v>
      </c>
      <c r="O27" s="4">
        <v>-49631</v>
      </c>
      <c r="P27" s="4">
        <v>15353</v>
      </c>
      <c r="Q27" s="4">
        <v>10928</v>
      </c>
      <c r="R27" s="4">
        <v>38742</v>
      </c>
    </row>
    <row r="28" spans="1:18" x14ac:dyDescent="0.3">
      <c r="A28" s="3" t="s">
        <v>52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32248</v>
      </c>
      <c r="K28" s="4">
        <v>62995</v>
      </c>
      <c r="L28" s="4">
        <v>100580</v>
      </c>
      <c r="M28" s="4">
        <v>29414</v>
      </c>
      <c r="N28" s="4">
        <v>56692</v>
      </c>
      <c r="O28" s="4">
        <v>59023</v>
      </c>
      <c r="P28" s="4">
        <v>15379</v>
      </c>
      <c r="Q28" s="4">
        <v>64221</v>
      </c>
      <c r="R28" s="4">
        <v>83276</v>
      </c>
    </row>
    <row r="29" spans="1:18" x14ac:dyDescent="0.3">
      <c r="A29" s="3" t="s">
        <v>88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115551</v>
      </c>
      <c r="J29" s="4">
        <v>-2923</v>
      </c>
      <c r="K29" s="4">
        <v>-3986</v>
      </c>
      <c r="L29" s="4">
        <v>-3986</v>
      </c>
      <c r="M29" s="4">
        <v>-248</v>
      </c>
      <c r="N29" s="4">
        <v>-248</v>
      </c>
      <c r="O29" s="4">
        <v>-248</v>
      </c>
      <c r="P29" s="4">
        <v>0</v>
      </c>
      <c r="Q29" s="4">
        <v>0</v>
      </c>
      <c r="R29" s="4">
        <v>252953</v>
      </c>
    </row>
    <row r="30" spans="1:18" x14ac:dyDescent="0.3">
      <c r="A30" s="3" t="s">
        <v>57</v>
      </c>
      <c r="B30" s="4">
        <v>109313</v>
      </c>
      <c r="C30" s="4">
        <v>0</v>
      </c>
      <c r="D30" s="4">
        <v>174</v>
      </c>
      <c r="E30" s="4">
        <v>339952</v>
      </c>
      <c r="F30" s="4">
        <v>0</v>
      </c>
      <c r="G30" s="4">
        <v>765</v>
      </c>
      <c r="H30" s="4">
        <v>1820</v>
      </c>
      <c r="I30" s="4">
        <v>2291</v>
      </c>
      <c r="J30" s="4">
        <v>1508</v>
      </c>
      <c r="K30" s="4">
        <v>3523</v>
      </c>
      <c r="L30" s="4">
        <v>5239</v>
      </c>
      <c r="M30" s="4">
        <v>2094</v>
      </c>
      <c r="N30" s="4">
        <v>2884</v>
      </c>
      <c r="O30" s="4">
        <v>4094</v>
      </c>
      <c r="P30" s="4">
        <v>-1648</v>
      </c>
      <c r="Q30" s="4">
        <v>1999</v>
      </c>
      <c r="R30" s="4">
        <v>3691</v>
      </c>
    </row>
    <row r="31" spans="1:18" x14ac:dyDescent="0.3">
      <c r="A31" s="3" t="s">
        <v>89</v>
      </c>
      <c r="B31" s="4">
        <v>146042</v>
      </c>
      <c r="C31" s="4">
        <v>149925</v>
      </c>
      <c r="D31" s="4">
        <v>-5</v>
      </c>
      <c r="E31" s="4">
        <v>7970</v>
      </c>
      <c r="F31" s="4">
        <v>30465</v>
      </c>
      <c r="G31" s="4">
        <v>-78</v>
      </c>
      <c r="H31" s="4">
        <v>-95</v>
      </c>
      <c r="I31" s="4">
        <v>-126</v>
      </c>
      <c r="J31" s="4">
        <v>-15</v>
      </c>
      <c r="K31" s="4">
        <v>-38</v>
      </c>
      <c r="L31" s="4">
        <v>-64</v>
      </c>
      <c r="M31" s="4">
        <v>-23</v>
      </c>
      <c r="N31" s="4">
        <v>-34</v>
      </c>
      <c r="O31" s="4">
        <v>17</v>
      </c>
      <c r="P31" s="4">
        <v>0</v>
      </c>
      <c r="Q31" s="4">
        <v>0</v>
      </c>
      <c r="R31" s="4">
        <v>0</v>
      </c>
    </row>
    <row r="32" spans="1:18" x14ac:dyDescent="0.3">
      <c r="A32" s="3" t="s">
        <v>90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154103</v>
      </c>
      <c r="J32" s="4">
        <v>-4625</v>
      </c>
      <c r="K32" s="4">
        <v>-8219</v>
      </c>
      <c r="L32" s="4">
        <v>-10593</v>
      </c>
      <c r="M32" s="4">
        <v>-2378</v>
      </c>
      <c r="N32" s="4">
        <v>-4757</v>
      </c>
      <c r="O32" s="4">
        <v>-7135</v>
      </c>
      <c r="P32" s="4">
        <v>-2378</v>
      </c>
      <c r="Q32" s="4">
        <v>-7320</v>
      </c>
      <c r="R32" s="4">
        <v>233463</v>
      </c>
    </row>
    <row r="33" spans="1:18" x14ac:dyDescent="0.3">
      <c r="A33" s="3" t="s">
        <v>91</v>
      </c>
      <c r="B33" s="4">
        <v>0</v>
      </c>
      <c r="C33" s="4">
        <v>213764</v>
      </c>
      <c r="D33" s="4">
        <v>0</v>
      </c>
      <c r="E33" s="4">
        <v>0</v>
      </c>
      <c r="F33" s="4">
        <v>532395</v>
      </c>
      <c r="G33" s="4">
        <v>0</v>
      </c>
      <c r="H33" s="4">
        <v>488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148</v>
      </c>
      <c r="Q33" s="4">
        <v>-1210</v>
      </c>
      <c r="R33" s="4">
        <v>-1786</v>
      </c>
    </row>
    <row r="34" spans="1:18" x14ac:dyDescent="0.3">
      <c r="A34" s="3" t="s">
        <v>92</v>
      </c>
      <c r="B34" s="6">
        <f t="shared" ref="B34:R34" si="0">SUM(B2:B33)</f>
        <v>-4246078</v>
      </c>
      <c r="C34" s="6">
        <f t="shared" si="0"/>
        <v>3843510</v>
      </c>
      <c r="D34" s="6">
        <f t="shared" si="0"/>
        <v>-13318</v>
      </c>
      <c r="E34" s="6">
        <f t="shared" si="0"/>
        <v>-30329464</v>
      </c>
      <c r="F34" s="6">
        <f t="shared" si="0"/>
        <v>-52063949</v>
      </c>
      <c r="G34" s="6">
        <f t="shared" si="0"/>
        <v>9125</v>
      </c>
      <c r="H34" s="6">
        <f t="shared" si="0"/>
        <v>42296</v>
      </c>
      <c r="I34" s="6">
        <f t="shared" si="0"/>
        <v>170967</v>
      </c>
      <c r="J34" s="6">
        <f t="shared" si="0"/>
        <v>-13831</v>
      </c>
      <c r="K34" s="6">
        <f t="shared" si="0"/>
        <v>45211</v>
      </c>
      <c r="L34" s="6">
        <f t="shared" si="0"/>
        <v>136046</v>
      </c>
      <c r="M34" s="6">
        <f t="shared" si="0"/>
        <v>134649</v>
      </c>
      <c r="N34" s="6">
        <f t="shared" si="0"/>
        <v>174292</v>
      </c>
      <c r="O34" s="6">
        <f t="shared" si="0"/>
        <v>187226</v>
      </c>
      <c r="P34" s="6">
        <f t="shared" si="0"/>
        <v>103367</v>
      </c>
      <c r="Q34" s="6">
        <f t="shared" si="0"/>
        <v>147079</v>
      </c>
      <c r="R34" s="6">
        <f t="shared" si="0"/>
        <v>478880</v>
      </c>
    </row>
    <row r="35" spans="1:18" x14ac:dyDescent="0.3">
      <c r="A35" s="3" t="s">
        <v>93</v>
      </c>
      <c r="B35" s="4">
        <v>1331011</v>
      </c>
      <c r="C35" s="4">
        <v>1331011</v>
      </c>
      <c r="D35" s="4">
        <v>1876</v>
      </c>
      <c r="E35" s="4">
        <v>1876273</v>
      </c>
      <c r="F35" s="4">
        <v>1885724</v>
      </c>
      <c r="G35" s="4">
        <v>0</v>
      </c>
      <c r="H35" s="4">
        <v>2592</v>
      </c>
      <c r="I35" s="4">
        <v>2592</v>
      </c>
      <c r="J35" s="4">
        <v>3233</v>
      </c>
      <c r="K35" s="4">
        <v>3233</v>
      </c>
      <c r="L35" s="4">
        <v>3233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</row>
    <row r="36" spans="1:18" x14ac:dyDescent="0.3">
      <c r="A36" s="3" t="s">
        <v>94</v>
      </c>
      <c r="B36" s="4">
        <v>-315777</v>
      </c>
      <c r="C36" s="4">
        <v>-416671</v>
      </c>
      <c r="D36" s="4">
        <v>-698</v>
      </c>
      <c r="E36" s="4">
        <v>-1216050</v>
      </c>
      <c r="F36" s="4">
        <v>-2395302</v>
      </c>
      <c r="G36" s="4">
        <v>-742</v>
      </c>
      <c r="H36" s="4">
        <v>-2456</v>
      </c>
      <c r="I36" s="4">
        <v>-3477</v>
      </c>
      <c r="J36" s="4">
        <v>-2253</v>
      </c>
      <c r="K36" s="4">
        <v>-6810</v>
      </c>
      <c r="L36" s="4">
        <v>-12687</v>
      </c>
      <c r="M36" s="4">
        <v>-4525</v>
      </c>
      <c r="N36" s="4">
        <v>-13739</v>
      </c>
      <c r="O36" s="4">
        <v>-17983</v>
      </c>
      <c r="P36" s="4">
        <v>-6944</v>
      </c>
      <c r="Q36" s="4">
        <v>-15194</v>
      </c>
      <c r="R36" s="4">
        <v>-25539</v>
      </c>
    </row>
    <row r="37" spans="1:18" x14ac:dyDescent="0.3">
      <c r="A37" s="3" t="s">
        <v>95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-3000</v>
      </c>
      <c r="P37" s="4">
        <v>0</v>
      </c>
      <c r="Q37" s="4">
        <v>-5000</v>
      </c>
      <c r="R37" s="4">
        <v>-5000</v>
      </c>
    </row>
    <row r="38" spans="1:18" x14ac:dyDescent="0.3">
      <c r="A38" s="3" t="s">
        <v>96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</row>
    <row r="39" spans="1:18" x14ac:dyDescent="0.3">
      <c r="A39" s="3" t="s">
        <v>97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-1256351</v>
      </c>
      <c r="R39" s="4">
        <v>-1278769</v>
      </c>
    </row>
    <row r="40" spans="1:18" x14ac:dyDescent="0.3">
      <c r="A40" s="3" t="s">
        <v>98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30617</v>
      </c>
    </row>
    <row r="41" spans="1:18" x14ac:dyDescent="0.3">
      <c r="A41" s="3" t="s">
        <v>99</v>
      </c>
      <c r="B41" s="6">
        <f t="shared" ref="B41:R41" si="1">SUM(B35:B40)</f>
        <v>1015234</v>
      </c>
      <c r="C41" s="6">
        <f t="shared" si="1"/>
        <v>914340</v>
      </c>
      <c r="D41" s="6">
        <f t="shared" si="1"/>
        <v>1178</v>
      </c>
      <c r="E41" s="6">
        <f t="shared" si="1"/>
        <v>660223</v>
      </c>
      <c r="F41" s="6">
        <f t="shared" si="1"/>
        <v>-509578</v>
      </c>
      <c r="G41" s="6">
        <f t="shared" si="1"/>
        <v>-742</v>
      </c>
      <c r="H41" s="6">
        <f t="shared" si="1"/>
        <v>136</v>
      </c>
      <c r="I41" s="6">
        <f t="shared" si="1"/>
        <v>-885</v>
      </c>
      <c r="J41" s="6">
        <f t="shared" si="1"/>
        <v>980</v>
      </c>
      <c r="K41" s="6">
        <f t="shared" si="1"/>
        <v>-3577</v>
      </c>
      <c r="L41" s="6">
        <f t="shared" si="1"/>
        <v>-9454</v>
      </c>
      <c r="M41" s="6">
        <f t="shared" si="1"/>
        <v>-4525</v>
      </c>
      <c r="N41" s="6">
        <f t="shared" si="1"/>
        <v>-13739</v>
      </c>
      <c r="O41" s="6">
        <f t="shared" si="1"/>
        <v>-20983</v>
      </c>
      <c r="P41" s="6">
        <f t="shared" si="1"/>
        <v>-6944</v>
      </c>
      <c r="Q41" s="6">
        <f t="shared" si="1"/>
        <v>-1276545</v>
      </c>
      <c r="R41" s="6">
        <f t="shared" si="1"/>
        <v>-1278691</v>
      </c>
    </row>
    <row r="42" spans="1:18" x14ac:dyDescent="0.3">
      <c r="A42" s="3" t="s">
        <v>100</v>
      </c>
      <c r="B42" s="4">
        <v>-222052</v>
      </c>
      <c r="C42" s="4">
        <v>-259231</v>
      </c>
      <c r="D42" s="4">
        <v>-25</v>
      </c>
      <c r="E42" s="4">
        <v>-49592</v>
      </c>
      <c r="F42" s="4">
        <v>-72386</v>
      </c>
      <c r="G42" s="4">
        <v>-20</v>
      </c>
      <c r="H42" s="4">
        <v>-37</v>
      </c>
      <c r="I42" s="4">
        <v>-49</v>
      </c>
      <c r="J42" s="4">
        <v>-11</v>
      </c>
      <c r="K42" s="4">
        <v>-22</v>
      </c>
      <c r="L42" s="4">
        <v>-33</v>
      </c>
      <c r="M42" s="4">
        <v>-15</v>
      </c>
      <c r="N42" s="4">
        <v>-30</v>
      </c>
      <c r="O42" s="4">
        <v>-46</v>
      </c>
      <c r="P42" s="4">
        <v>0</v>
      </c>
      <c r="Q42" s="4">
        <v>0</v>
      </c>
      <c r="R42" s="4">
        <v>0</v>
      </c>
    </row>
    <row r="43" spans="1:18" x14ac:dyDescent="0.3">
      <c r="A43" s="3" t="s">
        <v>102</v>
      </c>
      <c r="B43" s="4">
        <v>0</v>
      </c>
      <c r="C43" s="4">
        <v>21983116</v>
      </c>
      <c r="D43" s="4">
        <v>0</v>
      </c>
      <c r="E43" s="4">
        <v>67769386</v>
      </c>
      <c r="F43" s="4">
        <v>67769386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</row>
    <row r="44" spans="1:18" x14ac:dyDescent="0.3">
      <c r="A44" s="3" t="s">
        <v>101</v>
      </c>
      <c r="B44" s="4">
        <v>704664</v>
      </c>
      <c r="C44" s="4">
        <v>2296343</v>
      </c>
      <c r="D44" s="4">
        <v>716</v>
      </c>
      <c r="E44" s="4">
        <v>2515017</v>
      </c>
      <c r="F44" s="4">
        <v>3242073</v>
      </c>
      <c r="G44" s="4">
        <v>810</v>
      </c>
      <c r="H44" s="4">
        <v>1260</v>
      </c>
      <c r="I44" s="4">
        <v>3104</v>
      </c>
      <c r="J44" s="4">
        <v>478</v>
      </c>
      <c r="K44" s="4">
        <v>707</v>
      </c>
      <c r="L44" s="4">
        <v>1603</v>
      </c>
      <c r="M44" s="4">
        <v>967</v>
      </c>
      <c r="N44" s="4">
        <v>1147</v>
      </c>
      <c r="O44" s="4">
        <v>3832</v>
      </c>
      <c r="P44" s="4">
        <v>0</v>
      </c>
      <c r="Q44" s="4">
        <v>0</v>
      </c>
      <c r="R44" s="4">
        <v>0</v>
      </c>
    </row>
    <row r="45" spans="1:18" x14ac:dyDescent="0.3">
      <c r="A45" s="3" t="s">
        <v>103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542018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</row>
    <row r="46" spans="1:18" x14ac:dyDescent="0.3">
      <c r="A46" s="3" t="s">
        <v>28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-4596</v>
      </c>
      <c r="J46" s="4">
        <v>-6781</v>
      </c>
      <c r="K46" s="4">
        <v>-13637</v>
      </c>
      <c r="L46" s="4">
        <v>-20512</v>
      </c>
      <c r="M46" s="4">
        <v>-6837</v>
      </c>
      <c r="N46" s="4">
        <v>-13675</v>
      </c>
      <c r="O46" s="4">
        <v>-20588</v>
      </c>
      <c r="P46" s="4">
        <v>-6781</v>
      </c>
      <c r="Q46" s="4">
        <v>-13632</v>
      </c>
      <c r="R46" s="4">
        <v>-23301</v>
      </c>
    </row>
    <row r="47" spans="1:18" x14ac:dyDescent="0.3">
      <c r="A47" s="3" t="s">
        <v>104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-1658</v>
      </c>
      <c r="P47" s="4">
        <v>-1932</v>
      </c>
      <c r="Q47" s="4">
        <v>-2811</v>
      </c>
      <c r="R47" s="4">
        <v>-3259</v>
      </c>
    </row>
    <row r="48" spans="1:18" x14ac:dyDescent="0.3">
      <c r="A48" s="3" t="s">
        <v>105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900000</v>
      </c>
      <c r="R48" s="4">
        <v>900000</v>
      </c>
    </row>
    <row r="49" spans="1:18" x14ac:dyDescent="0.3">
      <c r="A49" s="3" t="s">
        <v>106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-2250</v>
      </c>
    </row>
    <row r="50" spans="1:18" x14ac:dyDescent="0.3">
      <c r="A50" s="3" t="s">
        <v>107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-2195</v>
      </c>
      <c r="Q50" s="4">
        <v>-31581</v>
      </c>
      <c r="R50" s="4">
        <v>-31581</v>
      </c>
    </row>
    <row r="51" spans="1:18" x14ac:dyDescent="0.3">
      <c r="A51" s="3" t="s">
        <v>108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321</v>
      </c>
      <c r="Q51" s="4">
        <v>319</v>
      </c>
      <c r="R51" s="4">
        <v>301</v>
      </c>
    </row>
    <row r="52" spans="1:18" x14ac:dyDescent="0.3">
      <c r="A52" s="3" t="s">
        <v>109</v>
      </c>
      <c r="B52" s="6">
        <f t="shared" ref="B52:R52" si="2">SUM(B42:B51)</f>
        <v>482612</v>
      </c>
      <c r="C52" s="6">
        <f t="shared" si="2"/>
        <v>24020228</v>
      </c>
      <c r="D52" s="6">
        <f t="shared" si="2"/>
        <v>691</v>
      </c>
      <c r="E52" s="6">
        <f t="shared" si="2"/>
        <v>70234811</v>
      </c>
      <c r="F52" s="6">
        <f t="shared" si="2"/>
        <v>70939073</v>
      </c>
      <c r="G52" s="6">
        <f t="shared" si="2"/>
        <v>790</v>
      </c>
      <c r="H52" s="6">
        <f t="shared" si="2"/>
        <v>1223</v>
      </c>
      <c r="I52" s="6">
        <f t="shared" si="2"/>
        <v>540477</v>
      </c>
      <c r="J52" s="6">
        <f t="shared" si="2"/>
        <v>-6314</v>
      </c>
      <c r="K52" s="6">
        <f t="shared" si="2"/>
        <v>-12952</v>
      </c>
      <c r="L52" s="6">
        <f t="shared" si="2"/>
        <v>-18942</v>
      </c>
      <c r="M52" s="6">
        <f t="shared" si="2"/>
        <v>-5885</v>
      </c>
      <c r="N52" s="6">
        <f t="shared" si="2"/>
        <v>-12558</v>
      </c>
      <c r="O52" s="6">
        <f t="shared" si="2"/>
        <v>-18460</v>
      </c>
      <c r="P52" s="6">
        <f t="shared" si="2"/>
        <v>-10587</v>
      </c>
      <c r="Q52" s="6">
        <f t="shared" si="2"/>
        <v>852295</v>
      </c>
      <c r="R52" s="6">
        <f t="shared" si="2"/>
        <v>839910</v>
      </c>
    </row>
    <row r="53" spans="1:18" x14ac:dyDescent="0.3">
      <c r="A53" s="3" t="s">
        <v>110</v>
      </c>
      <c r="B53" s="4">
        <v>-231635</v>
      </c>
      <c r="C53" s="4">
        <v>289338</v>
      </c>
      <c r="D53" s="4">
        <v>-165</v>
      </c>
      <c r="E53" s="4">
        <v>-23610</v>
      </c>
      <c r="F53" s="4">
        <v>-236365</v>
      </c>
      <c r="G53" s="4">
        <v>104</v>
      </c>
      <c r="H53" s="4">
        <v>121</v>
      </c>
      <c r="I53" s="4">
        <v>158</v>
      </c>
      <c r="J53" s="4">
        <v>-181</v>
      </c>
      <c r="K53" s="4">
        <v>-555</v>
      </c>
      <c r="L53" s="4">
        <v>-555</v>
      </c>
      <c r="M53" s="4">
        <v>-722</v>
      </c>
      <c r="N53" s="4">
        <v>-766</v>
      </c>
      <c r="O53" s="4">
        <v>-16</v>
      </c>
      <c r="P53" s="4">
        <v>1259</v>
      </c>
      <c r="Q53" s="4">
        <v>2214</v>
      </c>
      <c r="R53" s="4">
        <v>2174</v>
      </c>
    </row>
    <row r="54" spans="1:18" x14ac:dyDescent="0.3">
      <c r="A54" s="3" t="s">
        <v>111</v>
      </c>
      <c r="B54" s="6">
        <f t="shared" ref="B54:R54" si="3">B34+B41+B52+B53</f>
        <v>-2979867</v>
      </c>
      <c r="C54" s="6">
        <f t="shared" si="3"/>
        <v>29067416</v>
      </c>
      <c r="D54" s="6">
        <f t="shared" si="3"/>
        <v>-11614</v>
      </c>
      <c r="E54" s="6">
        <f t="shared" si="3"/>
        <v>40541960</v>
      </c>
      <c r="F54" s="6">
        <f t="shared" si="3"/>
        <v>18129181</v>
      </c>
      <c r="G54" s="6">
        <f t="shared" si="3"/>
        <v>9277</v>
      </c>
      <c r="H54" s="6">
        <f t="shared" si="3"/>
        <v>43776</v>
      </c>
      <c r="I54" s="6">
        <f t="shared" si="3"/>
        <v>710717</v>
      </c>
      <c r="J54" s="6">
        <f t="shared" si="3"/>
        <v>-19346</v>
      </c>
      <c r="K54" s="6">
        <f t="shared" si="3"/>
        <v>28127</v>
      </c>
      <c r="L54" s="6">
        <f t="shared" si="3"/>
        <v>107095</v>
      </c>
      <c r="M54" s="6">
        <f t="shared" si="3"/>
        <v>123517</v>
      </c>
      <c r="N54" s="6">
        <f t="shared" si="3"/>
        <v>147229</v>
      </c>
      <c r="O54" s="6">
        <f t="shared" si="3"/>
        <v>147767</v>
      </c>
      <c r="P54" s="6">
        <f t="shared" si="3"/>
        <v>87095</v>
      </c>
      <c r="Q54" s="6">
        <f t="shared" si="3"/>
        <v>-274957</v>
      </c>
      <c r="R54" s="6">
        <f t="shared" si="3"/>
        <v>42273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20"/>
  <sheetViews>
    <sheetView workbookViewId="0">
      <pane xSplit="1" ySplit="1" topLeftCell="N2" activePane="bottomRight" state="frozen"/>
      <selection pane="topRight"/>
      <selection pane="bottomLeft"/>
      <selection pane="bottomRight" activeCell="U2" sqref="U2"/>
    </sheetView>
  </sheetViews>
  <sheetFormatPr defaultRowHeight="14.4" x14ac:dyDescent="0.3"/>
  <cols>
    <col min="1" max="1" width="42" customWidth="1"/>
    <col min="2" max="42" width="13" customWidth="1"/>
  </cols>
  <sheetData>
    <row r="1" spans="1:42" x14ac:dyDescent="0.3">
      <c r="A1" s="1"/>
      <c r="B1" s="2" t="s">
        <v>113</v>
      </c>
      <c r="C1" s="2" t="s">
        <v>114</v>
      </c>
      <c r="D1" s="2" t="s">
        <v>115</v>
      </c>
      <c r="E1" s="2" t="s">
        <v>116</v>
      </c>
      <c r="F1" s="2" t="s">
        <v>133</v>
      </c>
      <c r="G1" s="2" t="s">
        <v>117</v>
      </c>
      <c r="H1" s="2" t="s">
        <v>118</v>
      </c>
      <c r="I1" s="2" t="s">
        <v>119</v>
      </c>
      <c r="J1" s="2" t="s">
        <v>134</v>
      </c>
      <c r="K1" s="2" t="s">
        <v>120</v>
      </c>
      <c r="L1" s="2" t="s">
        <v>121</v>
      </c>
      <c r="M1" s="2" t="s">
        <v>122</v>
      </c>
      <c r="N1" s="2" t="s">
        <v>135</v>
      </c>
      <c r="O1" s="2" t="s">
        <v>123</v>
      </c>
      <c r="P1" s="2" t="s">
        <v>124</v>
      </c>
      <c r="Q1" s="2" t="s">
        <v>125</v>
      </c>
      <c r="R1" s="2" t="s">
        <v>136</v>
      </c>
      <c r="S1" s="2" t="s">
        <v>126</v>
      </c>
      <c r="T1" s="2" t="s">
        <v>127</v>
      </c>
      <c r="U1" s="2" t="s">
        <v>128</v>
      </c>
      <c r="V1" s="2" t="s">
        <v>141</v>
      </c>
      <c r="W1" s="2" t="s">
        <v>142</v>
      </c>
      <c r="X1" s="2" t="s">
        <v>143</v>
      </c>
      <c r="Y1" s="2" t="s">
        <v>144</v>
      </c>
      <c r="Z1" s="2" t="s">
        <v>145</v>
      </c>
      <c r="AA1" s="2" t="s">
        <v>146</v>
      </c>
      <c r="AB1" s="2" t="s">
        <v>147</v>
      </c>
      <c r="AC1" s="2" t="s">
        <v>148</v>
      </c>
      <c r="AD1" s="2" t="s">
        <v>149</v>
      </c>
      <c r="AE1" s="2" t="s">
        <v>150</v>
      </c>
      <c r="AF1" s="2" t="s">
        <v>151</v>
      </c>
      <c r="AG1" s="2" t="s">
        <v>152</v>
      </c>
      <c r="AH1" s="2" t="s">
        <v>153</v>
      </c>
      <c r="AI1" s="2" t="s">
        <v>154</v>
      </c>
      <c r="AJ1" s="2" t="s">
        <v>155</v>
      </c>
      <c r="AK1" s="2" t="s">
        <v>156</v>
      </c>
      <c r="AL1" s="2" t="s">
        <v>157</v>
      </c>
      <c r="AM1" s="2" t="s">
        <v>158</v>
      </c>
      <c r="AN1" s="2" t="s">
        <v>159</v>
      </c>
      <c r="AO1" s="2" t="s">
        <v>160</v>
      </c>
      <c r="AP1" s="2" t="s">
        <v>161</v>
      </c>
    </row>
    <row r="2" spans="1:42" x14ac:dyDescent="0.3">
      <c r="A2" s="3" t="s">
        <v>16</v>
      </c>
      <c r="B2" s="4">
        <f>'YTD P&amp;L'!C2-'YTD P&amp;L'!B2</f>
        <v>36839149</v>
      </c>
      <c r="C2" s="4">
        <f>'YTD P&amp;L'!D2</f>
        <v>50035</v>
      </c>
      <c r="D2" s="4">
        <f>'YTD P&amp;L'!E2-'YTD P&amp;L'!D2</f>
        <v>115058167</v>
      </c>
      <c r="E2" s="4">
        <f>'YTD P&amp;L'!F2-'YTD P&amp;L'!E2</f>
        <v>94909100</v>
      </c>
      <c r="F2" s="4">
        <f>'ANNL P&amp;L'!B2-'YTD P&amp;L'!F2</f>
        <v>-209703030</v>
      </c>
      <c r="G2" s="4">
        <f>'YTD P&amp;L'!G2</f>
        <v>133388</v>
      </c>
      <c r="H2" s="4">
        <f>'YTD P&amp;L'!H2-'YTD P&amp;L'!G2</f>
        <v>154020</v>
      </c>
      <c r="I2" s="4">
        <f>'YTD P&amp;L'!I2-'YTD P&amp;L'!H2</f>
        <v>188232</v>
      </c>
      <c r="J2" s="4">
        <f>'ANNL P&amp;L'!C2-'YTD P&amp;L'!I2</f>
        <v>177964</v>
      </c>
      <c r="K2" s="4">
        <f>'YTD P&amp;L'!J2</f>
        <v>259939</v>
      </c>
      <c r="L2" s="4">
        <f>'YTD P&amp;L'!K2-'YTD P&amp;L'!J2</f>
        <v>325883</v>
      </c>
      <c r="M2" s="4">
        <f>'YTD P&amp;L'!L2-'YTD P&amp;L'!K2</f>
        <v>384757</v>
      </c>
      <c r="N2" s="4">
        <f>'ANNL P&amp;L'!D2-'YTD P&amp;L'!L2</f>
        <v>347435</v>
      </c>
      <c r="O2" s="4">
        <f>'YTD P&amp;L'!M2</f>
        <v>355708</v>
      </c>
      <c r="P2" s="4">
        <f>'YTD P&amp;L'!N2-'YTD P&amp;L'!M2</f>
        <v>401977</v>
      </c>
      <c r="Q2" s="4">
        <f>'YTD P&amp;L'!O2-'YTD P&amp;L'!N2</f>
        <v>265748</v>
      </c>
      <c r="R2" s="4">
        <f>'ANNL P&amp;L'!E2-'YTD P&amp;L'!O2</f>
        <v>332197</v>
      </c>
      <c r="S2" s="4">
        <f>'YTD P&amp;L'!P2</f>
        <v>329276</v>
      </c>
      <c r="T2" s="4">
        <f>'YTD P&amp;L'!Q2-'YTD P&amp;L'!P2</f>
        <v>739259</v>
      </c>
      <c r="U2" s="4">
        <f>'YTD P&amp;L'!R2-'YTD P&amp;L'!Q2</f>
        <v>725106</v>
      </c>
      <c r="V2" s="4">
        <f>'ANNL P&amp;L'!F2-'YTD P&amp;L'!R2</f>
        <v>721628</v>
      </c>
      <c r="W2" s="9">
        <f>IF('IS DRIVERS'!$B2="QoQ",'QTR P&amp;L'!V2,'QTR P&amp;L'!S2)*(1+'IS DRIVERS'!X2)</f>
        <v>718166.68236644019</v>
      </c>
      <c r="X2" s="9">
        <f>IF('IS DRIVERS'!$B2="QoQ",'QTR P&amp;L'!W2,'QTR P&amp;L'!T2)*(1+'IS DRIVERS'!Y2)</f>
        <v>714721.96708168113</v>
      </c>
      <c r="Y2" s="9">
        <f>IF('IS DRIVERS'!$B2="QoQ",'QTR P&amp;L'!X2,'QTR P&amp;L'!U2)*(1+'IS DRIVERS'!Z2)</f>
        <v>711293.77451189118</v>
      </c>
      <c r="Z2" s="9">
        <f>IF('IS DRIVERS'!$B2="QoQ",'QTR P&amp;L'!Y2,'QTR P&amp;L'!V2)*(1+'IS DRIVERS'!AA2)</f>
        <v>707882.02540520555</v>
      </c>
      <c r="AA2" s="9">
        <f>IF('IS DRIVERS'!$B2="QoQ",'QTR P&amp;L'!Z2,'QTR P&amp;L'!W2)*(1+'IS DRIVERS'!AB2)</f>
        <v>704486.64088989422</v>
      </c>
      <c r="AB2" s="9">
        <f>IF('IS DRIVERS'!$B2="QoQ",'QTR P&amp;L'!AA2,'QTR P&amp;L'!X2)*(1+'IS DRIVERS'!AC2)</f>
        <v>701107.54247253865</v>
      </c>
      <c r="AC2" s="9">
        <f>IF('IS DRIVERS'!$B2="QoQ",'QTR P&amp;L'!AB2,'QTR P&amp;L'!Y2)*(1+'IS DRIVERS'!AD2)</f>
        <v>697744.65203621692</v>
      </c>
      <c r="AD2" s="9">
        <f>IF('IS DRIVERS'!$B2="QoQ",'QTR P&amp;L'!AC2,'QTR P&amp;L'!Z2)*(1+'IS DRIVERS'!AE2)</f>
        <v>694397.8918386983</v>
      </c>
      <c r="AE2" s="9">
        <f>IF('IS DRIVERS'!$B2="QoQ",'QTR P&amp;L'!AD2,'QTR P&amp;L'!AA2)*(1+'IS DRIVERS'!AF2)</f>
        <v>691067.18451064557</v>
      </c>
      <c r="AF2" s="9">
        <f>IF('IS DRIVERS'!$B2="QoQ",'QTR P&amp;L'!AE2,'QTR P&amp;L'!AB2)*(1+'IS DRIVERS'!AG2)</f>
        <v>687752.45305382682</v>
      </c>
      <c r="AG2" s="9">
        <f>IF('IS DRIVERS'!$B2="QoQ",'QTR P&amp;L'!AF2,'QTR P&amp;L'!AC2)*(1+'IS DRIVERS'!AH2)</f>
        <v>684453.62083933514</v>
      </c>
      <c r="AH2" s="9">
        <f>IF('IS DRIVERS'!$B2="QoQ",'QTR P&amp;L'!AG2,'QTR P&amp;L'!AD2)*(1+'IS DRIVERS'!AI2)</f>
        <v>681170.61160581722</v>
      </c>
      <c r="AI2" s="9">
        <f>IF('IS DRIVERS'!$B2="QoQ",'QTR P&amp;L'!AH2,'QTR P&amp;L'!AE2)*(1+'IS DRIVERS'!AJ2)</f>
        <v>677903.34945771052</v>
      </c>
      <c r="AJ2" s="9">
        <f>IF('IS DRIVERS'!$B2="QoQ",'QTR P&amp;L'!AI2,'QTR P&amp;L'!AF2)*(1+'IS DRIVERS'!AK2)</f>
        <v>674651.75886348856</v>
      </c>
      <c r="AK2" s="9">
        <f>IF('IS DRIVERS'!$B2="QoQ",'QTR P&amp;L'!AJ2,'QTR P&amp;L'!AG2)*(1+'IS DRIVERS'!AL2)</f>
        <v>671415.76465391472</v>
      </c>
      <c r="AL2" s="9">
        <f>IF('IS DRIVERS'!$B2="QoQ",'QTR P&amp;L'!AK2,'QTR P&amp;L'!AH2)*(1+'IS DRIVERS'!AM2)</f>
        <v>668195.29202030483</v>
      </c>
      <c r="AM2" s="9">
        <f>IF('IS DRIVERS'!$B2="QoQ",'QTR P&amp;L'!AL2,'QTR P&amp;L'!AI2)*(1+'IS DRIVERS'!AN2)</f>
        <v>664990.26651279745</v>
      </c>
      <c r="AN2" s="9">
        <f>IF('IS DRIVERS'!$B2="QoQ",'QTR P&amp;L'!AM2,'QTR P&amp;L'!AJ2)*(1+'IS DRIVERS'!AO2)</f>
        <v>661800.61403863295</v>
      </c>
      <c r="AO2" s="9">
        <f>IF('IS DRIVERS'!$B2="QoQ",'QTR P&amp;L'!AN2,'QTR P&amp;L'!AK2)*(1+'IS DRIVERS'!AP2)</f>
        <v>658626.26086044055</v>
      </c>
      <c r="AP2" s="9">
        <f>IF('IS DRIVERS'!$B2="QoQ",'QTR P&amp;L'!AO2,'QTR P&amp;L'!AL2)*(1+'IS DRIVERS'!AQ2)</f>
        <v>655467.13359453378</v>
      </c>
    </row>
    <row r="3" spans="1:42" x14ac:dyDescent="0.3">
      <c r="A3" s="3" t="s">
        <v>17</v>
      </c>
      <c r="B3" s="4">
        <f>'YTD P&amp;L'!C3-'YTD P&amp;L'!B3</f>
        <v>-19305416</v>
      </c>
      <c r="C3" s="4">
        <f>'YTD P&amp;L'!D3</f>
        <v>-29456</v>
      </c>
      <c r="D3" s="4">
        <f>'YTD P&amp;L'!E3-'YTD P&amp;L'!D3</f>
        <v>-66250282</v>
      </c>
      <c r="E3" s="4">
        <f>'YTD P&amp;L'!F3-'YTD P&amp;L'!E3</f>
        <v>-57215728</v>
      </c>
      <c r="F3" s="4">
        <f>'ANNL P&amp;L'!B3-'YTD P&amp;L'!F3</f>
        <v>123309363</v>
      </c>
      <c r="G3" s="4">
        <f>'YTD P&amp;L'!G3</f>
        <v>-79494</v>
      </c>
      <c r="H3" s="4">
        <f>'YTD P&amp;L'!H3-'YTD P&amp;L'!G3</f>
        <v>-94701</v>
      </c>
      <c r="I3" s="4">
        <f>'YTD P&amp;L'!I3-'YTD P&amp;L'!H3</f>
        <v>-109583</v>
      </c>
      <c r="J3" s="4">
        <f>'ANNL P&amp;L'!C3-'YTD P&amp;L'!I3</f>
        <v>-98957</v>
      </c>
      <c r="K3" s="4">
        <f>'YTD P&amp;L'!J3</f>
        <v>-146121</v>
      </c>
      <c r="L3" s="4">
        <f>'YTD P&amp;L'!K3-'YTD P&amp;L'!J3</f>
        <v>-166889</v>
      </c>
      <c r="M3" s="4">
        <f>'YTD P&amp;L'!L3-'YTD P&amp;L'!K3</f>
        <v>-190675</v>
      </c>
      <c r="N3" s="4">
        <f>'ANNL P&amp;L'!D3-'YTD P&amp;L'!L3</f>
        <v>-181190</v>
      </c>
      <c r="O3" s="4">
        <f>'YTD P&amp;L'!M3</f>
        <v>-173501</v>
      </c>
      <c r="P3" s="4">
        <f>'YTD P&amp;L'!N3-'YTD P&amp;L'!M3</f>
        <v>-192879</v>
      </c>
      <c r="Q3" s="4">
        <f>'YTD P&amp;L'!O3-'YTD P&amp;L'!N3</f>
        <v>-143519</v>
      </c>
      <c r="R3" s="4">
        <f>'ANNL P&amp;L'!E3-'YTD P&amp;L'!O3</f>
        <v>-165524</v>
      </c>
      <c r="S3" s="4">
        <f>'YTD P&amp;L'!P3</f>
        <v>-156903</v>
      </c>
      <c r="T3" s="4">
        <f>'YTD P&amp;L'!Q3-'YTD P&amp;L'!P3</f>
        <v>-358408</v>
      </c>
      <c r="U3" s="4">
        <f>'YTD P&amp;L'!R3-'YTD P&amp;L'!Q3</f>
        <v>-352827</v>
      </c>
      <c r="V3" s="4">
        <f>'ANNL P&amp;L'!F3-'YTD P&amp;L'!R3</f>
        <v>-379798</v>
      </c>
      <c r="W3" s="9">
        <f>'QTR P&amp;L'!W2*'IS DRIVERS'!X3</f>
        <v>-377976.28366611229</v>
      </c>
      <c r="X3" s="9">
        <f>'QTR P&amp;L'!X2*'IS DRIVERS'!Y3</f>
        <v>-376163.3052676564</v>
      </c>
      <c r="Y3" s="9">
        <f>'QTR P&amp;L'!Y2*'IS DRIVERS'!Z3</f>
        <v>-374359.02289277472</v>
      </c>
      <c r="Z3" s="9">
        <f>'QTR P&amp;L'!Z2*'IS DRIVERS'!AA3</f>
        <v>-372563.39483064163</v>
      </c>
      <c r="AA3" s="9">
        <f>'QTR P&amp;L'!AA2*'IS DRIVERS'!AB3</f>
        <v>-370776.379570499</v>
      </c>
      <c r="AB3" s="9">
        <f>'QTR P&amp;L'!AB2*'IS DRIVERS'!AC3</f>
        <v>-368997.93580069684</v>
      </c>
      <c r="AC3" s="9">
        <f>'QTR P&amp;L'!AC2*'IS DRIVERS'!AD3</f>
        <v>-367228.02240773797</v>
      </c>
      <c r="AD3" s="9">
        <f>'QTR P&amp;L'!AD2*'IS DRIVERS'!AE3</f>
        <v>-365466.59847532795</v>
      </c>
      <c r="AE3" s="9">
        <f>'QTR P&amp;L'!AE2*'IS DRIVERS'!AF3</f>
        <v>-363713.62328342884</v>
      </c>
      <c r="AF3" s="9">
        <f>'QTR P&amp;L'!AF2*'IS DRIVERS'!AG3</f>
        <v>-361969.0563073181</v>
      </c>
      <c r="AG3" s="9">
        <f>'QTR P&amp;L'!AG2*'IS DRIVERS'!AH3</f>
        <v>-360232.85721665155</v>
      </c>
      <c r="AH3" s="9">
        <f>'QTR P&amp;L'!AH2*'IS DRIVERS'!AI3</f>
        <v>-358504.98587453115</v>
      </c>
      <c r="AI3" s="9">
        <f>'QTR P&amp;L'!AI2*'IS DRIVERS'!AJ3</f>
        <v>-356785.40233657724</v>
      </c>
      <c r="AJ3" s="9">
        <f>'QTR P&amp;L'!AJ2*'IS DRIVERS'!AK3</f>
        <v>-355074.06685000478</v>
      </c>
      <c r="AK3" s="9">
        <f>'QTR P&amp;L'!AK2*'IS DRIVERS'!AL3</f>
        <v>-353370.93985270459</v>
      </c>
      <c r="AL3" s="9">
        <f>'QTR P&amp;L'!AL2*'IS DRIVERS'!AM3</f>
        <v>-351675.98197232885</v>
      </c>
      <c r="AM3" s="9">
        <f>'QTR P&amp;L'!AM2*'IS DRIVERS'!AN3</f>
        <v>-349989.15402538073</v>
      </c>
      <c r="AN3" s="9">
        <f>'QTR P&amp;L'!AN2*'IS DRIVERS'!AO3</f>
        <v>-348310.41701630858</v>
      </c>
      <c r="AO3" s="9">
        <f>'QTR P&amp;L'!AO2*'IS DRIVERS'!AP3</f>
        <v>-346639.73213660449</v>
      </c>
      <c r="AP3" s="9">
        <f>'QTR P&amp;L'!AP2*'IS DRIVERS'!AQ3</f>
        <v>-344977.06076390709</v>
      </c>
    </row>
    <row r="4" spans="1:42" x14ac:dyDescent="0.3">
      <c r="A4" s="3" t="s">
        <v>18</v>
      </c>
      <c r="B4" s="6">
        <f>'YTD P&amp;L'!C4-'YTD P&amp;L'!B4</f>
        <v>17533733</v>
      </c>
      <c r="C4" s="6">
        <f>'YTD P&amp;L'!D4</f>
        <v>20579</v>
      </c>
      <c r="D4" s="6">
        <f>'YTD P&amp;L'!E4-'YTD P&amp;L'!D4</f>
        <v>48807885</v>
      </c>
      <c r="E4" s="6">
        <f>'YTD P&amp;L'!F4-'YTD P&amp;L'!E4</f>
        <v>37693372</v>
      </c>
      <c r="F4" s="6">
        <f>'ANNL P&amp;L'!B4-'YTD P&amp;L'!F4</f>
        <v>-86393667</v>
      </c>
      <c r="G4" s="6">
        <f>'YTD P&amp;L'!G4</f>
        <v>53894</v>
      </c>
      <c r="H4" s="6">
        <f>'YTD P&amp;L'!H4-'YTD P&amp;L'!G4</f>
        <v>59319</v>
      </c>
      <c r="I4" s="6">
        <f>'YTD P&amp;L'!I4-'YTD P&amp;L'!H4</f>
        <v>78649</v>
      </c>
      <c r="J4" s="6">
        <f>'ANNL P&amp;L'!C4-'YTD P&amp;L'!I4</f>
        <v>79007</v>
      </c>
      <c r="K4" s="6">
        <f>'YTD P&amp;L'!J4</f>
        <v>113818</v>
      </c>
      <c r="L4" s="6">
        <f>'YTD P&amp;L'!K4-'YTD P&amp;L'!J4</f>
        <v>158994</v>
      </c>
      <c r="M4" s="6">
        <f>'YTD P&amp;L'!L4-'YTD P&amp;L'!K4</f>
        <v>194082</v>
      </c>
      <c r="N4" s="6">
        <f>'ANNL P&amp;L'!D4-'YTD P&amp;L'!L4</f>
        <v>166245</v>
      </c>
      <c r="O4" s="6">
        <f>'YTD P&amp;L'!M4</f>
        <v>182207</v>
      </c>
      <c r="P4" s="6">
        <f>'YTD P&amp;L'!N4-'YTD P&amp;L'!M4</f>
        <v>209098</v>
      </c>
      <c r="Q4" s="6">
        <f>'YTD P&amp;L'!O4-'YTD P&amp;L'!N4</f>
        <v>122229</v>
      </c>
      <c r="R4" s="6">
        <f>'ANNL P&amp;L'!E4-'YTD P&amp;L'!O4</f>
        <v>166673</v>
      </c>
      <c r="S4" s="6">
        <f>'YTD P&amp;L'!P4</f>
        <v>172373</v>
      </c>
      <c r="T4" s="6">
        <f>'YTD P&amp;L'!Q4-'YTD P&amp;L'!P4</f>
        <v>380851</v>
      </c>
      <c r="U4" s="6">
        <f>'YTD P&amp;L'!R4-'YTD P&amp;L'!Q4</f>
        <v>372279</v>
      </c>
      <c r="V4" s="6">
        <f>'ANNL P&amp;L'!F4-'YTD P&amp;L'!R4</f>
        <v>341830</v>
      </c>
      <c r="W4" s="7">
        <f t="shared" ref="W4:AP4" si="0">W2+W3</f>
        <v>340190.3987003279</v>
      </c>
      <c r="X4" s="7">
        <f t="shared" si="0"/>
        <v>338558.66181402473</v>
      </c>
      <c r="Y4" s="7">
        <f t="shared" si="0"/>
        <v>336934.75161911646</v>
      </c>
      <c r="Z4" s="7">
        <f t="shared" si="0"/>
        <v>335318.63057456393</v>
      </c>
      <c r="AA4" s="7">
        <f t="shared" si="0"/>
        <v>333710.26131939521</v>
      </c>
      <c r="AB4" s="7">
        <f t="shared" si="0"/>
        <v>332109.60667184182</v>
      </c>
      <c r="AC4" s="7">
        <f t="shared" si="0"/>
        <v>330516.62962847896</v>
      </c>
      <c r="AD4" s="7">
        <f t="shared" si="0"/>
        <v>328931.29336337035</v>
      </c>
      <c r="AE4" s="7">
        <f t="shared" si="0"/>
        <v>327353.56122721673</v>
      </c>
      <c r="AF4" s="7">
        <f t="shared" si="0"/>
        <v>325783.39674650872</v>
      </c>
      <c r="AG4" s="7">
        <f t="shared" si="0"/>
        <v>324220.76362268359</v>
      </c>
      <c r="AH4" s="7">
        <f t="shared" si="0"/>
        <v>322665.62573128607</v>
      </c>
      <c r="AI4" s="7">
        <f t="shared" si="0"/>
        <v>321117.94712113327</v>
      </c>
      <c r="AJ4" s="7">
        <f t="shared" si="0"/>
        <v>319577.69201348379</v>
      </c>
      <c r="AK4" s="7">
        <f t="shared" si="0"/>
        <v>318044.82480121014</v>
      </c>
      <c r="AL4" s="7">
        <f t="shared" si="0"/>
        <v>316519.31004797597</v>
      </c>
      <c r="AM4" s="7">
        <f t="shared" si="0"/>
        <v>315001.11248741671</v>
      </c>
      <c r="AN4" s="7">
        <f t="shared" si="0"/>
        <v>313490.19702232437</v>
      </c>
      <c r="AO4" s="7">
        <f t="shared" si="0"/>
        <v>311986.52872383606</v>
      </c>
      <c r="AP4" s="7">
        <f t="shared" si="0"/>
        <v>310490.07283062668</v>
      </c>
    </row>
    <row r="5" spans="1:42" x14ac:dyDescent="0.3">
      <c r="A5" s="3" t="s">
        <v>129</v>
      </c>
      <c r="B5" s="4">
        <f>'YTD P&amp;L'!C5-'YTD P&amp;L'!B5</f>
        <v>-8267996</v>
      </c>
      <c r="C5" s="4">
        <f>'YTD P&amp;L'!D5</f>
        <v>-11959</v>
      </c>
      <c r="D5" s="4">
        <f>'YTD P&amp;L'!E5-'YTD P&amp;L'!D5</f>
        <v>-27478082</v>
      </c>
      <c r="E5" s="4">
        <f>'YTD P&amp;L'!F5-'YTD P&amp;L'!E5</f>
        <v>-22621062</v>
      </c>
      <c r="G5" s="4">
        <f>'YTD P&amp;L'!G5</f>
        <v>-31597</v>
      </c>
      <c r="H5" s="4">
        <f>'YTD P&amp;L'!H5-'YTD P&amp;L'!G5</f>
        <v>-32475</v>
      </c>
      <c r="I5" s="4">
        <f>'YTD P&amp;L'!I5-'YTD P&amp;L'!H5</f>
        <v>-198710</v>
      </c>
      <c r="K5" s="4">
        <f>'YTD P&amp;L'!J5</f>
        <v>0</v>
      </c>
      <c r="L5" s="4">
        <f>'YTD P&amp;L'!K5-'YTD P&amp;L'!J5</f>
        <v>0</v>
      </c>
      <c r="M5" s="4">
        <f>'YTD P&amp;L'!L5-'YTD P&amp;L'!K5</f>
        <v>0</v>
      </c>
      <c r="O5" s="4">
        <f>'YTD P&amp;L'!M5</f>
        <v>0</v>
      </c>
      <c r="P5" s="4">
        <f>'YTD P&amp;L'!N5-'YTD P&amp;L'!M5</f>
        <v>0</v>
      </c>
      <c r="Q5" s="4">
        <f>'YTD P&amp;L'!O5-'YTD P&amp;L'!N5</f>
        <v>0</v>
      </c>
      <c r="S5" s="4">
        <f>'YTD P&amp;L'!P5</f>
        <v>0</v>
      </c>
      <c r="T5" s="4">
        <f>'YTD P&amp;L'!Q5-'YTD P&amp;L'!P5</f>
        <v>0</v>
      </c>
      <c r="U5" s="4">
        <f>'YTD P&amp;L'!R5-'YTD P&amp;L'!Q5</f>
        <v>0</v>
      </c>
      <c r="W5" s="9">
        <f>'QTR P&amp;L'!W2*'IS DRIVERS'!X4</f>
        <v>0</v>
      </c>
      <c r="X5" s="9">
        <f>'QTR P&amp;L'!X2*'IS DRIVERS'!Y4</f>
        <v>0</v>
      </c>
      <c r="Y5" s="9">
        <f>'QTR P&amp;L'!Y2*'IS DRIVERS'!Z4</f>
        <v>0</v>
      </c>
      <c r="Z5" s="9">
        <f>'QTR P&amp;L'!Z2*'IS DRIVERS'!AA4</f>
        <v>0</v>
      </c>
      <c r="AA5" s="9">
        <f>'QTR P&amp;L'!AA2*'IS DRIVERS'!AB4</f>
        <v>0</v>
      </c>
      <c r="AB5" s="9">
        <f>'QTR P&amp;L'!AB2*'IS DRIVERS'!AC4</f>
        <v>0</v>
      </c>
      <c r="AC5" s="9">
        <f>'QTR P&amp;L'!AC2*'IS DRIVERS'!AD4</f>
        <v>0</v>
      </c>
      <c r="AD5" s="9">
        <f>'QTR P&amp;L'!AD2*'IS DRIVERS'!AE4</f>
        <v>0</v>
      </c>
      <c r="AE5" s="9">
        <f>'QTR P&amp;L'!AE2*'IS DRIVERS'!AF4</f>
        <v>0</v>
      </c>
      <c r="AF5" s="9">
        <f>'QTR P&amp;L'!AF2*'IS DRIVERS'!AG4</f>
        <v>0</v>
      </c>
      <c r="AG5" s="9">
        <f>'QTR P&amp;L'!AG2*'IS DRIVERS'!AH4</f>
        <v>0</v>
      </c>
      <c r="AH5" s="9">
        <f>'QTR P&amp;L'!AH2*'IS DRIVERS'!AI4</f>
        <v>0</v>
      </c>
      <c r="AI5" s="9">
        <f>'QTR P&amp;L'!AI2*'IS DRIVERS'!AJ4</f>
        <v>0</v>
      </c>
      <c r="AJ5" s="9">
        <f>'QTR P&amp;L'!AJ2*'IS DRIVERS'!AK4</f>
        <v>0</v>
      </c>
      <c r="AK5" s="9">
        <f>'QTR P&amp;L'!AK2*'IS DRIVERS'!AL4</f>
        <v>0</v>
      </c>
      <c r="AL5" s="9">
        <f>'QTR P&amp;L'!AL2*'IS DRIVERS'!AM4</f>
        <v>0</v>
      </c>
      <c r="AM5" s="9">
        <f>'QTR P&amp;L'!AM2*'IS DRIVERS'!AN4</f>
        <v>0</v>
      </c>
      <c r="AN5" s="9">
        <f>'QTR P&amp;L'!AN2*'IS DRIVERS'!AO4</f>
        <v>0</v>
      </c>
      <c r="AO5" s="9">
        <f>'QTR P&amp;L'!AO2*'IS DRIVERS'!AP4</f>
        <v>0</v>
      </c>
      <c r="AP5" s="9">
        <f>'QTR P&amp;L'!AP2*'IS DRIVERS'!AQ4</f>
        <v>0</v>
      </c>
    </row>
    <row r="6" spans="1:42" x14ac:dyDescent="0.3">
      <c r="A6" s="3" t="s">
        <v>130</v>
      </c>
      <c r="B6" s="4">
        <f>'YTD P&amp;L'!C6-'YTD P&amp;L'!B6</f>
        <v>-4752428</v>
      </c>
      <c r="C6" s="4">
        <f>'YTD P&amp;L'!D6</f>
        <v>-7807</v>
      </c>
      <c r="D6" s="4">
        <f>'YTD P&amp;L'!E6-'YTD P&amp;L'!D6</f>
        <v>-16918391</v>
      </c>
      <c r="E6" s="4">
        <f>'YTD P&amp;L'!F6-'YTD P&amp;L'!E6</f>
        <v>-11140030</v>
      </c>
      <c r="G6" s="4">
        <f>'YTD P&amp;L'!G6</f>
        <v>-12181</v>
      </c>
      <c r="H6" s="4">
        <f>'YTD P&amp;L'!H6-'YTD P&amp;L'!G6</f>
        <v>-14414</v>
      </c>
      <c r="I6" s="4">
        <f>'YTD P&amp;L'!I6-'YTD P&amp;L'!H6</f>
        <v>-27540</v>
      </c>
      <c r="K6" s="4">
        <f>'YTD P&amp;L'!J6</f>
        <v>0</v>
      </c>
      <c r="L6" s="4">
        <f>'YTD P&amp;L'!K6-'YTD P&amp;L'!J6</f>
        <v>0</v>
      </c>
      <c r="M6" s="4">
        <f>'YTD P&amp;L'!L6-'YTD P&amp;L'!K6</f>
        <v>0</v>
      </c>
      <c r="O6" s="4">
        <f>'YTD P&amp;L'!M6</f>
        <v>0</v>
      </c>
      <c r="P6" s="4">
        <f>'YTD P&amp;L'!N6-'YTD P&amp;L'!M6</f>
        <v>0</v>
      </c>
      <c r="Q6" s="4">
        <f>'YTD P&amp;L'!O6-'YTD P&amp;L'!N6</f>
        <v>0</v>
      </c>
      <c r="S6" s="4">
        <f>'YTD P&amp;L'!P6</f>
        <v>0</v>
      </c>
      <c r="T6" s="4">
        <f>'YTD P&amp;L'!Q6-'YTD P&amp;L'!P6</f>
        <v>0</v>
      </c>
      <c r="U6" s="4">
        <f>'YTD P&amp;L'!R6-'YTD P&amp;L'!Q6</f>
        <v>0</v>
      </c>
      <c r="W6" s="9">
        <f>'QTR P&amp;L'!W2*'IS DRIVERS'!X5</f>
        <v>0</v>
      </c>
      <c r="X6" s="9">
        <f>'QTR P&amp;L'!X2*'IS DRIVERS'!Y5</f>
        <v>0</v>
      </c>
      <c r="Y6" s="9">
        <f>'QTR P&amp;L'!Y2*'IS DRIVERS'!Z5</f>
        <v>0</v>
      </c>
      <c r="Z6" s="9">
        <f>'QTR P&amp;L'!Z2*'IS DRIVERS'!AA5</f>
        <v>0</v>
      </c>
      <c r="AA6" s="9">
        <f>'QTR P&amp;L'!AA2*'IS DRIVERS'!AB5</f>
        <v>0</v>
      </c>
      <c r="AB6" s="9">
        <f>'QTR P&amp;L'!AB2*'IS DRIVERS'!AC5</f>
        <v>0</v>
      </c>
      <c r="AC6" s="9">
        <f>'QTR P&amp;L'!AC2*'IS DRIVERS'!AD5</f>
        <v>0</v>
      </c>
      <c r="AD6" s="9">
        <f>'QTR P&amp;L'!AD2*'IS DRIVERS'!AE5</f>
        <v>0</v>
      </c>
      <c r="AE6" s="9">
        <f>'QTR P&amp;L'!AE2*'IS DRIVERS'!AF5</f>
        <v>0</v>
      </c>
      <c r="AF6" s="9">
        <f>'QTR P&amp;L'!AF2*'IS DRIVERS'!AG5</f>
        <v>0</v>
      </c>
      <c r="AG6" s="9">
        <f>'QTR P&amp;L'!AG2*'IS DRIVERS'!AH5</f>
        <v>0</v>
      </c>
      <c r="AH6" s="9">
        <f>'QTR P&amp;L'!AH2*'IS DRIVERS'!AI5</f>
        <v>0</v>
      </c>
      <c r="AI6" s="9">
        <f>'QTR P&amp;L'!AI2*'IS DRIVERS'!AJ5</f>
        <v>0</v>
      </c>
      <c r="AJ6" s="9">
        <f>'QTR P&amp;L'!AJ2*'IS DRIVERS'!AK5</f>
        <v>0</v>
      </c>
      <c r="AK6" s="9">
        <f>'QTR P&amp;L'!AK2*'IS DRIVERS'!AL5</f>
        <v>0</v>
      </c>
      <c r="AL6" s="9">
        <f>'QTR P&amp;L'!AL2*'IS DRIVERS'!AM5</f>
        <v>0</v>
      </c>
      <c r="AM6" s="9">
        <f>'QTR P&amp;L'!AM2*'IS DRIVERS'!AN5</f>
        <v>0</v>
      </c>
      <c r="AN6" s="9">
        <f>'QTR P&amp;L'!AN2*'IS DRIVERS'!AO5</f>
        <v>0</v>
      </c>
      <c r="AO6" s="9">
        <f>'QTR P&amp;L'!AO2*'IS DRIVERS'!AP5</f>
        <v>0</v>
      </c>
      <c r="AP6" s="9">
        <f>'QTR P&amp;L'!AP2*'IS DRIVERS'!AQ5</f>
        <v>0</v>
      </c>
    </row>
    <row r="7" spans="1:42" x14ac:dyDescent="0.3">
      <c r="A7" s="3" t="s">
        <v>131</v>
      </c>
      <c r="B7" s="4">
        <f>'YTD P&amp;L'!C7-'YTD P&amp;L'!B7</f>
        <v>-13020424</v>
      </c>
      <c r="C7" s="4">
        <f>'YTD P&amp;L'!D7</f>
        <v>-19766</v>
      </c>
      <c r="D7" s="4">
        <f>'YTD P&amp;L'!E7-'YTD P&amp;L'!D7</f>
        <v>-44396473</v>
      </c>
      <c r="E7" s="4">
        <f>'YTD P&amp;L'!F7-'YTD P&amp;L'!E7</f>
        <v>-33761092</v>
      </c>
      <c r="G7" s="4">
        <f>'YTD P&amp;L'!G7</f>
        <v>-43778</v>
      </c>
      <c r="H7" s="4">
        <f>'YTD P&amp;L'!H7-'YTD P&amp;L'!G7</f>
        <v>-46889</v>
      </c>
      <c r="I7" s="4">
        <f>'YTD P&amp;L'!I7-'YTD P&amp;L'!H7</f>
        <v>-226250</v>
      </c>
      <c r="K7" s="4">
        <f>'YTD P&amp;L'!J7</f>
        <v>0</v>
      </c>
      <c r="L7" s="4">
        <f>'YTD P&amp;L'!K7-'YTD P&amp;L'!J7</f>
        <v>0</v>
      </c>
      <c r="M7" s="4">
        <f>'YTD P&amp;L'!L7-'YTD P&amp;L'!K7</f>
        <v>0</v>
      </c>
      <c r="O7" s="4">
        <f>'YTD P&amp;L'!M7</f>
        <v>0</v>
      </c>
      <c r="P7" s="4">
        <f>'YTD P&amp;L'!N7-'YTD P&amp;L'!M7</f>
        <v>0</v>
      </c>
      <c r="Q7" s="4">
        <f>'YTD P&amp;L'!O7-'YTD P&amp;L'!N7</f>
        <v>0</v>
      </c>
      <c r="S7" s="4">
        <f>'YTD P&amp;L'!P7</f>
        <v>0</v>
      </c>
      <c r="T7" s="4">
        <f>'YTD P&amp;L'!Q7-'YTD P&amp;L'!P7</f>
        <v>0</v>
      </c>
      <c r="U7" s="4">
        <f>'YTD P&amp;L'!R7-'YTD P&amp;L'!Q7</f>
        <v>0</v>
      </c>
      <c r="W7" s="9">
        <f>'QTR P&amp;L'!W2*'IS DRIVERS'!X6</f>
        <v>0</v>
      </c>
      <c r="X7" s="9">
        <f>'QTR P&amp;L'!X2*'IS DRIVERS'!Y6</f>
        <v>0</v>
      </c>
      <c r="Y7" s="9">
        <f>'QTR P&amp;L'!Y2*'IS DRIVERS'!Z6</f>
        <v>0</v>
      </c>
      <c r="Z7" s="9">
        <f>'QTR P&amp;L'!Z2*'IS DRIVERS'!AA6</f>
        <v>0</v>
      </c>
      <c r="AA7" s="9">
        <f>'QTR P&amp;L'!AA2*'IS DRIVERS'!AB6</f>
        <v>0</v>
      </c>
      <c r="AB7" s="9">
        <f>'QTR P&amp;L'!AB2*'IS DRIVERS'!AC6</f>
        <v>0</v>
      </c>
      <c r="AC7" s="9">
        <f>'QTR P&amp;L'!AC2*'IS DRIVERS'!AD6</f>
        <v>0</v>
      </c>
      <c r="AD7" s="9">
        <f>'QTR P&amp;L'!AD2*'IS DRIVERS'!AE6</f>
        <v>0</v>
      </c>
      <c r="AE7" s="9">
        <f>'QTR P&amp;L'!AE2*'IS DRIVERS'!AF6</f>
        <v>0</v>
      </c>
      <c r="AF7" s="9">
        <f>'QTR P&amp;L'!AF2*'IS DRIVERS'!AG6</f>
        <v>0</v>
      </c>
      <c r="AG7" s="9">
        <f>'QTR P&amp;L'!AG2*'IS DRIVERS'!AH6</f>
        <v>0</v>
      </c>
      <c r="AH7" s="9">
        <f>'QTR P&amp;L'!AH2*'IS DRIVERS'!AI6</f>
        <v>0</v>
      </c>
      <c r="AI7" s="9">
        <f>'QTR P&amp;L'!AI2*'IS DRIVERS'!AJ6</f>
        <v>0</v>
      </c>
      <c r="AJ7" s="9">
        <f>'QTR P&amp;L'!AJ2*'IS DRIVERS'!AK6</f>
        <v>0</v>
      </c>
      <c r="AK7" s="9">
        <f>'QTR P&amp;L'!AK2*'IS DRIVERS'!AL6</f>
        <v>0</v>
      </c>
      <c r="AL7" s="9">
        <f>'QTR P&amp;L'!AL2*'IS DRIVERS'!AM6</f>
        <v>0</v>
      </c>
      <c r="AM7" s="9">
        <f>'QTR P&amp;L'!AM2*'IS DRIVERS'!AN6</f>
        <v>0</v>
      </c>
      <c r="AN7" s="9">
        <f>'QTR P&amp;L'!AN2*'IS DRIVERS'!AO6</f>
        <v>0</v>
      </c>
      <c r="AO7" s="9">
        <f>'QTR P&amp;L'!AO2*'IS DRIVERS'!AP6</f>
        <v>0</v>
      </c>
      <c r="AP7" s="9">
        <f>'QTR P&amp;L'!AP2*'IS DRIVERS'!AQ6</f>
        <v>0</v>
      </c>
    </row>
    <row r="8" spans="1:42" x14ac:dyDescent="0.3">
      <c r="A8" s="3" t="s">
        <v>19</v>
      </c>
      <c r="B8" s="4">
        <f>'YTD P&amp;L'!C8-'YTD P&amp;L'!B8</f>
        <v>0</v>
      </c>
      <c r="C8" s="4">
        <f>'YTD P&amp;L'!D8</f>
        <v>0</v>
      </c>
      <c r="D8" s="4">
        <f>'YTD P&amp;L'!E8-'YTD P&amp;L'!D8</f>
        <v>0</v>
      </c>
      <c r="E8" s="4">
        <f>'YTD P&amp;L'!F8-'YTD P&amp;L'!E8</f>
        <v>0</v>
      </c>
      <c r="F8" s="4">
        <f>'ANNL P&amp;L'!B5-'YTD P&amp;L'!F8</f>
        <v>-132259</v>
      </c>
      <c r="G8" s="4">
        <f>'YTD P&amp;L'!G8</f>
        <v>0</v>
      </c>
      <c r="H8" s="4">
        <f>'YTD P&amp;L'!H8-'YTD P&amp;L'!G8</f>
        <v>0</v>
      </c>
      <c r="I8" s="4">
        <f>'YTD P&amp;L'!I8-'YTD P&amp;L'!H8</f>
        <v>0</v>
      </c>
      <c r="J8" s="4">
        <f>'ANNL P&amp;L'!C5-'YTD P&amp;L'!I8</f>
        <v>-428670</v>
      </c>
      <c r="K8" s="4">
        <f>'YTD P&amp;L'!J8</f>
        <v>-68905</v>
      </c>
      <c r="L8" s="4">
        <f>'YTD P&amp;L'!K8-'YTD P&amp;L'!J8</f>
        <v>-94181</v>
      </c>
      <c r="M8" s="4">
        <f>'YTD P&amp;L'!L8-'YTD P&amp;L'!K8</f>
        <v>-96385</v>
      </c>
      <c r="N8" s="4">
        <f>'ANNL P&amp;L'!D5-'YTD P&amp;L'!L8</f>
        <v>-107302</v>
      </c>
      <c r="O8" s="4">
        <f>'YTD P&amp;L'!M8</f>
        <v>-99017</v>
      </c>
      <c r="P8" s="4">
        <f>'YTD P&amp;L'!N8-'YTD P&amp;L'!M8</f>
        <v>-114850</v>
      </c>
      <c r="Q8" s="4">
        <f>'YTD P&amp;L'!O8-'YTD P&amp;L'!N8</f>
        <v>-125443</v>
      </c>
      <c r="R8" s="4">
        <f>'ANNL P&amp;L'!E5-'YTD P&amp;L'!O8</f>
        <v>-185169</v>
      </c>
      <c r="S8" s="4">
        <f>'YTD P&amp;L'!P8</f>
        <v>-120342</v>
      </c>
      <c r="T8" s="4">
        <f>'YTD P&amp;L'!Q8-'YTD P&amp;L'!P8</f>
        <v>-237886</v>
      </c>
      <c r="U8" s="4">
        <f>'YTD P&amp;L'!R8-'YTD P&amp;L'!Q8</f>
        <v>-205571</v>
      </c>
      <c r="V8" s="4">
        <f>'ANNL P&amp;L'!F5-'YTD P&amp;L'!R8</f>
        <v>-235011</v>
      </c>
      <c r="W8" s="9">
        <f>'QTR P&amp;L'!W2*'IS DRIVERS'!X7</f>
        <v>-233883.76031642267</v>
      </c>
      <c r="X8" s="9">
        <f>'QTR P&amp;L'!X2*'IS DRIVERS'!Y7</f>
        <v>-232761.92748318103</v>
      </c>
      <c r="Y8" s="9">
        <f>'QTR P&amp;L'!Y2*'IS DRIVERS'!Z7</f>
        <v>-231645.47556610059</v>
      </c>
      <c r="Z8" s="9">
        <f>'QTR P&amp;L'!Z2*'IS DRIVERS'!AA7</f>
        <v>-230534.37875540133</v>
      </c>
      <c r="AA8" s="9">
        <f>'QTR P&amp;L'!AA2*'IS DRIVERS'!AB7</f>
        <v>-229428.61136510075</v>
      </c>
      <c r="AB8" s="9">
        <f>'QTR P&amp;L'!AB2*'IS DRIVERS'!AC7</f>
        <v>-228328.14783242028</v>
      </c>
      <c r="AC8" s="9">
        <f>'QTR P&amp;L'!AC2*'IS DRIVERS'!AD7</f>
        <v>-227232.96271719414</v>
      </c>
      <c r="AD8" s="9">
        <f>'QTR P&amp;L'!AD2*'IS DRIVERS'!AE7</f>
        <v>-226143.03070128142</v>
      </c>
      <c r="AE8" s="9">
        <f>'QTR P&amp;L'!AE2*'IS DRIVERS'!AF7</f>
        <v>-225058.32658798067</v>
      </c>
      <c r="AF8" s="9">
        <f>'QTR P&amp;L'!AF2*'IS DRIVERS'!AG7</f>
        <v>-223978.82530144739</v>
      </c>
      <c r="AG8" s="9">
        <f>'QTR P&amp;L'!AG2*'IS DRIVERS'!AH7</f>
        <v>-222904.50188611442</v>
      </c>
      <c r="AH8" s="9">
        <f>'QTR P&amp;L'!AH2*'IS DRIVERS'!AI7</f>
        <v>-221835.33150611492</v>
      </c>
      <c r="AI8" s="9">
        <f>'QTR P&amp;L'!AI2*'IS DRIVERS'!AJ7</f>
        <v>-220771.28944470835</v>
      </c>
      <c r="AJ8" s="9">
        <f>'QTR P&amp;L'!AJ2*'IS DRIVERS'!AK7</f>
        <v>-219712.35110370896</v>
      </c>
      <c r="AK8" s="9">
        <f>'QTR P&amp;L'!AK2*'IS DRIVERS'!AL7</f>
        <v>-218658.49200291722</v>
      </c>
      <c r="AL8" s="9">
        <f>'QTR P&amp;L'!AL2*'IS DRIVERS'!AM7</f>
        <v>-217609.68777955379</v>
      </c>
      <c r="AM8" s="9">
        <f>'QTR P&amp;L'!AM2*'IS DRIVERS'!AN7</f>
        <v>-216565.91418769647</v>
      </c>
      <c r="AN8" s="9">
        <f>'QTR P&amp;L'!AN2*'IS DRIVERS'!AO7</f>
        <v>-215527.14709771954</v>
      </c>
      <c r="AO8" s="9">
        <f>'QTR P&amp;L'!AO2*'IS DRIVERS'!AP7</f>
        <v>-214493.36249573602</v>
      </c>
      <c r="AP8" s="9">
        <f>'QTR P&amp;L'!AP2*'IS DRIVERS'!AQ7</f>
        <v>-213464.53648304247</v>
      </c>
    </row>
    <row r="9" spans="1:42" x14ac:dyDescent="0.3">
      <c r="A9" s="3" t="s">
        <v>20</v>
      </c>
      <c r="B9" s="4">
        <f>'YTD P&amp;L'!C9-'YTD P&amp;L'!B9</f>
        <v>0</v>
      </c>
      <c r="C9" s="4">
        <f>'YTD P&amp;L'!D9</f>
        <v>0</v>
      </c>
      <c r="D9" s="4">
        <f>'YTD P&amp;L'!E9-'YTD P&amp;L'!D9</f>
        <v>0</v>
      </c>
      <c r="E9" s="4">
        <f>'YTD P&amp;L'!F9-'YTD P&amp;L'!E9</f>
        <v>0</v>
      </c>
      <c r="F9" s="4">
        <f>'ANNL P&amp;L'!B6-'YTD P&amp;L'!F9</f>
        <v>0</v>
      </c>
      <c r="G9" s="4">
        <f>'YTD P&amp;L'!G9</f>
        <v>0</v>
      </c>
      <c r="H9" s="4">
        <f>'YTD P&amp;L'!H9-'YTD P&amp;L'!G9</f>
        <v>0</v>
      </c>
      <c r="I9" s="4">
        <f>'YTD P&amp;L'!I9-'YTD P&amp;L'!H9</f>
        <v>0</v>
      </c>
      <c r="J9" s="4">
        <f>'ANNL P&amp;L'!C6-'YTD P&amp;L'!I9</f>
        <v>0</v>
      </c>
      <c r="K9" s="4">
        <f>'YTD P&amp;L'!J9</f>
        <v>0</v>
      </c>
      <c r="L9" s="4">
        <f>'YTD P&amp;L'!K9-'YTD P&amp;L'!J9</f>
        <v>0</v>
      </c>
      <c r="M9" s="4">
        <f>'YTD P&amp;L'!L9-'YTD P&amp;L'!K9</f>
        <v>0</v>
      </c>
      <c r="N9" s="4">
        <f>'ANNL P&amp;L'!D6-'YTD P&amp;L'!L9</f>
        <v>0</v>
      </c>
      <c r="O9" s="4">
        <f>'YTD P&amp;L'!M9</f>
        <v>0</v>
      </c>
      <c r="P9" s="4">
        <f>'YTD P&amp;L'!N9-'YTD P&amp;L'!M9</f>
        <v>0</v>
      </c>
      <c r="Q9" s="4">
        <f>'YTD P&amp;L'!O9-'YTD P&amp;L'!N9</f>
        <v>0</v>
      </c>
      <c r="R9" s="4">
        <f>'ANNL P&amp;L'!E6-'YTD P&amp;L'!O9</f>
        <v>0</v>
      </c>
      <c r="S9" s="4">
        <f>'YTD P&amp;L'!P9</f>
        <v>0</v>
      </c>
      <c r="T9" s="4">
        <f>'YTD P&amp;L'!Q9-'YTD P&amp;L'!P9</f>
        <v>0</v>
      </c>
      <c r="U9" s="4">
        <f>'YTD P&amp;L'!R9-'YTD P&amp;L'!Q9</f>
        <v>-246707</v>
      </c>
      <c r="V9" s="4">
        <f>'ANNL P&amp;L'!F6-'YTD P&amp;L'!R9</f>
        <v>-80754</v>
      </c>
      <c r="W9" s="9">
        <f>'IS DRIVERS'!X8</f>
        <v>0</v>
      </c>
      <c r="X9" s="9">
        <f>'IS DRIVERS'!Y8</f>
        <v>0</v>
      </c>
      <c r="Y9" s="9">
        <f>'IS DRIVERS'!Z8</f>
        <v>0</v>
      </c>
      <c r="Z9" s="9">
        <f>'IS DRIVERS'!AA8</f>
        <v>0</v>
      </c>
      <c r="AA9" s="9">
        <f>'IS DRIVERS'!AB8</f>
        <v>0</v>
      </c>
      <c r="AB9" s="9">
        <f>'IS DRIVERS'!AC8</f>
        <v>0</v>
      </c>
      <c r="AC9" s="9">
        <f>'IS DRIVERS'!AD8</f>
        <v>0</v>
      </c>
      <c r="AD9" s="9">
        <f>'IS DRIVERS'!AE8</f>
        <v>0</v>
      </c>
      <c r="AE9" s="9">
        <f>'IS DRIVERS'!AF8</f>
        <v>0</v>
      </c>
      <c r="AF9" s="9">
        <f>'IS DRIVERS'!AG8</f>
        <v>0</v>
      </c>
      <c r="AG9" s="9">
        <f>'IS DRIVERS'!AH8</f>
        <v>0</v>
      </c>
      <c r="AH9" s="9">
        <f>'IS DRIVERS'!AI8</f>
        <v>0</v>
      </c>
      <c r="AI9" s="9">
        <f>'IS DRIVERS'!AJ8</f>
        <v>0</v>
      </c>
      <c r="AJ9" s="9">
        <f>'IS DRIVERS'!AK8</f>
        <v>0</v>
      </c>
      <c r="AK9" s="9">
        <f>'IS DRIVERS'!AL8</f>
        <v>0</v>
      </c>
      <c r="AL9" s="9">
        <f>'IS DRIVERS'!AM8</f>
        <v>0</v>
      </c>
      <c r="AM9" s="9">
        <f>'IS DRIVERS'!AN8</f>
        <v>0</v>
      </c>
      <c r="AN9" s="9">
        <f>'IS DRIVERS'!AO8</f>
        <v>0</v>
      </c>
      <c r="AO9" s="9">
        <f>'IS DRIVERS'!AP8</f>
        <v>0</v>
      </c>
      <c r="AP9" s="9">
        <f>'IS DRIVERS'!AQ8</f>
        <v>0</v>
      </c>
    </row>
    <row r="10" spans="1:42" x14ac:dyDescent="0.3">
      <c r="A10" s="3" t="s">
        <v>21</v>
      </c>
      <c r="B10" s="6">
        <f>'YTD P&amp;L'!C10-'YTD P&amp;L'!B10</f>
        <v>-8507115</v>
      </c>
      <c r="C10" s="6">
        <f>'YTD P&amp;L'!D10</f>
        <v>-18953</v>
      </c>
      <c r="D10" s="6">
        <f>'YTD P&amp;L'!E10-'YTD P&amp;L'!D10</f>
        <v>-39985061</v>
      </c>
      <c r="E10" s="6">
        <f>'YTD P&amp;L'!F10-'YTD P&amp;L'!E10</f>
        <v>-29828812</v>
      </c>
      <c r="F10" s="6">
        <f>'ANNL P&amp;L'!B7-'YTD P&amp;L'!F10</f>
        <v>69828736</v>
      </c>
      <c r="G10" s="6">
        <f>'YTD P&amp;L'!G10</f>
        <v>-33662</v>
      </c>
      <c r="H10" s="6">
        <f>'YTD P&amp;L'!H10-'YTD P&amp;L'!G10</f>
        <v>-34459</v>
      </c>
      <c r="I10" s="6">
        <f>'YTD P&amp;L'!I10-'YTD P&amp;L'!H10</f>
        <v>-373851</v>
      </c>
      <c r="J10" s="6">
        <f>'ANNL P&amp;L'!C7-'YTD P&amp;L'!I10</f>
        <v>284171</v>
      </c>
      <c r="K10" s="6">
        <f>'YTD P&amp;L'!J10</f>
        <v>44913</v>
      </c>
      <c r="L10" s="6">
        <f>'YTD P&amp;L'!K10-'YTD P&amp;L'!J10</f>
        <v>64813</v>
      </c>
      <c r="M10" s="6">
        <f>'YTD P&amp;L'!L10-'YTD P&amp;L'!K10</f>
        <v>97697</v>
      </c>
      <c r="N10" s="6">
        <f>'ANNL P&amp;L'!D7-'YTD P&amp;L'!L10</f>
        <v>58943</v>
      </c>
      <c r="O10" s="6">
        <f>'YTD P&amp;L'!M10</f>
        <v>83190</v>
      </c>
      <c r="P10" s="6">
        <f>'YTD P&amp;L'!N10-'YTD P&amp;L'!M10</f>
        <v>94248</v>
      </c>
      <c r="Q10" s="6">
        <f>'YTD P&amp;L'!O10-'YTD P&amp;L'!N10</f>
        <v>-3214</v>
      </c>
      <c r="R10" s="6">
        <f>'ANNL P&amp;L'!E7-'YTD P&amp;L'!O10</f>
        <v>-18496</v>
      </c>
      <c r="S10" s="6">
        <f>'YTD P&amp;L'!P10</f>
        <v>52031</v>
      </c>
      <c r="T10" s="6">
        <f>'YTD P&amp;L'!Q10-'YTD P&amp;L'!P10</f>
        <v>142965</v>
      </c>
      <c r="U10" s="6">
        <f>'YTD P&amp;L'!R10-'YTD P&amp;L'!Q10</f>
        <v>-79999</v>
      </c>
      <c r="V10" s="6">
        <f>'ANNL P&amp;L'!F7-'YTD P&amp;L'!R10</f>
        <v>26065</v>
      </c>
      <c r="W10" s="7">
        <f t="shared" ref="W10:AP10" si="1">W4+SUM(W5:W9)</f>
        <v>106306.63838390523</v>
      </c>
      <c r="X10" s="7">
        <f t="shared" si="1"/>
        <v>105796.7343308437</v>
      </c>
      <c r="Y10" s="7">
        <f t="shared" si="1"/>
        <v>105289.27605301587</v>
      </c>
      <c r="Z10" s="7">
        <f t="shared" si="1"/>
        <v>104784.2518191626</v>
      </c>
      <c r="AA10" s="7">
        <f t="shared" si="1"/>
        <v>104281.64995429447</v>
      </c>
      <c r="AB10" s="7">
        <f t="shared" si="1"/>
        <v>103781.45883942154</v>
      </c>
      <c r="AC10" s="7">
        <f t="shared" si="1"/>
        <v>103283.66691128482</v>
      </c>
      <c r="AD10" s="7">
        <f t="shared" si="1"/>
        <v>102788.26266208894</v>
      </c>
      <c r="AE10" s="7">
        <f t="shared" si="1"/>
        <v>102295.23463923606</v>
      </c>
      <c r="AF10" s="7">
        <f t="shared" si="1"/>
        <v>101804.57144506133</v>
      </c>
      <c r="AG10" s="7">
        <f t="shared" si="1"/>
        <v>101316.26173656917</v>
      </c>
      <c r="AH10" s="7">
        <f t="shared" si="1"/>
        <v>100830.29422517115</v>
      </c>
      <c r="AI10" s="7">
        <f t="shared" si="1"/>
        <v>100346.65767642492</v>
      </c>
      <c r="AJ10" s="7">
        <f t="shared" si="1"/>
        <v>99865.340909774823</v>
      </c>
      <c r="AK10" s="7">
        <f t="shared" si="1"/>
        <v>99386.332798292919</v>
      </c>
      <c r="AL10" s="7">
        <f t="shared" si="1"/>
        <v>98909.622268422187</v>
      </c>
      <c r="AM10" s="7">
        <f t="shared" si="1"/>
        <v>98435.198299720243</v>
      </c>
      <c r="AN10" s="7">
        <f t="shared" si="1"/>
        <v>97963.049924604828</v>
      </c>
      <c r="AO10" s="7">
        <f t="shared" si="1"/>
        <v>97493.166228100046</v>
      </c>
      <c r="AP10" s="7">
        <f t="shared" si="1"/>
        <v>97025.536347584217</v>
      </c>
    </row>
    <row r="11" spans="1:42" x14ac:dyDescent="0.3">
      <c r="A11" s="3" t="s">
        <v>22</v>
      </c>
      <c r="B11" s="4">
        <f>'YTD P&amp;L'!C11-'YTD P&amp;L'!B11</f>
        <v>-247399</v>
      </c>
      <c r="C11" s="4">
        <f>'YTD P&amp;L'!D11</f>
        <v>85</v>
      </c>
      <c r="D11" s="4">
        <f>'YTD P&amp;L'!E11-'YTD P&amp;L'!D11</f>
        <v>160056</v>
      </c>
      <c r="E11" s="4">
        <f>'YTD P&amp;L'!F11-'YTD P&amp;L'!E11</f>
        <v>71949</v>
      </c>
      <c r="F11" s="4">
        <f>'ANNL P&amp;L'!B8-'YTD P&amp;L'!F11</f>
        <v>-231783</v>
      </c>
      <c r="G11" s="4">
        <f>'YTD P&amp;L'!G11</f>
        <v>76</v>
      </c>
      <c r="H11" s="4">
        <f>'YTD P&amp;L'!H11-'YTD P&amp;L'!G11</f>
        <v>53</v>
      </c>
      <c r="I11" s="4">
        <f>'YTD P&amp;L'!I11-'YTD P&amp;L'!H11</f>
        <v>1450</v>
      </c>
      <c r="J11" s="4">
        <f>'ANNL P&amp;L'!C8-'YTD P&amp;L'!I11</f>
        <v>3950</v>
      </c>
      <c r="K11" s="4">
        <f>'YTD P&amp;L'!J11</f>
        <v>4969</v>
      </c>
      <c r="L11" s="4">
        <f>'YTD P&amp;L'!K11-'YTD P&amp;L'!J11</f>
        <v>5573</v>
      </c>
      <c r="M11" s="4">
        <f>'YTD P&amp;L'!L11-'YTD P&amp;L'!K11</f>
        <v>7225</v>
      </c>
      <c r="N11" s="4">
        <f>'ANNL P&amp;L'!D8-'YTD P&amp;L'!L11</f>
        <v>8862</v>
      </c>
      <c r="O11" s="4">
        <f>'YTD P&amp;L'!M11</f>
        <v>9640</v>
      </c>
      <c r="P11" s="4">
        <f>'YTD P&amp;L'!N11-'YTD P&amp;L'!M11</f>
        <v>10647</v>
      </c>
      <c r="Q11" s="4">
        <f>'YTD P&amp;L'!O11-'YTD P&amp;L'!N11</f>
        <v>11112</v>
      </c>
      <c r="R11" s="4">
        <f>'ANNL P&amp;L'!E8-'YTD P&amp;L'!O11</f>
        <v>7864</v>
      </c>
      <c r="S11" s="4">
        <f>'YTD P&amp;L'!P11</f>
        <v>7846</v>
      </c>
      <c r="T11" s="4">
        <f>'YTD P&amp;L'!Q11-'YTD P&amp;L'!P11</f>
        <v>-14042</v>
      </c>
      <c r="U11" s="4">
        <f>'YTD P&amp;L'!R11-'YTD P&amp;L'!Q11</f>
        <v>-13396</v>
      </c>
      <c r="V11" s="4">
        <f>'ANNL P&amp;L'!F8-'YTD P&amp;L'!R11</f>
        <v>-8300</v>
      </c>
      <c r="W11" s="9">
        <f>'IS DRIVERS'!X9</f>
        <v>-8300</v>
      </c>
      <c r="X11" s="9">
        <f>'IS DRIVERS'!Y9</f>
        <v>-8300</v>
      </c>
      <c r="Y11" s="9">
        <f>'IS DRIVERS'!Z9</f>
        <v>-8300</v>
      </c>
      <c r="Z11" s="9">
        <f>'IS DRIVERS'!AA9</f>
        <v>-8300</v>
      </c>
      <c r="AA11" s="9">
        <f>'IS DRIVERS'!AB9</f>
        <v>-8300</v>
      </c>
      <c r="AB11" s="9">
        <f>'IS DRIVERS'!AC9</f>
        <v>-8300</v>
      </c>
      <c r="AC11" s="9">
        <f>'IS DRIVERS'!AD9</f>
        <v>-8300</v>
      </c>
      <c r="AD11" s="9">
        <f>'IS DRIVERS'!AE9</f>
        <v>-8300</v>
      </c>
      <c r="AE11" s="9">
        <f>'IS DRIVERS'!AF9</f>
        <v>-8300</v>
      </c>
      <c r="AF11" s="9">
        <f>'IS DRIVERS'!AG9</f>
        <v>-8300</v>
      </c>
      <c r="AG11" s="9">
        <f>'IS DRIVERS'!AH9</f>
        <v>-8300</v>
      </c>
      <c r="AH11" s="9">
        <f>'IS DRIVERS'!AI9</f>
        <v>-8300</v>
      </c>
      <c r="AI11" s="9">
        <f>'IS DRIVERS'!AJ9</f>
        <v>-8300</v>
      </c>
      <c r="AJ11" s="9">
        <f>'IS DRIVERS'!AK9</f>
        <v>-8300</v>
      </c>
      <c r="AK11" s="9">
        <f>'IS DRIVERS'!AL9</f>
        <v>-8300</v>
      </c>
      <c r="AL11" s="9">
        <f>'IS DRIVERS'!AM9</f>
        <v>-8300</v>
      </c>
      <c r="AM11" s="9">
        <f>'IS DRIVERS'!AN9</f>
        <v>-8300</v>
      </c>
      <c r="AN11" s="9">
        <f>'IS DRIVERS'!AO9</f>
        <v>-8300</v>
      </c>
      <c r="AO11" s="9">
        <f>'IS DRIVERS'!AP9</f>
        <v>-8300</v>
      </c>
      <c r="AP11" s="9">
        <f>'IS DRIVERS'!AQ9</f>
        <v>-8300</v>
      </c>
    </row>
    <row r="12" spans="1:42" x14ac:dyDescent="0.3">
      <c r="A12" s="3" t="s">
        <v>23</v>
      </c>
      <c r="B12" s="4">
        <f>'YTD P&amp;L'!C12-'YTD P&amp;L'!B12</f>
        <v>550510</v>
      </c>
      <c r="C12" s="4">
        <f>'YTD P&amp;L'!D12</f>
        <v>-301</v>
      </c>
      <c r="D12" s="4">
        <f>'YTD P&amp;L'!E12-'YTD P&amp;L'!D12</f>
        <v>-123335</v>
      </c>
      <c r="E12" s="4">
        <f>'YTD P&amp;L'!F12-'YTD P&amp;L'!E12</f>
        <v>-327581</v>
      </c>
      <c r="F12" s="4">
        <f>'ANNL P&amp;L'!B9-'YTD P&amp;L'!F12</f>
        <v>450941</v>
      </c>
      <c r="G12" s="4">
        <f>'YTD P&amp;L'!G12</f>
        <v>-162</v>
      </c>
      <c r="H12" s="4">
        <f>'YTD P&amp;L'!H12-'YTD P&amp;L'!G12</f>
        <v>-514</v>
      </c>
      <c r="I12" s="4">
        <f>'YTD P&amp;L'!I12-'YTD P&amp;L'!H12</f>
        <v>-254</v>
      </c>
      <c r="J12" s="4">
        <f>'ANNL P&amp;L'!C9-'YTD P&amp;L'!I12</f>
        <v>538</v>
      </c>
      <c r="K12" s="4">
        <f>'YTD P&amp;L'!J12</f>
        <v>-118</v>
      </c>
      <c r="L12" s="4">
        <f>'YTD P&amp;L'!K12-'YTD P&amp;L'!J12</f>
        <v>-931</v>
      </c>
      <c r="M12" s="4">
        <f>'YTD P&amp;L'!L12-'YTD P&amp;L'!K12</f>
        <v>-177</v>
      </c>
      <c r="N12" s="4">
        <f>'ANNL P&amp;L'!D9-'YTD P&amp;L'!L12</f>
        <v>-20</v>
      </c>
      <c r="O12" s="4">
        <f>'YTD P&amp;L'!M12</f>
        <v>-369</v>
      </c>
      <c r="P12" s="4">
        <f>'YTD P&amp;L'!N12-'YTD P&amp;L'!M12</f>
        <v>-264</v>
      </c>
      <c r="Q12" s="4">
        <f>'YTD P&amp;L'!O12-'YTD P&amp;L'!N12</f>
        <v>277</v>
      </c>
      <c r="R12" s="4">
        <f>'ANNL P&amp;L'!E9-'YTD P&amp;L'!O12</f>
        <v>-1378</v>
      </c>
      <c r="S12" s="4">
        <f>'YTD P&amp;L'!P12</f>
        <v>0</v>
      </c>
      <c r="T12" s="4">
        <f>'YTD P&amp;L'!Q12-'YTD P&amp;L'!P12</f>
        <v>0</v>
      </c>
      <c r="U12" s="4">
        <f>'YTD P&amp;L'!R12-'YTD P&amp;L'!Q12</f>
        <v>0</v>
      </c>
      <c r="V12" s="4">
        <f>'ANNL P&amp;L'!F9-'YTD P&amp;L'!R12</f>
        <v>0</v>
      </c>
      <c r="W12" s="9">
        <f>'IS DRIVERS'!X10</f>
        <v>0</v>
      </c>
      <c r="X12" s="9">
        <f>'IS DRIVERS'!Y10</f>
        <v>0</v>
      </c>
      <c r="Y12" s="9">
        <f>'IS DRIVERS'!Z10</f>
        <v>0</v>
      </c>
      <c r="Z12" s="9">
        <f>'IS DRIVERS'!AA10</f>
        <v>0</v>
      </c>
      <c r="AA12" s="9">
        <f>'IS DRIVERS'!AB10</f>
        <v>0</v>
      </c>
      <c r="AB12" s="9">
        <f>'IS DRIVERS'!AC10</f>
        <v>0</v>
      </c>
      <c r="AC12" s="9">
        <f>'IS DRIVERS'!AD10</f>
        <v>0</v>
      </c>
      <c r="AD12" s="9">
        <f>'IS DRIVERS'!AE10</f>
        <v>0</v>
      </c>
      <c r="AE12" s="9">
        <f>'IS DRIVERS'!AF10</f>
        <v>0</v>
      </c>
      <c r="AF12" s="9">
        <f>'IS DRIVERS'!AG10</f>
        <v>0</v>
      </c>
      <c r="AG12" s="9">
        <f>'IS DRIVERS'!AH10</f>
        <v>0</v>
      </c>
      <c r="AH12" s="9">
        <f>'IS DRIVERS'!AI10</f>
        <v>0</v>
      </c>
      <c r="AI12" s="9">
        <f>'IS DRIVERS'!AJ10</f>
        <v>0</v>
      </c>
      <c r="AJ12" s="9">
        <f>'IS DRIVERS'!AK10</f>
        <v>0</v>
      </c>
      <c r="AK12" s="9">
        <f>'IS DRIVERS'!AL10</f>
        <v>0</v>
      </c>
      <c r="AL12" s="9">
        <f>'IS DRIVERS'!AM10</f>
        <v>0</v>
      </c>
      <c r="AM12" s="9">
        <f>'IS DRIVERS'!AN10</f>
        <v>0</v>
      </c>
      <c r="AN12" s="9">
        <f>'IS DRIVERS'!AO10</f>
        <v>0</v>
      </c>
      <c r="AO12" s="9">
        <f>'IS DRIVERS'!AP10</f>
        <v>0</v>
      </c>
      <c r="AP12" s="9">
        <f>'IS DRIVERS'!AQ10</f>
        <v>0</v>
      </c>
    </row>
    <row r="13" spans="1:42" x14ac:dyDescent="0.3">
      <c r="A13" s="3" t="s">
        <v>24</v>
      </c>
      <c r="B13" s="4">
        <f>'YTD P&amp;L'!C13-'YTD P&amp;L'!B13</f>
        <v>-62817</v>
      </c>
      <c r="C13" s="4">
        <f>'YTD P&amp;L'!D13</f>
        <v>-12</v>
      </c>
      <c r="D13" s="4">
        <f>'YTD P&amp;L'!E13-'YTD P&amp;L'!D13</f>
        <v>97050</v>
      </c>
      <c r="E13" s="4">
        <f>'YTD P&amp;L'!F13-'YTD P&amp;L'!E13</f>
        <v>-97038</v>
      </c>
      <c r="F13" s="4">
        <f>'ANNL P&amp;L'!B10-'YTD P&amp;L'!F13</f>
        <v>0</v>
      </c>
      <c r="G13" s="4">
        <f>'YTD P&amp;L'!G13</f>
        <v>0</v>
      </c>
      <c r="H13" s="4">
        <f>'YTD P&amp;L'!H13-'YTD P&amp;L'!G13</f>
        <v>0</v>
      </c>
      <c r="I13" s="4">
        <f>'YTD P&amp;L'!I13-'YTD P&amp;L'!H13</f>
        <v>0</v>
      </c>
      <c r="J13" s="4">
        <f>'ANNL P&amp;L'!C10-'YTD P&amp;L'!I13</f>
        <v>0</v>
      </c>
      <c r="K13" s="4">
        <f>'YTD P&amp;L'!J13</f>
        <v>0</v>
      </c>
      <c r="L13" s="4">
        <f>'YTD P&amp;L'!K13-'YTD P&amp;L'!J13</f>
        <v>0</v>
      </c>
      <c r="M13" s="4">
        <f>'YTD P&amp;L'!L13-'YTD P&amp;L'!K13</f>
        <v>0</v>
      </c>
      <c r="N13" s="4">
        <f>'ANNL P&amp;L'!D10-'YTD P&amp;L'!L13</f>
        <v>0</v>
      </c>
      <c r="O13" s="4">
        <f>'YTD P&amp;L'!M13</f>
        <v>0</v>
      </c>
      <c r="P13" s="4">
        <f>'YTD P&amp;L'!N13-'YTD P&amp;L'!M13</f>
        <v>0</v>
      </c>
      <c r="Q13" s="4">
        <f>'YTD P&amp;L'!O13-'YTD P&amp;L'!N13</f>
        <v>0</v>
      </c>
      <c r="R13" s="4">
        <f>'ANNL P&amp;L'!E10-'YTD P&amp;L'!O13</f>
        <v>1793</v>
      </c>
      <c r="S13" s="4">
        <f>'YTD P&amp;L'!P13</f>
        <v>1116</v>
      </c>
      <c r="T13" s="4">
        <f>'YTD P&amp;L'!Q13-'YTD P&amp;L'!P13</f>
        <v>542</v>
      </c>
      <c r="U13" s="4">
        <f>'YTD P&amp;L'!R13-'YTD P&amp;L'!Q13</f>
        <v>5364</v>
      </c>
      <c r="V13" s="4">
        <f>'ANNL P&amp;L'!F10-'YTD P&amp;L'!R13</f>
        <v>4841</v>
      </c>
      <c r="W13" s="9">
        <f>'IS DRIVERS'!X11</f>
        <v>4841</v>
      </c>
      <c r="X13" s="9">
        <f>'IS DRIVERS'!Y11</f>
        <v>4841</v>
      </c>
      <c r="Y13" s="9">
        <f>'IS DRIVERS'!Z11</f>
        <v>4841</v>
      </c>
      <c r="Z13" s="9">
        <f>'IS DRIVERS'!AA11</f>
        <v>4841</v>
      </c>
      <c r="AA13" s="9">
        <f>'IS DRIVERS'!AB11</f>
        <v>4841</v>
      </c>
      <c r="AB13" s="9">
        <f>'IS DRIVERS'!AC11</f>
        <v>4841</v>
      </c>
      <c r="AC13" s="9">
        <f>'IS DRIVERS'!AD11</f>
        <v>4841</v>
      </c>
      <c r="AD13" s="9">
        <f>'IS DRIVERS'!AE11</f>
        <v>4841</v>
      </c>
      <c r="AE13" s="9">
        <f>'IS DRIVERS'!AF11</f>
        <v>4841</v>
      </c>
      <c r="AF13" s="9">
        <f>'IS DRIVERS'!AG11</f>
        <v>4841</v>
      </c>
      <c r="AG13" s="9">
        <f>'IS DRIVERS'!AH11</f>
        <v>4841</v>
      </c>
      <c r="AH13" s="9">
        <f>'IS DRIVERS'!AI11</f>
        <v>4841</v>
      </c>
      <c r="AI13" s="9">
        <f>'IS DRIVERS'!AJ11</f>
        <v>4841</v>
      </c>
      <c r="AJ13" s="9">
        <f>'IS DRIVERS'!AK11</f>
        <v>4841</v>
      </c>
      <c r="AK13" s="9">
        <f>'IS DRIVERS'!AL11</f>
        <v>4841</v>
      </c>
      <c r="AL13" s="9">
        <f>'IS DRIVERS'!AM11</f>
        <v>4841</v>
      </c>
      <c r="AM13" s="9">
        <f>'IS DRIVERS'!AN11</f>
        <v>4841</v>
      </c>
      <c r="AN13" s="9">
        <f>'IS DRIVERS'!AO11</f>
        <v>4841</v>
      </c>
      <c r="AO13" s="9">
        <f>'IS DRIVERS'!AP11</f>
        <v>4841</v>
      </c>
      <c r="AP13" s="9">
        <f>'IS DRIVERS'!AQ11</f>
        <v>4841</v>
      </c>
    </row>
    <row r="14" spans="1:42" x14ac:dyDescent="0.3">
      <c r="A14" s="3" t="s">
        <v>82</v>
      </c>
      <c r="B14" s="4">
        <f>'YTD P&amp;L'!C14-'YTD P&amp;L'!B14</f>
        <v>0</v>
      </c>
      <c r="C14" s="4">
        <f>'YTD P&amp;L'!D14</f>
        <v>0</v>
      </c>
      <c r="D14" s="4">
        <f>'YTD P&amp;L'!E14-'YTD P&amp;L'!D14</f>
        <v>0</v>
      </c>
      <c r="E14" s="4">
        <f>'YTD P&amp;L'!F14-'YTD P&amp;L'!E14</f>
        <v>0</v>
      </c>
      <c r="G14" s="4">
        <f>'YTD P&amp;L'!G14</f>
        <v>0</v>
      </c>
      <c r="H14" s="4">
        <f>'YTD P&amp;L'!H14-'YTD P&amp;L'!G14</f>
        <v>0</v>
      </c>
      <c r="I14" s="4">
        <f>'YTD P&amp;L'!I14-'YTD P&amp;L'!H14</f>
        <v>0</v>
      </c>
      <c r="K14" s="4">
        <f>'YTD P&amp;L'!J14</f>
        <v>0</v>
      </c>
      <c r="L14" s="4">
        <f>'YTD P&amp;L'!K14-'YTD P&amp;L'!J14</f>
        <v>0</v>
      </c>
      <c r="M14" s="4">
        <f>'YTD P&amp;L'!L14-'YTD P&amp;L'!K14</f>
        <v>0</v>
      </c>
      <c r="O14" s="4">
        <f>'YTD P&amp;L'!M14</f>
        <v>0</v>
      </c>
      <c r="P14" s="4">
        <f>'YTD P&amp;L'!N14-'YTD P&amp;L'!M14</f>
        <v>0</v>
      </c>
      <c r="Q14" s="4">
        <f>'YTD P&amp;L'!O14-'YTD P&amp;L'!N14</f>
        <v>0</v>
      </c>
      <c r="S14" s="4">
        <f>'YTD P&amp;L'!P14</f>
        <v>0</v>
      </c>
      <c r="T14" s="4">
        <f>'YTD P&amp;L'!Q14-'YTD P&amp;L'!P14</f>
        <v>0</v>
      </c>
      <c r="U14" s="4">
        <f>'YTD P&amp;L'!R14-'YTD P&amp;L'!Q14</f>
        <v>0</v>
      </c>
      <c r="W14" s="9">
        <f>'IS DRIVERS'!X12</f>
        <v>0</v>
      </c>
      <c r="X14" s="9">
        <f>'IS DRIVERS'!Y12</f>
        <v>0</v>
      </c>
      <c r="Y14" s="9">
        <f>'IS DRIVERS'!Z12</f>
        <v>0</v>
      </c>
      <c r="Z14" s="9">
        <f>'IS DRIVERS'!AA12</f>
        <v>0</v>
      </c>
      <c r="AA14" s="9">
        <f>'IS DRIVERS'!AB12</f>
        <v>0</v>
      </c>
      <c r="AB14" s="9">
        <f>'IS DRIVERS'!AC12</f>
        <v>0</v>
      </c>
      <c r="AC14" s="9">
        <f>'IS DRIVERS'!AD12</f>
        <v>0</v>
      </c>
      <c r="AD14" s="9">
        <f>'IS DRIVERS'!AE12</f>
        <v>0</v>
      </c>
      <c r="AE14" s="9">
        <f>'IS DRIVERS'!AF12</f>
        <v>0</v>
      </c>
      <c r="AF14" s="9">
        <f>'IS DRIVERS'!AG12</f>
        <v>0</v>
      </c>
      <c r="AG14" s="9">
        <f>'IS DRIVERS'!AH12</f>
        <v>0</v>
      </c>
      <c r="AH14" s="9">
        <f>'IS DRIVERS'!AI12</f>
        <v>0</v>
      </c>
      <c r="AI14" s="9">
        <f>'IS DRIVERS'!AJ12</f>
        <v>0</v>
      </c>
      <c r="AJ14" s="9">
        <f>'IS DRIVERS'!AK12</f>
        <v>0</v>
      </c>
      <c r="AK14" s="9">
        <f>'IS DRIVERS'!AL12</f>
        <v>0</v>
      </c>
      <c r="AL14" s="9">
        <f>'IS DRIVERS'!AM12</f>
        <v>0</v>
      </c>
      <c r="AM14" s="9">
        <f>'IS DRIVERS'!AN12</f>
        <v>0</v>
      </c>
      <c r="AN14" s="9">
        <f>'IS DRIVERS'!AO12</f>
        <v>0</v>
      </c>
      <c r="AO14" s="9">
        <f>'IS DRIVERS'!AP12</f>
        <v>0</v>
      </c>
      <c r="AP14" s="9">
        <f>'IS DRIVERS'!AQ12</f>
        <v>0</v>
      </c>
    </row>
    <row r="15" spans="1:42" x14ac:dyDescent="0.3">
      <c r="A15" s="3" t="s">
        <v>25</v>
      </c>
      <c r="B15" s="6">
        <f>'YTD P&amp;L'!C15-'YTD P&amp;L'!B15</f>
        <v>-8266821</v>
      </c>
      <c r="C15" s="6">
        <f>'YTD P&amp;L'!D15</f>
        <v>-19181</v>
      </c>
      <c r="D15" s="6">
        <f>'YTD P&amp;L'!E15-'YTD P&amp;L'!D15</f>
        <v>-39851290</v>
      </c>
      <c r="E15" s="6">
        <f>'YTD P&amp;L'!F15-'YTD P&amp;L'!E15</f>
        <v>-30181482</v>
      </c>
      <c r="F15" s="6">
        <f>'ANNL P&amp;L'!B11-'YTD P&amp;L'!F15</f>
        <v>70047894</v>
      </c>
      <c r="G15" s="6">
        <f>'YTD P&amp;L'!G15</f>
        <v>-33748</v>
      </c>
      <c r="H15" s="6">
        <f>'YTD P&amp;L'!H15-'YTD P&amp;L'!G15</f>
        <v>-34920</v>
      </c>
      <c r="I15" s="6">
        <f>'YTD P&amp;L'!I15-'YTD P&amp;L'!H15</f>
        <v>-372655</v>
      </c>
      <c r="J15" s="6">
        <f>'ANNL P&amp;L'!C11-'YTD P&amp;L'!I15</f>
        <v>288659</v>
      </c>
      <c r="K15" s="6">
        <f>'YTD P&amp;L'!J15</f>
        <v>49764</v>
      </c>
      <c r="L15" s="6">
        <f>'YTD P&amp;L'!K15-'YTD P&amp;L'!J15</f>
        <v>69455</v>
      </c>
      <c r="M15" s="6">
        <f>'YTD P&amp;L'!L15-'YTD P&amp;L'!K15</f>
        <v>104745</v>
      </c>
      <c r="N15" s="6">
        <f>'ANNL P&amp;L'!D11-'YTD P&amp;L'!L15</f>
        <v>67785</v>
      </c>
      <c r="O15" s="6">
        <f>'YTD P&amp;L'!M15</f>
        <v>92461</v>
      </c>
      <c r="P15" s="6">
        <f>'YTD P&amp;L'!N15-'YTD P&amp;L'!M15</f>
        <v>104631</v>
      </c>
      <c r="Q15" s="6">
        <f>'YTD P&amp;L'!O15-'YTD P&amp;L'!N15</f>
        <v>8175</v>
      </c>
      <c r="R15" s="6">
        <f>'ANNL P&amp;L'!E11-'YTD P&amp;L'!O15</f>
        <v>-10217</v>
      </c>
      <c r="S15" s="6">
        <f>'YTD P&amp;L'!P15</f>
        <v>60993</v>
      </c>
      <c r="T15" s="6">
        <f>'YTD P&amp;L'!Q15-'YTD P&amp;L'!P15</f>
        <v>129465</v>
      </c>
      <c r="U15" s="6">
        <f>'YTD P&amp;L'!R15-'YTD P&amp;L'!Q15</f>
        <v>-88031</v>
      </c>
      <c r="V15" s="6">
        <f>'ANNL P&amp;L'!F11-'YTD P&amp;L'!R15</f>
        <v>22606</v>
      </c>
      <c r="W15" s="7">
        <f t="shared" ref="W15:AP15" si="2">W10+SUM(W11:W14)</f>
        <v>102847.63838390523</v>
      </c>
      <c r="X15" s="7">
        <f t="shared" si="2"/>
        <v>102337.7343308437</v>
      </c>
      <c r="Y15" s="7">
        <f t="shared" si="2"/>
        <v>101830.27605301587</v>
      </c>
      <c r="Z15" s="7">
        <f t="shared" si="2"/>
        <v>101325.2518191626</v>
      </c>
      <c r="AA15" s="7">
        <f t="shared" si="2"/>
        <v>100822.64995429447</v>
      </c>
      <c r="AB15" s="7">
        <f t="shared" si="2"/>
        <v>100322.45883942154</v>
      </c>
      <c r="AC15" s="7">
        <f t="shared" si="2"/>
        <v>99824.666911284818</v>
      </c>
      <c r="AD15" s="7">
        <f t="shared" si="2"/>
        <v>99329.262662088935</v>
      </c>
      <c r="AE15" s="7">
        <f t="shared" si="2"/>
        <v>98836.234639236063</v>
      </c>
      <c r="AF15" s="7">
        <f t="shared" si="2"/>
        <v>98345.57144506133</v>
      </c>
      <c r="AG15" s="7">
        <f t="shared" si="2"/>
        <v>97857.261736569169</v>
      </c>
      <c r="AH15" s="7">
        <f t="shared" si="2"/>
        <v>97371.29422517115</v>
      </c>
      <c r="AI15" s="7">
        <f t="shared" si="2"/>
        <v>96887.657676424918</v>
      </c>
      <c r="AJ15" s="7">
        <f t="shared" si="2"/>
        <v>96406.340909774823</v>
      </c>
      <c r="AK15" s="7">
        <f t="shared" si="2"/>
        <v>95927.332798292919</v>
      </c>
      <c r="AL15" s="7">
        <f t="shared" si="2"/>
        <v>95450.622268422187</v>
      </c>
      <c r="AM15" s="7">
        <f t="shared" si="2"/>
        <v>94976.198299720243</v>
      </c>
      <c r="AN15" s="7">
        <f t="shared" si="2"/>
        <v>94504.049924604828</v>
      </c>
      <c r="AO15" s="7">
        <f t="shared" si="2"/>
        <v>94034.166228100046</v>
      </c>
      <c r="AP15" s="7">
        <f t="shared" si="2"/>
        <v>93566.536347584217</v>
      </c>
    </row>
    <row r="16" spans="1:42" x14ac:dyDescent="0.3">
      <c r="A16" s="3" t="s">
        <v>26</v>
      </c>
      <c r="B16" s="4">
        <f>'YTD P&amp;L'!C16-'YTD P&amp;L'!B16</f>
        <v>0</v>
      </c>
      <c r="C16" s="4">
        <f>'YTD P&amp;L'!D16</f>
        <v>0</v>
      </c>
      <c r="D16" s="4">
        <f>'YTD P&amp;L'!E16-'YTD P&amp;L'!D16</f>
        <v>0</v>
      </c>
      <c r="E16" s="4">
        <f>'YTD P&amp;L'!F16-'YTD P&amp;L'!E16</f>
        <v>-833819</v>
      </c>
      <c r="F16" s="4">
        <f>'ANNL P&amp;L'!B12-'YTD P&amp;L'!F16</f>
        <v>841815</v>
      </c>
      <c r="G16" s="4">
        <f>'YTD P&amp;L'!G16</f>
        <v>-3351</v>
      </c>
      <c r="H16" s="4">
        <f>'YTD P&amp;L'!H16-'YTD P&amp;L'!G16</f>
        <v>-2810</v>
      </c>
      <c r="I16" s="4">
        <f>'YTD P&amp;L'!I16-'YTD P&amp;L'!H16</f>
        <v>-35492</v>
      </c>
      <c r="J16" s="4">
        <f>'ANNL P&amp;L'!C12-'YTD P&amp;L'!I16</f>
        <v>7035</v>
      </c>
      <c r="K16" s="4">
        <f>'YTD P&amp;L'!J16</f>
        <v>-8537</v>
      </c>
      <c r="L16" s="4">
        <f>'YTD P&amp;L'!K16-'YTD P&amp;L'!J16</f>
        <v>-17946</v>
      </c>
      <c r="M16" s="4">
        <f>'YTD P&amp;L'!L16-'YTD P&amp;L'!K16</f>
        <v>-20796</v>
      </c>
      <c r="N16" s="4">
        <f>'ANNL P&amp;L'!D12-'YTD P&amp;L'!L16</f>
        <v>-17669</v>
      </c>
      <c r="O16" s="4">
        <f>'YTD P&amp;L'!M16</f>
        <v>-14650</v>
      </c>
      <c r="P16" s="4">
        <f>'YTD P&amp;L'!N16-'YTD P&amp;L'!M16</f>
        <v>-24848</v>
      </c>
      <c r="Q16" s="4">
        <f>'YTD P&amp;L'!O16-'YTD P&amp;L'!N16</f>
        <v>-1819</v>
      </c>
      <c r="R16" s="4">
        <f>'ANNL P&amp;L'!E12-'YTD P&amp;L'!O16</f>
        <v>-8659</v>
      </c>
      <c r="S16" s="4">
        <f>'YTD P&amp;L'!P16</f>
        <v>-16574</v>
      </c>
      <c r="T16" s="4">
        <f>'YTD P&amp;L'!Q16-'YTD P&amp;L'!P16</f>
        <v>-29610</v>
      </c>
      <c r="U16" s="4">
        <f>'YTD P&amp;L'!R16-'YTD P&amp;L'!Q16</f>
        <v>27017</v>
      </c>
      <c r="V16" s="4">
        <f>'ANNL P&amp;L'!F12-'YTD P&amp;L'!R16</f>
        <v>2133</v>
      </c>
      <c r="W16" s="9">
        <f>'QTR P&amp;L'!W15*'IS DRIVERS'!X13</f>
        <v>9704.2383735676303</v>
      </c>
      <c r="X16" s="9">
        <f>'QTR P&amp;L'!X15*'IS DRIVERS'!Y13</f>
        <v>9656.1261314557905</v>
      </c>
      <c r="Y16" s="9">
        <f>'QTR P&amp;L'!Y15*'IS DRIVERS'!Z13</f>
        <v>9608.2446616421676</v>
      </c>
      <c r="Z16" s="9">
        <f>'QTR P&amp;L'!Z15*'IS DRIVERS'!AA13</f>
        <v>9560.5928572181638</v>
      </c>
      <c r="AA16" s="9">
        <f>'QTR P&amp;L'!AA15*'IS DRIVERS'!AB13</f>
        <v>9513.1696165845387</v>
      </c>
      <c r="AB16" s="9">
        <f>'QTR P&amp;L'!AB15*'IS DRIVERS'!AC13</f>
        <v>9465.9738434259107</v>
      </c>
      <c r="AC16" s="9">
        <f>'QTR P&amp;L'!AC15*'IS DRIVERS'!AD13</f>
        <v>9419.004446685416</v>
      </c>
      <c r="AD16" s="9">
        <f>'QTR P&amp;L'!AD15*'IS DRIVERS'!AE13</f>
        <v>9372.2603405394893</v>
      </c>
      <c r="AE16" s="9">
        <f>'QTR P&amp;L'!AE15*'IS DRIVERS'!AF13</f>
        <v>9325.7404443727555</v>
      </c>
      <c r="AF16" s="9">
        <f>'QTR P&amp;L'!AF15*'IS DRIVERS'!AG13</f>
        <v>9279.4436827530662</v>
      </c>
      <c r="AG16" s="9">
        <f>'QTR P&amp;L'!AG15*'IS DRIVERS'!AH13</f>
        <v>9233.3689854066197</v>
      </c>
      <c r="AH16" s="9">
        <f>'QTR P&amp;L'!AH15*'IS DRIVERS'!AI13</f>
        <v>9187.515287193226</v>
      </c>
      <c r="AI16" s="9">
        <f>'QTR P&amp;L'!AI15*'IS DRIVERS'!AJ13</f>
        <v>9141.8815280816743</v>
      </c>
      <c r="AJ16" s="9">
        <f>'QTR P&amp;L'!AJ15*'IS DRIVERS'!AK13</f>
        <v>9096.4666531252624</v>
      </c>
      <c r="AK16" s="9">
        <f>'QTR P&amp;L'!AK15*'IS DRIVERS'!AL13</f>
        <v>9051.2696124373524</v>
      </c>
      <c r="AL16" s="9">
        <f>'QTR P&amp;L'!AL15*'IS DRIVERS'!AM13</f>
        <v>9006.2893611671461</v>
      </c>
      <c r="AM16" s="9">
        <f>'QTR P&amp;L'!AM15*'IS DRIVERS'!AN13</f>
        <v>8961.5248594755049</v>
      </c>
      <c r="AN16" s="9">
        <f>'QTR P&amp;L'!AN15*'IS DRIVERS'!AO13</f>
        <v>8916.9750725109297</v>
      </c>
      <c r="AO16" s="9">
        <f>'QTR P&amp;L'!AO15*'IS DRIVERS'!AP13</f>
        <v>8872.6389703856221</v>
      </c>
      <c r="AP16" s="9">
        <f>'QTR P&amp;L'!AP15*'IS DRIVERS'!AQ13</f>
        <v>8828.5155281516909</v>
      </c>
    </row>
    <row r="17" spans="1:42" x14ac:dyDescent="0.3">
      <c r="A17" s="3" t="s">
        <v>27</v>
      </c>
      <c r="B17" s="6">
        <f>'YTD P&amp;L'!C17-'YTD P&amp;L'!B17</f>
        <v>-8266821</v>
      </c>
      <c r="C17" s="6">
        <f>'YTD P&amp;L'!D17</f>
        <v>-19181</v>
      </c>
      <c r="D17" s="6">
        <f>'YTD P&amp;L'!E17-'YTD P&amp;L'!D17</f>
        <v>-39851290</v>
      </c>
      <c r="E17" s="6">
        <f>'YTD P&amp;L'!F17-'YTD P&amp;L'!E17</f>
        <v>-31015301</v>
      </c>
      <c r="F17" s="6">
        <f>'ANNL P&amp;L'!B13-'YTD P&amp;L'!F17</f>
        <v>70889709</v>
      </c>
      <c r="G17" s="6">
        <f>'YTD P&amp;L'!G17</f>
        <v>-37099</v>
      </c>
      <c r="H17" s="6">
        <f>'YTD P&amp;L'!H17-'YTD P&amp;L'!G17</f>
        <v>-37730</v>
      </c>
      <c r="I17" s="6">
        <f>'YTD P&amp;L'!I17-'YTD P&amp;L'!H17</f>
        <v>-408147</v>
      </c>
      <c r="J17" s="6">
        <f>'ANNL P&amp;L'!C13-'YTD P&amp;L'!I17</f>
        <v>295694</v>
      </c>
      <c r="K17" s="6">
        <f>'YTD P&amp;L'!J17</f>
        <v>41227</v>
      </c>
      <c r="L17" s="6">
        <f>'YTD P&amp;L'!K17-'YTD P&amp;L'!J17</f>
        <v>51509</v>
      </c>
      <c r="M17" s="6">
        <f>'YTD P&amp;L'!L17-'YTD P&amp;L'!K17</f>
        <v>83949</v>
      </c>
      <c r="N17" s="6">
        <f>'ANNL P&amp;L'!D13-'YTD P&amp;L'!L17</f>
        <v>50116</v>
      </c>
      <c r="O17" s="6">
        <f>'YTD P&amp;L'!M17</f>
        <v>77811</v>
      </c>
      <c r="P17" s="6">
        <f>'YTD P&amp;L'!N17-'YTD P&amp;L'!M17</f>
        <v>79783</v>
      </c>
      <c r="Q17" s="6">
        <f>'YTD P&amp;L'!O17-'YTD P&amp;L'!N17</f>
        <v>6356</v>
      </c>
      <c r="R17" s="6">
        <f>'ANNL P&amp;L'!E13-'YTD P&amp;L'!O17</f>
        <v>-18876</v>
      </c>
      <c r="S17" s="6">
        <f>'YTD P&amp;L'!P17</f>
        <v>44419</v>
      </c>
      <c r="T17" s="6">
        <f>'YTD P&amp;L'!Q17-'YTD P&amp;L'!P17</f>
        <v>99855</v>
      </c>
      <c r="U17" s="6">
        <f>'YTD P&amp;L'!R17-'YTD P&amp;L'!Q17</f>
        <v>-61014</v>
      </c>
      <c r="V17" s="6">
        <f>'ANNL P&amp;L'!F13-'YTD P&amp;L'!R17</f>
        <v>24739</v>
      </c>
      <c r="W17" s="7">
        <f t="shared" ref="W17:AP17" si="3">W15+W16</f>
        <v>112551.87675747286</v>
      </c>
      <c r="X17" s="7">
        <f t="shared" si="3"/>
        <v>111993.86046229949</v>
      </c>
      <c r="Y17" s="7">
        <f t="shared" si="3"/>
        <v>111438.52071465804</v>
      </c>
      <c r="Z17" s="7">
        <f t="shared" si="3"/>
        <v>110885.84467638076</v>
      </c>
      <c r="AA17" s="7">
        <f t="shared" si="3"/>
        <v>110335.819570879</v>
      </c>
      <c r="AB17" s="7">
        <f t="shared" si="3"/>
        <v>109788.43268284744</v>
      </c>
      <c r="AC17" s="7">
        <f t="shared" si="3"/>
        <v>109243.67135797023</v>
      </c>
      <c r="AD17" s="7">
        <f t="shared" si="3"/>
        <v>108701.52300262843</v>
      </c>
      <c r="AE17" s="7">
        <f t="shared" si="3"/>
        <v>108161.97508360882</v>
      </c>
      <c r="AF17" s="7">
        <f t="shared" si="3"/>
        <v>107625.0151278144</v>
      </c>
      <c r="AG17" s="7">
        <f t="shared" si="3"/>
        <v>107090.63072197579</v>
      </c>
      <c r="AH17" s="7">
        <f t="shared" si="3"/>
        <v>106558.80951236437</v>
      </c>
      <c r="AI17" s="7">
        <f t="shared" si="3"/>
        <v>106029.5392045066</v>
      </c>
      <c r="AJ17" s="7">
        <f t="shared" si="3"/>
        <v>105502.80756290008</v>
      </c>
      <c r="AK17" s="7">
        <f t="shared" si="3"/>
        <v>104978.60241073027</v>
      </c>
      <c r="AL17" s="7">
        <f t="shared" si="3"/>
        <v>104456.91162958933</v>
      </c>
      <c r="AM17" s="7">
        <f t="shared" si="3"/>
        <v>103937.72315919575</v>
      </c>
      <c r="AN17" s="7">
        <f t="shared" si="3"/>
        <v>103421.02499711576</v>
      </c>
      <c r="AO17" s="7">
        <f t="shared" si="3"/>
        <v>102906.80519848567</v>
      </c>
      <c r="AP17" s="7">
        <f t="shared" si="3"/>
        <v>102395.05187573591</v>
      </c>
    </row>
    <row r="18" spans="1:42" x14ac:dyDescent="0.3">
      <c r="A18" s="3" t="s">
        <v>28</v>
      </c>
      <c r="B18" s="4">
        <f>'YTD P&amp;L'!C18-'YTD P&amp;L'!B18</f>
        <v>0</v>
      </c>
      <c r="C18" s="4">
        <f>'YTD P&amp;L'!D18</f>
        <v>0</v>
      </c>
      <c r="D18" s="4">
        <f>'YTD P&amp;L'!E18-'YTD P&amp;L'!D18</f>
        <v>0</v>
      </c>
      <c r="E18" s="4">
        <f>'YTD P&amp;L'!F18-'YTD P&amp;L'!E18</f>
        <v>0</v>
      </c>
      <c r="F18" s="4">
        <f>'ANNL P&amp;L'!B14-'YTD P&amp;L'!F18</f>
        <v>0</v>
      </c>
      <c r="G18" s="4">
        <f>'YTD P&amp;L'!G18</f>
        <v>0</v>
      </c>
      <c r="H18" s="4">
        <f>'YTD P&amp;L'!H18-'YTD P&amp;L'!G18</f>
        <v>0</v>
      </c>
      <c r="I18" s="4">
        <f>'YTD P&amp;L'!I18-'YTD P&amp;L'!H18</f>
        <v>-4596</v>
      </c>
      <c r="J18" s="4">
        <f>'ANNL P&amp;L'!C14-'YTD P&amp;L'!I18</f>
        <v>-6930</v>
      </c>
      <c r="K18" s="4">
        <f>'YTD P&amp;L'!J18</f>
        <v>-6781</v>
      </c>
      <c r="L18" s="4">
        <f>'YTD P&amp;L'!K18-'YTD P&amp;L'!J18</f>
        <v>-6856</v>
      </c>
      <c r="M18" s="4">
        <f>'YTD P&amp;L'!L18-'YTD P&amp;L'!K18</f>
        <v>-6875</v>
      </c>
      <c r="N18" s="4">
        <f>'ANNL P&amp;L'!D14-'YTD P&amp;L'!L18</f>
        <v>-6950</v>
      </c>
      <c r="O18" s="4">
        <f>'YTD P&amp;L'!M18</f>
        <v>-6837</v>
      </c>
      <c r="P18" s="4">
        <f>'YTD P&amp;L'!N18-'YTD P&amp;L'!M18</f>
        <v>-6838</v>
      </c>
      <c r="Q18" s="4">
        <f>'YTD P&amp;L'!O18-'YTD P&amp;L'!N18</f>
        <v>-6913</v>
      </c>
      <c r="R18" s="4">
        <f>'ANNL P&amp;L'!E14-'YTD P&amp;L'!O18</f>
        <v>-6912</v>
      </c>
      <c r="S18" s="4">
        <f>'YTD P&amp;L'!P18</f>
        <v>-6781</v>
      </c>
      <c r="T18" s="4">
        <f>'YTD P&amp;L'!Q18-'YTD P&amp;L'!P18</f>
        <v>-6851</v>
      </c>
      <c r="U18" s="4">
        <f>'YTD P&amp;L'!R18-'YTD P&amp;L'!Q18</f>
        <v>-9657</v>
      </c>
      <c r="V18" s="4">
        <f>'ANNL P&amp;L'!F14-'YTD P&amp;L'!R18</f>
        <v>-14319</v>
      </c>
      <c r="W18" s="9">
        <f>'IS DRIVERS'!X14</f>
        <v>-14307</v>
      </c>
      <c r="X18" s="9">
        <f>'IS DRIVERS'!Y14</f>
        <v>-14307</v>
      </c>
      <c r="Y18" s="9">
        <f>'IS DRIVERS'!Z14</f>
        <v>-14307</v>
      </c>
      <c r="Z18" s="9">
        <f>'IS DRIVERS'!AA14</f>
        <v>-14307</v>
      </c>
      <c r="AA18" s="9">
        <f>'IS DRIVERS'!AB14</f>
        <v>-14307</v>
      </c>
      <c r="AB18" s="9">
        <f>'IS DRIVERS'!AC14</f>
        <v>-14307</v>
      </c>
      <c r="AC18" s="9">
        <f>'IS DRIVERS'!AD14</f>
        <v>-14307</v>
      </c>
      <c r="AD18" s="9">
        <f>'IS DRIVERS'!AE14</f>
        <v>-14307</v>
      </c>
      <c r="AE18" s="9">
        <f>'IS DRIVERS'!AF14</f>
        <v>-14307</v>
      </c>
      <c r="AF18" s="9">
        <f>'IS DRIVERS'!AG14</f>
        <v>-14307</v>
      </c>
      <c r="AG18" s="9">
        <f>'IS DRIVERS'!AH14</f>
        <v>-14307</v>
      </c>
      <c r="AH18" s="9">
        <f>'IS DRIVERS'!AI14</f>
        <v>-14307</v>
      </c>
      <c r="AI18" s="9">
        <f>'IS DRIVERS'!AJ14</f>
        <v>-14307</v>
      </c>
      <c r="AJ18" s="9">
        <f>'IS DRIVERS'!AK14</f>
        <v>-14307</v>
      </c>
      <c r="AK18" s="9">
        <f>'IS DRIVERS'!AL14</f>
        <v>-14307</v>
      </c>
      <c r="AL18" s="9">
        <f>'IS DRIVERS'!AM14</f>
        <v>-14307</v>
      </c>
      <c r="AM18" s="9">
        <f>'IS DRIVERS'!AN14</f>
        <v>-14307</v>
      </c>
      <c r="AN18" s="9">
        <f>'IS DRIVERS'!AO14</f>
        <v>-14307</v>
      </c>
      <c r="AO18" s="9">
        <f>'IS DRIVERS'!AP14</f>
        <v>-14307</v>
      </c>
      <c r="AP18" s="9">
        <f>'IS DRIVERS'!AQ14</f>
        <v>-14307</v>
      </c>
    </row>
    <row r="19" spans="1:42" x14ac:dyDescent="0.3">
      <c r="A19" s="3" t="s">
        <v>29</v>
      </c>
      <c r="B19" s="4">
        <f>'YTD P&amp;L'!C19-'YTD P&amp;L'!B19</f>
        <v>0</v>
      </c>
      <c r="C19" s="4">
        <f>'YTD P&amp;L'!D19</f>
        <v>0</v>
      </c>
      <c r="D19" s="4">
        <f>'YTD P&amp;L'!E19-'YTD P&amp;L'!D19</f>
        <v>0</v>
      </c>
      <c r="E19" s="4">
        <f>'YTD P&amp;L'!F19-'YTD P&amp;L'!E19</f>
        <v>0</v>
      </c>
      <c r="F19" s="4">
        <f>'ANNL P&amp;L'!B15-'YTD P&amp;L'!F19</f>
        <v>0</v>
      </c>
      <c r="G19" s="4">
        <f>'YTD P&amp;L'!G19</f>
        <v>0</v>
      </c>
      <c r="H19" s="4">
        <f>'YTD P&amp;L'!H19-'YTD P&amp;L'!G19</f>
        <v>0</v>
      </c>
      <c r="I19" s="4">
        <f>'YTD P&amp;L'!I19-'YTD P&amp;L'!H19</f>
        <v>0</v>
      </c>
      <c r="J19" s="4">
        <f>'ANNL P&amp;L'!C15-'YTD P&amp;L'!I19</f>
        <v>0</v>
      </c>
      <c r="K19" s="4">
        <f>'YTD P&amp;L'!J19</f>
        <v>0</v>
      </c>
      <c r="L19" s="4">
        <f>'YTD P&amp;L'!K19-'YTD P&amp;L'!J19</f>
        <v>-6727</v>
      </c>
      <c r="M19" s="4">
        <f>'YTD P&amp;L'!L19-'YTD P&amp;L'!K19</f>
        <v>-6536</v>
      </c>
      <c r="N19" s="4">
        <f>'ANNL P&amp;L'!D15-'YTD P&amp;L'!L19</f>
        <v>-4085</v>
      </c>
      <c r="O19" s="4">
        <f>'YTD P&amp;L'!M19</f>
        <v>-6128</v>
      </c>
      <c r="P19" s="4">
        <f>'YTD P&amp;L'!N19-'YTD P&amp;L'!M19</f>
        <v>-6289</v>
      </c>
      <c r="Q19" s="4">
        <f>'YTD P&amp;L'!O19-'YTD P&amp;L'!N19</f>
        <v>60</v>
      </c>
      <c r="R19" s="4">
        <f>'ANNL P&amp;L'!E15-'YTD P&amp;L'!O19</f>
        <v>2240</v>
      </c>
      <c r="S19" s="4">
        <f>'YTD P&amp;L'!P19</f>
        <v>-3219</v>
      </c>
      <c r="T19" s="4">
        <f>'YTD P&amp;L'!Q19-'YTD P&amp;L'!P19</f>
        <v>-7484</v>
      </c>
      <c r="U19" s="4">
        <f>'YTD P&amp;L'!R19-'YTD P&amp;L'!Q19</f>
        <v>5431</v>
      </c>
      <c r="V19" s="4">
        <f>'ANNL P&amp;L'!F15-'YTD P&amp;L'!R19</f>
        <v>-1282</v>
      </c>
      <c r="W19" s="9">
        <f>'IS DRIVERS'!X15</f>
        <v>-1282</v>
      </c>
      <c r="X19" s="9">
        <f>'IS DRIVERS'!Y15</f>
        <v>-1282</v>
      </c>
      <c r="Y19" s="9">
        <f>'IS DRIVERS'!Z15</f>
        <v>-1282</v>
      </c>
      <c r="Z19" s="9">
        <f>'IS DRIVERS'!AA15</f>
        <v>-1282</v>
      </c>
      <c r="AA19" s="9">
        <f>'IS DRIVERS'!AB15</f>
        <v>-1282</v>
      </c>
      <c r="AB19" s="9">
        <f>'IS DRIVERS'!AC15</f>
        <v>-1282</v>
      </c>
      <c r="AC19" s="9">
        <f>'IS DRIVERS'!AD15</f>
        <v>-1282</v>
      </c>
      <c r="AD19" s="9">
        <f>'IS DRIVERS'!AE15</f>
        <v>-1282</v>
      </c>
      <c r="AE19" s="9">
        <f>'IS DRIVERS'!AF15</f>
        <v>-1282</v>
      </c>
      <c r="AF19" s="9">
        <f>'IS DRIVERS'!AG15</f>
        <v>-1282</v>
      </c>
      <c r="AG19" s="9">
        <f>'IS DRIVERS'!AH15</f>
        <v>-1282</v>
      </c>
      <c r="AH19" s="9">
        <f>'IS DRIVERS'!AI15</f>
        <v>-1282</v>
      </c>
      <c r="AI19" s="9">
        <f>'IS DRIVERS'!AJ15</f>
        <v>-1282</v>
      </c>
      <c r="AJ19" s="9">
        <f>'IS DRIVERS'!AK15</f>
        <v>-1282</v>
      </c>
      <c r="AK19" s="9">
        <f>'IS DRIVERS'!AL15</f>
        <v>-1282</v>
      </c>
      <c r="AL19" s="9">
        <f>'IS DRIVERS'!AM15</f>
        <v>-1282</v>
      </c>
      <c r="AM19" s="9">
        <f>'IS DRIVERS'!AN15</f>
        <v>-1282</v>
      </c>
      <c r="AN19" s="9">
        <f>'IS DRIVERS'!AO15</f>
        <v>-1282</v>
      </c>
      <c r="AO19" s="9">
        <f>'IS DRIVERS'!AP15</f>
        <v>-1282</v>
      </c>
      <c r="AP19" s="9">
        <f>'IS DRIVERS'!AQ15</f>
        <v>-1282</v>
      </c>
    </row>
    <row r="20" spans="1:42" x14ac:dyDescent="0.3">
      <c r="A20" s="3" t="s">
        <v>30</v>
      </c>
      <c r="B20" s="6">
        <f>'YTD P&amp;L'!C20-'YTD P&amp;L'!B20</f>
        <v>-8266821</v>
      </c>
      <c r="C20" s="6">
        <f>'YTD P&amp;L'!D20</f>
        <v>-19181</v>
      </c>
      <c r="D20" s="6">
        <f>'YTD P&amp;L'!E20-'YTD P&amp;L'!D20</f>
        <v>-39851290</v>
      </c>
      <c r="E20" s="6">
        <f>'YTD P&amp;L'!F20-'YTD P&amp;L'!E20</f>
        <v>-31015301</v>
      </c>
      <c r="F20" s="6">
        <f>'ANNL P&amp;L'!B16-'YTD P&amp;L'!F20</f>
        <v>70889709</v>
      </c>
      <c r="G20" s="6">
        <f>'YTD P&amp;L'!G20</f>
        <v>-37099</v>
      </c>
      <c r="H20" s="6">
        <f>'YTD P&amp;L'!H20-'YTD P&amp;L'!G20</f>
        <v>-37730</v>
      </c>
      <c r="I20" s="6">
        <f>'YTD P&amp;L'!I20-'YTD P&amp;L'!H20</f>
        <v>-412743</v>
      </c>
      <c r="J20" s="6">
        <f>'ANNL P&amp;L'!C16-'YTD P&amp;L'!I20</f>
        <v>288764</v>
      </c>
      <c r="K20" s="6">
        <f>'YTD P&amp;L'!J20</f>
        <v>34446</v>
      </c>
      <c r="L20" s="6">
        <f>'YTD P&amp;L'!K20-'YTD P&amp;L'!J20</f>
        <v>37926</v>
      </c>
      <c r="M20" s="6">
        <f>'YTD P&amp;L'!L20-'YTD P&amp;L'!K20</f>
        <v>70538</v>
      </c>
      <c r="N20" s="6">
        <f>'ANNL P&amp;L'!D16-'YTD P&amp;L'!L20</f>
        <v>39081</v>
      </c>
      <c r="O20" s="6">
        <f>'YTD P&amp;L'!M20</f>
        <v>64846</v>
      </c>
      <c r="P20" s="6">
        <f>'YTD P&amp;L'!N20-'YTD P&amp;L'!M20</f>
        <v>66656</v>
      </c>
      <c r="Q20" s="6">
        <f>'YTD P&amp;L'!O20-'YTD P&amp;L'!N20</f>
        <v>-497</v>
      </c>
      <c r="R20" s="6">
        <f>'ANNL P&amp;L'!E16-'YTD P&amp;L'!O20</f>
        <v>-23548</v>
      </c>
      <c r="S20" s="6">
        <f>'YTD P&amp;L'!P20</f>
        <v>34419</v>
      </c>
      <c r="T20" s="6">
        <f>'YTD P&amp;L'!Q20-'YTD P&amp;L'!P20</f>
        <v>85520</v>
      </c>
      <c r="U20" s="6">
        <f>'YTD P&amp;L'!R20-'YTD P&amp;L'!Q20</f>
        <v>-65240</v>
      </c>
      <c r="V20" s="6">
        <f>'ANNL P&amp;L'!F16-'YTD P&amp;L'!R20</f>
        <v>9138</v>
      </c>
      <c r="W20" s="7">
        <f t="shared" ref="W20:AP20" si="4">W17+W18+W19</f>
        <v>96962.876757472855</v>
      </c>
      <c r="X20" s="7">
        <f t="shared" si="4"/>
        <v>96404.86046229949</v>
      </c>
      <c r="Y20" s="7">
        <f t="shared" si="4"/>
        <v>95849.520714658036</v>
      </c>
      <c r="Z20" s="7">
        <f t="shared" si="4"/>
        <v>95296.844676380759</v>
      </c>
      <c r="AA20" s="7">
        <f t="shared" si="4"/>
        <v>94746.819570879001</v>
      </c>
      <c r="AB20" s="7">
        <f t="shared" si="4"/>
        <v>94199.432682847444</v>
      </c>
      <c r="AC20" s="7">
        <f t="shared" si="4"/>
        <v>93654.671357970234</v>
      </c>
      <c r="AD20" s="7">
        <f t="shared" si="4"/>
        <v>93112.523002628426</v>
      </c>
      <c r="AE20" s="7">
        <f t="shared" si="4"/>
        <v>92572.975083608821</v>
      </c>
      <c r="AF20" s="7">
        <f t="shared" si="4"/>
        <v>92036.015127814404</v>
      </c>
      <c r="AG20" s="7">
        <f t="shared" si="4"/>
        <v>91501.630721975787</v>
      </c>
      <c r="AH20" s="7">
        <f t="shared" si="4"/>
        <v>90969.809512364372</v>
      </c>
      <c r="AI20" s="7">
        <f t="shared" si="4"/>
        <v>90440.539204506596</v>
      </c>
      <c r="AJ20" s="7">
        <f t="shared" si="4"/>
        <v>89913.807562900081</v>
      </c>
      <c r="AK20" s="7">
        <f t="shared" si="4"/>
        <v>89389.602410730266</v>
      </c>
      <c r="AL20" s="7">
        <f t="shared" si="4"/>
        <v>88867.911629589333</v>
      </c>
      <c r="AM20" s="7">
        <f t="shared" si="4"/>
        <v>88348.723159195753</v>
      </c>
      <c r="AN20" s="7">
        <f t="shared" si="4"/>
        <v>87832.024997115761</v>
      </c>
      <c r="AO20" s="7">
        <f t="shared" si="4"/>
        <v>87317.805198485672</v>
      </c>
      <c r="AP20" s="7">
        <f t="shared" si="4"/>
        <v>86806.05187573591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4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2" customWidth="1"/>
    <col min="2" max="39" width="13" customWidth="1"/>
  </cols>
  <sheetData>
    <row r="1" spans="1:39" x14ac:dyDescent="0.3">
      <c r="A1" s="1"/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134</v>
      </c>
      <c r="H1" s="2" t="s">
        <v>120</v>
      </c>
      <c r="I1" s="2" t="s">
        <v>121</v>
      </c>
      <c r="J1" s="2" t="s">
        <v>122</v>
      </c>
      <c r="K1" s="2" t="s">
        <v>135</v>
      </c>
      <c r="L1" s="2" t="s">
        <v>123</v>
      </c>
      <c r="M1" s="2" t="s">
        <v>124</v>
      </c>
      <c r="N1" s="2" t="s">
        <v>125</v>
      </c>
      <c r="O1" s="2" t="s">
        <v>136</v>
      </c>
      <c r="P1" s="2" t="s">
        <v>126</v>
      </c>
      <c r="Q1" s="2" t="s">
        <v>127</v>
      </c>
      <c r="R1" s="2" t="s">
        <v>128</v>
      </c>
      <c r="S1" s="2" t="s">
        <v>141</v>
      </c>
      <c r="T1" s="2" t="s">
        <v>142</v>
      </c>
      <c r="U1" s="2" t="s">
        <v>143</v>
      </c>
      <c r="V1" s="2" t="s">
        <v>144</v>
      </c>
      <c r="W1" s="2" t="s">
        <v>145</v>
      </c>
      <c r="X1" s="2" t="s">
        <v>146</v>
      </c>
      <c r="Y1" s="2" t="s">
        <v>147</v>
      </c>
      <c r="Z1" s="2" t="s">
        <v>148</v>
      </c>
      <c r="AA1" s="2" t="s">
        <v>149</v>
      </c>
      <c r="AB1" s="2" t="s">
        <v>150</v>
      </c>
      <c r="AC1" s="2" t="s">
        <v>151</v>
      </c>
      <c r="AD1" s="2" t="s">
        <v>152</v>
      </c>
      <c r="AE1" s="2" t="s">
        <v>153</v>
      </c>
      <c r="AF1" s="2" t="s">
        <v>154</v>
      </c>
      <c r="AG1" s="2" t="s">
        <v>155</v>
      </c>
      <c r="AH1" s="2" t="s">
        <v>156</v>
      </c>
      <c r="AI1" s="2" t="s">
        <v>157</v>
      </c>
      <c r="AJ1" s="2" t="s">
        <v>158</v>
      </c>
      <c r="AK1" s="2" t="s">
        <v>159</v>
      </c>
      <c r="AL1" s="2" t="s">
        <v>160</v>
      </c>
      <c r="AM1" s="2" t="s">
        <v>161</v>
      </c>
    </row>
    <row r="2" spans="1:39" x14ac:dyDescent="0.3">
      <c r="A2" s="3" t="s">
        <v>31</v>
      </c>
      <c r="B2" s="4">
        <f>'YTD BS'!C2</f>
        <v>83789981</v>
      </c>
      <c r="C2" s="4">
        <f>'YTD BS'!D2</f>
        <v>61377202</v>
      </c>
      <c r="D2" s="4">
        <f>'YTD BS'!F2</f>
        <v>25532</v>
      </c>
      <c r="E2" s="4">
        <f>'YTD BS'!G2</f>
        <v>60031</v>
      </c>
      <c r="F2" s="4">
        <f>'YTD BS'!H2</f>
        <v>726972</v>
      </c>
      <c r="G2" s="4">
        <f>'BALANCE SHEET'!B2</f>
        <v>652927</v>
      </c>
      <c r="H2" s="4">
        <f>'YTD BS'!J2</f>
        <v>633581</v>
      </c>
      <c r="I2" s="4">
        <f>'YTD BS'!K2</f>
        <v>681054</v>
      </c>
      <c r="J2" s="4">
        <f>'YTD BS'!L2</f>
        <v>760022</v>
      </c>
      <c r="K2" s="4">
        <f>'BALANCE SHEET'!C2</f>
        <v>755981</v>
      </c>
      <c r="L2" s="4">
        <f>'YTD BS'!N2</f>
        <v>879498</v>
      </c>
      <c r="M2" s="4">
        <f>'YTD BS'!O2</f>
        <v>903210</v>
      </c>
      <c r="N2" s="4">
        <f>'YTD BS'!P2</f>
        <v>903748</v>
      </c>
      <c r="O2" s="4">
        <f>'BALANCE SHEET'!D2</f>
        <v>890190</v>
      </c>
      <c r="P2" s="4">
        <f>'YTD BS'!R2</f>
        <v>977285</v>
      </c>
      <c r="Q2" s="4">
        <f>'YTD BS'!S2</f>
        <v>615233</v>
      </c>
      <c r="R2" s="4">
        <f>'YTD BS'!T2</f>
        <v>932463</v>
      </c>
      <c r="S2" s="4">
        <f>'BALANCE SHEET'!E2</f>
        <v>539987</v>
      </c>
      <c r="T2" s="9">
        <f>'BS DRIVERS'!T2</f>
        <v>539987</v>
      </c>
      <c r="U2" s="9">
        <f>'BS DRIVERS'!U2</f>
        <v>539987</v>
      </c>
      <c r="V2" s="9">
        <f>'BS DRIVERS'!V2</f>
        <v>539987</v>
      </c>
      <c r="W2" s="9">
        <f>'BS DRIVERS'!W2</f>
        <v>539987</v>
      </c>
      <c r="X2" s="9">
        <f>'BS DRIVERS'!X2</f>
        <v>539987</v>
      </c>
      <c r="Y2" s="9">
        <f>'BS DRIVERS'!Y2</f>
        <v>539987</v>
      </c>
      <c r="Z2" s="9">
        <f>'BS DRIVERS'!Z2</f>
        <v>539987</v>
      </c>
      <c r="AA2" s="9">
        <f>'BS DRIVERS'!AA2</f>
        <v>539987</v>
      </c>
      <c r="AB2" s="9">
        <f>'BS DRIVERS'!AB2</f>
        <v>539987</v>
      </c>
      <c r="AC2" s="9">
        <f>'BS DRIVERS'!AC2</f>
        <v>539987</v>
      </c>
      <c r="AD2" s="9">
        <f>'BS DRIVERS'!AD2</f>
        <v>539987</v>
      </c>
      <c r="AE2" s="9">
        <f>'BS DRIVERS'!AE2</f>
        <v>539987</v>
      </c>
      <c r="AF2" s="9">
        <f>'BS DRIVERS'!AF2</f>
        <v>539987</v>
      </c>
      <c r="AG2" s="9">
        <f>'BS DRIVERS'!AG2</f>
        <v>539987</v>
      </c>
      <c r="AH2" s="9">
        <f>'BS DRIVERS'!AH2</f>
        <v>539987</v>
      </c>
      <c r="AI2" s="9">
        <f>'BS DRIVERS'!AI2</f>
        <v>539987</v>
      </c>
      <c r="AJ2" s="9">
        <f>'BS DRIVERS'!AJ2</f>
        <v>539987</v>
      </c>
      <c r="AK2" s="9">
        <f>'BS DRIVERS'!AK2</f>
        <v>539987</v>
      </c>
      <c r="AL2" s="9">
        <f>'BS DRIVERS'!AL2</f>
        <v>539987</v>
      </c>
      <c r="AM2" s="9">
        <f>'BS DRIVERS'!AM2</f>
        <v>539987</v>
      </c>
    </row>
    <row r="3" spans="1:39" x14ac:dyDescent="0.3">
      <c r="A3" s="3" t="s">
        <v>32</v>
      </c>
      <c r="B3" s="4">
        <f>'YTD BS'!C3</f>
        <v>32398823</v>
      </c>
      <c r="C3" s="4">
        <f>'YTD BS'!D3</f>
        <v>43500578</v>
      </c>
      <c r="D3" s="4">
        <f>'YTD BS'!F3</f>
        <v>72707</v>
      </c>
      <c r="E3" s="4">
        <f>'YTD BS'!G3</f>
        <v>66195</v>
      </c>
      <c r="F3" s="4">
        <f>'YTD BS'!H3</f>
        <v>117003</v>
      </c>
      <c r="G3" s="4">
        <f>'BALANCE SHEET'!B3</f>
        <v>63311</v>
      </c>
      <c r="H3" s="4">
        <f>'YTD BS'!J3</f>
        <v>172032</v>
      </c>
      <c r="I3" s="4">
        <f>'YTD BS'!K3</f>
        <v>197811</v>
      </c>
      <c r="J3" s="4">
        <f>'YTD BS'!L3</f>
        <v>215243</v>
      </c>
      <c r="K3" s="4">
        <f>'BALANCE SHEET'!C3</f>
        <v>183703</v>
      </c>
      <c r="L3" s="4">
        <f>'YTD BS'!N3</f>
        <v>200117</v>
      </c>
      <c r="M3" s="4">
        <f>'YTD BS'!O3</f>
        <v>262920</v>
      </c>
      <c r="N3" s="4">
        <f>'YTD BS'!P3</f>
        <v>208774</v>
      </c>
      <c r="O3" s="4">
        <f>'BALANCE SHEET'!D3</f>
        <v>270342</v>
      </c>
      <c r="P3" s="4">
        <f>'YTD BS'!R3</f>
        <v>256424</v>
      </c>
      <c r="Q3" s="4">
        <f>'YTD BS'!S3</f>
        <v>490389</v>
      </c>
      <c r="R3" s="4">
        <f>'YTD BS'!T3</f>
        <v>513682</v>
      </c>
      <c r="S3" s="4">
        <f>'BALANCE SHEET'!E3</f>
        <v>755499</v>
      </c>
      <c r="T3" s="9">
        <f>'QTR P&amp;L'!W2*'BS DRIVERS'!T3/ASSUMPTIONS!$B$2</f>
        <v>751875.21875698178</v>
      </c>
      <c r="U3" s="9">
        <f>'QTR P&amp;L'!X2*'BS DRIVERS'!U3/ASSUMPTIONS!$B$2</f>
        <v>748268.81912598049</v>
      </c>
      <c r="V3" s="9">
        <f>'QTR P&amp;L'!Y2*'BS DRIVERS'!V3/ASSUMPTIONS!$B$2</f>
        <v>744679.71773539728</v>
      </c>
      <c r="W3" s="9">
        <f>'QTR P&amp;L'!Z2*'BS DRIVERS'!W3/ASSUMPTIONS!$B$2</f>
        <v>741107.83161352854</v>
      </c>
      <c r="X3" s="9">
        <f>'QTR P&amp;L'!AA2*'BS DRIVERS'!X3/ASSUMPTIONS!$B$2</f>
        <v>737553.07818664773</v>
      </c>
      <c r="Y3" s="9">
        <f>'QTR P&amp;L'!AB2*'BS DRIVERS'!Y3/ASSUMPTIONS!$B$2</f>
        <v>734015.37527709629</v>
      </c>
      <c r="Z3" s="9">
        <f>'QTR P&amp;L'!AC2*'BS DRIVERS'!Z3/ASSUMPTIONS!$B$2</f>
        <v>730494.64110138442</v>
      </c>
      <c r="AA3" s="9">
        <f>'QTR P&amp;L'!AD2*'BS DRIVERS'!AA3/ASSUMPTIONS!$B$2</f>
        <v>726990.79426829994</v>
      </c>
      <c r="AB3" s="9">
        <f>'QTR P&amp;L'!AE2*'BS DRIVERS'!AB3/ASSUMPTIONS!$B$2</f>
        <v>723503.75377702666</v>
      </c>
      <c r="AC3" s="9">
        <f>'QTR P&amp;L'!AF2*'BS DRIVERS'!AC3/ASSUMPTIONS!$B$2</f>
        <v>720033.43901527254</v>
      </c>
      <c r="AD3" s="9">
        <f>'QTR P&amp;L'!AG2*'BS DRIVERS'!AD3/ASSUMPTIONS!$B$2</f>
        <v>716579.76975740527</v>
      </c>
      <c r="AE3" s="9">
        <f>'QTR P&amp;L'!AH2*'BS DRIVERS'!AE3/ASSUMPTIONS!$B$2</f>
        <v>713142.66616259806</v>
      </c>
      <c r="AF3" s="9">
        <f>'QTR P&amp;L'!AI2*'BS DRIVERS'!AF3/ASSUMPTIONS!$B$2</f>
        <v>709722.04877298395</v>
      </c>
      <c r="AG3" s="9">
        <f>'QTR P&amp;L'!AJ2*'BS DRIVERS'!AG3/ASSUMPTIONS!$B$2</f>
        <v>706317.83851181867</v>
      </c>
      <c r="AH3" s="9">
        <f>'QTR P&amp;L'!AK2*'BS DRIVERS'!AH3/ASSUMPTIONS!$B$2</f>
        <v>702929.95668165304</v>
      </c>
      <c r="AI3" s="9">
        <f>'QTR P&amp;L'!AL2*'BS DRIVERS'!AI3/ASSUMPTIONS!$B$2</f>
        <v>699558.32496251294</v>
      </c>
      <c r="AJ3" s="9">
        <f>'QTR P&amp;L'!AM2*'BS DRIVERS'!AJ3/ASSUMPTIONS!$B$2</f>
        <v>696202.86541008938</v>
      </c>
      <c r="AK3" s="9">
        <f>'QTR P&amp;L'!AN2*'BS DRIVERS'!AK3/ASSUMPTIONS!$B$2</f>
        <v>692863.50045393629</v>
      </c>
      <c r="AL3" s="9">
        <f>'QTR P&amp;L'!AO2*'BS DRIVERS'!AL3/ASSUMPTIONS!$B$2</f>
        <v>689540.1528956776</v>
      </c>
      <c r="AM3" s="9">
        <f>'QTR P&amp;L'!AP2*'BS DRIVERS'!AM3/ASSUMPTIONS!$B$2</f>
        <v>686232.7459072218</v>
      </c>
    </row>
    <row r="4" spans="1:39" x14ac:dyDescent="0.3">
      <c r="A4" s="3" t="s">
        <v>33</v>
      </c>
      <c r="B4" s="4">
        <f>'YTD BS'!C4</f>
        <v>2545745</v>
      </c>
      <c r="C4" s="4">
        <f>'YTD BS'!D4</f>
        <v>2543225</v>
      </c>
      <c r="D4" s="4">
        <f>'YTD BS'!F4</f>
        <v>5833</v>
      </c>
      <c r="E4" s="4">
        <f>'YTD BS'!G4</f>
        <v>3066</v>
      </c>
      <c r="F4" s="4">
        <f>'YTD BS'!H4</f>
        <v>2888</v>
      </c>
      <c r="G4" s="4">
        <f>'BALANCE SHEET'!B4</f>
        <v>2979</v>
      </c>
      <c r="H4" s="4">
        <f>'YTD BS'!J4</f>
        <v>3587</v>
      </c>
      <c r="I4" s="4">
        <f>'YTD BS'!K4</f>
        <v>3323</v>
      </c>
      <c r="J4" s="4">
        <f>'YTD BS'!L4</f>
        <v>3309</v>
      </c>
      <c r="K4" s="4">
        <f>'BALANCE SHEET'!C4</f>
        <v>2318</v>
      </c>
      <c r="L4" s="4">
        <f>'YTD BS'!N4</f>
        <v>2259</v>
      </c>
      <c r="M4" s="4">
        <f>'YTD BS'!O4</f>
        <v>1166</v>
      </c>
      <c r="N4" s="4">
        <f>'YTD BS'!P4</f>
        <v>1025</v>
      </c>
      <c r="O4" s="4">
        <f>'BALANCE SHEET'!D4</f>
        <v>0</v>
      </c>
      <c r="P4" s="4">
        <f>'YTD BS'!R4</f>
        <v>0</v>
      </c>
      <c r="Q4" s="4">
        <f>'YTD BS'!S4</f>
        <v>0</v>
      </c>
      <c r="R4" s="4">
        <f>'YTD BS'!T4</f>
        <v>0</v>
      </c>
      <c r="S4" s="4">
        <f>'BALANCE SHEET'!E4</f>
        <v>0</v>
      </c>
      <c r="T4" s="9">
        <f>'QTR P&amp;L'!W2*'BS DRIVERS'!T4/ASSUMPTIONS!$B$2</f>
        <v>0</v>
      </c>
      <c r="U4" s="9">
        <f>'QTR P&amp;L'!X2*'BS DRIVERS'!U4/ASSUMPTIONS!$B$2</f>
        <v>0</v>
      </c>
      <c r="V4" s="9">
        <f>'QTR P&amp;L'!Y2*'BS DRIVERS'!V4/ASSUMPTIONS!$B$2</f>
        <v>0</v>
      </c>
      <c r="W4" s="9">
        <f>'QTR P&amp;L'!Z2*'BS DRIVERS'!W4/ASSUMPTIONS!$B$2</f>
        <v>0</v>
      </c>
      <c r="X4" s="9">
        <f>'QTR P&amp;L'!AA2*'BS DRIVERS'!X4/ASSUMPTIONS!$B$2</f>
        <v>0</v>
      </c>
      <c r="Y4" s="9">
        <f>'QTR P&amp;L'!AB2*'BS DRIVERS'!Y4/ASSUMPTIONS!$B$2</f>
        <v>0</v>
      </c>
      <c r="Z4" s="9">
        <f>'QTR P&amp;L'!AC2*'BS DRIVERS'!Z4/ASSUMPTIONS!$B$2</f>
        <v>0</v>
      </c>
      <c r="AA4" s="9">
        <f>'QTR P&amp;L'!AD2*'BS DRIVERS'!AA4/ASSUMPTIONS!$B$2</f>
        <v>0</v>
      </c>
      <c r="AB4" s="9">
        <f>'QTR P&amp;L'!AE2*'BS DRIVERS'!AB4/ASSUMPTIONS!$B$2</f>
        <v>0</v>
      </c>
      <c r="AC4" s="9">
        <f>'QTR P&amp;L'!AF2*'BS DRIVERS'!AC4/ASSUMPTIONS!$B$2</f>
        <v>0</v>
      </c>
      <c r="AD4" s="9">
        <f>'QTR P&amp;L'!AG2*'BS DRIVERS'!AD4/ASSUMPTIONS!$B$2</f>
        <v>0</v>
      </c>
      <c r="AE4" s="9">
        <f>'QTR P&amp;L'!AH2*'BS DRIVERS'!AE4/ASSUMPTIONS!$B$2</f>
        <v>0</v>
      </c>
      <c r="AF4" s="9">
        <f>'QTR P&amp;L'!AI2*'BS DRIVERS'!AF4/ASSUMPTIONS!$B$2</f>
        <v>0</v>
      </c>
      <c r="AG4" s="9">
        <f>'QTR P&amp;L'!AJ2*'BS DRIVERS'!AG4/ASSUMPTIONS!$B$2</f>
        <v>0</v>
      </c>
      <c r="AH4" s="9">
        <f>'QTR P&amp;L'!AK2*'BS DRIVERS'!AH4/ASSUMPTIONS!$B$2</f>
        <v>0</v>
      </c>
      <c r="AI4" s="9">
        <f>'QTR P&amp;L'!AL2*'BS DRIVERS'!AI4/ASSUMPTIONS!$B$2</f>
        <v>0</v>
      </c>
      <c r="AJ4" s="9">
        <f>'QTR P&amp;L'!AM2*'BS DRIVERS'!AJ4/ASSUMPTIONS!$B$2</f>
        <v>0</v>
      </c>
      <c r="AK4" s="9">
        <f>'QTR P&amp;L'!AN2*'BS DRIVERS'!AK4/ASSUMPTIONS!$B$2</f>
        <v>0</v>
      </c>
      <c r="AL4" s="9">
        <f>'QTR P&amp;L'!AO2*'BS DRIVERS'!AL4/ASSUMPTIONS!$B$2</f>
        <v>0</v>
      </c>
      <c r="AM4" s="9">
        <f>'QTR P&amp;L'!AP2*'BS DRIVERS'!AM4/ASSUMPTIONS!$B$2</f>
        <v>0</v>
      </c>
    </row>
    <row r="5" spans="1:39" x14ac:dyDescent="0.3">
      <c r="A5" s="3" t="s">
        <v>34</v>
      </c>
      <c r="B5" s="4">
        <f>'YTD BS'!C5</f>
        <v>63826596</v>
      </c>
      <c r="C5" s="4">
        <f>'YTD BS'!D5</f>
        <v>122311445</v>
      </c>
      <c r="D5" s="4">
        <f>'YTD BS'!F5</f>
        <v>184094</v>
      </c>
      <c r="E5" s="4">
        <f>'YTD BS'!G5</f>
        <v>162138</v>
      </c>
      <c r="F5" s="4">
        <f>'YTD BS'!H5</f>
        <v>153933</v>
      </c>
      <c r="G5" s="4">
        <f>'BALANCE SHEET'!B5</f>
        <v>173289</v>
      </c>
      <c r="H5" s="4">
        <f>'YTD BS'!J5</f>
        <v>154280</v>
      </c>
      <c r="I5" s="4">
        <f>'YTD BS'!K5</f>
        <v>152545</v>
      </c>
      <c r="J5" s="4">
        <f>'YTD BS'!L5</f>
        <v>198704</v>
      </c>
      <c r="K5" s="4">
        <f>'BALANCE SHEET'!C5</f>
        <v>229275</v>
      </c>
      <c r="L5" s="4">
        <f>'YTD BS'!N5</f>
        <v>197504</v>
      </c>
      <c r="M5" s="4">
        <f>'YTD BS'!O5</f>
        <v>180669</v>
      </c>
      <c r="N5" s="4">
        <f>'YTD BS'!P5</f>
        <v>197572</v>
      </c>
      <c r="O5" s="4">
        <f>'BALANCE SHEET'!D5</f>
        <v>131165</v>
      </c>
      <c r="P5" s="4">
        <f>'YTD BS'!R5</f>
        <v>141159</v>
      </c>
      <c r="Q5" s="4">
        <f>'YTD BS'!S5</f>
        <v>230046</v>
      </c>
      <c r="R5" s="4">
        <f>'YTD BS'!T5</f>
        <v>282514</v>
      </c>
      <c r="S5" s="4">
        <f>'BALANCE SHEET'!E5</f>
        <v>337698</v>
      </c>
      <c r="T5" s="9">
        <f>'QTR P&amp;L'!W3*'BS DRIVERS'!T5/ASSUMPTIONS!$B$2</f>
        <v>336078.21800398838</v>
      </c>
      <c r="U5" s="9">
        <f>'QTR P&amp;L'!X3*'BS DRIVERS'!U5/ASSUMPTIONS!$B$2</f>
        <v>334466.20535726106</v>
      </c>
      <c r="V5" s="9">
        <f>'QTR P&amp;L'!Y3*'BS DRIVERS'!V5/ASSUMPTIONS!$B$2</f>
        <v>332861.92479382257</v>
      </c>
      <c r="W5" s="9">
        <f>'QTR P&amp;L'!Z3*'BS DRIVERS'!W5/ASSUMPTIONS!$B$2</f>
        <v>331265.33922642568</v>
      </c>
      <c r="X5" s="9">
        <f>'QTR P&amp;L'!AA3*'BS DRIVERS'!X5/ASSUMPTIONS!$B$2</f>
        <v>329676.41174571315</v>
      </c>
      <c r="Y5" s="9">
        <f>'QTR P&amp;L'!AB3*'BS DRIVERS'!Y5/ASSUMPTIONS!$B$2</f>
        <v>328095.10561936535</v>
      </c>
      <c r="Z5" s="9">
        <f>'QTR P&amp;L'!AC3*'BS DRIVERS'!Z5/ASSUMPTIONS!$B$2</f>
        <v>326521.38429125032</v>
      </c>
      <c r="AA5" s="9">
        <f>'QTR P&amp;L'!AD3*'BS DRIVERS'!AA5/ASSUMPTIONS!$B$2</f>
        <v>324955.21138057939</v>
      </c>
      <c r="AB5" s="9">
        <f>'QTR P&amp;L'!AE3*'BS DRIVERS'!AB5/ASSUMPTIONS!$B$2</f>
        <v>323396.55068106559</v>
      </c>
      <c r="AC5" s="9">
        <f>'QTR P&amp;L'!AF3*'BS DRIVERS'!AC5/ASSUMPTIONS!$B$2</f>
        <v>321845.36616008694</v>
      </c>
      <c r="AD5" s="9">
        <f>'QTR P&amp;L'!AG3*'BS DRIVERS'!AD5/ASSUMPTIONS!$B$2</f>
        <v>320301.62195785338</v>
      </c>
      <c r="AE5" s="9">
        <f>'QTR P&amp;L'!AH3*'BS DRIVERS'!AE5/ASSUMPTIONS!$B$2</f>
        <v>318765.28238657763</v>
      </c>
      <c r="AF5" s="9">
        <f>'QTR P&amp;L'!AI3*'BS DRIVERS'!AF5/ASSUMPTIONS!$B$2</f>
        <v>317236.31192965066</v>
      </c>
      <c r="AG5" s="9">
        <f>'QTR P&amp;L'!AJ3*'BS DRIVERS'!AG5/ASSUMPTIONS!$B$2</f>
        <v>315714.67524081987</v>
      </c>
      <c r="AH5" s="9">
        <f>'QTR P&amp;L'!AK3*'BS DRIVERS'!AH5/ASSUMPTIONS!$B$2</f>
        <v>314200.33714337263</v>
      </c>
      <c r="AI5" s="9">
        <f>'QTR P&amp;L'!AL3*'BS DRIVERS'!AI5/ASSUMPTIONS!$B$2</f>
        <v>312693.26262932271</v>
      </c>
      <c r="AJ5" s="9">
        <f>'QTR P&amp;L'!AM3*'BS DRIVERS'!AJ5/ASSUMPTIONS!$B$2</f>
        <v>311193.41685860121</v>
      </c>
      <c r="AK5" s="9">
        <f>'QTR P&amp;L'!AN3*'BS DRIVERS'!AK5/ASSUMPTIONS!$B$2</f>
        <v>309700.76515825087</v>
      </c>
      <c r="AL5" s="9">
        <f>'QTR P&amp;L'!AO3*'BS DRIVERS'!AL5/ASSUMPTIONS!$B$2</f>
        <v>308215.27302162483</v>
      </c>
      <c r="AM5" s="9">
        <f>'QTR P&amp;L'!AP3*'BS DRIVERS'!AM5/ASSUMPTIONS!$B$2</f>
        <v>306736.9061075885</v>
      </c>
    </row>
    <row r="6" spans="1:39" x14ac:dyDescent="0.3">
      <c r="A6" s="3" t="s">
        <v>35</v>
      </c>
      <c r="B6" s="4">
        <f>'YTD BS'!C6</f>
        <v>22744642</v>
      </c>
      <c r="C6" s="4">
        <f>'YTD BS'!D6</f>
        <v>22829510</v>
      </c>
      <c r="D6" s="4">
        <f>'YTD BS'!F6</f>
        <v>10042</v>
      </c>
      <c r="E6" s="4">
        <f>'YTD BS'!G6</f>
        <v>12298</v>
      </c>
      <c r="F6" s="4">
        <f>'YTD BS'!H6</f>
        <v>12096</v>
      </c>
      <c r="G6" s="4">
        <f>'BALANCE SHEET'!B6</f>
        <v>11341</v>
      </c>
      <c r="H6" s="4">
        <f>'YTD BS'!J6</f>
        <v>15507</v>
      </c>
      <c r="I6" s="4">
        <f>'YTD BS'!K6</f>
        <v>23398</v>
      </c>
      <c r="J6" s="4">
        <f>'YTD BS'!L6</f>
        <v>23747</v>
      </c>
      <c r="K6" s="4">
        <f>'BALANCE SHEET'!C6</f>
        <v>19503</v>
      </c>
      <c r="L6" s="4">
        <f>'YTD BS'!N6</f>
        <v>21523</v>
      </c>
      <c r="M6" s="4">
        <f>'YTD BS'!O6</f>
        <v>22900</v>
      </c>
      <c r="N6" s="4">
        <f>'YTD BS'!P6</f>
        <v>38227</v>
      </c>
      <c r="O6" s="4">
        <f>'BALANCE SHEET'!D6</f>
        <v>18759</v>
      </c>
      <c r="P6" s="4">
        <f>'YTD BS'!R6</f>
        <v>22464</v>
      </c>
      <c r="Q6" s="4">
        <f>'YTD BS'!S6</f>
        <v>41420</v>
      </c>
      <c r="R6" s="4">
        <f>'YTD BS'!T6</f>
        <v>163395</v>
      </c>
      <c r="S6" s="4">
        <f>'BALANCE SHEET'!E6</f>
        <v>128806</v>
      </c>
      <c r="T6" s="9">
        <f>'QTR P&amp;L'!W2*'BS DRIVERS'!T6</f>
        <v>128188.17685690091</v>
      </c>
      <c r="U6" s="9">
        <f>'QTR P&amp;L'!X2*'BS DRIVERS'!U6</f>
        <v>127573.31712727752</v>
      </c>
      <c r="V6" s="9">
        <f>'QTR P&amp;L'!Y2*'BS DRIVERS'!V6</f>
        <v>126961.40659699826</v>
      </c>
      <c r="W6" s="9">
        <f>'QTR P&amp;L'!Z2*'BS DRIVERS'!W6</f>
        <v>126352.43112011024</v>
      </c>
      <c r="X6" s="9">
        <f>'QTR P&amp;L'!AA2*'BS DRIVERS'!X6</f>
        <v>125746.37661851219</v>
      </c>
      <c r="Y6" s="9">
        <f>'QTR P&amp;L'!AB2*'BS DRIVERS'!Y6</f>
        <v>125143.22908162906</v>
      </c>
      <c r="Z6" s="9">
        <f>'QTR P&amp;L'!AC2*'BS DRIVERS'!Z6</f>
        <v>124542.97456608801</v>
      </c>
      <c r="AA6" s="9">
        <f>'QTR P&amp;L'!AD2*'BS DRIVERS'!AA6</f>
        <v>123945.59919539621</v>
      </c>
      <c r="AB6" s="9">
        <f>'QTR P&amp;L'!AE2*'BS DRIVERS'!AB6</f>
        <v>123351.08915961994</v>
      </c>
      <c r="AC6" s="9">
        <f>'QTR P&amp;L'!AF2*'BS DRIVERS'!AC6</f>
        <v>122759.43071506541</v>
      </c>
      <c r="AD6" s="9">
        <f>'QTR P&amp;L'!AG2*'BS DRIVERS'!AD6</f>
        <v>122170.61018396099</v>
      </c>
      <c r="AE6" s="9">
        <f>'QTR P&amp;L'!AH2*'BS DRIVERS'!AE6</f>
        <v>121584.61395414104</v>
      </c>
      <c r="AF6" s="9">
        <f>'QTR P&amp;L'!AI2*'BS DRIVERS'!AF6</f>
        <v>121001.42847873124</v>
      </c>
      <c r="AG6" s="9">
        <f>'QTR P&amp;L'!AJ2*'BS DRIVERS'!AG6</f>
        <v>120421.04027583534</v>
      </c>
      <c r="AH6" s="9">
        <f>'QTR P&amp;L'!AK2*'BS DRIVERS'!AH6</f>
        <v>119843.4359282236</v>
      </c>
      <c r="AI6" s="9">
        <f>'QTR P&amp;L'!AL2*'BS DRIVERS'!AI6</f>
        <v>119268.60208302253</v>
      </c>
      <c r="AJ6" s="9">
        <f>'QTR P&amp;L'!AM2*'BS DRIVERS'!AJ6</f>
        <v>118696.52545140625</v>
      </c>
      <c r="AK6" s="9">
        <f>'QTR P&amp;L'!AN2*'BS DRIVERS'!AK6</f>
        <v>118127.19280828926</v>
      </c>
      <c r="AL6" s="9">
        <f>'QTR P&amp;L'!AO2*'BS DRIVERS'!AL6</f>
        <v>117560.59099202069</v>
      </c>
      <c r="AM6" s="9">
        <f>'QTR P&amp;L'!AP2*'BS DRIVERS'!AM6</f>
        <v>116996.7069040801</v>
      </c>
    </row>
    <row r="7" spans="1:39" x14ac:dyDescent="0.3">
      <c r="A7" s="3" t="s">
        <v>36</v>
      </c>
      <c r="B7" s="4">
        <f>'YTD BS'!C7</f>
        <v>0</v>
      </c>
      <c r="C7" s="4">
        <f>'YTD BS'!D7</f>
        <v>0</v>
      </c>
      <c r="D7" s="4">
        <f>'YTD BS'!F7</f>
        <v>0</v>
      </c>
      <c r="E7" s="4">
        <f>'YTD BS'!G7</f>
        <v>0</v>
      </c>
      <c r="F7" s="4">
        <f>'YTD BS'!H7</f>
        <v>14124</v>
      </c>
      <c r="G7" s="4">
        <f>'BALANCE SHEET'!B7</f>
        <v>14124</v>
      </c>
      <c r="H7" s="4">
        <f>'YTD BS'!J7</f>
        <v>14124</v>
      </c>
      <c r="I7" s="4">
        <f>'YTD BS'!K7</f>
        <v>14124</v>
      </c>
      <c r="J7" s="4">
        <f>'YTD BS'!L7</f>
        <v>14124</v>
      </c>
      <c r="K7" s="4">
        <f>'BALANCE SHEET'!C7</f>
        <v>14124</v>
      </c>
      <c r="L7" s="4">
        <f>'YTD BS'!N7</f>
        <v>14124</v>
      </c>
      <c r="M7" s="4">
        <f>'YTD BS'!O7</f>
        <v>14124</v>
      </c>
      <c r="N7" s="4">
        <f>'YTD BS'!P7</f>
        <v>14124</v>
      </c>
      <c r="O7" s="4">
        <f>'BALANCE SHEET'!D7</f>
        <v>14124</v>
      </c>
      <c r="P7" s="4">
        <f>'YTD BS'!R7</f>
        <v>14124</v>
      </c>
      <c r="Q7" s="4">
        <f>'YTD BS'!S7</f>
        <v>14124</v>
      </c>
      <c r="R7" s="4">
        <f>'YTD BS'!T7</f>
        <v>49520</v>
      </c>
      <c r="S7" s="4">
        <f>'BALANCE SHEET'!E7</f>
        <v>49164</v>
      </c>
      <c r="T7" s="9">
        <f>'QTR P&amp;L'!W2*'BS DRIVERS'!T7</f>
        <v>48928.182902913497</v>
      </c>
      <c r="U7" s="9">
        <f>'QTR P&amp;L'!X2*'BS DRIVERS'!U7</f>
        <v>48693.496911987575</v>
      </c>
      <c r="V7" s="9">
        <f>'QTR P&amp;L'!Y2*'BS DRIVERS'!V7</f>
        <v>48459.936601826172</v>
      </c>
      <c r="W7" s="9">
        <f>'QTR P&amp;L'!Z2*'BS DRIVERS'!W7</f>
        <v>48227.496573056371</v>
      </c>
      <c r="X7" s="9">
        <f>'QTR P&amp;L'!AA2*'BS DRIVERS'!X7</f>
        <v>47996.171452203569</v>
      </c>
      <c r="Y7" s="9">
        <f>'QTR P&amp;L'!AB2*'BS DRIVERS'!Y7</f>
        <v>47765.955891567246</v>
      </c>
      <c r="Z7" s="9">
        <f>'QTR P&amp;L'!AC2*'BS DRIVERS'!Z7</f>
        <v>47536.844569097324</v>
      </c>
      <c r="AA7" s="9">
        <f>'QTR P&amp;L'!AD2*'BS DRIVERS'!AA7</f>
        <v>47308.83218827119</v>
      </c>
      <c r="AB7" s="9">
        <f>'QTR P&amp;L'!AE2*'BS DRIVERS'!AB7</f>
        <v>47081.913477971168</v>
      </c>
      <c r="AC7" s="9">
        <f>'QTR P&amp;L'!AF2*'BS DRIVERS'!AC7</f>
        <v>46856.083192362741</v>
      </c>
      <c r="AD7" s="9">
        <f>'QTR P&amp;L'!AG2*'BS DRIVERS'!AD7</f>
        <v>46631.336110773242</v>
      </c>
      <c r="AE7" s="9">
        <f>'QTR P&amp;L'!AH2*'BS DRIVERS'!AE7</f>
        <v>46407.667037571155</v>
      </c>
      <c r="AF7" s="9">
        <f>'QTR P&amp;L'!AI2*'BS DRIVERS'!AF7</f>
        <v>46185.070802046037</v>
      </c>
      <c r="AG7" s="9">
        <f>'QTR P&amp;L'!AJ2*'BS DRIVERS'!AG7</f>
        <v>45963.542258288966</v>
      </c>
      <c r="AH7" s="9">
        <f>'QTR P&amp;L'!AK2*'BS DRIVERS'!AH7</f>
        <v>45743.076285073555</v>
      </c>
      <c r="AI7" s="9">
        <f>'QTR P&amp;L'!AL2*'BS DRIVERS'!AI7</f>
        <v>45523.667785737613</v>
      </c>
      <c r="AJ7" s="9">
        <f>'QTR P&amp;L'!AM2*'BS DRIVERS'!AJ7</f>
        <v>45305.311688065281</v>
      </c>
      <c r="AK7" s="9">
        <f>'QTR P&amp;L'!AN2*'BS DRIVERS'!AK7</f>
        <v>45088.002944169777</v>
      </c>
      <c r="AL7" s="9">
        <f>'QTR P&amp;L'!AO2*'BS DRIVERS'!AL7</f>
        <v>44871.736530376729</v>
      </c>
      <c r="AM7" s="9">
        <f>'QTR P&amp;L'!AP2*'BS DRIVERS'!AM7</f>
        <v>44656.507447108008</v>
      </c>
    </row>
    <row r="8" spans="1:39" x14ac:dyDescent="0.3">
      <c r="A8" s="3" t="s">
        <v>37</v>
      </c>
      <c r="B8" s="6">
        <f>'YTD BS'!C8</f>
        <v>205305787</v>
      </c>
      <c r="C8" s="6">
        <f>'YTD BS'!D8</f>
        <v>252561960</v>
      </c>
      <c r="D8" s="6">
        <f>'YTD BS'!F8</f>
        <v>298208</v>
      </c>
      <c r="E8" s="6">
        <f>'YTD BS'!G8</f>
        <v>303728</v>
      </c>
      <c r="F8" s="6">
        <f>'YTD BS'!H8</f>
        <v>1027016</v>
      </c>
      <c r="G8" s="6">
        <f>'BALANCE SHEET'!B8</f>
        <v>917971</v>
      </c>
      <c r="H8" s="6">
        <f>'YTD BS'!J8</f>
        <v>993111</v>
      </c>
      <c r="I8" s="6">
        <f>'YTD BS'!K8</f>
        <v>1072255</v>
      </c>
      <c r="J8" s="6">
        <f>'YTD BS'!L8</f>
        <v>1215149</v>
      </c>
      <c r="K8" s="6">
        <f>'BALANCE SHEET'!C8</f>
        <v>1204904</v>
      </c>
      <c r="L8" s="6">
        <f>'YTD BS'!N8</f>
        <v>1315025</v>
      </c>
      <c r="M8" s="6">
        <f>'YTD BS'!O8</f>
        <v>1384989</v>
      </c>
      <c r="N8" s="6">
        <f>'YTD BS'!P8</f>
        <v>1363470</v>
      </c>
      <c r="O8" s="6">
        <f>'BALANCE SHEET'!D8</f>
        <v>1324580</v>
      </c>
      <c r="P8" s="6">
        <f>'YTD BS'!R8</f>
        <v>1411456</v>
      </c>
      <c r="Q8" s="6">
        <f>'YTD BS'!S8</f>
        <v>1391212</v>
      </c>
      <c r="R8" s="6">
        <f>'YTD BS'!T8</f>
        <v>1941574</v>
      </c>
      <c r="S8" s="6">
        <f>'BALANCE SHEET'!E8</f>
        <v>1811154</v>
      </c>
      <c r="T8" s="7">
        <f t="shared" ref="T8:AM8" si="0">SUM(T2:T7)</f>
        <v>1805056.7965207845</v>
      </c>
      <c r="U8" s="7">
        <f t="shared" si="0"/>
        <v>1798988.8385225069</v>
      </c>
      <c r="V8" s="7">
        <f t="shared" si="0"/>
        <v>1792949.9857280443</v>
      </c>
      <c r="W8" s="7">
        <f t="shared" si="0"/>
        <v>1786940.0985331207</v>
      </c>
      <c r="X8" s="7">
        <f t="shared" si="0"/>
        <v>1780959.0380030766</v>
      </c>
      <c r="Y8" s="7">
        <f t="shared" si="0"/>
        <v>1775006.6658696581</v>
      </c>
      <c r="Z8" s="7">
        <f t="shared" si="0"/>
        <v>1769082.8445278201</v>
      </c>
      <c r="AA8" s="7">
        <f t="shared" si="0"/>
        <v>1763187.4370325468</v>
      </c>
      <c r="AB8" s="7">
        <f t="shared" si="0"/>
        <v>1757320.3070956834</v>
      </c>
      <c r="AC8" s="7">
        <f t="shared" si="0"/>
        <v>1751481.3190827875</v>
      </c>
      <c r="AD8" s="7">
        <f t="shared" si="0"/>
        <v>1745670.3380099931</v>
      </c>
      <c r="AE8" s="7">
        <f t="shared" si="0"/>
        <v>1739887.2295408878</v>
      </c>
      <c r="AF8" s="7">
        <f t="shared" si="0"/>
        <v>1734131.8599834119</v>
      </c>
      <c r="AG8" s="7">
        <f t="shared" si="0"/>
        <v>1728404.0962867627</v>
      </c>
      <c r="AH8" s="7">
        <f t="shared" si="0"/>
        <v>1722703.8060383229</v>
      </c>
      <c r="AI8" s="7">
        <f t="shared" si="0"/>
        <v>1717030.8574605959</v>
      </c>
      <c r="AJ8" s="7">
        <f t="shared" si="0"/>
        <v>1711385.1194081621</v>
      </c>
      <c r="AK8" s="7">
        <f t="shared" si="0"/>
        <v>1705766.4613646464</v>
      </c>
      <c r="AL8" s="7">
        <f t="shared" si="0"/>
        <v>1700174.7534397</v>
      </c>
      <c r="AM8" s="7">
        <f t="shared" si="0"/>
        <v>1694609.8663659983</v>
      </c>
    </row>
    <row r="9" spans="1:39" x14ac:dyDescent="0.3">
      <c r="A9" s="3" t="s">
        <v>38</v>
      </c>
      <c r="B9" s="4">
        <f>'YTD BS'!C9</f>
        <v>7000800</v>
      </c>
      <c r="C9" s="4">
        <f>'YTD BS'!D9</f>
        <v>6993869</v>
      </c>
      <c r="D9" s="4">
        <f>'YTD BS'!F9</f>
        <v>3888</v>
      </c>
      <c r="E9" s="4">
        <f>'YTD BS'!G9</f>
        <v>3679</v>
      </c>
      <c r="F9" s="4">
        <f>'YTD BS'!H9</f>
        <v>3465</v>
      </c>
      <c r="G9" s="4">
        <f>'BALANCE SHEET'!B9</f>
        <v>3574</v>
      </c>
      <c r="H9" s="4">
        <f>'YTD BS'!J9</f>
        <v>0</v>
      </c>
      <c r="I9" s="4">
        <f>'YTD BS'!K9</f>
        <v>0</v>
      </c>
      <c r="J9" s="4">
        <f>'YTD BS'!L9</f>
        <v>0</v>
      </c>
      <c r="K9" s="4">
        <f>'BALANCE SHEET'!C9</f>
        <v>0</v>
      </c>
      <c r="L9" s="4">
        <f>'YTD BS'!N9</f>
        <v>0</v>
      </c>
      <c r="M9" s="4">
        <f>'YTD BS'!O9</f>
        <v>0</v>
      </c>
      <c r="N9" s="4">
        <f>'YTD BS'!P9</f>
        <v>0</v>
      </c>
      <c r="O9" s="4">
        <f>'BALANCE SHEET'!D9</f>
        <v>0</v>
      </c>
      <c r="P9" s="4">
        <f>'YTD BS'!R9</f>
        <v>0</v>
      </c>
      <c r="Q9" s="4">
        <f>'YTD BS'!S9</f>
        <v>0</v>
      </c>
      <c r="R9" s="4">
        <f>'YTD BS'!T9</f>
        <v>0</v>
      </c>
      <c r="S9" s="4">
        <f>'BALANCE SHEET'!E9</f>
        <v>0</v>
      </c>
      <c r="T9" s="9">
        <f>'QTR P&amp;L'!W2*'BS DRIVERS'!T8</f>
        <v>0</v>
      </c>
      <c r="U9" s="9">
        <f>'QTR P&amp;L'!X2*'BS DRIVERS'!U8</f>
        <v>0</v>
      </c>
      <c r="V9" s="9">
        <f>'QTR P&amp;L'!Y2*'BS DRIVERS'!V8</f>
        <v>0</v>
      </c>
      <c r="W9" s="9">
        <f>'QTR P&amp;L'!Z2*'BS DRIVERS'!W8</f>
        <v>0</v>
      </c>
      <c r="X9" s="9">
        <f>'QTR P&amp;L'!AA2*'BS DRIVERS'!X8</f>
        <v>0</v>
      </c>
      <c r="Y9" s="9">
        <f>'QTR P&amp;L'!AB2*'BS DRIVERS'!Y8</f>
        <v>0</v>
      </c>
      <c r="Z9" s="9">
        <f>'QTR P&amp;L'!AC2*'BS DRIVERS'!Z8</f>
        <v>0</v>
      </c>
      <c r="AA9" s="9">
        <f>'QTR P&amp;L'!AD2*'BS DRIVERS'!AA8</f>
        <v>0</v>
      </c>
      <c r="AB9" s="9">
        <f>'QTR P&amp;L'!AE2*'BS DRIVERS'!AB8</f>
        <v>0</v>
      </c>
      <c r="AC9" s="9">
        <f>'QTR P&amp;L'!AF2*'BS DRIVERS'!AC8</f>
        <v>0</v>
      </c>
      <c r="AD9" s="9">
        <f>'QTR P&amp;L'!AG2*'BS DRIVERS'!AD8</f>
        <v>0</v>
      </c>
      <c r="AE9" s="9">
        <f>'QTR P&amp;L'!AH2*'BS DRIVERS'!AE8</f>
        <v>0</v>
      </c>
      <c r="AF9" s="9">
        <f>'QTR P&amp;L'!AI2*'BS DRIVERS'!AF8</f>
        <v>0</v>
      </c>
      <c r="AG9" s="9">
        <f>'QTR P&amp;L'!AJ2*'BS DRIVERS'!AG8</f>
        <v>0</v>
      </c>
      <c r="AH9" s="9">
        <f>'QTR P&amp;L'!AK2*'BS DRIVERS'!AH8</f>
        <v>0</v>
      </c>
      <c r="AI9" s="9">
        <f>'QTR P&amp;L'!AL2*'BS DRIVERS'!AI8</f>
        <v>0</v>
      </c>
      <c r="AJ9" s="9">
        <f>'QTR P&amp;L'!AM2*'BS DRIVERS'!AJ8</f>
        <v>0</v>
      </c>
      <c r="AK9" s="9">
        <f>'QTR P&amp;L'!AN2*'BS DRIVERS'!AK8</f>
        <v>0</v>
      </c>
      <c r="AL9" s="9">
        <f>'QTR P&amp;L'!AO2*'BS DRIVERS'!AL8</f>
        <v>0</v>
      </c>
      <c r="AM9" s="9">
        <f>'QTR P&amp;L'!AP2*'BS DRIVERS'!AM8</f>
        <v>0</v>
      </c>
    </row>
    <row r="10" spans="1:39" x14ac:dyDescent="0.3">
      <c r="A10" s="3" t="s">
        <v>39</v>
      </c>
      <c r="B10" s="4">
        <f>'YTD BS'!C10</f>
        <v>1617002</v>
      </c>
      <c r="C10" s="4">
        <f>'YTD BS'!D10</f>
        <v>2454914</v>
      </c>
      <c r="D10" s="4">
        <f>'YTD BS'!F10</f>
        <v>3702</v>
      </c>
      <c r="E10" s="4">
        <f>'YTD BS'!G10</f>
        <v>5135</v>
      </c>
      <c r="F10" s="4">
        <f>'YTD BS'!H10</f>
        <v>5782</v>
      </c>
      <c r="G10" s="4">
        <f>'BALANCE SHEET'!B10</f>
        <v>10185</v>
      </c>
      <c r="H10" s="4">
        <f>'YTD BS'!J10</f>
        <v>12054</v>
      </c>
      <c r="I10" s="4">
        <f>'YTD BS'!K10</f>
        <v>15892</v>
      </c>
      <c r="J10" s="4">
        <f>'YTD BS'!L10</f>
        <v>21061</v>
      </c>
      <c r="K10" s="4">
        <f>'BALANCE SHEET'!C10</f>
        <v>24868</v>
      </c>
      <c r="L10" s="4">
        <f>'YTD BS'!N10</f>
        <v>28350</v>
      </c>
      <c r="M10" s="4">
        <f>'YTD BS'!O10</f>
        <v>36282</v>
      </c>
      <c r="N10" s="4">
        <f>'YTD BS'!P10</f>
        <v>38370</v>
      </c>
      <c r="O10" s="4">
        <f>'BALANCE SHEET'!D10</f>
        <v>55602</v>
      </c>
      <c r="P10" s="4">
        <f>'YTD BS'!R10</f>
        <v>58698</v>
      </c>
      <c r="Q10" s="4">
        <f>'YTD BS'!S10</f>
        <v>72516</v>
      </c>
      <c r="R10" s="4">
        <f>'YTD BS'!T10</f>
        <v>80925</v>
      </c>
      <c r="S10" s="4">
        <f>'BALANCE SHEET'!E10</f>
        <v>87910</v>
      </c>
      <c r="T10" s="9">
        <f>'BS DRIVERS'!T9</f>
        <v>89495.359111633341</v>
      </c>
      <c r="U10" s="9">
        <f>'BS DRIVERS'!U9</f>
        <v>91073.113984727403</v>
      </c>
      <c r="V10" s="9">
        <f>'BS DRIVERS'!V9</f>
        <v>92643.301093317205</v>
      </c>
      <c r="W10" s="9">
        <f>'BS DRIVERS'!W9</f>
        <v>94205.956736488602</v>
      </c>
      <c r="X10" s="9">
        <f>'BS DRIVERS'!X9</f>
        <v>95761.117039217439</v>
      </c>
      <c r="Y10" s="9">
        <f>'BS DRIVERS'!Y9</f>
        <v>97308.817953204649</v>
      </c>
      <c r="Z10" s="9">
        <f>'BS DRIVERS'!Z9</f>
        <v>98849.095257707377</v>
      </c>
      <c r="AA10" s="9">
        <f>'BS DRIVERS'!AA9</f>
        <v>100381.98456036614</v>
      </c>
      <c r="AB10" s="9">
        <f>'BS DRIVERS'!AB9</f>
        <v>101907.521298028</v>
      </c>
      <c r="AC10" s="9">
        <f>'BS DRIVERS'!AC9</f>
        <v>103425.74073756576</v>
      </c>
      <c r="AD10" s="9">
        <f>'BS DRIVERS'!AD9</f>
        <v>104936.67797669322</v>
      </c>
      <c r="AE10" s="9">
        <f>'BS DRIVERS'!AE9</f>
        <v>106440.36794477659</v>
      </c>
      <c r="AF10" s="9">
        <f>'BS DRIVERS'!AF9</f>
        <v>107936.845403642</v>
      </c>
      <c r="AG10" s="9">
        <f>'BS DRIVERS'!AG9</f>
        <v>109426.14494837909</v>
      </c>
      <c r="AH10" s="9">
        <f>'BS DRIVERS'!AH9</f>
        <v>110908.30100814076</v>
      </c>
      <c r="AI10" s="9">
        <f>'BS DRIVERS'!AI9</f>
        <v>112383.34784693907</v>
      </c>
      <c r="AJ10" s="9">
        <f>'BS DRIVERS'!AJ9</f>
        <v>113851.31956443741</v>
      </c>
      <c r="AK10" s="9">
        <f>'BS DRIVERS'!AK9</f>
        <v>115312.25009673873</v>
      </c>
      <c r="AL10" s="9">
        <f>'BS DRIVERS'!AL9</f>
        <v>116766.17321717014</v>
      </c>
      <c r="AM10" s="9">
        <f>'BS DRIVERS'!AM9</f>
        <v>118213.12253706362</v>
      </c>
    </row>
    <row r="11" spans="1:39" x14ac:dyDescent="0.3">
      <c r="A11" s="3" t="s">
        <v>40</v>
      </c>
      <c r="B11" s="4">
        <f>'YTD BS'!C11</f>
        <v>704857</v>
      </c>
      <c r="C11" s="4">
        <f>'YTD BS'!D11</f>
        <v>888911</v>
      </c>
      <c r="D11" s="4">
        <f>'YTD BS'!F11</f>
        <v>1141</v>
      </c>
      <c r="E11" s="4">
        <f>'YTD BS'!G11</f>
        <v>954</v>
      </c>
      <c r="F11" s="4">
        <f>'YTD BS'!H11</f>
        <v>1105</v>
      </c>
      <c r="G11" s="4">
        <f>'BALANCE SHEET'!B11</f>
        <v>972</v>
      </c>
      <c r="H11" s="4">
        <f>'YTD BS'!J11</f>
        <v>931</v>
      </c>
      <c r="I11" s="4">
        <f>'YTD BS'!K11</f>
        <v>756</v>
      </c>
      <c r="J11" s="4">
        <f>'YTD BS'!L11</f>
        <v>1152</v>
      </c>
      <c r="K11" s="4">
        <f>'BALANCE SHEET'!C11</f>
        <v>1957</v>
      </c>
      <c r="L11" s="4">
        <f>'YTD BS'!N11</f>
        <v>1688</v>
      </c>
      <c r="M11" s="4">
        <f>'YTD BS'!O11</f>
        <v>1507</v>
      </c>
      <c r="N11" s="4">
        <f>'YTD BS'!P11</f>
        <v>5506</v>
      </c>
      <c r="O11" s="4">
        <f>'BALANCE SHEET'!D11</f>
        <v>21606</v>
      </c>
      <c r="P11" s="4">
        <f>'YTD BS'!R11</f>
        <v>20866</v>
      </c>
      <c r="Q11" s="4">
        <f>'YTD BS'!S11</f>
        <v>0</v>
      </c>
      <c r="R11" s="4">
        <f>'YTD BS'!T11</f>
        <v>0</v>
      </c>
      <c r="S11" s="4">
        <f>'BALANCE SHEET'!E11</f>
        <v>0</v>
      </c>
      <c r="T11" s="9">
        <f>'QTR P&amp;L'!W2*'BS DRIVERS'!T10</f>
        <v>0</v>
      </c>
      <c r="U11" s="9">
        <f>'QTR P&amp;L'!X2*'BS DRIVERS'!U10</f>
        <v>0</v>
      </c>
      <c r="V11" s="9">
        <f>'QTR P&amp;L'!Y2*'BS DRIVERS'!V10</f>
        <v>0</v>
      </c>
      <c r="W11" s="9">
        <f>'QTR P&amp;L'!Z2*'BS DRIVERS'!W10</f>
        <v>0</v>
      </c>
      <c r="X11" s="9">
        <f>'QTR P&amp;L'!AA2*'BS DRIVERS'!X10</f>
        <v>0</v>
      </c>
      <c r="Y11" s="9">
        <f>'QTR P&amp;L'!AB2*'BS DRIVERS'!Y10</f>
        <v>0</v>
      </c>
      <c r="Z11" s="9">
        <f>'QTR P&amp;L'!AC2*'BS DRIVERS'!Z10</f>
        <v>0</v>
      </c>
      <c r="AA11" s="9">
        <f>'QTR P&amp;L'!AD2*'BS DRIVERS'!AA10</f>
        <v>0</v>
      </c>
      <c r="AB11" s="9">
        <f>'QTR P&amp;L'!AE2*'BS DRIVERS'!AB10</f>
        <v>0</v>
      </c>
      <c r="AC11" s="9">
        <f>'QTR P&amp;L'!AF2*'BS DRIVERS'!AC10</f>
        <v>0</v>
      </c>
      <c r="AD11" s="9">
        <f>'QTR P&amp;L'!AG2*'BS DRIVERS'!AD10</f>
        <v>0</v>
      </c>
      <c r="AE11" s="9">
        <f>'QTR P&amp;L'!AH2*'BS DRIVERS'!AE10</f>
        <v>0</v>
      </c>
      <c r="AF11" s="9">
        <f>'QTR P&amp;L'!AI2*'BS DRIVERS'!AF10</f>
        <v>0</v>
      </c>
      <c r="AG11" s="9">
        <f>'QTR P&amp;L'!AJ2*'BS DRIVERS'!AG10</f>
        <v>0</v>
      </c>
      <c r="AH11" s="9">
        <f>'QTR P&amp;L'!AK2*'BS DRIVERS'!AH10</f>
        <v>0</v>
      </c>
      <c r="AI11" s="9">
        <f>'QTR P&amp;L'!AL2*'BS DRIVERS'!AI10</f>
        <v>0</v>
      </c>
      <c r="AJ11" s="9">
        <f>'QTR P&amp;L'!AM2*'BS DRIVERS'!AJ10</f>
        <v>0</v>
      </c>
      <c r="AK11" s="9">
        <f>'QTR P&amp;L'!AN2*'BS DRIVERS'!AK10</f>
        <v>0</v>
      </c>
      <c r="AL11" s="9">
        <f>'QTR P&amp;L'!AO2*'BS DRIVERS'!AL10</f>
        <v>0</v>
      </c>
      <c r="AM11" s="9">
        <f>'QTR P&amp;L'!AP2*'BS DRIVERS'!AM10</f>
        <v>0</v>
      </c>
    </row>
    <row r="12" spans="1:39" x14ac:dyDescent="0.3">
      <c r="A12" s="3" t="s">
        <v>42</v>
      </c>
      <c r="B12" s="4">
        <f>'YTD BS'!C12</f>
        <v>16287537</v>
      </c>
      <c r="C12" s="4">
        <f>'YTD BS'!D12</f>
        <v>16811762</v>
      </c>
      <c r="D12" s="4">
        <f>'YTD BS'!F12</f>
        <v>15838</v>
      </c>
      <c r="E12" s="4">
        <f>'YTD BS'!G12</f>
        <v>14689</v>
      </c>
      <c r="F12" s="4">
        <f>'YTD BS'!H12</f>
        <v>11322</v>
      </c>
      <c r="G12" s="4">
        <f>'BALANCE SHEET'!B13</f>
        <v>12254</v>
      </c>
      <c r="H12" s="4">
        <f>'YTD BS'!J12</f>
        <v>12359</v>
      </c>
      <c r="I12" s="4">
        <f>'YTD BS'!K12</f>
        <v>12211</v>
      </c>
      <c r="J12" s="4">
        <f>'YTD BS'!L12</f>
        <v>11772</v>
      </c>
      <c r="K12" s="4">
        <f>'BALANCE SHEET'!C13</f>
        <v>12139</v>
      </c>
      <c r="L12" s="4">
        <f>'YTD BS'!N12</f>
        <v>11741</v>
      </c>
      <c r="M12" s="4">
        <f>'YTD BS'!O12</f>
        <v>11491</v>
      </c>
      <c r="N12" s="4">
        <f>'YTD BS'!P12</f>
        <v>11877</v>
      </c>
      <c r="O12" s="4">
        <f>'BALANCE SHEET'!D13</f>
        <v>12213</v>
      </c>
      <c r="P12" s="4">
        <f>'YTD BS'!R12</f>
        <v>12444</v>
      </c>
      <c r="Q12" s="4">
        <f>'YTD BS'!S12</f>
        <v>1222115</v>
      </c>
      <c r="R12" s="4">
        <f>'YTD BS'!T12</f>
        <v>1397819</v>
      </c>
      <c r="S12" s="4">
        <f>'BALANCE SHEET'!E13</f>
        <v>1391915</v>
      </c>
      <c r="T12" s="9">
        <f>'BS DRIVERS'!T11</f>
        <v>1391915</v>
      </c>
      <c r="U12" s="9">
        <f>'BS DRIVERS'!U11</f>
        <v>1391915</v>
      </c>
      <c r="V12" s="9">
        <f>'BS DRIVERS'!V11</f>
        <v>1391915</v>
      </c>
      <c r="W12" s="9">
        <f>'BS DRIVERS'!W11</f>
        <v>1391915</v>
      </c>
      <c r="X12" s="9">
        <f>'BS DRIVERS'!X11</f>
        <v>1391915</v>
      </c>
      <c r="Y12" s="9">
        <f>'BS DRIVERS'!Y11</f>
        <v>1391915</v>
      </c>
      <c r="Z12" s="9">
        <f>'BS DRIVERS'!Z11</f>
        <v>1391915</v>
      </c>
      <c r="AA12" s="9">
        <f>'BS DRIVERS'!AA11</f>
        <v>1391915</v>
      </c>
      <c r="AB12" s="9">
        <f>'BS DRIVERS'!AB11</f>
        <v>1391915</v>
      </c>
      <c r="AC12" s="9">
        <f>'BS DRIVERS'!AC11</f>
        <v>1391915</v>
      </c>
      <c r="AD12" s="9">
        <f>'BS DRIVERS'!AD11</f>
        <v>1391915</v>
      </c>
      <c r="AE12" s="9">
        <f>'BS DRIVERS'!AE11</f>
        <v>1391915</v>
      </c>
      <c r="AF12" s="9">
        <f>'BS DRIVERS'!AF11</f>
        <v>1391915</v>
      </c>
      <c r="AG12" s="9">
        <f>'BS DRIVERS'!AG11</f>
        <v>1391915</v>
      </c>
      <c r="AH12" s="9">
        <f>'BS DRIVERS'!AH11</f>
        <v>1391915</v>
      </c>
      <c r="AI12" s="9">
        <f>'BS DRIVERS'!AI11</f>
        <v>1391915</v>
      </c>
      <c r="AJ12" s="9">
        <f>'BS DRIVERS'!AJ11</f>
        <v>1391915</v>
      </c>
      <c r="AK12" s="9">
        <f>'BS DRIVERS'!AK11</f>
        <v>1391915</v>
      </c>
      <c r="AL12" s="9">
        <f>'BS DRIVERS'!AL11</f>
        <v>1391915</v>
      </c>
      <c r="AM12" s="9">
        <f>'BS DRIVERS'!AM11</f>
        <v>1391915</v>
      </c>
    </row>
    <row r="13" spans="1:39" x14ac:dyDescent="0.3">
      <c r="A13" s="3" t="s">
        <v>43</v>
      </c>
      <c r="B13" s="4">
        <f>'YTD BS'!C13</f>
        <v>10419321</v>
      </c>
      <c r="C13" s="4">
        <f>'YTD BS'!D13</f>
        <v>14851635</v>
      </c>
      <c r="D13" s="4">
        <f>'YTD BS'!F13</f>
        <v>14238</v>
      </c>
      <c r="E13" s="4">
        <f>'YTD BS'!G13</f>
        <v>13323</v>
      </c>
      <c r="F13" s="4">
        <f>'YTD BS'!H13</f>
        <v>12502</v>
      </c>
      <c r="G13" s="4">
        <f>'BALANCE SHEET'!B14</f>
        <v>13679</v>
      </c>
      <c r="H13" s="4">
        <f>'YTD BS'!J13</f>
        <v>13949</v>
      </c>
      <c r="I13" s="4">
        <f>'YTD BS'!K13</f>
        <v>13937</v>
      </c>
      <c r="J13" s="4">
        <f>'YTD BS'!L13</f>
        <v>13588</v>
      </c>
      <c r="K13" s="4">
        <f>'BALANCE SHEET'!C14</f>
        <v>14173</v>
      </c>
      <c r="L13" s="4">
        <f>'YTD BS'!N13</f>
        <v>13866</v>
      </c>
      <c r="M13" s="4">
        <f>'YTD BS'!O13</f>
        <v>13730</v>
      </c>
      <c r="N13" s="4">
        <f>'YTD BS'!P13</f>
        <v>14360</v>
      </c>
      <c r="O13" s="4">
        <f>'BALANCE SHEET'!D14</f>
        <v>71582</v>
      </c>
      <c r="P13" s="4">
        <f>'YTD BS'!R13</f>
        <v>72128</v>
      </c>
      <c r="Q13" s="4">
        <f>'YTD BS'!S13</f>
        <v>802234</v>
      </c>
      <c r="R13" s="4">
        <f>'YTD BS'!T13</f>
        <v>914957</v>
      </c>
      <c r="S13" s="4">
        <f>'BALANCE SHEET'!E14</f>
        <v>917560</v>
      </c>
      <c r="T13" s="9">
        <f>'BS DRIVERS'!T12</f>
        <v>917560</v>
      </c>
      <c r="U13" s="9">
        <f>'BS DRIVERS'!U12</f>
        <v>917560</v>
      </c>
      <c r="V13" s="9">
        <f>'BS DRIVERS'!V12</f>
        <v>917560</v>
      </c>
      <c r="W13" s="9">
        <f>'BS DRIVERS'!W12</f>
        <v>917560</v>
      </c>
      <c r="X13" s="9">
        <f>'BS DRIVERS'!X12</f>
        <v>917560</v>
      </c>
      <c r="Y13" s="9">
        <f>'BS DRIVERS'!Y12</f>
        <v>917560</v>
      </c>
      <c r="Z13" s="9">
        <f>'BS DRIVERS'!Z12</f>
        <v>917560</v>
      </c>
      <c r="AA13" s="9">
        <f>'BS DRIVERS'!AA12</f>
        <v>917560</v>
      </c>
      <c r="AB13" s="9">
        <f>'BS DRIVERS'!AB12</f>
        <v>917560</v>
      </c>
      <c r="AC13" s="9">
        <f>'BS DRIVERS'!AC12</f>
        <v>917560</v>
      </c>
      <c r="AD13" s="9">
        <f>'BS DRIVERS'!AD12</f>
        <v>917560</v>
      </c>
      <c r="AE13" s="9">
        <f>'BS DRIVERS'!AE12</f>
        <v>917560</v>
      </c>
      <c r="AF13" s="9">
        <f>'BS DRIVERS'!AF12</f>
        <v>917560</v>
      </c>
      <c r="AG13" s="9">
        <f>'BS DRIVERS'!AG12</f>
        <v>917560</v>
      </c>
      <c r="AH13" s="9">
        <f>'BS DRIVERS'!AH12</f>
        <v>917560</v>
      </c>
      <c r="AI13" s="9">
        <f>'BS DRIVERS'!AI12</f>
        <v>917560</v>
      </c>
      <c r="AJ13" s="9">
        <f>'BS DRIVERS'!AJ12</f>
        <v>917560</v>
      </c>
      <c r="AK13" s="9">
        <f>'BS DRIVERS'!AK12</f>
        <v>917560</v>
      </c>
      <c r="AL13" s="9">
        <f>'BS DRIVERS'!AL12</f>
        <v>917560</v>
      </c>
      <c r="AM13" s="9">
        <f>'BS DRIVERS'!AM12</f>
        <v>917560</v>
      </c>
    </row>
    <row r="14" spans="1:39" x14ac:dyDescent="0.3">
      <c r="A14" s="3" t="s">
        <v>44</v>
      </c>
      <c r="B14" s="4">
        <f>'YTD BS'!C14</f>
        <v>0</v>
      </c>
      <c r="C14" s="4">
        <f>'YTD BS'!D14</f>
        <v>0</v>
      </c>
      <c r="D14" s="4">
        <f>'YTD BS'!F14</f>
        <v>0</v>
      </c>
      <c r="E14" s="4">
        <f>'YTD BS'!G14</f>
        <v>0</v>
      </c>
      <c r="F14" s="4">
        <f>'YTD BS'!H14</f>
        <v>265993</v>
      </c>
      <c r="G14" s="4">
        <f>'BALANCE SHEET'!B15</f>
        <v>262462</v>
      </c>
      <c r="H14" s="4">
        <f>'YTD BS'!J14</f>
        <v>258931</v>
      </c>
      <c r="I14" s="4">
        <f>'YTD BS'!K14</f>
        <v>255400</v>
      </c>
      <c r="J14" s="4">
        <f>'YTD BS'!L14</f>
        <v>251869</v>
      </c>
      <c r="K14" s="4">
        <f>'BALANCE SHEET'!C15</f>
        <v>248338</v>
      </c>
      <c r="L14" s="4">
        <f>'YTD BS'!N14</f>
        <v>244807</v>
      </c>
      <c r="M14" s="4">
        <f>'YTD BS'!O14</f>
        <v>241276</v>
      </c>
      <c r="N14" s="4">
        <f>'YTD BS'!P14</f>
        <v>237746</v>
      </c>
      <c r="O14" s="4">
        <f>'BALANCE SHEET'!D15</f>
        <v>234215</v>
      </c>
      <c r="P14" s="4">
        <f>'YTD BS'!R14</f>
        <v>230684</v>
      </c>
      <c r="Q14" s="4">
        <f>'YTD BS'!S14</f>
        <v>227153</v>
      </c>
      <c r="R14" s="4">
        <f>'YTD BS'!T14</f>
        <v>784214</v>
      </c>
      <c r="S14" s="4">
        <f>'BALANCE SHEET'!E15</f>
        <v>771635</v>
      </c>
      <c r="T14" s="9">
        <f>'QTR P&amp;L'!W2*'BS DRIVERS'!T13</f>
        <v>767933.82178605616</v>
      </c>
      <c r="U14" s="9">
        <f>'QTR P&amp;L'!X2*'BS DRIVERS'!U13</f>
        <v>764250.39642180328</v>
      </c>
      <c r="V14" s="9">
        <f>'QTR P&amp;L'!Y2*'BS DRIVERS'!V13</f>
        <v>760584.63875498623</v>
      </c>
      <c r="W14" s="9">
        <f>'QTR P&amp;L'!Z2*'BS DRIVERS'!W13</f>
        <v>756936.4640417858</v>
      </c>
      <c r="X14" s="9">
        <f>'QTR P&amp;L'!AA2*'BS DRIVERS'!X13</f>
        <v>753305.78794486017</v>
      </c>
      <c r="Y14" s="9">
        <f>'QTR P&amp;L'!AB2*'BS DRIVERS'!Y13</f>
        <v>749692.5265313948</v>
      </c>
      <c r="Z14" s="9">
        <f>'QTR P&amp;L'!AC2*'BS DRIVERS'!Z13</f>
        <v>746096.59627116227</v>
      </c>
      <c r="AA14" s="9">
        <f>'QTR P&amp;L'!AD2*'BS DRIVERS'!AA13</f>
        <v>742517.91403459129</v>
      </c>
      <c r="AB14" s="9">
        <f>'QTR P&amp;L'!AE2*'BS DRIVERS'!AB13</f>
        <v>738956.39709084469</v>
      </c>
      <c r="AC14" s="9">
        <f>'QTR P&amp;L'!AF2*'BS DRIVERS'!AC13</f>
        <v>735411.96310590731</v>
      </c>
      <c r="AD14" s="9">
        <f>'QTR P&amp;L'!AG2*'BS DRIVERS'!AD13</f>
        <v>731884.53014068247</v>
      </c>
      <c r="AE14" s="9">
        <f>'QTR P&amp;L'!AH2*'BS DRIVERS'!AE13</f>
        <v>728374.01664909732</v>
      </c>
      <c r="AF14" s="9">
        <f>'QTR P&amp;L'!AI2*'BS DRIVERS'!AF13</f>
        <v>724880.34147621831</v>
      </c>
      <c r="AG14" s="9">
        <f>'QTR P&amp;L'!AJ2*'BS DRIVERS'!AG13</f>
        <v>721403.42385637481</v>
      </c>
      <c r="AH14" s="9">
        <f>'QTR P&amp;L'!AK2*'BS DRIVERS'!AH13</f>
        <v>717943.18341129157</v>
      </c>
      <c r="AI14" s="9">
        <f>'QTR P&amp;L'!AL2*'BS DRIVERS'!AI13</f>
        <v>714499.54014823143</v>
      </c>
      <c r="AJ14" s="9">
        <f>'QTR P&amp;L'!AM2*'BS DRIVERS'!AJ13</f>
        <v>711072.41445814539</v>
      </c>
      <c r="AK14" s="9">
        <f>'QTR P&amp;L'!AN2*'BS DRIVERS'!AK13</f>
        <v>707661.72711383225</v>
      </c>
      <c r="AL14" s="9">
        <f>'QTR P&amp;L'!AO2*'BS DRIVERS'!AL13</f>
        <v>704267.39926810784</v>
      </c>
      <c r="AM14" s="9">
        <f>'QTR P&amp;L'!AP2*'BS DRIVERS'!AM13</f>
        <v>700889.35245198093</v>
      </c>
    </row>
    <row r="15" spans="1:39" x14ac:dyDescent="0.3">
      <c r="A15" s="3" t="s">
        <v>45</v>
      </c>
      <c r="B15" s="4">
        <f>'YTD BS'!C15</f>
        <v>0</v>
      </c>
      <c r="C15" s="4">
        <f>'YTD BS'!D15</f>
        <v>0</v>
      </c>
      <c r="D15" s="4">
        <f>'YTD BS'!F15</f>
        <v>6396</v>
      </c>
      <c r="E15" s="4">
        <f>'YTD BS'!G15</f>
        <v>7686</v>
      </c>
      <c r="F15" s="4">
        <f>'YTD BS'!H15</f>
        <v>0</v>
      </c>
      <c r="G15" s="4">
        <f>'BALANCE SHEET'!B16</f>
        <v>501</v>
      </c>
      <c r="H15" s="4">
        <f>'YTD BS'!J15</f>
        <v>482</v>
      </c>
      <c r="I15" s="4">
        <f>'YTD BS'!K15</f>
        <v>28373</v>
      </c>
      <c r="J15" s="4">
        <f>'YTD BS'!L15</f>
        <v>30614</v>
      </c>
      <c r="K15" s="4">
        <f>'BALANCE SHEET'!C16</f>
        <v>29518</v>
      </c>
      <c r="L15" s="4">
        <f>'YTD BS'!N15</f>
        <v>22437</v>
      </c>
      <c r="M15" s="4">
        <f>'YTD BS'!O15</f>
        <v>22727</v>
      </c>
      <c r="N15" s="4">
        <f>'YTD BS'!P15</f>
        <v>24186</v>
      </c>
      <c r="O15" s="4">
        <f>'BALANCE SHEET'!D16</f>
        <v>38699</v>
      </c>
      <c r="P15" s="4">
        <f>'YTD BS'!R15</f>
        <v>38525</v>
      </c>
      <c r="Q15" s="4">
        <f>'YTD BS'!S15</f>
        <v>43158</v>
      </c>
      <c r="R15" s="4">
        <f>'YTD BS'!T15</f>
        <v>110410</v>
      </c>
      <c r="S15" s="4">
        <f>'BALANCE SHEET'!E16</f>
        <v>96013</v>
      </c>
      <c r="T15" s="9">
        <f>'BS DRIVERS'!T14</f>
        <v>81941</v>
      </c>
      <c r="U15" s="9">
        <f>'BS DRIVERS'!U14</f>
        <v>67869</v>
      </c>
      <c r="V15" s="9">
        <f>'BS DRIVERS'!V14</f>
        <v>53797</v>
      </c>
      <c r="W15" s="9">
        <f>'BS DRIVERS'!W14</f>
        <v>39725</v>
      </c>
      <c r="X15" s="9">
        <f>'BS DRIVERS'!X14</f>
        <v>25653</v>
      </c>
      <c r="Y15" s="9">
        <f>'BS DRIVERS'!Y14</f>
        <v>11581</v>
      </c>
      <c r="Z15" s="9">
        <f>'BS DRIVERS'!Z14</f>
        <v>-2491</v>
      </c>
      <c r="AA15" s="9">
        <f>'BS DRIVERS'!AA14</f>
        <v>-16563</v>
      </c>
      <c r="AB15" s="9">
        <f>'BS DRIVERS'!AB14</f>
        <v>-30635</v>
      </c>
      <c r="AC15" s="9">
        <f>'BS DRIVERS'!AC14</f>
        <v>-44707</v>
      </c>
      <c r="AD15" s="9">
        <f>'BS DRIVERS'!AD14</f>
        <v>-58779</v>
      </c>
      <c r="AE15" s="9">
        <f>'BS DRIVERS'!AE14</f>
        <v>-72851</v>
      </c>
      <c r="AF15" s="9">
        <f>'BS DRIVERS'!AF14</f>
        <v>-86923</v>
      </c>
      <c r="AG15" s="9">
        <f>'BS DRIVERS'!AG14</f>
        <v>-100995</v>
      </c>
      <c r="AH15" s="9">
        <f>'BS DRIVERS'!AH14</f>
        <v>-115067</v>
      </c>
      <c r="AI15" s="9">
        <f>'BS DRIVERS'!AI14</f>
        <v>-129139</v>
      </c>
      <c r="AJ15" s="9">
        <f>'BS DRIVERS'!AJ14</f>
        <v>-143211</v>
      </c>
      <c r="AK15" s="9">
        <f>'BS DRIVERS'!AK14</f>
        <v>-157283</v>
      </c>
      <c r="AL15" s="9">
        <f>'BS DRIVERS'!AL14</f>
        <v>-171355</v>
      </c>
      <c r="AM15" s="9">
        <f>'BS DRIVERS'!AM14</f>
        <v>-185427</v>
      </c>
    </row>
    <row r="16" spans="1:39" x14ac:dyDescent="0.3">
      <c r="A16" s="3" t="s">
        <v>41</v>
      </c>
      <c r="B16" s="4">
        <f>'YTD BS'!C16</f>
        <v>100365</v>
      </c>
      <c r="C16" s="4">
        <f>'YTD BS'!D16</f>
        <v>106675</v>
      </c>
      <c r="D16" s="4">
        <f>'YTD BS'!F16</f>
        <v>220</v>
      </c>
      <c r="E16" s="4">
        <f>'YTD BS'!G16</f>
        <v>180</v>
      </c>
      <c r="F16" s="4">
        <f>'YTD BS'!H16</f>
        <v>222</v>
      </c>
      <c r="G16" s="4">
        <f>'BALANCE SHEET'!B12</f>
        <v>208</v>
      </c>
      <c r="H16" s="4">
        <f>'YTD BS'!J16</f>
        <v>191</v>
      </c>
      <c r="I16" s="4">
        <f>'YTD BS'!K16</f>
        <v>171</v>
      </c>
      <c r="J16" s="4">
        <f>'YTD BS'!L16</f>
        <v>148</v>
      </c>
      <c r="K16" s="4">
        <f>'BALANCE SHEET'!C12</f>
        <v>208</v>
      </c>
      <c r="L16" s="4">
        <f>'YTD BS'!N16</f>
        <v>263</v>
      </c>
      <c r="M16" s="4">
        <f>'YTD BS'!O16</f>
        <v>233</v>
      </c>
      <c r="N16" s="4">
        <f>'YTD BS'!P16</f>
        <v>214</v>
      </c>
      <c r="O16" s="4">
        <f>'BALANCE SHEET'!D12</f>
        <v>230</v>
      </c>
      <c r="P16" s="4">
        <f>'YTD BS'!R16</f>
        <v>0</v>
      </c>
      <c r="Q16" s="4">
        <f>'YTD BS'!S16</f>
        <v>0</v>
      </c>
      <c r="R16" s="4">
        <f>'YTD BS'!T16</f>
        <v>0</v>
      </c>
      <c r="S16" s="4">
        <f>'BALANCE SHEET'!E12</f>
        <v>0</v>
      </c>
      <c r="T16" s="9">
        <f>'QTR P&amp;L'!W2*'BS DRIVERS'!T15</f>
        <v>0</v>
      </c>
      <c r="U16" s="9">
        <f>'QTR P&amp;L'!X2*'BS DRIVERS'!U15</f>
        <v>0</v>
      </c>
      <c r="V16" s="9">
        <f>'QTR P&amp;L'!Y2*'BS DRIVERS'!V15</f>
        <v>0</v>
      </c>
      <c r="W16" s="9">
        <f>'QTR P&amp;L'!Z2*'BS DRIVERS'!W15</f>
        <v>0</v>
      </c>
      <c r="X16" s="9">
        <f>'QTR P&amp;L'!AA2*'BS DRIVERS'!X15</f>
        <v>0</v>
      </c>
      <c r="Y16" s="9">
        <f>'QTR P&amp;L'!AB2*'BS DRIVERS'!Y15</f>
        <v>0</v>
      </c>
      <c r="Z16" s="9">
        <f>'QTR P&amp;L'!AC2*'BS DRIVERS'!Z15</f>
        <v>0</v>
      </c>
      <c r="AA16" s="9">
        <f>'QTR P&amp;L'!AD2*'BS DRIVERS'!AA15</f>
        <v>0</v>
      </c>
      <c r="AB16" s="9">
        <f>'QTR P&amp;L'!AE2*'BS DRIVERS'!AB15</f>
        <v>0</v>
      </c>
      <c r="AC16" s="9">
        <f>'QTR P&amp;L'!AF2*'BS DRIVERS'!AC15</f>
        <v>0</v>
      </c>
      <c r="AD16" s="9">
        <f>'QTR P&amp;L'!AG2*'BS DRIVERS'!AD15</f>
        <v>0</v>
      </c>
      <c r="AE16" s="9">
        <f>'QTR P&amp;L'!AH2*'BS DRIVERS'!AE15</f>
        <v>0</v>
      </c>
      <c r="AF16" s="9">
        <f>'QTR P&amp;L'!AI2*'BS DRIVERS'!AF15</f>
        <v>0</v>
      </c>
      <c r="AG16" s="9">
        <f>'QTR P&amp;L'!AJ2*'BS DRIVERS'!AG15</f>
        <v>0</v>
      </c>
      <c r="AH16" s="9">
        <f>'QTR P&amp;L'!AK2*'BS DRIVERS'!AH15</f>
        <v>0</v>
      </c>
      <c r="AI16" s="9">
        <f>'QTR P&amp;L'!AL2*'BS DRIVERS'!AI15</f>
        <v>0</v>
      </c>
      <c r="AJ16" s="9">
        <f>'QTR P&amp;L'!AM2*'BS DRIVERS'!AJ15</f>
        <v>0</v>
      </c>
      <c r="AK16" s="9">
        <f>'QTR P&amp;L'!AN2*'BS DRIVERS'!AK15</f>
        <v>0</v>
      </c>
      <c r="AL16" s="9">
        <f>'QTR P&amp;L'!AO2*'BS DRIVERS'!AL15</f>
        <v>0</v>
      </c>
      <c r="AM16" s="9">
        <f>'QTR P&amp;L'!AP2*'BS DRIVERS'!AM15</f>
        <v>0</v>
      </c>
    </row>
    <row r="17" spans="1:39" x14ac:dyDescent="0.3">
      <c r="A17" s="3" t="s">
        <v>46</v>
      </c>
      <c r="B17" s="4">
        <f>'YTD BS'!C17</f>
        <v>112456</v>
      </c>
      <c r="C17" s="4">
        <f>'YTD BS'!D17</f>
        <v>308449</v>
      </c>
      <c r="D17" s="4">
        <f>'YTD BS'!F17</f>
        <v>293</v>
      </c>
      <c r="E17" s="4">
        <f>'YTD BS'!G17</f>
        <v>264</v>
      </c>
      <c r="F17" s="4">
        <f>'YTD BS'!H17</f>
        <v>242</v>
      </c>
      <c r="G17" s="4">
        <f>'BALANCE SHEET'!B17</f>
        <v>263</v>
      </c>
      <c r="H17" s="4">
        <f>'YTD BS'!J17</f>
        <v>263</v>
      </c>
      <c r="I17" s="4">
        <f>'YTD BS'!K17</f>
        <v>254</v>
      </c>
      <c r="J17" s="4">
        <f>'YTD BS'!L17</f>
        <v>265</v>
      </c>
      <c r="K17" s="4">
        <f>'BALANCE SHEET'!C17</f>
        <v>291</v>
      </c>
      <c r="L17" s="4">
        <f>'YTD BS'!N17</f>
        <v>7963</v>
      </c>
      <c r="M17" s="4">
        <f>'YTD BS'!O17</f>
        <v>6653</v>
      </c>
      <c r="N17" s="4">
        <f>'YTD BS'!P17</f>
        <v>8594</v>
      </c>
      <c r="O17" s="4">
        <f>'BALANCE SHEET'!D17</f>
        <v>8154</v>
      </c>
      <c r="P17" s="4">
        <f>'YTD BS'!R17</f>
        <v>14717</v>
      </c>
      <c r="Q17" s="4">
        <f>'YTD BS'!S17</f>
        <v>36755</v>
      </c>
      <c r="R17" s="4">
        <f>'YTD BS'!T17</f>
        <v>35809</v>
      </c>
      <c r="S17" s="4">
        <f>'BALANCE SHEET'!E17</f>
        <v>43434</v>
      </c>
      <c r="T17" s="9">
        <f>'QTR P&amp;L'!W2*'BS DRIVERS'!T16</f>
        <v>43225.667077641061</v>
      </c>
      <c r="U17" s="9">
        <f>'QTR P&amp;L'!X2*'BS DRIVERS'!U16</f>
        <v>43018.333432496715</v>
      </c>
      <c r="V17" s="9">
        <f>'QTR P&amp;L'!Y2*'BS DRIVERS'!V16</f>
        <v>42811.994271493735</v>
      </c>
      <c r="W17" s="9">
        <f>'QTR P&amp;L'!Z2*'BS DRIVERS'!W16</f>
        <v>42606.644824549076</v>
      </c>
      <c r="X17" s="9">
        <f>'QTR P&amp;L'!AA2*'BS DRIVERS'!X16</f>
        <v>42402.280344459563</v>
      </c>
      <c r="Y17" s="9">
        <f>'QTR P&amp;L'!AB2*'BS DRIVERS'!Y16</f>
        <v>42198.896106792206</v>
      </c>
      <c r="Z17" s="9">
        <f>'QTR P&amp;L'!AC2*'BS DRIVERS'!Z16</f>
        <v>41996.487409774905</v>
      </c>
      <c r="AA17" s="9">
        <f>'QTR P&amp;L'!AD2*'BS DRIVERS'!AA16</f>
        <v>41795.04957418784</v>
      </c>
      <c r="AB17" s="9">
        <f>'QTR P&amp;L'!AE2*'BS DRIVERS'!AB16</f>
        <v>41594.577943255223</v>
      </c>
      <c r="AC17" s="9">
        <f>'QTR P&amp;L'!AF2*'BS DRIVERS'!AC16</f>
        <v>41395.067882537696</v>
      </c>
      <c r="AD17" s="9">
        <f>'QTR P&amp;L'!AG2*'BS DRIVERS'!AD16</f>
        <v>41196.514779825178</v>
      </c>
      <c r="AE17" s="9">
        <f>'QTR P&amp;L'!AH2*'BS DRIVERS'!AE16</f>
        <v>40998.914045030215</v>
      </c>
      <c r="AF17" s="9">
        <f>'QTR P&amp;L'!AI2*'BS DRIVERS'!AF16</f>
        <v>40802.261110081927</v>
      </c>
      <c r="AG17" s="9">
        <f>'QTR P&amp;L'!AJ2*'BS DRIVERS'!AG16</f>
        <v>40606.551428820334</v>
      </c>
      <c r="AH17" s="9">
        <f>'QTR P&amp;L'!AK2*'BS DRIVERS'!AH16</f>
        <v>40411.780476891327</v>
      </c>
      <c r="AI17" s="9">
        <f>'QTR P&amp;L'!AL2*'BS DRIVERS'!AI16</f>
        <v>40217.943751642008</v>
      </c>
      <c r="AJ17" s="9">
        <f>'QTR P&amp;L'!AM2*'BS DRIVERS'!AJ16</f>
        <v>40025.036772016669</v>
      </c>
      <c r="AK17" s="9">
        <f>'QTR P&amp;L'!AN2*'BS DRIVERS'!AK16</f>
        <v>39833.055078453144</v>
      </c>
      <c r="AL17" s="9">
        <f>'QTR P&amp;L'!AO2*'BS DRIVERS'!AL16</f>
        <v>39641.994232779733</v>
      </c>
      <c r="AM17" s="9">
        <f>'QTR P&amp;L'!AP2*'BS DRIVERS'!AM16</f>
        <v>39451.849818112627</v>
      </c>
    </row>
    <row r="18" spans="1:39" x14ac:dyDescent="0.3">
      <c r="A18" s="3" t="s">
        <v>47</v>
      </c>
      <c r="B18" s="6">
        <f>'YTD BS'!C18</f>
        <v>241548125</v>
      </c>
      <c r="C18" s="6">
        <f>'YTD BS'!D18</f>
        <v>294978175</v>
      </c>
      <c r="D18" s="6">
        <f>'YTD BS'!F18</f>
        <v>343924</v>
      </c>
      <c r="E18" s="6">
        <f>'YTD BS'!G18</f>
        <v>349638</v>
      </c>
      <c r="F18" s="6">
        <f>'YTD BS'!H18</f>
        <v>1327649</v>
      </c>
      <c r="G18" s="6">
        <f>'BALANCE SHEET'!B18</f>
        <v>1222069</v>
      </c>
      <c r="H18" s="6">
        <f>'YTD BS'!J18</f>
        <v>1292271</v>
      </c>
      <c r="I18" s="6">
        <f>'YTD BS'!K18</f>
        <v>1399249</v>
      </c>
      <c r="J18" s="6">
        <f>'YTD BS'!L18</f>
        <v>1545618</v>
      </c>
      <c r="K18" s="6">
        <f>'BALANCE SHEET'!C18</f>
        <v>1536396</v>
      </c>
      <c r="L18" s="6">
        <f>'YTD BS'!N18</f>
        <v>1646140</v>
      </c>
      <c r="M18" s="6">
        <f>'YTD BS'!O18</f>
        <v>1718888</v>
      </c>
      <c r="N18" s="6">
        <f>'YTD BS'!P18</f>
        <v>1704323</v>
      </c>
      <c r="O18" s="6">
        <f>'BALANCE SHEET'!D18</f>
        <v>1766881</v>
      </c>
      <c r="P18" s="6">
        <f>'YTD BS'!R18</f>
        <v>1859518</v>
      </c>
      <c r="Q18" s="6">
        <f>'YTD BS'!S18</f>
        <v>3795143</v>
      </c>
      <c r="R18" s="6">
        <f>'YTD BS'!T18</f>
        <v>5265708</v>
      </c>
      <c r="S18" s="6">
        <f>'BALANCE SHEET'!E18</f>
        <v>5119621</v>
      </c>
      <c r="T18" s="7">
        <f t="shared" ref="T18:AM18" si="1">T8+SUM(T9:T17)</f>
        <v>5097127.6444961149</v>
      </c>
      <c r="U18" s="7">
        <f t="shared" si="1"/>
        <v>5074674.6823615339</v>
      </c>
      <c r="V18" s="7">
        <f t="shared" si="1"/>
        <v>5052261.9198478414</v>
      </c>
      <c r="W18" s="7">
        <f t="shared" si="1"/>
        <v>5029889.1641359441</v>
      </c>
      <c r="X18" s="7">
        <f t="shared" si="1"/>
        <v>5007556.2233316144</v>
      </c>
      <c r="Y18" s="7">
        <f t="shared" si="1"/>
        <v>4985262.9064610498</v>
      </c>
      <c r="Z18" s="7">
        <f t="shared" si="1"/>
        <v>4963009.0234664641</v>
      </c>
      <c r="AA18" s="7">
        <f t="shared" si="1"/>
        <v>4940794.3852016926</v>
      </c>
      <c r="AB18" s="7">
        <f t="shared" si="1"/>
        <v>4918618.8034278117</v>
      </c>
      <c r="AC18" s="7">
        <f t="shared" si="1"/>
        <v>4896482.0908087986</v>
      </c>
      <c r="AD18" s="7">
        <f t="shared" si="1"/>
        <v>4874384.0609071944</v>
      </c>
      <c r="AE18" s="7">
        <f t="shared" si="1"/>
        <v>4852324.5281797918</v>
      </c>
      <c r="AF18" s="7">
        <f t="shared" si="1"/>
        <v>4830303.3079733541</v>
      </c>
      <c r="AG18" s="7">
        <f t="shared" si="1"/>
        <v>4808320.2165203374</v>
      </c>
      <c r="AH18" s="7">
        <f t="shared" si="1"/>
        <v>4786375.0709346468</v>
      </c>
      <c r="AI18" s="7">
        <f t="shared" si="1"/>
        <v>4764467.6892074086</v>
      </c>
      <c r="AJ18" s="7">
        <f t="shared" si="1"/>
        <v>4742597.8902027616</v>
      </c>
      <c r="AK18" s="7">
        <f t="shared" si="1"/>
        <v>4720765.49365367</v>
      </c>
      <c r="AL18" s="7">
        <f t="shared" si="1"/>
        <v>4698970.320157758</v>
      </c>
      <c r="AM18" s="7">
        <f t="shared" si="1"/>
        <v>4677212.1911731558</v>
      </c>
    </row>
    <row r="19" spans="1:39" x14ac:dyDescent="0.3">
      <c r="A19" s="3" t="s">
        <v>48</v>
      </c>
      <c r="B19" s="4">
        <f>'YTD BS'!C19</f>
        <v>52992075</v>
      </c>
      <c r="C19" s="4">
        <f>'YTD BS'!D19</f>
        <v>91931593</v>
      </c>
      <c r="D19" s="4">
        <f>'YTD BS'!F19</f>
        <v>109307</v>
      </c>
      <c r="E19" s="4">
        <f>'YTD BS'!G19</f>
        <v>102416</v>
      </c>
      <c r="F19" s="4">
        <f>'YTD BS'!H19</f>
        <v>143947</v>
      </c>
      <c r="G19" s="4">
        <f>'BALANCE SHEET'!B19</f>
        <v>36248</v>
      </c>
      <c r="H19" s="4">
        <f>'YTD BS'!J19</f>
        <v>107112</v>
      </c>
      <c r="I19" s="4">
        <f>'YTD BS'!K19</f>
        <v>94313</v>
      </c>
      <c r="J19" s="4">
        <f>'YTD BS'!L19</f>
        <v>121088</v>
      </c>
      <c r="K19" s="4">
        <f>'BALANCE SHEET'!C19</f>
        <v>42840</v>
      </c>
      <c r="L19" s="4">
        <f>'YTD BS'!N19</f>
        <v>40196</v>
      </c>
      <c r="M19" s="4">
        <f>'YTD BS'!O19</f>
        <v>47423</v>
      </c>
      <c r="N19" s="4">
        <f>'YTD BS'!P19</f>
        <v>30938</v>
      </c>
      <c r="O19" s="4">
        <f>'BALANCE SHEET'!D19</f>
        <v>41287</v>
      </c>
      <c r="P19" s="4">
        <f>'YTD BS'!R19</f>
        <v>61052</v>
      </c>
      <c r="Q19" s="4">
        <f>'YTD BS'!S19</f>
        <v>120962</v>
      </c>
      <c r="R19" s="4">
        <f>'YTD BS'!T19</f>
        <v>97794</v>
      </c>
      <c r="S19" s="4">
        <f>'BALANCE SHEET'!E19</f>
        <v>137930</v>
      </c>
      <c r="T19" s="9">
        <f>'QTR P&amp;L'!W3*'BS DRIVERS'!T17/ASSUMPTIONS!$B$2</f>
        <v>137268.4132251009</v>
      </c>
      <c r="U19" s="9">
        <f>'QTR P&amp;L'!X3*'BS DRIVERS'!U17/ASSUMPTIONS!$B$2</f>
        <v>136609.99977769196</v>
      </c>
      <c r="V19" s="9">
        <f>'QTR P&amp;L'!Y3*'BS DRIVERS'!V17/ASSUMPTIONS!$B$2</f>
        <v>135954.74443678066</v>
      </c>
      <c r="W19" s="9">
        <f>'QTR P&amp;L'!Z3*'BS DRIVERS'!W17/ASSUMPTIONS!$B$2</f>
        <v>135302.63205438259</v>
      </c>
      <c r="X19" s="9">
        <f>'QTR P&amp;L'!AA3*'BS DRIVERS'!X17/ASSUMPTIONS!$B$2</f>
        <v>134653.64755517125</v>
      </c>
      <c r="Y19" s="9">
        <f>'QTR P&amp;L'!AB3*'BS DRIVERS'!Y17/ASSUMPTIONS!$B$2</f>
        <v>134007.7759361295</v>
      </c>
      <c r="Z19" s="9">
        <f>'QTR P&amp;L'!AC3*'BS DRIVERS'!Z17/ASSUMPTIONS!$B$2</f>
        <v>133365.00226620282</v>
      </c>
      <c r="AA19" s="9">
        <f>'QTR P&amp;L'!AD3*'BS DRIVERS'!AA17/ASSUMPTIONS!$B$2</f>
        <v>132725.31168595408</v>
      </c>
      <c r="AB19" s="9">
        <f>'QTR P&amp;L'!AE3*'BS DRIVERS'!AB17/ASSUMPTIONS!$B$2</f>
        <v>132088.68940721999</v>
      </c>
      <c r="AC19" s="9">
        <f>'QTR P&amp;L'!AF3*'BS DRIVERS'!AC17/ASSUMPTIONS!$B$2</f>
        <v>131455.12071276939</v>
      </c>
      <c r="AD19" s="9">
        <f>'QTR P&amp;L'!AG3*'BS DRIVERS'!AD17/ASSUMPTIONS!$B$2</f>
        <v>130824.59095596276</v>
      </c>
      <c r="AE19" s="9">
        <f>'QTR P&amp;L'!AH3*'BS DRIVERS'!AE17/ASSUMPTIONS!$B$2</f>
        <v>130197.08556041392</v>
      </c>
      <c r="AF19" s="9">
        <f>'QTR P&amp;L'!AI3*'BS DRIVERS'!AF17/ASSUMPTIONS!$B$2</f>
        <v>129572.59001965282</v>
      </c>
      <c r="AG19" s="9">
        <f>'QTR P&amp;L'!AJ3*'BS DRIVERS'!AG17/ASSUMPTIONS!$B$2</f>
        <v>128951.08989679029</v>
      </c>
      <c r="AH19" s="9">
        <f>'QTR P&amp;L'!AK3*'BS DRIVERS'!AH17/ASSUMPTIONS!$B$2</f>
        <v>128332.57082418428</v>
      </c>
      <c r="AI19" s="9">
        <f>'QTR P&amp;L'!AL3*'BS DRIVERS'!AI17/ASSUMPTIONS!$B$2</f>
        <v>127717.01850310777</v>
      </c>
      <c r="AJ19" s="9">
        <f>'QTR P&amp;L'!AM3*'BS DRIVERS'!AJ17/ASSUMPTIONS!$B$2</f>
        <v>127104.41870341804</v>
      </c>
      <c r="AK19" s="9">
        <f>'QTR P&amp;L'!AN3*'BS DRIVERS'!AK17/ASSUMPTIONS!$B$2</f>
        <v>126494.75726322793</v>
      </c>
      <c r="AL19" s="9">
        <f>'QTR P&amp;L'!AO3*'BS DRIVERS'!AL17/ASSUMPTIONS!$B$2</f>
        <v>125888.0200885783</v>
      </c>
      <c r="AM19" s="9">
        <f>'QTR P&amp;L'!AP3*'BS DRIVERS'!AM17/ASSUMPTIONS!$B$2</f>
        <v>125284.19315311221</v>
      </c>
    </row>
    <row r="20" spans="1:39" x14ac:dyDescent="0.3">
      <c r="A20" s="3" t="s">
        <v>49</v>
      </c>
      <c r="B20" s="4">
        <f>'YTD BS'!C20</f>
        <v>0</v>
      </c>
      <c r="C20" s="4">
        <f>'YTD BS'!D20</f>
        <v>0</v>
      </c>
      <c r="D20" s="4">
        <f>'YTD BS'!F20</f>
        <v>0</v>
      </c>
      <c r="E20" s="4">
        <f>'YTD BS'!G20</f>
        <v>0</v>
      </c>
      <c r="F20" s="4">
        <f>'YTD BS'!H20</f>
        <v>0</v>
      </c>
      <c r="G20" s="4">
        <f>'BALANCE SHEET'!B20</f>
        <v>69899</v>
      </c>
      <c r="H20" s="4">
        <f>'YTD BS'!J20</f>
        <v>0</v>
      </c>
      <c r="I20" s="4">
        <f>'YTD BS'!K20</f>
        <v>0</v>
      </c>
      <c r="J20" s="4">
        <f>'YTD BS'!L20</f>
        <v>0</v>
      </c>
      <c r="K20" s="4">
        <f>'BALANCE SHEET'!C20</f>
        <v>62120</v>
      </c>
      <c r="L20" s="4">
        <f>'YTD BS'!N20</f>
        <v>63871</v>
      </c>
      <c r="M20" s="4">
        <f>'YTD BS'!O20</f>
        <v>79633</v>
      </c>
      <c r="N20" s="4">
        <f>'YTD BS'!P20</f>
        <v>73024</v>
      </c>
      <c r="O20" s="4">
        <f>'BALANCE SHEET'!D20</f>
        <v>148780</v>
      </c>
      <c r="P20" s="4">
        <f>'YTD BS'!R20</f>
        <v>152046</v>
      </c>
      <c r="Q20" s="4">
        <f>'YTD BS'!S20</f>
        <v>225859</v>
      </c>
      <c r="R20" s="4">
        <f>'YTD BS'!T20</f>
        <v>311768</v>
      </c>
      <c r="S20" s="4">
        <f>'BALANCE SHEET'!E20</f>
        <v>230721</v>
      </c>
      <c r="T20" s="9">
        <f>'QTR P&amp;L'!W2*'BS DRIVERS'!T18</f>
        <v>229614.33747341766</v>
      </c>
      <c r="U20" s="9">
        <f>'QTR P&amp;L'!X2*'BS DRIVERS'!U18</f>
        <v>228512.98309801248</v>
      </c>
      <c r="V20" s="9">
        <f>'QTR P&amp;L'!Y2*'BS DRIVERS'!V18</f>
        <v>227416.9114130245</v>
      </c>
      <c r="W20" s="9">
        <f>'QTR P&amp;L'!Z2*'BS DRIVERS'!W18</f>
        <v>226326.09707981735</v>
      </c>
      <c r="X20" s="9">
        <f>'QTR P&amp;L'!AA2*'BS DRIVERS'!X18</f>
        <v>225240.51488129242</v>
      </c>
      <c r="Y20" s="9">
        <f>'QTR P&amp;L'!AB2*'BS DRIVERS'!Y18</f>
        <v>224160.13972130598</v>
      </c>
      <c r="Z20" s="9">
        <f>'QTR P&amp;L'!AC2*'BS DRIVERS'!Z18</f>
        <v>223084.94662408886</v>
      </c>
      <c r="AA20" s="9">
        <f>'QTR P&amp;L'!AD2*'BS DRIVERS'!AA18</f>
        <v>222014.9107336693</v>
      </c>
      <c r="AB20" s="9">
        <f>'QTR P&amp;L'!AE2*'BS DRIVERS'!AB18</f>
        <v>220950.00731329806</v>
      </c>
      <c r="AC20" s="9">
        <f>'QTR P&amp;L'!AF2*'BS DRIVERS'!AC18</f>
        <v>219890.21174487681</v>
      </c>
      <c r="AD20" s="9">
        <f>'QTR P&amp;L'!AG2*'BS DRIVERS'!AD18</f>
        <v>218835.49952838893</v>
      </c>
      <c r="AE20" s="9">
        <f>'QTR P&amp;L'!AH2*'BS DRIVERS'!AE18</f>
        <v>217785.84628133298</v>
      </c>
      <c r="AF20" s="9">
        <f>'QTR P&amp;L'!AI2*'BS DRIVERS'!AF18</f>
        <v>216741.2277381593</v>
      </c>
      <c r="AG20" s="9">
        <f>'QTR P&amp;L'!AJ2*'BS DRIVERS'!AG18</f>
        <v>215701.61974970892</v>
      </c>
      <c r="AH20" s="9">
        <f>'QTR P&amp;L'!AK2*'BS DRIVERS'!AH18</f>
        <v>214666.99828265514</v>
      </c>
      <c r="AI20" s="9">
        <f>'QTR P&amp;L'!AL2*'BS DRIVERS'!AI18</f>
        <v>213637.33941894819</v>
      </c>
      <c r="AJ20" s="9">
        <f>'QTR P&amp;L'!AM2*'BS DRIVERS'!AJ18</f>
        <v>212612.61935526217</v>
      </c>
      <c r="AK20" s="9">
        <f>'QTR P&amp;L'!AN2*'BS DRIVERS'!AK18</f>
        <v>211592.81440244478</v>
      </c>
      <c r="AL20" s="9">
        <f>'QTR P&amp;L'!AO2*'BS DRIVERS'!AL18</f>
        <v>210577.90098496969</v>
      </c>
      <c r="AM20" s="9">
        <f>'QTR P&amp;L'!AP2*'BS DRIVERS'!AM18</f>
        <v>209567.85564039147</v>
      </c>
    </row>
    <row r="21" spans="1:39" x14ac:dyDescent="0.3">
      <c r="A21" s="3" t="s">
        <v>50</v>
      </c>
      <c r="B21" s="4">
        <f>'YTD BS'!C21</f>
        <v>0</v>
      </c>
      <c r="C21" s="4">
        <f>'YTD BS'!D21</f>
        <v>0</v>
      </c>
      <c r="D21" s="4">
        <f>'YTD BS'!F21</f>
        <v>0</v>
      </c>
      <c r="E21" s="4">
        <f>'YTD BS'!G21</f>
        <v>0</v>
      </c>
      <c r="F21" s="4">
        <f>'YTD BS'!H21</f>
        <v>0</v>
      </c>
      <c r="G21" s="4">
        <f>'BALANCE SHEET'!B21</f>
        <v>1193</v>
      </c>
      <c r="H21" s="4">
        <f>'YTD BS'!J21</f>
        <v>0</v>
      </c>
      <c r="I21" s="4">
        <f>'YTD BS'!K21</f>
        <v>58798</v>
      </c>
      <c r="J21" s="4">
        <f>'YTD BS'!L21</f>
        <v>58855</v>
      </c>
      <c r="K21" s="4">
        <f>'BALANCE SHEET'!C21</f>
        <v>50424</v>
      </c>
      <c r="L21" s="4">
        <f>'YTD BS'!N21</f>
        <v>58619</v>
      </c>
      <c r="M21" s="4">
        <f>'YTD BS'!O21</f>
        <v>5374</v>
      </c>
      <c r="N21" s="4">
        <f>'YTD BS'!P21</f>
        <v>739</v>
      </c>
      <c r="O21" s="4">
        <f>'BALANCE SHEET'!D21</f>
        <v>10834</v>
      </c>
      <c r="P21" s="4">
        <f>'YTD BS'!R21</f>
        <v>26206</v>
      </c>
      <c r="Q21" s="4">
        <f>'YTD BS'!S21</f>
        <v>21765</v>
      </c>
      <c r="R21" s="4">
        <f>'YTD BS'!T21</f>
        <v>49590</v>
      </c>
      <c r="S21" s="4">
        <f>'BALANCE SHEET'!E21</f>
        <v>49612</v>
      </c>
      <c r="T21" s="9">
        <f>'QTR P&amp;L'!W2*'BS DRIVERS'!T19</f>
        <v>49374.034052952258</v>
      </c>
      <c r="U21" s="9">
        <f>'QTR P&amp;L'!X2*'BS DRIVERS'!U19</f>
        <v>49137.209519110074</v>
      </c>
      <c r="V21" s="9">
        <f>'QTR P&amp;L'!Y2*'BS DRIVERS'!V19</f>
        <v>48901.520923639255</v>
      </c>
      <c r="W21" s="9">
        <f>'QTR P&amp;L'!Z2*'BS DRIVERS'!W19</f>
        <v>48666.962817965847</v>
      </c>
      <c r="X21" s="9">
        <f>'QTR P&amp;L'!AA2*'BS DRIVERS'!X19</f>
        <v>48433.529779650227</v>
      </c>
      <c r="Y21" s="9">
        <f>'QTR P&amp;L'!AB2*'BS DRIVERS'!Y19</f>
        <v>48201.216412261703</v>
      </c>
      <c r="Z21" s="9">
        <f>'QTR P&amp;L'!AC2*'BS DRIVERS'!Z19</f>
        <v>47970.017345253778</v>
      </c>
      <c r="AA21" s="9">
        <f>'QTR P&amp;L'!AD2*'BS DRIVERS'!AA19</f>
        <v>47739.927233840011</v>
      </c>
      <c r="AB21" s="9">
        <f>'QTR P&amp;L'!AE2*'BS DRIVERS'!AB19</f>
        <v>47510.940758870427</v>
      </c>
      <c r="AC21" s="9">
        <f>'QTR P&amp;L'!AF2*'BS DRIVERS'!AC19</f>
        <v>47283.052626708581</v>
      </c>
      <c r="AD21" s="9">
        <f>'QTR P&amp;L'!AG2*'BS DRIVERS'!AD19</f>
        <v>47056.257569109148</v>
      </c>
      <c r="AE21" s="9">
        <f>'QTR P&amp;L'!AH2*'BS DRIVERS'!AE19</f>
        <v>46830.550343096176</v>
      </c>
      <c r="AF21" s="9">
        <f>'QTR P&amp;L'!AI2*'BS DRIVERS'!AF19</f>
        <v>46605.925730841838</v>
      </c>
      <c r="AG21" s="9">
        <f>'QTR P&amp;L'!AJ2*'BS DRIVERS'!AG19</f>
        <v>46382.378539545854</v>
      </c>
      <c r="AH21" s="9">
        <f>'QTR P&amp;L'!AK2*'BS DRIVERS'!AH19</f>
        <v>46159.903601315389</v>
      </c>
      <c r="AI21" s="9">
        <f>'QTR P&amp;L'!AL2*'BS DRIVERS'!AI19</f>
        <v>45938.495773045623</v>
      </c>
      <c r="AJ21" s="9">
        <f>'QTR P&amp;L'!AM2*'BS DRIVERS'!AJ19</f>
        <v>45718.149936300848</v>
      </c>
      <c r="AK21" s="9">
        <f>'QTR P&amp;L'!AN2*'BS DRIVERS'!AK19</f>
        <v>45498.860997196141</v>
      </c>
      <c r="AL21" s="9">
        <f>'QTR P&amp;L'!AO2*'BS DRIVERS'!AL19</f>
        <v>45280.623886279602</v>
      </c>
      <c r="AM21" s="9">
        <f>'QTR P&amp;L'!AP2*'BS DRIVERS'!AM19</f>
        <v>45063.433558415156</v>
      </c>
    </row>
    <row r="22" spans="1:39" x14ac:dyDescent="0.3">
      <c r="A22" s="3" t="s">
        <v>51</v>
      </c>
      <c r="B22" s="4">
        <f>'YTD BS'!C22</f>
        <v>0</v>
      </c>
      <c r="C22" s="4">
        <f>'YTD BS'!D22</f>
        <v>0</v>
      </c>
      <c r="D22" s="4">
        <f>'YTD BS'!F22</f>
        <v>0</v>
      </c>
      <c r="E22" s="4">
        <f>'YTD BS'!G22</f>
        <v>0</v>
      </c>
      <c r="F22" s="4">
        <f>'YTD BS'!H22</f>
        <v>115551</v>
      </c>
      <c r="G22" s="4">
        <f>'BALANCE SHEET'!B22</f>
        <v>3986</v>
      </c>
      <c r="H22" s="4">
        <f>'YTD BS'!J22</f>
        <v>1063</v>
      </c>
      <c r="I22" s="4">
        <f>'YTD BS'!K22</f>
        <v>0</v>
      </c>
      <c r="J22" s="4">
        <f>'YTD BS'!L22</f>
        <v>0</v>
      </c>
      <c r="K22" s="4">
        <f>'BALANCE SHEET'!C22</f>
        <v>0</v>
      </c>
      <c r="L22" s="4">
        <f>'YTD BS'!N22</f>
        <v>0</v>
      </c>
      <c r="M22" s="4">
        <f>'YTD BS'!O22</f>
        <v>0</v>
      </c>
      <c r="N22" s="4">
        <f>'YTD BS'!P22</f>
        <v>0</v>
      </c>
      <c r="O22" s="4">
        <f>'BALANCE SHEET'!D22</f>
        <v>0</v>
      </c>
      <c r="P22" s="4">
        <f>'YTD BS'!R22</f>
        <v>0</v>
      </c>
      <c r="Q22" s="4">
        <f>'YTD BS'!S22</f>
        <v>0</v>
      </c>
      <c r="R22" s="4">
        <f>'YTD BS'!T22</f>
        <v>252953</v>
      </c>
      <c r="S22" s="4">
        <f>'BALANCE SHEET'!E22</f>
        <v>264088</v>
      </c>
      <c r="T22" s="9">
        <f>'BS DRIVERS'!T20</f>
        <v>0</v>
      </c>
      <c r="U22" s="9">
        <f>'BS DRIVERS'!U20</f>
        <v>0</v>
      </c>
      <c r="V22" s="9">
        <f>'BS DRIVERS'!V20</f>
        <v>0</v>
      </c>
      <c r="W22" s="9">
        <f>'BS DRIVERS'!W20</f>
        <v>0</v>
      </c>
      <c r="X22" s="9">
        <f>'BS DRIVERS'!X20</f>
        <v>0</v>
      </c>
      <c r="Y22" s="9">
        <f>'BS DRIVERS'!Y20</f>
        <v>0</v>
      </c>
      <c r="Z22" s="9">
        <f>'BS DRIVERS'!Z20</f>
        <v>0</v>
      </c>
      <c r="AA22" s="9">
        <f>'BS DRIVERS'!AA20</f>
        <v>0</v>
      </c>
      <c r="AB22" s="9">
        <f>'BS DRIVERS'!AB20</f>
        <v>0</v>
      </c>
      <c r="AC22" s="9">
        <f>'BS DRIVERS'!AC20</f>
        <v>0</v>
      </c>
      <c r="AD22" s="9">
        <f>'BS DRIVERS'!AD20</f>
        <v>0</v>
      </c>
      <c r="AE22" s="9">
        <f>'BS DRIVERS'!AE20</f>
        <v>0</v>
      </c>
      <c r="AF22" s="9">
        <f>'BS DRIVERS'!AF20</f>
        <v>0</v>
      </c>
      <c r="AG22" s="9">
        <f>'BS DRIVERS'!AG20</f>
        <v>0</v>
      </c>
      <c r="AH22" s="9">
        <f>'BS DRIVERS'!AH20</f>
        <v>0</v>
      </c>
      <c r="AI22" s="9">
        <f>'BS DRIVERS'!AI20</f>
        <v>0</v>
      </c>
      <c r="AJ22" s="9">
        <f>'BS DRIVERS'!AJ20</f>
        <v>0</v>
      </c>
      <c r="AK22" s="9">
        <f>'BS DRIVERS'!AK20</f>
        <v>0</v>
      </c>
      <c r="AL22" s="9">
        <f>'BS DRIVERS'!AL20</f>
        <v>0</v>
      </c>
      <c r="AM22" s="9">
        <f>'BS DRIVERS'!AM20</f>
        <v>0</v>
      </c>
    </row>
    <row r="23" spans="1:39" x14ac:dyDescent="0.3">
      <c r="A23" s="3" t="s">
        <v>52</v>
      </c>
      <c r="B23" s="4">
        <f>'YTD BS'!C23</f>
        <v>0</v>
      </c>
      <c r="C23" s="4">
        <f>'YTD BS'!D23</f>
        <v>0</v>
      </c>
      <c r="D23" s="4">
        <f>'YTD BS'!F23</f>
        <v>0</v>
      </c>
      <c r="E23" s="4">
        <f>'YTD BS'!G23</f>
        <v>0</v>
      </c>
      <c r="F23" s="4">
        <f>'YTD BS'!H23</f>
        <v>0</v>
      </c>
      <c r="G23" s="4">
        <f>'BALANCE SHEET'!B23</f>
        <v>35977</v>
      </c>
      <c r="H23" s="4">
        <f>'YTD BS'!J23</f>
        <v>68225</v>
      </c>
      <c r="I23" s="4">
        <f>'YTD BS'!K23</f>
        <v>98933</v>
      </c>
      <c r="J23" s="4">
        <f>'YTD BS'!L23</f>
        <v>136557</v>
      </c>
      <c r="K23" s="4">
        <f>'BALANCE SHEET'!C23</f>
        <v>99787</v>
      </c>
      <c r="L23" s="4">
        <f>'YTD BS'!N23</f>
        <v>129201</v>
      </c>
      <c r="M23" s="4">
        <f>'YTD BS'!O23</f>
        <v>156479</v>
      </c>
      <c r="N23" s="4">
        <f>'YTD BS'!P23</f>
        <v>158810</v>
      </c>
      <c r="O23" s="4">
        <f>'BALANCE SHEET'!D23</f>
        <v>135948</v>
      </c>
      <c r="P23" s="4">
        <f>'YTD BS'!R23</f>
        <v>151327</v>
      </c>
      <c r="Q23" s="4">
        <f>'YTD BS'!S23</f>
        <v>200169</v>
      </c>
      <c r="R23" s="4">
        <f>'YTD BS'!T23</f>
        <v>234068</v>
      </c>
      <c r="S23" s="4">
        <f>'BALANCE SHEET'!E23</f>
        <v>307922</v>
      </c>
      <c r="T23" s="9">
        <f>'QTR P&amp;L'!W2*'BS DRIVERS'!T21</f>
        <v>306445.0397817698</v>
      </c>
      <c r="U23" s="9">
        <f>'QTR P&amp;L'!X2*'BS DRIVERS'!U21</f>
        <v>304975.16386244079</v>
      </c>
      <c r="V23" s="9">
        <f>'QTR P&amp;L'!Y2*'BS DRIVERS'!V21</f>
        <v>303512.33826188918</v>
      </c>
      <c r="W23" s="9">
        <f>'QTR P&amp;L'!Z2*'BS DRIVERS'!W21</f>
        <v>302056.52916297829</v>
      </c>
      <c r="X23" s="9">
        <f>'QTR P&amp;L'!AA2*'BS DRIVERS'!X21</f>
        <v>300607.70291077677</v>
      </c>
      <c r="Y23" s="9">
        <f>'QTR P&amp;L'!AB2*'BS DRIVERS'!Y21</f>
        <v>299165.82601178036</v>
      </c>
      <c r="Z23" s="9">
        <f>'QTR P&amp;L'!AC2*'BS DRIVERS'!Z21</f>
        <v>297730.86513313785</v>
      </c>
      <c r="AA23" s="9">
        <f>'QTR P&amp;L'!AD2*'BS DRIVERS'!AA21</f>
        <v>296302.7871018803</v>
      </c>
      <c r="AB23" s="9">
        <f>'QTR P&amp;L'!AE2*'BS DRIVERS'!AB21</f>
        <v>294881.55890415423</v>
      </c>
      <c r="AC23" s="9">
        <f>'QTR P&amp;L'!AF2*'BS DRIVERS'!AC21</f>
        <v>293467.14768445858</v>
      </c>
      <c r="AD23" s="9">
        <f>'QTR P&amp;L'!AG2*'BS DRIVERS'!AD21</f>
        <v>292059.52074488485</v>
      </c>
      <c r="AE23" s="9">
        <f>'QTR P&amp;L'!AH2*'BS DRIVERS'!AE21</f>
        <v>290658.64554436144</v>
      </c>
      <c r="AF23" s="9">
        <f>'QTR P&amp;L'!AI2*'BS DRIVERS'!AF21</f>
        <v>289264.4896979013</v>
      </c>
      <c r="AG23" s="9">
        <f>'QTR P&amp;L'!AJ2*'BS DRIVERS'!AG21</f>
        <v>287877.02097585337</v>
      </c>
      <c r="AH23" s="9">
        <f>'QTR P&amp;L'!AK2*'BS DRIVERS'!AH21</f>
        <v>286496.20730315719</v>
      </c>
      <c r="AI23" s="9">
        <f>'QTR P&amp;L'!AL2*'BS DRIVERS'!AI21</f>
        <v>285122.01675860182</v>
      </c>
      <c r="AJ23" s="9">
        <f>'QTR P&amp;L'!AM2*'BS DRIVERS'!AJ21</f>
        <v>283754.41757408751</v>
      </c>
      <c r="AK23" s="9">
        <f>'QTR P&amp;L'!AN2*'BS DRIVERS'!AK21</f>
        <v>282393.37813389162</v>
      </c>
      <c r="AL23" s="9">
        <f>'QTR P&amp;L'!AO2*'BS DRIVERS'!AL21</f>
        <v>281038.86697393749</v>
      </c>
      <c r="AM23" s="9">
        <f>'QTR P&amp;L'!AP2*'BS DRIVERS'!AM21</f>
        <v>279690.85278106731</v>
      </c>
    </row>
    <row r="24" spans="1:39" x14ac:dyDescent="0.3">
      <c r="A24" s="3" t="s">
        <v>53</v>
      </c>
      <c r="B24" s="4">
        <f>'YTD BS'!C24</f>
        <v>318142</v>
      </c>
      <c r="C24" s="4">
        <f>'YTD BS'!D24</f>
        <v>376602</v>
      </c>
      <c r="D24" s="4">
        <f>'YTD BS'!F24</f>
        <v>569</v>
      </c>
      <c r="E24" s="4">
        <f>'YTD BS'!G24</f>
        <v>556</v>
      </c>
      <c r="F24" s="4">
        <f>'YTD BS'!H24</f>
        <v>663</v>
      </c>
      <c r="G24" s="4">
        <f>'BALANCE SHEET'!B24</f>
        <v>661</v>
      </c>
      <c r="H24" s="4">
        <f>'YTD BS'!J24</f>
        <v>605</v>
      </c>
      <c r="I24" s="4">
        <f>'YTD BS'!K24</f>
        <v>505</v>
      </c>
      <c r="J24" s="4">
        <f>'YTD BS'!L24</f>
        <v>628</v>
      </c>
      <c r="K24" s="4">
        <f>'BALANCE SHEET'!C24</f>
        <v>980</v>
      </c>
      <c r="L24" s="4">
        <f>'YTD BS'!N24</f>
        <v>821</v>
      </c>
      <c r="M24" s="4">
        <f>'YTD BS'!O24</f>
        <v>729</v>
      </c>
      <c r="N24" s="4">
        <f>'YTD BS'!P24</f>
        <v>1358</v>
      </c>
      <c r="O24" s="4">
        <f>'BALANCE SHEET'!D24</f>
        <v>3265</v>
      </c>
      <c r="P24" s="4">
        <f>'YTD BS'!R24</f>
        <v>3550</v>
      </c>
      <c r="Q24" s="4">
        <f>'YTD BS'!S24</f>
        <v>0</v>
      </c>
      <c r="R24" s="4">
        <f>'YTD BS'!T24</f>
        <v>0</v>
      </c>
      <c r="S24" s="4">
        <f>'BALANCE SHEET'!E24</f>
        <v>0</v>
      </c>
      <c r="T24" s="9">
        <f>'QTR P&amp;L'!W2*'BS DRIVERS'!T22</f>
        <v>0</v>
      </c>
      <c r="U24" s="9">
        <f>'QTR P&amp;L'!X2*'BS DRIVERS'!U22</f>
        <v>0</v>
      </c>
      <c r="V24" s="9">
        <f>'QTR P&amp;L'!Y2*'BS DRIVERS'!V22</f>
        <v>0</v>
      </c>
      <c r="W24" s="9">
        <f>'QTR P&amp;L'!Z2*'BS DRIVERS'!W22</f>
        <v>0</v>
      </c>
      <c r="X24" s="9">
        <f>'QTR P&amp;L'!AA2*'BS DRIVERS'!X22</f>
        <v>0</v>
      </c>
      <c r="Y24" s="9">
        <f>'QTR P&amp;L'!AB2*'BS DRIVERS'!Y22</f>
        <v>0</v>
      </c>
      <c r="Z24" s="9">
        <f>'QTR P&amp;L'!AC2*'BS DRIVERS'!Z22</f>
        <v>0</v>
      </c>
      <c r="AA24" s="9">
        <f>'QTR P&amp;L'!AD2*'BS DRIVERS'!AA22</f>
        <v>0</v>
      </c>
      <c r="AB24" s="9">
        <f>'QTR P&amp;L'!AE2*'BS DRIVERS'!AB22</f>
        <v>0</v>
      </c>
      <c r="AC24" s="9">
        <f>'QTR P&amp;L'!AF2*'BS DRIVERS'!AC22</f>
        <v>0</v>
      </c>
      <c r="AD24" s="9">
        <f>'QTR P&amp;L'!AG2*'BS DRIVERS'!AD22</f>
        <v>0</v>
      </c>
      <c r="AE24" s="9">
        <f>'QTR P&amp;L'!AH2*'BS DRIVERS'!AE22</f>
        <v>0</v>
      </c>
      <c r="AF24" s="9">
        <f>'QTR P&amp;L'!AI2*'BS DRIVERS'!AF22</f>
        <v>0</v>
      </c>
      <c r="AG24" s="9">
        <f>'QTR P&amp;L'!AJ2*'BS DRIVERS'!AG22</f>
        <v>0</v>
      </c>
      <c r="AH24" s="9">
        <f>'QTR P&amp;L'!AK2*'BS DRIVERS'!AH22</f>
        <v>0</v>
      </c>
      <c r="AI24" s="9">
        <f>'QTR P&amp;L'!AL2*'BS DRIVERS'!AI22</f>
        <v>0</v>
      </c>
      <c r="AJ24" s="9">
        <f>'QTR P&amp;L'!AM2*'BS DRIVERS'!AJ22</f>
        <v>0</v>
      </c>
      <c r="AK24" s="9">
        <f>'QTR P&amp;L'!AN2*'BS DRIVERS'!AK22</f>
        <v>0</v>
      </c>
      <c r="AL24" s="9">
        <f>'QTR P&amp;L'!AO2*'BS DRIVERS'!AL22</f>
        <v>0</v>
      </c>
      <c r="AM24" s="9">
        <f>'QTR P&amp;L'!AP2*'BS DRIVERS'!AM22</f>
        <v>0</v>
      </c>
    </row>
    <row r="25" spans="1:39" x14ac:dyDescent="0.3">
      <c r="A25" s="3" t="s">
        <v>54</v>
      </c>
      <c r="B25" s="4">
        <f>'YTD BS'!C25</f>
        <v>191753</v>
      </c>
      <c r="C25" s="4">
        <f>'YTD BS'!D25</f>
        <v>155508</v>
      </c>
      <c r="D25" s="4">
        <f>'YTD BS'!F25</f>
        <v>141</v>
      </c>
      <c r="E25" s="4">
        <f>'YTD BS'!G25</f>
        <v>101</v>
      </c>
      <c r="F25" s="4">
        <f>'YTD BS'!H25</f>
        <v>95</v>
      </c>
      <c r="G25" s="4">
        <f>'BALANCE SHEET'!B25</f>
        <v>70</v>
      </c>
      <c r="H25" s="4">
        <f>'YTD BS'!J25</f>
        <v>69</v>
      </c>
      <c r="I25" s="4">
        <f>'YTD BS'!K25</f>
        <v>67</v>
      </c>
      <c r="J25" s="4">
        <f>'YTD BS'!L25</f>
        <v>63</v>
      </c>
      <c r="K25" s="4">
        <f>'BALANCE SHEET'!C25</f>
        <v>59</v>
      </c>
      <c r="L25" s="4">
        <f>'YTD BS'!N25</f>
        <v>61</v>
      </c>
      <c r="M25" s="4">
        <f>'YTD BS'!O25</f>
        <v>61</v>
      </c>
      <c r="N25" s="4">
        <f>'YTD BS'!P25</f>
        <v>99</v>
      </c>
      <c r="O25" s="4">
        <f>'BALANCE SHEET'!D25</f>
        <v>100</v>
      </c>
      <c r="P25" s="4">
        <f>'YTD BS'!R25</f>
        <v>0</v>
      </c>
      <c r="Q25" s="4">
        <f>'YTD BS'!S25</f>
        <v>0</v>
      </c>
      <c r="R25" s="4">
        <f>'YTD BS'!T25</f>
        <v>0</v>
      </c>
      <c r="S25" s="4">
        <f>'BALANCE SHEET'!E25</f>
        <v>0</v>
      </c>
      <c r="T25" s="9">
        <f>'QTR P&amp;L'!W2*'BS DRIVERS'!T23</f>
        <v>0</v>
      </c>
      <c r="U25" s="9">
        <f>'QTR P&amp;L'!X2*'BS DRIVERS'!U23</f>
        <v>0</v>
      </c>
      <c r="V25" s="9">
        <f>'QTR P&amp;L'!Y2*'BS DRIVERS'!V23</f>
        <v>0</v>
      </c>
      <c r="W25" s="9">
        <f>'QTR P&amp;L'!Z2*'BS DRIVERS'!W23</f>
        <v>0</v>
      </c>
      <c r="X25" s="9">
        <f>'QTR P&amp;L'!AA2*'BS DRIVERS'!X23</f>
        <v>0</v>
      </c>
      <c r="Y25" s="9">
        <f>'QTR P&amp;L'!AB2*'BS DRIVERS'!Y23</f>
        <v>0</v>
      </c>
      <c r="Z25" s="9">
        <f>'QTR P&amp;L'!AC2*'BS DRIVERS'!Z23</f>
        <v>0</v>
      </c>
      <c r="AA25" s="9">
        <f>'QTR P&amp;L'!AD2*'BS DRIVERS'!AA23</f>
        <v>0</v>
      </c>
      <c r="AB25" s="9">
        <f>'QTR P&amp;L'!AE2*'BS DRIVERS'!AB23</f>
        <v>0</v>
      </c>
      <c r="AC25" s="9">
        <f>'QTR P&amp;L'!AF2*'BS DRIVERS'!AC23</f>
        <v>0</v>
      </c>
      <c r="AD25" s="9">
        <f>'QTR P&amp;L'!AG2*'BS DRIVERS'!AD23</f>
        <v>0</v>
      </c>
      <c r="AE25" s="9">
        <f>'QTR P&amp;L'!AH2*'BS DRIVERS'!AE23</f>
        <v>0</v>
      </c>
      <c r="AF25" s="9">
        <f>'QTR P&amp;L'!AI2*'BS DRIVERS'!AF23</f>
        <v>0</v>
      </c>
      <c r="AG25" s="9">
        <f>'QTR P&amp;L'!AJ2*'BS DRIVERS'!AG23</f>
        <v>0</v>
      </c>
      <c r="AH25" s="9">
        <f>'QTR P&amp;L'!AK2*'BS DRIVERS'!AH23</f>
        <v>0</v>
      </c>
      <c r="AI25" s="9">
        <f>'QTR P&amp;L'!AL2*'BS DRIVERS'!AI23</f>
        <v>0</v>
      </c>
      <c r="AJ25" s="9">
        <f>'QTR P&amp;L'!AM2*'BS DRIVERS'!AJ23</f>
        <v>0</v>
      </c>
      <c r="AK25" s="9">
        <f>'QTR P&amp;L'!AN2*'BS DRIVERS'!AK23</f>
        <v>0</v>
      </c>
      <c r="AL25" s="9">
        <f>'QTR P&amp;L'!AO2*'BS DRIVERS'!AL23</f>
        <v>0</v>
      </c>
      <c r="AM25" s="9">
        <f>'QTR P&amp;L'!AP2*'BS DRIVERS'!AM23</f>
        <v>0</v>
      </c>
    </row>
    <row r="26" spans="1:39" x14ac:dyDescent="0.3">
      <c r="A26" s="3" t="s">
        <v>55</v>
      </c>
      <c r="B26" s="4">
        <f>'YTD BS'!C26</f>
        <v>0</v>
      </c>
      <c r="C26" s="4">
        <f>'YTD BS'!D26</f>
        <v>0</v>
      </c>
      <c r="D26" s="4">
        <f>'YTD BS'!F26</f>
        <v>0</v>
      </c>
      <c r="E26" s="4">
        <f>'YTD BS'!G26</f>
        <v>0</v>
      </c>
      <c r="F26" s="4">
        <f>'YTD BS'!H26</f>
        <v>0</v>
      </c>
      <c r="G26" s="4">
        <f>'BALANCE SHEET'!B26</f>
        <v>0</v>
      </c>
      <c r="H26" s="4">
        <f>'YTD BS'!J26</f>
        <v>0</v>
      </c>
      <c r="I26" s="4">
        <f>'YTD BS'!K26</f>
        <v>0</v>
      </c>
      <c r="J26" s="4">
        <f>'YTD BS'!L26</f>
        <v>0</v>
      </c>
      <c r="K26" s="4">
        <f>'BALANCE SHEET'!C26</f>
        <v>0</v>
      </c>
      <c r="L26" s="4">
        <f>'YTD BS'!N26</f>
        <v>0</v>
      </c>
      <c r="M26" s="4">
        <f>'YTD BS'!O26</f>
        <v>0</v>
      </c>
      <c r="N26" s="4">
        <f>'YTD BS'!P26</f>
        <v>0</v>
      </c>
      <c r="O26" s="4">
        <f>'BALANCE SHEET'!D26</f>
        <v>0</v>
      </c>
      <c r="P26" s="4">
        <f>'YTD BS'!R26</f>
        <v>0</v>
      </c>
      <c r="Q26" s="4">
        <f>'YTD BS'!S26</f>
        <v>25000</v>
      </c>
      <c r="R26" s="4">
        <f>'YTD BS'!T26</f>
        <v>25000</v>
      </c>
      <c r="S26" s="4">
        <f>'BALANCE SHEET'!E26</f>
        <v>25000</v>
      </c>
      <c r="T26" s="9">
        <f>'QTR P&amp;L'!W2*'BS DRIVERS'!T24</f>
        <v>24880.086497698263</v>
      </c>
      <c r="U26" s="9">
        <f>'QTR P&amp;L'!X2*'BS DRIVERS'!U24</f>
        <v>24760.748165317902</v>
      </c>
      <c r="V26" s="9">
        <f>'QTR P&amp;L'!Y2*'BS DRIVERS'!V24</f>
        <v>24641.982244033323</v>
      </c>
      <c r="W26" s="9">
        <f>'QTR P&amp;L'!Z2*'BS DRIVERS'!W24</f>
        <v>24523.785988251755</v>
      </c>
      <c r="X26" s="9">
        <f>'QTR P&amp;L'!AA2*'BS DRIVERS'!X24</f>
        <v>24406.156665549777</v>
      </c>
      <c r="Y26" s="9">
        <f>'QTR P&amp;L'!AB2*'BS DRIVERS'!Y24</f>
        <v>24289.091556610143</v>
      </c>
      <c r="Z26" s="9">
        <f>'QTR P&amp;L'!AC2*'BS DRIVERS'!Z24</f>
        <v>24172.587955158921</v>
      </c>
      <c r="AA26" s="9">
        <f>'QTR P&amp;L'!AD2*'BS DRIVERS'!AA24</f>
        <v>24056.64316790293</v>
      </c>
      <c r="AB26" s="9">
        <f>'QTR P&amp;L'!AE2*'BS DRIVERS'!AB24</f>
        <v>23941.25451446748</v>
      </c>
      <c r="AC26" s="9">
        <f>'QTR P&amp;L'!AF2*'BS DRIVERS'!AC24</f>
        <v>23826.419327334403</v>
      </c>
      <c r="AD26" s="9">
        <f>'QTR P&amp;L'!AG2*'BS DRIVERS'!AD24</f>
        <v>23712.134951780386</v>
      </c>
      <c r="AE26" s="9">
        <f>'QTR P&amp;L'!AH2*'BS DRIVERS'!AE24</f>
        <v>23598.398745815612</v>
      </c>
      <c r="AF26" s="9">
        <f>'QTR P&amp;L'!AI2*'BS DRIVERS'!AF24</f>
        <v>23485.208080122669</v>
      </c>
      <c r="AG26" s="9">
        <f>'QTR P&amp;L'!AJ2*'BS DRIVERS'!AG24</f>
        <v>23372.560337995772</v>
      </c>
      <c r="AH26" s="9">
        <f>'QTR P&amp;L'!AK2*'BS DRIVERS'!AH24</f>
        <v>23260.452915280264</v>
      </c>
      <c r="AI26" s="9">
        <f>'QTR P&amp;L'!AL2*'BS DRIVERS'!AI24</f>
        <v>23148.883220312433</v>
      </c>
      <c r="AJ26" s="9">
        <f>'QTR P&amp;L'!AM2*'BS DRIVERS'!AJ24</f>
        <v>23037.848673859571</v>
      </c>
      <c r="AK26" s="9">
        <f>'QTR P&amp;L'!AN2*'BS DRIVERS'!AK24</f>
        <v>22927.346709060377</v>
      </c>
      <c r="AL26" s="9">
        <f>'QTR P&amp;L'!AO2*'BS DRIVERS'!AL24</f>
        <v>22817.374771365598</v>
      </c>
      <c r="AM26" s="9">
        <f>'QTR P&amp;L'!AP2*'BS DRIVERS'!AM24</f>
        <v>22707.930318478971</v>
      </c>
    </row>
    <row r="27" spans="1:39" x14ac:dyDescent="0.3">
      <c r="A27" s="3" t="s">
        <v>56</v>
      </c>
      <c r="B27" s="4">
        <f>'YTD BS'!C27</f>
        <v>0</v>
      </c>
      <c r="C27" s="4">
        <f>'YTD BS'!D27</f>
        <v>0</v>
      </c>
      <c r="D27" s="4">
        <f>'YTD BS'!F27</f>
        <v>0</v>
      </c>
      <c r="E27" s="4">
        <f>'YTD BS'!G27</f>
        <v>0</v>
      </c>
      <c r="F27" s="4">
        <f>'YTD BS'!H27</f>
        <v>7770</v>
      </c>
      <c r="G27" s="4">
        <f>'BALANCE SHEET'!B27</f>
        <v>9675</v>
      </c>
      <c r="H27" s="4">
        <f>'YTD BS'!J27</f>
        <v>9563</v>
      </c>
      <c r="I27" s="4">
        <f>'YTD BS'!K27</f>
        <v>9500</v>
      </c>
      <c r="J27" s="4">
        <f>'YTD BS'!L27</f>
        <v>9500</v>
      </c>
      <c r="K27" s="4">
        <f>'BALANCE SHEET'!C27</f>
        <v>9513</v>
      </c>
      <c r="L27" s="4">
        <f>'YTD BS'!N27</f>
        <v>9513</v>
      </c>
      <c r="M27" s="4">
        <f>'YTD BS'!O27</f>
        <v>9513</v>
      </c>
      <c r="N27" s="4">
        <f>'YTD BS'!P27</f>
        <v>9513</v>
      </c>
      <c r="O27" s="4">
        <f>'BALANCE SHEET'!D27</f>
        <v>9513</v>
      </c>
      <c r="P27" s="4">
        <f>'YTD BS'!R27</f>
        <v>9513</v>
      </c>
      <c r="Q27" s="4">
        <f>'YTD BS'!S27</f>
        <v>16071</v>
      </c>
      <c r="R27" s="4">
        <f>'YTD BS'!T27</f>
        <v>25557</v>
      </c>
      <c r="S27" s="4">
        <f>'BALANCE SHEET'!E27</f>
        <v>26988</v>
      </c>
      <c r="T27" s="9">
        <f>'QTR P&amp;L'!W2*'BS DRIVERS'!T25</f>
        <v>26858.550975995233</v>
      </c>
      <c r="U27" s="9">
        <f>'QTR P&amp;L'!X2*'BS DRIVERS'!U25</f>
        <v>26729.722859423982</v>
      </c>
      <c r="V27" s="9">
        <f>'QTR P&amp;L'!Y2*'BS DRIVERS'!V25</f>
        <v>26601.512672078854</v>
      </c>
      <c r="W27" s="9">
        <f>'QTR P&amp;L'!Z2*'BS DRIVERS'!W25</f>
        <v>26473.917450037537</v>
      </c>
      <c r="X27" s="9">
        <f>'QTR P&amp;L'!AA2*'BS DRIVERS'!X25</f>
        <v>26346.934243594296</v>
      </c>
      <c r="Y27" s="9">
        <f>'QTR P&amp;L'!AB2*'BS DRIVERS'!Y25</f>
        <v>26220.560117191784</v>
      </c>
      <c r="Z27" s="9">
        <f>'QTR P&amp;L'!AC2*'BS DRIVERS'!Z25</f>
        <v>26094.792149353161</v>
      </c>
      <c r="AA27" s="9">
        <f>'QTR P&amp;L'!AD2*'BS DRIVERS'!AA25</f>
        <v>25969.627432614572</v>
      </c>
      <c r="AB27" s="9">
        <f>'QTR P&amp;L'!AE2*'BS DRIVERS'!AB25</f>
        <v>25845.063073457935</v>
      </c>
      <c r="AC27" s="9">
        <f>'QTR P&amp;L'!AF2*'BS DRIVERS'!AC25</f>
        <v>25721.096192244033</v>
      </c>
      <c r="AD27" s="9">
        <f>'QTR P&amp;L'!AG2*'BS DRIVERS'!AD25</f>
        <v>25597.723923145964</v>
      </c>
      <c r="AE27" s="9">
        <f>'QTR P&amp;L'!AH2*'BS DRIVERS'!AE25</f>
        <v>25474.943414082871</v>
      </c>
      <c r="AF27" s="9">
        <f>'QTR P&amp;L'!AI2*'BS DRIVERS'!AF25</f>
        <v>25352.751826654025</v>
      </c>
      <c r="AG27" s="9">
        <f>'QTR P&amp;L'!AJ2*'BS DRIVERS'!AG25</f>
        <v>25231.146336073198</v>
      </c>
      <c r="AH27" s="9">
        <f>'QTR P&amp;L'!AK2*'BS DRIVERS'!AH25</f>
        <v>25110.124131103352</v>
      </c>
      <c r="AI27" s="9">
        <f>'QTR P&amp;L'!AL2*'BS DRIVERS'!AI25</f>
        <v>24989.682413991679</v>
      </c>
      <c r="AJ27" s="9">
        <f>'QTR P&amp;L'!AM2*'BS DRIVERS'!AJ25</f>
        <v>24869.818400404885</v>
      </c>
      <c r="AK27" s="9">
        <f>'QTR P&amp;L'!AN2*'BS DRIVERS'!AK25</f>
        <v>24750.529319364861</v>
      </c>
      <c r="AL27" s="9">
        <f>'QTR P&amp;L'!AO2*'BS DRIVERS'!AL25</f>
        <v>24631.812413184591</v>
      </c>
      <c r="AM27" s="9">
        <f>'QTR P&amp;L'!AP2*'BS DRIVERS'!AM25</f>
        <v>24513.664937404421</v>
      </c>
    </row>
    <row r="28" spans="1:39" x14ac:dyDescent="0.3">
      <c r="A28" s="3" t="s">
        <v>57</v>
      </c>
      <c r="B28" s="4">
        <f>'YTD BS'!C28</f>
        <v>754907</v>
      </c>
      <c r="C28" s="4">
        <f>'YTD BS'!D28</f>
        <v>957627</v>
      </c>
      <c r="D28" s="4">
        <f>'YTD BS'!F28</f>
        <v>1734</v>
      </c>
      <c r="E28" s="4">
        <f>'YTD BS'!G28</f>
        <v>2761</v>
      </c>
      <c r="F28" s="4">
        <f>'YTD BS'!H28</f>
        <v>3267</v>
      </c>
      <c r="G28" s="4">
        <f>'BALANCE SHEET'!B28</f>
        <v>3586</v>
      </c>
      <c r="H28" s="4">
        <f>'YTD BS'!J28</f>
        <v>5094</v>
      </c>
      <c r="I28" s="4">
        <f>'YTD BS'!K28</f>
        <v>7109</v>
      </c>
      <c r="J28" s="4">
        <f>'YTD BS'!L28</f>
        <v>8826</v>
      </c>
      <c r="K28" s="4">
        <f>'BALANCE SHEET'!C28</f>
        <v>10890</v>
      </c>
      <c r="L28" s="4">
        <f>'YTD BS'!N28</f>
        <v>12987</v>
      </c>
      <c r="M28" s="4">
        <f>'YTD BS'!O28</f>
        <v>13772</v>
      </c>
      <c r="N28" s="4">
        <f>'YTD BS'!P28</f>
        <v>14979</v>
      </c>
      <c r="O28" s="4">
        <f>'BALANCE SHEET'!D28</f>
        <v>15808</v>
      </c>
      <c r="P28" s="4">
        <f>'YTD BS'!R28</f>
        <v>14160</v>
      </c>
      <c r="Q28" s="4">
        <f>'YTD BS'!S28</f>
        <v>49949</v>
      </c>
      <c r="R28" s="4">
        <f>'YTD BS'!T28</f>
        <v>32258</v>
      </c>
      <c r="S28" s="4">
        <f>'BALANCE SHEET'!E28</f>
        <v>36465</v>
      </c>
      <c r="T28" s="9">
        <f>'QTR P&amp;L'!W2*'BS DRIVERS'!T26</f>
        <v>36290.094165542687</v>
      </c>
      <c r="U28" s="9">
        <f>'QTR P&amp;L'!X2*'BS DRIVERS'!U26</f>
        <v>36116.02727393269</v>
      </c>
      <c r="V28" s="9">
        <f>'QTR P&amp;L'!Y2*'BS DRIVERS'!V26</f>
        <v>35942.795301147002</v>
      </c>
      <c r="W28" s="9">
        <f>'QTR P&amp;L'!Z2*'BS DRIVERS'!W26</f>
        <v>35770.394242464012</v>
      </c>
      <c r="X28" s="9">
        <f>'QTR P&amp;L'!AA2*'BS DRIVERS'!X26</f>
        <v>35598.820112370908</v>
      </c>
      <c r="Y28" s="9">
        <f>'QTR P&amp;L'!AB2*'BS DRIVERS'!Y26</f>
        <v>35428.068944471554</v>
      </c>
      <c r="Z28" s="9">
        <f>'QTR P&amp;L'!AC2*'BS DRIVERS'!Z26</f>
        <v>35258.136791394805</v>
      </c>
      <c r="AA28" s="9">
        <f>'QTR P&amp;L'!AD2*'BS DRIVERS'!AA26</f>
        <v>35089.019724703212</v>
      </c>
      <c r="AB28" s="9">
        <f>'QTR P&amp;L'!AE2*'BS DRIVERS'!AB26</f>
        <v>34920.713834802264</v>
      </c>
      <c r="AC28" s="9">
        <f>'QTR P&amp;L'!AF2*'BS DRIVERS'!AC26</f>
        <v>34753.215230849957</v>
      </c>
      <c r="AD28" s="9">
        <f>'QTR P&amp;L'!AG2*'BS DRIVERS'!AD26</f>
        <v>34586.520040666874</v>
      </c>
      <c r="AE28" s="9">
        <f>'QTR P&amp;L'!AH2*'BS DRIVERS'!AE26</f>
        <v>34420.624410646655</v>
      </c>
      <c r="AF28" s="9">
        <f>'QTR P&amp;L'!AI2*'BS DRIVERS'!AF26</f>
        <v>34255.524505666923</v>
      </c>
      <c r="AG28" s="9">
        <f>'QTR P&amp;L'!AJ2*'BS DRIVERS'!AG26</f>
        <v>34091.216509000631</v>
      </c>
      <c r="AH28" s="9">
        <f>'QTR P&amp;L'!AK2*'BS DRIVERS'!AH26</f>
        <v>33927.696622227792</v>
      </c>
      <c r="AI28" s="9">
        <f>'QTR P&amp;L'!AL2*'BS DRIVERS'!AI26</f>
        <v>33764.961065147712</v>
      </c>
      <c r="AJ28" s="9">
        <f>'QTR P&amp;L'!AM2*'BS DRIVERS'!AJ26</f>
        <v>33603.00607569157</v>
      </c>
      <c r="AK28" s="9">
        <f>'QTR P&amp;L'!AN2*'BS DRIVERS'!AK26</f>
        <v>33441.827909835469</v>
      </c>
      <c r="AL28" s="9">
        <f>'QTR P&amp;L'!AO2*'BS DRIVERS'!AL26</f>
        <v>33281.422841513857</v>
      </c>
      <c r="AM28" s="9">
        <f>'QTR P&amp;L'!AP2*'BS DRIVERS'!AM26</f>
        <v>33121.78716253343</v>
      </c>
    </row>
    <row r="29" spans="1:39" x14ac:dyDescent="0.3">
      <c r="A29" s="3" t="s">
        <v>58</v>
      </c>
      <c r="B29" s="6">
        <f>'YTD BS'!C29</f>
        <v>54256877</v>
      </c>
      <c r="C29" s="6">
        <f>'YTD BS'!D29</f>
        <v>93421330</v>
      </c>
      <c r="D29" s="6">
        <f>'YTD BS'!F29</f>
        <v>111751</v>
      </c>
      <c r="E29" s="6">
        <f>'YTD BS'!G29</f>
        <v>105834</v>
      </c>
      <c r="F29" s="6">
        <f>'YTD BS'!H29</f>
        <v>271293</v>
      </c>
      <c r="G29" s="6">
        <f>'BALANCE SHEET'!B29</f>
        <v>161295</v>
      </c>
      <c r="H29" s="6">
        <f>'YTD BS'!J29</f>
        <v>191731</v>
      </c>
      <c r="I29" s="6">
        <f>'YTD BS'!K29</f>
        <v>269225</v>
      </c>
      <c r="J29" s="6">
        <f>'YTD BS'!L29</f>
        <v>335517</v>
      </c>
      <c r="K29" s="6">
        <f>'BALANCE SHEET'!C29</f>
        <v>276613</v>
      </c>
      <c r="L29" s="6">
        <f>'YTD BS'!N29</f>
        <v>315269</v>
      </c>
      <c r="M29" s="6">
        <f>'YTD BS'!O29</f>
        <v>312984</v>
      </c>
      <c r="N29" s="6">
        <f>'YTD BS'!P29</f>
        <v>289460</v>
      </c>
      <c r="O29" s="6">
        <f>'BALANCE SHEET'!D29</f>
        <v>365535</v>
      </c>
      <c r="P29" s="6">
        <f>'YTD BS'!R29</f>
        <v>417854</v>
      </c>
      <c r="Q29" s="6">
        <f>'YTD BS'!S29</f>
        <v>659775</v>
      </c>
      <c r="R29" s="6">
        <f>'YTD BS'!T29</f>
        <v>1028988</v>
      </c>
      <c r="S29" s="6">
        <f>'BALANCE SHEET'!E29</f>
        <v>1078726</v>
      </c>
      <c r="T29" s="7">
        <f t="shared" ref="T29:AM29" si="2">SUM(T19:T28)</f>
        <v>810730.55617247685</v>
      </c>
      <c r="U29" s="7">
        <f t="shared" si="2"/>
        <v>806841.85455592989</v>
      </c>
      <c r="V29" s="7">
        <f t="shared" si="2"/>
        <v>802971.80525259278</v>
      </c>
      <c r="W29" s="7">
        <f t="shared" si="2"/>
        <v>799120.3187958973</v>
      </c>
      <c r="X29" s="7">
        <f t="shared" si="2"/>
        <v>795287.30614840554</v>
      </c>
      <c r="Y29" s="7">
        <f t="shared" si="2"/>
        <v>791472.67869975104</v>
      </c>
      <c r="Z29" s="7">
        <f t="shared" si="2"/>
        <v>787676.34826459025</v>
      </c>
      <c r="AA29" s="7">
        <f t="shared" si="2"/>
        <v>783898.22708056436</v>
      </c>
      <c r="AB29" s="7">
        <f t="shared" si="2"/>
        <v>780138.22780627036</v>
      </c>
      <c r="AC29" s="7">
        <f t="shared" si="2"/>
        <v>776396.26351924182</v>
      </c>
      <c r="AD29" s="7">
        <f t="shared" si="2"/>
        <v>772672.24771393894</v>
      </c>
      <c r="AE29" s="7">
        <f t="shared" si="2"/>
        <v>768966.09429974959</v>
      </c>
      <c r="AF29" s="7">
        <f t="shared" si="2"/>
        <v>765277.71759899892</v>
      </c>
      <c r="AG29" s="7">
        <f t="shared" si="2"/>
        <v>761607.03234496806</v>
      </c>
      <c r="AH29" s="7">
        <f t="shared" si="2"/>
        <v>757953.95367992343</v>
      </c>
      <c r="AI29" s="7">
        <f t="shared" si="2"/>
        <v>754318.39715315518</v>
      </c>
      <c r="AJ29" s="7">
        <f t="shared" si="2"/>
        <v>750700.27871902462</v>
      </c>
      <c r="AK29" s="7">
        <f t="shared" si="2"/>
        <v>747099.51473502116</v>
      </c>
      <c r="AL29" s="7">
        <f t="shared" si="2"/>
        <v>743516.02195982903</v>
      </c>
      <c r="AM29" s="7">
        <f t="shared" si="2"/>
        <v>739949.71755140286</v>
      </c>
    </row>
    <row r="30" spans="1:39" x14ac:dyDescent="0.3">
      <c r="A30" s="3" t="s">
        <v>59</v>
      </c>
      <c r="B30" s="4">
        <f>'YTD BS'!C30</f>
        <v>391157</v>
      </c>
      <c r="C30" s="4">
        <f>'YTD BS'!D30</f>
        <v>550547</v>
      </c>
      <c r="D30" s="4">
        <f>'YTD BS'!F30</f>
        <v>597</v>
      </c>
      <c r="E30" s="4">
        <f>'YTD BS'!G30</f>
        <v>420</v>
      </c>
      <c r="F30" s="4">
        <f>'YTD BS'!H30</f>
        <v>462</v>
      </c>
      <c r="G30" s="4">
        <f>'BALANCE SHEET'!B30</f>
        <v>326</v>
      </c>
      <c r="H30" s="4">
        <f>'YTD BS'!J30</f>
        <v>336</v>
      </c>
      <c r="I30" s="4">
        <f>'YTD BS'!K30</f>
        <v>249</v>
      </c>
      <c r="J30" s="4">
        <f>'YTD BS'!L30</f>
        <v>512</v>
      </c>
      <c r="K30" s="4">
        <f>'BALANCE SHEET'!C30</f>
        <v>955</v>
      </c>
      <c r="L30" s="4">
        <f>'YTD BS'!N30</f>
        <v>850</v>
      </c>
      <c r="M30" s="4">
        <f>'YTD BS'!O30</f>
        <v>762</v>
      </c>
      <c r="N30" s="4">
        <f>'YTD BS'!P30</f>
        <v>4193</v>
      </c>
      <c r="O30" s="4">
        <f>'BALANCE SHEET'!D30</f>
        <v>16674</v>
      </c>
      <c r="P30" s="4">
        <f>'YTD BS'!R30</f>
        <v>16152</v>
      </c>
      <c r="Q30" s="4">
        <f>'YTD BS'!S30</f>
        <v>0</v>
      </c>
      <c r="R30" s="4">
        <f>'YTD BS'!T30</f>
        <v>0</v>
      </c>
      <c r="S30" s="4">
        <f>'BALANCE SHEET'!E30</f>
        <v>0</v>
      </c>
      <c r="T30" s="9">
        <f>'QTR P&amp;L'!W2*'BS DRIVERS'!T27</f>
        <v>0</v>
      </c>
      <c r="U30" s="9">
        <f>'QTR P&amp;L'!X2*'BS DRIVERS'!U27</f>
        <v>0</v>
      </c>
      <c r="V30" s="9">
        <f>'QTR P&amp;L'!Y2*'BS DRIVERS'!V27</f>
        <v>0</v>
      </c>
      <c r="W30" s="9">
        <f>'QTR P&amp;L'!Z2*'BS DRIVERS'!W27</f>
        <v>0</v>
      </c>
      <c r="X30" s="9">
        <f>'QTR P&amp;L'!AA2*'BS DRIVERS'!X27</f>
        <v>0</v>
      </c>
      <c r="Y30" s="9">
        <f>'QTR P&amp;L'!AB2*'BS DRIVERS'!Y27</f>
        <v>0</v>
      </c>
      <c r="Z30" s="9">
        <f>'QTR P&amp;L'!AC2*'BS DRIVERS'!Z27</f>
        <v>0</v>
      </c>
      <c r="AA30" s="9">
        <f>'QTR P&amp;L'!AD2*'BS DRIVERS'!AA27</f>
        <v>0</v>
      </c>
      <c r="AB30" s="9">
        <f>'QTR P&amp;L'!AE2*'BS DRIVERS'!AB27</f>
        <v>0</v>
      </c>
      <c r="AC30" s="9">
        <f>'QTR P&amp;L'!AF2*'BS DRIVERS'!AC27</f>
        <v>0</v>
      </c>
      <c r="AD30" s="9">
        <f>'QTR P&amp;L'!AG2*'BS DRIVERS'!AD27</f>
        <v>0</v>
      </c>
      <c r="AE30" s="9">
        <f>'QTR P&amp;L'!AH2*'BS DRIVERS'!AE27</f>
        <v>0</v>
      </c>
      <c r="AF30" s="9">
        <f>'QTR P&amp;L'!AI2*'BS DRIVERS'!AF27</f>
        <v>0</v>
      </c>
      <c r="AG30" s="9">
        <f>'QTR P&amp;L'!AJ2*'BS DRIVERS'!AG27</f>
        <v>0</v>
      </c>
      <c r="AH30" s="9">
        <f>'QTR P&amp;L'!AK2*'BS DRIVERS'!AH27</f>
        <v>0</v>
      </c>
      <c r="AI30" s="9">
        <f>'QTR P&amp;L'!AL2*'BS DRIVERS'!AI27</f>
        <v>0</v>
      </c>
      <c r="AJ30" s="9">
        <f>'QTR P&amp;L'!AM2*'BS DRIVERS'!AJ27</f>
        <v>0</v>
      </c>
      <c r="AK30" s="9">
        <f>'QTR P&amp;L'!AN2*'BS DRIVERS'!AK27</f>
        <v>0</v>
      </c>
      <c r="AL30" s="9">
        <f>'QTR P&amp;L'!AO2*'BS DRIVERS'!AL27</f>
        <v>0</v>
      </c>
      <c r="AM30" s="9">
        <f>'QTR P&amp;L'!AP2*'BS DRIVERS'!AM27</f>
        <v>0</v>
      </c>
    </row>
    <row r="31" spans="1:39" x14ac:dyDescent="0.3">
      <c r="A31" s="3" t="s">
        <v>60</v>
      </c>
      <c r="B31" s="4">
        <f>'YTD BS'!C31</f>
        <v>60731</v>
      </c>
      <c r="C31" s="4">
        <f>'YTD BS'!D31</f>
        <v>88649</v>
      </c>
      <c r="D31" s="4">
        <f>'YTD BS'!F31</f>
        <v>138</v>
      </c>
      <c r="E31" s="4">
        <f>'YTD BS'!G31</f>
        <v>138</v>
      </c>
      <c r="F31" s="4">
        <f>'YTD BS'!H31</f>
        <v>167</v>
      </c>
      <c r="G31" s="4">
        <f>'BALANCE SHEET'!B31</f>
        <v>162</v>
      </c>
      <c r="H31" s="4">
        <f>'YTD BS'!J31</f>
        <v>156</v>
      </c>
      <c r="I31" s="4">
        <f>'YTD BS'!K31</f>
        <v>147</v>
      </c>
      <c r="J31" s="4">
        <f>'YTD BS'!L31</f>
        <v>135</v>
      </c>
      <c r="K31" s="4">
        <f>'BALANCE SHEET'!C31</f>
        <v>193</v>
      </c>
      <c r="L31" s="4">
        <f>'YTD BS'!N31</f>
        <v>245</v>
      </c>
      <c r="M31" s="4">
        <f>'YTD BS'!O31</f>
        <v>228</v>
      </c>
      <c r="N31" s="4">
        <f>'YTD BS'!P31</f>
        <v>189</v>
      </c>
      <c r="O31" s="4">
        <f>'BALANCE SHEET'!D31</f>
        <v>211</v>
      </c>
      <c r="P31" s="4">
        <f>'YTD BS'!R31</f>
        <v>0</v>
      </c>
      <c r="Q31" s="4">
        <f>'YTD BS'!S31</f>
        <v>0</v>
      </c>
      <c r="R31" s="4">
        <f>'YTD BS'!T31</f>
        <v>0</v>
      </c>
      <c r="S31" s="4">
        <f>'BALANCE SHEET'!E31</f>
        <v>0</v>
      </c>
      <c r="T31" s="9">
        <f>'QTR P&amp;L'!W2*'BS DRIVERS'!T28</f>
        <v>0</v>
      </c>
      <c r="U31" s="9">
        <f>'QTR P&amp;L'!X2*'BS DRIVERS'!U28</f>
        <v>0</v>
      </c>
      <c r="V31" s="9">
        <f>'QTR P&amp;L'!Y2*'BS DRIVERS'!V28</f>
        <v>0</v>
      </c>
      <c r="W31" s="9">
        <f>'QTR P&amp;L'!Z2*'BS DRIVERS'!W28</f>
        <v>0</v>
      </c>
      <c r="X31" s="9">
        <f>'QTR P&amp;L'!AA2*'BS DRIVERS'!X28</f>
        <v>0</v>
      </c>
      <c r="Y31" s="9">
        <f>'QTR P&amp;L'!AB2*'BS DRIVERS'!Y28</f>
        <v>0</v>
      </c>
      <c r="Z31" s="9">
        <f>'QTR P&amp;L'!AC2*'BS DRIVERS'!Z28</f>
        <v>0</v>
      </c>
      <c r="AA31" s="9">
        <f>'QTR P&amp;L'!AD2*'BS DRIVERS'!AA28</f>
        <v>0</v>
      </c>
      <c r="AB31" s="9">
        <f>'QTR P&amp;L'!AE2*'BS DRIVERS'!AB28</f>
        <v>0</v>
      </c>
      <c r="AC31" s="9">
        <f>'QTR P&amp;L'!AF2*'BS DRIVERS'!AC28</f>
        <v>0</v>
      </c>
      <c r="AD31" s="9">
        <f>'QTR P&amp;L'!AG2*'BS DRIVERS'!AD28</f>
        <v>0</v>
      </c>
      <c r="AE31" s="9">
        <f>'QTR P&amp;L'!AH2*'BS DRIVERS'!AE28</f>
        <v>0</v>
      </c>
      <c r="AF31" s="9">
        <f>'QTR P&amp;L'!AI2*'BS DRIVERS'!AF28</f>
        <v>0</v>
      </c>
      <c r="AG31" s="9">
        <f>'QTR P&amp;L'!AJ2*'BS DRIVERS'!AG28</f>
        <v>0</v>
      </c>
      <c r="AH31" s="9">
        <f>'QTR P&amp;L'!AK2*'BS DRIVERS'!AH28</f>
        <v>0</v>
      </c>
      <c r="AI31" s="9">
        <f>'QTR P&amp;L'!AL2*'BS DRIVERS'!AI28</f>
        <v>0</v>
      </c>
      <c r="AJ31" s="9">
        <f>'QTR P&amp;L'!AM2*'BS DRIVERS'!AJ28</f>
        <v>0</v>
      </c>
      <c r="AK31" s="9">
        <f>'QTR P&amp;L'!AN2*'BS DRIVERS'!AK28</f>
        <v>0</v>
      </c>
      <c r="AL31" s="9">
        <f>'QTR P&amp;L'!AO2*'BS DRIVERS'!AL28</f>
        <v>0</v>
      </c>
      <c r="AM31" s="9">
        <f>'QTR P&amp;L'!AP2*'BS DRIVERS'!AM28</f>
        <v>0</v>
      </c>
    </row>
    <row r="32" spans="1:39" x14ac:dyDescent="0.3">
      <c r="A32" s="3" t="s">
        <v>61</v>
      </c>
      <c r="B32" s="4">
        <f>'YTD BS'!C32</f>
        <v>0</v>
      </c>
      <c r="C32" s="4">
        <f>'YTD BS'!D32</f>
        <v>3497240</v>
      </c>
      <c r="D32" s="4">
        <f>'YTD BS'!F32</f>
        <v>3084</v>
      </c>
      <c r="E32" s="4">
        <f>'YTD BS'!G32</f>
        <v>2886</v>
      </c>
      <c r="F32" s="4">
        <f>'YTD BS'!H32</f>
        <v>25457</v>
      </c>
      <c r="G32" s="4">
        <f>'BALANCE SHEET'!B32</f>
        <v>15919</v>
      </c>
      <c r="H32" s="4">
        <f>'YTD BS'!J32</f>
        <v>19250</v>
      </c>
      <c r="I32" s="4">
        <f>'YTD BS'!K32</f>
        <v>2333</v>
      </c>
      <c r="J32" s="4">
        <f>'YTD BS'!L32</f>
        <v>2249</v>
      </c>
      <c r="K32" s="4">
        <f>'BALANCE SHEET'!C32</f>
        <v>2880</v>
      </c>
      <c r="L32" s="4">
        <f>'YTD BS'!N32</f>
        <v>2248</v>
      </c>
      <c r="M32" s="4">
        <f>'YTD BS'!O32</f>
        <v>2201</v>
      </c>
      <c r="N32" s="4">
        <f>'YTD BS'!P32</f>
        <v>2275</v>
      </c>
      <c r="O32" s="4">
        <f>'BALANCE SHEET'!D32</f>
        <v>2330</v>
      </c>
      <c r="P32" s="4">
        <f>'YTD BS'!R32</f>
        <v>0</v>
      </c>
      <c r="Q32" s="4">
        <f>'YTD BS'!S32</f>
        <v>0</v>
      </c>
      <c r="R32" s="4">
        <f>'YTD BS'!T32</f>
        <v>0</v>
      </c>
      <c r="S32" s="4">
        <f>'BALANCE SHEET'!E32</f>
        <v>0</v>
      </c>
      <c r="T32" s="9">
        <f>'BS DRIVERS'!T29</f>
        <v>0</v>
      </c>
      <c r="U32" s="9">
        <f>'BS DRIVERS'!U29</f>
        <v>0</v>
      </c>
      <c r="V32" s="9">
        <f>'BS DRIVERS'!V29</f>
        <v>0</v>
      </c>
      <c r="W32" s="9">
        <f>'BS DRIVERS'!W29</f>
        <v>0</v>
      </c>
      <c r="X32" s="9">
        <f>'BS DRIVERS'!X29</f>
        <v>0</v>
      </c>
      <c r="Y32" s="9">
        <f>'BS DRIVERS'!Y29</f>
        <v>0</v>
      </c>
      <c r="Z32" s="9">
        <f>'BS DRIVERS'!Z29</f>
        <v>0</v>
      </c>
      <c r="AA32" s="9">
        <f>'BS DRIVERS'!AA29</f>
        <v>0</v>
      </c>
      <c r="AB32" s="9">
        <f>'BS DRIVERS'!AB29</f>
        <v>0</v>
      </c>
      <c r="AC32" s="9">
        <f>'BS DRIVERS'!AC29</f>
        <v>0</v>
      </c>
      <c r="AD32" s="9">
        <f>'BS DRIVERS'!AD29</f>
        <v>0</v>
      </c>
      <c r="AE32" s="9">
        <f>'BS DRIVERS'!AE29</f>
        <v>0</v>
      </c>
      <c r="AF32" s="9">
        <f>'BS DRIVERS'!AF29</f>
        <v>0</v>
      </c>
      <c r="AG32" s="9">
        <f>'BS DRIVERS'!AG29</f>
        <v>0</v>
      </c>
      <c r="AH32" s="9">
        <f>'BS DRIVERS'!AH29</f>
        <v>0</v>
      </c>
      <c r="AI32" s="9">
        <f>'BS DRIVERS'!AI29</f>
        <v>0</v>
      </c>
      <c r="AJ32" s="9">
        <f>'BS DRIVERS'!AJ29</f>
        <v>0</v>
      </c>
      <c r="AK32" s="9">
        <f>'BS DRIVERS'!AK29</f>
        <v>0</v>
      </c>
      <c r="AL32" s="9">
        <f>'BS DRIVERS'!AL29</f>
        <v>0</v>
      </c>
      <c r="AM32" s="9">
        <f>'BS DRIVERS'!AM29</f>
        <v>0</v>
      </c>
    </row>
    <row r="33" spans="1:39" x14ac:dyDescent="0.3">
      <c r="A33" s="3" t="s">
        <v>62</v>
      </c>
      <c r="B33" s="4">
        <f>'YTD BS'!C33</f>
        <v>0</v>
      </c>
      <c r="C33" s="4">
        <f>'YTD BS'!D33</f>
        <v>0</v>
      </c>
      <c r="D33" s="4">
        <f>'YTD BS'!F33</f>
        <v>0</v>
      </c>
      <c r="E33" s="4">
        <f>'YTD BS'!G33</f>
        <v>0</v>
      </c>
      <c r="F33" s="4">
        <f>'YTD BS'!H33</f>
        <v>0</v>
      </c>
      <c r="G33" s="4">
        <f>'BALANCE SHEET'!B33</f>
        <v>0</v>
      </c>
      <c r="H33" s="4">
        <f>'YTD BS'!J33</f>
        <v>0</v>
      </c>
      <c r="I33" s="4">
        <f>'YTD BS'!K33</f>
        <v>0</v>
      </c>
      <c r="J33" s="4">
        <f>'YTD BS'!L33</f>
        <v>0</v>
      </c>
      <c r="K33" s="4">
        <f>'BALANCE SHEET'!C33</f>
        <v>0</v>
      </c>
      <c r="L33" s="4">
        <f>'YTD BS'!N33</f>
        <v>0</v>
      </c>
      <c r="M33" s="4">
        <f>'YTD BS'!O33</f>
        <v>0</v>
      </c>
      <c r="N33" s="4">
        <f>'YTD BS'!P33</f>
        <v>0</v>
      </c>
      <c r="O33" s="4">
        <f>'BALANCE SHEET'!D33</f>
        <v>0</v>
      </c>
      <c r="P33" s="4">
        <f>'YTD BS'!R33</f>
        <v>0</v>
      </c>
      <c r="Q33" s="4">
        <f>'YTD BS'!S33</f>
        <v>862917</v>
      </c>
      <c r="R33" s="4">
        <f>'YTD BS'!T33</f>
        <v>861472</v>
      </c>
      <c r="S33" s="4">
        <f>'BALANCE SHEET'!E33</f>
        <v>669926</v>
      </c>
      <c r="T33" s="9">
        <f>'BS DRIVERS'!T30</f>
        <v>669926</v>
      </c>
      <c r="U33" s="9">
        <f>'BS DRIVERS'!U30</f>
        <v>669926</v>
      </c>
      <c r="V33" s="9">
        <f>'BS DRIVERS'!V30</f>
        <v>669926</v>
      </c>
      <c r="W33" s="9">
        <f>'BS DRIVERS'!W30</f>
        <v>669926</v>
      </c>
      <c r="X33" s="9">
        <f>'BS DRIVERS'!X30</f>
        <v>669926</v>
      </c>
      <c r="Y33" s="9">
        <f>'BS DRIVERS'!Y30</f>
        <v>669926</v>
      </c>
      <c r="Z33" s="9">
        <f>'BS DRIVERS'!Z30</f>
        <v>669926</v>
      </c>
      <c r="AA33" s="9">
        <f>'BS DRIVERS'!AA30</f>
        <v>669926</v>
      </c>
      <c r="AB33" s="9">
        <f>'BS DRIVERS'!AB30</f>
        <v>669926</v>
      </c>
      <c r="AC33" s="9">
        <f>'BS DRIVERS'!AC30</f>
        <v>669926</v>
      </c>
      <c r="AD33" s="9">
        <f>'BS DRIVERS'!AD30</f>
        <v>669926</v>
      </c>
      <c r="AE33" s="9">
        <f>'BS DRIVERS'!AE30</f>
        <v>669926</v>
      </c>
      <c r="AF33" s="9">
        <f>'BS DRIVERS'!AF30</f>
        <v>669926</v>
      </c>
      <c r="AG33" s="9">
        <f>'BS DRIVERS'!AG30</f>
        <v>669926</v>
      </c>
      <c r="AH33" s="9">
        <f>'BS DRIVERS'!AH30</f>
        <v>669926</v>
      </c>
      <c r="AI33" s="9">
        <f>'BS DRIVERS'!AI30</f>
        <v>669926</v>
      </c>
      <c r="AJ33" s="9">
        <f>'BS DRIVERS'!AJ30</f>
        <v>669926</v>
      </c>
      <c r="AK33" s="9">
        <f>'BS DRIVERS'!AK30</f>
        <v>669926</v>
      </c>
      <c r="AL33" s="9">
        <f>'BS DRIVERS'!AL30</f>
        <v>669926</v>
      </c>
      <c r="AM33" s="9">
        <f>'BS DRIVERS'!AM30</f>
        <v>669926</v>
      </c>
    </row>
    <row r="34" spans="1:39" x14ac:dyDescent="0.3">
      <c r="A34" s="3" t="s">
        <v>63</v>
      </c>
      <c r="B34" s="4">
        <f>'YTD BS'!C34</f>
        <v>0</v>
      </c>
      <c r="C34" s="4">
        <f>'YTD BS'!D34</f>
        <v>0</v>
      </c>
      <c r="D34" s="4">
        <f>'YTD BS'!F34</f>
        <v>0</v>
      </c>
      <c r="E34" s="4">
        <f>'YTD BS'!G34</f>
        <v>0</v>
      </c>
      <c r="F34" s="4">
        <f>'YTD BS'!H34</f>
        <v>146333</v>
      </c>
      <c r="G34" s="4">
        <f>'BALANCE SHEET'!B34</f>
        <v>179788</v>
      </c>
      <c r="H34" s="4">
        <f>'YTD BS'!J34</f>
        <v>175275</v>
      </c>
      <c r="I34" s="4">
        <f>'YTD BS'!K34</f>
        <v>171745</v>
      </c>
      <c r="J34" s="4">
        <f>'YTD BS'!L34</f>
        <v>169370</v>
      </c>
      <c r="K34" s="4">
        <f>'BALANCE SHEET'!C34</f>
        <v>167227</v>
      </c>
      <c r="L34" s="4">
        <f>'YTD BS'!N34</f>
        <v>164849</v>
      </c>
      <c r="M34" s="4">
        <f>'YTD BS'!O34</f>
        <v>162471</v>
      </c>
      <c r="N34" s="4">
        <f>'YTD BS'!P34</f>
        <v>160092</v>
      </c>
      <c r="O34" s="4">
        <f>'BALANCE SHEET'!D34</f>
        <v>157714</v>
      </c>
      <c r="P34" s="4">
        <f>'YTD BS'!R34</f>
        <v>155336</v>
      </c>
      <c r="Q34" s="4">
        <f>'YTD BS'!S34</f>
        <v>156135</v>
      </c>
      <c r="R34" s="4">
        <f>'YTD BS'!T34</f>
        <v>387432</v>
      </c>
      <c r="S34" s="4">
        <f>'BALANCE SHEET'!E34</f>
        <v>401155</v>
      </c>
      <c r="T34" s="9">
        <f>'QTR P&amp;L'!W2*'BS DRIVERS'!T31</f>
        <v>399230.84395936597</v>
      </c>
      <c r="U34" s="9">
        <f>'QTR P&amp;L'!X2*'BS DRIVERS'!U31</f>
        <v>397315.9172103242</v>
      </c>
      <c r="V34" s="9">
        <f>'QTR P&amp;L'!Y2*'BS DRIVERS'!V31</f>
        <v>395410.17548420758</v>
      </c>
      <c r="W34" s="9">
        <f>'QTR P&amp;L'!Z2*'BS DRIVERS'!W31</f>
        <v>393513.5747246854</v>
      </c>
      <c r="X34" s="9">
        <f>'QTR P&amp;L'!AA2*'BS DRIVERS'!X31</f>
        <v>391626.07108674489</v>
      </c>
      <c r="Y34" s="9">
        <f>'QTR P&amp;L'!AB2*'BS DRIVERS'!Y31</f>
        <v>389747.62093567778</v>
      </c>
      <c r="Z34" s="9">
        <f>'QTR P&amp;L'!AC2*'BS DRIVERS'!Z31</f>
        <v>387878.18084607116</v>
      </c>
      <c r="AA34" s="9">
        <f>'QTR P&amp;L'!AD2*'BS DRIVERS'!AA31</f>
        <v>386017.70760080405</v>
      </c>
      <c r="AB34" s="9">
        <f>'QTR P&amp;L'!AE2*'BS DRIVERS'!AB31</f>
        <v>384166.15819004813</v>
      </c>
      <c r="AC34" s="9">
        <f>'QTR P&amp;L'!AF2*'BS DRIVERS'!AC31</f>
        <v>382323.48981027334</v>
      </c>
      <c r="AD34" s="9">
        <f>'QTR P&amp;L'!AG2*'BS DRIVERS'!AD31</f>
        <v>380489.65986325854</v>
      </c>
      <c r="AE34" s="9">
        <f>'QTR P&amp;L'!AH2*'BS DRIVERS'!AE31</f>
        <v>378664.62595510657</v>
      </c>
      <c r="AF34" s="9">
        <f>'QTR P&amp;L'!AI2*'BS DRIVERS'!AF31</f>
        <v>376848.34589526441</v>
      </c>
      <c r="AG34" s="9">
        <f>'QTR P&amp;L'!AJ2*'BS DRIVERS'!AG31</f>
        <v>375040.77769554779</v>
      </c>
      <c r="AH34" s="9">
        <f>'QTR P&amp;L'!AK2*'BS DRIVERS'!AH31</f>
        <v>373241.87956917024</v>
      </c>
      <c r="AI34" s="9">
        <f>'QTR P&amp;L'!AL2*'BS DRIVERS'!AI31</f>
        <v>371451.60992977739</v>
      </c>
      <c r="AJ34" s="9">
        <f>'QTR P&amp;L'!AM2*'BS DRIVERS'!AJ31</f>
        <v>369669.92739048554</v>
      </c>
      <c r="AK34" s="9">
        <f>'QTR P&amp;L'!AN2*'BS DRIVERS'!AK31</f>
        <v>367896.79076292471</v>
      </c>
      <c r="AL34" s="9">
        <f>'QTR P&amp;L'!AO2*'BS DRIVERS'!AL31</f>
        <v>366132.15905628668</v>
      </c>
      <c r="AM34" s="9">
        <f>'QTR P&amp;L'!AP2*'BS DRIVERS'!AM31</f>
        <v>364375.99147637736</v>
      </c>
    </row>
    <row r="35" spans="1:39" x14ac:dyDescent="0.3">
      <c r="A35" s="3" t="s">
        <v>64</v>
      </c>
      <c r="B35" s="4">
        <f>'YTD BS'!C35</f>
        <v>0</v>
      </c>
      <c r="C35" s="4">
        <f>'YTD BS'!D35</f>
        <v>22198</v>
      </c>
      <c r="D35" s="4">
        <f>'YTD BS'!F35</f>
        <v>0</v>
      </c>
      <c r="E35" s="4">
        <f>'YTD BS'!G35</f>
        <v>487</v>
      </c>
      <c r="F35" s="4">
        <f>'YTD BS'!H35</f>
        <v>0</v>
      </c>
      <c r="G35" s="4">
        <f>'BALANCE SHEET'!B35</f>
        <v>0</v>
      </c>
      <c r="H35" s="4">
        <f>'YTD BS'!J35</f>
        <v>0</v>
      </c>
      <c r="I35" s="4">
        <f>'YTD BS'!K35</f>
        <v>0</v>
      </c>
      <c r="J35" s="4">
        <f>'YTD BS'!L35</f>
        <v>0</v>
      </c>
      <c r="K35" s="4">
        <f>'BALANCE SHEET'!C35</f>
        <v>0</v>
      </c>
      <c r="L35" s="4">
        <f>'YTD BS'!N35</f>
        <v>0</v>
      </c>
      <c r="M35" s="4">
        <f>'YTD BS'!O35</f>
        <v>0</v>
      </c>
      <c r="N35" s="4">
        <f>'YTD BS'!P35</f>
        <v>0</v>
      </c>
      <c r="O35" s="4">
        <f>'BALANCE SHEET'!D35</f>
        <v>0</v>
      </c>
      <c r="P35" s="4">
        <f>'YTD BS'!R35</f>
        <v>2574</v>
      </c>
      <c r="Q35" s="4">
        <f>'YTD BS'!S35</f>
        <v>25002</v>
      </c>
      <c r="R35" s="4">
        <f>'YTD BS'!T35</f>
        <v>24431</v>
      </c>
      <c r="S35" s="4">
        <f>'BALANCE SHEET'!E35</f>
        <v>28372</v>
      </c>
      <c r="T35" s="9">
        <f>'QTR P&amp;L'!W2*'BS DRIVERS'!T32</f>
        <v>28235.912564507809</v>
      </c>
      <c r="U35" s="9">
        <f>'QTR P&amp;L'!X2*'BS DRIVERS'!U32</f>
        <v>28100.477877855985</v>
      </c>
      <c r="V35" s="9">
        <f>'QTR P&amp;L'!Y2*'BS DRIVERS'!V32</f>
        <v>27965.692809108539</v>
      </c>
      <c r="W35" s="9">
        <f>'QTR P&amp;L'!Z2*'BS DRIVERS'!W32</f>
        <v>27831.554242347156</v>
      </c>
      <c r="X35" s="9">
        <f>'QTR P&amp;L'!AA2*'BS DRIVERS'!X32</f>
        <v>27698.059076599133</v>
      </c>
      <c r="Y35" s="9">
        <f>'QTR P&amp;L'!AB2*'BS DRIVERS'!Y32</f>
        <v>27565.204225765723</v>
      </c>
      <c r="Z35" s="9">
        <f>'QTR P&amp;L'!AC2*'BS DRIVERS'!Z32</f>
        <v>27432.98661855076</v>
      </c>
      <c r="AA35" s="9">
        <f>'QTR P&amp;L'!AD2*'BS DRIVERS'!AA32</f>
        <v>27301.403198389682</v>
      </c>
      <c r="AB35" s="9">
        <f>'QTR P&amp;L'!AE2*'BS DRIVERS'!AB32</f>
        <v>27170.450923378856</v>
      </c>
      <c r="AC35" s="9">
        <f>'QTR P&amp;L'!AF2*'BS DRIVERS'!AC32</f>
        <v>27040.126766205267</v>
      </c>
      <c r="AD35" s="9">
        <f>'QTR P&amp;L'!AG2*'BS DRIVERS'!AD32</f>
        <v>26910.42771407653</v>
      </c>
      <c r="AE35" s="9">
        <f>'QTR P&amp;L'!AH2*'BS DRIVERS'!AE32</f>
        <v>26781.350768651224</v>
      </c>
      <c r="AF35" s="9">
        <f>'QTR P&amp;L'!AI2*'BS DRIVERS'!AF32</f>
        <v>26652.892945969619</v>
      </c>
      <c r="AG35" s="9">
        <f>'QTR P&amp;L'!AJ2*'BS DRIVERS'!AG32</f>
        <v>26525.051276384645</v>
      </c>
      <c r="AH35" s="9">
        <f>'QTR P&amp;L'!AK2*'BS DRIVERS'!AH32</f>
        <v>26397.822804493269</v>
      </c>
      <c r="AI35" s="9">
        <f>'QTR P&amp;L'!AL2*'BS DRIVERS'!AI32</f>
        <v>26271.204589068177</v>
      </c>
      <c r="AJ35" s="9">
        <f>'QTR P&amp;L'!AM2*'BS DRIVERS'!AJ32</f>
        <v>26145.193702989753</v>
      </c>
      <c r="AK35" s="9">
        <f>'QTR P&amp;L'!AN2*'BS DRIVERS'!AK32</f>
        <v>26019.787233178446</v>
      </c>
      <c r="AL35" s="9">
        <f>'QTR P&amp;L'!AO2*'BS DRIVERS'!AL32</f>
        <v>25894.982280527391</v>
      </c>
      <c r="AM35" s="9">
        <f>'QTR P&amp;L'!AP2*'BS DRIVERS'!AM32</f>
        <v>25770.775959835417</v>
      </c>
    </row>
    <row r="36" spans="1:39" x14ac:dyDescent="0.3">
      <c r="A36" s="3" t="s">
        <v>65</v>
      </c>
      <c r="B36" s="6">
        <f>'YTD BS'!C36</f>
        <v>54708765</v>
      </c>
      <c r="C36" s="6">
        <f>'YTD BS'!D36</f>
        <v>97579964</v>
      </c>
      <c r="D36" s="6">
        <f>'YTD BS'!F36</f>
        <v>115570</v>
      </c>
      <c r="E36" s="6">
        <f>'YTD BS'!G36</f>
        <v>109765</v>
      </c>
      <c r="F36" s="6">
        <f>'YTD BS'!H36</f>
        <v>443712</v>
      </c>
      <c r="G36" s="6">
        <f>'BALANCE SHEET'!B36</f>
        <v>357490</v>
      </c>
      <c r="H36" s="6">
        <f>'YTD BS'!J36</f>
        <v>386748</v>
      </c>
      <c r="I36" s="6">
        <f>'YTD BS'!K36</f>
        <v>443699</v>
      </c>
      <c r="J36" s="6">
        <f>'YTD BS'!L36</f>
        <v>507783</v>
      </c>
      <c r="K36" s="6">
        <f>'BALANCE SHEET'!C36</f>
        <v>447868</v>
      </c>
      <c r="L36" s="6">
        <f>'YTD BS'!N36</f>
        <v>483461</v>
      </c>
      <c r="M36" s="6">
        <f>'YTD BS'!O36</f>
        <v>478646</v>
      </c>
      <c r="N36" s="6">
        <f>'YTD BS'!P36</f>
        <v>456209</v>
      </c>
      <c r="O36" s="6">
        <f>'BALANCE SHEET'!D36</f>
        <v>542464</v>
      </c>
      <c r="P36" s="6">
        <f>'YTD BS'!R36</f>
        <v>591916</v>
      </c>
      <c r="Q36" s="6">
        <f>'YTD BS'!S36</f>
        <v>1703829</v>
      </c>
      <c r="R36" s="6">
        <f>'YTD BS'!T36</f>
        <v>2302323</v>
      </c>
      <c r="S36" s="6">
        <f>'BALANCE SHEET'!E36</f>
        <v>2178179</v>
      </c>
      <c r="T36" s="7">
        <f t="shared" ref="T36:AM36" si="3">T29+SUM(T30:T35)</f>
        <v>1908123.3126963507</v>
      </c>
      <c r="U36" s="7">
        <f t="shared" si="3"/>
        <v>1902184.24964411</v>
      </c>
      <c r="V36" s="7">
        <f t="shared" si="3"/>
        <v>1896273.6735459089</v>
      </c>
      <c r="W36" s="7">
        <f t="shared" si="3"/>
        <v>1890391.4477629298</v>
      </c>
      <c r="X36" s="7">
        <f t="shared" si="3"/>
        <v>1884537.4363117493</v>
      </c>
      <c r="Y36" s="7">
        <f t="shared" si="3"/>
        <v>1878711.5038611945</v>
      </c>
      <c r="Z36" s="7">
        <f t="shared" si="3"/>
        <v>1872913.5157292122</v>
      </c>
      <c r="AA36" s="7">
        <f t="shared" si="3"/>
        <v>1867143.3378797579</v>
      </c>
      <c r="AB36" s="7">
        <f t="shared" si="3"/>
        <v>1861400.8369196972</v>
      </c>
      <c r="AC36" s="7">
        <f t="shared" si="3"/>
        <v>1855685.8800957203</v>
      </c>
      <c r="AD36" s="7">
        <f t="shared" si="3"/>
        <v>1849998.3352912739</v>
      </c>
      <c r="AE36" s="7">
        <f t="shared" si="3"/>
        <v>1844338.0710235075</v>
      </c>
      <c r="AF36" s="7">
        <f t="shared" si="3"/>
        <v>1838704.9564402329</v>
      </c>
      <c r="AG36" s="7">
        <f t="shared" si="3"/>
        <v>1833098.8613169005</v>
      </c>
      <c r="AH36" s="7">
        <f t="shared" si="3"/>
        <v>1827519.6560535871</v>
      </c>
      <c r="AI36" s="7">
        <f t="shared" si="3"/>
        <v>1821967.2116720008</v>
      </c>
      <c r="AJ36" s="7">
        <f t="shared" si="3"/>
        <v>1816441.3998125</v>
      </c>
      <c r="AK36" s="7">
        <f t="shared" si="3"/>
        <v>1810942.0927311243</v>
      </c>
      <c r="AL36" s="7">
        <f t="shared" si="3"/>
        <v>1805469.1632966432</v>
      </c>
      <c r="AM36" s="7">
        <f t="shared" si="3"/>
        <v>1800022.4849876156</v>
      </c>
    </row>
    <row r="37" spans="1:39" x14ac:dyDescent="0.3">
      <c r="A37" s="3" t="s">
        <v>66</v>
      </c>
      <c r="B37" s="4">
        <f>'YTD BS'!C37</f>
        <v>0</v>
      </c>
      <c r="C37" s="4">
        <f>'YTD BS'!D37</f>
        <v>0</v>
      </c>
      <c r="D37" s="4">
        <f>'YTD BS'!F37</f>
        <v>0</v>
      </c>
      <c r="E37" s="4">
        <f>'YTD BS'!G37</f>
        <v>0</v>
      </c>
      <c r="F37" s="4">
        <f>'YTD BS'!H37</f>
        <v>824488</v>
      </c>
      <c r="G37" s="4">
        <f>'BALANCE SHEET'!B37</f>
        <v>824488</v>
      </c>
      <c r="H37" s="4">
        <f>'YTD BS'!J37</f>
        <v>824488</v>
      </c>
      <c r="I37" s="4">
        <f>'YTD BS'!K37</f>
        <v>824488</v>
      </c>
      <c r="J37" s="4">
        <f>'YTD BS'!L37</f>
        <v>824488</v>
      </c>
      <c r="K37" s="4">
        <f>'BALANCE SHEET'!C37</f>
        <v>824488</v>
      </c>
      <c r="L37" s="4">
        <f>'YTD BS'!N37</f>
        <v>824488</v>
      </c>
      <c r="M37" s="4">
        <f>'YTD BS'!O37</f>
        <v>824488</v>
      </c>
      <c r="N37" s="4">
        <f>'YTD BS'!P37</f>
        <v>824488</v>
      </c>
      <c r="O37" s="4">
        <f>'BALANCE SHEET'!D37</f>
        <v>824488</v>
      </c>
      <c r="P37" s="4">
        <f>'YTD BS'!R37</f>
        <v>824488</v>
      </c>
      <c r="Q37" s="4">
        <f>'YTD BS'!S37</f>
        <v>824488</v>
      </c>
      <c r="R37" s="4">
        <f>'YTD BS'!T37</f>
        <v>1760275</v>
      </c>
      <c r="S37" s="4">
        <f>'BALANCE SHEET'!E37</f>
        <v>1759975</v>
      </c>
      <c r="T37" s="9">
        <f>'BS DRIVERS'!T33</f>
        <v>1759975</v>
      </c>
      <c r="U37" s="9">
        <f>'BS DRIVERS'!U33</f>
        <v>1759975</v>
      </c>
      <c r="V37" s="9">
        <f>'BS DRIVERS'!V33</f>
        <v>1759975</v>
      </c>
      <c r="W37" s="9">
        <f>'BS DRIVERS'!W33</f>
        <v>1759975</v>
      </c>
      <c r="X37" s="9">
        <f>'BS DRIVERS'!X33</f>
        <v>1759975</v>
      </c>
      <c r="Y37" s="9">
        <f>'BS DRIVERS'!Y33</f>
        <v>1759975</v>
      </c>
      <c r="Z37" s="9">
        <f>'BS DRIVERS'!Z33</f>
        <v>1759975</v>
      </c>
      <c r="AA37" s="9">
        <f>'BS DRIVERS'!AA33</f>
        <v>1759975</v>
      </c>
      <c r="AB37" s="9">
        <f>'BS DRIVERS'!AB33</f>
        <v>1759975</v>
      </c>
      <c r="AC37" s="9">
        <f>'BS DRIVERS'!AC33</f>
        <v>1759975</v>
      </c>
      <c r="AD37" s="9">
        <f>'BS DRIVERS'!AD33</f>
        <v>1759975</v>
      </c>
      <c r="AE37" s="9">
        <f>'BS DRIVERS'!AE33</f>
        <v>1759975</v>
      </c>
      <c r="AF37" s="9">
        <f>'BS DRIVERS'!AF33</f>
        <v>1759975</v>
      </c>
      <c r="AG37" s="9">
        <f>'BS DRIVERS'!AG33</f>
        <v>1759975</v>
      </c>
      <c r="AH37" s="9">
        <f>'BS DRIVERS'!AH33</f>
        <v>1759975</v>
      </c>
      <c r="AI37" s="9">
        <f>'BS DRIVERS'!AI33</f>
        <v>1759975</v>
      </c>
      <c r="AJ37" s="9">
        <f>'BS DRIVERS'!AJ33</f>
        <v>1759975</v>
      </c>
      <c r="AK37" s="9">
        <f>'BS DRIVERS'!AK33</f>
        <v>1759975</v>
      </c>
      <c r="AL37" s="9">
        <f>'BS DRIVERS'!AL33</f>
        <v>1759975</v>
      </c>
      <c r="AM37" s="9">
        <f>'BS DRIVERS'!AM33</f>
        <v>1759975</v>
      </c>
    </row>
    <row r="38" spans="1:39" x14ac:dyDescent="0.3">
      <c r="A38" s="3" t="s">
        <v>67</v>
      </c>
      <c r="B38" s="4">
        <f>'YTD BS'!C38</f>
        <v>74471</v>
      </c>
      <c r="C38" s="4">
        <f>'YTD BS'!D38</f>
        <v>74746</v>
      </c>
      <c r="D38" s="4">
        <f>'YTD BS'!F38</f>
        <v>75</v>
      </c>
      <c r="E38" s="4">
        <f>'YTD BS'!G38</f>
        <v>76</v>
      </c>
      <c r="F38" s="4">
        <f>'YTD BS'!H38</f>
        <v>76</v>
      </c>
      <c r="G38" s="4">
        <f>'BALANCE SHEET'!B38</f>
        <v>76</v>
      </c>
      <c r="H38" s="4">
        <f>'YTD BS'!J38</f>
        <v>77</v>
      </c>
      <c r="I38" s="4">
        <f>'YTD BS'!K38</f>
        <v>77</v>
      </c>
      <c r="J38" s="4">
        <f>'YTD BS'!L38</f>
        <v>77</v>
      </c>
      <c r="K38" s="4">
        <f>'BALANCE SHEET'!C38</f>
        <v>77</v>
      </c>
      <c r="L38" s="4">
        <f>'YTD BS'!N38</f>
        <v>78</v>
      </c>
      <c r="M38" s="4">
        <f>'YTD BS'!O38</f>
        <v>78</v>
      </c>
      <c r="N38" s="4">
        <f>'YTD BS'!P38</f>
        <v>79</v>
      </c>
      <c r="O38" s="4">
        <f>'BALANCE SHEET'!D38</f>
        <v>79</v>
      </c>
      <c r="P38" s="4">
        <f>'YTD BS'!R38</f>
        <v>79</v>
      </c>
      <c r="Q38" s="4">
        <f>'YTD BS'!S38</f>
        <v>101</v>
      </c>
      <c r="R38" s="4">
        <f>'YTD BS'!T38</f>
        <v>101</v>
      </c>
      <c r="S38" s="4">
        <f>'BALANCE SHEET'!E38</f>
        <v>101</v>
      </c>
      <c r="T38" s="9">
        <f>'BS DRIVERS'!T34</f>
        <v>101</v>
      </c>
      <c r="U38" s="9">
        <f>'BS DRIVERS'!U34</f>
        <v>101</v>
      </c>
      <c r="V38" s="9">
        <f>'BS DRIVERS'!V34</f>
        <v>101</v>
      </c>
      <c r="W38" s="9">
        <f>'BS DRIVERS'!W34</f>
        <v>101</v>
      </c>
      <c r="X38" s="9">
        <f>'BS DRIVERS'!X34</f>
        <v>101</v>
      </c>
      <c r="Y38" s="9">
        <f>'BS DRIVERS'!Y34</f>
        <v>101</v>
      </c>
      <c r="Z38" s="9">
        <f>'BS DRIVERS'!Z34</f>
        <v>101</v>
      </c>
      <c r="AA38" s="9">
        <f>'BS DRIVERS'!AA34</f>
        <v>101</v>
      </c>
      <c r="AB38" s="9">
        <f>'BS DRIVERS'!AB34</f>
        <v>101</v>
      </c>
      <c r="AC38" s="9">
        <f>'BS DRIVERS'!AC34</f>
        <v>101</v>
      </c>
      <c r="AD38" s="9">
        <f>'BS DRIVERS'!AD34</f>
        <v>101</v>
      </c>
      <c r="AE38" s="9">
        <f>'BS DRIVERS'!AE34</f>
        <v>101</v>
      </c>
      <c r="AF38" s="9">
        <f>'BS DRIVERS'!AF34</f>
        <v>101</v>
      </c>
      <c r="AG38" s="9">
        <f>'BS DRIVERS'!AG34</f>
        <v>101</v>
      </c>
      <c r="AH38" s="9">
        <f>'BS DRIVERS'!AH34</f>
        <v>101</v>
      </c>
      <c r="AI38" s="9">
        <f>'BS DRIVERS'!AI34</f>
        <v>101</v>
      </c>
      <c r="AJ38" s="9">
        <f>'BS DRIVERS'!AJ34</f>
        <v>101</v>
      </c>
      <c r="AK38" s="9">
        <f>'BS DRIVERS'!AK34</f>
        <v>101</v>
      </c>
      <c r="AL38" s="9">
        <f>'BS DRIVERS'!AL34</f>
        <v>101</v>
      </c>
      <c r="AM38" s="9">
        <f>'BS DRIVERS'!AM34</f>
        <v>101</v>
      </c>
    </row>
    <row r="39" spans="1:39" x14ac:dyDescent="0.3">
      <c r="A39" s="3" t="s">
        <v>68</v>
      </c>
      <c r="B39" s="4">
        <f>'YTD BS'!C39</f>
        <v>0</v>
      </c>
      <c r="C39" s="4">
        <f>'YTD BS'!D39</f>
        <v>0</v>
      </c>
      <c r="D39" s="4">
        <f>'YTD BS'!F39</f>
        <v>0</v>
      </c>
      <c r="E39" s="4">
        <f>'YTD BS'!G39</f>
        <v>0</v>
      </c>
      <c r="F39" s="4">
        <f>'YTD BS'!H39</f>
        <v>0</v>
      </c>
      <c r="G39" s="4">
        <f>'BALANCE SHEET'!B39</f>
        <v>0</v>
      </c>
      <c r="H39" s="4">
        <f>'YTD BS'!J39</f>
        <v>0</v>
      </c>
      <c r="I39" s="4">
        <f>'YTD BS'!K39</f>
        <v>0</v>
      </c>
      <c r="J39" s="4">
        <f>'YTD BS'!L39</f>
        <v>0</v>
      </c>
      <c r="K39" s="4">
        <f>'BALANCE SHEET'!C39</f>
        <v>0</v>
      </c>
      <c r="L39" s="4">
        <f>'YTD BS'!N39</f>
        <v>0</v>
      </c>
      <c r="M39" s="4">
        <f>'YTD BS'!O39</f>
        <v>0</v>
      </c>
      <c r="N39" s="4">
        <f>'YTD BS'!P39</f>
        <v>0</v>
      </c>
      <c r="O39" s="4">
        <f>'BALANCE SHEET'!D39</f>
        <v>0</v>
      </c>
      <c r="P39" s="4">
        <f>'YTD BS'!R39</f>
        <v>0</v>
      </c>
      <c r="Q39" s="4">
        <f>'YTD BS'!S39</f>
        <v>0</v>
      </c>
      <c r="R39" s="4">
        <f>'YTD BS'!T39</f>
        <v>0</v>
      </c>
      <c r="S39" s="4">
        <f>'BALANCE SHEET'!E39</f>
        <v>-48226</v>
      </c>
      <c r="T39" s="9">
        <f>'BS DRIVERS'!T35</f>
        <v>-48226</v>
      </c>
      <c r="U39" s="9">
        <f>'BS DRIVERS'!U35</f>
        <v>-48226</v>
      </c>
      <c r="V39" s="9">
        <f>'BS DRIVERS'!V35</f>
        <v>-48226</v>
      </c>
      <c r="W39" s="9">
        <f>'BS DRIVERS'!W35</f>
        <v>-48226</v>
      </c>
      <c r="X39" s="9">
        <f>'BS DRIVERS'!X35</f>
        <v>-48226</v>
      </c>
      <c r="Y39" s="9">
        <f>'BS DRIVERS'!Y35</f>
        <v>-48226</v>
      </c>
      <c r="Z39" s="9">
        <f>'BS DRIVERS'!Z35</f>
        <v>-48226</v>
      </c>
      <c r="AA39" s="9">
        <f>'BS DRIVERS'!AA35</f>
        <v>-48226</v>
      </c>
      <c r="AB39" s="9">
        <f>'BS DRIVERS'!AB35</f>
        <v>-48226</v>
      </c>
      <c r="AC39" s="9">
        <f>'BS DRIVERS'!AC35</f>
        <v>-48226</v>
      </c>
      <c r="AD39" s="9">
        <f>'BS DRIVERS'!AD35</f>
        <v>-48226</v>
      </c>
      <c r="AE39" s="9">
        <f>'BS DRIVERS'!AE35</f>
        <v>-48226</v>
      </c>
      <c r="AF39" s="9">
        <f>'BS DRIVERS'!AF35</f>
        <v>-48226</v>
      </c>
      <c r="AG39" s="9">
        <f>'BS DRIVERS'!AG35</f>
        <v>-48226</v>
      </c>
      <c r="AH39" s="9">
        <f>'BS DRIVERS'!AH35</f>
        <v>-48226</v>
      </c>
      <c r="AI39" s="9">
        <f>'BS DRIVERS'!AI35</f>
        <v>-48226</v>
      </c>
      <c r="AJ39" s="9">
        <f>'BS DRIVERS'!AJ35</f>
        <v>-48226</v>
      </c>
      <c r="AK39" s="9">
        <f>'BS DRIVERS'!AK35</f>
        <v>-48226</v>
      </c>
      <c r="AL39" s="9">
        <f>'BS DRIVERS'!AL35</f>
        <v>-48226</v>
      </c>
      <c r="AM39" s="9">
        <f>'BS DRIVERS'!AM35</f>
        <v>-48226</v>
      </c>
    </row>
    <row r="40" spans="1:39" x14ac:dyDescent="0.3">
      <c r="A40" s="3" t="s">
        <v>69</v>
      </c>
      <c r="B40" s="4">
        <f>'YTD BS'!C40</f>
        <v>237763609</v>
      </c>
      <c r="C40" s="4">
        <f>'YTD BS'!D40</f>
        <v>244293710</v>
      </c>
      <c r="D40" s="4">
        <f>'YTD BS'!F40</f>
        <v>272967</v>
      </c>
      <c r="E40" s="4">
        <f>'YTD BS'!G40</f>
        <v>277623</v>
      </c>
      <c r="F40" s="4">
        <f>'YTD BS'!H40</f>
        <v>281133</v>
      </c>
      <c r="G40" s="4">
        <f>'BALANCE SHEET'!B40</f>
        <v>280668</v>
      </c>
      <c r="H40" s="4">
        <f>'YTD BS'!J40</f>
        <v>279872</v>
      </c>
      <c r="I40" s="4">
        <f>'YTD BS'!K40</f>
        <v>278980</v>
      </c>
      <c r="J40" s="4">
        <f>'YTD BS'!L40</f>
        <v>277980</v>
      </c>
      <c r="K40" s="4">
        <f>'BALANCE SHEET'!C40</f>
        <v>276717</v>
      </c>
      <c r="L40" s="4">
        <f>'YTD BS'!N40</f>
        <v>281247</v>
      </c>
      <c r="M40" s="4">
        <f>'YTD BS'!O40</f>
        <v>286173</v>
      </c>
      <c r="N40" s="4">
        <f>'YTD BS'!P40</f>
        <v>292576</v>
      </c>
      <c r="O40" s="4">
        <f>'BALANCE SHEET'!D40</f>
        <v>297579</v>
      </c>
      <c r="P40" s="4">
        <f>'YTD BS'!R40</f>
        <v>300877</v>
      </c>
      <c r="Q40" s="4">
        <f>'YTD BS'!S40</f>
        <v>1028384</v>
      </c>
      <c r="R40" s="4">
        <f>'YTD BS'!T40</f>
        <v>1035021</v>
      </c>
      <c r="S40" s="4">
        <f>'BALANCE SHEET'!E40</f>
        <v>1050518</v>
      </c>
      <c r="T40" s="9">
        <f>'BS DRIVERS'!T36</f>
        <v>1059676.8574415327</v>
      </c>
      <c r="U40" s="9">
        <f>'BS DRIVERS'!U36</f>
        <v>1068791.7840561494</v>
      </c>
      <c r="V40" s="9">
        <f>'BS DRIVERS'!V36</f>
        <v>1077862.9905598229</v>
      </c>
      <c r="W40" s="9">
        <f>'BS DRIVERS'!W36</f>
        <v>1086890.686657818</v>
      </c>
      <c r="X40" s="9">
        <f>'BS DRIVERS'!X36</f>
        <v>1095875.0810495403</v>
      </c>
      <c r="Y40" s="9">
        <f>'BS DRIVERS'!Y36</f>
        <v>1104816.3814333596</v>
      </c>
      <c r="Z40" s="9">
        <f>'BS DRIVERS'!Z36</f>
        <v>1113714.7945114127</v>
      </c>
      <c r="AA40" s="9">
        <f>'BS DRIVERS'!AA36</f>
        <v>1122570.5259943812</v>
      </c>
      <c r="AB40" s="9">
        <f>'BS DRIVERS'!AB36</f>
        <v>1131383.780606247</v>
      </c>
      <c r="AC40" s="9">
        <f>'BS DRIVERS'!AC36</f>
        <v>1140154.7620890255</v>
      </c>
      <c r="AD40" s="9">
        <f>'BS DRIVERS'!AD36</f>
        <v>1148883.6732074749</v>
      </c>
      <c r="AE40" s="9">
        <f>'BS DRIVERS'!AE36</f>
        <v>1157570.7157537844</v>
      </c>
      <c r="AF40" s="9">
        <f>'BS DRIVERS'!AF36</f>
        <v>1166216.0905522392</v>
      </c>
      <c r="AG40" s="9">
        <f>'BS DRIVERS'!AG36</f>
        <v>1174819.9974638622</v>
      </c>
      <c r="AH40" s="9">
        <f>'BS DRIVERS'!AH36</f>
        <v>1183382.6353910351</v>
      </c>
      <c r="AI40" s="9">
        <f>'BS DRIVERS'!AI36</f>
        <v>1191904.2022820965</v>
      </c>
      <c r="AJ40" s="9">
        <f>'BS DRIVERS'!AJ36</f>
        <v>1200384.8951359177</v>
      </c>
      <c r="AK40" s="9">
        <f>'BS DRIVERS'!AK36</f>
        <v>1208824.910006457</v>
      </c>
      <c r="AL40" s="9">
        <f>'BS DRIVERS'!AL36</f>
        <v>1217224.4420072921</v>
      </c>
      <c r="AM40" s="9">
        <f>'BS DRIVERS'!AM36</f>
        <v>1225583.6853161305</v>
      </c>
    </row>
    <row r="41" spans="1:39" x14ac:dyDescent="0.3">
      <c r="A41" s="3" t="s">
        <v>70</v>
      </c>
      <c r="B41" s="4">
        <f>'YTD BS'!C41</f>
        <v>-117656</v>
      </c>
      <c r="C41" s="4">
        <f>'YTD BS'!D41</f>
        <v>1165027</v>
      </c>
      <c r="D41" s="4">
        <f>'YTD BS'!F41</f>
        <v>123</v>
      </c>
      <c r="E41" s="4">
        <f>'YTD BS'!G41</f>
        <v>-2173</v>
      </c>
      <c r="F41" s="4">
        <f>'YTD BS'!H41</f>
        <v>-4211</v>
      </c>
      <c r="G41" s="4">
        <f>'BALANCE SHEET'!B41</f>
        <v>-1881</v>
      </c>
      <c r="H41" s="4">
        <f>'YTD BS'!J41</f>
        <v>-1287</v>
      </c>
      <c r="I41" s="4">
        <f>'YTD BS'!K41</f>
        <v>-1877</v>
      </c>
      <c r="J41" s="4">
        <f>'YTD BS'!L41</f>
        <v>-2541</v>
      </c>
      <c r="K41" s="4">
        <f>'BALANCE SHEET'!C41</f>
        <v>-701</v>
      </c>
      <c r="L41" s="4">
        <f>'YTD BS'!N41</f>
        <v>-2055</v>
      </c>
      <c r="M41" s="4">
        <f>'YTD BS'!O41</f>
        <v>-2363</v>
      </c>
      <c r="N41" s="4">
        <f>'YTD BS'!P41</f>
        <v>-338</v>
      </c>
      <c r="O41" s="4">
        <f>'BALANCE SHEET'!D41</f>
        <v>-3250</v>
      </c>
      <c r="P41" s="4">
        <f>'YTD BS'!R41</f>
        <v>-1001</v>
      </c>
      <c r="Q41" s="4">
        <f>'YTD BS'!S41</f>
        <v>2178</v>
      </c>
      <c r="R41" s="4">
        <f>'YTD BS'!T41</f>
        <v>2508</v>
      </c>
      <c r="S41" s="4">
        <f>'BALANCE SHEET'!E41</f>
        <v>3162</v>
      </c>
      <c r="T41" s="9">
        <f>'BS DRIVERS'!T37</f>
        <v>4259</v>
      </c>
      <c r="U41" s="9">
        <f>'BS DRIVERS'!U37</f>
        <v>5356</v>
      </c>
      <c r="V41" s="9">
        <f>'BS DRIVERS'!V37</f>
        <v>6453</v>
      </c>
      <c r="W41" s="9">
        <f>'BS DRIVERS'!W37</f>
        <v>7550</v>
      </c>
      <c r="X41" s="9">
        <f>'BS DRIVERS'!X37</f>
        <v>8647</v>
      </c>
      <c r="Y41" s="9">
        <f>'BS DRIVERS'!Y37</f>
        <v>9744</v>
      </c>
      <c r="Z41" s="9">
        <f>'BS DRIVERS'!Z37</f>
        <v>10841</v>
      </c>
      <c r="AA41" s="9">
        <f>'BS DRIVERS'!AA37</f>
        <v>11938</v>
      </c>
      <c r="AB41" s="9">
        <f>'BS DRIVERS'!AB37</f>
        <v>13035</v>
      </c>
      <c r="AC41" s="9">
        <f>'BS DRIVERS'!AC37</f>
        <v>14132</v>
      </c>
      <c r="AD41" s="9">
        <f>'BS DRIVERS'!AD37</f>
        <v>15229</v>
      </c>
      <c r="AE41" s="9">
        <f>'BS DRIVERS'!AE37</f>
        <v>16326</v>
      </c>
      <c r="AF41" s="9">
        <f>'BS DRIVERS'!AF37</f>
        <v>17423</v>
      </c>
      <c r="AG41" s="9">
        <f>'BS DRIVERS'!AG37</f>
        <v>18520</v>
      </c>
      <c r="AH41" s="9">
        <f>'BS DRIVERS'!AH37</f>
        <v>19617</v>
      </c>
      <c r="AI41" s="9">
        <f>'BS DRIVERS'!AI37</f>
        <v>20714</v>
      </c>
      <c r="AJ41" s="9">
        <f>'BS DRIVERS'!AJ37</f>
        <v>21811</v>
      </c>
      <c r="AK41" s="9">
        <f>'BS DRIVERS'!AK37</f>
        <v>22908</v>
      </c>
      <c r="AL41" s="9">
        <f>'BS DRIVERS'!AL37</f>
        <v>24005</v>
      </c>
      <c r="AM41" s="9">
        <f>'BS DRIVERS'!AM37</f>
        <v>25102</v>
      </c>
    </row>
    <row r="42" spans="1:39" x14ac:dyDescent="0.3">
      <c r="A42" s="3" t="s">
        <v>71</v>
      </c>
      <c r="B42" s="4">
        <f>'YTD BS'!C42</f>
        <v>-50881064</v>
      </c>
      <c r="C42" s="4">
        <f>'YTD BS'!D42</f>
        <v>-48135273</v>
      </c>
      <c r="D42" s="4">
        <f>'YTD BS'!F42</f>
        <v>-44811</v>
      </c>
      <c r="E42" s="4">
        <f>'YTD BS'!G42</f>
        <v>-35653</v>
      </c>
      <c r="F42" s="4">
        <f>'YTD BS'!H42</f>
        <v>-217549</v>
      </c>
      <c r="G42" s="4">
        <f>'BALANCE SHEET'!B42</f>
        <v>-238772</v>
      </c>
      <c r="H42" s="4">
        <f>'YTD BS'!J42</f>
        <v>-197627</v>
      </c>
      <c r="I42" s="4">
        <f>'YTD BS'!K42</f>
        <v>-146118</v>
      </c>
      <c r="J42" s="4">
        <f>'YTD BS'!L42</f>
        <v>-62169</v>
      </c>
      <c r="K42" s="4">
        <f>'BALANCE SHEET'!C42</f>
        <v>-12053</v>
      </c>
      <c r="L42" s="4">
        <f>'YTD BS'!N42</f>
        <v>58921</v>
      </c>
      <c r="M42" s="4">
        <f>'YTD BS'!O42</f>
        <v>131866</v>
      </c>
      <c r="N42" s="4">
        <f>'YTD BS'!P42</f>
        <v>131309</v>
      </c>
      <c r="O42" s="4">
        <f>'BALANCE SHEET'!D42</f>
        <v>105521</v>
      </c>
      <c r="P42" s="4">
        <f>'YTD BS'!R42</f>
        <v>143159</v>
      </c>
      <c r="Q42" s="4">
        <f>'YTD BS'!S42</f>
        <v>236163</v>
      </c>
      <c r="R42" s="4">
        <f>'YTD BS'!T42</f>
        <v>165480</v>
      </c>
      <c r="S42" s="4">
        <f>'BALANCE SHEET'!E42</f>
        <v>175912</v>
      </c>
      <c r="T42" s="9">
        <f>'BS DRIVERS'!T38</f>
        <v>274156.87675747287</v>
      </c>
      <c r="U42" s="9">
        <f>'BS DRIVERS'!U38</f>
        <v>371843.73721977236</v>
      </c>
      <c r="V42" s="9">
        <f>'BS DRIVERS'!V38</f>
        <v>468975.25793443038</v>
      </c>
      <c r="W42" s="9">
        <f>'BS DRIVERS'!W38</f>
        <v>565554.10261081113</v>
      </c>
      <c r="X42" s="9">
        <f>'BS DRIVERS'!X38</f>
        <v>661582.92218169011</v>
      </c>
      <c r="Y42" s="9">
        <f>'BS DRIVERS'!Y38</f>
        <v>757064.3548645376</v>
      </c>
      <c r="Z42" s="9">
        <f>'BS DRIVERS'!Z38</f>
        <v>852001.02622250782</v>
      </c>
      <c r="AA42" s="9">
        <f>'BS DRIVERS'!AA38</f>
        <v>946395.54922513629</v>
      </c>
      <c r="AB42" s="9">
        <f>'BS DRIVERS'!AB38</f>
        <v>1040250.5243087451</v>
      </c>
      <c r="AC42" s="9">
        <f>'BS DRIVERS'!AC38</f>
        <v>1133568.5394365594</v>
      </c>
      <c r="AD42" s="9">
        <f>'BS DRIVERS'!AD38</f>
        <v>1226352.1701585352</v>
      </c>
      <c r="AE42" s="9">
        <f>'BS DRIVERS'!AE38</f>
        <v>1318603.9796708997</v>
      </c>
      <c r="AF42" s="9">
        <f>'BS DRIVERS'!AF38</f>
        <v>1410326.5188754064</v>
      </c>
      <c r="AG42" s="9">
        <f>'BS DRIVERS'!AG38</f>
        <v>1501522.3264383064</v>
      </c>
      <c r="AH42" s="9">
        <f>'BS DRIVERS'!AH38</f>
        <v>1592193.9288490366</v>
      </c>
      <c r="AI42" s="9">
        <f>'BS DRIVERS'!AI38</f>
        <v>1682343.8404786258</v>
      </c>
      <c r="AJ42" s="9">
        <f>'BS DRIVERS'!AJ38</f>
        <v>1771974.5636378217</v>
      </c>
      <c r="AK42" s="9">
        <f>'BS DRIVERS'!AK38</f>
        <v>1861088.5886349375</v>
      </c>
      <c r="AL42" s="9">
        <f>'BS DRIVERS'!AL38</f>
        <v>1949688.3938334233</v>
      </c>
      <c r="AM42" s="9">
        <f>'BS DRIVERS'!AM38</f>
        <v>2037776.4457091591</v>
      </c>
    </row>
    <row r="43" spans="1:39" x14ac:dyDescent="0.3">
      <c r="A43" s="3" t="s">
        <v>72</v>
      </c>
      <c r="B43" s="6">
        <f>'YTD BS'!C43</f>
        <v>186839360</v>
      </c>
      <c r="C43" s="6">
        <f>'YTD BS'!D43</f>
        <v>197398210</v>
      </c>
      <c r="D43" s="6">
        <f>'YTD BS'!F43</f>
        <v>228354</v>
      </c>
      <c r="E43" s="6">
        <f>'YTD BS'!G43</f>
        <v>239873</v>
      </c>
      <c r="F43" s="6">
        <f>'YTD BS'!H43</f>
        <v>883937</v>
      </c>
      <c r="G43" s="6">
        <f>'BALANCE SHEET'!B43</f>
        <v>864579</v>
      </c>
      <c r="H43" s="6">
        <f>'YTD BS'!J43</f>
        <v>905523</v>
      </c>
      <c r="I43" s="6">
        <f>'YTD BS'!K43</f>
        <v>955550</v>
      </c>
      <c r="J43" s="6">
        <f>'YTD BS'!L43</f>
        <v>1037835</v>
      </c>
      <c r="K43" s="6">
        <f>'BALANCE SHEET'!C43</f>
        <v>1088528</v>
      </c>
      <c r="L43" s="6">
        <f>'YTD BS'!N43</f>
        <v>1162679</v>
      </c>
      <c r="M43" s="6">
        <f>'YTD BS'!O43</f>
        <v>1240242</v>
      </c>
      <c r="N43" s="6">
        <f>'YTD BS'!P43</f>
        <v>1248114</v>
      </c>
      <c r="O43" s="6">
        <f>'BALANCE SHEET'!D43</f>
        <v>1224417</v>
      </c>
      <c r="P43" s="6">
        <f>'YTD BS'!R43</f>
        <v>1267602</v>
      </c>
      <c r="Q43" s="6">
        <f>'YTD BS'!S43</f>
        <v>2091314</v>
      </c>
      <c r="R43" s="6">
        <f>'YTD BS'!T43</f>
        <v>2963385</v>
      </c>
      <c r="S43" s="6">
        <f>'BALANCE SHEET'!E43</f>
        <v>2941442</v>
      </c>
      <c r="T43" s="7">
        <f t="shared" ref="T43:AM43" si="4">SUM(T37:T42)</f>
        <v>3049942.7341990052</v>
      </c>
      <c r="U43" s="7">
        <f t="shared" si="4"/>
        <v>3157841.5212759217</v>
      </c>
      <c r="V43" s="7">
        <f t="shared" si="4"/>
        <v>3265141.2484942535</v>
      </c>
      <c r="W43" s="7">
        <f t="shared" si="4"/>
        <v>3371844.7892686292</v>
      </c>
      <c r="X43" s="7">
        <f t="shared" si="4"/>
        <v>3477955.0032312302</v>
      </c>
      <c r="Y43" s="7">
        <f t="shared" si="4"/>
        <v>3583474.7362978971</v>
      </c>
      <c r="Z43" s="7">
        <f t="shared" si="4"/>
        <v>3688406.8207339207</v>
      </c>
      <c r="AA43" s="7">
        <f t="shared" si="4"/>
        <v>3792754.0752195171</v>
      </c>
      <c r="AB43" s="7">
        <f t="shared" si="4"/>
        <v>3896519.3049149923</v>
      </c>
      <c r="AC43" s="7">
        <f t="shared" si="4"/>
        <v>3999705.3015255844</v>
      </c>
      <c r="AD43" s="7">
        <f t="shared" si="4"/>
        <v>4102314.8433660101</v>
      </c>
      <c r="AE43" s="7">
        <f t="shared" si="4"/>
        <v>4204350.6954246843</v>
      </c>
      <c r="AF43" s="7">
        <f t="shared" si="4"/>
        <v>4305815.6094276458</v>
      </c>
      <c r="AG43" s="7">
        <f t="shared" si="4"/>
        <v>4406712.3239021692</v>
      </c>
      <c r="AH43" s="7">
        <f t="shared" si="4"/>
        <v>4507043.5642400719</v>
      </c>
      <c r="AI43" s="7">
        <f t="shared" si="4"/>
        <v>4606812.0427607223</v>
      </c>
      <c r="AJ43" s="7">
        <f t="shared" si="4"/>
        <v>4706020.4587737396</v>
      </c>
      <c r="AK43" s="7">
        <f t="shared" si="4"/>
        <v>4804671.4986413941</v>
      </c>
      <c r="AL43" s="7">
        <f t="shared" si="4"/>
        <v>4902767.8358407151</v>
      </c>
      <c r="AM43" s="7">
        <f t="shared" si="4"/>
        <v>5000312.1310252901</v>
      </c>
    </row>
    <row r="44" spans="1:39" x14ac:dyDescent="0.3">
      <c r="A44" s="3" t="s">
        <v>73</v>
      </c>
      <c r="B44" s="6">
        <f>'YTD BS'!C44</f>
        <v>241548125</v>
      </c>
      <c r="C44" s="6">
        <f>'YTD BS'!D44</f>
        <v>294978174</v>
      </c>
      <c r="D44" s="6">
        <f>'YTD BS'!F44</f>
        <v>343924</v>
      </c>
      <c r="E44" s="6">
        <f>'YTD BS'!G44</f>
        <v>349638</v>
      </c>
      <c r="F44" s="6">
        <f>'YTD BS'!H44</f>
        <v>1327649</v>
      </c>
      <c r="G44" s="6">
        <f>'BALANCE SHEET'!B44</f>
        <v>1222069</v>
      </c>
      <c r="H44" s="6">
        <f>'YTD BS'!J44</f>
        <v>1292271</v>
      </c>
      <c r="I44" s="6">
        <f>'YTD BS'!K44</f>
        <v>1399249</v>
      </c>
      <c r="J44" s="6">
        <f>'YTD BS'!L44</f>
        <v>1545618</v>
      </c>
      <c r="K44" s="6">
        <f>'BALANCE SHEET'!C44</f>
        <v>1536396</v>
      </c>
      <c r="L44" s="6">
        <f>'YTD BS'!N44</f>
        <v>1646140</v>
      </c>
      <c r="M44" s="6">
        <f>'YTD BS'!O44</f>
        <v>1718888</v>
      </c>
      <c r="N44" s="6">
        <f>'YTD BS'!P44</f>
        <v>1704323</v>
      </c>
      <c r="O44" s="6">
        <f>'BALANCE SHEET'!D44</f>
        <v>1766881</v>
      </c>
      <c r="P44" s="6">
        <f>'YTD BS'!R44</f>
        <v>1859518</v>
      </c>
      <c r="Q44" s="6">
        <f>'YTD BS'!S44</f>
        <v>3795143</v>
      </c>
      <c r="R44" s="6">
        <f>'YTD BS'!T44</f>
        <v>5265708</v>
      </c>
      <c r="S44" s="6">
        <f>'BALANCE SHEET'!E44</f>
        <v>5119621</v>
      </c>
      <c r="T44" s="7">
        <f t="shared" ref="T44:AM44" si="5">T36+T43</f>
        <v>4958066.0468953559</v>
      </c>
      <c r="U44" s="7">
        <f t="shared" si="5"/>
        <v>5060025.7709200317</v>
      </c>
      <c r="V44" s="7">
        <f t="shared" si="5"/>
        <v>5161414.9220401626</v>
      </c>
      <c r="W44" s="7">
        <f t="shared" si="5"/>
        <v>5262236.2370315585</v>
      </c>
      <c r="X44" s="7">
        <f t="shared" si="5"/>
        <v>5362492.439542979</v>
      </c>
      <c r="Y44" s="7">
        <f t="shared" si="5"/>
        <v>5462186.2401590915</v>
      </c>
      <c r="Z44" s="7">
        <f t="shared" si="5"/>
        <v>5561320.3364631329</v>
      </c>
      <c r="AA44" s="7">
        <f t="shared" si="5"/>
        <v>5659897.413099275</v>
      </c>
      <c r="AB44" s="7">
        <f t="shared" si="5"/>
        <v>5757920.1418346893</v>
      </c>
      <c r="AC44" s="7">
        <f t="shared" si="5"/>
        <v>5855391.1816213047</v>
      </c>
      <c r="AD44" s="7">
        <f t="shared" si="5"/>
        <v>5952313.178657284</v>
      </c>
      <c r="AE44" s="7">
        <f t="shared" si="5"/>
        <v>6048688.7664481923</v>
      </c>
      <c r="AF44" s="7">
        <f t="shared" si="5"/>
        <v>6144520.5658678785</v>
      </c>
      <c r="AG44" s="7">
        <f t="shared" si="5"/>
        <v>6239811.1852190699</v>
      </c>
      <c r="AH44" s="7">
        <f t="shared" si="5"/>
        <v>6334563.2202936588</v>
      </c>
      <c r="AI44" s="7">
        <f t="shared" si="5"/>
        <v>6428779.2544327229</v>
      </c>
      <c r="AJ44" s="7">
        <f t="shared" si="5"/>
        <v>6522461.8585862396</v>
      </c>
      <c r="AK44" s="7">
        <f t="shared" si="5"/>
        <v>6615613.5913725179</v>
      </c>
      <c r="AL44" s="7">
        <f t="shared" si="5"/>
        <v>6708236.9991373587</v>
      </c>
      <c r="AM44" s="7">
        <f t="shared" si="5"/>
        <v>6800334.6160129057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5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2" customWidth="1"/>
    <col min="2" max="42" width="13" customWidth="1"/>
  </cols>
  <sheetData>
    <row r="1" spans="1:42" x14ac:dyDescent="0.3">
      <c r="A1" s="1"/>
      <c r="B1" s="2" t="s">
        <v>113</v>
      </c>
      <c r="C1" s="2" t="s">
        <v>114</v>
      </c>
      <c r="D1" s="2" t="s">
        <v>115</v>
      </c>
      <c r="E1" s="2" t="s">
        <v>116</v>
      </c>
      <c r="F1" s="2" t="s">
        <v>133</v>
      </c>
      <c r="G1" s="2" t="s">
        <v>117</v>
      </c>
      <c r="H1" s="2" t="s">
        <v>118</v>
      </c>
      <c r="I1" s="2" t="s">
        <v>119</v>
      </c>
      <c r="J1" s="2" t="s">
        <v>134</v>
      </c>
      <c r="K1" s="2" t="s">
        <v>120</v>
      </c>
      <c r="L1" s="2" t="s">
        <v>121</v>
      </c>
      <c r="M1" s="2" t="s">
        <v>122</v>
      </c>
      <c r="N1" s="2" t="s">
        <v>135</v>
      </c>
      <c r="O1" s="2" t="s">
        <v>123</v>
      </c>
      <c r="P1" s="2" t="s">
        <v>124</v>
      </c>
      <c r="Q1" s="2" t="s">
        <v>125</v>
      </c>
      <c r="R1" s="2" t="s">
        <v>136</v>
      </c>
      <c r="S1" s="2" t="s">
        <v>126</v>
      </c>
      <c r="T1" s="2" t="s">
        <v>127</v>
      </c>
      <c r="U1" s="2" t="s">
        <v>128</v>
      </c>
      <c r="V1" s="2" t="s">
        <v>141</v>
      </c>
      <c r="W1" s="2" t="s">
        <v>142</v>
      </c>
      <c r="X1" s="2" t="s">
        <v>143</v>
      </c>
      <c r="Y1" s="2" t="s">
        <v>144</v>
      </c>
      <c r="Z1" s="2" t="s">
        <v>145</v>
      </c>
      <c r="AA1" s="2" t="s">
        <v>146</v>
      </c>
      <c r="AB1" s="2" t="s">
        <v>147</v>
      </c>
      <c r="AC1" s="2" t="s">
        <v>148</v>
      </c>
      <c r="AD1" s="2" t="s">
        <v>149</v>
      </c>
      <c r="AE1" s="2" t="s">
        <v>150</v>
      </c>
      <c r="AF1" s="2" t="s">
        <v>151</v>
      </c>
      <c r="AG1" s="2" t="s">
        <v>152</v>
      </c>
      <c r="AH1" s="2" t="s">
        <v>153</v>
      </c>
      <c r="AI1" s="2" t="s">
        <v>154</v>
      </c>
      <c r="AJ1" s="2" t="s">
        <v>155</v>
      </c>
      <c r="AK1" s="2" t="s">
        <v>156</v>
      </c>
      <c r="AL1" s="2" t="s">
        <v>157</v>
      </c>
      <c r="AM1" s="2" t="s">
        <v>158</v>
      </c>
      <c r="AN1" s="2" t="s">
        <v>159</v>
      </c>
      <c r="AO1" s="2" t="s">
        <v>160</v>
      </c>
      <c r="AP1" s="2" t="s">
        <v>161</v>
      </c>
    </row>
    <row r="2" spans="1:42" x14ac:dyDescent="0.3">
      <c r="A2" s="3" t="s">
        <v>27</v>
      </c>
      <c r="B2" s="4">
        <f>'YTD CF'!C2-'YTD CF'!B2</f>
        <v>4753603</v>
      </c>
      <c r="C2" s="4">
        <f>'YTD CF'!D2</f>
        <v>585</v>
      </c>
      <c r="D2" s="4">
        <f>'YTD CF'!E2-'YTD CF'!D2</f>
        <v>4545183</v>
      </c>
      <c r="E2" s="4">
        <f>'YTD CF'!F2-'YTD CF'!E2</f>
        <v>2745791</v>
      </c>
      <c r="F2" s="4">
        <f>'CASH FLOW'!B2-'YTD CF'!F2</f>
        <v>-7287622</v>
      </c>
      <c r="G2" s="4">
        <f>'YTD CF'!G2</f>
        <v>6679</v>
      </c>
      <c r="H2" s="4">
        <f>'YTD CF'!H2-'YTD CF'!G2</f>
        <v>9159</v>
      </c>
      <c r="I2" s="4">
        <f>'YTD CF'!I2-'YTD CF'!H2</f>
        <v>-181897</v>
      </c>
      <c r="J2" s="4">
        <f>'CASH FLOW'!C2-'YTD CF'!I2</f>
        <v>-21223</v>
      </c>
      <c r="K2" s="4">
        <f>'YTD CF'!J2</f>
        <v>41227</v>
      </c>
      <c r="L2" s="4">
        <f>'YTD CF'!K2-'YTD CF'!J2</f>
        <v>51509</v>
      </c>
      <c r="M2" s="4">
        <f>'YTD CF'!L2-'YTD CF'!K2</f>
        <v>83949</v>
      </c>
      <c r="N2" s="4">
        <f>'CASH FLOW'!D2-'YTD CF'!L2</f>
        <v>50116</v>
      </c>
      <c r="O2" s="4">
        <f>'YTD CF'!M2</f>
        <v>77811</v>
      </c>
      <c r="P2" s="4">
        <f>'YTD CF'!N2-'YTD CF'!M2</f>
        <v>79783</v>
      </c>
      <c r="Q2" s="4">
        <f>'YTD CF'!O2-'YTD CF'!N2</f>
        <v>6356</v>
      </c>
      <c r="R2" s="4">
        <f>'CASH FLOW'!E2-'YTD CF'!O2</f>
        <v>-18876</v>
      </c>
      <c r="S2" s="4">
        <f>'YTD CF'!P2</f>
        <v>44419</v>
      </c>
      <c r="T2" s="4">
        <f>'YTD CF'!Q2-'YTD CF'!P2</f>
        <v>99855</v>
      </c>
      <c r="U2" s="4">
        <f>'YTD CF'!R2-'YTD CF'!Q2</f>
        <v>-61014</v>
      </c>
      <c r="V2" s="4">
        <f>'CASH FLOW'!F2-'YTD CF'!R2</f>
        <v>24739</v>
      </c>
      <c r="W2" s="9">
        <f>'CF DRIVERS'!W2</f>
        <v>112551.87675747286</v>
      </c>
      <c r="X2" s="9">
        <f>'CF DRIVERS'!X2</f>
        <v>111993.86046229949</v>
      </c>
      <c r="Y2" s="9">
        <f>'CF DRIVERS'!Y2</f>
        <v>111438.52071465804</v>
      </c>
      <c r="Z2" s="9">
        <f>'CF DRIVERS'!Z2</f>
        <v>110885.84467638076</v>
      </c>
      <c r="AA2" s="9">
        <f>'CF DRIVERS'!AA2</f>
        <v>110335.819570879</v>
      </c>
      <c r="AB2" s="9">
        <f>'CF DRIVERS'!AB2</f>
        <v>109788.43268284744</v>
      </c>
      <c r="AC2" s="9">
        <f>'CF DRIVERS'!AC2</f>
        <v>109243.67135797023</v>
      </c>
      <c r="AD2" s="9">
        <f>'CF DRIVERS'!AD2</f>
        <v>108701.52300262843</v>
      </c>
      <c r="AE2" s="9">
        <f>'CF DRIVERS'!AE2</f>
        <v>108161.97508360882</v>
      </c>
      <c r="AF2" s="9">
        <f>'CF DRIVERS'!AF2</f>
        <v>107625.0151278144</v>
      </c>
      <c r="AG2" s="9">
        <f>'CF DRIVERS'!AG2</f>
        <v>107090.63072197579</v>
      </c>
      <c r="AH2" s="9">
        <f>'CF DRIVERS'!AH2</f>
        <v>106558.80951236437</v>
      </c>
      <c r="AI2" s="9">
        <f>'CF DRIVERS'!AI2</f>
        <v>106029.5392045066</v>
      </c>
      <c r="AJ2" s="9">
        <f>'CF DRIVERS'!AJ2</f>
        <v>105502.80756290008</v>
      </c>
      <c r="AK2" s="9">
        <f>'CF DRIVERS'!AK2</f>
        <v>104978.60241073027</v>
      </c>
      <c r="AL2" s="9">
        <f>'CF DRIVERS'!AL2</f>
        <v>104456.91162958933</v>
      </c>
      <c r="AM2" s="9">
        <f>'CF DRIVERS'!AM2</f>
        <v>103937.72315919575</v>
      </c>
      <c r="AN2" s="9">
        <f>'CF DRIVERS'!AN2</f>
        <v>103421.02499711576</v>
      </c>
      <c r="AO2" s="9">
        <f>'CF DRIVERS'!AO2</f>
        <v>102906.80519848567</v>
      </c>
      <c r="AP2" s="9">
        <f>'CF DRIVERS'!AP2</f>
        <v>102395.05187573591</v>
      </c>
    </row>
    <row r="3" spans="1:42" x14ac:dyDescent="0.3">
      <c r="A3" s="3" t="s">
        <v>137</v>
      </c>
      <c r="B3" s="4">
        <f>'YTD CF'!C3-'YTD CF'!B3</f>
        <v>31829</v>
      </c>
      <c r="C3" s="4">
        <f>'YTD CF'!D3</f>
        <v>108</v>
      </c>
      <c r="D3" s="4">
        <f>'YTD CF'!E3-'YTD CF'!D3</f>
        <v>178317</v>
      </c>
      <c r="E3" s="4">
        <f>'YTD CF'!F3-'YTD CF'!E3</f>
        <v>341340</v>
      </c>
      <c r="G3" s="4">
        <f>'YTD CF'!G3</f>
        <v>245</v>
      </c>
      <c r="H3" s="4">
        <f>'YTD CF'!H3-'YTD CF'!G3</f>
        <v>311</v>
      </c>
      <c r="I3" s="4">
        <f>'YTD CF'!I3-'YTD CF'!H3</f>
        <v>396</v>
      </c>
      <c r="K3" s="4">
        <f>'YTD CF'!J3</f>
        <v>404</v>
      </c>
      <c r="L3" s="4">
        <f>'YTD CF'!K3-'YTD CF'!J3</f>
        <v>549</v>
      </c>
      <c r="M3" s="4">
        <f>'YTD CF'!L3-'YTD CF'!K3</f>
        <v>723</v>
      </c>
      <c r="O3" s="4">
        <f>'YTD CF'!M3</f>
        <v>0</v>
      </c>
      <c r="P3" s="4">
        <f>'YTD CF'!N3-'YTD CF'!M3</f>
        <v>0</v>
      </c>
      <c r="Q3" s="4">
        <f>'YTD CF'!O3-'YTD CF'!N3</f>
        <v>0</v>
      </c>
      <c r="S3" s="4">
        <f>'YTD CF'!P3</f>
        <v>0</v>
      </c>
      <c r="T3" s="4">
        <f>'YTD CF'!Q3-'YTD CF'!P3</f>
        <v>0</v>
      </c>
      <c r="U3" s="4">
        <f>'YTD CF'!R3-'YTD CF'!Q3</f>
        <v>0</v>
      </c>
      <c r="W3" s="9">
        <f>'CF DRIVERS'!W3</f>
        <v>0</v>
      </c>
      <c r="X3" s="9">
        <f>'CF DRIVERS'!X3</f>
        <v>0</v>
      </c>
      <c r="Y3" s="9">
        <f>'CF DRIVERS'!Y3</f>
        <v>0</v>
      </c>
      <c r="Z3" s="9">
        <f>'CF DRIVERS'!Z3</f>
        <v>0</v>
      </c>
      <c r="AA3" s="9">
        <f>'CF DRIVERS'!AA3</f>
        <v>0</v>
      </c>
      <c r="AB3" s="9">
        <f>'CF DRIVERS'!AB3</f>
        <v>0</v>
      </c>
      <c r="AC3" s="9">
        <f>'CF DRIVERS'!AC3</f>
        <v>0</v>
      </c>
      <c r="AD3" s="9">
        <f>'CF DRIVERS'!AD3</f>
        <v>0</v>
      </c>
      <c r="AE3" s="9">
        <f>'CF DRIVERS'!AE3</f>
        <v>0</v>
      </c>
      <c r="AF3" s="9">
        <f>'CF DRIVERS'!AF3</f>
        <v>0</v>
      </c>
      <c r="AG3" s="9">
        <f>'CF DRIVERS'!AG3</f>
        <v>0</v>
      </c>
      <c r="AH3" s="9">
        <f>'CF DRIVERS'!AH3</f>
        <v>0</v>
      </c>
      <c r="AI3" s="9">
        <f>'CF DRIVERS'!AI3</f>
        <v>0</v>
      </c>
      <c r="AJ3" s="9">
        <f>'CF DRIVERS'!AJ3</f>
        <v>0</v>
      </c>
      <c r="AK3" s="9">
        <f>'CF DRIVERS'!AK3</f>
        <v>0</v>
      </c>
      <c r="AL3" s="9">
        <f>'CF DRIVERS'!AL3</f>
        <v>0</v>
      </c>
      <c r="AM3" s="9">
        <f>'CF DRIVERS'!AM3</f>
        <v>0</v>
      </c>
      <c r="AN3" s="9">
        <f>'CF DRIVERS'!AN3</f>
        <v>0</v>
      </c>
      <c r="AO3" s="9">
        <f>'CF DRIVERS'!AO3</f>
        <v>0</v>
      </c>
      <c r="AP3" s="9">
        <f>'CF DRIVERS'!AP3</f>
        <v>0</v>
      </c>
    </row>
    <row r="4" spans="1:42" x14ac:dyDescent="0.3">
      <c r="A4" s="3" t="s">
        <v>138</v>
      </c>
      <c r="B4" s="4">
        <f>'YTD CF'!C4-'YTD CF'!B4</f>
        <v>373639</v>
      </c>
      <c r="C4" s="4">
        <f>'YTD CF'!D4</f>
        <v>188</v>
      </c>
      <c r="D4" s="4">
        <f>'YTD CF'!E4-'YTD CF'!D4</f>
        <v>374953</v>
      </c>
      <c r="E4" s="4">
        <f>'YTD CF'!F4-'YTD CF'!E4</f>
        <v>175659</v>
      </c>
      <c r="G4" s="4">
        <f>'YTD CF'!G4</f>
        <v>141</v>
      </c>
      <c r="H4" s="4">
        <f>'YTD CF'!H4-'YTD CF'!G4</f>
        <v>134</v>
      </c>
      <c r="I4" s="4">
        <f>'YTD CF'!I4-'YTD CF'!H4</f>
        <v>127</v>
      </c>
      <c r="K4" s="4">
        <f>'YTD CF'!J4</f>
        <v>145</v>
      </c>
      <c r="L4" s="4">
        <f>'YTD CF'!K4-'YTD CF'!J4</f>
        <v>149</v>
      </c>
      <c r="M4" s="4">
        <f>'YTD CF'!L4-'YTD CF'!K4</f>
        <v>151</v>
      </c>
      <c r="O4" s="4">
        <f>'YTD CF'!M4</f>
        <v>0</v>
      </c>
      <c r="P4" s="4">
        <f>'YTD CF'!N4-'YTD CF'!M4</f>
        <v>0</v>
      </c>
      <c r="Q4" s="4">
        <f>'YTD CF'!O4-'YTD CF'!N4</f>
        <v>0</v>
      </c>
      <c r="S4" s="4">
        <f>'YTD CF'!P4</f>
        <v>0</v>
      </c>
      <c r="T4" s="4">
        <f>'YTD CF'!Q4-'YTD CF'!P4</f>
        <v>0</v>
      </c>
      <c r="U4" s="4">
        <f>'YTD CF'!R4-'YTD CF'!Q4</f>
        <v>0</v>
      </c>
      <c r="W4" s="9">
        <f>'CF DRIVERS'!W4</f>
        <v>0</v>
      </c>
      <c r="X4" s="9">
        <f>'CF DRIVERS'!X4</f>
        <v>0</v>
      </c>
      <c r="Y4" s="9">
        <f>'CF DRIVERS'!Y4</f>
        <v>0</v>
      </c>
      <c r="Z4" s="9">
        <f>'CF DRIVERS'!Z4</f>
        <v>0</v>
      </c>
      <c r="AA4" s="9">
        <f>'CF DRIVERS'!AA4</f>
        <v>0</v>
      </c>
      <c r="AB4" s="9">
        <f>'CF DRIVERS'!AB4</f>
        <v>0</v>
      </c>
      <c r="AC4" s="9">
        <f>'CF DRIVERS'!AC4</f>
        <v>0</v>
      </c>
      <c r="AD4" s="9">
        <f>'CF DRIVERS'!AD4</f>
        <v>0</v>
      </c>
      <c r="AE4" s="9">
        <f>'CF DRIVERS'!AE4</f>
        <v>0</v>
      </c>
      <c r="AF4" s="9">
        <f>'CF DRIVERS'!AF4</f>
        <v>0</v>
      </c>
      <c r="AG4" s="9">
        <f>'CF DRIVERS'!AG4</f>
        <v>0</v>
      </c>
      <c r="AH4" s="9">
        <f>'CF DRIVERS'!AH4</f>
        <v>0</v>
      </c>
      <c r="AI4" s="9">
        <f>'CF DRIVERS'!AI4</f>
        <v>0</v>
      </c>
      <c r="AJ4" s="9">
        <f>'CF DRIVERS'!AJ4</f>
        <v>0</v>
      </c>
      <c r="AK4" s="9">
        <f>'CF DRIVERS'!AK4</f>
        <v>0</v>
      </c>
      <c r="AL4" s="9">
        <f>'CF DRIVERS'!AL4</f>
        <v>0</v>
      </c>
      <c r="AM4" s="9">
        <f>'CF DRIVERS'!AM4</f>
        <v>0</v>
      </c>
      <c r="AN4" s="9">
        <f>'CF DRIVERS'!AN4</f>
        <v>0</v>
      </c>
      <c r="AO4" s="9">
        <f>'CF DRIVERS'!AO4</f>
        <v>0</v>
      </c>
      <c r="AP4" s="9">
        <f>'CF DRIVERS'!AP4</f>
        <v>0</v>
      </c>
    </row>
    <row r="5" spans="1:42" x14ac:dyDescent="0.3">
      <c r="A5" s="3" t="s">
        <v>75</v>
      </c>
      <c r="B5" s="4">
        <f>'YTD CF'!C5-'YTD CF'!B5</f>
        <v>0</v>
      </c>
      <c r="C5" s="4">
        <f>'YTD CF'!D5</f>
        <v>0</v>
      </c>
      <c r="D5" s="4">
        <f>'YTD CF'!E5-'YTD CF'!D5</f>
        <v>0</v>
      </c>
      <c r="E5" s="4">
        <f>'YTD CF'!F5-'YTD CF'!E5</f>
        <v>0</v>
      </c>
      <c r="F5" s="4">
        <f>'CASH FLOW'!B4-'YTD CF'!F5</f>
        <v>0</v>
      </c>
      <c r="G5" s="4">
        <f>'YTD CF'!G5</f>
        <v>0</v>
      </c>
      <c r="H5" s="4">
        <f>'YTD CF'!H5-'YTD CF'!G5</f>
        <v>0</v>
      </c>
      <c r="I5" s="4">
        <f>'YTD CF'!I5-'YTD CF'!H5</f>
        <v>2379</v>
      </c>
      <c r="J5" s="4">
        <f>'CASH FLOW'!C4-'YTD CF'!I5</f>
        <v>0</v>
      </c>
      <c r="K5" s="4">
        <f>'YTD CF'!J5</f>
        <v>0</v>
      </c>
      <c r="L5" s="4">
        <f>'YTD CF'!K5-'YTD CF'!J5</f>
        <v>0</v>
      </c>
      <c r="M5" s="4">
        <f>'YTD CF'!L5-'YTD CF'!K5</f>
        <v>0</v>
      </c>
      <c r="N5" s="4">
        <f>'CASH FLOW'!D4-'YTD CF'!L5</f>
        <v>0</v>
      </c>
      <c r="O5" s="4">
        <f>'YTD CF'!M5</f>
        <v>0</v>
      </c>
      <c r="P5" s="4">
        <f>'YTD CF'!N5-'YTD CF'!M5</f>
        <v>0</v>
      </c>
      <c r="Q5" s="4">
        <f>'YTD CF'!O5-'YTD CF'!N5</f>
        <v>0</v>
      </c>
      <c r="R5" s="4">
        <f>'CASH FLOW'!E4-'YTD CF'!O5</f>
        <v>0</v>
      </c>
      <c r="S5" s="4">
        <f>'YTD CF'!P5</f>
        <v>0</v>
      </c>
      <c r="T5" s="4">
        <f>'YTD CF'!Q5-'YTD CF'!P5</f>
        <v>0</v>
      </c>
      <c r="U5" s="4">
        <f>'YTD CF'!R5-'YTD CF'!Q5</f>
        <v>0</v>
      </c>
      <c r="V5" s="4">
        <f>'CASH FLOW'!F4-'YTD CF'!R5</f>
        <v>0</v>
      </c>
      <c r="W5" s="9">
        <f>'CF DRIVERS'!W5</f>
        <v>0</v>
      </c>
      <c r="X5" s="9">
        <f>'CF DRIVERS'!X5</f>
        <v>0</v>
      </c>
      <c r="Y5" s="9">
        <f>'CF DRIVERS'!Y5</f>
        <v>0</v>
      </c>
      <c r="Z5" s="9">
        <f>'CF DRIVERS'!Z5</f>
        <v>0</v>
      </c>
      <c r="AA5" s="9">
        <f>'CF DRIVERS'!AA5</f>
        <v>0</v>
      </c>
      <c r="AB5" s="9">
        <f>'CF DRIVERS'!AB5</f>
        <v>0</v>
      </c>
      <c r="AC5" s="9">
        <f>'CF DRIVERS'!AC5</f>
        <v>0</v>
      </c>
      <c r="AD5" s="9">
        <f>'CF DRIVERS'!AD5</f>
        <v>0</v>
      </c>
      <c r="AE5" s="9">
        <f>'CF DRIVERS'!AE5</f>
        <v>0</v>
      </c>
      <c r="AF5" s="9">
        <f>'CF DRIVERS'!AF5</f>
        <v>0</v>
      </c>
      <c r="AG5" s="9">
        <f>'CF DRIVERS'!AG5</f>
        <v>0</v>
      </c>
      <c r="AH5" s="9">
        <f>'CF DRIVERS'!AH5</f>
        <v>0</v>
      </c>
      <c r="AI5" s="9">
        <f>'CF DRIVERS'!AI5</f>
        <v>0</v>
      </c>
      <c r="AJ5" s="9">
        <f>'CF DRIVERS'!AJ5</f>
        <v>0</v>
      </c>
      <c r="AK5" s="9">
        <f>'CF DRIVERS'!AK5</f>
        <v>0</v>
      </c>
      <c r="AL5" s="9">
        <f>'CF DRIVERS'!AL5</f>
        <v>0</v>
      </c>
      <c r="AM5" s="9">
        <f>'CF DRIVERS'!AM5</f>
        <v>0</v>
      </c>
      <c r="AN5" s="9">
        <f>'CF DRIVERS'!AN5</f>
        <v>0</v>
      </c>
      <c r="AO5" s="9">
        <f>'CF DRIVERS'!AO5</f>
        <v>0</v>
      </c>
      <c r="AP5" s="9">
        <f>'CF DRIVERS'!AP5</f>
        <v>0</v>
      </c>
    </row>
    <row r="6" spans="1:42" x14ac:dyDescent="0.3">
      <c r="A6" s="3" t="s">
        <v>74</v>
      </c>
      <c r="B6" s="4">
        <f>'YTD CF'!C6-'YTD CF'!B6</f>
        <v>0</v>
      </c>
      <c r="C6" s="4">
        <f>'YTD CF'!D6</f>
        <v>0</v>
      </c>
      <c r="D6" s="4">
        <f>'YTD CF'!E6-'YTD CF'!D6</f>
        <v>0</v>
      </c>
      <c r="E6" s="4">
        <f>'YTD CF'!F6-'YTD CF'!E6</f>
        <v>0</v>
      </c>
      <c r="F6" s="4">
        <f>'CASH FLOW'!B3-'YTD CF'!F6</f>
        <v>1264</v>
      </c>
      <c r="G6" s="4">
        <f>'YTD CF'!G6</f>
        <v>0</v>
      </c>
      <c r="H6" s="4">
        <f>'YTD CF'!H6-'YTD CF'!G6</f>
        <v>0</v>
      </c>
      <c r="I6" s="4">
        <f>'YTD CF'!I6-'YTD CF'!H6</f>
        <v>0</v>
      </c>
      <c r="J6" s="4">
        <f>'CASH FLOW'!C3-'YTD CF'!I6</f>
        <v>1917</v>
      </c>
      <c r="K6" s="4">
        <f>'YTD CF'!J6</f>
        <v>0</v>
      </c>
      <c r="L6" s="4">
        <f>'YTD CF'!K6-'YTD CF'!J6</f>
        <v>0</v>
      </c>
      <c r="M6" s="4">
        <f>'YTD CF'!L6-'YTD CF'!K6</f>
        <v>0</v>
      </c>
      <c r="N6" s="4">
        <f>'CASH FLOW'!D3-'YTD CF'!L6</f>
        <v>3226</v>
      </c>
      <c r="O6" s="4">
        <f>'YTD CF'!M6</f>
        <v>1229</v>
      </c>
      <c r="P6" s="4">
        <f>'YTD CF'!N6-'YTD CF'!M6</f>
        <v>1419</v>
      </c>
      <c r="Q6" s="4">
        <f>'YTD CF'!O6-'YTD CF'!N6</f>
        <v>2240</v>
      </c>
      <c r="R6" s="4">
        <f>'CASH FLOW'!E3-'YTD CF'!O6</f>
        <v>2386</v>
      </c>
      <c r="S6" s="4">
        <f>'YTD CF'!P6</f>
        <v>2611</v>
      </c>
      <c r="T6" s="4">
        <f>'YTD CF'!Q6-'YTD CF'!P6</f>
        <v>9119</v>
      </c>
      <c r="U6" s="4">
        <f>'YTD CF'!R6-'YTD CF'!Q6</f>
        <v>8786</v>
      </c>
      <c r="V6" s="4">
        <f>'CASH FLOW'!F3-'YTD CF'!R6</f>
        <v>8935</v>
      </c>
      <c r="W6" s="9">
        <f>'QTR P&amp;L'!W2*'CF DRIVERS'!W6</f>
        <v>8892.1429142773613</v>
      </c>
      <c r="X6" s="9">
        <f>'QTR P&amp;L'!X2*'CF DRIVERS'!X6</f>
        <v>8849.4913942846197</v>
      </c>
      <c r="Y6" s="9">
        <f>'QTR P&amp;L'!Y2*'CF DRIVERS'!Y6</f>
        <v>8807.0444540175104</v>
      </c>
      <c r="Z6" s="9">
        <f>'QTR P&amp;L'!Z2*'CF DRIVERS'!Z6</f>
        <v>8764.8011122011776</v>
      </c>
      <c r="AA6" s="9">
        <f>'QTR P&amp;L'!AA2*'CF DRIVERS'!AA6</f>
        <v>8722.7603922674916</v>
      </c>
      <c r="AB6" s="9">
        <f>'QTR P&amp;L'!AB2*'CF DRIVERS'!AB6</f>
        <v>8680.9213223324659</v>
      </c>
      <c r="AC6" s="9">
        <f>'QTR P&amp;L'!AC2*'CF DRIVERS'!AC6</f>
        <v>8639.2829351738001</v>
      </c>
      <c r="AD6" s="9">
        <f>'QTR P&amp;L'!AD2*'CF DRIVERS'!AD6</f>
        <v>8597.8442682085079</v>
      </c>
      <c r="AE6" s="9">
        <f>'QTR P&amp;L'!AE2*'CF DRIVERS'!AE6</f>
        <v>8556.6043634706784</v>
      </c>
      <c r="AF6" s="9">
        <f>'QTR P&amp;L'!AF2*'CF DRIVERS'!AF6</f>
        <v>8515.5622675893155</v>
      </c>
      <c r="AG6" s="9">
        <f>'QTR P&amp;L'!AG2*'CF DRIVERS'!AG6</f>
        <v>8474.7170317663113</v>
      </c>
      <c r="AH6" s="9">
        <f>'QTR P&amp;L'!AH2*'CF DRIVERS'!AH6</f>
        <v>8434.0677117545019</v>
      </c>
      <c r="AI6" s="9">
        <f>'QTR P&amp;L'!AI2*'CF DRIVERS'!AI6</f>
        <v>8393.6133678358437</v>
      </c>
      <c r="AJ6" s="9">
        <f>'QTR P&amp;L'!AJ2*'CF DRIVERS'!AJ6</f>
        <v>8353.3530647996904</v>
      </c>
      <c r="AK6" s="9">
        <f>'QTR P&amp;L'!AK2*'CF DRIVERS'!AK6</f>
        <v>8313.2858719211672</v>
      </c>
      <c r="AL6" s="9">
        <f>'QTR P&amp;L'!AL2*'CF DRIVERS'!AL6</f>
        <v>8273.4108629396651</v>
      </c>
      <c r="AM6" s="9">
        <f>'QTR P&amp;L'!AM2*'CF DRIVERS'!AM6</f>
        <v>8233.7271160374112</v>
      </c>
      <c r="AN6" s="9">
        <f>'QTR P&amp;L'!AN2*'CF DRIVERS'!AN6</f>
        <v>8194.2337138181811</v>
      </c>
      <c r="AO6" s="9">
        <f>'QTR P&amp;L'!AO2*'CF DRIVERS'!AO6</f>
        <v>8154.9297432860649</v>
      </c>
      <c r="AP6" s="9">
        <f>'QTR P&amp;L'!AP2*'CF DRIVERS'!AP6</f>
        <v>8115.8142958243852</v>
      </c>
    </row>
    <row r="7" spans="1:42" x14ac:dyDescent="0.3">
      <c r="A7" s="3" t="s">
        <v>76</v>
      </c>
      <c r="B7" s="4">
        <f>'YTD CF'!C7-'YTD CF'!B7</f>
        <v>23503</v>
      </c>
      <c r="C7" s="4">
        <f>'YTD CF'!D7</f>
        <v>223</v>
      </c>
      <c r="D7" s="4">
        <f>'YTD CF'!E7-'YTD CF'!D7</f>
        <v>854383</v>
      </c>
      <c r="E7" s="4">
        <f>'YTD CF'!F7-'YTD CF'!E7</f>
        <v>-1061867</v>
      </c>
      <c r="F7" s="4">
        <f>'CASH FLOW'!B5-'YTD CF'!F7</f>
        <v>208755</v>
      </c>
      <c r="G7" s="4">
        <f>'YTD CF'!G7</f>
        <v>455</v>
      </c>
      <c r="H7" s="4">
        <f>'YTD CF'!H7-'YTD CF'!G7</f>
        <v>11</v>
      </c>
      <c r="I7" s="4">
        <f>'YTD CF'!I7-'YTD CF'!H7</f>
        <v>239</v>
      </c>
      <c r="J7" s="4">
        <f>'CASH FLOW'!C5-'YTD CF'!I7</f>
        <v>1647</v>
      </c>
      <c r="K7" s="4">
        <f>'YTD CF'!J7</f>
        <v>837</v>
      </c>
      <c r="L7" s="4">
        <f>'YTD CF'!K7-'YTD CF'!J7</f>
        <v>251</v>
      </c>
      <c r="M7" s="4">
        <f>'YTD CF'!L7-'YTD CF'!K7</f>
        <v>792</v>
      </c>
      <c r="N7" s="4">
        <f>'CASH FLOW'!D5-'YTD CF'!L7</f>
        <v>248</v>
      </c>
      <c r="O7" s="4">
        <f>'YTD CF'!M7</f>
        <v>2250</v>
      </c>
      <c r="P7" s="4">
        <f>'YTD CF'!N7-'YTD CF'!M7</f>
        <v>1822</v>
      </c>
      <c r="Q7" s="4">
        <f>'YTD CF'!O7-'YTD CF'!N7</f>
        <v>207</v>
      </c>
      <c r="R7" s="4">
        <f>'CASH FLOW'!E5-'YTD CF'!O7</f>
        <v>-985</v>
      </c>
      <c r="S7" s="4">
        <f>'YTD CF'!P7</f>
        <v>2077</v>
      </c>
      <c r="T7" s="4">
        <f>'YTD CF'!Q7-'YTD CF'!P7</f>
        <v>3452</v>
      </c>
      <c r="U7" s="4">
        <f>'YTD CF'!R7-'YTD CF'!Q7</f>
        <v>-2303</v>
      </c>
      <c r="V7" s="4">
        <f>'CASH FLOW'!F5-'YTD CF'!R7</f>
        <v>7374</v>
      </c>
      <c r="W7" s="9">
        <f>'CF DRIVERS'!W7</f>
        <v>0</v>
      </c>
      <c r="X7" s="9">
        <f>'CF DRIVERS'!X7</f>
        <v>0</v>
      </c>
      <c r="Y7" s="9">
        <f>'CF DRIVERS'!Y7</f>
        <v>0</v>
      </c>
      <c r="Z7" s="9">
        <f>'CF DRIVERS'!Z7</f>
        <v>0</v>
      </c>
      <c r="AA7" s="9">
        <f>'CF DRIVERS'!AA7</f>
        <v>0</v>
      </c>
      <c r="AB7" s="9">
        <f>'CF DRIVERS'!AB7</f>
        <v>0</v>
      </c>
      <c r="AC7" s="9">
        <f>'CF DRIVERS'!AC7</f>
        <v>0</v>
      </c>
      <c r="AD7" s="9">
        <f>'CF DRIVERS'!AD7</f>
        <v>0</v>
      </c>
      <c r="AE7" s="9">
        <f>'CF DRIVERS'!AE7</f>
        <v>0</v>
      </c>
      <c r="AF7" s="9">
        <f>'CF DRIVERS'!AF7</f>
        <v>0</v>
      </c>
      <c r="AG7" s="9">
        <f>'CF DRIVERS'!AG7</f>
        <v>0</v>
      </c>
      <c r="AH7" s="9">
        <f>'CF DRIVERS'!AH7</f>
        <v>0</v>
      </c>
      <c r="AI7" s="9">
        <f>'CF DRIVERS'!AI7</f>
        <v>0</v>
      </c>
      <c r="AJ7" s="9">
        <f>'CF DRIVERS'!AJ7</f>
        <v>0</v>
      </c>
      <c r="AK7" s="9">
        <f>'CF DRIVERS'!AK7</f>
        <v>0</v>
      </c>
      <c r="AL7" s="9">
        <f>'CF DRIVERS'!AL7</f>
        <v>0</v>
      </c>
      <c r="AM7" s="9">
        <f>'CF DRIVERS'!AM7</f>
        <v>0</v>
      </c>
      <c r="AN7" s="9">
        <f>'CF DRIVERS'!AN7</f>
        <v>0</v>
      </c>
      <c r="AO7" s="9">
        <f>'CF DRIVERS'!AO7</f>
        <v>0</v>
      </c>
      <c r="AP7" s="9">
        <f>'CF DRIVERS'!AP7</f>
        <v>0</v>
      </c>
    </row>
    <row r="8" spans="1:42" x14ac:dyDescent="0.3">
      <c r="A8" s="3" t="s">
        <v>77</v>
      </c>
      <c r="B8" s="4">
        <f>'YTD CF'!C8-'YTD CF'!B8</f>
        <v>0</v>
      </c>
      <c r="C8" s="4">
        <f>'YTD CF'!D8</f>
        <v>0</v>
      </c>
      <c r="D8" s="4">
        <f>'YTD CF'!E8-'YTD CF'!D8</f>
        <v>0</v>
      </c>
      <c r="E8" s="4">
        <f>'YTD CF'!F8-'YTD CF'!E8</f>
        <v>0</v>
      </c>
      <c r="F8" s="4">
        <f>'CASH FLOW'!B6-'YTD CF'!F8</f>
        <v>0</v>
      </c>
      <c r="G8" s="4">
        <f>'YTD CF'!G8</f>
        <v>0</v>
      </c>
      <c r="H8" s="4">
        <f>'YTD CF'!H8-'YTD CF'!G8</f>
        <v>0</v>
      </c>
      <c r="I8" s="4">
        <f>'YTD CF'!I8-'YTD CF'!H8</f>
        <v>2354</v>
      </c>
      <c r="J8" s="4">
        <f>'CASH FLOW'!C6-'YTD CF'!I8</f>
        <v>3531</v>
      </c>
      <c r="K8" s="4">
        <f>'YTD CF'!J8</f>
        <v>3531</v>
      </c>
      <c r="L8" s="4">
        <f>'YTD CF'!K8-'YTD CF'!J8</f>
        <v>3531</v>
      </c>
      <c r="M8" s="4">
        <f>'YTD CF'!L8-'YTD CF'!K8</f>
        <v>3531</v>
      </c>
      <c r="N8" s="4">
        <f>'CASH FLOW'!D6-'YTD CF'!L8</f>
        <v>3531</v>
      </c>
      <c r="O8" s="4">
        <f>'YTD CF'!M8</f>
        <v>3531</v>
      </c>
      <c r="P8" s="4">
        <f>'YTD CF'!N8-'YTD CF'!M8</f>
        <v>3531</v>
      </c>
      <c r="Q8" s="4">
        <f>'YTD CF'!O8-'YTD CF'!N8</f>
        <v>3531</v>
      </c>
      <c r="R8" s="4">
        <f>'CASH FLOW'!E6-'YTD CF'!O8</f>
        <v>3531</v>
      </c>
      <c r="S8" s="4">
        <f>'YTD CF'!P8</f>
        <v>3531</v>
      </c>
      <c r="T8" s="4">
        <f>'YTD CF'!Q8-'YTD CF'!P8</f>
        <v>3531</v>
      </c>
      <c r="U8" s="4">
        <f>'YTD CF'!R8-'YTD CF'!Q8</f>
        <v>6329</v>
      </c>
      <c r="V8" s="4">
        <f>'CASH FLOW'!F6-'YTD CF'!R8</f>
        <v>12935</v>
      </c>
      <c r="W8" s="9">
        <f>'CF DRIVERS'!W8</f>
        <v>0</v>
      </c>
      <c r="X8" s="9">
        <f>'CF DRIVERS'!X8</f>
        <v>0</v>
      </c>
      <c r="Y8" s="9">
        <f>'CF DRIVERS'!Y8</f>
        <v>0</v>
      </c>
      <c r="Z8" s="9">
        <f>'CF DRIVERS'!Z8</f>
        <v>0</v>
      </c>
      <c r="AA8" s="9">
        <f>'CF DRIVERS'!AA8</f>
        <v>0</v>
      </c>
      <c r="AB8" s="9">
        <f>'CF DRIVERS'!AB8</f>
        <v>0</v>
      </c>
      <c r="AC8" s="9">
        <f>'CF DRIVERS'!AC8</f>
        <v>0</v>
      </c>
      <c r="AD8" s="9">
        <f>'CF DRIVERS'!AD8</f>
        <v>0</v>
      </c>
      <c r="AE8" s="9">
        <f>'CF DRIVERS'!AE8</f>
        <v>0</v>
      </c>
      <c r="AF8" s="9">
        <f>'CF DRIVERS'!AF8</f>
        <v>0</v>
      </c>
      <c r="AG8" s="9">
        <f>'CF DRIVERS'!AG8</f>
        <v>0</v>
      </c>
      <c r="AH8" s="9">
        <f>'CF DRIVERS'!AH8</f>
        <v>0</v>
      </c>
      <c r="AI8" s="9">
        <f>'CF DRIVERS'!AI8</f>
        <v>0</v>
      </c>
      <c r="AJ8" s="9">
        <f>'CF DRIVERS'!AJ8</f>
        <v>0</v>
      </c>
      <c r="AK8" s="9">
        <f>'CF DRIVERS'!AK8</f>
        <v>0</v>
      </c>
      <c r="AL8" s="9">
        <f>'CF DRIVERS'!AL8</f>
        <v>0</v>
      </c>
      <c r="AM8" s="9">
        <f>'CF DRIVERS'!AM8</f>
        <v>0</v>
      </c>
      <c r="AN8" s="9">
        <f>'CF DRIVERS'!AN8</f>
        <v>0</v>
      </c>
      <c r="AO8" s="9">
        <f>'CF DRIVERS'!AO8</f>
        <v>0</v>
      </c>
      <c r="AP8" s="9">
        <f>'CF DRIVERS'!AP8</f>
        <v>0</v>
      </c>
    </row>
    <row r="9" spans="1:42" x14ac:dyDescent="0.3">
      <c r="A9" s="3" t="s">
        <v>78</v>
      </c>
      <c r="B9" s="4">
        <f>'YTD CF'!C9-'YTD CF'!B9</f>
        <v>349192</v>
      </c>
      <c r="C9" s="4">
        <f>'YTD CF'!D9</f>
        <v>754</v>
      </c>
      <c r="D9" s="4">
        <f>'YTD CF'!E9-'YTD CF'!D9</f>
        <v>1259322</v>
      </c>
      <c r="E9" s="4">
        <f>'YTD CF'!F9-'YTD CF'!E9</f>
        <v>-1247842</v>
      </c>
      <c r="F9" s="4">
        <f>'CASH FLOW'!B7-'YTD CF'!F9</f>
        <v>-9879</v>
      </c>
      <c r="G9" s="4">
        <f>'YTD CF'!G9</f>
        <v>2596</v>
      </c>
      <c r="H9" s="4">
        <f>'YTD CF'!H9-'YTD CF'!G9</f>
        <v>-2265</v>
      </c>
      <c r="I9" s="4">
        <f>'YTD CF'!I9-'YTD CF'!H9</f>
        <v>747</v>
      </c>
      <c r="J9" s="4">
        <f>'CASH FLOW'!C7-'YTD CF'!I9</f>
        <v>5053</v>
      </c>
      <c r="K9" s="4">
        <f>'YTD CF'!J9</f>
        <v>1672</v>
      </c>
      <c r="L9" s="4">
        <f>'YTD CF'!K9-'YTD CF'!J9</f>
        <v>-5560</v>
      </c>
      <c r="M9" s="4">
        <f>'YTD CF'!L9-'YTD CF'!K9</f>
        <v>6565</v>
      </c>
      <c r="N9" s="4">
        <f>'CASH FLOW'!D7-'YTD CF'!L9</f>
        <v>4635</v>
      </c>
      <c r="O9" s="4">
        <f>'YTD CF'!M9</f>
        <v>2386</v>
      </c>
      <c r="P9" s="4">
        <f>'YTD CF'!N9-'YTD CF'!M9</f>
        <v>9168</v>
      </c>
      <c r="Q9" s="4">
        <f>'YTD CF'!O9-'YTD CF'!N9</f>
        <v>5564</v>
      </c>
      <c r="R9" s="4">
        <f>'CASH FLOW'!E7-'YTD CF'!O9</f>
        <v>1968</v>
      </c>
      <c r="S9" s="4">
        <f>'YTD CF'!P9</f>
        <v>5337</v>
      </c>
      <c r="T9" s="4">
        <f>'YTD CF'!Q9-'YTD CF'!P9</f>
        <v>9925</v>
      </c>
      <c r="U9" s="4">
        <f>'YTD CF'!R9-'YTD CF'!Q9</f>
        <v>7051</v>
      </c>
      <c r="V9" s="4">
        <f>'CASH FLOW'!F7-'YTD CF'!R9</f>
        <v>6877</v>
      </c>
      <c r="W9" s="9">
        <f>'CF DRIVERS'!W9</f>
        <v>0</v>
      </c>
      <c r="X9" s="9">
        <f>'CF DRIVERS'!X9</f>
        <v>0</v>
      </c>
      <c r="Y9" s="9">
        <f>'CF DRIVERS'!Y9</f>
        <v>0</v>
      </c>
      <c r="Z9" s="9">
        <f>'CF DRIVERS'!Z9</f>
        <v>0</v>
      </c>
      <c r="AA9" s="9">
        <f>'CF DRIVERS'!AA9</f>
        <v>0</v>
      </c>
      <c r="AB9" s="9">
        <f>'CF DRIVERS'!AB9</f>
        <v>0</v>
      </c>
      <c r="AC9" s="9">
        <f>'CF DRIVERS'!AC9</f>
        <v>0</v>
      </c>
      <c r="AD9" s="9">
        <f>'CF DRIVERS'!AD9</f>
        <v>0</v>
      </c>
      <c r="AE9" s="9">
        <f>'CF DRIVERS'!AE9</f>
        <v>0</v>
      </c>
      <c r="AF9" s="9">
        <f>'CF DRIVERS'!AF9</f>
        <v>0</v>
      </c>
      <c r="AG9" s="9">
        <f>'CF DRIVERS'!AG9</f>
        <v>0</v>
      </c>
      <c r="AH9" s="9">
        <f>'CF DRIVERS'!AH9</f>
        <v>0</v>
      </c>
      <c r="AI9" s="9">
        <f>'CF DRIVERS'!AI9</f>
        <v>0</v>
      </c>
      <c r="AJ9" s="9">
        <f>'CF DRIVERS'!AJ9</f>
        <v>0</v>
      </c>
      <c r="AK9" s="9">
        <f>'CF DRIVERS'!AK9</f>
        <v>0</v>
      </c>
      <c r="AL9" s="9">
        <f>'CF DRIVERS'!AL9</f>
        <v>0</v>
      </c>
      <c r="AM9" s="9">
        <f>'CF DRIVERS'!AM9</f>
        <v>0</v>
      </c>
      <c r="AN9" s="9">
        <f>'CF DRIVERS'!AN9</f>
        <v>0</v>
      </c>
      <c r="AO9" s="9">
        <f>'CF DRIVERS'!AO9</f>
        <v>0</v>
      </c>
      <c r="AP9" s="9">
        <f>'CF DRIVERS'!AP9</f>
        <v>0</v>
      </c>
    </row>
    <row r="10" spans="1:42" x14ac:dyDescent="0.3">
      <c r="A10" s="3" t="s">
        <v>79</v>
      </c>
      <c r="B10" s="4">
        <f>'YTD CF'!C10-'YTD CF'!B10</f>
        <v>0</v>
      </c>
      <c r="C10" s="4">
        <f>'YTD CF'!D10</f>
        <v>0</v>
      </c>
      <c r="D10" s="4">
        <f>'YTD CF'!E10-'YTD CF'!D10</f>
        <v>0</v>
      </c>
      <c r="E10" s="4">
        <f>'YTD CF'!F10-'YTD CF'!E10</f>
        <v>0</v>
      </c>
      <c r="F10" s="4">
        <f>'CASH FLOW'!B8-'YTD CF'!F10</f>
        <v>0</v>
      </c>
      <c r="G10" s="4">
        <f>'YTD CF'!G10</f>
        <v>0</v>
      </c>
      <c r="H10" s="4">
        <f>'YTD CF'!H10-'YTD CF'!G10</f>
        <v>0</v>
      </c>
      <c r="I10" s="4">
        <f>'YTD CF'!I10-'YTD CF'!H10</f>
        <v>0</v>
      </c>
      <c r="J10" s="4">
        <f>'CASH FLOW'!C8-'YTD CF'!I10</f>
        <v>0</v>
      </c>
      <c r="K10" s="4">
        <f>'YTD CF'!J10</f>
        <v>0</v>
      </c>
      <c r="L10" s="4">
        <f>'YTD CF'!K10-'YTD CF'!J10</f>
        <v>191</v>
      </c>
      <c r="M10" s="4">
        <f>'YTD CF'!L10-'YTD CF'!K10</f>
        <v>4</v>
      </c>
      <c r="N10" s="4">
        <f>'CASH FLOW'!D8-'YTD CF'!L10</f>
        <v>3</v>
      </c>
      <c r="O10" s="4">
        <f>'YTD CF'!M10</f>
        <v>-8</v>
      </c>
      <c r="P10" s="4">
        <f>'YTD CF'!N10-'YTD CF'!M10</f>
        <v>39</v>
      </c>
      <c r="Q10" s="4">
        <f>'YTD CF'!O10-'YTD CF'!N10</f>
        <v>95</v>
      </c>
      <c r="R10" s="4">
        <f>'CASH FLOW'!E8-'YTD CF'!O10</f>
        <v>47</v>
      </c>
      <c r="S10" s="4">
        <f>'YTD CF'!P10</f>
        <v>0</v>
      </c>
      <c r="T10" s="4">
        <f>'YTD CF'!Q10-'YTD CF'!P10</f>
        <v>0</v>
      </c>
      <c r="U10" s="4">
        <f>'YTD CF'!R10-'YTD CF'!Q10</f>
        <v>0</v>
      </c>
      <c r="V10" s="4">
        <f>'CASH FLOW'!F8-'YTD CF'!R10</f>
        <v>0</v>
      </c>
      <c r="W10" s="9">
        <f>'CF DRIVERS'!W10</f>
        <v>0</v>
      </c>
      <c r="X10" s="9">
        <f>'CF DRIVERS'!X10</f>
        <v>0</v>
      </c>
      <c r="Y10" s="9">
        <f>'CF DRIVERS'!Y10</f>
        <v>0</v>
      </c>
      <c r="Z10" s="9">
        <f>'CF DRIVERS'!Z10</f>
        <v>0</v>
      </c>
      <c r="AA10" s="9">
        <f>'CF DRIVERS'!AA10</f>
        <v>0</v>
      </c>
      <c r="AB10" s="9">
        <f>'CF DRIVERS'!AB10</f>
        <v>0</v>
      </c>
      <c r="AC10" s="9">
        <f>'CF DRIVERS'!AC10</f>
        <v>0</v>
      </c>
      <c r="AD10" s="9">
        <f>'CF DRIVERS'!AD10</f>
        <v>0</v>
      </c>
      <c r="AE10" s="9">
        <f>'CF DRIVERS'!AE10</f>
        <v>0</v>
      </c>
      <c r="AF10" s="9">
        <f>'CF DRIVERS'!AF10</f>
        <v>0</v>
      </c>
      <c r="AG10" s="9">
        <f>'CF DRIVERS'!AG10</f>
        <v>0</v>
      </c>
      <c r="AH10" s="9">
        <f>'CF DRIVERS'!AH10</f>
        <v>0</v>
      </c>
      <c r="AI10" s="9">
        <f>'CF DRIVERS'!AI10</f>
        <v>0</v>
      </c>
      <c r="AJ10" s="9">
        <f>'CF DRIVERS'!AJ10</f>
        <v>0</v>
      </c>
      <c r="AK10" s="9">
        <f>'CF DRIVERS'!AK10</f>
        <v>0</v>
      </c>
      <c r="AL10" s="9">
        <f>'CF DRIVERS'!AL10</f>
        <v>0</v>
      </c>
      <c r="AM10" s="9">
        <f>'CF DRIVERS'!AM10</f>
        <v>0</v>
      </c>
      <c r="AN10" s="9">
        <f>'CF DRIVERS'!AN10</f>
        <v>0</v>
      </c>
      <c r="AO10" s="9">
        <f>'CF DRIVERS'!AO10</f>
        <v>0</v>
      </c>
      <c r="AP10" s="9">
        <f>'CF DRIVERS'!AP10</f>
        <v>0</v>
      </c>
    </row>
    <row r="11" spans="1:42" x14ac:dyDescent="0.3">
      <c r="A11" s="3" t="s">
        <v>80</v>
      </c>
      <c r="B11" s="4">
        <f>'YTD CF'!C11-'YTD CF'!B11</f>
        <v>2143700</v>
      </c>
      <c r="C11" s="4">
        <f>'YTD CF'!D11</f>
        <v>3575</v>
      </c>
      <c r="D11" s="4">
        <f>'YTD CF'!E11-'YTD CF'!D11</f>
        <v>7593685</v>
      </c>
      <c r="E11" s="4">
        <f>'YTD CF'!F11-'YTD CF'!E11</f>
        <v>5803321</v>
      </c>
      <c r="F11" s="4">
        <f>'CASH FLOW'!B9-'YTD CF'!F11</f>
        <v>-13364106</v>
      </c>
      <c r="G11" s="4">
        <f>'YTD CF'!G11</f>
        <v>4310</v>
      </c>
      <c r="H11" s="4">
        <f>'YTD CF'!H11-'YTD CF'!G11</f>
        <v>4207</v>
      </c>
      <c r="I11" s="4">
        <f>'YTD CF'!I11-'YTD CF'!H11</f>
        <v>6263</v>
      </c>
      <c r="J11" s="4">
        <f>'CASH FLOW'!C9-'YTD CF'!I11</f>
        <v>5885</v>
      </c>
      <c r="K11" s="4">
        <f>'YTD CF'!J11</f>
        <v>5507</v>
      </c>
      <c r="L11" s="4">
        <f>'YTD CF'!K11-'YTD CF'!J11</f>
        <v>5735</v>
      </c>
      <c r="M11" s="4">
        <f>'YTD CF'!L11-'YTD CF'!K11</f>
        <v>4979</v>
      </c>
      <c r="N11" s="4">
        <f>'CASH FLOW'!D9-'YTD CF'!L11</f>
        <v>5005</v>
      </c>
      <c r="O11" s="4">
        <f>'YTD CF'!M11</f>
        <v>3563</v>
      </c>
      <c r="P11" s="4">
        <f>'YTD CF'!N11-'YTD CF'!M11</f>
        <v>4746</v>
      </c>
      <c r="Q11" s="4">
        <f>'YTD CF'!O11-'YTD CF'!N11</f>
        <v>5376</v>
      </c>
      <c r="R11" s="4">
        <f>'CASH FLOW'!E9-'YTD CF'!O11</f>
        <v>5906</v>
      </c>
      <c r="S11" s="4">
        <f>'YTD CF'!P11</f>
        <v>5029</v>
      </c>
      <c r="T11" s="4">
        <f>'YTD CF'!Q11-'YTD CF'!P11</f>
        <v>6434</v>
      </c>
      <c r="U11" s="4">
        <f>'YTD CF'!R11-'YTD CF'!Q11</f>
        <v>7384</v>
      </c>
      <c r="V11" s="4">
        <f>'CASH FLOW'!F9-'YTD CF'!R11</f>
        <v>9203</v>
      </c>
      <c r="W11" s="9">
        <f>'QTR P&amp;L'!W2*'CF DRIVERS'!W11</f>
        <v>9158.8574415326857</v>
      </c>
      <c r="X11" s="9">
        <f>'QTR P&amp;L'!X2*'CF DRIVERS'!X11</f>
        <v>9114.9266146168266</v>
      </c>
      <c r="Y11" s="9">
        <f>'QTR P&amp;L'!Y2*'CF DRIVERS'!Y11</f>
        <v>9071.2065036735476</v>
      </c>
      <c r="Z11" s="9">
        <f>'QTR P&amp;L'!Z2*'CF DRIVERS'!Z11</f>
        <v>9027.6960979952364</v>
      </c>
      <c r="AA11" s="9">
        <f>'QTR P&amp;L'!AA2*'CF DRIVERS'!AA11</f>
        <v>8984.3943917221841</v>
      </c>
      <c r="AB11" s="9">
        <f>'QTR P&amp;L'!AB2*'CF DRIVERS'!AB11</f>
        <v>8941.3003838193272</v>
      </c>
      <c r="AC11" s="9">
        <f>'QTR P&amp;L'!AC2*'CF DRIVERS'!AC11</f>
        <v>8898.4130780531032</v>
      </c>
      <c r="AD11" s="9">
        <f>'QTR P&amp;L'!AD2*'CF DRIVERS'!AD11</f>
        <v>8855.7314829684274</v>
      </c>
      <c r="AE11" s="9">
        <f>'QTR P&amp;L'!AE2*'CF DRIVERS'!AE11</f>
        <v>8813.2546118657683</v>
      </c>
      <c r="AF11" s="9">
        <f>'QTR P&amp;L'!AF2*'CF DRIVERS'!AF11</f>
        <v>8770.9814827783412</v>
      </c>
      <c r="AG11" s="9">
        <f>'QTR P&amp;L'!AG2*'CF DRIVERS'!AG11</f>
        <v>8728.9111184493959</v>
      </c>
      <c r="AH11" s="9">
        <f>'QTR P&amp;L'!AH2*'CF DRIVERS'!AH11</f>
        <v>8687.0425463096435</v>
      </c>
      <c r="AI11" s="9">
        <f>'QTR P&amp;L'!AI2*'CF DRIVERS'!AI11</f>
        <v>8645.3747984547572</v>
      </c>
      <c r="AJ11" s="9">
        <f>'QTR P&amp;L'!AJ2*'CF DRIVERS'!AJ11</f>
        <v>8603.9069116230039</v>
      </c>
      <c r="AK11" s="9">
        <f>'QTR P&amp;L'!AK2*'CF DRIVERS'!AK11</f>
        <v>8562.6379271729711</v>
      </c>
      <c r="AL11" s="9">
        <f>'QTR P&amp;L'!AL2*'CF DRIVERS'!AL11</f>
        <v>8521.5668910614131</v>
      </c>
      <c r="AM11" s="9">
        <f>'QTR P&amp;L'!AM2*'CF DRIVERS'!AM11</f>
        <v>8480.6928538211869</v>
      </c>
      <c r="AN11" s="9">
        <f>'QTR P&amp;L'!AN2*'CF DRIVERS'!AN11</f>
        <v>8440.0148705393076</v>
      </c>
      <c r="AO11" s="9">
        <f>'QTR P&amp;L'!AO2*'CF DRIVERS'!AO11</f>
        <v>8399.5320008351046</v>
      </c>
      <c r="AP11" s="9">
        <f>'QTR P&amp;L'!AP2*'CF DRIVERS'!AP11</f>
        <v>8359.2433088384787</v>
      </c>
    </row>
    <row r="12" spans="1:42" x14ac:dyDescent="0.3">
      <c r="A12" s="3" t="s">
        <v>139</v>
      </c>
      <c r="B12" s="4">
        <f>'YTD CF'!C12-'YTD CF'!B12</f>
        <v>-407593</v>
      </c>
      <c r="C12" s="4">
        <f>'YTD CF'!D12</f>
        <v>0</v>
      </c>
      <c r="D12" s="4">
        <f>'YTD CF'!E12-'YTD CF'!D12</f>
        <v>0</v>
      </c>
      <c r="E12" s="4">
        <f>'YTD CF'!F12-'YTD CF'!E12</f>
        <v>0</v>
      </c>
      <c r="G12" s="4">
        <f>'YTD CF'!G12</f>
        <v>0</v>
      </c>
      <c r="H12" s="4">
        <f>'YTD CF'!H12-'YTD CF'!G12</f>
        <v>0</v>
      </c>
      <c r="I12" s="4">
        <f>'YTD CF'!I12-'YTD CF'!H12</f>
        <v>0</v>
      </c>
      <c r="K12" s="4">
        <f>'YTD CF'!J12</f>
        <v>0</v>
      </c>
      <c r="L12" s="4">
        <f>'YTD CF'!K12-'YTD CF'!J12</f>
        <v>0</v>
      </c>
      <c r="M12" s="4">
        <f>'YTD CF'!L12-'YTD CF'!K12</f>
        <v>0</v>
      </c>
      <c r="O12" s="4">
        <f>'YTD CF'!M12</f>
        <v>0</v>
      </c>
      <c r="P12" s="4">
        <f>'YTD CF'!N12-'YTD CF'!M12</f>
        <v>0</v>
      </c>
      <c r="Q12" s="4">
        <f>'YTD CF'!O12-'YTD CF'!N12</f>
        <v>0</v>
      </c>
      <c r="S12" s="4">
        <f>'YTD CF'!P12</f>
        <v>0</v>
      </c>
      <c r="T12" s="4">
        <f>'YTD CF'!Q12-'YTD CF'!P12</f>
        <v>0</v>
      </c>
      <c r="U12" s="4">
        <f>'YTD CF'!R12-'YTD CF'!Q12</f>
        <v>0</v>
      </c>
      <c r="W12" s="9">
        <f>'CF DRIVERS'!W12</f>
        <v>0</v>
      </c>
      <c r="X12" s="9">
        <f>'CF DRIVERS'!X12</f>
        <v>0</v>
      </c>
      <c r="Y12" s="9">
        <f>'CF DRIVERS'!Y12</f>
        <v>0</v>
      </c>
      <c r="Z12" s="9">
        <f>'CF DRIVERS'!Z12</f>
        <v>0</v>
      </c>
      <c r="AA12" s="9">
        <f>'CF DRIVERS'!AA12</f>
        <v>0</v>
      </c>
      <c r="AB12" s="9">
        <f>'CF DRIVERS'!AB12</f>
        <v>0</v>
      </c>
      <c r="AC12" s="9">
        <f>'CF DRIVERS'!AC12</f>
        <v>0</v>
      </c>
      <c r="AD12" s="9">
        <f>'CF DRIVERS'!AD12</f>
        <v>0</v>
      </c>
      <c r="AE12" s="9">
        <f>'CF DRIVERS'!AE12</f>
        <v>0</v>
      </c>
      <c r="AF12" s="9">
        <f>'CF DRIVERS'!AF12</f>
        <v>0</v>
      </c>
      <c r="AG12" s="9">
        <f>'CF DRIVERS'!AG12</f>
        <v>0</v>
      </c>
      <c r="AH12" s="9">
        <f>'CF DRIVERS'!AH12</f>
        <v>0</v>
      </c>
      <c r="AI12" s="9">
        <f>'CF DRIVERS'!AI12</f>
        <v>0</v>
      </c>
      <c r="AJ12" s="9">
        <f>'CF DRIVERS'!AJ12</f>
        <v>0</v>
      </c>
      <c r="AK12" s="9">
        <f>'CF DRIVERS'!AK12</f>
        <v>0</v>
      </c>
      <c r="AL12" s="9">
        <f>'CF DRIVERS'!AL12</f>
        <v>0</v>
      </c>
      <c r="AM12" s="9">
        <f>'CF DRIVERS'!AM12</f>
        <v>0</v>
      </c>
      <c r="AN12" s="9">
        <f>'CF DRIVERS'!AN12</f>
        <v>0</v>
      </c>
      <c r="AO12" s="9">
        <f>'CF DRIVERS'!AO12</f>
        <v>0</v>
      </c>
      <c r="AP12" s="9">
        <f>'CF DRIVERS'!AP12</f>
        <v>0</v>
      </c>
    </row>
    <row r="13" spans="1:42" x14ac:dyDescent="0.3">
      <c r="A13" s="3" t="s">
        <v>82</v>
      </c>
      <c r="B13" s="4">
        <f>'YTD CF'!C13-'YTD CF'!B13</f>
        <v>0</v>
      </c>
      <c r="C13" s="4">
        <f>'YTD CF'!D13</f>
        <v>0</v>
      </c>
      <c r="D13" s="4">
        <f>'YTD CF'!E13-'YTD CF'!D13</f>
        <v>0</v>
      </c>
      <c r="E13" s="4">
        <f>'YTD CF'!F13-'YTD CF'!E13</f>
        <v>-14669</v>
      </c>
      <c r="F13" s="4">
        <f>'CASH FLOW'!B12-'YTD CF'!F13</f>
        <v>14641</v>
      </c>
      <c r="G13" s="4">
        <f>'YTD CF'!G13</f>
        <v>0</v>
      </c>
      <c r="H13" s="4">
        <f>'YTD CF'!H13-'YTD CF'!G13</f>
        <v>0</v>
      </c>
      <c r="I13" s="4">
        <f>'YTD CF'!I13-'YTD CF'!H13</f>
        <v>0</v>
      </c>
      <c r="J13" s="4">
        <f>'CASH FLOW'!C12-'YTD CF'!I13</f>
        <v>0</v>
      </c>
      <c r="K13" s="4">
        <f>'YTD CF'!J13</f>
        <v>0</v>
      </c>
      <c r="L13" s="4">
        <f>'YTD CF'!K13-'YTD CF'!J13</f>
        <v>0</v>
      </c>
      <c r="M13" s="4">
        <f>'YTD CF'!L13-'YTD CF'!K13</f>
        <v>0</v>
      </c>
      <c r="N13" s="4">
        <f>'CASH FLOW'!D12-'YTD CF'!L13</f>
        <v>0</v>
      </c>
      <c r="O13" s="4">
        <f>'YTD CF'!M13</f>
        <v>0</v>
      </c>
      <c r="P13" s="4">
        <f>'YTD CF'!N13-'YTD CF'!M13</f>
        <v>0</v>
      </c>
      <c r="Q13" s="4">
        <f>'YTD CF'!O13-'YTD CF'!N13</f>
        <v>0</v>
      </c>
      <c r="R13" s="4">
        <f>'CASH FLOW'!E12-'YTD CF'!O13</f>
        <v>0</v>
      </c>
      <c r="S13" s="4">
        <f>'YTD CF'!P13</f>
        <v>0</v>
      </c>
      <c r="T13" s="4">
        <f>'YTD CF'!Q13-'YTD CF'!P13</f>
        <v>0</v>
      </c>
      <c r="U13" s="4">
        <f>'YTD CF'!R13-'YTD CF'!Q13</f>
        <v>0</v>
      </c>
      <c r="V13" s="4">
        <f>'CASH FLOW'!F12-'YTD CF'!R13</f>
        <v>0</v>
      </c>
      <c r="W13" s="9">
        <f>'CF DRIVERS'!W13</f>
        <v>0</v>
      </c>
      <c r="X13" s="9">
        <f>'CF DRIVERS'!X13</f>
        <v>0</v>
      </c>
      <c r="Y13" s="9">
        <f>'CF DRIVERS'!Y13</f>
        <v>0</v>
      </c>
      <c r="Z13" s="9">
        <f>'CF DRIVERS'!Z13</f>
        <v>0</v>
      </c>
      <c r="AA13" s="9">
        <f>'CF DRIVERS'!AA13</f>
        <v>0</v>
      </c>
      <c r="AB13" s="9">
        <f>'CF DRIVERS'!AB13</f>
        <v>0</v>
      </c>
      <c r="AC13" s="9">
        <f>'CF DRIVERS'!AC13</f>
        <v>0</v>
      </c>
      <c r="AD13" s="9">
        <f>'CF DRIVERS'!AD13</f>
        <v>0</v>
      </c>
      <c r="AE13" s="9">
        <f>'CF DRIVERS'!AE13</f>
        <v>0</v>
      </c>
      <c r="AF13" s="9">
        <f>'CF DRIVERS'!AF13</f>
        <v>0</v>
      </c>
      <c r="AG13" s="9">
        <f>'CF DRIVERS'!AG13</f>
        <v>0</v>
      </c>
      <c r="AH13" s="9">
        <f>'CF DRIVERS'!AH13</f>
        <v>0</v>
      </c>
      <c r="AI13" s="9">
        <f>'CF DRIVERS'!AI13</f>
        <v>0</v>
      </c>
      <c r="AJ13" s="9">
        <f>'CF DRIVERS'!AJ13</f>
        <v>0</v>
      </c>
      <c r="AK13" s="9">
        <f>'CF DRIVERS'!AK13</f>
        <v>0</v>
      </c>
      <c r="AL13" s="9">
        <f>'CF DRIVERS'!AL13</f>
        <v>0</v>
      </c>
      <c r="AM13" s="9">
        <f>'CF DRIVERS'!AM13</f>
        <v>0</v>
      </c>
      <c r="AN13" s="9">
        <f>'CF DRIVERS'!AN13</f>
        <v>0</v>
      </c>
      <c r="AO13" s="9">
        <f>'CF DRIVERS'!AO13</f>
        <v>0</v>
      </c>
      <c r="AP13" s="9">
        <f>'CF DRIVERS'!AP13</f>
        <v>0</v>
      </c>
    </row>
    <row r="14" spans="1:42" x14ac:dyDescent="0.3">
      <c r="A14" s="3" t="s">
        <v>81</v>
      </c>
      <c r="B14" s="4">
        <f>'YTD CF'!C14-'YTD CF'!B14</f>
        <v>0</v>
      </c>
      <c r="C14" s="4">
        <f>'YTD CF'!D14</f>
        <v>0</v>
      </c>
      <c r="D14" s="4">
        <f>'YTD CF'!E14-'YTD CF'!D14</f>
        <v>0</v>
      </c>
      <c r="E14" s="4">
        <f>'YTD CF'!F14-'YTD CF'!E14</f>
        <v>-182156</v>
      </c>
      <c r="F14" s="4">
        <f>'CASH FLOW'!B10-'YTD CF'!F14</f>
        <v>172955</v>
      </c>
      <c r="G14" s="4">
        <f>'YTD CF'!G14</f>
        <v>2561</v>
      </c>
      <c r="H14" s="4">
        <f>'YTD CF'!H14-'YTD CF'!G14</f>
        <v>-1489</v>
      </c>
      <c r="I14" s="4">
        <f>'YTD CF'!I14-'YTD CF'!H14</f>
        <v>30257</v>
      </c>
      <c r="J14" s="4">
        <f>'CASH FLOW'!C10-'YTD CF'!I14</f>
        <v>-11085</v>
      </c>
      <c r="K14" s="4">
        <f>'YTD CF'!J14</f>
        <v>2873</v>
      </c>
      <c r="L14" s="4">
        <f>'YTD CF'!K14-'YTD CF'!J14</f>
        <v>-43917</v>
      </c>
      <c r="M14" s="4">
        <f>'YTD CF'!L14-'YTD CF'!K14</f>
        <v>-3259</v>
      </c>
      <c r="N14" s="4">
        <f>'CASH FLOW'!D10-'YTD CF'!L14</f>
        <v>2248</v>
      </c>
      <c r="O14" s="4">
        <f>'YTD CF'!M14</f>
        <v>6450</v>
      </c>
      <c r="P14" s="4">
        <f>'YTD CF'!N14-'YTD CF'!M14</f>
        <v>-338</v>
      </c>
      <c r="Q14" s="4">
        <f>'YTD CF'!O14-'YTD CF'!N14</f>
        <v>-1385</v>
      </c>
      <c r="R14" s="4">
        <f>'CASH FLOW'!E10-'YTD CF'!O14</f>
        <v>-14457</v>
      </c>
      <c r="S14" s="4">
        <f>'YTD CF'!P14</f>
        <v>269</v>
      </c>
      <c r="T14" s="4">
        <f>'YTD CF'!Q14-'YTD CF'!P14</f>
        <v>-4430</v>
      </c>
      <c r="U14" s="4">
        <f>'YTD CF'!R14-'YTD CF'!Q14</f>
        <v>-67247</v>
      </c>
      <c r="V14" s="4">
        <f>'CASH FLOW'!F10-'YTD CF'!R14</f>
        <v>14072</v>
      </c>
      <c r="W14" s="9">
        <f>'CF DRIVERS'!W14</f>
        <v>14072</v>
      </c>
      <c r="X14" s="9">
        <f>'CF DRIVERS'!X14</f>
        <v>14072</v>
      </c>
      <c r="Y14" s="9">
        <f>'CF DRIVERS'!Y14</f>
        <v>14072</v>
      </c>
      <c r="Z14" s="9">
        <f>'CF DRIVERS'!Z14</f>
        <v>14072</v>
      </c>
      <c r="AA14" s="9">
        <f>'CF DRIVERS'!AA14</f>
        <v>14072</v>
      </c>
      <c r="AB14" s="9">
        <f>'CF DRIVERS'!AB14</f>
        <v>14072</v>
      </c>
      <c r="AC14" s="9">
        <f>'CF DRIVERS'!AC14</f>
        <v>14072</v>
      </c>
      <c r="AD14" s="9">
        <f>'CF DRIVERS'!AD14</f>
        <v>14072</v>
      </c>
      <c r="AE14" s="9">
        <f>'CF DRIVERS'!AE14</f>
        <v>14072</v>
      </c>
      <c r="AF14" s="9">
        <f>'CF DRIVERS'!AF14</f>
        <v>14072</v>
      </c>
      <c r="AG14" s="9">
        <f>'CF DRIVERS'!AG14</f>
        <v>14072</v>
      </c>
      <c r="AH14" s="9">
        <f>'CF DRIVERS'!AH14</f>
        <v>14072</v>
      </c>
      <c r="AI14" s="9">
        <f>'CF DRIVERS'!AI14</f>
        <v>14072</v>
      </c>
      <c r="AJ14" s="9">
        <f>'CF DRIVERS'!AJ14</f>
        <v>14072</v>
      </c>
      <c r="AK14" s="9">
        <f>'CF DRIVERS'!AK14</f>
        <v>14072</v>
      </c>
      <c r="AL14" s="9">
        <f>'CF DRIVERS'!AL14</f>
        <v>14072</v>
      </c>
      <c r="AM14" s="9">
        <f>'CF DRIVERS'!AM14</f>
        <v>14072</v>
      </c>
      <c r="AN14" s="9">
        <f>'CF DRIVERS'!AN14</f>
        <v>14072</v>
      </c>
      <c r="AO14" s="9">
        <f>'CF DRIVERS'!AO14</f>
        <v>14072</v>
      </c>
      <c r="AP14" s="9">
        <f>'CF DRIVERS'!AP14</f>
        <v>14072</v>
      </c>
    </row>
    <row r="15" spans="1:42" x14ac:dyDescent="0.3">
      <c r="A15" s="3" t="s">
        <v>23</v>
      </c>
      <c r="B15" s="4">
        <f>'YTD CF'!C15-'YTD CF'!B15</f>
        <v>0</v>
      </c>
      <c r="C15" s="4">
        <f>'YTD CF'!D15</f>
        <v>0</v>
      </c>
      <c r="D15" s="4">
        <f>'YTD CF'!E15-'YTD CF'!D15</f>
        <v>0</v>
      </c>
      <c r="E15" s="4">
        <f>'YTD CF'!F15-'YTD CF'!E15</f>
        <v>-76765</v>
      </c>
      <c r="F15" s="4">
        <f>'CASH FLOW'!B11-'YTD CF'!F15</f>
        <v>77645</v>
      </c>
      <c r="G15" s="4">
        <f>'YTD CF'!G15</f>
        <v>85</v>
      </c>
      <c r="H15" s="4">
        <f>'YTD CF'!H15-'YTD CF'!G15</f>
        <v>517</v>
      </c>
      <c r="I15" s="4">
        <f>'YTD CF'!I15-'YTD CF'!H15</f>
        <v>405</v>
      </c>
      <c r="J15" s="4">
        <f>'CASH FLOW'!C11-'YTD CF'!I15</f>
        <v>-524</v>
      </c>
      <c r="K15" s="4">
        <f>'YTD CF'!J15</f>
        <v>69</v>
      </c>
      <c r="L15" s="4">
        <f>'YTD CF'!K15-'YTD CF'!J15</f>
        <v>137</v>
      </c>
      <c r="M15" s="4">
        <f>'YTD CF'!L15-'YTD CF'!K15</f>
        <v>52</v>
      </c>
      <c r="N15" s="4">
        <f>'CASH FLOW'!D11-'YTD CF'!L15</f>
        <v>988</v>
      </c>
      <c r="O15" s="4">
        <f>'YTD CF'!M15</f>
        <v>369</v>
      </c>
      <c r="P15" s="4">
        <f>'YTD CF'!N15-'YTD CF'!M15</f>
        <v>264</v>
      </c>
      <c r="Q15" s="4">
        <f>'YTD CF'!O15-'YTD CF'!N15</f>
        <v>-277</v>
      </c>
      <c r="R15" s="4">
        <f>'CASH FLOW'!E11-'YTD CF'!O15</f>
        <v>1378</v>
      </c>
      <c r="S15" s="4">
        <f>'YTD CF'!P15</f>
        <v>0</v>
      </c>
      <c r="T15" s="4">
        <f>'YTD CF'!Q15-'YTD CF'!P15</f>
        <v>0</v>
      </c>
      <c r="U15" s="4">
        <f>'YTD CF'!R15-'YTD CF'!Q15</f>
        <v>0</v>
      </c>
      <c r="V15" s="4">
        <f>'CASH FLOW'!F11-'YTD CF'!R15</f>
        <v>0</v>
      </c>
      <c r="W15" s="9">
        <f>'CF DRIVERS'!W15</f>
        <v>0</v>
      </c>
      <c r="X15" s="9">
        <f>'CF DRIVERS'!X15</f>
        <v>0</v>
      </c>
      <c r="Y15" s="9">
        <f>'CF DRIVERS'!Y15</f>
        <v>0</v>
      </c>
      <c r="Z15" s="9">
        <f>'CF DRIVERS'!Z15</f>
        <v>0</v>
      </c>
      <c r="AA15" s="9">
        <f>'CF DRIVERS'!AA15</f>
        <v>0</v>
      </c>
      <c r="AB15" s="9">
        <f>'CF DRIVERS'!AB15</f>
        <v>0</v>
      </c>
      <c r="AC15" s="9">
        <f>'CF DRIVERS'!AC15</f>
        <v>0</v>
      </c>
      <c r="AD15" s="9">
        <f>'CF DRIVERS'!AD15</f>
        <v>0</v>
      </c>
      <c r="AE15" s="9">
        <f>'CF DRIVERS'!AE15</f>
        <v>0</v>
      </c>
      <c r="AF15" s="9">
        <f>'CF DRIVERS'!AF15</f>
        <v>0</v>
      </c>
      <c r="AG15" s="9">
        <f>'CF DRIVERS'!AG15</f>
        <v>0</v>
      </c>
      <c r="AH15" s="9">
        <f>'CF DRIVERS'!AH15</f>
        <v>0</v>
      </c>
      <c r="AI15" s="9">
        <f>'CF DRIVERS'!AI15</f>
        <v>0</v>
      </c>
      <c r="AJ15" s="9">
        <f>'CF DRIVERS'!AJ15</f>
        <v>0</v>
      </c>
      <c r="AK15" s="9">
        <f>'CF DRIVERS'!AK15</f>
        <v>0</v>
      </c>
      <c r="AL15" s="9">
        <f>'CF DRIVERS'!AL15</f>
        <v>0</v>
      </c>
      <c r="AM15" s="9">
        <f>'CF DRIVERS'!AM15</f>
        <v>0</v>
      </c>
      <c r="AN15" s="9">
        <f>'CF DRIVERS'!AN15</f>
        <v>0</v>
      </c>
      <c r="AO15" s="9">
        <f>'CF DRIVERS'!AO15</f>
        <v>0</v>
      </c>
      <c r="AP15" s="9">
        <f>'CF DRIVERS'!AP15</f>
        <v>0</v>
      </c>
    </row>
    <row r="16" spans="1:42" x14ac:dyDescent="0.3">
      <c r="A16" s="3" t="s">
        <v>83</v>
      </c>
      <c r="B16" s="4">
        <f>'YTD CF'!C16-'YTD CF'!B16</f>
        <v>0</v>
      </c>
      <c r="C16" s="4">
        <f>'YTD CF'!D16</f>
        <v>0</v>
      </c>
      <c r="D16" s="4">
        <f>'YTD CF'!E16-'YTD CF'!D16</f>
        <v>0</v>
      </c>
      <c r="E16" s="4">
        <f>'YTD CF'!F16-'YTD CF'!E16</f>
        <v>0</v>
      </c>
      <c r="F16" s="4">
        <f>'CASH FLOW'!B13-'YTD CF'!F16</f>
        <v>0</v>
      </c>
      <c r="G16" s="4">
        <f>'YTD CF'!G16</f>
        <v>0</v>
      </c>
      <c r="H16" s="4">
        <f>'YTD CF'!H16-'YTD CF'!G16</f>
        <v>0</v>
      </c>
      <c r="I16" s="4">
        <f>'YTD CF'!I16-'YTD CF'!H16</f>
        <v>0</v>
      </c>
      <c r="J16" s="4">
        <f>'CASH FLOW'!C13-'YTD CF'!I16</f>
        <v>0</v>
      </c>
      <c r="K16" s="4">
        <f>'YTD CF'!J16</f>
        <v>0</v>
      </c>
      <c r="L16" s="4">
        <f>'YTD CF'!K16-'YTD CF'!J16</f>
        <v>0</v>
      </c>
      <c r="M16" s="4">
        <f>'YTD CF'!L16-'YTD CF'!K16</f>
        <v>0</v>
      </c>
      <c r="N16" s="4">
        <f>'CASH FLOW'!D13-'YTD CF'!L16</f>
        <v>0</v>
      </c>
      <c r="O16" s="4">
        <f>'YTD CF'!M16</f>
        <v>0</v>
      </c>
      <c r="P16" s="4">
        <f>'YTD CF'!N16-'YTD CF'!M16</f>
        <v>0</v>
      </c>
      <c r="Q16" s="4">
        <f>'YTD CF'!O16-'YTD CF'!N16</f>
        <v>0</v>
      </c>
      <c r="R16" s="4">
        <f>'CASH FLOW'!E13-'YTD CF'!O16</f>
        <v>0</v>
      </c>
      <c r="S16" s="4">
        <f>'YTD CF'!P16</f>
        <v>0</v>
      </c>
      <c r="T16" s="4">
        <f>'YTD CF'!Q16-'YTD CF'!P16</f>
        <v>13800</v>
      </c>
      <c r="U16" s="4">
        <f>'YTD CF'!R16-'YTD CF'!Q16</f>
        <v>0</v>
      </c>
      <c r="V16" s="4">
        <f>'CASH FLOW'!F13-'YTD CF'!R16</f>
        <v>0</v>
      </c>
      <c r="W16" s="9">
        <f>'CF DRIVERS'!W16</f>
        <v>0</v>
      </c>
      <c r="X16" s="9">
        <f>'CF DRIVERS'!X16</f>
        <v>0</v>
      </c>
      <c r="Y16" s="9">
        <f>'CF DRIVERS'!Y16</f>
        <v>0</v>
      </c>
      <c r="Z16" s="9">
        <f>'CF DRIVERS'!Z16</f>
        <v>0</v>
      </c>
      <c r="AA16" s="9">
        <f>'CF DRIVERS'!AA16</f>
        <v>0</v>
      </c>
      <c r="AB16" s="9">
        <f>'CF DRIVERS'!AB16</f>
        <v>0</v>
      </c>
      <c r="AC16" s="9">
        <f>'CF DRIVERS'!AC16</f>
        <v>0</v>
      </c>
      <c r="AD16" s="9">
        <f>'CF DRIVERS'!AD16</f>
        <v>0</v>
      </c>
      <c r="AE16" s="9">
        <f>'CF DRIVERS'!AE16</f>
        <v>0</v>
      </c>
      <c r="AF16" s="9">
        <f>'CF DRIVERS'!AF16</f>
        <v>0</v>
      </c>
      <c r="AG16" s="9">
        <f>'CF DRIVERS'!AG16</f>
        <v>0</v>
      </c>
      <c r="AH16" s="9">
        <f>'CF DRIVERS'!AH16</f>
        <v>0</v>
      </c>
      <c r="AI16" s="9">
        <f>'CF DRIVERS'!AI16</f>
        <v>0</v>
      </c>
      <c r="AJ16" s="9">
        <f>'CF DRIVERS'!AJ16</f>
        <v>0</v>
      </c>
      <c r="AK16" s="9">
        <f>'CF DRIVERS'!AK16</f>
        <v>0</v>
      </c>
      <c r="AL16" s="9">
        <f>'CF DRIVERS'!AL16</f>
        <v>0</v>
      </c>
      <c r="AM16" s="9">
        <f>'CF DRIVERS'!AM16</f>
        <v>0</v>
      </c>
      <c r="AN16" s="9">
        <f>'CF DRIVERS'!AN16</f>
        <v>0</v>
      </c>
      <c r="AO16" s="9">
        <f>'CF DRIVERS'!AO16</f>
        <v>0</v>
      </c>
      <c r="AP16" s="9">
        <f>'CF DRIVERS'!AP16</f>
        <v>0</v>
      </c>
    </row>
    <row r="17" spans="1:42" x14ac:dyDescent="0.3">
      <c r="A17" s="3" t="s">
        <v>84</v>
      </c>
      <c r="B17" s="4">
        <f>'YTD CF'!C17-'YTD CF'!B17</f>
        <v>0</v>
      </c>
      <c r="C17" s="4">
        <f>'YTD CF'!D17</f>
        <v>0</v>
      </c>
      <c r="D17" s="4">
        <f>'YTD CF'!E17-'YTD CF'!D17</f>
        <v>0</v>
      </c>
      <c r="E17" s="4">
        <f>'YTD CF'!F17-'YTD CF'!E17</f>
        <v>0</v>
      </c>
      <c r="F17" s="4">
        <f>'CASH FLOW'!B14-'YTD CF'!F17</f>
        <v>0</v>
      </c>
      <c r="G17" s="4">
        <f>'YTD CF'!G17</f>
        <v>0</v>
      </c>
      <c r="H17" s="4">
        <f>'YTD CF'!H17-'YTD CF'!G17</f>
        <v>0</v>
      </c>
      <c r="I17" s="4">
        <f>'YTD CF'!I17-'YTD CF'!H17</f>
        <v>0</v>
      </c>
      <c r="J17" s="4">
        <f>'CASH FLOW'!C14-'YTD CF'!I17</f>
        <v>0</v>
      </c>
      <c r="K17" s="4">
        <f>'YTD CF'!J17</f>
        <v>0</v>
      </c>
      <c r="L17" s="4">
        <f>'YTD CF'!K17-'YTD CF'!J17</f>
        <v>0</v>
      </c>
      <c r="M17" s="4">
        <f>'YTD CF'!L17-'YTD CF'!K17</f>
        <v>0</v>
      </c>
      <c r="N17" s="4">
        <f>'CASH FLOW'!D14-'YTD CF'!L17</f>
        <v>0</v>
      </c>
      <c r="O17" s="4">
        <f>'YTD CF'!M17</f>
        <v>0</v>
      </c>
      <c r="P17" s="4">
        <f>'YTD CF'!N17-'YTD CF'!M17</f>
        <v>0</v>
      </c>
      <c r="Q17" s="4">
        <f>'YTD CF'!O17-'YTD CF'!N17</f>
        <v>0</v>
      </c>
      <c r="R17" s="4">
        <f>'CASH FLOW'!E14-'YTD CF'!O17</f>
        <v>0</v>
      </c>
      <c r="S17" s="4">
        <f>'YTD CF'!P17</f>
        <v>0</v>
      </c>
      <c r="T17" s="4">
        <f>'YTD CF'!Q17-'YTD CF'!P17</f>
        <v>0</v>
      </c>
      <c r="U17" s="4">
        <f>'YTD CF'!R17-'YTD CF'!Q17</f>
        <v>0</v>
      </c>
      <c r="V17" s="4">
        <f>'CASH FLOW'!F14-'YTD CF'!R17</f>
        <v>6003</v>
      </c>
      <c r="W17" s="9">
        <f>'CF DRIVERS'!W17</f>
        <v>0</v>
      </c>
      <c r="X17" s="9">
        <f>'CF DRIVERS'!X17</f>
        <v>0</v>
      </c>
      <c r="Y17" s="9">
        <f>'CF DRIVERS'!Y17</f>
        <v>0</v>
      </c>
      <c r="Z17" s="9">
        <f>'CF DRIVERS'!Z17</f>
        <v>0</v>
      </c>
      <c r="AA17" s="9">
        <f>'CF DRIVERS'!AA17</f>
        <v>0</v>
      </c>
      <c r="AB17" s="9">
        <f>'CF DRIVERS'!AB17</f>
        <v>0</v>
      </c>
      <c r="AC17" s="9">
        <f>'CF DRIVERS'!AC17</f>
        <v>0</v>
      </c>
      <c r="AD17" s="9">
        <f>'CF DRIVERS'!AD17</f>
        <v>0</v>
      </c>
      <c r="AE17" s="9">
        <f>'CF DRIVERS'!AE17</f>
        <v>0</v>
      </c>
      <c r="AF17" s="9">
        <f>'CF DRIVERS'!AF17</f>
        <v>0</v>
      </c>
      <c r="AG17" s="9">
        <f>'CF DRIVERS'!AG17</f>
        <v>0</v>
      </c>
      <c r="AH17" s="9">
        <f>'CF DRIVERS'!AH17</f>
        <v>0</v>
      </c>
      <c r="AI17" s="9">
        <f>'CF DRIVERS'!AI17</f>
        <v>0</v>
      </c>
      <c r="AJ17" s="9">
        <f>'CF DRIVERS'!AJ17</f>
        <v>0</v>
      </c>
      <c r="AK17" s="9">
        <f>'CF DRIVERS'!AK17</f>
        <v>0</v>
      </c>
      <c r="AL17" s="9">
        <f>'CF DRIVERS'!AL17</f>
        <v>0</v>
      </c>
      <c r="AM17" s="9">
        <f>'CF DRIVERS'!AM17</f>
        <v>0</v>
      </c>
      <c r="AN17" s="9">
        <f>'CF DRIVERS'!AN17</f>
        <v>0</v>
      </c>
      <c r="AO17" s="9">
        <f>'CF DRIVERS'!AO17</f>
        <v>0</v>
      </c>
      <c r="AP17" s="9">
        <f>'CF DRIVERS'!AP17</f>
        <v>0</v>
      </c>
    </row>
    <row r="18" spans="1:42" x14ac:dyDescent="0.3">
      <c r="A18" s="3" t="s">
        <v>85</v>
      </c>
      <c r="B18" s="4">
        <f>'YTD CF'!C18-'YTD CF'!B18</f>
        <v>43259</v>
      </c>
      <c r="C18" s="4">
        <f>'YTD CF'!D18</f>
        <v>0</v>
      </c>
      <c r="D18" s="4">
        <f>'YTD CF'!E18-'YTD CF'!D18</f>
        <v>0</v>
      </c>
      <c r="E18" s="4">
        <f>'YTD CF'!F18-'YTD CF'!E18</f>
        <v>-185716</v>
      </c>
      <c r="F18" s="4">
        <f>'CASH FLOW'!B15-'YTD CF'!F18</f>
        <v>185716</v>
      </c>
      <c r="G18" s="4">
        <f>'YTD CF'!G18</f>
        <v>0</v>
      </c>
      <c r="H18" s="4">
        <f>'YTD CF'!H18-'YTD CF'!G18</f>
        <v>0</v>
      </c>
      <c r="I18" s="4">
        <f>'YTD CF'!I18-'YTD CF'!H18</f>
        <v>56</v>
      </c>
      <c r="J18" s="4">
        <f>'CASH FLOW'!C15-'YTD CF'!I18</f>
        <v>-19</v>
      </c>
      <c r="K18" s="4">
        <f>'YTD CF'!J18</f>
        <v>-4</v>
      </c>
      <c r="L18" s="4">
        <f>'YTD CF'!K18-'YTD CF'!J18</f>
        <v>12</v>
      </c>
      <c r="M18" s="4">
        <f>'YTD CF'!L18-'YTD CF'!K18</f>
        <v>-10</v>
      </c>
      <c r="N18" s="4">
        <f>'CASH FLOW'!D15-'YTD CF'!L18</f>
        <v>-26</v>
      </c>
      <c r="O18" s="4">
        <f>'YTD CF'!M18</f>
        <v>-7672</v>
      </c>
      <c r="P18" s="4">
        <f>'YTD CF'!N18-'YTD CF'!M18</f>
        <v>7672</v>
      </c>
      <c r="Q18" s="4">
        <f>'YTD CF'!O18-'YTD CF'!N18</f>
        <v>0</v>
      </c>
      <c r="R18" s="4">
        <f>'CASH FLOW'!E15-'YTD CF'!O18</f>
        <v>-324</v>
      </c>
      <c r="S18" s="4">
        <f>'YTD CF'!P18</f>
        <v>-1014</v>
      </c>
      <c r="T18" s="4">
        <f>'YTD CF'!Q18-'YTD CF'!P18</f>
        <v>757</v>
      </c>
      <c r="U18" s="4">
        <f>'YTD CF'!R18-'YTD CF'!Q18</f>
        <v>2221</v>
      </c>
      <c r="V18" s="4">
        <f>'CASH FLOW'!F15-'YTD CF'!R18</f>
        <v>-3651</v>
      </c>
      <c r="W18" s="9">
        <f>'CF DRIVERS'!W18</f>
        <v>-262460.6106914024</v>
      </c>
      <c r="X18" s="9">
        <f>'CF DRIVERS'!X18</f>
        <v>1619.5834705335947</v>
      </c>
      <c r="Y18" s="9">
        <f>'CF DRIVERS'!Y18</f>
        <v>1611.8150734846749</v>
      </c>
      <c r="Z18" s="9">
        <f>'CF DRIVERS'!Z18</f>
        <v>1604.0839378637829</v>
      </c>
      <c r="AA18" s="9">
        <f>'CF DRIVERS'!AA18</f>
        <v>1596.3898849446814</v>
      </c>
      <c r="AB18" s="9">
        <f>'CF DRIVERS'!AB18</f>
        <v>1588.7327368590268</v>
      </c>
      <c r="AC18" s="9">
        <f>'CF DRIVERS'!AC18</f>
        <v>1581.1123165910249</v>
      </c>
      <c r="AD18" s="9">
        <f>'CF DRIVERS'!AD18</f>
        <v>1573.5284479743423</v>
      </c>
      <c r="AE18" s="9">
        <f>'CF DRIVERS'!AE18</f>
        <v>1565.9809556877844</v>
      </c>
      <c r="AF18" s="9">
        <f>'CF DRIVERS'!AF18</f>
        <v>1558.4696652504535</v>
      </c>
      <c r="AG18" s="9">
        <f>'CF DRIVERS'!AG18</f>
        <v>1550.9944030187144</v>
      </c>
      <c r="AH18" s="9">
        <f>'CF DRIVERS'!AH18</f>
        <v>1543.5549961821016</v>
      </c>
      <c r="AI18" s="9">
        <f>'CF DRIVERS'!AI18</f>
        <v>1536.1512727585759</v>
      </c>
      <c r="AJ18" s="9">
        <f>'CF DRIVERS'!AJ18</f>
        <v>1528.7830615912499</v>
      </c>
      <c r="AK18" s="9">
        <f>'CF DRIVERS'!AK18</f>
        <v>1521.4501923443713</v>
      </c>
      <c r="AL18" s="9">
        <f>'CF DRIVERS'!AL18</f>
        <v>1514.1524954986307</v>
      </c>
      <c r="AM18" s="9">
        <f>'CF DRIVERS'!AM18</f>
        <v>1506.8898023484435</v>
      </c>
      <c r="AN18" s="9">
        <f>'CF DRIVERS'!AN18</f>
        <v>1499.6619449972823</v>
      </c>
      <c r="AO18" s="9">
        <f>'CF DRIVERS'!AO18</f>
        <v>1492.4687563533298</v>
      </c>
      <c r="AP18" s="9">
        <f>'CF DRIVERS'!AP18</f>
        <v>1485.3100701275398</v>
      </c>
    </row>
    <row r="19" spans="1:42" x14ac:dyDescent="0.3">
      <c r="A19" s="3" t="s">
        <v>32</v>
      </c>
      <c r="B19" s="4">
        <f>'YTD CF'!C19-'YTD CF'!B19</f>
        <v>-4362889</v>
      </c>
      <c r="C19" s="4">
        <f>'YTD CF'!D19</f>
        <v>-9234</v>
      </c>
      <c r="D19" s="4">
        <f>'YTD CF'!E19-'YTD CF'!D19</f>
        <v>-18257982</v>
      </c>
      <c r="E19" s="4">
        <f>'YTD CF'!F19-'YTD CF'!E19</f>
        <v>-10039888</v>
      </c>
      <c r="F19" s="4">
        <f>'CASH FLOW'!B16-'YTD CF'!F19</f>
        <v>28281855</v>
      </c>
      <c r="G19" s="4">
        <f>'YTD CF'!G19</f>
        <v>-34420</v>
      </c>
      <c r="H19" s="4">
        <f>'YTD CF'!H19-'YTD CF'!G19</f>
        <v>6500</v>
      </c>
      <c r="I19" s="4">
        <f>'YTD CF'!I19-'YTD CF'!H19</f>
        <v>-51047</v>
      </c>
      <c r="J19" s="4">
        <f>'CASH FLOW'!C16-'YTD CF'!I19</f>
        <v>52598</v>
      </c>
      <c r="K19" s="4">
        <f>'YTD CF'!J19</f>
        <v>-109639</v>
      </c>
      <c r="L19" s="4">
        <f>'YTD CF'!K19-'YTD CF'!J19</f>
        <v>-25961</v>
      </c>
      <c r="M19" s="4">
        <f>'YTD CF'!L19-'YTD CF'!K19</f>
        <v>-17671</v>
      </c>
      <c r="N19" s="4">
        <f>'CASH FLOW'!D16-'YTD CF'!L19</f>
        <v>31713</v>
      </c>
      <c r="O19" s="4">
        <f>'YTD CF'!M19</f>
        <v>-18664</v>
      </c>
      <c r="P19" s="4">
        <f>'YTD CF'!N19-'YTD CF'!M19</f>
        <v>-63549</v>
      </c>
      <c r="Q19" s="4">
        <f>'YTD CF'!O19-'YTD CF'!N19</f>
        <v>55684</v>
      </c>
      <c r="R19" s="4">
        <f>'CASH FLOW'!E16-'YTD CF'!O19</f>
        <v>-63136</v>
      </c>
      <c r="S19" s="4">
        <f>'YTD CF'!P19</f>
        <v>11841</v>
      </c>
      <c r="T19" s="4">
        <f>'YTD CF'!Q19-'YTD CF'!P19</f>
        <v>-154994</v>
      </c>
      <c r="U19" s="4">
        <f>'YTD CF'!R19-'YTD CF'!Q19</f>
        <v>-20980</v>
      </c>
      <c r="V19" s="4">
        <f>'CASH FLOW'!F16-'YTD CF'!R19</f>
        <v>-247958</v>
      </c>
      <c r="W19" s="9">
        <f>'CF DRIVERS'!W19</f>
        <v>3623.7812430182239</v>
      </c>
      <c r="X19" s="9">
        <f>'CF DRIVERS'!X19</f>
        <v>3606.3996310012881</v>
      </c>
      <c r="Y19" s="9">
        <f>'CF DRIVERS'!Y19</f>
        <v>3589.1013905832078</v>
      </c>
      <c r="Z19" s="9">
        <f>'CF DRIVERS'!Z19</f>
        <v>3571.886121868738</v>
      </c>
      <c r="AA19" s="9">
        <f>'CF DRIVERS'!AA19</f>
        <v>3554.7534268808085</v>
      </c>
      <c r="AB19" s="9">
        <f>'CF DRIVERS'!AB19</f>
        <v>3537.7029095514445</v>
      </c>
      <c r="AC19" s="9">
        <f>'CF DRIVERS'!AC19</f>
        <v>3520.7341757118702</v>
      </c>
      <c r="AD19" s="9">
        <f>'CF DRIVERS'!AD19</f>
        <v>3503.8468330844771</v>
      </c>
      <c r="AE19" s="9">
        <f>'CF DRIVERS'!AE19</f>
        <v>3487.0404912732774</v>
      </c>
      <c r="AF19" s="9">
        <f>'CF DRIVERS'!AF19</f>
        <v>3470.3147617541254</v>
      </c>
      <c r="AG19" s="9">
        <f>'CF DRIVERS'!AG19</f>
        <v>3453.6692578672664</v>
      </c>
      <c r="AH19" s="9">
        <f>'CF DRIVERS'!AH19</f>
        <v>3437.1035948072094</v>
      </c>
      <c r="AI19" s="9">
        <f>'CF DRIVERS'!AI19</f>
        <v>3420.6173896141117</v>
      </c>
      <c r="AJ19" s="9">
        <f>'CF DRIVERS'!AJ19</f>
        <v>3404.2102611652808</v>
      </c>
      <c r="AK19" s="9">
        <f>'CF DRIVERS'!AK19</f>
        <v>3387.8818301656283</v>
      </c>
      <c r="AL19" s="9">
        <f>'CF DRIVERS'!AL19</f>
        <v>3371.6317191401031</v>
      </c>
      <c r="AM19" s="9">
        <f>'CF DRIVERS'!AM19</f>
        <v>3355.4595524235629</v>
      </c>
      <c r="AN19" s="9">
        <f>'CF DRIVERS'!AN19</f>
        <v>3339.364956153091</v>
      </c>
      <c r="AO19" s="9">
        <f>'CF DRIVERS'!AO19</f>
        <v>3323.3475582586834</v>
      </c>
      <c r="AP19" s="9">
        <f>'CF DRIVERS'!AP19</f>
        <v>3307.4069884557975</v>
      </c>
    </row>
    <row r="20" spans="1:42" x14ac:dyDescent="0.3">
      <c r="A20" s="3" t="s">
        <v>86</v>
      </c>
      <c r="B20" s="4">
        <f>'YTD CF'!C20-'YTD CF'!B20</f>
        <v>0</v>
      </c>
      <c r="C20" s="4">
        <f>'YTD CF'!D20</f>
        <v>0</v>
      </c>
      <c r="D20" s="4">
        <f>'YTD CF'!E20-'YTD CF'!D20</f>
        <v>0</v>
      </c>
      <c r="E20" s="4">
        <f>'YTD CF'!F20-'YTD CF'!E20</f>
        <v>0</v>
      </c>
      <c r="F20" s="4">
        <f>'CASH FLOW'!B17-'YTD CF'!F20</f>
        <v>0</v>
      </c>
      <c r="G20" s="4">
        <f>'YTD CF'!G20</f>
        <v>0</v>
      </c>
      <c r="H20" s="4">
        <f>'YTD CF'!H20-'YTD CF'!G20</f>
        <v>0</v>
      </c>
      <c r="I20" s="4">
        <f>'YTD CF'!I20-'YTD CF'!H20</f>
        <v>0</v>
      </c>
      <c r="J20" s="4">
        <f>'CASH FLOW'!C17-'YTD CF'!I20</f>
        <v>0</v>
      </c>
      <c r="K20" s="4">
        <f>'YTD CF'!J20</f>
        <v>0</v>
      </c>
      <c r="L20" s="4">
        <f>'YTD CF'!K20-'YTD CF'!J20</f>
        <v>0</v>
      </c>
      <c r="M20" s="4">
        <f>'YTD CF'!L20-'YTD CF'!K20</f>
        <v>0</v>
      </c>
      <c r="N20" s="4">
        <f>'CASH FLOW'!D17-'YTD CF'!L20</f>
        <v>0</v>
      </c>
      <c r="O20" s="4">
        <f>'YTD CF'!M20</f>
        <v>0</v>
      </c>
      <c r="P20" s="4">
        <f>'YTD CF'!N20-'YTD CF'!M20</f>
        <v>0</v>
      </c>
      <c r="Q20" s="4">
        <f>'YTD CF'!O20-'YTD CF'!N20</f>
        <v>0</v>
      </c>
      <c r="R20" s="4">
        <f>'CASH FLOW'!E17-'YTD CF'!O20</f>
        <v>2318</v>
      </c>
      <c r="S20" s="4">
        <f>'YTD CF'!P20</f>
        <v>0</v>
      </c>
      <c r="T20" s="4">
        <f>'YTD CF'!Q20-'YTD CF'!P20</f>
        <v>0</v>
      </c>
      <c r="U20" s="4">
        <f>'YTD CF'!R20-'YTD CF'!Q20</f>
        <v>0</v>
      </c>
      <c r="V20" s="4">
        <f>'CASH FLOW'!F17-'YTD CF'!R20</f>
        <v>0</v>
      </c>
      <c r="W20" s="9">
        <f>'CF DRIVERS'!W20</f>
        <v>0</v>
      </c>
      <c r="X20" s="9">
        <f>'CF DRIVERS'!X20</f>
        <v>0</v>
      </c>
      <c r="Y20" s="9">
        <f>'CF DRIVERS'!Y20</f>
        <v>0</v>
      </c>
      <c r="Z20" s="9">
        <f>'CF DRIVERS'!Z20</f>
        <v>0</v>
      </c>
      <c r="AA20" s="9">
        <f>'CF DRIVERS'!AA20</f>
        <v>0</v>
      </c>
      <c r="AB20" s="9">
        <f>'CF DRIVERS'!AB20</f>
        <v>0</v>
      </c>
      <c r="AC20" s="9">
        <f>'CF DRIVERS'!AC20</f>
        <v>0</v>
      </c>
      <c r="AD20" s="9">
        <f>'CF DRIVERS'!AD20</f>
        <v>0</v>
      </c>
      <c r="AE20" s="9">
        <f>'CF DRIVERS'!AE20</f>
        <v>0</v>
      </c>
      <c r="AF20" s="9">
        <f>'CF DRIVERS'!AF20</f>
        <v>0</v>
      </c>
      <c r="AG20" s="9">
        <f>'CF DRIVERS'!AG20</f>
        <v>0</v>
      </c>
      <c r="AH20" s="9">
        <f>'CF DRIVERS'!AH20</f>
        <v>0</v>
      </c>
      <c r="AI20" s="9">
        <f>'CF DRIVERS'!AI20</f>
        <v>0</v>
      </c>
      <c r="AJ20" s="9">
        <f>'CF DRIVERS'!AJ20</f>
        <v>0</v>
      </c>
      <c r="AK20" s="9">
        <f>'CF DRIVERS'!AK20</f>
        <v>0</v>
      </c>
      <c r="AL20" s="9">
        <f>'CF DRIVERS'!AL20</f>
        <v>0</v>
      </c>
      <c r="AM20" s="9">
        <f>'CF DRIVERS'!AM20</f>
        <v>0</v>
      </c>
      <c r="AN20" s="9">
        <f>'CF DRIVERS'!AN20</f>
        <v>0</v>
      </c>
      <c r="AO20" s="9">
        <f>'CF DRIVERS'!AO20</f>
        <v>0</v>
      </c>
      <c r="AP20" s="9">
        <f>'CF DRIVERS'!AP20</f>
        <v>0</v>
      </c>
    </row>
    <row r="21" spans="1:42" x14ac:dyDescent="0.3">
      <c r="A21" s="3" t="s">
        <v>34</v>
      </c>
      <c r="B21" s="4">
        <f>'YTD CF'!C21-'YTD CF'!B21</f>
        <v>7484034</v>
      </c>
      <c r="C21" s="4">
        <f>'YTD CF'!D21</f>
        <v>-19242</v>
      </c>
      <c r="D21" s="4">
        <f>'YTD CF'!E21-'YTD CF'!D21</f>
        <v>-46663808</v>
      </c>
      <c r="E21" s="4">
        <f>'YTD CF'!F21-'YTD CF'!E21</f>
        <v>-57237007</v>
      </c>
      <c r="F21" s="4">
        <f>'CASH FLOW'!B18-'YTD CF'!F21</f>
        <v>103744883</v>
      </c>
      <c r="G21" s="4">
        <f>'YTD CF'!G21</f>
        <v>4531</v>
      </c>
      <c r="H21" s="4">
        <f>'YTD CF'!H21-'YTD CF'!G21</f>
        <v>24222</v>
      </c>
      <c r="I21" s="4">
        <f>'YTD CF'!I21-'YTD CF'!H21</f>
        <v>7458</v>
      </c>
      <c r="J21" s="4">
        <f>'CASH FLOW'!C18-'YTD CF'!I21</f>
        <v>-24409</v>
      </c>
      <c r="K21" s="4">
        <f>'YTD CF'!J21</f>
        <v>17338</v>
      </c>
      <c r="L21" s="4">
        <f>'YTD CF'!K21-'YTD CF'!J21</f>
        <v>7294</v>
      </c>
      <c r="M21" s="4">
        <f>'YTD CF'!L21-'YTD CF'!K21</f>
        <v>-52724</v>
      </c>
      <c r="N21" s="4">
        <f>'CASH FLOW'!D18-'YTD CF'!L21</f>
        <v>-35207</v>
      </c>
      <c r="O21" s="4">
        <f>'YTD CF'!M21</f>
        <v>29386</v>
      </c>
      <c r="P21" s="4">
        <f>'YTD CF'!N21-'YTD CF'!M21</f>
        <v>7666</v>
      </c>
      <c r="Q21" s="4">
        <f>'YTD CF'!O21-'YTD CF'!N21</f>
        <v>-22467</v>
      </c>
      <c r="R21" s="4">
        <f>'CASH FLOW'!E18-'YTD CF'!O21</f>
        <v>62605</v>
      </c>
      <c r="S21" s="4">
        <f>'YTD CF'!P21</f>
        <v>4794</v>
      </c>
      <c r="T21" s="4">
        <f>'YTD CF'!Q21-'YTD CF'!P21</f>
        <v>18245</v>
      </c>
      <c r="U21" s="4">
        <f>'YTD CF'!R21-'YTD CF'!Q21</f>
        <v>8093</v>
      </c>
      <c r="V21" s="4">
        <f>'CASH FLOW'!F18-'YTD CF'!R21</f>
        <v>-160909</v>
      </c>
      <c r="W21" s="9">
        <f>'CF DRIVERS'!W21</f>
        <v>1619.7819960116176</v>
      </c>
      <c r="X21" s="9">
        <f>'CF DRIVERS'!X21</f>
        <v>1612.0126467273221</v>
      </c>
      <c r="Y21" s="9">
        <f>'CF DRIVERS'!Y21</f>
        <v>1604.2805634384858</v>
      </c>
      <c r="Z21" s="9">
        <f>'CF DRIVERS'!Z21</f>
        <v>1596.5855673968908</v>
      </c>
      <c r="AA21" s="9">
        <f>'CF DRIVERS'!AA21</f>
        <v>1588.927480712533</v>
      </c>
      <c r="AB21" s="9">
        <f>'CF DRIVERS'!AB21</f>
        <v>1581.3061263478012</v>
      </c>
      <c r="AC21" s="9">
        <f>'CF DRIVERS'!AC21</f>
        <v>1573.7213281150325</v>
      </c>
      <c r="AD21" s="9">
        <f>'CF DRIVERS'!AD21</f>
        <v>1566.1729106709245</v>
      </c>
      <c r="AE21" s="9">
        <f>'CF DRIVERS'!AE21</f>
        <v>1558.660699513799</v>
      </c>
      <c r="AF21" s="9">
        <f>'CF DRIVERS'!AF21</f>
        <v>1551.1845209786552</v>
      </c>
      <c r="AG21" s="9">
        <f>'CF DRIVERS'!AG21</f>
        <v>1543.7442022335599</v>
      </c>
      <c r="AH21" s="9">
        <f>'CF DRIVERS'!AH21</f>
        <v>1536.3395712757483</v>
      </c>
      <c r="AI21" s="9">
        <f>'CF DRIVERS'!AI21</f>
        <v>1528.970456926967</v>
      </c>
      <c r="AJ21" s="9">
        <f>'CF DRIVERS'!AJ21</f>
        <v>1521.6366888307966</v>
      </c>
      <c r="AK21" s="9">
        <f>'CF DRIVERS'!AK21</f>
        <v>1514.3380974472384</v>
      </c>
      <c r="AL21" s="9">
        <f>'CF DRIVERS'!AL21</f>
        <v>1507.0745140499203</v>
      </c>
      <c r="AM21" s="9">
        <f>'CF DRIVERS'!AM21</f>
        <v>1499.8457707214984</v>
      </c>
      <c r="AN21" s="9">
        <f>'CF DRIVERS'!AN21</f>
        <v>1492.6517003503395</v>
      </c>
      <c r="AO21" s="9">
        <f>'CF DRIVERS'!AO21</f>
        <v>1485.4921366260387</v>
      </c>
      <c r="AP21" s="9">
        <f>'CF DRIVERS'!AP21</f>
        <v>1478.3669140363345</v>
      </c>
    </row>
    <row r="22" spans="1:42" x14ac:dyDescent="0.3">
      <c r="A22" s="3" t="s">
        <v>35</v>
      </c>
      <c r="B22" s="4">
        <f>'YTD CF'!C22-'YTD CF'!B22</f>
        <v>-419333</v>
      </c>
      <c r="C22" s="4">
        <f>'YTD CF'!D22</f>
        <v>-2557</v>
      </c>
      <c r="D22" s="4">
        <f>'YTD CF'!E22-'YTD CF'!D22</f>
        <v>-8115162</v>
      </c>
      <c r="E22" s="4">
        <f>'YTD CF'!F22-'YTD CF'!E22</f>
        <v>-84869</v>
      </c>
      <c r="F22" s="4">
        <f>'CASH FLOW'!B19-'YTD CF'!F22</f>
        <v>8203660</v>
      </c>
      <c r="G22" s="4">
        <f>'YTD CF'!G22</f>
        <v>3513</v>
      </c>
      <c r="H22" s="4">
        <f>'YTD CF'!H22-'YTD CF'!G22</f>
        <v>-2256</v>
      </c>
      <c r="I22" s="4">
        <f>'YTD CF'!I22-'YTD CF'!H22</f>
        <v>202</v>
      </c>
      <c r="J22" s="4">
        <f>'CASH FLOW'!C19-'YTD CF'!I22</f>
        <v>755</v>
      </c>
      <c r="K22" s="4">
        <f>'YTD CF'!J22</f>
        <v>-4166</v>
      </c>
      <c r="L22" s="4">
        <f>'YTD CF'!K22-'YTD CF'!J22</f>
        <v>-7892</v>
      </c>
      <c r="M22" s="4">
        <f>'YTD CF'!L22-'YTD CF'!K22</f>
        <v>-348</v>
      </c>
      <c r="N22" s="4">
        <f>'CASH FLOW'!D19-'YTD CF'!L22</f>
        <v>4426</v>
      </c>
      <c r="O22" s="4">
        <f>'YTD CF'!M22</f>
        <v>-2076</v>
      </c>
      <c r="P22" s="4">
        <f>'YTD CF'!N22-'YTD CF'!M22</f>
        <v>-1393</v>
      </c>
      <c r="Q22" s="4">
        <f>'YTD CF'!O22-'YTD CF'!N22</f>
        <v>-16792</v>
      </c>
      <c r="R22" s="4">
        <f>'CASH FLOW'!E19-'YTD CF'!O22</f>
        <v>21335</v>
      </c>
      <c r="S22" s="4">
        <f>'YTD CF'!P22</f>
        <v>-3687</v>
      </c>
      <c r="T22" s="4">
        <f>'YTD CF'!Q22-'YTD CF'!P22</f>
        <v>-16958</v>
      </c>
      <c r="U22" s="4">
        <f>'YTD CF'!R22-'YTD CF'!Q22</f>
        <v>-122275</v>
      </c>
      <c r="V22" s="4">
        <f>'CASH FLOW'!F19-'YTD CF'!R22</f>
        <v>34599</v>
      </c>
      <c r="W22" s="9">
        <f>'CF DRIVERS'!W22</f>
        <v>617.82314309908543</v>
      </c>
      <c r="X22" s="9">
        <f>'CF DRIVERS'!X22</f>
        <v>614.85972962339292</v>
      </c>
      <c r="Y22" s="9">
        <f>'CF DRIVERS'!Y22</f>
        <v>611.91053027925955</v>
      </c>
      <c r="Z22" s="9">
        <f>'CF DRIVERS'!Z22</f>
        <v>608.97547688802297</v>
      </c>
      <c r="AA22" s="9">
        <f>'CF DRIVERS'!AA22</f>
        <v>606.05450159804604</v>
      </c>
      <c r="AB22" s="9">
        <f>'CF DRIVERS'!AB22</f>
        <v>603.14753688313067</v>
      </c>
      <c r="AC22" s="9">
        <f>'CF DRIVERS'!AC22</f>
        <v>600.25451554104802</v>
      </c>
      <c r="AD22" s="9">
        <f>'CF DRIVERS'!AD22</f>
        <v>597.37537069180689</v>
      </c>
      <c r="AE22" s="9">
        <f>'CF DRIVERS'!AE22</f>
        <v>594.51003577627125</v>
      </c>
      <c r="AF22" s="9">
        <f>'CF DRIVERS'!AF22</f>
        <v>591.65844455453043</v>
      </c>
      <c r="AG22" s="9">
        <f>'CF DRIVERS'!AG22</f>
        <v>588.82053110441484</v>
      </c>
      <c r="AH22" s="9">
        <f>'CF DRIVERS'!AH22</f>
        <v>585.99622981995344</v>
      </c>
      <c r="AI22" s="9">
        <f>'CF DRIVERS'!AI22</f>
        <v>583.18547540980217</v>
      </c>
      <c r="AJ22" s="9">
        <f>'CF DRIVERS'!AJ22</f>
        <v>580.38820289589057</v>
      </c>
      <c r="AK22" s="9">
        <f>'CF DRIVERS'!AK22</f>
        <v>577.60434761174838</v>
      </c>
      <c r="AL22" s="9">
        <f>'CF DRIVERS'!AL22</f>
        <v>574.83384520106483</v>
      </c>
      <c r="AM22" s="9">
        <f>'CF DRIVERS'!AM22</f>
        <v>572.07663161627715</v>
      </c>
      <c r="AN22" s="9">
        <f>'CF DRIVERS'!AN22</f>
        <v>569.33264311699895</v>
      </c>
      <c r="AO22" s="9">
        <f>'CF DRIVERS'!AO22</f>
        <v>566.60181626856502</v>
      </c>
      <c r="AP22" s="9">
        <f>'CF DRIVERS'!AP22</f>
        <v>563.88408794059069</v>
      </c>
    </row>
    <row r="23" spans="1:42" x14ac:dyDescent="0.3">
      <c r="A23" s="3" t="s">
        <v>140</v>
      </c>
      <c r="B23" s="4">
        <f>'YTD CF'!C23-'YTD CF'!B23</f>
        <v>-2031690</v>
      </c>
      <c r="C23" s="4">
        <f>'YTD CF'!D23</f>
        <v>12113</v>
      </c>
      <c r="D23" s="4">
        <f>'YTD CF'!E23-'YTD CF'!D23</f>
        <v>27567210</v>
      </c>
      <c r="E23" s="4">
        <f>'YTD CF'!F23-'YTD CF'!E23</f>
        <v>39115245</v>
      </c>
      <c r="G23" s="4">
        <f>'YTD CF'!G23</f>
        <v>17742</v>
      </c>
      <c r="H23" s="4">
        <f>'YTD CF'!H23-'YTD CF'!G23</f>
        <v>-7406</v>
      </c>
      <c r="I23" s="4">
        <f>'YTD CF'!I23-'YTD CF'!H23</f>
        <v>41126</v>
      </c>
      <c r="K23" s="4">
        <f>'YTD CF'!J23</f>
        <v>182</v>
      </c>
      <c r="L23" s="4">
        <f>'YTD CF'!K23-'YTD CF'!J23</f>
        <v>-12673</v>
      </c>
      <c r="M23" s="4">
        <f>'YTD CF'!L23-'YTD CF'!K23</f>
        <v>27143</v>
      </c>
      <c r="O23" s="4">
        <f>'YTD CF'!M23</f>
        <v>0</v>
      </c>
      <c r="P23" s="4">
        <f>'YTD CF'!N23-'YTD CF'!M23</f>
        <v>0</v>
      </c>
      <c r="Q23" s="4">
        <f>'YTD CF'!O23-'YTD CF'!N23</f>
        <v>0</v>
      </c>
      <c r="S23" s="4">
        <f>'YTD CF'!P23</f>
        <v>0</v>
      </c>
      <c r="T23" s="4">
        <f>'YTD CF'!Q23-'YTD CF'!P23</f>
        <v>0</v>
      </c>
      <c r="U23" s="4">
        <f>'YTD CF'!R23-'YTD CF'!Q23</f>
        <v>0</v>
      </c>
      <c r="W23" s="9">
        <f>'CF DRIVERS'!W23</f>
        <v>0</v>
      </c>
      <c r="X23" s="9">
        <f>'CF DRIVERS'!X23</f>
        <v>0</v>
      </c>
      <c r="Y23" s="9">
        <f>'CF DRIVERS'!Y23</f>
        <v>0</v>
      </c>
      <c r="Z23" s="9">
        <f>'CF DRIVERS'!Z23</f>
        <v>0</v>
      </c>
      <c r="AA23" s="9">
        <f>'CF DRIVERS'!AA23</f>
        <v>0</v>
      </c>
      <c r="AB23" s="9">
        <f>'CF DRIVERS'!AB23</f>
        <v>0</v>
      </c>
      <c r="AC23" s="9">
        <f>'CF DRIVERS'!AC23</f>
        <v>0</v>
      </c>
      <c r="AD23" s="9">
        <f>'CF DRIVERS'!AD23</f>
        <v>0</v>
      </c>
      <c r="AE23" s="9">
        <f>'CF DRIVERS'!AE23</f>
        <v>0</v>
      </c>
      <c r="AF23" s="9">
        <f>'CF DRIVERS'!AF23</f>
        <v>0</v>
      </c>
      <c r="AG23" s="9">
        <f>'CF DRIVERS'!AG23</f>
        <v>0</v>
      </c>
      <c r="AH23" s="9">
        <f>'CF DRIVERS'!AH23</f>
        <v>0</v>
      </c>
      <c r="AI23" s="9">
        <f>'CF DRIVERS'!AI23</f>
        <v>0</v>
      </c>
      <c r="AJ23" s="9">
        <f>'CF DRIVERS'!AJ23</f>
        <v>0</v>
      </c>
      <c r="AK23" s="9">
        <f>'CF DRIVERS'!AK23</f>
        <v>0</v>
      </c>
      <c r="AL23" s="9">
        <f>'CF DRIVERS'!AL23</f>
        <v>0</v>
      </c>
      <c r="AM23" s="9">
        <f>'CF DRIVERS'!AM23</f>
        <v>0</v>
      </c>
      <c r="AN23" s="9">
        <f>'CF DRIVERS'!AN23</f>
        <v>0</v>
      </c>
      <c r="AO23" s="9">
        <f>'CF DRIVERS'!AO23</f>
        <v>0</v>
      </c>
      <c r="AP23" s="9">
        <f>'CF DRIVERS'!AP23</f>
        <v>0</v>
      </c>
    </row>
    <row r="24" spans="1:42" x14ac:dyDescent="0.3">
      <c r="A24" s="3" t="s">
        <v>46</v>
      </c>
      <c r="B24" s="4">
        <f>'YTD CF'!C24-'YTD CF'!B24</f>
        <v>0</v>
      </c>
      <c r="C24" s="4">
        <f>'YTD CF'!D24</f>
        <v>0</v>
      </c>
      <c r="D24" s="4">
        <f>'YTD CF'!E24-'YTD CF'!D24</f>
        <v>0</v>
      </c>
      <c r="E24" s="4">
        <f>'YTD CF'!F24-'YTD CF'!E24</f>
        <v>0</v>
      </c>
      <c r="F24" s="4">
        <f>'CASH FLOW'!B20-'YTD CF'!F24</f>
        <v>0</v>
      </c>
      <c r="G24" s="4">
        <f>'YTD CF'!G24</f>
        <v>0</v>
      </c>
      <c r="H24" s="4">
        <f>'YTD CF'!H24-'YTD CF'!G24</f>
        <v>0</v>
      </c>
      <c r="I24" s="4">
        <f>'YTD CF'!I24-'YTD CF'!H24</f>
        <v>0</v>
      </c>
      <c r="J24" s="4">
        <f>'CASH FLOW'!C20-'YTD CF'!I24</f>
        <v>0</v>
      </c>
      <c r="K24" s="4">
        <f>'YTD CF'!J24</f>
        <v>0</v>
      </c>
      <c r="L24" s="4">
        <f>'YTD CF'!K24-'YTD CF'!J24</f>
        <v>0</v>
      </c>
      <c r="M24" s="4">
        <f>'YTD CF'!L24-'YTD CF'!K24</f>
        <v>0</v>
      </c>
      <c r="N24" s="4">
        <f>'CASH FLOW'!D20-'YTD CF'!L24</f>
        <v>0</v>
      </c>
      <c r="O24" s="4">
        <f>'YTD CF'!M24</f>
        <v>0</v>
      </c>
      <c r="P24" s="4">
        <f>'YTD CF'!N24-'YTD CF'!M24</f>
        <v>-6362</v>
      </c>
      <c r="Q24" s="4">
        <f>'YTD CF'!O24-'YTD CF'!N24</f>
        <v>1059</v>
      </c>
      <c r="R24" s="4">
        <f>'CASH FLOW'!E20-'YTD CF'!O24</f>
        <v>441</v>
      </c>
      <c r="S24" s="4">
        <f>'YTD CF'!P24</f>
        <v>-1700</v>
      </c>
      <c r="T24" s="4">
        <f>'YTD CF'!Q24-'YTD CF'!P24</f>
        <v>2442</v>
      </c>
      <c r="U24" s="4">
        <f>'YTD CF'!R24-'YTD CF'!Q24</f>
        <v>769</v>
      </c>
      <c r="V24" s="4">
        <f>'CASH FLOW'!F20-'YTD CF'!R24</f>
        <v>1346</v>
      </c>
      <c r="W24" s="9">
        <f>'CF DRIVERS'!W24</f>
        <v>208.33292235893896</v>
      </c>
      <c r="X24" s="9">
        <f>'CF DRIVERS'!X24</f>
        <v>207.33364514434652</v>
      </c>
      <c r="Y24" s="9">
        <f>'CF DRIVERS'!Y24</f>
        <v>206.33916100297938</v>
      </c>
      <c r="Z24" s="9">
        <f>'CF DRIVERS'!Z24</f>
        <v>205.34944694465958</v>
      </c>
      <c r="AA24" s="9">
        <f>'CF DRIVERS'!AA24</f>
        <v>204.36448008951265</v>
      </c>
      <c r="AB24" s="9">
        <f>'CF DRIVERS'!AB24</f>
        <v>203.3842376673565</v>
      </c>
      <c r="AC24" s="9">
        <f>'CF DRIVERS'!AC24</f>
        <v>202.40869701730117</v>
      </c>
      <c r="AD24" s="9">
        <f>'CF DRIVERS'!AD24</f>
        <v>201.43783558706491</v>
      </c>
      <c r="AE24" s="9">
        <f>'CF DRIVERS'!AE24</f>
        <v>200.4716309326177</v>
      </c>
      <c r="AF24" s="9">
        <f>'CF DRIVERS'!AF24</f>
        <v>199.51006071752636</v>
      </c>
      <c r="AG24" s="9">
        <f>'CF DRIVERS'!AG24</f>
        <v>198.55310271251801</v>
      </c>
      <c r="AH24" s="9">
        <f>'CF DRIVERS'!AH24</f>
        <v>197.6007347949635</v>
      </c>
      <c r="AI24" s="9">
        <f>'CF DRIVERS'!AI24</f>
        <v>196.65293494828802</v>
      </c>
      <c r="AJ24" s="9">
        <f>'CF DRIVERS'!AJ24</f>
        <v>195.70968126159278</v>
      </c>
      <c r="AK24" s="9">
        <f>'CF DRIVERS'!AK24</f>
        <v>194.77095192900742</v>
      </c>
      <c r="AL24" s="9">
        <f>'CF DRIVERS'!AL24</f>
        <v>193.83672524931899</v>
      </c>
      <c r="AM24" s="9">
        <f>'CF DRIVERS'!AM24</f>
        <v>192.90697962533886</v>
      </c>
      <c r="AN24" s="9">
        <f>'CF DRIVERS'!AN24</f>
        <v>191.98169356352446</v>
      </c>
      <c r="AO24" s="9">
        <f>'CF DRIVERS'!AO24</f>
        <v>191.06084567341168</v>
      </c>
      <c r="AP24" s="9">
        <f>'CF DRIVERS'!AP24</f>
        <v>190.14441466710559</v>
      </c>
    </row>
    <row r="25" spans="1:42" x14ac:dyDescent="0.3">
      <c r="A25" s="3" t="s">
        <v>48</v>
      </c>
      <c r="B25" s="4">
        <f>'YTD CF'!C25-'YTD CF'!B25</f>
        <v>0</v>
      </c>
      <c r="C25" s="4">
        <f>'YTD CF'!D25</f>
        <v>0</v>
      </c>
      <c r="D25" s="4">
        <f>'YTD CF'!E25-'YTD CF'!D25</f>
        <v>0</v>
      </c>
      <c r="E25" s="4">
        <f>'YTD CF'!F25-'YTD CF'!E25</f>
        <v>0</v>
      </c>
      <c r="F25" s="4">
        <f>'CASH FLOW'!B21-'YTD CF'!F25</f>
        <v>23966</v>
      </c>
      <c r="G25" s="4">
        <f>'YTD CF'!G25</f>
        <v>0</v>
      </c>
      <c r="H25" s="4">
        <f>'YTD CF'!H25-'YTD CF'!G25</f>
        <v>0</v>
      </c>
      <c r="I25" s="4">
        <f>'YTD CF'!I25-'YTD CF'!H25</f>
        <v>0</v>
      </c>
      <c r="J25" s="4">
        <f>'CASH FLOW'!C21-'YTD CF'!I25</f>
        <v>428</v>
      </c>
      <c r="K25" s="4">
        <f>'YTD CF'!J25</f>
        <v>0</v>
      </c>
      <c r="L25" s="4">
        <f>'YTD CF'!K25-'YTD CF'!J25</f>
        <v>0</v>
      </c>
      <c r="M25" s="4">
        <f>'YTD CF'!L25-'YTD CF'!K25</f>
        <v>0</v>
      </c>
      <c r="N25" s="4">
        <f>'CASH FLOW'!D21-'YTD CF'!L25</f>
        <v>5249</v>
      </c>
      <c r="O25" s="4">
        <f>'YTD CF'!M25</f>
        <v>-3013</v>
      </c>
      <c r="P25" s="4">
        <f>'YTD CF'!N25-'YTD CF'!M25</f>
        <v>6963</v>
      </c>
      <c r="Q25" s="4">
        <f>'YTD CF'!O25-'YTD CF'!N25</f>
        <v>-16209</v>
      </c>
      <c r="R25" s="4">
        <f>'CASH FLOW'!E21-'YTD CF'!O25</f>
        <v>11089</v>
      </c>
      <c r="S25" s="4">
        <f>'YTD CF'!P25</f>
        <v>11679</v>
      </c>
      <c r="T25" s="4">
        <f>'YTD CF'!Q25-'YTD CF'!P25</f>
        <v>9110</v>
      </c>
      <c r="U25" s="4">
        <f>'YTD CF'!R25-'YTD CF'!Q25</f>
        <v>-16708</v>
      </c>
      <c r="V25" s="4">
        <f>'CASH FLOW'!F21-'YTD CF'!R25</f>
        <v>47171</v>
      </c>
      <c r="W25" s="9">
        <f>'CF DRIVERS'!W25</f>
        <v>-661.58677489910042</v>
      </c>
      <c r="X25" s="9">
        <f>'CF DRIVERS'!X25</f>
        <v>-658.41344740893692</v>
      </c>
      <c r="Y25" s="9">
        <f>'CF DRIVERS'!Y25</f>
        <v>-655.25534091130248</v>
      </c>
      <c r="Z25" s="9">
        <f>'CF DRIVERS'!Z25</f>
        <v>-652.11238239807426</v>
      </c>
      <c r="AA25" s="9">
        <f>'CF DRIVERS'!AA25</f>
        <v>-648.98449921133579</v>
      </c>
      <c r="AB25" s="9">
        <f>'CF DRIVERS'!AB25</f>
        <v>-645.87161904174718</v>
      </c>
      <c r="AC25" s="9">
        <f>'CF DRIVERS'!AC25</f>
        <v>-642.77366992668249</v>
      </c>
      <c r="AD25" s="9">
        <f>'CF DRIVERS'!AD25</f>
        <v>-639.69058024874539</v>
      </c>
      <c r="AE25" s="9">
        <f>'CF DRIVERS'!AE25</f>
        <v>-636.62227873408119</v>
      </c>
      <c r="AF25" s="9">
        <f>'CF DRIVERS'!AF25</f>
        <v>-633.56869445060147</v>
      </c>
      <c r="AG25" s="9">
        <f>'CF DRIVERS'!AG25</f>
        <v>-630.52975680663076</v>
      </c>
      <c r="AH25" s="9">
        <f>'CF DRIVERS'!AH25</f>
        <v>-627.50539554884017</v>
      </c>
      <c r="AI25" s="9">
        <f>'CF DRIVERS'!AI25</f>
        <v>-624.4955407610978</v>
      </c>
      <c r="AJ25" s="9">
        <f>'CF DRIVERS'!AJ25</f>
        <v>-621.50012286253332</v>
      </c>
      <c r="AK25" s="9">
        <f>'CF DRIVERS'!AK25</f>
        <v>-618.51907260601001</v>
      </c>
      <c r="AL25" s="9">
        <f>'CF DRIVERS'!AL25</f>
        <v>-615.55232107650954</v>
      </c>
      <c r="AM25" s="9">
        <f>'CF DRIVERS'!AM25</f>
        <v>-612.59979968973494</v>
      </c>
      <c r="AN25" s="9">
        <f>'CF DRIVERS'!AN25</f>
        <v>-609.66144019010244</v>
      </c>
      <c r="AO25" s="9">
        <f>'CF DRIVERS'!AO25</f>
        <v>-606.73717464963556</v>
      </c>
      <c r="AP25" s="9">
        <f>'CF DRIVERS'!AP25</f>
        <v>-603.82693546608789</v>
      </c>
    </row>
    <row r="26" spans="1:42" x14ac:dyDescent="0.3">
      <c r="A26" s="3" t="s">
        <v>49</v>
      </c>
      <c r="B26" s="4">
        <f>'YTD CF'!C26-'YTD CF'!B26</f>
        <v>0</v>
      </c>
      <c r="C26" s="4">
        <f>'YTD CF'!D26</f>
        <v>0</v>
      </c>
      <c r="D26" s="4">
        <f>'YTD CF'!E26-'YTD CF'!D26</f>
        <v>0</v>
      </c>
      <c r="E26" s="4">
        <f>'YTD CF'!F26-'YTD CF'!E26</f>
        <v>0</v>
      </c>
      <c r="F26" s="4">
        <f>'CASH FLOW'!B22-'YTD CF'!F26</f>
        <v>26484</v>
      </c>
      <c r="G26" s="4">
        <f>'YTD CF'!G26</f>
        <v>0</v>
      </c>
      <c r="H26" s="4">
        <f>'YTD CF'!H26-'YTD CF'!G26</f>
        <v>0</v>
      </c>
      <c r="I26" s="4">
        <f>'YTD CF'!I26-'YTD CF'!H26</f>
        <v>0</v>
      </c>
      <c r="J26" s="4">
        <f>'CASH FLOW'!C22-'YTD CF'!I26</f>
        <v>34644</v>
      </c>
      <c r="K26" s="4">
        <f>'YTD CF'!J26</f>
        <v>0</v>
      </c>
      <c r="L26" s="4">
        <f>'YTD CF'!K26-'YTD CF'!J26</f>
        <v>0</v>
      </c>
      <c r="M26" s="4">
        <f>'YTD CF'!L26-'YTD CF'!K26</f>
        <v>0</v>
      </c>
      <c r="N26" s="4">
        <f>'CASH FLOW'!D22-'YTD CF'!L26</f>
        <v>-8025</v>
      </c>
      <c r="O26" s="4">
        <f>'YTD CF'!M26</f>
        <v>1998</v>
      </c>
      <c r="P26" s="4">
        <f>'YTD CF'!N26-'YTD CF'!M26</f>
        <v>15762</v>
      </c>
      <c r="Q26" s="4">
        <f>'YTD CF'!O26-'YTD CF'!N26</f>
        <v>-6609</v>
      </c>
      <c r="R26" s="4">
        <f>'CASH FLOW'!E22-'YTD CF'!O26</f>
        <v>74247</v>
      </c>
      <c r="S26" s="4">
        <f>'YTD CF'!P26</f>
        <v>-8673</v>
      </c>
      <c r="T26" s="4">
        <f>'YTD CF'!Q26-'YTD CF'!P26</f>
        <v>1660</v>
      </c>
      <c r="U26" s="4">
        <f>'YTD CF'!R26-'YTD CF'!Q26</f>
        <v>39974</v>
      </c>
      <c r="V26" s="4">
        <f>'CASH FLOW'!F22-'YTD CF'!R26</f>
        <v>12657</v>
      </c>
      <c r="W26" s="9">
        <f>'CF DRIVERS'!W26</f>
        <v>-1106.6625265823386</v>
      </c>
      <c r="X26" s="9">
        <f>'CF DRIVERS'!X26</f>
        <v>-1101.3543754051789</v>
      </c>
      <c r="Y26" s="9">
        <f>'CF DRIVERS'!Y26</f>
        <v>-1096.0716849879827</v>
      </c>
      <c r="Z26" s="9">
        <f>'CF DRIVERS'!Z26</f>
        <v>-1090.8143332071486</v>
      </c>
      <c r="AA26" s="9">
        <f>'CF DRIVERS'!AA26</f>
        <v>-1085.5821985249349</v>
      </c>
      <c r="AB26" s="9">
        <f>'CF DRIVERS'!AB26</f>
        <v>-1080.3751599864336</v>
      </c>
      <c r="AC26" s="9">
        <f>'CF DRIVERS'!AC26</f>
        <v>-1075.1930972171249</v>
      </c>
      <c r="AD26" s="9">
        <f>'CF DRIVERS'!AD26</f>
        <v>-1070.03589041956</v>
      </c>
      <c r="AE26" s="9">
        <f>'CF DRIVERS'!AE26</f>
        <v>-1064.9034203712363</v>
      </c>
      <c r="AF26" s="9">
        <f>'CF DRIVERS'!AF26</f>
        <v>-1059.7955684212502</v>
      </c>
      <c r="AG26" s="9">
        <f>'CF DRIVERS'!AG26</f>
        <v>-1054.712216487882</v>
      </c>
      <c r="AH26" s="9">
        <f>'CF DRIVERS'!AH26</f>
        <v>-1049.6532470559468</v>
      </c>
      <c r="AI26" s="9">
        <f>'CF DRIVERS'!AI26</f>
        <v>-1044.6185431736812</v>
      </c>
      <c r="AJ26" s="9">
        <f>'CF DRIVERS'!AJ26</f>
        <v>-1039.6079884503852</v>
      </c>
      <c r="AK26" s="9">
        <f>'CF DRIVERS'!AK26</f>
        <v>-1034.6214670537738</v>
      </c>
      <c r="AL26" s="9">
        <f>'CF DRIVERS'!AL26</f>
        <v>-1029.6588637069508</v>
      </c>
      <c r="AM26" s="9">
        <f>'CF DRIVERS'!AM26</f>
        <v>-1024.7200636860216</v>
      </c>
      <c r="AN26" s="9">
        <f>'CF DRIVERS'!AN26</f>
        <v>-1019.8049528173869</v>
      </c>
      <c r="AO26" s="9">
        <f>'CF DRIVERS'!AO26</f>
        <v>-1014.9134174750943</v>
      </c>
      <c r="AP26" s="9">
        <f>'CF DRIVERS'!AP26</f>
        <v>-1010.0453445782186</v>
      </c>
    </row>
    <row r="27" spans="1:42" x14ac:dyDescent="0.3">
      <c r="A27" s="3" t="s">
        <v>87</v>
      </c>
      <c r="B27" s="4">
        <f>'YTD CF'!C27-'YTD CF'!B27</f>
        <v>0</v>
      </c>
      <c r="C27" s="4">
        <f>'YTD CF'!D27</f>
        <v>0</v>
      </c>
      <c r="D27" s="4">
        <f>'YTD CF'!E27-'YTD CF'!D27</f>
        <v>0</v>
      </c>
      <c r="E27" s="4">
        <f>'YTD CF'!F27-'YTD CF'!E27</f>
        <v>0</v>
      </c>
      <c r="F27" s="4">
        <f>'CASH FLOW'!B23-'YTD CF'!F27</f>
        <v>1357</v>
      </c>
      <c r="G27" s="4">
        <f>'YTD CF'!G27</f>
        <v>0</v>
      </c>
      <c r="H27" s="4">
        <f>'YTD CF'!H27-'YTD CF'!G27</f>
        <v>0</v>
      </c>
      <c r="I27" s="4">
        <f>'YTD CF'!I27-'YTD CF'!H27</f>
        <v>0</v>
      </c>
      <c r="J27" s="4">
        <f>'CASH FLOW'!C23-'YTD CF'!I27</f>
        <v>-164</v>
      </c>
      <c r="K27" s="4">
        <f>'YTD CF'!J27</f>
        <v>0</v>
      </c>
      <c r="L27" s="4">
        <f>'YTD CF'!K27-'YTD CF'!J27</f>
        <v>57605</v>
      </c>
      <c r="M27" s="4">
        <f>'YTD CF'!L27-'YTD CF'!K27</f>
        <v>57</v>
      </c>
      <c r="N27" s="4">
        <f>'CASH FLOW'!D23-'YTD CF'!L27</f>
        <v>-9560</v>
      </c>
      <c r="O27" s="4">
        <f>'YTD CF'!M27</f>
        <v>8250</v>
      </c>
      <c r="P27" s="4">
        <f>'YTD CF'!N27-'YTD CF'!M27</f>
        <v>-53228</v>
      </c>
      <c r="Q27" s="4">
        <f>'YTD CF'!O27-'YTD CF'!N27</f>
        <v>-4653</v>
      </c>
      <c r="R27" s="4">
        <f>'CASH FLOW'!E23-'YTD CF'!O27</f>
        <v>10095</v>
      </c>
      <c r="S27" s="4">
        <f>'YTD CF'!P27</f>
        <v>15353</v>
      </c>
      <c r="T27" s="4">
        <f>'YTD CF'!Q27-'YTD CF'!P27</f>
        <v>-4425</v>
      </c>
      <c r="U27" s="4">
        <f>'YTD CF'!R27-'YTD CF'!Q27</f>
        <v>27814</v>
      </c>
      <c r="V27" s="4">
        <f>'CASH FLOW'!F23-'YTD CF'!R27</f>
        <v>8</v>
      </c>
      <c r="W27" s="9">
        <f>'CF DRIVERS'!W27</f>
        <v>-237.96594704774179</v>
      </c>
      <c r="X27" s="9">
        <f>'CF DRIVERS'!X27</f>
        <v>-236.82453384218388</v>
      </c>
      <c r="Y27" s="9">
        <f>'CF DRIVERS'!Y27</f>
        <v>-235.68859547081956</v>
      </c>
      <c r="Z27" s="9">
        <f>'CF DRIVERS'!Z27</f>
        <v>-234.55810567340814</v>
      </c>
      <c r="AA27" s="9">
        <f>'CF DRIVERS'!AA27</f>
        <v>-233.43303831561934</v>
      </c>
      <c r="AB27" s="9">
        <f>'CF DRIVERS'!AB27</f>
        <v>-232.31336738852406</v>
      </c>
      <c r="AC27" s="9">
        <f>'CF DRIVERS'!AC27</f>
        <v>-231.1990670079249</v>
      </c>
      <c r="AD27" s="9">
        <f>'CF DRIVERS'!AD27</f>
        <v>-230.09011141376686</v>
      </c>
      <c r="AE27" s="9">
        <f>'CF DRIVERS'!AE27</f>
        <v>-228.98647496958438</v>
      </c>
      <c r="AF27" s="9">
        <f>'CF DRIVERS'!AF27</f>
        <v>-227.88813216184644</v>
      </c>
      <c r="AG27" s="9">
        <f>'CF DRIVERS'!AG27</f>
        <v>-226.79505759943277</v>
      </c>
      <c r="AH27" s="9">
        <f>'CF DRIVERS'!AH27</f>
        <v>-225.70722601297166</v>
      </c>
      <c r="AI27" s="9">
        <f>'CF DRIVERS'!AI27</f>
        <v>-224.62461225433799</v>
      </c>
      <c r="AJ27" s="9">
        <f>'CF DRIVERS'!AJ27</f>
        <v>-223.54719129598379</v>
      </c>
      <c r="AK27" s="9">
        <f>'CF DRIVERS'!AK27</f>
        <v>-222.47493823046534</v>
      </c>
      <c r="AL27" s="9">
        <f>'CF DRIVERS'!AL27</f>
        <v>-221.40782826976647</v>
      </c>
      <c r="AM27" s="9">
        <f>'CF DRIVERS'!AM27</f>
        <v>-220.34583674477472</v>
      </c>
      <c r="AN27" s="9">
        <f>'CF DRIVERS'!AN27</f>
        <v>-219.28893910470651</v>
      </c>
      <c r="AO27" s="9">
        <f>'CF DRIVERS'!AO27</f>
        <v>-218.23711091653968</v>
      </c>
      <c r="AP27" s="9">
        <f>'CF DRIVERS'!AP27</f>
        <v>-217.19032786444586</v>
      </c>
    </row>
    <row r="28" spans="1:42" x14ac:dyDescent="0.3">
      <c r="A28" s="3" t="s">
        <v>52</v>
      </c>
      <c r="B28" s="4">
        <f>'YTD CF'!C28-'YTD CF'!B28</f>
        <v>0</v>
      </c>
      <c r="C28" s="4">
        <f>'YTD CF'!D28</f>
        <v>0</v>
      </c>
      <c r="D28" s="4">
        <f>'YTD CF'!E28-'YTD CF'!D28</f>
        <v>0</v>
      </c>
      <c r="E28" s="4">
        <f>'YTD CF'!F28-'YTD CF'!E28</f>
        <v>0</v>
      </c>
      <c r="F28" s="4">
        <f>'CASH FLOW'!B24-'YTD CF'!F28</f>
        <v>13379</v>
      </c>
      <c r="G28" s="4">
        <f>'YTD CF'!G28</f>
        <v>0</v>
      </c>
      <c r="H28" s="4">
        <f>'YTD CF'!H28-'YTD CF'!G28</f>
        <v>0</v>
      </c>
      <c r="I28" s="4">
        <f>'YTD CF'!I28-'YTD CF'!H28</f>
        <v>0</v>
      </c>
      <c r="J28" s="4">
        <f>'CASH FLOW'!C24-'YTD CF'!I28</f>
        <v>16940</v>
      </c>
      <c r="K28" s="4">
        <f>'YTD CF'!J28</f>
        <v>32248</v>
      </c>
      <c r="L28" s="4">
        <f>'YTD CF'!K28-'YTD CF'!J28</f>
        <v>30747</v>
      </c>
      <c r="M28" s="4">
        <f>'YTD CF'!L28-'YTD CF'!K28</f>
        <v>37585</v>
      </c>
      <c r="N28" s="4">
        <f>'CASH FLOW'!D24-'YTD CF'!L28</f>
        <v>-36770</v>
      </c>
      <c r="O28" s="4">
        <f>'YTD CF'!M28</f>
        <v>29414</v>
      </c>
      <c r="P28" s="4">
        <f>'YTD CF'!N28-'YTD CF'!M28</f>
        <v>27278</v>
      </c>
      <c r="Q28" s="4">
        <f>'YTD CF'!O28-'YTD CF'!N28</f>
        <v>2331</v>
      </c>
      <c r="R28" s="4">
        <f>'CASH FLOW'!E24-'YTD CF'!O28</f>
        <v>-22862</v>
      </c>
      <c r="S28" s="4">
        <f>'YTD CF'!P28</f>
        <v>15379</v>
      </c>
      <c r="T28" s="4">
        <f>'YTD CF'!Q28-'YTD CF'!P28</f>
        <v>48842</v>
      </c>
      <c r="U28" s="4">
        <f>'YTD CF'!R28-'YTD CF'!Q28</f>
        <v>19055</v>
      </c>
      <c r="V28" s="4">
        <f>'CASH FLOW'!F24-'YTD CF'!R28</f>
        <v>70359</v>
      </c>
      <c r="W28" s="9">
        <f>'CF DRIVERS'!W28</f>
        <v>-1476.9602182302042</v>
      </c>
      <c r="X28" s="9">
        <f>'CF DRIVERS'!X28</f>
        <v>-1469.8759193290025</v>
      </c>
      <c r="Y28" s="9">
        <f>'CF DRIVERS'!Y28</f>
        <v>-1462.8256005516159</v>
      </c>
      <c r="Z28" s="9">
        <f>'CF DRIVERS'!Z28</f>
        <v>-1455.8090989108896</v>
      </c>
      <c r="AA28" s="9">
        <f>'CF DRIVERS'!AA28</f>
        <v>-1448.8262522015139</v>
      </c>
      <c r="AB28" s="9">
        <f>'CF DRIVERS'!AB28</f>
        <v>-1441.8768989964155</v>
      </c>
      <c r="AC28" s="9">
        <f>'CF DRIVERS'!AC28</f>
        <v>-1434.9608786425088</v>
      </c>
      <c r="AD28" s="9">
        <f>'CF DRIVERS'!AD28</f>
        <v>-1428.0780312575516</v>
      </c>
      <c r="AE28" s="9">
        <f>'CF DRIVERS'!AE28</f>
        <v>-1421.2281977260718</v>
      </c>
      <c r="AF28" s="9">
        <f>'CF DRIVERS'!AF28</f>
        <v>-1414.4112196956412</v>
      </c>
      <c r="AG28" s="9">
        <f>'CF DRIVERS'!AG28</f>
        <v>-1407.6269395737327</v>
      </c>
      <c r="AH28" s="9">
        <f>'CF DRIVERS'!AH28</f>
        <v>-1400.8752005234128</v>
      </c>
      <c r="AI28" s="9">
        <f>'CF DRIVERS'!AI28</f>
        <v>-1394.1558464601403</v>
      </c>
      <c r="AJ28" s="9">
        <f>'CF DRIVERS'!AJ28</f>
        <v>-1387.4687220479245</v>
      </c>
      <c r="AK28" s="9">
        <f>'CF DRIVERS'!AK28</f>
        <v>-1380.813672696182</v>
      </c>
      <c r="AL28" s="9">
        <f>'CF DRIVERS'!AL28</f>
        <v>-1374.1905445553712</v>
      </c>
      <c r="AM28" s="9">
        <f>'CF DRIVERS'!AM28</f>
        <v>-1367.5991845143144</v>
      </c>
      <c r="AN28" s="9">
        <f>'CF DRIVERS'!AN28</f>
        <v>-1361.0394401958911</v>
      </c>
      <c r="AO28" s="9">
        <f>'CF DRIVERS'!AO28</f>
        <v>-1354.5111599541269</v>
      </c>
      <c r="AP28" s="9">
        <f>'CF DRIVERS'!AP28</f>
        <v>-1348.0141928701778</v>
      </c>
    </row>
    <row r="29" spans="1:42" x14ac:dyDescent="0.3">
      <c r="A29" s="3" t="s">
        <v>88</v>
      </c>
      <c r="B29" s="4">
        <f>'YTD CF'!C29-'YTD CF'!B29</f>
        <v>0</v>
      </c>
      <c r="C29" s="4">
        <f>'YTD CF'!D29</f>
        <v>0</v>
      </c>
      <c r="D29" s="4">
        <f>'YTD CF'!E29-'YTD CF'!D29</f>
        <v>0</v>
      </c>
      <c r="E29" s="4">
        <f>'YTD CF'!F29-'YTD CF'!E29</f>
        <v>0</v>
      </c>
      <c r="F29" s="4">
        <f>'CASH FLOW'!B25-'YTD CF'!F29</f>
        <v>0</v>
      </c>
      <c r="G29" s="4">
        <f>'YTD CF'!G29</f>
        <v>0</v>
      </c>
      <c r="H29" s="4">
        <f>'YTD CF'!H29-'YTD CF'!G29</f>
        <v>0</v>
      </c>
      <c r="I29" s="4">
        <f>'YTD CF'!I29-'YTD CF'!H29</f>
        <v>115551</v>
      </c>
      <c r="J29" s="4">
        <f>'CASH FLOW'!C25-'YTD CF'!I29</f>
        <v>-111565</v>
      </c>
      <c r="K29" s="4">
        <f>'YTD CF'!J29</f>
        <v>-2923</v>
      </c>
      <c r="L29" s="4">
        <f>'YTD CF'!K29-'YTD CF'!J29</f>
        <v>-1063</v>
      </c>
      <c r="M29" s="4">
        <f>'YTD CF'!L29-'YTD CF'!K29</f>
        <v>0</v>
      </c>
      <c r="N29" s="4">
        <f>'CASH FLOW'!D25-'YTD CF'!L29</f>
        <v>247</v>
      </c>
      <c r="O29" s="4">
        <f>'YTD CF'!M29</f>
        <v>-248</v>
      </c>
      <c r="P29" s="4">
        <f>'YTD CF'!N29-'YTD CF'!M29</f>
        <v>0</v>
      </c>
      <c r="Q29" s="4">
        <f>'YTD CF'!O29-'YTD CF'!N29</f>
        <v>0</v>
      </c>
      <c r="R29" s="4">
        <f>'CASH FLOW'!E25-'YTD CF'!O29</f>
        <v>0</v>
      </c>
      <c r="S29" s="4">
        <f>'YTD CF'!P29</f>
        <v>0</v>
      </c>
      <c r="T29" s="4">
        <f>'YTD CF'!Q29-'YTD CF'!P29</f>
        <v>0</v>
      </c>
      <c r="U29" s="4">
        <f>'YTD CF'!R29-'YTD CF'!Q29</f>
        <v>252953</v>
      </c>
      <c r="V29" s="4">
        <f>'CASH FLOW'!F25-'YTD CF'!R29</f>
        <v>4642</v>
      </c>
      <c r="W29" s="9">
        <f>'CF DRIVERS'!W29</f>
        <v>0</v>
      </c>
      <c r="X29" s="9">
        <f>'CF DRIVERS'!X29</f>
        <v>0</v>
      </c>
      <c r="Y29" s="9">
        <f>'CF DRIVERS'!Y29</f>
        <v>0</v>
      </c>
      <c r="Z29" s="9">
        <f>'CF DRIVERS'!Z29</f>
        <v>0</v>
      </c>
      <c r="AA29" s="9">
        <f>'CF DRIVERS'!AA29</f>
        <v>0</v>
      </c>
      <c r="AB29" s="9">
        <f>'CF DRIVERS'!AB29</f>
        <v>0</v>
      </c>
      <c r="AC29" s="9">
        <f>'CF DRIVERS'!AC29</f>
        <v>0</v>
      </c>
      <c r="AD29" s="9">
        <f>'CF DRIVERS'!AD29</f>
        <v>0</v>
      </c>
      <c r="AE29" s="9">
        <f>'CF DRIVERS'!AE29</f>
        <v>0</v>
      </c>
      <c r="AF29" s="9">
        <f>'CF DRIVERS'!AF29</f>
        <v>0</v>
      </c>
      <c r="AG29" s="9">
        <f>'CF DRIVERS'!AG29</f>
        <v>0</v>
      </c>
      <c r="AH29" s="9">
        <f>'CF DRIVERS'!AH29</f>
        <v>0</v>
      </c>
      <c r="AI29" s="9">
        <f>'CF DRIVERS'!AI29</f>
        <v>0</v>
      </c>
      <c r="AJ29" s="9">
        <f>'CF DRIVERS'!AJ29</f>
        <v>0</v>
      </c>
      <c r="AK29" s="9">
        <f>'CF DRIVERS'!AK29</f>
        <v>0</v>
      </c>
      <c r="AL29" s="9">
        <f>'CF DRIVERS'!AL29</f>
        <v>0</v>
      </c>
      <c r="AM29" s="9">
        <f>'CF DRIVERS'!AM29</f>
        <v>0</v>
      </c>
      <c r="AN29" s="9">
        <f>'CF DRIVERS'!AN29</f>
        <v>0</v>
      </c>
      <c r="AO29" s="9">
        <f>'CF DRIVERS'!AO29</f>
        <v>0</v>
      </c>
      <c r="AP29" s="9">
        <f>'CF DRIVERS'!AP29</f>
        <v>0</v>
      </c>
    </row>
    <row r="30" spans="1:42" x14ac:dyDescent="0.3">
      <c r="A30" s="3" t="s">
        <v>57</v>
      </c>
      <c r="B30" s="4">
        <f>'YTD CF'!C30-'YTD CF'!B30</f>
        <v>-109313</v>
      </c>
      <c r="C30" s="4">
        <f>'YTD CF'!D30</f>
        <v>174</v>
      </c>
      <c r="D30" s="4">
        <f>'YTD CF'!E30-'YTD CF'!D30</f>
        <v>339778</v>
      </c>
      <c r="E30" s="4">
        <f>'YTD CF'!F30-'YTD CF'!E30</f>
        <v>-339952</v>
      </c>
      <c r="F30" s="4">
        <f>'CASH FLOW'!B26-'YTD CF'!F30</f>
        <v>374</v>
      </c>
      <c r="G30" s="4">
        <f>'YTD CF'!G30</f>
        <v>765</v>
      </c>
      <c r="H30" s="4">
        <f>'YTD CF'!H30-'YTD CF'!G30</f>
        <v>1055</v>
      </c>
      <c r="I30" s="4">
        <f>'YTD CF'!I30-'YTD CF'!H30</f>
        <v>471</v>
      </c>
      <c r="J30" s="4">
        <f>'CASH FLOW'!C26-'YTD CF'!I30</f>
        <v>319</v>
      </c>
      <c r="K30" s="4">
        <f>'YTD CF'!J30</f>
        <v>1508</v>
      </c>
      <c r="L30" s="4">
        <f>'YTD CF'!K30-'YTD CF'!J30</f>
        <v>2015</v>
      </c>
      <c r="M30" s="4">
        <f>'YTD CF'!L30-'YTD CF'!K30</f>
        <v>1716</v>
      </c>
      <c r="N30" s="4">
        <f>'CASH FLOW'!D26-'YTD CF'!L30</f>
        <v>2066</v>
      </c>
      <c r="O30" s="4">
        <f>'YTD CF'!M30</f>
        <v>2094</v>
      </c>
      <c r="P30" s="4">
        <f>'YTD CF'!N30-'YTD CF'!M30</f>
        <v>790</v>
      </c>
      <c r="Q30" s="4">
        <f>'YTD CF'!O30-'YTD CF'!N30</f>
        <v>1210</v>
      </c>
      <c r="R30" s="4">
        <f>'CASH FLOW'!E26-'YTD CF'!O30</f>
        <v>826</v>
      </c>
      <c r="S30" s="4">
        <f>'YTD CF'!P30</f>
        <v>-1648</v>
      </c>
      <c r="T30" s="4">
        <f>'YTD CF'!Q30-'YTD CF'!P30</f>
        <v>3647</v>
      </c>
      <c r="U30" s="4">
        <f>'YTD CF'!R30-'YTD CF'!Q30</f>
        <v>1692</v>
      </c>
      <c r="V30" s="4">
        <f>'CASH FLOW'!F26-'YTD CF'!R30</f>
        <v>6246</v>
      </c>
      <c r="W30" s="9">
        <f>'CF DRIVERS'!W30</f>
        <v>-174.90583445731318</v>
      </c>
      <c r="X30" s="9">
        <f>'CF DRIVERS'!X30</f>
        <v>-174.06689160999667</v>
      </c>
      <c r="Y30" s="9">
        <f>'CF DRIVERS'!Y30</f>
        <v>-173.23197278568841</v>
      </c>
      <c r="Z30" s="9">
        <f>'CF DRIVERS'!Z30</f>
        <v>-172.40105868298997</v>
      </c>
      <c r="AA30" s="9">
        <f>'CF DRIVERS'!AA30</f>
        <v>-171.57413009310403</v>
      </c>
      <c r="AB30" s="9">
        <f>'CF DRIVERS'!AB30</f>
        <v>-170.75116789935419</v>
      </c>
      <c r="AC30" s="9">
        <f>'CF DRIVERS'!AC30</f>
        <v>-169.93215307674836</v>
      </c>
      <c r="AD30" s="9">
        <f>'CF DRIVERS'!AD30</f>
        <v>-169.11706669159321</v>
      </c>
      <c r="AE30" s="9">
        <f>'CF DRIVERS'!AE30</f>
        <v>-168.30588990094839</v>
      </c>
      <c r="AF30" s="9">
        <f>'CF DRIVERS'!AF30</f>
        <v>-167.49860395230644</v>
      </c>
      <c r="AG30" s="9">
        <f>'CF DRIVERS'!AG30</f>
        <v>-166.69519018308347</v>
      </c>
      <c r="AH30" s="9">
        <f>'CF DRIVERS'!AH30</f>
        <v>-165.89563002021896</v>
      </c>
      <c r="AI30" s="9">
        <f>'CF DRIVERS'!AI30</f>
        <v>-165.09990497973195</v>
      </c>
      <c r="AJ30" s="9">
        <f>'CF DRIVERS'!AJ30</f>
        <v>-164.30799666629173</v>
      </c>
      <c r="AK30" s="9">
        <f>'CF DRIVERS'!AK30</f>
        <v>-163.51988677283953</v>
      </c>
      <c r="AL30" s="9">
        <f>'CF DRIVERS'!AL30</f>
        <v>-162.73555708007916</v>
      </c>
      <c r="AM30" s="9">
        <f>'CF DRIVERS'!AM30</f>
        <v>-161.95498945614236</v>
      </c>
      <c r="AN30" s="9">
        <f>'CF DRIVERS'!AN30</f>
        <v>-161.17816585610126</v>
      </c>
      <c r="AO30" s="9">
        <f>'CF DRIVERS'!AO30</f>
        <v>-160.40506832161191</v>
      </c>
      <c r="AP30" s="9">
        <f>'CF DRIVERS'!AP30</f>
        <v>-159.63567898042675</v>
      </c>
    </row>
    <row r="31" spans="1:42" x14ac:dyDescent="0.3">
      <c r="A31" s="3" t="s">
        <v>89</v>
      </c>
      <c r="B31" s="4">
        <f>'YTD CF'!C31-'YTD CF'!B31</f>
        <v>3883</v>
      </c>
      <c r="C31" s="4">
        <f>'YTD CF'!D31</f>
        <v>-5</v>
      </c>
      <c r="D31" s="4">
        <f>'YTD CF'!E31-'YTD CF'!D31</f>
        <v>7975</v>
      </c>
      <c r="E31" s="4">
        <f>'YTD CF'!F31-'YTD CF'!E31</f>
        <v>22495</v>
      </c>
      <c r="F31" s="4">
        <f>'CASH FLOW'!B27-'YTD CF'!F31</f>
        <v>-30436</v>
      </c>
      <c r="G31" s="4">
        <f>'YTD CF'!G31</f>
        <v>-78</v>
      </c>
      <c r="H31" s="4">
        <f>'YTD CF'!H31-'YTD CF'!G31</f>
        <v>-17</v>
      </c>
      <c r="I31" s="4">
        <f>'YTD CF'!I31-'YTD CF'!H31</f>
        <v>-31</v>
      </c>
      <c r="J31" s="4">
        <f>'CASH FLOW'!C27-'YTD CF'!I31</f>
        <v>-57</v>
      </c>
      <c r="K31" s="4">
        <f>'YTD CF'!J31</f>
        <v>-15</v>
      </c>
      <c r="L31" s="4">
        <f>'YTD CF'!K31-'YTD CF'!J31</f>
        <v>-23</v>
      </c>
      <c r="M31" s="4">
        <f>'YTD CF'!L31-'YTD CF'!K31</f>
        <v>-26</v>
      </c>
      <c r="N31" s="4">
        <f>'CASH FLOW'!D27-'YTD CF'!L31</f>
        <v>-38</v>
      </c>
      <c r="O31" s="4">
        <f>'YTD CF'!M31</f>
        <v>-23</v>
      </c>
      <c r="P31" s="4">
        <f>'YTD CF'!N31-'YTD CF'!M31</f>
        <v>-11</v>
      </c>
      <c r="Q31" s="4">
        <f>'YTD CF'!O31-'YTD CF'!N31</f>
        <v>51</v>
      </c>
      <c r="R31" s="4">
        <f>'CASH FLOW'!E27-'YTD CF'!O31</f>
        <v>518</v>
      </c>
      <c r="S31" s="4">
        <f>'YTD CF'!P31</f>
        <v>0</v>
      </c>
      <c r="T31" s="4">
        <f>'YTD CF'!Q31-'YTD CF'!P31</f>
        <v>0</v>
      </c>
      <c r="U31" s="4">
        <f>'YTD CF'!R31-'YTD CF'!Q31</f>
        <v>0</v>
      </c>
      <c r="V31" s="4">
        <f>'CASH FLOW'!F27-'YTD CF'!R31</f>
        <v>0</v>
      </c>
      <c r="W31" s="9">
        <f>'CF DRIVERS'!W31</f>
        <v>0</v>
      </c>
      <c r="X31" s="9">
        <f>'CF DRIVERS'!X31</f>
        <v>0</v>
      </c>
      <c r="Y31" s="9">
        <f>'CF DRIVERS'!Y31</f>
        <v>0</v>
      </c>
      <c r="Z31" s="9">
        <f>'CF DRIVERS'!Z31</f>
        <v>0</v>
      </c>
      <c r="AA31" s="9">
        <f>'CF DRIVERS'!AA31</f>
        <v>0</v>
      </c>
      <c r="AB31" s="9">
        <f>'CF DRIVERS'!AB31</f>
        <v>0</v>
      </c>
      <c r="AC31" s="9">
        <f>'CF DRIVERS'!AC31</f>
        <v>0</v>
      </c>
      <c r="AD31" s="9">
        <f>'CF DRIVERS'!AD31</f>
        <v>0</v>
      </c>
      <c r="AE31" s="9">
        <f>'CF DRIVERS'!AE31</f>
        <v>0</v>
      </c>
      <c r="AF31" s="9">
        <f>'CF DRIVERS'!AF31</f>
        <v>0</v>
      </c>
      <c r="AG31" s="9">
        <f>'CF DRIVERS'!AG31</f>
        <v>0</v>
      </c>
      <c r="AH31" s="9">
        <f>'CF DRIVERS'!AH31</f>
        <v>0</v>
      </c>
      <c r="AI31" s="9">
        <f>'CF DRIVERS'!AI31</f>
        <v>0</v>
      </c>
      <c r="AJ31" s="9">
        <f>'CF DRIVERS'!AJ31</f>
        <v>0</v>
      </c>
      <c r="AK31" s="9">
        <f>'CF DRIVERS'!AK31</f>
        <v>0</v>
      </c>
      <c r="AL31" s="9">
        <f>'CF DRIVERS'!AL31</f>
        <v>0</v>
      </c>
      <c r="AM31" s="9">
        <f>'CF DRIVERS'!AM31</f>
        <v>0</v>
      </c>
      <c r="AN31" s="9">
        <f>'CF DRIVERS'!AN31</f>
        <v>0</v>
      </c>
      <c r="AO31" s="9">
        <f>'CF DRIVERS'!AO31</f>
        <v>0</v>
      </c>
      <c r="AP31" s="9">
        <f>'CF DRIVERS'!AP31</f>
        <v>0</v>
      </c>
    </row>
    <row r="32" spans="1:42" x14ac:dyDescent="0.3">
      <c r="A32" s="3" t="s">
        <v>90</v>
      </c>
      <c r="B32" s="4">
        <f>'YTD CF'!C32-'YTD CF'!B32</f>
        <v>0</v>
      </c>
      <c r="C32" s="4">
        <f>'YTD CF'!D32</f>
        <v>0</v>
      </c>
      <c r="D32" s="4">
        <f>'YTD CF'!E32-'YTD CF'!D32</f>
        <v>0</v>
      </c>
      <c r="E32" s="4">
        <f>'YTD CF'!F32-'YTD CF'!E32</f>
        <v>0</v>
      </c>
      <c r="F32" s="4">
        <f>'CASH FLOW'!B28-'YTD CF'!F32</f>
        <v>0</v>
      </c>
      <c r="G32" s="4">
        <f>'YTD CF'!G32</f>
        <v>0</v>
      </c>
      <c r="H32" s="4">
        <f>'YTD CF'!H32-'YTD CF'!G32</f>
        <v>0</v>
      </c>
      <c r="I32" s="4">
        <f>'YTD CF'!I32-'YTD CF'!H32</f>
        <v>154103</v>
      </c>
      <c r="J32" s="4">
        <f>'CASH FLOW'!C28-'YTD CF'!I32</f>
        <v>35360</v>
      </c>
      <c r="K32" s="4">
        <f>'YTD CF'!J32</f>
        <v>-4625</v>
      </c>
      <c r="L32" s="4">
        <f>'YTD CF'!K32-'YTD CF'!J32</f>
        <v>-3594</v>
      </c>
      <c r="M32" s="4">
        <f>'YTD CF'!L32-'YTD CF'!K32</f>
        <v>-2374</v>
      </c>
      <c r="N32" s="4">
        <f>'CASH FLOW'!D28-'YTD CF'!L32</f>
        <v>-2130</v>
      </c>
      <c r="O32" s="4">
        <f>'YTD CF'!M32</f>
        <v>-2378</v>
      </c>
      <c r="P32" s="4">
        <f>'YTD CF'!N32-'YTD CF'!M32</f>
        <v>-2379</v>
      </c>
      <c r="Q32" s="4">
        <f>'YTD CF'!O32-'YTD CF'!N32</f>
        <v>-2378</v>
      </c>
      <c r="R32" s="4">
        <f>'CASH FLOW'!E28-'YTD CF'!O32</f>
        <v>-2378</v>
      </c>
      <c r="S32" s="4">
        <f>'YTD CF'!P32</f>
        <v>-2378</v>
      </c>
      <c r="T32" s="4">
        <f>'YTD CF'!Q32-'YTD CF'!P32</f>
        <v>-4942</v>
      </c>
      <c r="U32" s="4">
        <f>'YTD CF'!R32-'YTD CF'!Q32</f>
        <v>240783</v>
      </c>
      <c r="V32" s="4">
        <f>'CASH FLOW'!F28-'YTD CF'!R32</f>
        <v>21647</v>
      </c>
      <c r="W32" s="9">
        <f>'CF DRIVERS'!W32</f>
        <v>0</v>
      </c>
      <c r="X32" s="9">
        <f>'CF DRIVERS'!X32</f>
        <v>0</v>
      </c>
      <c r="Y32" s="9">
        <f>'CF DRIVERS'!Y32</f>
        <v>0</v>
      </c>
      <c r="Z32" s="9">
        <f>'CF DRIVERS'!Z32</f>
        <v>0</v>
      </c>
      <c r="AA32" s="9">
        <f>'CF DRIVERS'!AA32</f>
        <v>0</v>
      </c>
      <c r="AB32" s="9">
        <f>'CF DRIVERS'!AB32</f>
        <v>0</v>
      </c>
      <c r="AC32" s="9">
        <f>'CF DRIVERS'!AC32</f>
        <v>0</v>
      </c>
      <c r="AD32" s="9">
        <f>'CF DRIVERS'!AD32</f>
        <v>0</v>
      </c>
      <c r="AE32" s="9">
        <f>'CF DRIVERS'!AE32</f>
        <v>0</v>
      </c>
      <c r="AF32" s="9">
        <f>'CF DRIVERS'!AF32</f>
        <v>0</v>
      </c>
      <c r="AG32" s="9">
        <f>'CF DRIVERS'!AG32</f>
        <v>0</v>
      </c>
      <c r="AH32" s="9">
        <f>'CF DRIVERS'!AH32</f>
        <v>0</v>
      </c>
      <c r="AI32" s="9">
        <f>'CF DRIVERS'!AI32</f>
        <v>0</v>
      </c>
      <c r="AJ32" s="9">
        <f>'CF DRIVERS'!AJ32</f>
        <v>0</v>
      </c>
      <c r="AK32" s="9">
        <f>'CF DRIVERS'!AK32</f>
        <v>0</v>
      </c>
      <c r="AL32" s="9">
        <f>'CF DRIVERS'!AL32</f>
        <v>0</v>
      </c>
      <c r="AM32" s="9">
        <f>'CF DRIVERS'!AM32</f>
        <v>0</v>
      </c>
      <c r="AN32" s="9">
        <f>'CF DRIVERS'!AN32</f>
        <v>0</v>
      </c>
      <c r="AO32" s="9">
        <f>'CF DRIVERS'!AO32</f>
        <v>0</v>
      </c>
      <c r="AP32" s="9">
        <f>'CF DRIVERS'!AP32</f>
        <v>0</v>
      </c>
    </row>
    <row r="33" spans="1:42" x14ac:dyDescent="0.3">
      <c r="A33" s="3" t="s">
        <v>91</v>
      </c>
      <c r="B33" s="4">
        <f>'YTD CF'!C33-'YTD CF'!B33</f>
        <v>213764</v>
      </c>
      <c r="C33" s="4">
        <f>'YTD CF'!D33</f>
        <v>0</v>
      </c>
      <c r="D33" s="4">
        <f>'YTD CF'!E33-'YTD CF'!D33</f>
        <v>0</v>
      </c>
      <c r="E33" s="4">
        <f>'YTD CF'!F33-'YTD CF'!E33</f>
        <v>532395</v>
      </c>
      <c r="F33" s="4">
        <f>'CASH FLOW'!B29-'YTD CF'!F33</f>
        <v>-532395</v>
      </c>
      <c r="G33" s="4">
        <f>'YTD CF'!G33</f>
        <v>0</v>
      </c>
      <c r="H33" s="4">
        <f>'YTD CF'!H33-'YTD CF'!G33</f>
        <v>488</v>
      </c>
      <c r="I33" s="4">
        <f>'YTD CF'!I33-'YTD CF'!H33</f>
        <v>-488</v>
      </c>
      <c r="J33" s="4">
        <f>'CASH FLOW'!C29-'YTD CF'!I33</f>
        <v>0</v>
      </c>
      <c r="K33" s="4">
        <f>'YTD CF'!J33</f>
        <v>0</v>
      </c>
      <c r="L33" s="4">
        <f>'YTD CF'!K33-'YTD CF'!J33</f>
        <v>0</v>
      </c>
      <c r="M33" s="4">
        <f>'YTD CF'!L33-'YTD CF'!K33</f>
        <v>0</v>
      </c>
      <c r="N33" s="4">
        <f>'CASH FLOW'!D29-'YTD CF'!L33</f>
        <v>0</v>
      </c>
      <c r="O33" s="4">
        <f>'YTD CF'!M33</f>
        <v>0</v>
      </c>
      <c r="P33" s="4">
        <f>'YTD CF'!N33-'YTD CF'!M33</f>
        <v>0</v>
      </c>
      <c r="Q33" s="4">
        <f>'YTD CF'!O33-'YTD CF'!N33</f>
        <v>0</v>
      </c>
      <c r="R33" s="4">
        <f>'CASH FLOW'!E29-'YTD CF'!O33</f>
        <v>0</v>
      </c>
      <c r="S33" s="4">
        <f>'YTD CF'!P33</f>
        <v>148</v>
      </c>
      <c r="T33" s="4">
        <f>'YTD CF'!Q33-'YTD CF'!P33</f>
        <v>-1358</v>
      </c>
      <c r="U33" s="4">
        <f>'YTD CF'!R33-'YTD CF'!Q33</f>
        <v>-576</v>
      </c>
      <c r="V33" s="4">
        <f>'CASH FLOW'!F29-'YTD CF'!R33</f>
        <v>4267</v>
      </c>
      <c r="W33" s="9">
        <f>'CF DRIVERS'!W33</f>
        <v>0</v>
      </c>
      <c r="X33" s="9">
        <f>'CF DRIVERS'!X33</f>
        <v>0</v>
      </c>
      <c r="Y33" s="9">
        <f>'CF DRIVERS'!Y33</f>
        <v>0</v>
      </c>
      <c r="Z33" s="9">
        <f>'CF DRIVERS'!Z33</f>
        <v>0</v>
      </c>
      <c r="AA33" s="9">
        <f>'CF DRIVERS'!AA33</f>
        <v>0</v>
      </c>
      <c r="AB33" s="9">
        <f>'CF DRIVERS'!AB33</f>
        <v>0</v>
      </c>
      <c r="AC33" s="9">
        <f>'CF DRIVERS'!AC33</f>
        <v>0</v>
      </c>
      <c r="AD33" s="9">
        <f>'CF DRIVERS'!AD33</f>
        <v>0</v>
      </c>
      <c r="AE33" s="9">
        <f>'CF DRIVERS'!AE33</f>
        <v>0</v>
      </c>
      <c r="AF33" s="9">
        <f>'CF DRIVERS'!AF33</f>
        <v>0</v>
      </c>
      <c r="AG33" s="9">
        <f>'CF DRIVERS'!AG33</f>
        <v>0</v>
      </c>
      <c r="AH33" s="9">
        <f>'CF DRIVERS'!AH33</f>
        <v>0</v>
      </c>
      <c r="AI33" s="9">
        <f>'CF DRIVERS'!AI33</f>
        <v>0</v>
      </c>
      <c r="AJ33" s="9">
        <f>'CF DRIVERS'!AJ33</f>
        <v>0</v>
      </c>
      <c r="AK33" s="9">
        <f>'CF DRIVERS'!AK33</f>
        <v>0</v>
      </c>
      <c r="AL33" s="9">
        <f>'CF DRIVERS'!AL33</f>
        <v>0</v>
      </c>
      <c r="AM33" s="9">
        <f>'CF DRIVERS'!AM33</f>
        <v>0</v>
      </c>
      <c r="AN33" s="9">
        <f>'CF DRIVERS'!AN33</f>
        <v>0</v>
      </c>
      <c r="AO33" s="9">
        <f>'CF DRIVERS'!AO33</f>
        <v>0</v>
      </c>
      <c r="AP33" s="9">
        <f>'CF DRIVERS'!AP33</f>
        <v>0</v>
      </c>
    </row>
    <row r="34" spans="1:42" x14ac:dyDescent="0.3">
      <c r="A34" s="3" t="s">
        <v>92</v>
      </c>
      <c r="B34" s="6">
        <f>'YTD CF'!C34-'YTD CF'!B34</f>
        <v>8089588</v>
      </c>
      <c r="C34" s="6">
        <f>'YTD CF'!D34</f>
        <v>-13318</v>
      </c>
      <c r="D34" s="6">
        <f>'YTD CF'!E34-'YTD CF'!D34</f>
        <v>-30316146</v>
      </c>
      <c r="E34" s="6">
        <f>'YTD CF'!F34-'YTD CF'!E34</f>
        <v>-21734485</v>
      </c>
      <c r="F34" s="6">
        <f>'CASH FLOW'!B30-'YTD CF'!F34</f>
        <v>51967363</v>
      </c>
      <c r="G34" s="6">
        <f>'YTD CF'!G34</f>
        <v>9125</v>
      </c>
      <c r="H34" s="6">
        <f>'YTD CF'!H34-'YTD CF'!G34</f>
        <v>33171</v>
      </c>
      <c r="I34" s="6">
        <f>'YTD CF'!I34-'YTD CF'!H34</f>
        <v>128671</v>
      </c>
      <c r="J34" s="6">
        <f>'CASH FLOW'!C30-'YTD CF'!I34</f>
        <v>-62785</v>
      </c>
      <c r="K34" s="6">
        <f>'YTD CF'!J34</f>
        <v>-13831</v>
      </c>
      <c r="L34" s="6">
        <f>'YTD CF'!K34-'YTD CF'!J34</f>
        <v>59042</v>
      </c>
      <c r="M34" s="6">
        <f>'YTD CF'!L34-'YTD CF'!K34</f>
        <v>90835</v>
      </c>
      <c r="N34" s="6">
        <f>'CASH FLOW'!D30-'YTD CF'!L34</f>
        <v>5172</v>
      </c>
      <c r="O34" s="6">
        <f>'YTD CF'!M34</f>
        <v>134649</v>
      </c>
      <c r="P34" s="6">
        <f>'YTD CF'!N34-'YTD CF'!M34</f>
        <v>39643</v>
      </c>
      <c r="Q34" s="6">
        <f>'YTD CF'!O34-'YTD CF'!N34</f>
        <v>12934</v>
      </c>
      <c r="R34" s="6">
        <f>'CASH FLOW'!E30-'YTD CF'!O34</f>
        <v>75672</v>
      </c>
      <c r="S34" s="6">
        <f>'YTD CF'!P34</f>
        <v>103367</v>
      </c>
      <c r="T34" s="6">
        <f>'YTD CF'!Q34-'YTD CF'!P34</f>
        <v>43712</v>
      </c>
      <c r="U34" s="6">
        <f>'YTD CF'!R34-'YTD CF'!Q34</f>
        <v>331801</v>
      </c>
      <c r="V34" s="6">
        <f>'CASH FLOW'!F30-'YTD CF'!R34</f>
        <v>-119438</v>
      </c>
      <c r="W34" s="7">
        <f t="shared" ref="W34:AP34" si="0">SUM(W2:W33)</f>
        <v>-115374.09557484832</v>
      </c>
      <c r="X34" s="7">
        <f t="shared" si="0"/>
        <v>148049.93242663558</v>
      </c>
      <c r="Y34" s="7">
        <f t="shared" si="0"/>
        <v>147389.14519643027</v>
      </c>
      <c r="Z34" s="7">
        <f t="shared" si="0"/>
        <v>146731.52745866679</v>
      </c>
      <c r="AA34" s="7">
        <f t="shared" si="0"/>
        <v>146077.06401074777</v>
      </c>
      <c r="AB34" s="7">
        <f t="shared" si="0"/>
        <v>145425.73972299549</v>
      </c>
      <c r="AC34" s="7">
        <f t="shared" si="0"/>
        <v>144777.53953830243</v>
      </c>
      <c r="AD34" s="7">
        <f t="shared" si="0"/>
        <v>144132.44847178276</v>
      </c>
      <c r="AE34" s="7">
        <f t="shared" si="0"/>
        <v>143490.45161042706</v>
      </c>
      <c r="AF34" s="7">
        <f t="shared" si="0"/>
        <v>142851.53411275567</v>
      </c>
      <c r="AG34" s="7">
        <f t="shared" si="0"/>
        <v>142215.68120847718</v>
      </c>
      <c r="AH34" s="7">
        <f t="shared" si="0"/>
        <v>141582.87819814711</v>
      </c>
      <c r="AI34" s="7">
        <f t="shared" si="0"/>
        <v>140953.11045282593</v>
      </c>
      <c r="AJ34" s="7">
        <f t="shared" si="0"/>
        <v>140326.36341374446</v>
      </c>
      <c r="AK34" s="7">
        <f t="shared" si="0"/>
        <v>139702.6225919631</v>
      </c>
      <c r="AL34" s="7">
        <f t="shared" si="0"/>
        <v>139081.87356804081</v>
      </c>
      <c r="AM34" s="7">
        <f t="shared" si="0"/>
        <v>138464.10199169852</v>
      </c>
      <c r="AN34" s="7">
        <f t="shared" si="0"/>
        <v>137849.29358149029</v>
      </c>
      <c r="AO34" s="7">
        <f t="shared" si="0"/>
        <v>137237.43412446982</v>
      </c>
      <c r="AP34" s="7">
        <f t="shared" si="0"/>
        <v>136628.50947586674</v>
      </c>
    </row>
    <row r="35" spans="1:42" x14ac:dyDescent="0.3">
      <c r="A35" s="3" t="s">
        <v>93</v>
      </c>
      <c r="B35" s="4">
        <f>'YTD CF'!C35-'YTD CF'!B35</f>
        <v>0</v>
      </c>
      <c r="C35" s="4">
        <f>'YTD CF'!D35</f>
        <v>1876</v>
      </c>
      <c r="D35" s="4">
        <f>'YTD CF'!E35-'YTD CF'!D35</f>
        <v>1874397</v>
      </c>
      <c r="E35" s="4">
        <f>'YTD CF'!F35-'YTD CF'!E35</f>
        <v>9451</v>
      </c>
      <c r="F35" s="4">
        <f>'CASH FLOW'!B31-'YTD CF'!F35</f>
        <v>-1883838</v>
      </c>
      <c r="G35" s="4">
        <f>'YTD CF'!G35</f>
        <v>0</v>
      </c>
      <c r="H35" s="4">
        <f>'YTD CF'!H35-'YTD CF'!G35</f>
        <v>2592</v>
      </c>
      <c r="I35" s="4">
        <f>'YTD CF'!I35-'YTD CF'!H35</f>
        <v>0</v>
      </c>
      <c r="J35" s="4">
        <f>'CASH FLOW'!C31-'YTD CF'!I35</f>
        <v>0</v>
      </c>
      <c r="K35" s="4">
        <f>'YTD CF'!J35</f>
        <v>3233</v>
      </c>
      <c r="L35" s="4">
        <f>'YTD CF'!K35-'YTD CF'!J35</f>
        <v>0</v>
      </c>
      <c r="M35" s="4">
        <f>'YTD CF'!L35-'YTD CF'!K35</f>
        <v>0</v>
      </c>
      <c r="N35" s="4">
        <f>'CASH FLOW'!D31-'YTD CF'!L35</f>
        <v>0</v>
      </c>
      <c r="O35" s="4">
        <f>'YTD CF'!M35</f>
        <v>0</v>
      </c>
      <c r="P35" s="4">
        <f>'YTD CF'!N35-'YTD CF'!M35</f>
        <v>0</v>
      </c>
      <c r="Q35" s="4">
        <f>'YTD CF'!O35-'YTD CF'!N35</f>
        <v>0</v>
      </c>
      <c r="R35" s="4">
        <f>'CASH FLOW'!E31-'YTD CF'!O35</f>
        <v>0</v>
      </c>
      <c r="S35" s="4">
        <f>'YTD CF'!P35</f>
        <v>0</v>
      </c>
      <c r="T35" s="4">
        <f>'YTD CF'!Q35-'YTD CF'!P35</f>
        <v>0</v>
      </c>
      <c r="U35" s="4">
        <f>'YTD CF'!R35-'YTD CF'!Q35</f>
        <v>0</v>
      </c>
      <c r="V35" s="4">
        <f>'CASH FLOW'!F31-'YTD CF'!R35</f>
        <v>0</v>
      </c>
      <c r="W35" s="9">
        <f>'CF DRIVERS'!W34</f>
        <v>0</v>
      </c>
      <c r="X35" s="9">
        <f>'CF DRIVERS'!X34</f>
        <v>0</v>
      </c>
      <c r="Y35" s="9">
        <f>'CF DRIVERS'!Y34</f>
        <v>0</v>
      </c>
      <c r="Z35" s="9">
        <f>'CF DRIVERS'!Z34</f>
        <v>0</v>
      </c>
      <c r="AA35" s="9">
        <f>'CF DRIVERS'!AA34</f>
        <v>0</v>
      </c>
      <c r="AB35" s="9">
        <f>'CF DRIVERS'!AB34</f>
        <v>0</v>
      </c>
      <c r="AC35" s="9">
        <f>'CF DRIVERS'!AC34</f>
        <v>0</v>
      </c>
      <c r="AD35" s="9">
        <f>'CF DRIVERS'!AD34</f>
        <v>0</v>
      </c>
      <c r="AE35" s="9">
        <f>'CF DRIVERS'!AE34</f>
        <v>0</v>
      </c>
      <c r="AF35" s="9">
        <f>'CF DRIVERS'!AF34</f>
        <v>0</v>
      </c>
      <c r="AG35" s="9">
        <f>'CF DRIVERS'!AG34</f>
        <v>0</v>
      </c>
      <c r="AH35" s="9">
        <f>'CF DRIVERS'!AH34</f>
        <v>0</v>
      </c>
      <c r="AI35" s="9">
        <f>'CF DRIVERS'!AI34</f>
        <v>0</v>
      </c>
      <c r="AJ35" s="9">
        <f>'CF DRIVERS'!AJ34</f>
        <v>0</v>
      </c>
      <c r="AK35" s="9">
        <f>'CF DRIVERS'!AK34</f>
        <v>0</v>
      </c>
      <c r="AL35" s="9">
        <f>'CF DRIVERS'!AL34</f>
        <v>0</v>
      </c>
      <c r="AM35" s="9">
        <f>'CF DRIVERS'!AM34</f>
        <v>0</v>
      </c>
      <c r="AN35" s="9">
        <f>'CF DRIVERS'!AN34</f>
        <v>0</v>
      </c>
      <c r="AO35" s="9">
        <f>'CF DRIVERS'!AO34</f>
        <v>0</v>
      </c>
      <c r="AP35" s="9">
        <f>'CF DRIVERS'!AP34</f>
        <v>0</v>
      </c>
    </row>
    <row r="36" spans="1:42" x14ac:dyDescent="0.3">
      <c r="A36" s="3" t="s">
        <v>94</v>
      </c>
      <c r="B36" s="4">
        <f>'YTD CF'!C36-'YTD CF'!B36</f>
        <v>-100894</v>
      </c>
      <c r="C36" s="4">
        <f>'YTD CF'!D36</f>
        <v>-698</v>
      </c>
      <c r="D36" s="4">
        <f>'YTD CF'!E36-'YTD CF'!D36</f>
        <v>-1215352</v>
      </c>
      <c r="E36" s="4">
        <f>'YTD CF'!F36-'YTD CF'!E36</f>
        <v>-1179252</v>
      </c>
      <c r="F36" s="4">
        <f>'CASH FLOW'!B32-'YTD CF'!F36</f>
        <v>2392152</v>
      </c>
      <c r="G36" s="4">
        <f>'YTD CF'!G36</f>
        <v>-742</v>
      </c>
      <c r="H36" s="4">
        <f>'YTD CF'!H36-'YTD CF'!G36</f>
        <v>-1714</v>
      </c>
      <c r="I36" s="4">
        <f>'YTD CF'!I36-'YTD CF'!H36</f>
        <v>-1021</v>
      </c>
      <c r="J36" s="4">
        <f>'CASH FLOW'!C32-'YTD CF'!I36</f>
        <v>-4787</v>
      </c>
      <c r="K36" s="4">
        <f>'YTD CF'!J36</f>
        <v>-2253</v>
      </c>
      <c r="L36" s="4">
        <f>'YTD CF'!K36-'YTD CF'!J36</f>
        <v>-4557</v>
      </c>
      <c r="M36" s="4">
        <f>'YTD CF'!L36-'YTD CF'!K36</f>
        <v>-5877</v>
      </c>
      <c r="N36" s="4">
        <f>'CASH FLOW'!D32-'YTD CF'!L36</f>
        <v>-4746</v>
      </c>
      <c r="O36" s="4">
        <f>'YTD CF'!M36</f>
        <v>-4525</v>
      </c>
      <c r="P36" s="4">
        <f>'YTD CF'!N36-'YTD CF'!M36</f>
        <v>-9214</v>
      </c>
      <c r="Q36" s="4">
        <f>'YTD CF'!O36-'YTD CF'!N36</f>
        <v>-4244</v>
      </c>
      <c r="R36" s="4">
        <f>'CASH FLOW'!E32-'YTD CF'!O36</f>
        <v>-5407</v>
      </c>
      <c r="S36" s="4">
        <f>'YTD CF'!P36</f>
        <v>-6944</v>
      </c>
      <c r="T36" s="4">
        <f>'YTD CF'!Q36-'YTD CF'!P36</f>
        <v>-8250</v>
      </c>
      <c r="U36" s="4">
        <f>'YTD CF'!R36-'YTD CF'!Q36</f>
        <v>-10345</v>
      </c>
      <c r="V36" s="4">
        <f>'CASH FLOW'!F32-'YTD CF'!R36</f>
        <v>-10528</v>
      </c>
      <c r="W36" s="9">
        <f>'QTR P&amp;L'!W2*'CF DRIVERS'!W35</f>
        <v>-10477.502025910695</v>
      </c>
      <c r="X36" s="9">
        <f>'QTR P&amp;L'!X2*'CF DRIVERS'!X35</f>
        <v>-10427.246267378676</v>
      </c>
      <c r="Y36" s="9">
        <f>'QTR P&amp;L'!Y2*'CF DRIVERS'!Y35</f>
        <v>-10377.231562607314</v>
      </c>
      <c r="Z36" s="9">
        <f>'QTR P&amp;L'!Z2*'CF DRIVERS'!Z35</f>
        <v>-10327.456755372581</v>
      </c>
      <c r="AA36" s="9">
        <f>'QTR P&amp;L'!AA2*'CF DRIVERS'!AA35</f>
        <v>-10277.920694996323</v>
      </c>
      <c r="AB36" s="9">
        <f>'QTR P&amp;L'!AB2*'CF DRIVERS'!AB35</f>
        <v>-10228.622236319665</v>
      </c>
      <c r="AC36" s="9">
        <f>'QTR P&amp;L'!AC2*'CF DRIVERS'!AC35</f>
        <v>-10179.560239676526</v>
      </c>
      <c r="AD36" s="9">
        <f>'QTR P&amp;L'!AD2*'CF DRIVERS'!AD35</f>
        <v>-10130.733570867284</v>
      </c>
      <c r="AE36" s="9">
        <f>'QTR P&amp;L'!AE2*'CF DRIVERS'!AE35</f>
        <v>-10082.141101132545</v>
      </c>
      <c r="AF36" s="9">
        <f>'QTR P&amp;L'!AF2*'CF DRIVERS'!AF35</f>
        <v>-10033.781707127064</v>
      </c>
      <c r="AG36" s="9">
        <f>'QTR P&amp;L'!AG2*'CF DRIVERS'!AG35</f>
        <v>-9985.6542708937577</v>
      </c>
      <c r="AH36" s="9">
        <f>'QTR P&amp;L'!AH2*'CF DRIVERS'!AH35</f>
        <v>-9937.7576798378723</v>
      </c>
      <c r="AI36" s="9">
        <f>'QTR P&amp;L'!AI2*'CF DRIVERS'!AI35</f>
        <v>-9890.0908267012601</v>
      </c>
      <c r="AJ36" s="9">
        <f>'QTR P&amp;L'!AJ2*'CF DRIVERS'!AJ35</f>
        <v>-9842.6526095367808</v>
      </c>
      <c r="AK36" s="9">
        <f>'QTR P&amp;L'!AK2*'CF DRIVERS'!AK35</f>
        <v>-9795.4419316828262</v>
      </c>
      <c r="AL36" s="9">
        <f>'QTR P&amp;L'!AL2*'CF DRIVERS'!AL35</f>
        <v>-9748.4577017379725</v>
      </c>
      <c r="AM36" s="9">
        <f>'QTR P&amp;L'!AM2*'CF DRIVERS'!AM35</f>
        <v>-9701.6988335357437</v>
      </c>
      <c r="AN36" s="9">
        <f>'QTR P&amp;L'!AN2*'CF DRIVERS'!AN35</f>
        <v>-9655.1642461195079</v>
      </c>
      <c r="AO36" s="9">
        <f>'QTR P&amp;L'!AO2*'CF DRIVERS'!AO35</f>
        <v>-9608.8528637174804</v>
      </c>
      <c r="AP36" s="9">
        <f>'QTR P&amp;L'!AP2*'CF DRIVERS'!AP35</f>
        <v>-9562.7636157178658</v>
      </c>
    </row>
    <row r="37" spans="1:42" x14ac:dyDescent="0.3">
      <c r="A37" s="3" t="s">
        <v>95</v>
      </c>
      <c r="B37" s="4">
        <f>'YTD CF'!C37-'YTD CF'!B37</f>
        <v>0</v>
      </c>
      <c r="C37" s="4">
        <f>'YTD CF'!D37</f>
        <v>0</v>
      </c>
      <c r="D37" s="4">
        <f>'YTD CF'!E37-'YTD CF'!D37</f>
        <v>0</v>
      </c>
      <c r="E37" s="4">
        <f>'YTD CF'!F37-'YTD CF'!E37</f>
        <v>0</v>
      </c>
      <c r="F37" s="4">
        <f>'CASH FLOW'!B33-'YTD CF'!F37</f>
        <v>0</v>
      </c>
      <c r="G37" s="4">
        <f>'YTD CF'!G37</f>
        <v>0</v>
      </c>
      <c r="H37" s="4">
        <f>'YTD CF'!H37-'YTD CF'!G37</f>
        <v>0</v>
      </c>
      <c r="I37" s="4">
        <f>'YTD CF'!I37-'YTD CF'!H37</f>
        <v>0</v>
      </c>
      <c r="J37" s="4">
        <f>'CASH FLOW'!C33-'YTD CF'!I37</f>
        <v>0</v>
      </c>
      <c r="K37" s="4">
        <f>'YTD CF'!J37</f>
        <v>0</v>
      </c>
      <c r="L37" s="4">
        <f>'YTD CF'!K37-'YTD CF'!J37</f>
        <v>0</v>
      </c>
      <c r="M37" s="4">
        <f>'YTD CF'!L37-'YTD CF'!K37</f>
        <v>0</v>
      </c>
      <c r="N37" s="4">
        <f>'CASH FLOW'!D33-'YTD CF'!L37</f>
        <v>0</v>
      </c>
      <c r="O37" s="4">
        <f>'YTD CF'!M37</f>
        <v>0</v>
      </c>
      <c r="P37" s="4">
        <f>'YTD CF'!N37-'YTD CF'!M37</f>
        <v>0</v>
      </c>
      <c r="Q37" s="4">
        <f>'YTD CF'!O37-'YTD CF'!N37</f>
        <v>-3000</v>
      </c>
      <c r="R37" s="4">
        <f>'CASH FLOW'!E33-'YTD CF'!O37</f>
        <v>0</v>
      </c>
      <c r="S37" s="4">
        <f>'YTD CF'!P37</f>
        <v>0</v>
      </c>
      <c r="T37" s="4">
        <f>'YTD CF'!Q37-'YTD CF'!P37</f>
        <v>-5000</v>
      </c>
      <c r="U37" s="4">
        <f>'YTD CF'!R37-'YTD CF'!Q37</f>
        <v>0</v>
      </c>
      <c r="V37" s="4">
        <f>'CASH FLOW'!F33-'YTD CF'!R37</f>
        <v>-5000</v>
      </c>
      <c r="W37" s="9">
        <f>'CF DRIVERS'!W36</f>
        <v>0</v>
      </c>
      <c r="X37" s="9">
        <f>'CF DRIVERS'!X36</f>
        <v>0</v>
      </c>
      <c r="Y37" s="9">
        <f>'CF DRIVERS'!Y36</f>
        <v>0</v>
      </c>
      <c r="Z37" s="9">
        <f>'CF DRIVERS'!Z36</f>
        <v>0</v>
      </c>
      <c r="AA37" s="9">
        <f>'CF DRIVERS'!AA36</f>
        <v>0</v>
      </c>
      <c r="AB37" s="9">
        <f>'CF DRIVERS'!AB36</f>
        <v>0</v>
      </c>
      <c r="AC37" s="9">
        <f>'CF DRIVERS'!AC36</f>
        <v>0</v>
      </c>
      <c r="AD37" s="9">
        <f>'CF DRIVERS'!AD36</f>
        <v>0</v>
      </c>
      <c r="AE37" s="9">
        <f>'CF DRIVERS'!AE36</f>
        <v>0</v>
      </c>
      <c r="AF37" s="9">
        <f>'CF DRIVERS'!AF36</f>
        <v>0</v>
      </c>
      <c r="AG37" s="9">
        <f>'CF DRIVERS'!AG36</f>
        <v>0</v>
      </c>
      <c r="AH37" s="9">
        <f>'CF DRIVERS'!AH36</f>
        <v>0</v>
      </c>
      <c r="AI37" s="9">
        <f>'CF DRIVERS'!AI36</f>
        <v>0</v>
      </c>
      <c r="AJ37" s="9">
        <f>'CF DRIVERS'!AJ36</f>
        <v>0</v>
      </c>
      <c r="AK37" s="9">
        <f>'CF DRIVERS'!AK36</f>
        <v>0</v>
      </c>
      <c r="AL37" s="9">
        <f>'CF DRIVERS'!AL36</f>
        <v>0</v>
      </c>
      <c r="AM37" s="9">
        <f>'CF DRIVERS'!AM36</f>
        <v>0</v>
      </c>
      <c r="AN37" s="9">
        <f>'CF DRIVERS'!AN36</f>
        <v>0</v>
      </c>
      <c r="AO37" s="9">
        <f>'CF DRIVERS'!AO36</f>
        <v>0</v>
      </c>
      <c r="AP37" s="9">
        <f>'CF DRIVERS'!AP36</f>
        <v>0</v>
      </c>
    </row>
    <row r="38" spans="1:42" x14ac:dyDescent="0.3">
      <c r="A38" s="3" t="s">
        <v>96</v>
      </c>
      <c r="B38" s="4">
        <f>'YTD CF'!C38-'YTD CF'!B38</f>
        <v>0</v>
      </c>
      <c r="C38" s="4">
        <f>'YTD CF'!D38</f>
        <v>0</v>
      </c>
      <c r="D38" s="4">
        <f>'YTD CF'!E38-'YTD CF'!D38</f>
        <v>0</v>
      </c>
      <c r="E38" s="4">
        <f>'YTD CF'!F38-'YTD CF'!E38</f>
        <v>0</v>
      </c>
      <c r="F38" s="4">
        <f>'CASH FLOW'!B34-'YTD CF'!F38</f>
        <v>0</v>
      </c>
      <c r="G38" s="4">
        <f>'YTD CF'!G38</f>
        <v>0</v>
      </c>
      <c r="H38" s="4">
        <f>'YTD CF'!H38-'YTD CF'!G38</f>
        <v>0</v>
      </c>
      <c r="I38" s="4">
        <f>'YTD CF'!I38-'YTD CF'!H38</f>
        <v>0</v>
      </c>
      <c r="J38" s="4">
        <f>'CASH FLOW'!C34-'YTD CF'!I38</f>
        <v>0</v>
      </c>
      <c r="K38" s="4">
        <f>'YTD CF'!J38</f>
        <v>0</v>
      </c>
      <c r="L38" s="4">
        <f>'YTD CF'!K38-'YTD CF'!J38</f>
        <v>0</v>
      </c>
      <c r="M38" s="4">
        <f>'YTD CF'!L38-'YTD CF'!K38</f>
        <v>0</v>
      </c>
      <c r="N38" s="4">
        <f>'CASH FLOW'!D34-'YTD CF'!L38</f>
        <v>0</v>
      </c>
      <c r="O38" s="4">
        <f>'YTD CF'!M38</f>
        <v>0</v>
      </c>
      <c r="P38" s="4">
        <f>'YTD CF'!N38-'YTD CF'!M38</f>
        <v>0</v>
      </c>
      <c r="Q38" s="4">
        <f>'YTD CF'!O38-'YTD CF'!N38</f>
        <v>0</v>
      </c>
      <c r="R38" s="4">
        <f>'CASH FLOW'!E34-'YTD CF'!O38</f>
        <v>-75336</v>
      </c>
      <c r="S38" s="4">
        <f>'YTD CF'!P38</f>
        <v>0</v>
      </c>
      <c r="T38" s="4">
        <f>'YTD CF'!Q38-'YTD CF'!P38</f>
        <v>0</v>
      </c>
      <c r="U38" s="4">
        <f>'YTD CF'!R38-'YTD CF'!Q38</f>
        <v>0</v>
      </c>
      <c r="V38" s="4">
        <f>'CASH FLOW'!F34-'YTD CF'!R38</f>
        <v>0</v>
      </c>
      <c r="W38" s="9">
        <f>'CF DRIVERS'!W37</f>
        <v>0</v>
      </c>
      <c r="X38" s="9">
        <f>'CF DRIVERS'!X37</f>
        <v>0</v>
      </c>
      <c r="Y38" s="9">
        <f>'CF DRIVERS'!Y37</f>
        <v>0</v>
      </c>
      <c r="Z38" s="9">
        <f>'CF DRIVERS'!Z37</f>
        <v>0</v>
      </c>
      <c r="AA38" s="9">
        <f>'CF DRIVERS'!AA37</f>
        <v>0</v>
      </c>
      <c r="AB38" s="9">
        <f>'CF DRIVERS'!AB37</f>
        <v>0</v>
      </c>
      <c r="AC38" s="9">
        <f>'CF DRIVERS'!AC37</f>
        <v>0</v>
      </c>
      <c r="AD38" s="9">
        <f>'CF DRIVERS'!AD37</f>
        <v>0</v>
      </c>
      <c r="AE38" s="9">
        <f>'CF DRIVERS'!AE37</f>
        <v>0</v>
      </c>
      <c r="AF38" s="9">
        <f>'CF DRIVERS'!AF37</f>
        <v>0</v>
      </c>
      <c r="AG38" s="9">
        <f>'CF DRIVERS'!AG37</f>
        <v>0</v>
      </c>
      <c r="AH38" s="9">
        <f>'CF DRIVERS'!AH37</f>
        <v>0</v>
      </c>
      <c r="AI38" s="9">
        <f>'CF DRIVERS'!AI37</f>
        <v>0</v>
      </c>
      <c r="AJ38" s="9">
        <f>'CF DRIVERS'!AJ37</f>
        <v>0</v>
      </c>
      <c r="AK38" s="9">
        <f>'CF DRIVERS'!AK37</f>
        <v>0</v>
      </c>
      <c r="AL38" s="9">
        <f>'CF DRIVERS'!AL37</f>
        <v>0</v>
      </c>
      <c r="AM38" s="9">
        <f>'CF DRIVERS'!AM37</f>
        <v>0</v>
      </c>
      <c r="AN38" s="9">
        <f>'CF DRIVERS'!AN37</f>
        <v>0</v>
      </c>
      <c r="AO38" s="9">
        <f>'CF DRIVERS'!AO37</f>
        <v>0</v>
      </c>
      <c r="AP38" s="9">
        <f>'CF DRIVERS'!AP37</f>
        <v>0</v>
      </c>
    </row>
    <row r="39" spans="1:42" x14ac:dyDescent="0.3">
      <c r="A39" s="3" t="s">
        <v>97</v>
      </c>
      <c r="B39" s="4">
        <f>'YTD CF'!C39-'YTD CF'!B39</f>
        <v>0</v>
      </c>
      <c r="C39" s="4">
        <f>'YTD CF'!D39</f>
        <v>0</v>
      </c>
      <c r="D39" s="4">
        <f>'YTD CF'!E39-'YTD CF'!D39</f>
        <v>0</v>
      </c>
      <c r="E39" s="4">
        <f>'YTD CF'!F39-'YTD CF'!E39</f>
        <v>0</v>
      </c>
      <c r="F39" s="4">
        <f>'CASH FLOW'!B35-'YTD CF'!F39</f>
        <v>0</v>
      </c>
      <c r="G39" s="4">
        <f>'YTD CF'!G39</f>
        <v>0</v>
      </c>
      <c r="H39" s="4">
        <f>'YTD CF'!H39-'YTD CF'!G39</f>
        <v>0</v>
      </c>
      <c r="I39" s="4">
        <f>'YTD CF'!I39-'YTD CF'!H39</f>
        <v>0</v>
      </c>
      <c r="J39" s="4">
        <f>'CASH FLOW'!C35-'YTD CF'!I39</f>
        <v>0</v>
      </c>
      <c r="K39" s="4">
        <f>'YTD CF'!J39</f>
        <v>0</v>
      </c>
      <c r="L39" s="4">
        <f>'YTD CF'!K39-'YTD CF'!J39</f>
        <v>0</v>
      </c>
      <c r="M39" s="4">
        <f>'YTD CF'!L39-'YTD CF'!K39</f>
        <v>0</v>
      </c>
      <c r="N39" s="4">
        <f>'CASH FLOW'!D35-'YTD CF'!L39</f>
        <v>0</v>
      </c>
      <c r="O39" s="4">
        <f>'YTD CF'!M39</f>
        <v>0</v>
      </c>
      <c r="P39" s="4">
        <f>'YTD CF'!N39-'YTD CF'!M39</f>
        <v>0</v>
      </c>
      <c r="Q39" s="4">
        <f>'YTD CF'!O39-'YTD CF'!N39</f>
        <v>0</v>
      </c>
      <c r="R39" s="4">
        <f>'CASH FLOW'!E35-'YTD CF'!O39</f>
        <v>0</v>
      </c>
      <c r="S39" s="4">
        <f>'YTD CF'!P39</f>
        <v>0</v>
      </c>
      <c r="T39" s="4">
        <f>'YTD CF'!Q39-'YTD CF'!P39</f>
        <v>-1256351</v>
      </c>
      <c r="U39" s="4">
        <f>'YTD CF'!R39-'YTD CF'!Q39</f>
        <v>-22418</v>
      </c>
      <c r="V39" s="4">
        <f>'CASH FLOW'!F35-'YTD CF'!R39</f>
        <v>0</v>
      </c>
      <c r="W39" s="9">
        <f>'CF DRIVERS'!W38</f>
        <v>0</v>
      </c>
      <c r="X39" s="9">
        <f>'CF DRIVERS'!X38</f>
        <v>0</v>
      </c>
      <c r="Y39" s="9">
        <f>'CF DRIVERS'!Y38</f>
        <v>0</v>
      </c>
      <c r="Z39" s="9">
        <f>'CF DRIVERS'!Z38</f>
        <v>0</v>
      </c>
      <c r="AA39" s="9">
        <f>'CF DRIVERS'!AA38</f>
        <v>0</v>
      </c>
      <c r="AB39" s="9">
        <f>'CF DRIVERS'!AB38</f>
        <v>0</v>
      </c>
      <c r="AC39" s="9">
        <f>'CF DRIVERS'!AC38</f>
        <v>0</v>
      </c>
      <c r="AD39" s="9">
        <f>'CF DRIVERS'!AD38</f>
        <v>0</v>
      </c>
      <c r="AE39" s="9">
        <f>'CF DRIVERS'!AE38</f>
        <v>0</v>
      </c>
      <c r="AF39" s="9">
        <f>'CF DRIVERS'!AF38</f>
        <v>0</v>
      </c>
      <c r="AG39" s="9">
        <f>'CF DRIVERS'!AG38</f>
        <v>0</v>
      </c>
      <c r="AH39" s="9">
        <f>'CF DRIVERS'!AH38</f>
        <v>0</v>
      </c>
      <c r="AI39" s="9">
        <f>'CF DRIVERS'!AI38</f>
        <v>0</v>
      </c>
      <c r="AJ39" s="9">
        <f>'CF DRIVERS'!AJ38</f>
        <v>0</v>
      </c>
      <c r="AK39" s="9">
        <f>'CF DRIVERS'!AK38</f>
        <v>0</v>
      </c>
      <c r="AL39" s="9">
        <f>'CF DRIVERS'!AL38</f>
        <v>0</v>
      </c>
      <c r="AM39" s="9">
        <f>'CF DRIVERS'!AM38</f>
        <v>0</v>
      </c>
      <c r="AN39" s="9">
        <f>'CF DRIVERS'!AN38</f>
        <v>0</v>
      </c>
      <c r="AO39" s="9">
        <f>'CF DRIVERS'!AO38</f>
        <v>0</v>
      </c>
      <c r="AP39" s="9">
        <f>'CF DRIVERS'!AP38</f>
        <v>0</v>
      </c>
    </row>
    <row r="40" spans="1:42" x14ac:dyDescent="0.3">
      <c r="A40" s="3" t="s">
        <v>98</v>
      </c>
      <c r="W40" s="9">
        <f>'CF DRIVERS'!W39</f>
        <v>0</v>
      </c>
      <c r="X40" s="9">
        <f>'CF DRIVERS'!X39</f>
        <v>0</v>
      </c>
      <c r="Y40" s="9">
        <f>'CF DRIVERS'!Y39</f>
        <v>0</v>
      </c>
      <c r="Z40" s="9">
        <f>'CF DRIVERS'!Z39</f>
        <v>0</v>
      </c>
      <c r="AA40" s="9">
        <f>'CF DRIVERS'!AA39</f>
        <v>0</v>
      </c>
      <c r="AB40" s="9">
        <f>'CF DRIVERS'!AB39</f>
        <v>0</v>
      </c>
      <c r="AC40" s="9">
        <f>'CF DRIVERS'!AC39</f>
        <v>0</v>
      </c>
      <c r="AD40" s="9">
        <f>'CF DRIVERS'!AD39</f>
        <v>0</v>
      </c>
      <c r="AE40" s="9">
        <f>'CF DRIVERS'!AE39</f>
        <v>0</v>
      </c>
      <c r="AF40" s="9">
        <f>'CF DRIVERS'!AF39</f>
        <v>0</v>
      </c>
      <c r="AG40" s="9">
        <f>'CF DRIVERS'!AG39</f>
        <v>0</v>
      </c>
      <c r="AH40" s="9">
        <f>'CF DRIVERS'!AH39</f>
        <v>0</v>
      </c>
      <c r="AI40" s="9">
        <f>'CF DRIVERS'!AI39</f>
        <v>0</v>
      </c>
      <c r="AJ40" s="9">
        <f>'CF DRIVERS'!AJ39</f>
        <v>0</v>
      </c>
      <c r="AK40" s="9">
        <f>'CF DRIVERS'!AK39</f>
        <v>0</v>
      </c>
      <c r="AL40" s="9">
        <f>'CF DRIVERS'!AL39</f>
        <v>0</v>
      </c>
      <c r="AM40" s="9">
        <f>'CF DRIVERS'!AM39</f>
        <v>0</v>
      </c>
      <c r="AN40" s="9">
        <f>'CF DRIVERS'!AN39</f>
        <v>0</v>
      </c>
      <c r="AO40" s="9">
        <f>'CF DRIVERS'!AO39</f>
        <v>0</v>
      </c>
      <c r="AP40" s="9">
        <f>'CF DRIVERS'!AP39</f>
        <v>0</v>
      </c>
    </row>
    <row r="41" spans="1:42" x14ac:dyDescent="0.3">
      <c r="A41" s="3" t="s">
        <v>99</v>
      </c>
      <c r="B41" s="6">
        <f>'YTD CF'!C41-'YTD CF'!B41</f>
        <v>-100894</v>
      </c>
      <c r="C41" s="6">
        <f>'YTD CF'!D41</f>
        <v>1178</v>
      </c>
      <c r="D41" s="6">
        <f>'YTD CF'!E41-'YTD CF'!D41</f>
        <v>659045</v>
      </c>
      <c r="E41" s="6">
        <f>'YTD CF'!F41-'YTD CF'!E41</f>
        <v>-1169801</v>
      </c>
      <c r="F41" s="6">
        <f>'CASH FLOW'!B37-'YTD CF'!F41</f>
        <v>508314</v>
      </c>
      <c r="G41" s="6">
        <f>'YTD CF'!G41</f>
        <v>-742</v>
      </c>
      <c r="H41" s="6">
        <f>'YTD CF'!H41-'YTD CF'!G41</f>
        <v>878</v>
      </c>
      <c r="I41" s="6">
        <f>'YTD CF'!I41-'YTD CF'!H41</f>
        <v>-1021</v>
      </c>
      <c r="J41" s="6">
        <f>'CASH FLOW'!C37-'YTD CF'!I41</f>
        <v>-4787</v>
      </c>
      <c r="K41" s="6">
        <f>'YTD CF'!J41</f>
        <v>980</v>
      </c>
      <c r="L41" s="6">
        <f>'YTD CF'!K41-'YTD CF'!J41</f>
        <v>-4557</v>
      </c>
      <c r="M41" s="6">
        <f>'YTD CF'!L41-'YTD CF'!K41</f>
        <v>-5877</v>
      </c>
      <c r="N41" s="6">
        <f>'CASH FLOW'!D37-'YTD CF'!L41</f>
        <v>-4746</v>
      </c>
      <c r="O41" s="6">
        <f>'YTD CF'!M41</f>
        <v>-4525</v>
      </c>
      <c r="P41" s="6">
        <f>'YTD CF'!N41-'YTD CF'!M41</f>
        <v>-9214</v>
      </c>
      <c r="Q41" s="6">
        <f>'YTD CF'!O41-'YTD CF'!N41</f>
        <v>-7244</v>
      </c>
      <c r="R41" s="6">
        <f>'CASH FLOW'!E37-'YTD CF'!O41</f>
        <v>-80743</v>
      </c>
      <c r="S41" s="6">
        <f>'YTD CF'!P41</f>
        <v>-6944</v>
      </c>
      <c r="T41" s="6">
        <f>'YTD CF'!Q41-'YTD CF'!P41</f>
        <v>-1269601</v>
      </c>
      <c r="U41" s="6">
        <f>'YTD CF'!R41-'YTD CF'!Q41</f>
        <v>-2146</v>
      </c>
      <c r="V41" s="6">
        <f>'CASH FLOW'!F37-'YTD CF'!R41</f>
        <v>-16989</v>
      </c>
      <c r="W41" s="7">
        <f t="shared" ref="W41:AP41" si="1">SUM(W35:W40)</f>
        <v>-10477.502025910695</v>
      </c>
      <c r="X41" s="7">
        <f t="shared" si="1"/>
        <v>-10427.246267378676</v>
      </c>
      <c r="Y41" s="7">
        <f t="shared" si="1"/>
        <v>-10377.231562607314</v>
      </c>
      <c r="Z41" s="7">
        <f t="shared" si="1"/>
        <v>-10327.456755372581</v>
      </c>
      <c r="AA41" s="7">
        <f t="shared" si="1"/>
        <v>-10277.920694996323</v>
      </c>
      <c r="AB41" s="7">
        <f t="shared" si="1"/>
        <v>-10228.622236319665</v>
      </c>
      <c r="AC41" s="7">
        <f t="shared" si="1"/>
        <v>-10179.560239676526</v>
      </c>
      <c r="AD41" s="7">
        <f t="shared" si="1"/>
        <v>-10130.733570867284</v>
      </c>
      <c r="AE41" s="7">
        <f t="shared" si="1"/>
        <v>-10082.141101132545</v>
      </c>
      <c r="AF41" s="7">
        <f t="shared" si="1"/>
        <v>-10033.781707127064</v>
      </c>
      <c r="AG41" s="7">
        <f t="shared" si="1"/>
        <v>-9985.6542708937577</v>
      </c>
      <c r="AH41" s="7">
        <f t="shared" si="1"/>
        <v>-9937.7576798378723</v>
      </c>
      <c r="AI41" s="7">
        <f t="shared" si="1"/>
        <v>-9890.0908267012601</v>
      </c>
      <c r="AJ41" s="7">
        <f t="shared" si="1"/>
        <v>-9842.6526095367808</v>
      </c>
      <c r="AK41" s="7">
        <f t="shared" si="1"/>
        <v>-9795.4419316828262</v>
      </c>
      <c r="AL41" s="7">
        <f t="shared" si="1"/>
        <v>-9748.4577017379725</v>
      </c>
      <c r="AM41" s="7">
        <f t="shared" si="1"/>
        <v>-9701.6988335357437</v>
      </c>
      <c r="AN41" s="7">
        <f t="shared" si="1"/>
        <v>-9655.1642461195079</v>
      </c>
      <c r="AO41" s="7">
        <f t="shared" si="1"/>
        <v>-9608.8528637174804</v>
      </c>
      <c r="AP41" s="7">
        <f t="shared" si="1"/>
        <v>-9562.7636157178658</v>
      </c>
    </row>
    <row r="42" spans="1:42" x14ac:dyDescent="0.3">
      <c r="A42" s="3" t="s">
        <v>100</v>
      </c>
      <c r="B42" s="4">
        <f>'YTD CF'!C42-'YTD CF'!B42</f>
        <v>-37179</v>
      </c>
      <c r="C42" s="4">
        <f>'YTD CF'!D42</f>
        <v>-25</v>
      </c>
      <c r="D42" s="4">
        <f>'YTD CF'!E42-'YTD CF'!D42</f>
        <v>-49567</v>
      </c>
      <c r="E42" s="4">
        <f>'YTD CF'!F42-'YTD CF'!E42</f>
        <v>-22794</v>
      </c>
      <c r="F42" s="4">
        <f>'CASH FLOW'!B38-'YTD CF'!F42</f>
        <v>72292</v>
      </c>
      <c r="G42" s="4">
        <f>'YTD CF'!G42</f>
        <v>-20</v>
      </c>
      <c r="H42" s="4">
        <f>'YTD CF'!H42-'YTD CF'!G42</f>
        <v>-17</v>
      </c>
      <c r="I42" s="4">
        <f>'YTD CF'!I42-'YTD CF'!H42</f>
        <v>-12</v>
      </c>
      <c r="J42" s="4">
        <f>'CASH FLOW'!C38-'YTD CF'!I42</f>
        <v>-14</v>
      </c>
      <c r="K42" s="4">
        <f>'YTD CF'!J42</f>
        <v>-11</v>
      </c>
      <c r="L42" s="4">
        <f>'YTD CF'!K42-'YTD CF'!J42</f>
        <v>-11</v>
      </c>
      <c r="M42" s="4">
        <f>'YTD CF'!L42-'YTD CF'!K42</f>
        <v>-11</v>
      </c>
      <c r="N42" s="4">
        <f>'CASH FLOW'!D38-'YTD CF'!L42</f>
        <v>-11</v>
      </c>
      <c r="O42" s="4">
        <f>'YTD CF'!M42</f>
        <v>-15</v>
      </c>
      <c r="P42" s="4">
        <f>'YTD CF'!N42-'YTD CF'!M42</f>
        <v>-15</v>
      </c>
      <c r="Q42" s="4">
        <f>'YTD CF'!O42-'YTD CF'!N42</f>
        <v>-16</v>
      </c>
      <c r="R42" s="4">
        <f>'CASH FLOW'!E38-'YTD CF'!O42</f>
        <v>-15</v>
      </c>
      <c r="S42" s="4">
        <f>'YTD CF'!P42</f>
        <v>0</v>
      </c>
      <c r="T42" s="4">
        <f>'YTD CF'!Q42-'YTD CF'!P42</f>
        <v>0</v>
      </c>
      <c r="U42" s="4">
        <f>'YTD CF'!R42-'YTD CF'!Q42</f>
        <v>0</v>
      </c>
      <c r="V42" s="4">
        <f>'CASH FLOW'!F38-'YTD CF'!R42</f>
        <v>0</v>
      </c>
      <c r="W42" s="9">
        <f>'CF DRIVERS'!W40</f>
        <v>0</v>
      </c>
      <c r="X42" s="9">
        <f>'CF DRIVERS'!X40</f>
        <v>0</v>
      </c>
      <c r="Y42" s="9">
        <f>'CF DRIVERS'!Y40</f>
        <v>0</v>
      </c>
      <c r="Z42" s="9">
        <f>'CF DRIVERS'!Z40</f>
        <v>0</v>
      </c>
      <c r="AA42" s="9">
        <f>'CF DRIVERS'!AA40</f>
        <v>0</v>
      </c>
      <c r="AB42" s="9">
        <f>'CF DRIVERS'!AB40</f>
        <v>0</v>
      </c>
      <c r="AC42" s="9">
        <f>'CF DRIVERS'!AC40</f>
        <v>0</v>
      </c>
      <c r="AD42" s="9">
        <f>'CF DRIVERS'!AD40</f>
        <v>0</v>
      </c>
      <c r="AE42" s="9">
        <f>'CF DRIVERS'!AE40</f>
        <v>0</v>
      </c>
      <c r="AF42" s="9">
        <f>'CF DRIVERS'!AF40</f>
        <v>0</v>
      </c>
      <c r="AG42" s="9">
        <f>'CF DRIVERS'!AG40</f>
        <v>0</v>
      </c>
      <c r="AH42" s="9">
        <f>'CF DRIVERS'!AH40</f>
        <v>0</v>
      </c>
      <c r="AI42" s="9">
        <f>'CF DRIVERS'!AI40</f>
        <v>0</v>
      </c>
      <c r="AJ42" s="9">
        <f>'CF DRIVERS'!AJ40</f>
        <v>0</v>
      </c>
      <c r="AK42" s="9">
        <f>'CF DRIVERS'!AK40</f>
        <v>0</v>
      </c>
      <c r="AL42" s="9">
        <f>'CF DRIVERS'!AL40</f>
        <v>0</v>
      </c>
      <c r="AM42" s="9">
        <f>'CF DRIVERS'!AM40</f>
        <v>0</v>
      </c>
      <c r="AN42" s="9">
        <f>'CF DRIVERS'!AN40</f>
        <v>0</v>
      </c>
      <c r="AO42" s="9">
        <f>'CF DRIVERS'!AO40</f>
        <v>0</v>
      </c>
      <c r="AP42" s="9">
        <f>'CF DRIVERS'!AP40</f>
        <v>0</v>
      </c>
    </row>
    <row r="43" spans="1:42" x14ac:dyDescent="0.3">
      <c r="A43" s="3" t="s">
        <v>102</v>
      </c>
      <c r="B43" s="4">
        <f>'YTD CF'!C43-'YTD CF'!B43</f>
        <v>21983116</v>
      </c>
      <c r="C43" s="4">
        <f>'YTD CF'!D43</f>
        <v>0</v>
      </c>
      <c r="D43" s="4">
        <f>'YTD CF'!E43-'YTD CF'!D43</f>
        <v>67769386</v>
      </c>
      <c r="E43" s="4">
        <f>'YTD CF'!F43-'YTD CF'!E43</f>
        <v>0</v>
      </c>
      <c r="F43" s="4">
        <f>'CASH FLOW'!B40-'YTD CF'!F43</f>
        <v>-67701617</v>
      </c>
      <c r="G43" s="4">
        <f>'YTD CF'!G43</f>
        <v>0</v>
      </c>
      <c r="H43" s="4">
        <f>'YTD CF'!H43-'YTD CF'!G43</f>
        <v>0</v>
      </c>
      <c r="I43" s="4">
        <f>'YTD CF'!I43-'YTD CF'!H43</f>
        <v>0</v>
      </c>
      <c r="J43" s="4">
        <f>'CASH FLOW'!C40-'YTD CF'!I43</f>
        <v>0</v>
      </c>
      <c r="K43" s="4">
        <f>'YTD CF'!J43</f>
        <v>0</v>
      </c>
      <c r="L43" s="4">
        <f>'YTD CF'!K43-'YTD CF'!J43</f>
        <v>0</v>
      </c>
      <c r="M43" s="4">
        <f>'YTD CF'!L43-'YTD CF'!K43</f>
        <v>0</v>
      </c>
      <c r="N43" s="4">
        <f>'CASH FLOW'!D40-'YTD CF'!L43</f>
        <v>0</v>
      </c>
      <c r="O43" s="4">
        <f>'YTD CF'!M43</f>
        <v>0</v>
      </c>
      <c r="P43" s="4">
        <f>'YTD CF'!N43-'YTD CF'!M43</f>
        <v>0</v>
      </c>
      <c r="Q43" s="4">
        <f>'YTD CF'!O43-'YTD CF'!N43</f>
        <v>0</v>
      </c>
      <c r="R43" s="4">
        <f>'CASH FLOW'!E40-'YTD CF'!O43</f>
        <v>0</v>
      </c>
      <c r="S43" s="4">
        <f>'YTD CF'!P43</f>
        <v>0</v>
      </c>
      <c r="T43" s="4">
        <f>'YTD CF'!Q43-'YTD CF'!P43</f>
        <v>0</v>
      </c>
      <c r="U43" s="4">
        <f>'YTD CF'!R43-'YTD CF'!Q43</f>
        <v>0</v>
      </c>
      <c r="V43" s="4">
        <f>'CASH FLOW'!F40-'YTD CF'!R43</f>
        <v>0</v>
      </c>
      <c r="W43" s="9">
        <f>'CF DRIVERS'!W41</f>
        <v>0</v>
      </c>
      <c r="X43" s="9">
        <f>'CF DRIVERS'!X41</f>
        <v>0</v>
      </c>
      <c r="Y43" s="9">
        <f>'CF DRIVERS'!Y41</f>
        <v>0</v>
      </c>
      <c r="Z43" s="9">
        <f>'CF DRIVERS'!Z41</f>
        <v>0</v>
      </c>
      <c r="AA43" s="9">
        <f>'CF DRIVERS'!AA41</f>
        <v>0</v>
      </c>
      <c r="AB43" s="9">
        <f>'CF DRIVERS'!AB41</f>
        <v>0</v>
      </c>
      <c r="AC43" s="9">
        <f>'CF DRIVERS'!AC41</f>
        <v>0</v>
      </c>
      <c r="AD43" s="9">
        <f>'CF DRIVERS'!AD41</f>
        <v>0</v>
      </c>
      <c r="AE43" s="9">
        <f>'CF DRIVERS'!AE41</f>
        <v>0</v>
      </c>
      <c r="AF43" s="9">
        <f>'CF DRIVERS'!AF41</f>
        <v>0</v>
      </c>
      <c r="AG43" s="9">
        <f>'CF DRIVERS'!AG41</f>
        <v>0</v>
      </c>
      <c r="AH43" s="9">
        <f>'CF DRIVERS'!AH41</f>
        <v>0</v>
      </c>
      <c r="AI43" s="9">
        <f>'CF DRIVERS'!AI41</f>
        <v>0</v>
      </c>
      <c r="AJ43" s="9">
        <f>'CF DRIVERS'!AJ41</f>
        <v>0</v>
      </c>
      <c r="AK43" s="9">
        <f>'CF DRIVERS'!AK41</f>
        <v>0</v>
      </c>
      <c r="AL43" s="9">
        <f>'CF DRIVERS'!AL41</f>
        <v>0</v>
      </c>
      <c r="AM43" s="9">
        <f>'CF DRIVERS'!AM41</f>
        <v>0</v>
      </c>
      <c r="AN43" s="9">
        <f>'CF DRIVERS'!AN41</f>
        <v>0</v>
      </c>
      <c r="AO43" s="9">
        <f>'CF DRIVERS'!AO41</f>
        <v>0</v>
      </c>
      <c r="AP43" s="9">
        <f>'CF DRIVERS'!AP41</f>
        <v>0</v>
      </c>
    </row>
    <row r="44" spans="1:42" x14ac:dyDescent="0.3">
      <c r="A44" s="3" t="s">
        <v>101</v>
      </c>
      <c r="B44" s="4">
        <f>'YTD CF'!C44-'YTD CF'!B44</f>
        <v>1591679</v>
      </c>
      <c r="C44" s="4">
        <f>'YTD CF'!D44</f>
        <v>716</v>
      </c>
      <c r="D44" s="4">
        <f>'YTD CF'!E44-'YTD CF'!D44</f>
        <v>2514301</v>
      </c>
      <c r="E44" s="4">
        <f>'YTD CF'!F44-'YTD CF'!E44</f>
        <v>727056</v>
      </c>
      <c r="F44" s="4">
        <f>'CASH FLOW'!B39-'YTD CF'!F44</f>
        <v>-3238353</v>
      </c>
      <c r="G44" s="4">
        <f>'YTD CF'!G44</f>
        <v>810</v>
      </c>
      <c r="H44" s="4">
        <f>'YTD CF'!H44-'YTD CF'!G44</f>
        <v>450</v>
      </c>
      <c r="I44" s="4">
        <f>'YTD CF'!I44-'YTD CF'!H44</f>
        <v>1844</v>
      </c>
      <c r="J44" s="4">
        <f>'CASH FLOW'!C39-'YTD CF'!I44</f>
        <v>579</v>
      </c>
      <c r="K44" s="4">
        <f>'YTD CF'!J44</f>
        <v>478</v>
      </c>
      <c r="L44" s="4">
        <f>'YTD CF'!K44-'YTD CF'!J44</f>
        <v>229</v>
      </c>
      <c r="M44" s="4">
        <f>'YTD CF'!L44-'YTD CF'!K44</f>
        <v>896</v>
      </c>
      <c r="N44" s="4">
        <f>'CASH FLOW'!D39-'YTD CF'!L44</f>
        <v>682</v>
      </c>
      <c r="O44" s="4">
        <f>'YTD CF'!M44</f>
        <v>967</v>
      </c>
      <c r="P44" s="4">
        <f>'YTD CF'!N44-'YTD CF'!M44</f>
        <v>180</v>
      </c>
      <c r="Q44" s="4">
        <f>'YTD CF'!O44-'YTD CF'!N44</f>
        <v>2685</v>
      </c>
      <c r="R44" s="4">
        <f>'CASH FLOW'!E39-'YTD CF'!O44</f>
        <v>24</v>
      </c>
      <c r="S44" s="4">
        <f>'YTD CF'!P44</f>
        <v>0</v>
      </c>
      <c r="T44" s="4">
        <f>'YTD CF'!Q44-'YTD CF'!P44</f>
        <v>0</v>
      </c>
      <c r="U44" s="4">
        <f>'YTD CF'!R44-'YTD CF'!Q44</f>
        <v>0</v>
      </c>
      <c r="V44" s="4">
        <f>'CASH FLOW'!F39-'YTD CF'!R44</f>
        <v>0</v>
      </c>
      <c r="W44" s="9">
        <f>'CF DRIVERS'!W42</f>
        <v>0</v>
      </c>
      <c r="X44" s="9">
        <f>'CF DRIVERS'!X42</f>
        <v>0</v>
      </c>
      <c r="Y44" s="9">
        <f>'CF DRIVERS'!Y42</f>
        <v>0</v>
      </c>
      <c r="Z44" s="9">
        <f>'CF DRIVERS'!Z42</f>
        <v>0</v>
      </c>
      <c r="AA44" s="9">
        <f>'CF DRIVERS'!AA42</f>
        <v>0</v>
      </c>
      <c r="AB44" s="9">
        <f>'CF DRIVERS'!AB42</f>
        <v>0</v>
      </c>
      <c r="AC44" s="9">
        <f>'CF DRIVERS'!AC42</f>
        <v>0</v>
      </c>
      <c r="AD44" s="9">
        <f>'CF DRIVERS'!AD42</f>
        <v>0</v>
      </c>
      <c r="AE44" s="9">
        <f>'CF DRIVERS'!AE42</f>
        <v>0</v>
      </c>
      <c r="AF44" s="9">
        <f>'CF DRIVERS'!AF42</f>
        <v>0</v>
      </c>
      <c r="AG44" s="9">
        <f>'CF DRIVERS'!AG42</f>
        <v>0</v>
      </c>
      <c r="AH44" s="9">
        <f>'CF DRIVERS'!AH42</f>
        <v>0</v>
      </c>
      <c r="AI44" s="9">
        <f>'CF DRIVERS'!AI42</f>
        <v>0</v>
      </c>
      <c r="AJ44" s="9">
        <f>'CF DRIVERS'!AJ42</f>
        <v>0</v>
      </c>
      <c r="AK44" s="9">
        <f>'CF DRIVERS'!AK42</f>
        <v>0</v>
      </c>
      <c r="AL44" s="9">
        <f>'CF DRIVERS'!AL42</f>
        <v>0</v>
      </c>
      <c r="AM44" s="9">
        <f>'CF DRIVERS'!AM42</f>
        <v>0</v>
      </c>
      <c r="AN44" s="9">
        <f>'CF DRIVERS'!AN42</f>
        <v>0</v>
      </c>
      <c r="AO44" s="9">
        <f>'CF DRIVERS'!AO42</f>
        <v>0</v>
      </c>
      <c r="AP44" s="9">
        <f>'CF DRIVERS'!AP42</f>
        <v>0</v>
      </c>
    </row>
    <row r="45" spans="1:42" x14ac:dyDescent="0.3">
      <c r="A45" s="3" t="s">
        <v>103</v>
      </c>
      <c r="B45" s="4">
        <f>'YTD CF'!C45-'YTD CF'!B45</f>
        <v>0</v>
      </c>
      <c r="C45" s="4">
        <f>'YTD CF'!D45</f>
        <v>0</v>
      </c>
      <c r="D45" s="4">
        <f>'YTD CF'!E45-'YTD CF'!D45</f>
        <v>0</v>
      </c>
      <c r="E45" s="4">
        <f>'YTD CF'!F45-'YTD CF'!E45</f>
        <v>0</v>
      </c>
      <c r="F45" s="4">
        <f>'CASH FLOW'!B41-'YTD CF'!F45</f>
        <v>0</v>
      </c>
      <c r="G45" s="4">
        <f>'YTD CF'!G45</f>
        <v>0</v>
      </c>
      <c r="H45" s="4">
        <f>'YTD CF'!H45-'YTD CF'!G45</f>
        <v>0</v>
      </c>
      <c r="I45" s="4">
        <f>'YTD CF'!I45-'YTD CF'!H45</f>
        <v>542018</v>
      </c>
      <c r="J45" s="4">
        <f>'CASH FLOW'!C41-'YTD CF'!I45</f>
        <v>0</v>
      </c>
      <c r="K45" s="4">
        <f>'YTD CF'!J45</f>
        <v>0</v>
      </c>
      <c r="L45" s="4">
        <f>'YTD CF'!K45-'YTD CF'!J45</f>
        <v>0</v>
      </c>
      <c r="M45" s="4">
        <f>'YTD CF'!L45-'YTD CF'!K45</f>
        <v>0</v>
      </c>
      <c r="N45" s="4">
        <f>'CASH FLOW'!D41-'YTD CF'!L45</f>
        <v>0</v>
      </c>
      <c r="O45" s="4">
        <f>'YTD CF'!M45</f>
        <v>0</v>
      </c>
      <c r="P45" s="4">
        <f>'YTD CF'!N45-'YTD CF'!M45</f>
        <v>0</v>
      </c>
      <c r="Q45" s="4">
        <f>'YTD CF'!O45-'YTD CF'!N45</f>
        <v>0</v>
      </c>
      <c r="R45" s="4">
        <f>'CASH FLOW'!E41-'YTD CF'!O45</f>
        <v>0</v>
      </c>
      <c r="S45" s="4">
        <f>'YTD CF'!P45</f>
        <v>0</v>
      </c>
      <c r="T45" s="4">
        <f>'YTD CF'!Q45-'YTD CF'!P45</f>
        <v>0</v>
      </c>
      <c r="U45" s="4">
        <f>'YTD CF'!R45-'YTD CF'!Q45</f>
        <v>0</v>
      </c>
      <c r="V45" s="4">
        <f>'CASH FLOW'!F41-'YTD CF'!R45</f>
        <v>0</v>
      </c>
      <c r="W45" s="9">
        <f>'CF DRIVERS'!W43</f>
        <v>0</v>
      </c>
      <c r="X45" s="9">
        <f>'CF DRIVERS'!X43</f>
        <v>0</v>
      </c>
      <c r="Y45" s="9">
        <f>'CF DRIVERS'!Y43</f>
        <v>0</v>
      </c>
      <c r="Z45" s="9">
        <f>'CF DRIVERS'!Z43</f>
        <v>0</v>
      </c>
      <c r="AA45" s="9">
        <f>'CF DRIVERS'!AA43</f>
        <v>0</v>
      </c>
      <c r="AB45" s="9">
        <f>'CF DRIVERS'!AB43</f>
        <v>0</v>
      </c>
      <c r="AC45" s="9">
        <f>'CF DRIVERS'!AC43</f>
        <v>0</v>
      </c>
      <c r="AD45" s="9">
        <f>'CF DRIVERS'!AD43</f>
        <v>0</v>
      </c>
      <c r="AE45" s="9">
        <f>'CF DRIVERS'!AE43</f>
        <v>0</v>
      </c>
      <c r="AF45" s="9">
        <f>'CF DRIVERS'!AF43</f>
        <v>0</v>
      </c>
      <c r="AG45" s="9">
        <f>'CF DRIVERS'!AG43</f>
        <v>0</v>
      </c>
      <c r="AH45" s="9">
        <f>'CF DRIVERS'!AH43</f>
        <v>0</v>
      </c>
      <c r="AI45" s="9">
        <f>'CF DRIVERS'!AI43</f>
        <v>0</v>
      </c>
      <c r="AJ45" s="9">
        <f>'CF DRIVERS'!AJ43</f>
        <v>0</v>
      </c>
      <c r="AK45" s="9">
        <f>'CF DRIVERS'!AK43</f>
        <v>0</v>
      </c>
      <c r="AL45" s="9">
        <f>'CF DRIVERS'!AL43</f>
        <v>0</v>
      </c>
      <c r="AM45" s="9">
        <f>'CF DRIVERS'!AM43</f>
        <v>0</v>
      </c>
      <c r="AN45" s="9">
        <f>'CF DRIVERS'!AN43</f>
        <v>0</v>
      </c>
      <c r="AO45" s="9">
        <f>'CF DRIVERS'!AO43</f>
        <v>0</v>
      </c>
      <c r="AP45" s="9">
        <f>'CF DRIVERS'!AP43</f>
        <v>0</v>
      </c>
    </row>
    <row r="46" spans="1:42" x14ac:dyDescent="0.3">
      <c r="A46" s="3" t="s">
        <v>28</v>
      </c>
      <c r="B46" s="4">
        <f>'YTD CF'!C46-'YTD CF'!B46</f>
        <v>0</v>
      </c>
      <c r="C46" s="4">
        <f>'YTD CF'!D46</f>
        <v>0</v>
      </c>
      <c r="D46" s="4">
        <f>'YTD CF'!E46-'YTD CF'!D46</f>
        <v>0</v>
      </c>
      <c r="E46" s="4">
        <f>'YTD CF'!F46-'YTD CF'!E46</f>
        <v>0</v>
      </c>
      <c r="F46" s="4">
        <f>'CASH FLOW'!B42-'YTD CF'!F46</f>
        <v>0</v>
      </c>
      <c r="G46" s="4">
        <f>'YTD CF'!G46</f>
        <v>0</v>
      </c>
      <c r="H46" s="4">
        <f>'YTD CF'!H46-'YTD CF'!G46</f>
        <v>0</v>
      </c>
      <c r="I46" s="4">
        <f>'YTD CF'!I46-'YTD CF'!H46</f>
        <v>-4596</v>
      </c>
      <c r="J46" s="4">
        <f>'CASH FLOW'!C42-'YTD CF'!I46</f>
        <v>-6930</v>
      </c>
      <c r="K46" s="4">
        <f>'YTD CF'!J46</f>
        <v>-6781</v>
      </c>
      <c r="L46" s="4">
        <f>'YTD CF'!K46-'YTD CF'!J46</f>
        <v>-6856</v>
      </c>
      <c r="M46" s="4">
        <f>'YTD CF'!L46-'YTD CF'!K46</f>
        <v>-6875</v>
      </c>
      <c r="N46" s="4">
        <f>'CASH FLOW'!D42-'YTD CF'!L46</f>
        <v>-6950</v>
      </c>
      <c r="O46" s="4">
        <f>'YTD CF'!M46</f>
        <v>-6837</v>
      </c>
      <c r="P46" s="4">
        <f>'YTD CF'!N46-'YTD CF'!M46</f>
        <v>-6838</v>
      </c>
      <c r="Q46" s="4">
        <f>'YTD CF'!O46-'YTD CF'!N46</f>
        <v>-6913</v>
      </c>
      <c r="R46" s="4">
        <f>'CASH FLOW'!E42-'YTD CF'!O46</f>
        <v>-6912</v>
      </c>
      <c r="S46" s="4">
        <f>'YTD CF'!P46</f>
        <v>-6781</v>
      </c>
      <c r="T46" s="4">
        <f>'YTD CF'!Q46-'YTD CF'!P46</f>
        <v>-6851</v>
      </c>
      <c r="U46" s="4">
        <f>'YTD CF'!R46-'YTD CF'!Q46</f>
        <v>-9669</v>
      </c>
      <c r="V46" s="4">
        <f>'CASH FLOW'!F42-'YTD CF'!R46</f>
        <v>-14307</v>
      </c>
      <c r="W46" s="9">
        <f>'CF DRIVERS'!W44</f>
        <v>-14307</v>
      </c>
      <c r="X46" s="9">
        <f>'CF DRIVERS'!X44</f>
        <v>-14307</v>
      </c>
      <c r="Y46" s="9">
        <f>'CF DRIVERS'!Y44</f>
        <v>-14307</v>
      </c>
      <c r="Z46" s="9">
        <f>'CF DRIVERS'!Z44</f>
        <v>-14307</v>
      </c>
      <c r="AA46" s="9">
        <f>'CF DRIVERS'!AA44</f>
        <v>-14307</v>
      </c>
      <c r="AB46" s="9">
        <f>'CF DRIVERS'!AB44</f>
        <v>-14307</v>
      </c>
      <c r="AC46" s="9">
        <f>'CF DRIVERS'!AC44</f>
        <v>-14307</v>
      </c>
      <c r="AD46" s="9">
        <f>'CF DRIVERS'!AD44</f>
        <v>-14307</v>
      </c>
      <c r="AE46" s="9">
        <f>'CF DRIVERS'!AE44</f>
        <v>-14307</v>
      </c>
      <c r="AF46" s="9">
        <f>'CF DRIVERS'!AF44</f>
        <v>-14307</v>
      </c>
      <c r="AG46" s="9">
        <f>'CF DRIVERS'!AG44</f>
        <v>-14307</v>
      </c>
      <c r="AH46" s="9">
        <f>'CF DRIVERS'!AH44</f>
        <v>-14307</v>
      </c>
      <c r="AI46" s="9">
        <f>'CF DRIVERS'!AI44</f>
        <v>-14307</v>
      </c>
      <c r="AJ46" s="9">
        <f>'CF DRIVERS'!AJ44</f>
        <v>-14307</v>
      </c>
      <c r="AK46" s="9">
        <f>'CF DRIVERS'!AK44</f>
        <v>-14307</v>
      </c>
      <c r="AL46" s="9">
        <f>'CF DRIVERS'!AL44</f>
        <v>-14307</v>
      </c>
      <c r="AM46" s="9">
        <f>'CF DRIVERS'!AM44</f>
        <v>-14307</v>
      </c>
      <c r="AN46" s="9">
        <f>'CF DRIVERS'!AN44</f>
        <v>-14307</v>
      </c>
      <c r="AO46" s="9">
        <f>'CF DRIVERS'!AO44</f>
        <v>-14307</v>
      </c>
      <c r="AP46" s="9">
        <f>'CF DRIVERS'!AP44</f>
        <v>-14307</v>
      </c>
    </row>
    <row r="47" spans="1:42" x14ac:dyDescent="0.3">
      <c r="A47" s="3" t="s">
        <v>104</v>
      </c>
      <c r="B47" s="4">
        <f>'YTD CF'!C47-'YTD CF'!B47</f>
        <v>0</v>
      </c>
      <c r="C47" s="4">
        <f>'YTD CF'!D47</f>
        <v>0</v>
      </c>
      <c r="D47" s="4">
        <f>'YTD CF'!E47-'YTD CF'!D47</f>
        <v>0</v>
      </c>
      <c r="E47" s="4">
        <f>'YTD CF'!F47-'YTD CF'!E47</f>
        <v>0</v>
      </c>
      <c r="F47" s="4">
        <f>'CASH FLOW'!B43-'YTD CF'!F47</f>
        <v>0</v>
      </c>
      <c r="G47" s="4">
        <f>'YTD CF'!G47</f>
        <v>0</v>
      </c>
      <c r="H47" s="4">
        <f>'YTD CF'!H47-'YTD CF'!G47</f>
        <v>0</v>
      </c>
      <c r="I47" s="4">
        <f>'YTD CF'!I47-'YTD CF'!H47</f>
        <v>0</v>
      </c>
      <c r="J47" s="4">
        <f>'CASH FLOW'!C43-'YTD CF'!I47</f>
        <v>0</v>
      </c>
      <c r="K47" s="4">
        <f>'YTD CF'!J47</f>
        <v>0</v>
      </c>
      <c r="L47" s="4">
        <f>'YTD CF'!K47-'YTD CF'!J47</f>
        <v>0</v>
      </c>
      <c r="M47" s="4">
        <f>'YTD CF'!L47-'YTD CF'!K47</f>
        <v>0</v>
      </c>
      <c r="N47" s="4">
        <f>'CASH FLOW'!D43-'YTD CF'!L47</f>
        <v>0</v>
      </c>
      <c r="O47" s="4">
        <f>'YTD CF'!M47</f>
        <v>0</v>
      </c>
      <c r="P47" s="4">
        <f>'YTD CF'!N47-'YTD CF'!M47</f>
        <v>0</v>
      </c>
      <c r="Q47" s="4">
        <f>'YTD CF'!O47-'YTD CF'!N47</f>
        <v>-1658</v>
      </c>
      <c r="R47" s="4">
        <f>'CASH FLOW'!E43-'YTD CF'!O47</f>
        <v>-603</v>
      </c>
      <c r="S47" s="4">
        <f>'YTD CF'!P47</f>
        <v>-1932</v>
      </c>
      <c r="T47" s="4">
        <f>'YTD CF'!Q47-'YTD CF'!P47</f>
        <v>-879</v>
      </c>
      <c r="U47" s="4">
        <f>'YTD CF'!R47-'YTD CF'!Q47</f>
        <v>-448</v>
      </c>
      <c r="V47" s="4">
        <f>'CASH FLOW'!F43-'YTD CF'!R47</f>
        <v>-42245</v>
      </c>
      <c r="W47" s="9">
        <f>'CF DRIVERS'!W45</f>
        <v>0</v>
      </c>
      <c r="X47" s="9">
        <f>'CF DRIVERS'!X45</f>
        <v>0</v>
      </c>
      <c r="Y47" s="9">
        <f>'CF DRIVERS'!Y45</f>
        <v>0</v>
      </c>
      <c r="Z47" s="9">
        <f>'CF DRIVERS'!Z45</f>
        <v>0</v>
      </c>
      <c r="AA47" s="9">
        <f>'CF DRIVERS'!AA45</f>
        <v>0</v>
      </c>
      <c r="AB47" s="9">
        <f>'CF DRIVERS'!AB45</f>
        <v>0</v>
      </c>
      <c r="AC47" s="9">
        <f>'CF DRIVERS'!AC45</f>
        <v>0</v>
      </c>
      <c r="AD47" s="9">
        <f>'CF DRIVERS'!AD45</f>
        <v>0</v>
      </c>
      <c r="AE47" s="9">
        <f>'CF DRIVERS'!AE45</f>
        <v>0</v>
      </c>
      <c r="AF47" s="9">
        <f>'CF DRIVERS'!AF45</f>
        <v>0</v>
      </c>
      <c r="AG47" s="9">
        <f>'CF DRIVERS'!AG45</f>
        <v>0</v>
      </c>
      <c r="AH47" s="9">
        <f>'CF DRIVERS'!AH45</f>
        <v>0</v>
      </c>
      <c r="AI47" s="9">
        <f>'CF DRIVERS'!AI45</f>
        <v>0</v>
      </c>
      <c r="AJ47" s="9">
        <f>'CF DRIVERS'!AJ45</f>
        <v>0</v>
      </c>
      <c r="AK47" s="9">
        <f>'CF DRIVERS'!AK45</f>
        <v>0</v>
      </c>
      <c r="AL47" s="9">
        <f>'CF DRIVERS'!AL45</f>
        <v>0</v>
      </c>
      <c r="AM47" s="9">
        <f>'CF DRIVERS'!AM45</f>
        <v>0</v>
      </c>
      <c r="AN47" s="9">
        <f>'CF DRIVERS'!AN45</f>
        <v>0</v>
      </c>
      <c r="AO47" s="9">
        <f>'CF DRIVERS'!AO45</f>
        <v>0</v>
      </c>
      <c r="AP47" s="9">
        <f>'CF DRIVERS'!AP45</f>
        <v>0</v>
      </c>
    </row>
    <row r="48" spans="1:42" x14ac:dyDescent="0.3">
      <c r="A48" s="3" t="s">
        <v>105</v>
      </c>
      <c r="B48" s="4">
        <f>'YTD CF'!C48-'YTD CF'!B48</f>
        <v>0</v>
      </c>
      <c r="C48" s="4">
        <f>'YTD CF'!D48</f>
        <v>0</v>
      </c>
      <c r="D48" s="4">
        <f>'YTD CF'!E48-'YTD CF'!D48</f>
        <v>0</v>
      </c>
      <c r="E48" s="4">
        <f>'YTD CF'!F48-'YTD CF'!E48</f>
        <v>0</v>
      </c>
      <c r="F48" s="4">
        <f>'CASH FLOW'!B44-'YTD CF'!F48</f>
        <v>0</v>
      </c>
      <c r="G48" s="4">
        <f>'YTD CF'!G48</f>
        <v>0</v>
      </c>
      <c r="H48" s="4">
        <f>'YTD CF'!H48-'YTD CF'!G48</f>
        <v>0</v>
      </c>
      <c r="I48" s="4">
        <f>'YTD CF'!I48-'YTD CF'!H48</f>
        <v>0</v>
      </c>
      <c r="J48" s="4">
        <f>'CASH FLOW'!C44-'YTD CF'!I48</f>
        <v>0</v>
      </c>
      <c r="K48" s="4">
        <f>'YTD CF'!J48</f>
        <v>0</v>
      </c>
      <c r="L48" s="4">
        <f>'YTD CF'!K48-'YTD CF'!J48</f>
        <v>0</v>
      </c>
      <c r="M48" s="4">
        <f>'YTD CF'!L48-'YTD CF'!K48</f>
        <v>0</v>
      </c>
      <c r="N48" s="4">
        <f>'CASH FLOW'!D44-'YTD CF'!L48</f>
        <v>0</v>
      </c>
      <c r="O48" s="4">
        <f>'YTD CF'!M48</f>
        <v>0</v>
      </c>
      <c r="P48" s="4">
        <f>'YTD CF'!N48-'YTD CF'!M48</f>
        <v>0</v>
      </c>
      <c r="Q48" s="4">
        <f>'YTD CF'!O48-'YTD CF'!N48</f>
        <v>0</v>
      </c>
      <c r="R48" s="4">
        <f>'CASH FLOW'!E44-'YTD CF'!O48</f>
        <v>0</v>
      </c>
      <c r="S48" s="4">
        <f>'YTD CF'!P48</f>
        <v>0</v>
      </c>
      <c r="T48" s="4">
        <f>'YTD CF'!Q48-'YTD CF'!P48</f>
        <v>900000</v>
      </c>
      <c r="U48" s="4">
        <f>'YTD CF'!R48-'YTD CF'!Q48</f>
        <v>0</v>
      </c>
      <c r="V48" s="4">
        <f>'CASH FLOW'!F44-'YTD CF'!R48</f>
        <v>0</v>
      </c>
      <c r="W48" s="9">
        <f>'CF DRIVERS'!W46</f>
        <v>0</v>
      </c>
      <c r="X48" s="9">
        <f>'CF DRIVERS'!X46</f>
        <v>0</v>
      </c>
      <c r="Y48" s="9">
        <f>'CF DRIVERS'!Y46</f>
        <v>0</v>
      </c>
      <c r="Z48" s="9">
        <f>'CF DRIVERS'!Z46</f>
        <v>0</v>
      </c>
      <c r="AA48" s="9">
        <f>'CF DRIVERS'!AA46</f>
        <v>0</v>
      </c>
      <c r="AB48" s="9">
        <f>'CF DRIVERS'!AB46</f>
        <v>0</v>
      </c>
      <c r="AC48" s="9">
        <f>'CF DRIVERS'!AC46</f>
        <v>0</v>
      </c>
      <c r="AD48" s="9">
        <f>'CF DRIVERS'!AD46</f>
        <v>0</v>
      </c>
      <c r="AE48" s="9">
        <f>'CF DRIVERS'!AE46</f>
        <v>0</v>
      </c>
      <c r="AF48" s="9">
        <f>'CF DRIVERS'!AF46</f>
        <v>0</v>
      </c>
      <c r="AG48" s="9">
        <f>'CF DRIVERS'!AG46</f>
        <v>0</v>
      </c>
      <c r="AH48" s="9">
        <f>'CF DRIVERS'!AH46</f>
        <v>0</v>
      </c>
      <c r="AI48" s="9">
        <f>'CF DRIVERS'!AI46</f>
        <v>0</v>
      </c>
      <c r="AJ48" s="9">
        <f>'CF DRIVERS'!AJ46</f>
        <v>0</v>
      </c>
      <c r="AK48" s="9">
        <f>'CF DRIVERS'!AK46</f>
        <v>0</v>
      </c>
      <c r="AL48" s="9">
        <f>'CF DRIVERS'!AL46</f>
        <v>0</v>
      </c>
      <c r="AM48" s="9">
        <f>'CF DRIVERS'!AM46</f>
        <v>0</v>
      </c>
      <c r="AN48" s="9">
        <f>'CF DRIVERS'!AN46</f>
        <v>0</v>
      </c>
      <c r="AO48" s="9">
        <f>'CF DRIVERS'!AO46</f>
        <v>0</v>
      </c>
      <c r="AP48" s="9">
        <f>'CF DRIVERS'!AP46</f>
        <v>0</v>
      </c>
    </row>
    <row r="49" spans="1:42" x14ac:dyDescent="0.3">
      <c r="A49" s="3" t="s">
        <v>106</v>
      </c>
      <c r="B49" s="4">
        <f>'YTD CF'!C49-'YTD CF'!B49</f>
        <v>0</v>
      </c>
      <c r="C49" s="4">
        <f>'YTD CF'!D49</f>
        <v>0</v>
      </c>
      <c r="D49" s="4">
        <f>'YTD CF'!E49-'YTD CF'!D49</f>
        <v>0</v>
      </c>
      <c r="E49" s="4">
        <f>'YTD CF'!F49-'YTD CF'!E49</f>
        <v>0</v>
      </c>
      <c r="F49" s="4">
        <f>'CASH FLOW'!B45-'YTD CF'!F49</f>
        <v>0</v>
      </c>
      <c r="G49" s="4">
        <f>'YTD CF'!G49</f>
        <v>0</v>
      </c>
      <c r="H49" s="4">
        <f>'YTD CF'!H49-'YTD CF'!G49</f>
        <v>0</v>
      </c>
      <c r="I49" s="4">
        <f>'YTD CF'!I49-'YTD CF'!H49</f>
        <v>0</v>
      </c>
      <c r="J49" s="4">
        <f>'CASH FLOW'!C45-'YTD CF'!I49</f>
        <v>0</v>
      </c>
      <c r="K49" s="4">
        <f>'YTD CF'!J49</f>
        <v>0</v>
      </c>
      <c r="L49" s="4">
        <f>'YTD CF'!K49-'YTD CF'!J49</f>
        <v>0</v>
      </c>
      <c r="M49" s="4">
        <f>'YTD CF'!L49-'YTD CF'!K49</f>
        <v>0</v>
      </c>
      <c r="N49" s="4">
        <f>'CASH FLOW'!D45-'YTD CF'!L49</f>
        <v>0</v>
      </c>
      <c r="O49" s="4">
        <f>'YTD CF'!M49</f>
        <v>0</v>
      </c>
      <c r="P49" s="4">
        <f>'YTD CF'!N49-'YTD CF'!M49</f>
        <v>0</v>
      </c>
      <c r="Q49" s="4">
        <f>'YTD CF'!O49-'YTD CF'!N49</f>
        <v>0</v>
      </c>
      <c r="R49" s="4">
        <f>'CASH FLOW'!E45-'YTD CF'!O49</f>
        <v>0</v>
      </c>
      <c r="S49" s="4">
        <f>'YTD CF'!P49</f>
        <v>0</v>
      </c>
      <c r="T49" s="4">
        <f>'YTD CF'!Q49-'YTD CF'!P49</f>
        <v>0</v>
      </c>
      <c r="U49" s="4">
        <f>'YTD CF'!R49-'YTD CF'!Q49</f>
        <v>-2250</v>
      </c>
      <c r="V49" s="4">
        <f>'CASH FLOW'!F45-'YTD CF'!R49</f>
        <v>-199500</v>
      </c>
      <c r="W49" s="9">
        <f>'CF DRIVERS'!W47</f>
        <v>0</v>
      </c>
      <c r="X49" s="9">
        <f>'CF DRIVERS'!X47</f>
        <v>0</v>
      </c>
      <c r="Y49" s="9">
        <f>'CF DRIVERS'!Y47</f>
        <v>0</v>
      </c>
      <c r="Z49" s="9">
        <f>'CF DRIVERS'!Z47</f>
        <v>0</v>
      </c>
      <c r="AA49" s="9">
        <f>'CF DRIVERS'!AA47</f>
        <v>0</v>
      </c>
      <c r="AB49" s="9">
        <f>'CF DRIVERS'!AB47</f>
        <v>0</v>
      </c>
      <c r="AC49" s="9">
        <f>'CF DRIVERS'!AC47</f>
        <v>0</v>
      </c>
      <c r="AD49" s="9">
        <f>'CF DRIVERS'!AD47</f>
        <v>0</v>
      </c>
      <c r="AE49" s="9">
        <f>'CF DRIVERS'!AE47</f>
        <v>0</v>
      </c>
      <c r="AF49" s="9">
        <f>'CF DRIVERS'!AF47</f>
        <v>0</v>
      </c>
      <c r="AG49" s="9">
        <f>'CF DRIVERS'!AG47</f>
        <v>0</v>
      </c>
      <c r="AH49" s="9">
        <f>'CF DRIVERS'!AH47</f>
        <v>0</v>
      </c>
      <c r="AI49" s="9">
        <f>'CF DRIVERS'!AI47</f>
        <v>0</v>
      </c>
      <c r="AJ49" s="9">
        <f>'CF DRIVERS'!AJ47</f>
        <v>0</v>
      </c>
      <c r="AK49" s="9">
        <f>'CF DRIVERS'!AK47</f>
        <v>0</v>
      </c>
      <c r="AL49" s="9">
        <f>'CF DRIVERS'!AL47</f>
        <v>0</v>
      </c>
      <c r="AM49" s="9">
        <f>'CF DRIVERS'!AM47</f>
        <v>0</v>
      </c>
      <c r="AN49" s="9">
        <f>'CF DRIVERS'!AN47</f>
        <v>0</v>
      </c>
      <c r="AO49" s="9">
        <f>'CF DRIVERS'!AO47</f>
        <v>0</v>
      </c>
      <c r="AP49" s="9">
        <f>'CF DRIVERS'!AP47</f>
        <v>0</v>
      </c>
    </row>
    <row r="50" spans="1:42" x14ac:dyDescent="0.3">
      <c r="A50" s="3" t="s">
        <v>107</v>
      </c>
      <c r="B50" s="4">
        <f>'YTD CF'!C50-'YTD CF'!B50</f>
        <v>0</v>
      </c>
      <c r="C50" s="4">
        <f>'YTD CF'!D50</f>
        <v>0</v>
      </c>
      <c r="D50" s="4">
        <f>'YTD CF'!E50-'YTD CF'!D50</f>
        <v>0</v>
      </c>
      <c r="E50" s="4">
        <f>'YTD CF'!F50-'YTD CF'!E50</f>
        <v>0</v>
      </c>
      <c r="F50" s="4">
        <f>'CASH FLOW'!B46-'YTD CF'!F50</f>
        <v>0</v>
      </c>
      <c r="G50" s="4">
        <f>'YTD CF'!G50</f>
        <v>0</v>
      </c>
      <c r="H50" s="4">
        <f>'YTD CF'!H50-'YTD CF'!G50</f>
        <v>0</v>
      </c>
      <c r="I50" s="4">
        <f>'YTD CF'!I50-'YTD CF'!H50</f>
        <v>0</v>
      </c>
      <c r="J50" s="4">
        <f>'CASH FLOW'!C46-'YTD CF'!I50</f>
        <v>0</v>
      </c>
      <c r="K50" s="4">
        <f>'YTD CF'!J50</f>
        <v>0</v>
      </c>
      <c r="L50" s="4">
        <f>'YTD CF'!K50-'YTD CF'!J50</f>
        <v>0</v>
      </c>
      <c r="M50" s="4">
        <f>'YTD CF'!L50-'YTD CF'!K50</f>
        <v>0</v>
      </c>
      <c r="N50" s="4">
        <f>'CASH FLOW'!D46-'YTD CF'!L50</f>
        <v>0</v>
      </c>
      <c r="O50" s="4">
        <f>'YTD CF'!M50</f>
        <v>0</v>
      </c>
      <c r="P50" s="4">
        <f>'YTD CF'!N50-'YTD CF'!M50</f>
        <v>0</v>
      </c>
      <c r="Q50" s="4">
        <f>'YTD CF'!O50-'YTD CF'!N50</f>
        <v>0</v>
      </c>
      <c r="R50" s="4">
        <f>'CASH FLOW'!E46-'YTD CF'!O50</f>
        <v>0</v>
      </c>
      <c r="S50" s="4">
        <f>'YTD CF'!P50</f>
        <v>-2195</v>
      </c>
      <c r="T50" s="4">
        <f>'YTD CF'!Q50-'YTD CF'!P50</f>
        <v>-29386</v>
      </c>
      <c r="U50" s="4">
        <f>'YTD CF'!R50-'YTD CF'!Q50</f>
        <v>0</v>
      </c>
      <c r="V50" s="4">
        <f>'CASH FLOW'!F46-'YTD CF'!R50</f>
        <v>-786</v>
      </c>
      <c r="W50" s="9">
        <f>'CF DRIVERS'!W48</f>
        <v>0</v>
      </c>
      <c r="X50" s="9">
        <f>'CF DRIVERS'!X48</f>
        <v>0</v>
      </c>
      <c r="Y50" s="9">
        <f>'CF DRIVERS'!Y48</f>
        <v>0</v>
      </c>
      <c r="Z50" s="9">
        <f>'CF DRIVERS'!Z48</f>
        <v>0</v>
      </c>
      <c r="AA50" s="9">
        <f>'CF DRIVERS'!AA48</f>
        <v>0</v>
      </c>
      <c r="AB50" s="9">
        <f>'CF DRIVERS'!AB48</f>
        <v>0</v>
      </c>
      <c r="AC50" s="9">
        <f>'CF DRIVERS'!AC48</f>
        <v>0</v>
      </c>
      <c r="AD50" s="9">
        <f>'CF DRIVERS'!AD48</f>
        <v>0</v>
      </c>
      <c r="AE50" s="9">
        <f>'CF DRIVERS'!AE48</f>
        <v>0</v>
      </c>
      <c r="AF50" s="9">
        <f>'CF DRIVERS'!AF48</f>
        <v>0</v>
      </c>
      <c r="AG50" s="9">
        <f>'CF DRIVERS'!AG48</f>
        <v>0</v>
      </c>
      <c r="AH50" s="9">
        <f>'CF DRIVERS'!AH48</f>
        <v>0</v>
      </c>
      <c r="AI50" s="9">
        <f>'CF DRIVERS'!AI48</f>
        <v>0</v>
      </c>
      <c r="AJ50" s="9">
        <f>'CF DRIVERS'!AJ48</f>
        <v>0</v>
      </c>
      <c r="AK50" s="9">
        <f>'CF DRIVERS'!AK48</f>
        <v>0</v>
      </c>
      <c r="AL50" s="9">
        <f>'CF DRIVERS'!AL48</f>
        <v>0</v>
      </c>
      <c r="AM50" s="9">
        <f>'CF DRIVERS'!AM48</f>
        <v>0</v>
      </c>
      <c r="AN50" s="9">
        <f>'CF DRIVERS'!AN48</f>
        <v>0</v>
      </c>
      <c r="AO50" s="9">
        <f>'CF DRIVERS'!AO48</f>
        <v>0</v>
      </c>
      <c r="AP50" s="9">
        <f>'CF DRIVERS'!AP48</f>
        <v>0</v>
      </c>
    </row>
    <row r="51" spans="1:42" x14ac:dyDescent="0.3">
      <c r="A51" s="3" t="s">
        <v>108</v>
      </c>
      <c r="B51" s="4">
        <f>'YTD CF'!C51-'YTD CF'!B51</f>
        <v>0</v>
      </c>
      <c r="C51" s="4">
        <f>'YTD CF'!D51</f>
        <v>0</v>
      </c>
      <c r="D51" s="4">
        <f>'YTD CF'!E51-'YTD CF'!D51</f>
        <v>0</v>
      </c>
      <c r="E51" s="4">
        <f>'YTD CF'!F51-'YTD CF'!E51</f>
        <v>0</v>
      </c>
      <c r="F51" s="4">
        <f>'CASH FLOW'!B47-'YTD CF'!F51</f>
        <v>0</v>
      </c>
      <c r="G51" s="4">
        <f>'YTD CF'!G51</f>
        <v>0</v>
      </c>
      <c r="H51" s="4">
        <f>'YTD CF'!H51-'YTD CF'!G51</f>
        <v>0</v>
      </c>
      <c r="I51" s="4">
        <f>'YTD CF'!I51-'YTD CF'!H51</f>
        <v>0</v>
      </c>
      <c r="J51" s="4">
        <f>'CASH FLOW'!C47-'YTD CF'!I51</f>
        <v>0</v>
      </c>
      <c r="K51" s="4">
        <f>'YTD CF'!J51</f>
        <v>0</v>
      </c>
      <c r="L51" s="4">
        <f>'YTD CF'!K51-'YTD CF'!J51</f>
        <v>0</v>
      </c>
      <c r="M51" s="4">
        <f>'YTD CF'!L51-'YTD CF'!K51</f>
        <v>0</v>
      </c>
      <c r="N51" s="4">
        <f>'CASH FLOW'!D47-'YTD CF'!L51</f>
        <v>0</v>
      </c>
      <c r="O51" s="4">
        <f>'YTD CF'!M51</f>
        <v>0</v>
      </c>
      <c r="P51" s="4">
        <f>'YTD CF'!N51-'YTD CF'!M51</f>
        <v>0</v>
      </c>
      <c r="Q51" s="4">
        <f>'YTD CF'!O51-'YTD CF'!N51</f>
        <v>0</v>
      </c>
      <c r="R51" s="4">
        <f>'CASH FLOW'!E47-'YTD CF'!O51</f>
        <v>0</v>
      </c>
      <c r="S51" s="4">
        <f>'YTD CF'!P51</f>
        <v>321</v>
      </c>
      <c r="T51" s="4">
        <f>'YTD CF'!Q51-'YTD CF'!P51</f>
        <v>-2</v>
      </c>
      <c r="U51" s="4">
        <f>'YTD CF'!R51-'YTD CF'!Q51</f>
        <v>-18</v>
      </c>
      <c r="V51" s="4">
        <f>'CASH FLOW'!F47-'YTD CF'!R51</f>
        <v>-308</v>
      </c>
      <c r="W51" s="9">
        <f>'CF DRIVERS'!W49</f>
        <v>0</v>
      </c>
      <c r="X51" s="9">
        <f>'CF DRIVERS'!X49</f>
        <v>0</v>
      </c>
      <c r="Y51" s="9">
        <f>'CF DRIVERS'!Y49</f>
        <v>0</v>
      </c>
      <c r="Z51" s="9">
        <f>'CF DRIVERS'!Z49</f>
        <v>0</v>
      </c>
      <c r="AA51" s="9">
        <f>'CF DRIVERS'!AA49</f>
        <v>0</v>
      </c>
      <c r="AB51" s="9">
        <f>'CF DRIVERS'!AB49</f>
        <v>0</v>
      </c>
      <c r="AC51" s="9">
        <f>'CF DRIVERS'!AC49</f>
        <v>0</v>
      </c>
      <c r="AD51" s="9">
        <f>'CF DRIVERS'!AD49</f>
        <v>0</v>
      </c>
      <c r="AE51" s="9">
        <f>'CF DRIVERS'!AE49</f>
        <v>0</v>
      </c>
      <c r="AF51" s="9">
        <f>'CF DRIVERS'!AF49</f>
        <v>0</v>
      </c>
      <c r="AG51" s="9">
        <f>'CF DRIVERS'!AG49</f>
        <v>0</v>
      </c>
      <c r="AH51" s="9">
        <f>'CF DRIVERS'!AH49</f>
        <v>0</v>
      </c>
      <c r="AI51" s="9">
        <f>'CF DRIVERS'!AI49</f>
        <v>0</v>
      </c>
      <c r="AJ51" s="9">
        <f>'CF DRIVERS'!AJ49</f>
        <v>0</v>
      </c>
      <c r="AK51" s="9">
        <f>'CF DRIVERS'!AK49</f>
        <v>0</v>
      </c>
      <c r="AL51" s="9">
        <f>'CF DRIVERS'!AL49</f>
        <v>0</v>
      </c>
      <c r="AM51" s="9">
        <f>'CF DRIVERS'!AM49</f>
        <v>0</v>
      </c>
      <c r="AN51" s="9">
        <f>'CF DRIVERS'!AN49</f>
        <v>0</v>
      </c>
      <c r="AO51" s="9">
        <f>'CF DRIVERS'!AO49</f>
        <v>0</v>
      </c>
      <c r="AP51" s="9">
        <f>'CF DRIVERS'!AP49</f>
        <v>0</v>
      </c>
    </row>
    <row r="52" spans="1:42" x14ac:dyDescent="0.3">
      <c r="A52" s="3" t="s">
        <v>109</v>
      </c>
      <c r="B52" s="6">
        <f>'YTD CF'!C52-'YTD CF'!B52</f>
        <v>23537616</v>
      </c>
      <c r="C52" s="6">
        <f>'YTD CF'!D52</f>
        <v>691</v>
      </c>
      <c r="D52" s="6">
        <f>'YTD CF'!E52-'YTD CF'!D52</f>
        <v>70234120</v>
      </c>
      <c r="E52" s="6">
        <f>'YTD CF'!F52-'YTD CF'!E52</f>
        <v>704262</v>
      </c>
      <c r="F52" s="6">
        <f>'CASH FLOW'!B48-'YTD CF'!F52</f>
        <v>-70867678</v>
      </c>
      <c r="G52" s="6">
        <f>'YTD CF'!G52</f>
        <v>790</v>
      </c>
      <c r="H52" s="6">
        <f>'YTD CF'!H52-'YTD CF'!G52</f>
        <v>433</v>
      </c>
      <c r="I52" s="6">
        <f>'YTD CF'!I52-'YTD CF'!H52</f>
        <v>539254</v>
      </c>
      <c r="J52" s="6">
        <f>'CASH FLOW'!C48-'YTD CF'!I52</f>
        <v>-6365</v>
      </c>
      <c r="K52" s="6">
        <f>'YTD CF'!J52</f>
        <v>-6314</v>
      </c>
      <c r="L52" s="6">
        <f>'YTD CF'!K52-'YTD CF'!J52</f>
        <v>-6638</v>
      </c>
      <c r="M52" s="6">
        <f>'YTD CF'!L52-'YTD CF'!K52</f>
        <v>-5990</v>
      </c>
      <c r="N52" s="6">
        <f>'CASH FLOW'!D48-'YTD CF'!L52</f>
        <v>-6279</v>
      </c>
      <c r="O52" s="6">
        <f>'YTD CF'!M52</f>
        <v>-5885</v>
      </c>
      <c r="P52" s="6">
        <f>'YTD CF'!N52-'YTD CF'!M52</f>
        <v>-6673</v>
      </c>
      <c r="Q52" s="6">
        <f>'YTD CF'!O52-'YTD CF'!N52</f>
        <v>-5902</v>
      </c>
      <c r="R52" s="6">
        <f>'CASH FLOW'!E48-'YTD CF'!O52</f>
        <v>-7506</v>
      </c>
      <c r="S52" s="6">
        <f>'YTD CF'!P52</f>
        <v>-10587</v>
      </c>
      <c r="T52" s="6">
        <f>'YTD CF'!Q52-'YTD CF'!P52</f>
        <v>862882</v>
      </c>
      <c r="U52" s="6">
        <f>'YTD CF'!R52-'YTD CF'!Q52</f>
        <v>-12385</v>
      </c>
      <c r="V52" s="6">
        <f>'CASH FLOW'!F48-'YTD CF'!R52</f>
        <v>-257146</v>
      </c>
      <c r="W52" s="7">
        <f t="shared" ref="W52:AP52" si="2">SUM(W42:W51)</f>
        <v>-14307</v>
      </c>
      <c r="X52" s="7">
        <f t="shared" si="2"/>
        <v>-14307</v>
      </c>
      <c r="Y52" s="7">
        <f t="shared" si="2"/>
        <v>-14307</v>
      </c>
      <c r="Z52" s="7">
        <f t="shared" si="2"/>
        <v>-14307</v>
      </c>
      <c r="AA52" s="7">
        <f t="shared" si="2"/>
        <v>-14307</v>
      </c>
      <c r="AB52" s="7">
        <f t="shared" si="2"/>
        <v>-14307</v>
      </c>
      <c r="AC52" s="7">
        <f t="shared" si="2"/>
        <v>-14307</v>
      </c>
      <c r="AD52" s="7">
        <f t="shared" si="2"/>
        <v>-14307</v>
      </c>
      <c r="AE52" s="7">
        <f t="shared" si="2"/>
        <v>-14307</v>
      </c>
      <c r="AF52" s="7">
        <f t="shared" si="2"/>
        <v>-14307</v>
      </c>
      <c r="AG52" s="7">
        <f t="shared" si="2"/>
        <v>-14307</v>
      </c>
      <c r="AH52" s="7">
        <f t="shared" si="2"/>
        <v>-14307</v>
      </c>
      <c r="AI52" s="7">
        <f t="shared" si="2"/>
        <v>-14307</v>
      </c>
      <c r="AJ52" s="7">
        <f t="shared" si="2"/>
        <v>-14307</v>
      </c>
      <c r="AK52" s="7">
        <f t="shared" si="2"/>
        <v>-14307</v>
      </c>
      <c r="AL52" s="7">
        <f t="shared" si="2"/>
        <v>-14307</v>
      </c>
      <c r="AM52" s="7">
        <f t="shared" si="2"/>
        <v>-14307</v>
      </c>
      <c r="AN52" s="7">
        <f t="shared" si="2"/>
        <v>-14307</v>
      </c>
      <c r="AO52" s="7">
        <f t="shared" si="2"/>
        <v>-14307</v>
      </c>
      <c r="AP52" s="7">
        <f t="shared" si="2"/>
        <v>-14307</v>
      </c>
    </row>
    <row r="53" spans="1:42" x14ac:dyDescent="0.3">
      <c r="A53" s="3" t="s">
        <v>110</v>
      </c>
      <c r="B53" s="4">
        <f>'YTD CF'!C53-'YTD CF'!B53</f>
        <v>520973</v>
      </c>
      <c r="C53" s="4">
        <f>'YTD CF'!D53</f>
        <v>-165</v>
      </c>
      <c r="D53" s="4">
        <f>'YTD CF'!E53-'YTD CF'!D53</f>
        <v>-23445</v>
      </c>
      <c r="E53" s="4">
        <f>'YTD CF'!F53-'YTD CF'!E53</f>
        <v>-212755</v>
      </c>
      <c r="F53" s="4">
        <f>'CASH FLOW'!B49-'YTD CF'!F53</f>
        <v>235827</v>
      </c>
      <c r="G53" s="4">
        <f>'YTD CF'!G53</f>
        <v>104</v>
      </c>
      <c r="H53" s="4">
        <f>'YTD CF'!H53-'YTD CF'!G53</f>
        <v>17</v>
      </c>
      <c r="I53" s="4">
        <f>'YTD CF'!I53-'YTD CF'!H53</f>
        <v>37</v>
      </c>
      <c r="J53" s="4">
        <f>'CASH FLOW'!C49-'YTD CF'!I53</f>
        <v>-108</v>
      </c>
      <c r="K53" s="4">
        <f>'YTD CF'!J53</f>
        <v>-181</v>
      </c>
      <c r="L53" s="4">
        <f>'YTD CF'!K53-'YTD CF'!J53</f>
        <v>-374</v>
      </c>
      <c r="M53" s="4">
        <f>'YTD CF'!L53-'YTD CF'!K53</f>
        <v>0</v>
      </c>
      <c r="N53" s="4">
        <f>'CASH FLOW'!D49-'YTD CF'!L53</f>
        <v>1812</v>
      </c>
      <c r="O53" s="4">
        <f>'YTD CF'!M53</f>
        <v>-722</v>
      </c>
      <c r="P53" s="4">
        <f>'YTD CF'!N53-'YTD CF'!M53</f>
        <v>-44</v>
      </c>
      <c r="Q53" s="4">
        <f>'YTD CF'!O53-'YTD CF'!N53</f>
        <v>750</v>
      </c>
      <c r="R53" s="4">
        <f>'CASH FLOW'!E49-'YTD CF'!O53</f>
        <v>-981</v>
      </c>
      <c r="S53" s="4">
        <f>'YTD CF'!P53</f>
        <v>1259</v>
      </c>
      <c r="T53" s="4">
        <f>'YTD CF'!Q53-'YTD CF'!P53</f>
        <v>955</v>
      </c>
      <c r="U53" s="4">
        <f>'YTD CF'!R53-'YTD CF'!Q53</f>
        <v>-40</v>
      </c>
      <c r="V53" s="4">
        <f>'CASH FLOW'!F49-'YTD CF'!R53</f>
        <v>1097</v>
      </c>
      <c r="W53" s="9">
        <f>'CF DRIVERS'!W50</f>
        <v>1097</v>
      </c>
      <c r="X53" s="9">
        <f>'CF DRIVERS'!X50</f>
        <v>1097</v>
      </c>
      <c r="Y53" s="9">
        <f>'CF DRIVERS'!Y50</f>
        <v>1097</v>
      </c>
      <c r="Z53" s="9">
        <f>'CF DRIVERS'!Z50</f>
        <v>1097</v>
      </c>
      <c r="AA53" s="9">
        <f>'CF DRIVERS'!AA50</f>
        <v>1097</v>
      </c>
      <c r="AB53" s="9">
        <f>'CF DRIVERS'!AB50</f>
        <v>1097</v>
      </c>
      <c r="AC53" s="9">
        <f>'CF DRIVERS'!AC50</f>
        <v>1097</v>
      </c>
      <c r="AD53" s="9">
        <f>'CF DRIVERS'!AD50</f>
        <v>1097</v>
      </c>
      <c r="AE53" s="9">
        <f>'CF DRIVERS'!AE50</f>
        <v>1097</v>
      </c>
      <c r="AF53" s="9">
        <f>'CF DRIVERS'!AF50</f>
        <v>1097</v>
      </c>
      <c r="AG53" s="9">
        <f>'CF DRIVERS'!AG50</f>
        <v>1097</v>
      </c>
      <c r="AH53" s="9">
        <f>'CF DRIVERS'!AH50</f>
        <v>1097</v>
      </c>
      <c r="AI53" s="9">
        <f>'CF DRIVERS'!AI50</f>
        <v>1097</v>
      </c>
      <c r="AJ53" s="9">
        <f>'CF DRIVERS'!AJ50</f>
        <v>1097</v>
      </c>
      <c r="AK53" s="9">
        <f>'CF DRIVERS'!AK50</f>
        <v>1097</v>
      </c>
      <c r="AL53" s="9">
        <f>'CF DRIVERS'!AL50</f>
        <v>1097</v>
      </c>
      <c r="AM53" s="9">
        <f>'CF DRIVERS'!AM50</f>
        <v>1097</v>
      </c>
      <c r="AN53" s="9">
        <f>'CF DRIVERS'!AN50</f>
        <v>1097</v>
      </c>
      <c r="AO53" s="9">
        <f>'CF DRIVERS'!AO50</f>
        <v>1097</v>
      </c>
      <c r="AP53" s="9">
        <f>'CF DRIVERS'!AP50</f>
        <v>1097</v>
      </c>
    </row>
    <row r="54" spans="1:42" x14ac:dyDescent="0.3">
      <c r="A54" s="3" t="s">
        <v>111</v>
      </c>
      <c r="B54" s="6">
        <f>'YTD CF'!C54-'YTD CF'!B54</f>
        <v>32047283</v>
      </c>
      <c r="C54" s="6">
        <f>'YTD CF'!D54</f>
        <v>-11614</v>
      </c>
      <c r="D54" s="6">
        <f>'YTD CF'!E54-'YTD CF'!D54</f>
        <v>40553574</v>
      </c>
      <c r="E54" s="6">
        <f>'YTD CF'!F54-'YTD CF'!E54</f>
        <v>-22412779</v>
      </c>
      <c r="F54" s="6">
        <f>'CASH FLOW'!B50-'YTD CF'!F54</f>
        <v>-18156174</v>
      </c>
      <c r="G54" s="6">
        <f>'YTD CF'!G54</f>
        <v>9277</v>
      </c>
      <c r="H54" s="6">
        <f>'YTD CF'!H54-'YTD CF'!G54</f>
        <v>34499</v>
      </c>
      <c r="I54" s="6">
        <f>'YTD CF'!I54-'YTD CF'!H54</f>
        <v>666941</v>
      </c>
      <c r="J54" s="6">
        <f>'CASH FLOW'!C50-'YTD CF'!I54</f>
        <v>-74045</v>
      </c>
      <c r="K54" s="6">
        <f>'YTD CF'!J54</f>
        <v>-19346</v>
      </c>
      <c r="L54" s="6">
        <f>'YTD CF'!K54-'YTD CF'!J54</f>
        <v>47473</v>
      </c>
      <c r="M54" s="6">
        <f>'YTD CF'!L54-'YTD CF'!K54</f>
        <v>78968</v>
      </c>
      <c r="N54" s="6">
        <f>'CASH FLOW'!D50-'YTD CF'!L54</f>
        <v>-4041</v>
      </c>
      <c r="O54" s="6">
        <f>'YTD CF'!M54</f>
        <v>123517</v>
      </c>
      <c r="P54" s="6">
        <f>'YTD CF'!N54-'YTD CF'!M54</f>
        <v>23712</v>
      </c>
      <c r="Q54" s="6">
        <f>'YTD CF'!O54-'YTD CF'!N54</f>
        <v>538</v>
      </c>
      <c r="R54" s="6">
        <f>'CASH FLOW'!E50-'YTD CF'!O54</f>
        <v>-13558</v>
      </c>
      <c r="S54" s="6">
        <f>'YTD CF'!P54</f>
        <v>87095</v>
      </c>
      <c r="T54" s="6">
        <f>'YTD CF'!Q54-'YTD CF'!P54</f>
        <v>-362052</v>
      </c>
      <c r="U54" s="6">
        <f>'YTD CF'!R54-'YTD CF'!Q54</f>
        <v>317230</v>
      </c>
      <c r="V54" s="6">
        <f>'CASH FLOW'!F50-'YTD CF'!R54</f>
        <v>-392476</v>
      </c>
      <c r="W54" s="7">
        <f t="shared" ref="W54:AP54" si="3">W34+W41+W52+W53</f>
        <v>-139061.59760075901</v>
      </c>
      <c r="X54" s="7">
        <f t="shared" si="3"/>
        <v>124412.6861592569</v>
      </c>
      <c r="Y54" s="7">
        <f t="shared" si="3"/>
        <v>123801.91363382296</v>
      </c>
      <c r="Z54" s="7">
        <f t="shared" si="3"/>
        <v>123194.07070329422</v>
      </c>
      <c r="AA54" s="7">
        <f t="shared" si="3"/>
        <v>122589.14331575145</v>
      </c>
      <c r="AB54" s="7">
        <f t="shared" si="3"/>
        <v>121987.11748667582</v>
      </c>
      <c r="AC54" s="7">
        <f t="shared" si="3"/>
        <v>121387.9792986259</v>
      </c>
      <c r="AD54" s="7">
        <f t="shared" si="3"/>
        <v>120791.71490091548</v>
      </c>
      <c r="AE54" s="7">
        <f t="shared" si="3"/>
        <v>120198.3105092945</v>
      </c>
      <c r="AF54" s="7">
        <f t="shared" si="3"/>
        <v>119607.75240562862</v>
      </c>
      <c r="AG54" s="7">
        <f t="shared" si="3"/>
        <v>119020.02693758343</v>
      </c>
      <c r="AH54" s="7">
        <f t="shared" si="3"/>
        <v>118435.12051830924</v>
      </c>
      <c r="AI54" s="7">
        <f t="shared" si="3"/>
        <v>117853.01962612467</v>
      </c>
      <c r="AJ54" s="7">
        <f t="shared" si="3"/>
        <v>117273.71080420769</v>
      </c>
      <c r="AK54" s="7">
        <f t="shared" si="3"/>
        <v>116697.18066028027</v>
      </c>
      <c r="AL54" s="7">
        <f t="shared" si="3"/>
        <v>116123.41586630284</v>
      </c>
      <c r="AM54" s="7">
        <f t="shared" si="3"/>
        <v>115552.40315816278</v>
      </c>
      <c r="AN54" s="7">
        <f t="shared" si="3"/>
        <v>114984.12933537079</v>
      </c>
      <c r="AO54" s="7">
        <f t="shared" si="3"/>
        <v>114418.58126075234</v>
      </c>
      <c r="AP54" s="7">
        <f t="shared" si="3"/>
        <v>113855.74586014888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Q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8" customWidth="1"/>
    <col min="2" max="2" width="8" customWidth="1"/>
    <col min="3" max="43" width="13" customWidth="1"/>
  </cols>
  <sheetData>
    <row r="1" spans="1:43" x14ac:dyDescent="0.3">
      <c r="A1" s="1" t="s">
        <v>162</v>
      </c>
      <c r="B1" s="2" t="s">
        <v>163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133</v>
      </c>
      <c r="H1" s="2" t="s">
        <v>117</v>
      </c>
      <c r="I1" s="2" t="s">
        <v>118</v>
      </c>
      <c r="J1" s="2" t="s">
        <v>119</v>
      </c>
      <c r="K1" s="2" t="s">
        <v>134</v>
      </c>
      <c r="L1" s="2" t="s">
        <v>120</v>
      </c>
      <c r="M1" s="2" t="s">
        <v>121</v>
      </c>
      <c r="N1" s="2" t="s">
        <v>122</v>
      </c>
      <c r="O1" s="2" t="s">
        <v>135</v>
      </c>
      <c r="P1" s="2" t="s">
        <v>123</v>
      </c>
      <c r="Q1" s="2" t="s">
        <v>124</v>
      </c>
      <c r="R1" s="2" t="s">
        <v>125</v>
      </c>
      <c r="S1" s="2" t="s">
        <v>136</v>
      </c>
      <c r="T1" s="2" t="s">
        <v>126</v>
      </c>
      <c r="U1" s="2" t="s">
        <v>127</v>
      </c>
      <c r="V1" s="2" t="s">
        <v>128</v>
      </c>
      <c r="W1" s="2" t="s">
        <v>141</v>
      </c>
      <c r="X1" s="2" t="s">
        <v>142</v>
      </c>
      <c r="Y1" s="2" t="s">
        <v>143</v>
      </c>
      <c r="Z1" s="2" t="s">
        <v>144</v>
      </c>
      <c r="AA1" s="2" t="s">
        <v>145</v>
      </c>
      <c r="AB1" s="2" t="s">
        <v>146</v>
      </c>
      <c r="AC1" s="2" t="s">
        <v>147</v>
      </c>
      <c r="AD1" s="2" t="s">
        <v>148</v>
      </c>
      <c r="AE1" s="2" t="s">
        <v>149</v>
      </c>
      <c r="AF1" s="2" t="s">
        <v>150</v>
      </c>
      <c r="AG1" s="2" t="s">
        <v>151</v>
      </c>
      <c r="AH1" s="2" t="s">
        <v>152</v>
      </c>
      <c r="AI1" s="2" t="s">
        <v>153</v>
      </c>
      <c r="AJ1" s="2" t="s">
        <v>154</v>
      </c>
      <c r="AK1" s="2" t="s">
        <v>155</v>
      </c>
      <c r="AL1" s="2" t="s">
        <v>156</v>
      </c>
      <c r="AM1" s="2" t="s">
        <v>157</v>
      </c>
      <c r="AN1" s="2" t="s">
        <v>158</v>
      </c>
      <c r="AO1" s="2" t="s">
        <v>159</v>
      </c>
      <c r="AP1" s="2" t="s">
        <v>160</v>
      </c>
      <c r="AQ1" s="2" t="s">
        <v>161</v>
      </c>
    </row>
    <row r="2" spans="1:43" x14ac:dyDescent="0.3">
      <c r="A2" s="3" t="s">
        <v>164</v>
      </c>
      <c r="B2" s="10" t="s">
        <v>165</v>
      </c>
      <c r="E2" s="11">
        <f>IFERROR('QTR P&amp;L'!D2/'QTR P&amp;L'!C2-1,"")</f>
        <v>2298.5536524432896</v>
      </c>
      <c r="F2" s="11">
        <f>IFERROR('QTR P&amp;L'!E2/IF($B2="QoQ",'QTR P&amp;L'!D2,'QTR P&amp;L'!B2)-1,"")</f>
        <v>-0.17512070220969189</v>
      </c>
      <c r="G2" s="11">
        <f>IFERROR('QTR P&amp;L'!F2/'QTR P&amp;L'!E2-1,"")</f>
        <v>-3.2095144722687285</v>
      </c>
      <c r="H2" s="11">
        <f>IFERROR('QTR P&amp;L'!G2/IF($B2="QoQ",'QTR P&amp;L'!F2,'QTR P&amp;L'!C2)-1,"")</f>
        <v>-1.0006360804610215</v>
      </c>
      <c r="I2" s="11">
        <f>IFERROR('QTR P&amp;L'!H2/IF($B2="QoQ",'QTR P&amp;L'!G2,'QTR P&amp;L'!D2)-1,"")</f>
        <v>0.15467658260113359</v>
      </c>
      <c r="J2" s="11">
        <f>IFERROR('QTR P&amp;L'!I2/IF($B2="QoQ",'QTR P&amp;L'!H2,'QTR P&amp;L'!E2)-1,"")</f>
        <v>0.22212699649396184</v>
      </c>
      <c r="K2" s="11">
        <f>IFERROR('QTR P&amp;L'!J2/IF($B2="QoQ",'QTR P&amp;L'!I2,'QTR P&amp;L'!F2)-1,"")</f>
        <v>-5.4549704619830885E-2</v>
      </c>
      <c r="L2" s="11">
        <f>IFERROR('QTR P&amp;L'!K2/IF($B2="QoQ",'QTR P&amp;L'!J2,'QTR P&amp;L'!G2)-1,"")</f>
        <v>0.46062686835539779</v>
      </c>
      <c r="M2" s="11">
        <f>IFERROR('QTR P&amp;L'!L2/IF($B2="QoQ",'QTR P&amp;L'!K2,'QTR P&amp;L'!H2)-1,"")</f>
        <v>0.25369028887546685</v>
      </c>
      <c r="N2" s="11">
        <f>IFERROR('QTR P&amp;L'!M2/IF($B2="QoQ",'QTR P&amp;L'!L2,'QTR P&amp;L'!I2)-1,"")</f>
        <v>0.18065993009761172</v>
      </c>
      <c r="O2" s="11">
        <f>IFERROR('QTR P&amp;L'!N2/IF($B2="QoQ",'QTR P&amp;L'!M2,'QTR P&amp;L'!J2)-1,"")</f>
        <v>-9.7001484053571452E-2</v>
      </c>
      <c r="P2" s="11">
        <f>IFERROR('QTR P&amp;L'!O2/IF($B2="QoQ",'QTR P&amp;L'!N2,'QTR P&amp;L'!K2)-1,"")</f>
        <v>2.3811648221969683E-2</v>
      </c>
      <c r="Q2" s="11">
        <f>IFERROR('QTR P&amp;L'!P2/IF($B2="QoQ",'QTR P&amp;L'!O2,'QTR P&amp;L'!L2)-1,"")</f>
        <v>0.13007579250396395</v>
      </c>
      <c r="R2" s="11">
        <f>IFERROR('QTR P&amp;L'!Q2/IF($B2="QoQ",'QTR P&amp;L'!P2,'QTR P&amp;L'!M2)-1,"")</f>
        <v>-0.33889749911064559</v>
      </c>
      <c r="S2" s="11">
        <f>IFERROR('QTR P&amp;L'!R2/IF($B2="QoQ",'QTR P&amp;L'!Q2,'QTR P&amp;L'!N2)-1,"")</f>
        <v>0.25004515556090734</v>
      </c>
      <c r="T2" s="11">
        <f>IFERROR('QTR P&amp;L'!S2/IF($B2="QoQ",'QTR P&amp;L'!R2,'QTR P&amp;L'!O2)-1,"")</f>
        <v>-8.7929752526362259E-3</v>
      </c>
      <c r="U2" s="11">
        <f>IFERROR('QTR P&amp;L'!T2/IF($B2="QoQ",'QTR P&amp;L'!S2,'QTR P&amp;L'!P2)-1,"")</f>
        <v>1.2451044108893452</v>
      </c>
      <c r="V2" s="11">
        <f>IFERROR('QTR P&amp;L'!U2/IF($B2="QoQ",'QTR P&amp;L'!T2,'QTR P&amp;L'!Q2)-1,"")</f>
        <v>-1.9144846393483239E-2</v>
      </c>
      <c r="W2" s="11">
        <f>IFERROR('QTR P&amp;L'!V2/IF($B2="QoQ",'QTR P&amp;L'!U2,'QTR P&amp;L'!R2)-1,"")</f>
        <v>-4.7965400920693124E-3</v>
      </c>
      <c r="X2" s="12">
        <f t="shared" ref="X2:AQ2" si="0">W2</f>
        <v>-4.7965400920693124E-3</v>
      </c>
      <c r="Y2" s="12">
        <f t="shared" si="0"/>
        <v>-4.7965400920693124E-3</v>
      </c>
      <c r="Z2" s="12">
        <f t="shared" si="0"/>
        <v>-4.7965400920693124E-3</v>
      </c>
      <c r="AA2" s="12">
        <f t="shared" si="0"/>
        <v>-4.7965400920693124E-3</v>
      </c>
      <c r="AB2" s="12">
        <f t="shared" si="0"/>
        <v>-4.7965400920693124E-3</v>
      </c>
      <c r="AC2" s="12">
        <f t="shared" si="0"/>
        <v>-4.7965400920693124E-3</v>
      </c>
      <c r="AD2" s="12">
        <f t="shared" si="0"/>
        <v>-4.7965400920693124E-3</v>
      </c>
      <c r="AE2" s="12">
        <f t="shared" si="0"/>
        <v>-4.7965400920693124E-3</v>
      </c>
      <c r="AF2" s="12">
        <f t="shared" si="0"/>
        <v>-4.7965400920693124E-3</v>
      </c>
      <c r="AG2" s="12">
        <f t="shared" si="0"/>
        <v>-4.7965400920693124E-3</v>
      </c>
      <c r="AH2" s="12">
        <f t="shared" si="0"/>
        <v>-4.7965400920693124E-3</v>
      </c>
      <c r="AI2" s="12">
        <f t="shared" si="0"/>
        <v>-4.7965400920693124E-3</v>
      </c>
      <c r="AJ2" s="12">
        <f t="shared" si="0"/>
        <v>-4.7965400920693124E-3</v>
      </c>
      <c r="AK2" s="12">
        <f t="shared" si="0"/>
        <v>-4.7965400920693124E-3</v>
      </c>
      <c r="AL2" s="12">
        <f t="shared" si="0"/>
        <v>-4.7965400920693124E-3</v>
      </c>
      <c r="AM2" s="12">
        <f t="shared" si="0"/>
        <v>-4.7965400920693124E-3</v>
      </c>
      <c r="AN2" s="12">
        <f t="shared" si="0"/>
        <v>-4.7965400920693124E-3</v>
      </c>
      <c r="AO2" s="12">
        <f t="shared" si="0"/>
        <v>-4.7965400920693124E-3</v>
      </c>
      <c r="AP2" s="12">
        <f t="shared" si="0"/>
        <v>-4.7965400920693124E-3</v>
      </c>
      <c r="AQ2" s="12">
        <f t="shared" si="0"/>
        <v>-4.7965400920693124E-3</v>
      </c>
    </row>
    <row r="3" spans="1:43" x14ac:dyDescent="0.3">
      <c r="A3" s="3" t="s">
        <v>166</v>
      </c>
      <c r="C3" s="11">
        <f>IFERROR('QTR P&amp;L'!B3/'QTR P&amp;L'!B2,"")</f>
        <v>-0.52404619878705672</v>
      </c>
      <c r="D3" s="11">
        <f>IFERROR('QTR P&amp;L'!C3/'QTR P&amp;L'!C2,"")</f>
        <v>-0.58870790446687316</v>
      </c>
      <c r="E3" s="11">
        <f>IFERROR('QTR P&amp;L'!D3/'QTR P&amp;L'!D2,"")</f>
        <v>-0.57579816998127564</v>
      </c>
      <c r="F3" s="11">
        <f>IFERROR('QTR P&amp;L'!E3/'QTR P&amp;L'!E2,"")</f>
        <v>-0.60284765106823268</v>
      </c>
      <c r="G3" s="11">
        <f>IFERROR('QTR P&amp;L'!F3/'QTR P&amp;L'!F2,"")</f>
        <v>-0.58801898570564293</v>
      </c>
      <c r="H3" s="11">
        <f>IFERROR('QTR P&amp;L'!G3/'QTR P&amp;L'!G2,"")</f>
        <v>-0.59596065613098625</v>
      </c>
      <c r="I3" s="11">
        <f>IFERROR('QTR P&amp;L'!H3/'QTR P&amp;L'!H2,"")</f>
        <v>-0.61486170627191272</v>
      </c>
      <c r="J3" s="11">
        <f>IFERROR('QTR P&amp;L'!I3/'QTR P&amp;L'!I2,"")</f>
        <v>-0.58216987547282073</v>
      </c>
      <c r="K3" s="11">
        <f>IFERROR('QTR P&amp;L'!J3/'QTR P&amp;L'!J2,"")</f>
        <v>-0.55605066193162667</v>
      </c>
      <c r="L3" s="11">
        <f>IFERROR('QTR P&amp;L'!K3/'QTR P&amp;L'!K2,"")</f>
        <v>-0.56213573184477894</v>
      </c>
      <c r="M3" s="11">
        <f>IFERROR('QTR P&amp;L'!L3/'QTR P&amp;L'!L2,"")</f>
        <v>-0.51211324309644868</v>
      </c>
      <c r="N3" s="11">
        <f>IFERROR('QTR P&amp;L'!M3/'QTR P&amp;L'!M2,"")</f>
        <v>-0.49557253019438241</v>
      </c>
      <c r="O3" s="11">
        <f>IFERROR('QTR P&amp;L'!N3/'QTR P&amp;L'!N2,"")</f>
        <v>-0.5215076201303841</v>
      </c>
      <c r="P3" s="11">
        <f>IFERROR('QTR P&amp;L'!O3/'QTR P&amp;L'!O2,"")</f>
        <v>-0.48776243435626976</v>
      </c>
      <c r="Q3" s="11">
        <f>IFERROR('QTR P&amp;L'!P3/'QTR P&amp;L'!P2,"")</f>
        <v>-0.47982596019175228</v>
      </c>
      <c r="R3" s="11">
        <f>IFERROR('QTR P&amp;L'!Q3/'QTR P&amp;L'!Q2,"")</f>
        <v>-0.54005674548820692</v>
      </c>
      <c r="S3" s="11">
        <f>IFERROR('QTR P&amp;L'!R3/'QTR P&amp;L'!R2,"")</f>
        <v>-0.49827060449070881</v>
      </c>
      <c r="T3" s="11">
        <f>IFERROR('QTR P&amp;L'!S3/'QTR P&amp;L'!S2,"")</f>
        <v>-0.47650906838032531</v>
      </c>
      <c r="U3" s="11">
        <f>IFERROR('QTR P&amp;L'!T3/'QTR P&amp;L'!T2,"")</f>
        <v>-0.48482061090903189</v>
      </c>
      <c r="V3" s="11">
        <f>IFERROR('QTR P&amp;L'!U3/'QTR P&amp;L'!U2,"")</f>
        <v>-0.48658678869020527</v>
      </c>
      <c r="W3" s="11">
        <f>IFERROR('QTR P&amp;L'!V3/'QTR P&amp;L'!V2,"")</f>
        <v>-0.52630718320242564</v>
      </c>
      <c r="X3" s="12">
        <f t="shared" ref="X3:AQ3" si="1">W3</f>
        <v>-0.52630718320242564</v>
      </c>
      <c r="Y3" s="12">
        <f t="shared" si="1"/>
        <v>-0.52630718320242564</v>
      </c>
      <c r="Z3" s="12">
        <f t="shared" si="1"/>
        <v>-0.52630718320242564</v>
      </c>
      <c r="AA3" s="12">
        <f t="shared" si="1"/>
        <v>-0.52630718320242564</v>
      </c>
      <c r="AB3" s="12">
        <f t="shared" si="1"/>
        <v>-0.52630718320242564</v>
      </c>
      <c r="AC3" s="12">
        <f t="shared" si="1"/>
        <v>-0.52630718320242564</v>
      </c>
      <c r="AD3" s="12">
        <f t="shared" si="1"/>
        <v>-0.52630718320242564</v>
      </c>
      <c r="AE3" s="12">
        <f t="shared" si="1"/>
        <v>-0.52630718320242564</v>
      </c>
      <c r="AF3" s="12">
        <f t="shared" si="1"/>
        <v>-0.52630718320242564</v>
      </c>
      <c r="AG3" s="12">
        <f t="shared" si="1"/>
        <v>-0.52630718320242564</v>
      </c>
      <c r="AH3" s="12">
        <f t="shared" si="1"/>
        <v>-0.52630718320242564</v>
      </c>
      <c r="AI3" s="12">
        <f t="shared" si="1"/>
        <v>-0.52630718320242564</v>
      </c>
      <c r="AJ3" s="12">
        <f t="shared" si="1"/>
        <v>-0.52630718320242564</v>
      </c>
      <c r="AK3" s="12">
        <f t="shared" si="1"/>
        <v>-0.52630718320242564</v>
      </c>
      <c r="AL3" s="12">
        <f t="shared" si="1"/>
        <v>-0.52630718320242564</v>
      </c>
      <c r="AM3" s="12">
        <f t="shared" si="1"/>
        <v>-0.52630718320242564</v>
      </c>
      <c r="AN3" s="12">
        <f t="shared" si="1"/>
        <v>-0.52630718320242564</v>
      </c>
      <c r="AO3" s="12">
        <f t="shared" si="1"/>
        <v>-0.52630718320242564</v>
      </c>
      <c r="AP3" s="12">
        <f t="shared" si="1"/>
        <v>-0.52630718320242564</v>
      </c>
      <c r="AQ3" s="12">
        <f t="shared" si="1"/>
        <v>-0.52630718320242564</v>
      </c>
    </row>
    <row r="4" spans="1:43" x14ac:dyDescent="0.3">
      <c r="A4" s="3" t="s">
        <v>167</v>
      </c>
      <c r="C4" s="11">
        <f>IFERROR('QTR P&amp;L'!B5/'QTR P&amp;L'!B2,"")</f>
        <v>-0.2244350432742081</v>
      </c>
      <c r="D4" s="11">
        <f>IFERROR('QTR P&amp;L'!C5/'QTR P&amp;L'!C2,"")</f>
        <v>-0.23901269111621865</v>
      </c>
      <c r="E4" s="11">
        <f>IFERROR('QTR P&amp;L'!D5/'QTR P&amp;L'!D2,"")</f>
        <v>-0.23881904880337612</v>
      </c>
      <c r="F4" s="11">
        <f>IFERROR('QTR P&amp;L'!E5/'QTR P&amp;L'!E2,"")</f>
        <v>-0.23834450015857278</v>
      </c>
      <c r="G4" s="11">
        <f>IFERROR('QTR P&amp;L'!F5/'QTR P&amp;L'!F2,"")</f>
        <v>0</v>
      </c>
      <c r="H4" s="11">
        <f>IFERROR('QTR P&amp;L'!G5/'QTR P&amp;L'!G2,"")</f>
        <v>-0.23688037904459172</v>
      </c>
      <c r="I4" s="11">
        <f>IFERROR('QTR P&amp;L'!H5/'QTR P&amp;L'!H2,"")</f>
        <v>-0.210849240358395</v>
      </c>
      <c r="J4" s="11">
        <f>IFERROR('QTR P&amp;L'!I5/'QTR P&amp;L'!I2,"")</f>
        <v>-1.0556653491436101</v>
      </c>
      <c r="K4" s="11">
        <f>IFERROR('QTR P&amp;L'!J5/'QTR P&amp;L'!J2,"")</f>
        <v>0</v>
      </c>
      <c r="L4" s="11">
        <f>IFERROR('QTR P&amp;L'!K5/'QTR P&amp;L'!K2,"")</f>
        <v>0</v>
      </c>
      <c r="M4" s="11">
        <f>IFERROR('QTR P&amp;L'!L5/'QTR P&amp;L'!L2,"")</f>
        <v>0</v>
      </c>
      <c r="N4" s="11">
        <f>IFERROR('QTR P&amp;L'!M5/'QTR P&amp;L'!M2,"")</f>
        <v>0</v>
      </c>
      <c r="O4" s="11">
        <f>IFERROR('QTR P&amp;L'!N5/'QTR P&amp;L'!N2,"")</f>
        <v>0</v>
      </c>
      <c r="P4" s="11">
        <f>IFERROR('QTR P&amp;L'!O5/'QTR P&amp;L'!O2,"")</f>
        <v>0</v>
      </c>
      <c r="Q4" s="11">
        <f>IFERROR('QTR P&amp;L'!P5/'QTR P&amp;L'!P2,"")</f>
        <v>0</v>
      </c>
      <c r="R4" s="11">
        <f>IFERROR('QTR P&amp;L'!Q5/'QTR P&amp;L'!Q2,"")</f>
        <v>0</v>
      </c>
      <c r="S4" s="11">
        <f>IFERROR('QTR P&amp;L'!R5/'QTR P&amp;L'!R2,"")</f>
        <v>0</v>
      </c>
      <c r="T4" s="11">
        <f>IFERROR('QTR P&amp;L'!S5/'QTR P&amp;L'!S2,"")</f>
        <v>0</v>
      </c>
      <c r="U4" s="11">
        <f>IFERROR('QTR P&amp;L'!T5/'QTR P&amp;L'!T2,"")</f>
        <v>0</v>
      </c>
      <c r="V4" s="11">
        <f>IFERROR('QTR P&amp;L'!U5/'QTR P&amp;L'!U2,"")</f>
        <v>0</v>
      </c>
      <c r="W4" s="11">
        <f>IFERROR('QTR P&amp;L'!V5/'QTR P&amp;L'!V2,"")</f>
        <v>0</v>
      </c>
      <c r="X4" s="12">
        <f t="shared" ref="X4:AQ4" si="2">W4</f>
        <v>0</v>
      </c>
      <c r="Y4" s="12">
        <f t="shared" si="2"/>
        <v>0</v>
      </c>
      <c r="Z4" s="12">
        <f t="shared" si="2"/>
        <v>0</v>
      </c>
      <c r="AA4" s="12">
        <f t="shared" si="2"/>
        <v>0</v>
      </c>
      <c r="AB4" s="12">
        <f t="shared" si="2"/>
        <v>0</v>
      </c>
      <c r="AC4" s="12">
        <f t="shared" si="2"/>
        <v>0</v>
      </c>
      <c r="AD4" s="12">
        <f t="shared" si="2"/>
        <v>0</v>
      </c>
      <c r="AE4" s="12">
        <f t="shared" si="2"/>
        <v>0</v>
      </c>
      <c r="AF4" s="12">
        <f t="shared" si="2"/>
        <v>0</v>
      </c>
      <c r="AG4" s="12">
        <f t="shared" si="2"/>
        <v>0</v>
      </c>
      <c r="AH4" s="12">
        <f t="shared" si="2"/>
        <v>0</v>
      </c>
      <c r="AI4" s="12">
        <f t="shared" si="2"/>
        <v>0</v>
      </c>
      <c r="AJ4" s="12">
        <f t="shared" si="2"/>
        <v>0</v>
      </c>
      <c r="AK4" s="12">
        <f t="shared" si="2"/>
        <v>0</v>
      </c>
      <c r="AL4" s="12">
        <f t="shared" si="2"/>
        <v>0</v>
      </c>
      <c r="AM4" s="12">
        <f t="shared" si="2"/>
        <v>0</v>
      </c>
      <c r="AN4" s="12">
        <f t="shared" si="2"/>
        <v>0</v>
      </c>
      <c r="AO4" s="12">
        <f t="shared" si="2"/>
        <v>0</v>
      </c>
      <c r="AP4" s="12">
        <f t="shared" si="2"/>
        <v>0</v>
      </c>
      <c r="AQ4" s="12">
        <f t="shared" si="2"/>
        <v>0</v>
      </c>
    </row>
    <row r="5" spans="1:43" x14ac:dyDescent="0.3">
      <c r="A5" s="3" t="s">
        <v>168</v>
      </c>
      <c r="C5" s="11">
        <f>IFERROR('QTR P&amp;L'!B6/'QTR P&amp;L'!B2,"")</f>
        <v>-0.12900482581723047</v>
      </c>
      <c r="D5" s="11">
        <f>IFERROR('QTR P&amp;L'!C6/'QTR P&amp;L'!C2,"")</f>
        <v>-0.15603077845508145</v>
      </c>
      <c r="E5" s="11">
        <f>IFERROR('QTR P&amp;L'!D6/'QTR P&amp;L'!D2,"")</f>
        <v>-0.14704206959945745</v>
      </c>
      <c r="F5" s="11">
        <f>IFERROR('QTR P&amp;L'!E6/'QTR P&amp;L'!E2,"")</f>
        <v>-0.11737578377626592</v>
      </c>
      <c r="G5" s="11">
        <f>IFERROR('QTR P&amp;L'!F6/'QTR P&amp;L'!F2,"")</f>
        <v>0</v>
      </c>
      <c r="H5" s="11">
        <f>IFERROR('QTR P&amp;L'!G6/'QTR P&amp;L'!G2,"")</f>
        <v>-9.132005877590188E-2</v>
      </c>
      <c r="I5" s="11">
        <f>IFERROR('QTR P&amp;L'!H6/'QTR P&amp;L'!H2,"")</f>
        <v>-9.3585248669004029E-2</v>
      </c>
      <c r="J5" s="11">
        <f>IFERROR('QTR P&amp;L'!I6/'QTR P&amp;L'!I2,"")</f>
        <v>-0.14630881040418206</v>
      </c>
      <c r="K5" s="11">
        <f>IFERROR('QTR P&amp;L'!J6/'QTR P&amp;L'!J2,"")</f>
        <v>0</v>
      </c>
      <c r="L5" s="11">
        <f>IFERROR('QTR P&amp;L'!K6/'QTR P&amp;L'!K2,"")</f>
        <v>0</v>
      </c>
      <c r="M5" s="11">
        <f>IFERROR('QTR P&amp;L'!L6/'QTR P&amp;L'!L2,"")</f>
        <v>0</v>
      </c>
      <c r="N5" s="11">
        <f>IFERROR('QTR P&amp;L'!M6/'QTR P&amp;L'!M2,"")</f>
        <v>0</v>
      </c>
      <c r="O5" s="11">
        <f>IFERROR('QTR P&amp;L'!N6/'QTR P&amp;L'!N2,"")</f>
        <v>0</v>
      </c>
      <c r="P5" s="11">
        <f>IFERROR('QTR P&amp;L'!O6/'QTR P&amp;L'!O2,"")</f>
        <v>0</v>
      </c>
      <c r="Q5" s="11">
        <f>IFERROR('QTR P&amp;L'!P6/'QTR P&amp;L'!P2,"")</f>
        <v>0</v>
      </c>
      <c r="R5" s="11">
        <f>IFERROR('QTR P&amp;L'!Q6/'QTR P&amp;L'!Q2,"")</f>
        <v>0</v>
      </c>
      <c r="S5" s="11">
        <f>IFERROR('QTR P&amp;L'!R6/'QTR P&amp;L'!R2,"")</f>
        <v>0</v>
      </c>
      <c r="T5" s="11">
        <f>IFERROR('QTR P&amp;L'!S6/'QTR P&amp;L'!S2,"")</f>
        <v>0</v>
      </c>
      <c r="U5" s="11">
        <f>IFERROR('QTR P&amp;L'!T6/'QTR P&amp;L'!T2,"")</f>
        <v>0</v>
      </c>
      <c r="V5" s="11">
        <f>IFERROR('QTR P&amp;L'!U6/'QTR P&amp;L'!U2,"")</f>
        <v>0</v>
      </c>
      <c r="W5" s="11">
        <f>IFERROR('QTR P&amp;L'!V6/'QTR P&amp;L'!V2,"")</f>
        <v>0</v>
      </c>
      <c r="X5" s="12">
        <f t="shared" ref="X5:AQ5" si="3">W5</f>
        <v>0</v>
      </c>
      <c r="Y5" s="12">
        <f t="shared" si="3"/>
        <v>0</v>
      </c>
      <c r="Z5" s="12">
        <f t="shared" si="3"/>
        <v>0</v>
      </c>
      <c r="AA5" s="12">
        <f t="shared" si="3"/>
        <v>0</v>
      </c>
      <c r="AB5" s="12">
        <f t="shared" si="3"/>
        <v>0</v>
      </c>
      <c r="AC5" s="12">
        <f t="shared" si="3"/>
        <v>0</v>
      </c>
      <c r="AD5" s="12">
        <f t="shared" si="3"/>
        <v>0</v>
      </c>
      <c r="AE5" s="12">
        <f t="shared" si="3"/>
        <v>0</v>
      </c>
      <c r="AF5" s="12">
        <f t="shared" si="3"/>
        <v>0</v>
      </c>
      <c r="AG5" s="12">
        <f t="shared" si="3"/>
        <v>0</v>
      </c>
      <c r="AH5" s="12">
        <f t="shared" si="3"/>
        <v>0</v>
      </c>
      <c r="AI5" s="12">
        <f t="shared" si="3"/>
        <v>0</v>
      </c>
      <c r="AJ5" s="12">
        <f t="shared" si="3"/>
        <v>0</v>
      </c>
      <c r="AK5" s="12">
        <f t="shared" si="3"/>
        <v>0</v>
      </c>
      <c r="AL5" s="12">
        <f t="shared" si="3"/>
        <v>0</v>
      </c>
      <c r="AM5" s="12">
        <f t="shared" si="3"/>
        <v>0</v>
      </c>
      <c r="AN5" s="12">
        <f t="shared" si="3"/>
        <v>0</v>
      </c>
      <c r="AO5" s="12">
        <f t="shared" si="3"/>
        <v>0</v>
      </c>
      <c r="AP5" s="12">
        <f t="shared" si="3"/>
        <v>0</v>
      </c>
      <c r="AQ5" s="12">
        <f t="shared" si="3"/>
        <v>0</v>
      </c>
    </row>
    <row r="6" spans="1:43" x14ac:dyDescent="0.3">
      <c r="A6" s="3" t="s">
        <v>169</v>
      </c>
      <c r="C6" s="11">
        <f>IFERROR('QTR P&amp;L'!B7/'QTR P&amp;L'!B2,"")</f>
        <v>-0.35343986909143854</v>
      </c>
      <c r="D6" s="11">
        <f>IFERROR('QTR P&amp;L'!C7/'QTR P&amp;L'!C2,"")</f>
        <v>-0.3950434695713001</v>
      </c>
      <c r="E6" s="11">
        <f>IFERROR('QTR P&amp;L'!D7/'QTR P&amp;L'!D2,"")</f>
        <v>-0.3858611184028336</v>
      </c>
      <c r="F6" s="11">
        <f>IFERROR('QTR P&amp;L'!E7/'QTR P&amp;L'!E2,"")</f>
        <v>-0.35572028393483868</v>
      </c>
      <c r="G6" s="11">
        <f>IFERROR('QTR P&amp;L'!F7/'QTR P&amp;L'!F2,"")</f>
        <v>0</v>
      </c>
      <c r="H6" s="11">
        <f>IFERROR('QTR P&amp;L'!G7/'QTR P&amp;L'!G2,"")</f>
        <v>-0.32820043782049357</v>
      </c>
      <c r="I6" s="11">
        <f>IFERROR('QTR P&amp;L'!H7/'QTR P&amp;L'!H2,"")</f>
        <v>-0.30443448902739906</v>
      </c>
      <c r="J6" s="11">
        <f>IFERROR('QTR P&amp;L'!I7/'QTR P&amp;L'!I2,"")</f>
        <v>-1.2019741595477922</v>
      </c>
      <c r="K6" s="11">
        <f>IFERROR('QTR P&amp;L'!J7/'QTR P&amp;L'!J2,"")</f>
        <v>0</v>
      </c>
      <c r="L6" s="11">
        <f>IFERROR('QTR P&amp;L'!K7/'QTR P&amp;L'!K2,"")</f>
        <v>0</v>
      </c>
      <c r="M6" s="11">
        <f>IFERROR('QTR P&amp;L'!L7/'QTR P&amp;L'!L2,"")</f>
        <v>0</v>
      </c>
      <c r="N6" s="11">
        <f>IFERROR('QTR P&amp;L'!M7/'QTR P&amp;L'!M2,"")</f>
        <v>0</v>
      </c>
      <c r="O6" s="11">
        <f>IFERROR('QTR P&amp;L'!N7/'QTR P&amp;L'!N2,"")</f>
        <v>0</v>
      </c>
      <c r="P6" s="11">
        <f>IFERROR('QTR P&amp;L'!O7/'QTR P&amp;L'!O2,"")</f>
        <v>0</v>
      </c>
      <c r="Q6" s="11">
        <f>IFERROR('QTR P&amp;L'!P7/'QTR P&amp;L'!P2,"")</f>
        <v>0</v>
      </c>
      <c r="R6" s="11">
        <f>IFERROR('QTR P&amp;L'!Q7/'QTR P&amp;L'!Q2,"")</f>
        <v>0</v>
      </c>
      <c r="S6" s="11">
        <f>IFERROR('QTR P&amp;L'!R7/'QTR P&amp;L'!R2,"")</f>
        <v>0</v>
      </c>
      <c r="T6" s="11">
        <f>IFERROR('QTR P&amp;L'!S7/'QTR P&amp;L'!S2,"")</f>
        <v>0</v>
      </c>
      <c r="U6" s="11">
        <f>IFERROR('QTR P&amp;L'!T7/'QTR P&amp;L'!T2,"")</f>
        <v>0</v>
      </c>
      <c r="V6" s="11">
        <f>IFERROR('QTR P&amp;L'!U7/'QTR P&amp;L'!U2,"")</f>
        <v>0</v>
      </c>
      <c r="W6" s="11">
        <f>IFERROR('QTR P&amp;L'!V7/'QTR P&amp;L'!V2,"")</f>
        <v>0</v>
      </c>
      <c r="X6" s="12">
        <f t="shared" ref="X6:AQ6" si="4">W6</f>
        <v>0</v>
      </c>
      <c r="Y6" s="12">
        <f t="shared" si="4"/>
        <v>0</v>
      </c>
      <c r="Z6" s="12">
        <f t="shared" si="4"/>
        <v>0</v>
      </c>
      <c r="AA6" s="12">
        <f t="shared" si="4"/>
        <v>0</v>
      </c>
      <c r="AB6" s="12">
        <f t="shared" si="4"/>
        <v>0</v>
      </c>
      <c r="AC6" s="12">
        <f t="shared" si="4"/>
        <v>0</v>
      </c>
      <c r="AD6" s="12">
        <f t="shared" si="4"/>
        <v>0</v>
      </c>
      <c r="AE6" s="12">
        <f t="shared" si="4"/>
        <v>0</v>
      </c>
      <c r="AF6" s="12">
        <f t="shared" si="4"/>
        <v>0</v>
      </c>
      <c r="AG6" s="12">
        <f t="shared" si="4"/>
        <v>0</v>
      </c>
      <c r="AH6" s="12">
        <f t="shared" si="4"/>
        <v>0</v>
      </c>
      <c r="AI6" s="12">
        <f t="shared" si="4"/>
        <v>0</v>
      </c>
      <c r="AJ6" s="12">
        <f t="shared" si="4"/>
        <v>0</v>
      </c>
      <c r="AK6" s="12">
        <f t="shared" si="4"/>
        <v>0</v>
      </c>
      <c r="AL6" s="12">
        <f t="shared" si="4"/>
        <v>0</v>
      </c>
      <c r="AM6" s="12">
        <f t="shared" si="4"/>
        <v>0</v>
      </c>
      <c r="AN6" s="12">
        <f t="shared" si="4"/>
        <v>0</v>
      </c>
      <c r="AO6" s="12">
        <f t="shared" si="4"/>
        <v>0</v>
      </c>
      <c r="AP6" s="12">
        <f t="shared" si="4"/>
        <v>0</v>
      </c>
      <c r="AQ6" s="12">
        <f t="shared" si="4"/>
        <v>0</v>
      </c>
    </row>
    <row r="7" spans="1:43" x14ac:dyDescent="0.3">
      <c r="A7" s="3" t="s">
        <v>170</v>
      </c>
      <c r="C7" s="11">
        <f>IFERROR('QTR P&amp;L'!B8/'QTR P&amp;L'!B2,"")</f>
        <v>0</v>
      </c>
      <c r="D7" s="11">
        <f>IFERROR('QTR P&amp;L'!C8/'QTR P&amp;L'!C2,"")</f>
        <v>0</v>
      </c>
      <c r="E7" s="11">
        <f>IFERROR('QTR P&amp;L'!D8/'QTR P&amp;L'!D2,"")</f>
        <v>0</v>
      </c>
      <c r="F7" s="11">
        <f>IFERROR('QTR P&amp;L'!E8/'QTR P&amp;L'!E2,"")</f>
        <v>0</v>
      </c>
      <c r="G7" s="11">
        <f>IFERROR('QTR P&amp;L'!F8/'QTR P&amp;L'!F2,"")</f>
        <v>6.3069665707739177E-4</v>
      </c>
      <c r="H7" s="11">
        <f>IFERROR('QTR P&amp;L'!G8/'QTR P&amp;L'!G2,"")</f>
        <v>0</v>
      </c>
      <c r="I7" s="11">
        <f>IFERROR('QTR P&amp;L'!H8/'QTR P&amp;L'!H2,"")</f>
        <v>0</v>
      </c>
      <c r="J7" s="11">
        <f>IFERROR('QTR P&amp;L'!I8/'QTR P&amp;L'!I2,"")</f>
        <v>0</v>
      </c>
      <c r="K7" s="11">
        <f>IFERROR('QTR P&amp;L'!J8/'QTR P&amp;L'!J2,"")</f>
        <v>-2.4087455889955272</v>
      </c>
      <c r="L7" s="11">
        <f>IFERROR('QTR P&amp;L'!K8/'QTR P&amp;L'!K2,"")</f>
        <v>-0.26508142294923037</v>
      </c>
      <c r="M7" s="11">
        <f>IFERROR('QTR P&amp;L'!L8/'QTR P&amp;L'!L2,"")</f>
        <v>-0.28900249476038947</v>
      </c>
      <c r="N7" s="11">
        <f>IFERROR('QTR P&amp;L'!M8/'QTR P&amp;L'!M2,"")</f>
        <v>-0.25050876267358357</v>
      </c>
      <c r="O7" s="11">
        <f>IFERROR('QTR P&amp;L'!N8/'QTR P&amp;L'!N2,"")</f>
        <v>-0.30884050254004347</v>
      </c>
      <c r="P7" s="11">
        <f>IFERROR('QTR P&amp;L'!O8/'QTR P&amp;L'!O2,"")</f>
        <v>-0.27836596309332373</v>
      </c>
      <c r="Q7" s="11">
        <f>IFERROR('QTR P&amp;L'!P8/'QTR P&amp;L'!P2,"")</f>
        <v>-0.2857128641688455</v>
      </c>
      <c r="R7" s="11">
        <f>IFERROR('QTR P&amp;L'!Q8/'QTR P&amp;L'!Q2,"")</f>
        <v>-0.47203741890813855</v>
      </c>
      <c r="S7" s="11">
        <f>IFERROR('QTR P&amp;L'!R8/'QTR P&amp;L'!R2,"")</f>
        <v>-0.557407201148716</v>
      </c>
      <c r="T7" s="11">
        <f>IFERROR('QTR P&amp;L'!S8/'QTR P&amp;L'!S2,"")</f>
        <v>-0.36547455629927478</v>
      </c>
      <c r="U7" s="11">
        <f>IFERROR('QTR P&amp;L'!T8/'QTR P&amp;L'!T2,"")</f>
        <v>-0.32178979221084897</v>
      </c>
      <c r="V7" s="11">
        <f>IFERROR('QTR P&amp;L'!U8/'QTR P&amp;L'!U2,"")</f>
        <v>-0.28350475654593948</v>
      </c>
      <c r="W7" s="11">
        <f>IFERROR('QTR P&amp;L'!V8/'QTR P&amp;L'!V2,"")</f>
        <v>-0.32566779559551456</v>
      </c>
      <c r="X7" s="12">
        <f t="shared" ref="X7:AQ7" si="5">W7</f>
        <v>-0.32566779559551456</v>
      </c>
      <c r="Y7" s="12">
        <f t="shared" si="5"/>
        <v>-0.32566779559551456</v>
      </c>
      <c r="Z7" s="12">
        <f t="shared" si="5"/>
        <v>-0.32566779559551456</v>
      </c>
      <c r="AA7" s="12">
        <f t="shared" si="5"/>
        <v>-0.32566779559551456</v>
      </c>
      <c r="AB7" s="12">
        <f t="shared" si="5"/>
        <v>-0.32566779559551456</v>
      </c>
      <c r="AC7" s="12">
        <f t="shared" si="5"/>
        <v>-0.32566779559551456</v>
      </c>
      <c r="AD7" s="12">
        <f t="shared" si="5"/>
        <v>-0.32566779559551456</v>
      </c>
      <c r="AE7" s="12">
        <f t="shared" si="5"/>
        <v>-0.32566779559551456</v>
      </c>
      <c r="AF7" s="12">
        <f t="shared" si="5"/>
        <v>-0.32566779559551456</v>
      </c>
      <c r="AG7" s="12">
        <f t="shared" si="5"/>
        <v>-0.32566779559551456</v>
      </c>
      <c r="AH7" s="12">
        <f t="shared" si="5"/>
        <v>-0.32566779559551456</v>
      </c>
      <c r="AI7" s="12">
        <f t="shared" si="5"/>
        <v>-0.32566779559551456</v>
      </c>
      <c r="AJ7" s="12">
        <f t="shared" si="5"/>
        <v>-0.32566779559551456</v>
      </c>
      <c r="AK7" s="12">
        <f t="shared" si="5"/>
        <v>-0.32566779559551456</v>
      </c>
      <c r="AL7" s="12">
        <f t="shared" si="5"/>
        <v>-0.32566779559551456</v>
      </c>
      <c r="AM7" s="12">
        <f t="shared" si="5"/>
        <v>-0.32566779559551456</v>
      </c>
      <c r="AN7" s="12">
        <f t="shared" si="5"/>
        <v>-0.32566779559551456</v>
      </c>
      <c r="AO7" s="12">
        <f t="shared" si="5"/>
        <v>-0.32566779559551456</v>
      </c>
      <c r="AP7" s="12">
        <f t="shared" si="5"/>
        <v>-0.32566779559551456</v>
      </c>
      <c r="AQ7" s="12">
        <f t="shared" si="5"/>
        <v>-0.32566779559551456</v>
      </c>
    </row>
    <row r="8" spans="1:43" x14ac:dyDescent="0.3">
      <c r="A8" s="3" t="s">
        <v>20</v>
      </c>
      <c r="C8" s="4">
        <f>'QTR P&amp;L'!B9</f>
        <v>0</v>
      </c>
      <c r="D8" s="4">
        <f>'QTR P&amp;L'!C9</f>
        <v>0</v>
      </c>
      <c r="E8" s="4">
        <f>'QTR P&amp;L'!D9</f>
        <v>0</v>
      </c>
      <c r="F8" s="4">
        <f>'QTR P&amp;L'!E9</f>
        <v>0</v>
      </c>
      <c r="G8" s="4">
        <f>'QTR P&amp;L'!F9</f>
        <v>0</v>
      </c>
      <c r="H8" s="4">
        <f>'QTR P&amp;L'!G9</f>
        <v>0</v>
      </c>
      <c r="I8" s="4">
        <f>'QTR P&amp;L'!H9</f>
        <v>0</v>
      </c>
      <c r="J8" s="4">
        <f>'QTR P&amp;L'!I9</f>
        <v>0</v>
      </c>
      <c r="K8" s="4">
        <f>'QTR P&amp;L'!J9</f>
        <v>0</v>
      </c>
      <c r="L8" s="4">
        <f>'QTR P&amp;L'!K9</f>
        <v>0</v>
      </c>
      <c r="M8" s="4">
        <f>'QTR P&amp;L'!L9</f>
        <v>0</v>
      </c>
      <c r="N8" s="4">
        <f>'QTR P&amp;L'!M9</f>
        <v>0</v>
      </c>
      <c r="O8" s="4">
        <f>'QTR P&amp;L'!N9</f>
        <v>0</v>
      </c>
      <c r="P8" s="4">
        <f>'QTR P&amp;L'!O9</f>
        <v>0</v>
      </c>
      <c r="Q8" s="4">
        <f>'QTR P&amp;L'!P9</f>
        <v>0</v>
      </c>
      <c r="R8" s="4">
        <f>'QTR P&amp;L'!Q9</f>
        <v>0</v>
      </c>
      <c r="S8" s="4">
        <f>'QTR P&amp;L'!R9</f>
        <v>0</v>
      </c>
      <c r="T8" s="4">
        <f>'QTR P&amp;L'!S9</f>
        <v>0</v>
      </c>
      <c r="U8" s="4">
        <f>'QTR P&amp;L'!T9</f>
        <v>0</v>
      </c>
      <c r="V8" s="4">
        <f>'QTR P&amp;L'!U9</f>
        <v>-246707</v>
      </c>
      <c r="W8" s="4">
        <f>'QTR P&amp;L'!V9</f>
        <v>-80754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</row>
    <row r="9" spans="1:43" x14ac:dyDescent="0.3">
      <c r="A9" s="3" t="s">
        <v>22</v>
      </c>
      <c r="C9" s="4">
        <f>'QTR P&amp;L'!B11</f>
        <v>-247399</v>
      </c>
      <c r="D9" s="4">
        <f>'QTR P&amp;L'!C11</f>
        <v>85</v>
      </c>
      <c r="E9" s="4">
        <f>'QTR P&amp;L'!D11</f>
        <v>160056</v>
      </c>
      <c r="F9" s="4">
        <f>'QTR P&amp;L'!E11</f>
        <v>71949</v>
      </c>
      <c r="G9" s="4">
        <f>'QTR P&amp;L'!F11</f>
        <v>-231783</v>
      </c>
      <c r="H9" s="4">
        <f>'QTR P&amp;L'!G11</f>
        <v>76</v>
      </c>
      <c r="I9" s="4">
        <f>'QTR P&amp;L'!H11</f>
        <v>53</v>
      </c>
      <c r="J9" s="4">
        <f>'QTR P&amp;L'!I11</f>
        <v>1450</v>
      </c>
      <c r="K9" s="4">
        <f>'QTR P&amp;L'!J11</f>
        <v>3950</v>
      </c>
      <c r="L9" s="4">
        <f>'QTR P&amp;L'!K11</f>
        <v>4969</v>
      </c>
      <c r="M9" s="4">
        <f>'QTR P&amp;L'!L11</f>
        <v>5573</v>
      </c>
      <c r="N9" s="4">
        <f>'QTR P&amp;L'!M11</f>
        <v>7225</v>
      </c>
      <c r="O9" s="4">
        <f>'QTR P&amp;L'!N11</f>
        <v>8862</v>
      </c>
      <c r="P9" s="4">
        <f>'QTR P&amp;L'!O11</f>
        <v>9640</v>
      </c>
      <c r="Q9" s="4">
        <f>'QTR P&amp;L'!P11</f>
        <v>10647</v>
      </c>
      <c r="R9" s="4">
        <f>'QTR P&amp;L'!Q11</f>
        <v>11112</v>
      </c>
      <c r="S9" s="4">
        <f>'QTR P&amp;L'!R11</f>
        <v>7864</v>
      </c>
      <c r="T9" s="4">
        <f>'QTR P&amp;L'!S11</f>
        <v>7846</v>
      </c>
      <c r="U9" s="4">
        <f>'QTR P&amp;L'!T11</f>
        <v>-14042</v>
      </c>
      <c r="V9" s="4">
        <f>'QTR P&amp;L'!U11</f>
        <v>-13396</v>
      </c>
      <c r="W9" s="4">
        <f>'QTR P&amp;L'!V11</f>
        <v>-8300</v>
      </c>
      <c r="X9" s="13">
        <f t="shared" ref="X9:AQ9" si="6">W9</f>
        <v>-8300</v>
      </c>
      <c r="Y9" s="13">
        <f t="shared" si="6"/>
        <v>-8300</v>
      </c>
      <c r="Z9" s="13">
        <f t="shared" si="6"/>
        <v>-8300</v>
      </c>
      <c r="AA9" s="13">
        <f t="shared" si="6"/>
        <v>-8300</v>
      </c>
      <c r="AB9" s="13">
        <f t="shared" si="6"/>
        <v>-8300</v>
      </c>
      <c r="AC9" s="13">
        <f t="shared" si="6"/>
        <v>-8300</v>
      </c>
      <c r="AD9" s="13">
        <f t="shared" si="6"/>
        <v>-8300</v>
      </c>
      <c r="AE9" s="13">
        <f t="shared" si="6"/>
        <v>-8300</v>
      </c>
      <c r="AF9" s="13">
        <f t="shared" si="6"/>
        <v>-8300</v>
      </c>
      <c r="AG9" s="13">
        <f t="shared" si="6"/>
        <v>-8300</v>
      </c>
      <c r="AH9" s="13">
        <f t="shared" si="6"/>
        <v>-8300</v>
      </c>
      <c r="AI9" s="13">
        <f t="shared" si="6"/>
        <v>-8300</v>
      </c>
      <c r="AJ9" s="13">
        <f t="shared" si="6"/>
        <v>-8300</v>
      </c>
      <c r="AK9" s="13">
        <f t="shared" si="6"/>
        <v>-8300</v>
      </c>
      <c r="AL9" s="13">
        <f t="shared" si="6"/>
        <v>-8300</v>
      </c>
      <c r="AM9" s="13">
        <f t="shared" si="6"/>
        <v>-8300</v>
      </c>
      <c r="AN9" s="13">
        <f t="shared" si="6"/>
        <v>-8300</v>
      </c>
      <c r="AO9" s="13">
        <f t="shared" si="6"/>
        <v>-8300</v>
      </c>
      <c r="AP9" s="13">
        <f t="shared" si="6"/>
        <v>-8300</v>
      </c>
      <c r="AQ9" s="13">
        <f t="shared" si="6"/>
        <v>-8300</v>
      </c>
    </row>
    <row r="10" spans="1:43" x14ac:dyDescent="0.3">
      <c r="A10" s="3" t="s">
        <v>23</v>
      </c>
      <c r="C10" s="4">
        <f>'QTR P&amp;L'!B12</f>
        <v>550510</v>
      </c>
      <c r="D10" s="4">
        <f>'QTR P&amp;L'!C12</f>
        <v>-301</v>
      </c>
      <c r="E10" s="4">
        <f>'QTR P&amp;L'!D12</f>
        <v>-123335</v>
      </c>
      <c r="F10" s="4">
        <f>'QTR P&amp;L'!E12</f>
        <v>-327581</v>
      </c>
      <c r="G10" s="4">
        <f>'QTR P&amp;L'!F12</f>
        <v>450941</v>
      </c>
      <c r="H10" s="4">
        <f>'QTR P&amp;L'!G12</f>
        <v>-162</v>
      </c>
      <c r="I10" s="4">
        <f>'QTR P&amp;L'!H12</f>
        <v>-514</v>
      </c>
      <c r="J10" s="4">
        <f>'QTR P&amp;L'!I12</f>
        <v>-254</v>
      </c>
      <c r="K10" s="4">
        <f>'QTR P&amp;L'!J12</f>
        <v>538</v>
      </c>
      <c r="L10" s="4">
        <f>'QTR P&amp;L'!K12</f>
        <v>-118</v>
      </c>
      <c r="M10" s="4">
        <f>'QTR P&amp;L'!L12</f>
        <v>-931</v>
      </c>
      <c r="N10" s="4">
        <f>'QTR P&amp;L'!M12</f>
        <v>-177</v>
      </c>
      <c r="O10" s="4">
        <f>'QTR P&amp;L'!N12</f>
        <v>-20</v>
      </c>
      <c r="P10" s="4">
        <f>'QTR P&amp;L'!O12</f>
        <v>-369</v>
      </c>
      <c r="Q10" s="4">
        <f>'QTR P&amp;L'!P12</f>
        <v>-264</v>
      </c>
      <c r="R10" s="4">
        <f>'QTR P&amp;L'!Q12</f>
        <v>277</v>
      </c>
      <c r="S10" s="4">
        <f>'QTR P&amp;L'!R12</f>
        <v>-1378</v>
      </c>
      <c r="T10" s="4">
        <f>'QTR P&amp;L'!S12</f>
        <v>0</v>
      </c>
      <c r="U10" s="4">
        <f>'QTR P&amp;L'!T12</f>
        <v>0</v>
      </c>
      <c r="V10" s="4">
        <f>'QTR P&amp;L'!U12</f>
        <v>0</v>
      </c>
      <c r="W10" s="4">
        <f>'QTR P&amp;L'!V12</f>
        <v>0</v>
      </c>
      <c r="X10" s="13">
        <f t="shared" ref="X10:AQ10" si="7">W10</f>
        <v>0</v>
      </c>
      <c r="Y10" s="13">
        <f t="shared" si="7"/>
        <v>0</v>
      </c>
      <c r="Z10" s="13">
        <f t="shared" si="7"/>
        <v>0</v>
      </c>
      <c r="AA10" s="13">
        <f t="shared" si="7"/>
        <v>0</v>
      </c>
      <c r="AB10" s="13">
        <f t="shared" si="7"/>
        <v>0</v>
      </c>
      <c r="AC10" s="13">
        <f t="shared" si="7"/>
        <v>0</v>
      </c>
      <c r="AD10" s="13">
        <f t="shared" si="7"/>
        <v>0</v>
      </c>
      <c r="AE10" s="13">
        <f t="shared" si="7"/>
        <v>0</v>
      </c>
      <c r="AF10" s="13">
        <f t="shared" si="7"/>
        <v>0</v>
      </c>
      <c r="AG10" s="13">
        <f t="shared" si="7"/>
        <v>0</v>
      </c>
      <c r="AH10" s="13">
        <f t="shared" si="7"/>
        <v>0</v>
      </c>
      <c r="AI10" s="13">
        <f t="shared" si="7"/>
        <v>0</v>
      </c>
      <c r="AJ10" s="13">
        <f t="shared" si="7"/>
        <v>0</v>
      </c>
      <c r="AK10" s="13">
        <f t="shared" si="7"/>
        <v>0</v>
      </c>
      <c r="AL10" s="13">
        <f t="shared" si="7"/>
        <v>0</v>
      </c>
      <c r="AM10" s="13">
        <f t="shared" si="7"/>
        <v>0</v>
      </c>
      <c r="AN10" s="13">
        <f t="shared" si="7"/>
        <v>0</v>
      </c>
      <c r="AO10" s="13">
        <f t="shared" si="7"/>
        <v>0</v>
      </c>
      <c r="AP10" s="13">
        <f t="shared" si="7"/>
        <v>0</v>
      </c>
      <c r="AQ10" s="13">
        <f t="shared" si="7"/>
        <v>0</v>
      </c>
    </row>
    <row r="11" spans="1:43" x14ac:dyDescent="0.3">
      <c r="A11" s="3" t="s">
        <v>24</v>
      </c>
      <c r="C11" s="4">
        <f>'QTR P&amp;L'!B13</f>
        <v>-62817</v>
      </c>
      <c r="D11" s="4">
        <f>'QTR P&amp;L'!C13</f>
        <v>-12</v>
      </c>
      <c r="E11" s="4">
        <f>'QTR P&amp;L'!D13</f>
        <v>97050</v>
      </c>
      <c r="F11" s="4">
        <f>'QTR P&amp;L'!E13</f>
        <v>-97038</v>
      </c>
      <c r="G11" s="4">
        <f>'QTR P&amp;L'!F13</f>
        <v>0</v>
      </c>
      <c r="H11" s="4">
        <f>'QTR P&amp;L'!G13</f>
        <v>0</v>
      </c>
      <c r="I11" s="4">
        <f>'QTR P&amp;L'!H13</f>
        <v>0</v>
      </c>
      <c r="J11" s="4">
        <f>'QTR P&amp;L'!I13</f>
        <v>0</v>
      </c>
      <c r="K11" s="4">
        <f>'QTR P&amp;L'!J13</f>
        <v>0</v>
      </c>
      <c r="L11" s="4">
        <f>'QTR P&amp;L'!K13</f>
        <v>0</v>
      </c>
      <c r="M11" s="4">
        <f>'QTR P&amp;L'!L13</f>
        <v>0</v>
      </c>
      <c r="N11" s="4">
        <f>'QTR P&amp;L'!M13</f>
        <v>0</v>
      </c>
      <c r="O11" s="4">
        <f>'QTR P&amp;L'!N13</f>
        <v>0</v>
      </c>
      <c r="P11" s="4">
        <f>'QTR P&amp;L'!O13</f>
        <v>0</v>
      </c>
      <c r="Q11" s="4">
        <f>'QTR P&amp;L'!P13</f>
        <v>0</v>
      </c>
      <c r="R11" s="4">
        <f>'QTR P&amp;L'!Q13</f>
        <v>0</v>
      </c>
      <c r="S11" s="4">
        <f>'QTR P&amp;L'!R13</f>
        <v>1793</v>
      </c>
      <c r="T11" s="4">
        <f>'QTR P&amp;L'!S13</f>
        <v>1116</v>
      </c>
      <c r="U11" s="4">
        <f>'QTR P&amp;L'!T13</f>
        <v>542</v>
      </c>
      <c r="V11" s="4">
        <f>'QTR P&amp;L'!U13</f>
        <v>5364</v>
      </c>
      <c r="W11" s="4">
        <f>'QTR P&amp;L'!V13</f>
        <v>4841</v>
      </c>
      <c r="X11" s="13">
        <f t="shared" ref="X11:AQ11" si="8">W11</f>
        <v>4841</v>
      </c>
      <c r="Y11" s="13">
        <f t="shared" si="8"/>
        <v>4841</v>
      </c>
      <c r="Z11" s="13">
        <f t="shared" si="8"/>
        <v>4841</v>
      </c>
      <c r="AA11" s="13">
        <f t="shared" si="8"/>
        <v>4841</v>
      </c>
      <c r="AB11" s="13">
        <f t="shared" si="8"/>
        <v>4841</v>
      </c>
      <c r="AC11" s="13">
        <f t="shared" si="8"/>
        <v>4841</v>
      </c>
      <c r="AD11" s="13">
        <f t="shared" si="8"/>
        <v>4841</v>
      </c>
      <c r="AE11" s="13">
        <f t="shared" si="8"/>
        <v>4841</v>
      </c>
      <c r="AF11" s="13">
        <f t="shared" si="8"/>
        <v>4841</v>
      </c>
      <c r="AG11" s="13">
        <f t="shared" si="8"/>
        <v>4841</v>
      </c>
      <c r="AH11" s="13">
        <f t="shared" si="8"/>
        <v>4841</v>
      </c>
      <c r="AI11" s="13">
        <f t="shared" si="8"/>
        <v>4841</v>
      </c>
      <c r="AJ11" s="13">
        <f t="shared" si="8"/>
        <v>4841</v>
      </c>
      <c r="AK11" s="13">
        <f t="shared" si="8"/>
        <v>4841</v>
      </c>
      <c r="AL11" s="13">
        <f t="shared" si="8"/>
        <v>4841</v>
      </c>
      <c r="AM11" s="13">
        <f t="shared" si="8"/>
        <v>4841</v>
      </c>
      <c r="AN11" s="13">
        <f t="shared" si="8"/>
        <v>4841</v>
      </c>
      <c r="AO11" s="13">
        <f t="shared" si="8"/>
        <v>4841</v>
      </c>
      <c r="AP11" s="13">
        <f t="shared" si="8"/>
        <v>4841</v>
      </c>
      <c r="AQ11" s="13">
        <f t="shared" si="8"/>
        <v>4841</v>
      </c>
    </row>
    <row r="12" spans="1:43" x14ac:dyDescent="0.3">
      <c r="A12" s="3" t="s">
        <v>82</v>
      </c>
      <c r="C12" s="4">
        <f>'QTR P&amp;L'!B14</f>
        <v>0</v>
      </c>
      <c r="D12" s="4">
        <f>'QTR P&amp;L'!C14</f>
        <v>0</v>
      </c>
      <c r="E12" s="4">
        <f>'QTR P&amp;L'!D14</f>
        <v>0</v>
      </c>
      <c r="F12" s="4">
        <f>'QTR P&amp;L'!E14</f>
        <v>0</v>
      </c>
      <c r="G12" s="4">
        <f>'QTR P&amp;L'!F14</f>
        <v>0</v>
      </c>
      <c r="H12" s="4">
        <f>'QTR P&amp;L'!G14</f>
        <v>0</v>
      </c>
      <c r="I12" s="4">
        <f>'QTR P&amp;L'!H14</f>
        <v>0</v>
      </c>
      <c r="J12" s="4">
        <f>'QTR P&amp;L'!I14</f>
        <v>0</v>
      </c>
      <c r="K12" s="4">
        <f>'QTR P&amp;L'!J14</f>
        <v>0</v>
      </c>
      <c r="L12" s="4">
        <f>'QTR P&amp;L'!K14</f>
        <v>0</v>
      </c>
      <c r="M12" s="4">
        <f>'QTR P&amp;L'!L14</f>
        <v>0</v>
      </c>
      <c r="N12" s="4">
        <f>'QTR P&amp;L'!M14</f>
        <v>0</v>
      </c>
      <c r="O12" s="4">
        <f>'QTR P&amp;L'!N14</f>
        <v>0</v>
      </c>
      <c r="P12" s="4">
        <f>'QTR P&amp;L'!O14</f>
        <v>0</v>
      </c>
      <c r="Q12" s="4">
        <f>'QTR P&amp;L'!P14</f>
        <v>0</v>
      </c>
      <c r="R12" s="4">
        <f>'QTR P&amp;L'!Q14</f>
        <v>0</v>
      </c>
      <c r="S12" s="4">
        <f>'QTR P&amp;L'!R14</f>
        <v>0</v>
      </c>
      <c r="T12" s="4">
        <f>'QTR P&amp;L'!S14</f>
        <v>0</v>
      </c>
      <c r="U12" s="4">
        <f>'QTR P&amp;L'!T14</f>
        <v>0</v>
      </c>
      <c r="V12" s="4">
        <f>'QTR P&amp;L'!U14</f>
        <v>0</v>
      </c>
      <c r="W12" s="4">
        <f>'QTR P&amp;L'!V14</f>
        <v>0</v>
      </c>
      <c r="X12" s="13">
        <f t="shared" ref="X12:AQ12" si="9">W12</f>
        <v>0</v>
      </c>
      <c r="Y12" s="13">
        <f t="shared" si="9"/>
        <v>0</v>
      </c>
      <c r="Z12" s="13">
        <f t="shared" si="9"/>
        <v>0</v>
      </c>
      <c r="AA12" s="13">
        <f t="shared" si="9"/>
        <v>0</v>
      </c>
      <c r="AB12" s="13">
        <f t="shared" si="9"/>
        <v>0</v>
      </c>
      <c r="AC12" s="13">
        <f t="shared" si="9"/>
        <v>0</v>
      </c>
      <c r="AD12" s="13">
        <f t="shared" si="9"/>
        <v>0</v>
      </c>
      <c r="AE12" s="13">
        <f t="shared" si="9"/>
        <v>0</v>
      </c>
      <c r="AF12" s="13">
        <f t="shared" si="9"/>
        <v>0</v>
      </c>
      <c r="AG12" s="13">
        <f t="shared" si="9"/>
        <v>0</v>
      </c>
      <c r="AH12" s="13">
        <f t="shared" si="9"/>
        <v>0</v>
      </c>
      <c r="AI12" s="13">
        <f t="shared" si="9"/>
        <v>0</v>
      </c>
      <c r="AJ12" s="13">
        <f t="shared" si="9"/>
        <v>0</v>
      </c>
      <c r="AK12" s="13">
        <f t="shared" si="9"/>
        <v>0</v>
      </c>
      <c r="AL12" s="13">
        <f t="shared" si="9"/>
        <v>0</v>
      </c>
      <c r="AM12" s="13">
        <f t="shared" si="9"/>
        <v>0</v>
      </c>
      <c r="AN12" s="13">
        <f t="shared" si="9"/>
        <v>0</v>
      </c>
      <c r="AO12" s="13">
        <f t="shared" si="9"/>
        <v>0</v>
      </c>
      <c r="AP12" s="13">
        <f t="shared" si="9"/>
        <v>0</v>
      </c>
      <c r="AQ12" s="13">
        <f t="shared" si="9"/>
        <v>0</v>
      </c>
    </row>
    <row r="13" spans="1:43" x14ac:dyDescent="0.3">
      <c r="A13" s="3" t="s">
        <v>171</v>
      </c>
      <c r="C13" s="11">
        <f>IFERROR('QTR P&amp;L'!B16/'QTR P&amp;L'!B15,"")</f>
        <v>0</v>
      </c>
      <c r="D13" s="11">
        <f>IFERROR('QTR P&amp;L'!C16/'QTR P&amp;L'!C15,"")</f>
        <v>0</v>
      </c>
      <c r="E13" s="11">
        <f>IFERROR('QTR P&amp;L'!D16/'QTR P&amp;L'!D15,"")</f>
        <v>0</v>
      </c>
      <c r="F13" s="11">
        <f>IFERROR('QTR P&amp;L'!E16/'QTR P&amp;L'!E15,"")</f>
        <v>2.7626840855594831E-2</v>
      </c>
      <c r="G13" s="11">
        <f>IFERROR('QTR P&amp;L'!F16/'QTR P&amp;L'!F15,"")</f>
        <v>1.2017706056944411E-2</v>
      </c>
      <c r="H13" s="11">
        <f>IFERROR('QTR P&amp;L'!G16/'QTR P&amp;L'!G15,"")</f>
        <v>9.929477302358658E-2</v>
      </c>
      <c r="I13" s="11">
        <f>IFERROR('QTR P&amp;L'!H16/'QTR P&amp;L'!H15,"")</f>
        <v>8.0469644902634599E-2</v>
      </c>
      <c r="J13" s="11">
        <f>IFERROR('QTR P&amp;L'!I16/'QTR P&amp;L'!I15,"")</f>
        <v>9.5240906468449377E-2</v>
      </c>
      <c r="K13" s="11">
        <f>IFERROR('QTR P&amp;L'!J16/'QTR P&amp;L'!J15,"")</f>
        <v>2.4371317021121809E-2</v>
      </c>
      <c r="L13" s="11">
        <f>IFERROR('QTR P&amp;L'!K16/'QTR P&amp;L'!K15,"")</f>
        <v>-0.17154971465316293</v>
      </c>
      <c r="M13" s="11">
        <f>IFERROR('QTR P&amp;L'!L16/'QTR P&amp;L'!L15,"")</f>
        <v>-0.25838312576488376</v>
      </c>
      <c r="N13" s="11">
        <f>IFERROR('QTR P&amp;L'!M16/'QTR P&amp;L'!M15,"")</f>
        <v>-0.19853930975225548</v>
      </c>
      <c r="O13" s="11">
        <f>IFERROR('QTR P&amp;L'!N16/'QTR P&amp;L'!N15,"")</f>
        <v>-0.26066238843401934</v>
      </c>
      <c r="P13" s="11">
        <f>IFERROR('QTR P&amp;L'!O16/'QTR P&amp;L'!O15,"")</f>
        <v>-0.15844518229307492</v>
      </c>
      <c r="Q13" s="11">
        <f>IFERROR('QTR P&amp;L'!P16/'QTR P&amp;L'!P15,"")</f>
        <v>-0.23748219934818554</v>
      </c>
      <c r="R13" s="11">
        <f>IFERROR('QTR P&amp;L'!Q16/'QTR P&amp;L'!Q15,"")</f>
        <v>-0.22250764525993882</v>
      </c>
      <c r="S13" s="11">
        <f>IFERROR('QTR P&amp;L'!R16/'QTR P&amp;L'!R15,"")</f>
        <v>0.84750905353822059</v>
      </c>
      <c r="T13" s="11">
        <f>IFERROR('QTR P&amp;L'!S16/'QTR P&amp;L'!S15,"")</f>
        <v>-0.2717361008640336</v>
      </c>
      <c r="U13" s="11">
        <f>IFERROR('QTR P&amp;L'!T16/'QTR P&amp;L'!T15,"")</f>
        <v>-0.22871046228710462</v>
      </c>
      <c r="V13" s="11">
        <f>IFERROR('QTR P&amp;L'!U16/'QTR P&amp;L'!U15,"")</f>
        <v>-0.30690324999148028</v>
      </c>
      <c r="W13" s="11">
        <f>IFERROR('QTR P&amp;L'!V16/'QTR P&amp;L'!V15,"")</f>
        <v>9.4355480845793149E-2</v>
      </c>
      <c r="X13" s="12">
        <f t="shared" ref="X13:AQ13" si="10">W13</f>
        <v>9.4355480845793149E-2</v>
      </c>
      <c r="Y13" s="12">
        <f t="shared" si="10"/>
        <v>9.4355480845793149E-2</v>
      </c>
      <c r="Z13" s="12">
        <f t="shared" si="10"/>
        <v>9.4355480845793149E-2</v>
      </c>
      <c r="AA13" s="12">
        <f t="shared" si="10"/>
        <v>9.4355480845793149E-2</v>
      </c>
      <c r="AB13" s="12">
        <f t="shared" si="10"/>
        <v>9.4355480845793149E-2</v>
      </c>
      <c r="AC13" s="12">
        <f t="shared" si="10"/>
        <v>9.4355480845793149E-2</v>
      </c>
      <c r="AD13" s="12">
        <f t="shared" si="10"/>
        <v>9.4355480845793149E-2</v>
      </c>
      <c r="AE13" s="12">
        <f t="shared" si="10"/>
        <v>9.4355480845793149E-2</v>
      </c>
      <c r="AF13" s="12">
        <f t="shared" si="10"/>
        <v>9.4355480845793149E-2</v>
      </c>
      <c r="AG13" s="12">
        <f t="shared" si="10"/>
        <v>9.4355480845793149E-2</v>
      </c>
      <c r="AH13" s="12">
        <f t="shared" si="10"/>
        <v>9.4355480845793149E-2</v>
      </c>
      <c r="AI13" s="12">
        <f t="shared" si="10"/>
        <v>9.4355480845793149E-2</v>
      </c>
      <c r="AJ13" s="12">
        <f t="shared" si="10"/>
        <v>9.4355480845793149E-2</v>
      </c>
      <c r="AK13" s="12">
        <f t="shared" si="10"/>
        <v>9.4355480845793149E-2</v>
      </c>
      <c r="AL13" s="12">
        <f t="shared" si="10"/>
        <v>9.4355480845793149E-2</v>
      </c>
      <c r="AM13" s="12">
        <f t="shared" si="10"/>
        <v>9.4355480845793149E-2</v>
      </c>
      <c r="AN13" s="12">
        <f t="shared" si="10"/>
        <v>9.4355480845793149E-2</v>
      </c>
      <c r="AO13" s="12">
        <f t="shared" si="10"/>
        <v>9.4355480845793149E-2</v>
      </c>
      <c r="AP13" s="12">
        <f t="shared" si="10"/>
        <v>9.4355480845793149E-2</v>
      </c>
      <c r="AQ13" s="12">
        <f t="shared" si="10"/>
        <v>9.4355480845793149E-2</v>
      </c>
    </row>
    <row r="14" spans="1:43" x14ac:dyDescent="0.3">
      <c r="A14" s="3" t="s">
        <v>28</v>
      </c>
      <c r="X14" s="4">
        <f>'QTR CF'!W46</f>
        <v>-14307</v>
      </c>
      <c r="Y14" s="4">
        <f>'QTR CF'!X46</f>
        <v>-14307</v>
      </c>
      <c r="Z14" s="4">
        <f>'QTR CF'!Y46</f>
        <v>-14307</v>
      </c>
      <c r="AA14" s="4">
        <f>'QTR CF'!Z46</f>
        <v>-14307</v>
      </c>
      <c r="AB14" s="4">
        <f>'QTR CF'!AA46</f>
        <v>-14307</v>
      </c>
      <c r="AC14" s="4">
        <f>'QTR CF'!AB46</f>
        <v>-14307</v>
      </c>
      <c r="AD14" s="4">
        <f>'QTR CF'!AC46</f>
        <v>-14307</v>
      </c>
      <c r="AE14" s="4">
        <f>'QTR CF'!AD46</f>
        <v>-14307</v>
      </c>
      <c r="AF14" s="4">
        <f>'QTR CF'!AE46</f>
        <v>-14307</v>
      </c>
      <c r="AG14" s="4">
        <f>'QTR CF'!AF46</f>
        <v>-14307</v>
      </c>
      <c r="AH14" s="4">
        <f>'QTR CF'!AG46</f>
        <v>-14307</v>
      </c>
      <c r="AI14" s="4">
        <f>'QTR CF'!AH46</f>
        <v>-14307</v>
      </c>
      <c r="AJ14" s="4">
        <f>'QTR CF'!AI46</f>
        <v>-14307</v>
      </c>
      <c r="AK14" s="4">
        <f>'QTR CF'!AJ46</f>
        <v>-14307</v>
      </c>
      <c r="AL14" s="4">
        <f>'QTR CF'!AK46</f>
        <v>-14307</v>
      </c>
      <c r="AM14" s="4">
        <f>'QTR CF'!AL46</f>
        <v>-14307</v>
      </c>
      <c r="AN14" s="4">
        <f>'QTR CF'!AM46</f>
        <v>-14307</v>
      </c>
      <c r="AO14" s="4">
        <f>'QTR CF'!AN46</f>
        <v>-14307</v>
      </c>
      <c r="AP14" s="4">
        <f>'QTR CF'!AO46</f>
        <v>-14307</v>
      </c>
      <c r="AQ14" s="4">
        <f>'QTR CF'!AP46</f>
        <v>-14307</v>
      </c>
    </row>
    <row r="15" spans="1:43" x14ac:dyDescent="0.3">
      <c r="A15" s="3" t="s">
        <v>29</v>
      </c>
      <c r="C15" s="4">
        <f>'QTR P&amp;L'!B19</f>
        <v>0</v>
      </c>
      <c r="D15" s="4">
        <f>'QTR P&amp;L'!C19</f>
        <v>0</v>
      </c>
      <c r="E15" s="4">
        <f>'QTR P&amp;L'!D19</f>
        <v>0</v>
      </c>
      <c r="F15" s="4">
        <f>'QTR P&amp;L'!E19</f>
        <v>0</v>
      </c>
      <c r="G15" s="4">
        <f>'QTR P&amp;L'!F19</f>
        <v>0</v>
      </c>
      <c r="H15" s="4">
        <f>'QTR P&amp;L'!G19</f>
        <v>0</v>
      </c>
      <c r="I15" s="4">
        <f>'QTR P&amp;L'!H19</f>
        <v>0</v>
      </c>
      <c r="J15" s="4">
        <f>'QTR P&amp;L'!I19</f>
        <v>0</v>
      </c>
      <c r="K15" s="4">
        <f>'QTR P&amp;L'!J19</f>
        <v>0</v>
      </c>
      <c r="L15" s="4">
        <f>'QTR P&amp;L'!K19</f>
        <v>0</v>
      </c>
      <c r="M15" s="4">
        <f>'QTR P&amp;L'!L19</f>
        <v>-6727</v>
      </c>
      <c r="N15" s="4">
        <f>'QTR P&amp;L'!M19</f>
        <v>-6536</v>
      </c>
      <c r="O15" s="4">
        <f>'QTR P&amp;L'!N19</f>
        <v>-4085</v>
      </c>
      <c r="P15" s="4">
        <f>'QTR P&amp;L'!O19</f>
        <v>-6128</v>
      </c>
      <c r="Q15" s="4">
        <f>'QTR P&amp;L'!P19</f>
        <v>-6289</v>
      </c>
      <c r="R15" s="4">
        <f>'QTR P&amp;L'!Q19</f>
        <v>60</v>
      </c>
      <c r="S15" s="4">
        <f>'QTR P&amp;L'!R19</f>
        <v>2240</v>
      </c>
      <c r="T15" s="4">
        <f>'QTR P&amp;L'!S19</f>
        <v>-3219</v>
      </c>
      <c r="U15" s="4">
        <f>'QTR P&amp;L'!T19</f>
        <v>-7484</v>
      </c>
      <c r="V15" s="4">
        <f>'QTR P&amp;L'!U19</f>
        <v>5431</v>
      </c>
      <c r="W15" s="4">
        <f>'QTR P&amp;L'!V19</f>
        <v>-1282</v>
      </c>
      <c r="X15" s="13">
        <f t="shared" ref="X15:AQ15" si="11">W15</f>
        <v>-1282</v>
      </c>
      <c r="Y15" s="13">
        <f t="shared" si="11"/>
        <v>-1282</v>
      </c>
      <c r="Z15" s="13">
        <f t="shared" si="11"/>
        <v>-1282</v>
      </c>
      <c r="AA15" s="13">
        <f t="shared" si="11"/>
        <v>-1282</v>
      </c>
      <c r="AB15" s="13">
        <f t="shared" si="11"/>
        <v>-1282</v>
      </c>
      <c r="AC15" s="13">
        <f t="shared" si="11"/>
        <v>-1282</v>
      </c>
      <c r="AD15" s="13">
        <f t="shared" si="11"/>
        <v>-1282</v>
      </c>
      <c r="AE15" s="13">
        <f t="shared" si="11"/>
        <v>-1282</v>
      </c>
      <c r="AF15" s="13">
        <f t="shared" si="11"/>
        <v>-1282</v>
      </c>
      <c r="AG15" s="13">
        <f t="shared" si="11"/>
        <v>-1282</v>
      </c>
      <c r="AH15" s="13">
        <f t="shared" si="11"/>
        <v>-1282</v>
      </c>
      <c r="AI15" s="13">
        <f t="shared" si="11"/>
        <v>-1282</v>
      </c>
      <c r="AJ15" s="13">
        <f t="shared" si="11"/>
        <v>-1282</v>
      </c>
      <c r="AK15" s="13">
        <f t="shared" si="11"/>
        <v>-1282</v>
      </c>
      <c r="AL15" s="13">
        <f t="shared" si="11"/>
        <v>-1282</v>
      </c>
      <c r="AM15" s="13">
        <f t="shared" si="11"/>
        <v>-1282</v>
      </c>
      <c r="AN15" s="13">
        <f t="shared" si="11"/>
        <v>-1282</v>
      </c>
      <c r="AO15" s="13">
        <f t="shared" si="11"/>
        <v>-1282</v>
      </c>
      <c r="AP15" s="13">
        <f t="shared" si="11"/>
        <v>-1282</v>
      </c>
      <c r="AQ15" s="13">
        <f t="shared" si="11"/>
        <v>-1282</v>
      </c>
    </row>
  </sheetData>
  <dataValidations count="1">
    <dataValidation type="list" errorTitle="Invalid basis" error="Basis must be YoY or QoQ" sqref="B2" xr:uid="{00000000-0002-0000-0A00-000000000000}">
      <formula1>"YoY,QoQ"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3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8" customWidth="1"/>
    <col min="2" max="39" width="13" customWidth="1"/>
  </cols>
  <sheetData>
    <row r="1" spans="1:39" x14ac:dyDescent="0.3">
      <c r="A1" s="1" t="s">
        <v>162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134</v>
      </c>
      <c r="H1" s="2" t="s">
        <v>120</v>
      </c>
      <c r="I1" s="2" t="s">
        <v>121</v>
      </c>
      <c r="J1" s="2" t="s">
        <v>122</v>
      </c>
      <c r="K1" s="2" t="s">
        <v>135</v>
      </c>
      <c r="L1" s="2" t="s">
        <v>123</v>
      </c>
      <c r="M1" s="2" t="s">
        <v>124</v>
      </c>
      <c r="N1" s="2" t="s">
        <v>125</v>
      </c>
      <c r="O1" s="2" t="s">
        <v>136</v>
      </c>
      <c r="P1" s="2" t="s">
        <v>126</v>
      </c>
      <c r="Q1" s="2" t="s">
        <v>127</v>
      </c>
      <c r="R1" s="2" t="s">
        <v>128</v>
      </c>
      <c r="S1" s="2" t="s">
        <v>141</v>
      </c>
      <c r="T1" s="2" t="s">
        <v>142</v>
      </c>
      <c r="U1" s="2" t="s">
        <v>143</v>
      </c>
      <c r="V1" s="2" t="s">
        <v>144</v>
      </c>
      <c r="W1" s="2" t="s">
        <v>145</v>
      </c>
      <c r="X1" s="2" t="s">
        <v>146</v>
      </c>
      <c r="Y1" s="2" t="s">
        <v>147</v>
      </c>
      <c r="Z1" s="2" t="s">
        <v>148</v>
      </c>
      <c r="AA1" s="2" t="s">
        <v>149</v>
      </c>
      <c r="AB1" s="2" t="s">
        <v>150</v>
      </c>
      <c r="AC1" s="2" t="s">
        <v>151</v>
      </c>
      <c r="AD1" s="2" t="s">
        <v>152</v>
      </c>
      <c r="AE1" s="2" t="s">
        <v>153</v>
      </c>
      <c r="AF1" s="2" t="s">
        <v>154</v>
      </c>
      <c r="AG1" s="2" t="s">
        <v>155</v>
      </c>
      <c r="AH1" s="2" t="s">
        <v>156</v>
      </c>
      <c r="AI1" s="2" t="s">
        <v>157</v>
      </c>
      <c r="AJ1" s="2" t="s">
        <v>158</v>
      </c>
      <c r="AK1" s="2" t="s">
        <v>159</v>
      </c>
      <c r="AL1" s="2" t="s">
        <v>160</v>
      </c>
      <c r="AM1" s="2" t="s">
        <v>161</v>
      </c>
    </row>
    <row r="2" spans="1:39" x14ac:dyDescent="0.3">
      <c r="A2" s="3" t="s">
        <v>31</v>
      </c>
      <c r="B2" s="4">
        <f>'QTR BS'!B2</f>
        <v>83789981</v>
      </c>
      <c r="C2" s="4">
        <f>'QTR BS'!C2</f>
        <v>61377202</v>
      </c>
      <c r="D2" s="4">
        <f>'QTR BS'!D2</f>
        <v>25532</v>
      </c>
      <c r="E2" s="4">
        <f>'QTR BS'!E2</f>
        <v>60031</v>
      </c>
      <c r="F2" s="4">
        <f>'QTR BS'!F2</f>
        <v>726972</v>
      </c>
      <c r="G2" s="4">
        <f>'QTR BS'!G2</f>
        <v>652927</v>
      </c>
      <c r="H2" s="4">
        <f>'QTR BS'!H2</f>
        <v>633581</v>
      </c>
      <c r="I2" s="4">
        <f>'QTR BS'!I2</f>
        <v>681054</v>
      </c>
      <c r="J2" s="4">
        <f>'QTR BS'!J2</f>
        <v>760022</v>
      </c>
      <c r="K2" s="4">
        <f>'QTR BS'!K2</f>
        <v>755981</v>
      </c>
      <c r="L2" s="4">
        <f>'QTR BS'!L2</f>
        <v>879498</v>
      </c>
      <c r="M2" s="4">
        <f>'QTR BS'!M2</f>
        <v>903210</v>
      </c>
      <c r="N2" s="4">
        <f>'QTR BS'!N2</f>
        <v>903748</v>
      </c>
      <c r="O2" s="4">
        <f>'QTR BS'!O2</f>
        <v>890190</v>
      </c>
      <c r="P2" s="4">
        <f>'QTR BS'!P2</f>
        <v>977285</v>
      </c>
      <c r="Q2" s="4">
        <f>'QTR BS'!Q2</f>
        <v>615233</v>
      </c>
      <c r="R2" s="4">
        <f>'QTR BS'!R2</f>
        <v>932463</v>
      </c>
      <c r="S2" s="4">
        <f>'QTR BS'!S2</f>
        <v>539987</v>
      </c>
      <c r="T2" s="13">
        <f t="shared" ref="T2:AM2" si="0">S2</f>
        <v>539987</v>
      </c>
      <c r="U2" s="13">
        <f t="shared" si="0"/>
        <v>539987</v>
      </c>
      <c r="V2" s="13">
        <f t="shared" si="0"/>
        <v>539987</v>
      </c>
      <c r="W2" s="13">
        <f t="shared" si="0"/>
        <v>539987</v>
      </c>
      <c r="X2" s="13">
        <f t="shared" si="0"/>
        <v>539987</v>
      </c>
      <c r="Y2" s="13">
        <f t="shared" si="0"/>
        <v>539987</v>
      </c>
      <c r="Z2" s="13">
        <f t="shared" si="0"/>
        <v>539987</v>
      </c>
      <c r="AA2" s="13">
        <f t="shared" si="0"/>
        <v>539987</v>
      </c>
      <c r="AB2" s="13">
        <f t="shared" si="0"/>
        <v>539987</v>
      </c>
      <c r="AC2" s="13">
        <f t="shared" si="0"/>
        <v>539987</v>
      </c>
      <c r="AD2" s="13">
        <f t="shared" si="0"/>
        <v>539987</v>
      </c>
      <c r="AE2" s="13">
        <f t="shared" si="0"/>
        <v>539987</v>
      </c>
      <c r="AF2" s="13">
        <f t="shared" si="0"/>
        <v>539987</v>
      </c>
      <c r="AG2" s="13">
        <f t="shared" si="0"/>
        <v>539987</v>
      </c>
      <c r="AH2" s="13">
        <f t="shared" si="0"/>
        <v>539987</v>
      </c>
      <c r="AI2" s="13">
        <f t="shared" si="0"/>
        <v>539987</v>
      </c>
      <c r="AJ2" s="13">
        <f t="shared" si="0"/>
        <v>539987</v>
      </c>
      <c r="AK2" s="13">
        <f t="shared" si="0"/>
        <v>539987</v>
      </c>
      <c r="AL2" s="13">
        <f t="shared" si="0"/>
        <v>539987</v>
      </c>
      <c r="AM2" s="13">
        <f t="shared" si="0"/>
        <v>539987</v>
      </c>
    </row>
    <row r="3" spans="1:39" x14ac:dyDescent="0.3">
      <c r="A3" s="3" t="s">
        <v>172</v>
      </c>
      <c r="B3" s="14">
        <f>IFERROR('QTR BS'!B3/'QTR P&amp;L'!D2*ASSUMPTIONS!$B$2,"")</f>
        <v>25.624368698660042</v>
      </c>
      <c r="C3" s="14">
        <f>IFERROR('QTR BS'!C3/'QTR P&amp;L'!E2*ASSUMPTIONS!$B$2,"")</f>
        <v>41.70888353171614</v>
      </c>
      <c r="D3" s="14">
        <f>IFERROR('QTR BS'!D3/'QTR P&amp;L'!G2*ASSUMPTIONS!$B$2,"")</f>
        <v>49.602190601853245</v>
      </c>
      <c r="E3" s="14">
        <f>IFERROR('QTR BS'!E3/'QTR P&amp;L'!H2*ASSUMPTIONS!$B$2,"")</f>
        <v>39.110148032723025</v>
      </c>
      <c r="F3" s="14">
        <f>IFERROR('QTR BS'!F3/'QTR P&amp;L'!I2*ASSUMPTIONS!$B$2,"")</f>
        <v>56.564627693484638</v>
      </c>
      <c r="G3" s="14">
        <f>IFERROR('QTR BS'!G3/'QTR P&amp;L'!J2*ASSUMPTIONS!$B$2,"")</f>
        <v>32.373406981187209</v>
      </c>
      <c r="H3" s="14">
        <f>IFERROR('QTR BS'!H3/'QTR P&amp;L'!K2*ASSUMPTIONS!$B$2,"")</f>
        <v>60.22532978891202</v>
      </c>
      <c r="I3" s="14">
        <f>IFERROR('QTR BS'!I3/'QTR P&amp;L'!L2*ASSUMPTIONS!$B$2,"")</f>
        <v>55.237005305585129</v>
      </c>
      <c r="J3" s="14">
        <f>IFERROR('QTR BS'!J3/'QTR P&amp;L'!M2*ASSUMPTIONS!$B$2,"")</f>
        <v>50.907749566609574</v>
      </c>
      <c r="K3" s="14">
        <f>IFERROR('QTR BS'!K3/'QTR P&amp;L'!N2*ASSUMPTIONS!$B$2,"")</f>
        <v>48.115397124642016</v>
      </c>
      <c r="L3" s="14">
        <f>IFERROR('QTR BS'!L3/'QTR P&amp;L'!O2*ASSUMPTIONS!$B$2,"")</f>
        <v>51.195494619182028</v>
      </c>
      <c r="M3" s="14">
        <f>IFERROR('QTR BS'!M3/'QTR P&amp;L'!P2*ASSUMPTIONS!$B$2,"")</f>
        <v>59.520121798013321</v>
      </c>
      <c r="N3" s="14">
        <f>IFERROR('QTR BS'!N3/'QTR P&amp;L'!Q2*ASSUMPTIONS!$B$2,"")</f>
        <v>71.490411969234017</v>
      </c>
      <c r="O3" s="14">
        <f>IFERROR('QTR BS'!O3/'QTR P&amp;L'!R2*ASSUMPTIONS!$B$2,"")</f>
        <v>74.055822298214622</v>
      </c>
      <c r="P3" s="14">
        <f>IFERROR('QTR BS'!P3/'QTR P&amp;L'!S2*ASSUMPTIONS!$B$2,"")</f>
        <v>70.866337054628943</v>
      </c>
      <c r="Q3" s="14">
        <f>IFERROR('QTR BS'!Q3/'QTR P&amp;L'!T2*ASSUMPTIONS!$B$2,"")</f>
        <v>60.365039857478905</v>
      </c>
      <c r="R3" s="14">
        <f>IFERROR('QTR BS'!R3/'QTR P&amp;L'!U2*ASSUMPTIONS!$B$2,"")</f>
        <v>64.466522136073891</v>
      </c>
      <c r="S3" s="14">
        <f>IFERROR('QTR BS'!S3/'QTR P&amp;L'!V2*ASSUMPTIONS!$B$2,"")</f>
        <v>95.271260261519785</v>
      </c>
      <c r="T3" s="15">
        <f t="shared" ref="T3:AM3" si="1">S3</f>
        <v>95.271260261519785</v>
      </c>
      <c r="U3" s="15">
        <f t="shared" si="1"/>
        <v>95.271260261519785</v>
      </c>
      <c r="V3" s="15">
        <f t="shared" si="1"/>
        <v>95.271260261519785</v>
      </c>
      <c r="W3" s="15">
        <f t="shared" si="1"/>
        <v>95.271260261519785</v>
      </c>
      <c r="X3" s="15">
        <f t="shared" si="1"/>
        <v>95.271260261519785</v>
      </c>
      <c r="Y3" s="15">
        <f t="shared" si="1"/>
        <v>95.271260261519785</v>
      </c>
      <c r="Z3" s="15">
        <f t="shared" si="1"/>
        <v>95.271260261519785</v>
      </c>
      <c r="AA3" s="15">
        <f t="shared" si="1"/>
        <v>95.271260261519785</v>
      </c>
      <c r="AB3" s="15">
        <f t="shared" si="1"/>
        <v>95.271260261519785</v>
      </c>
      <c r="AC3" s="15">
        <f t="shared" si="1"/>
        <v>95.271260261519785</v>
      </c>
      <c r="AD3" s="15">
        <f t="shared" si="1"/>
        <v>95.271260261519785</v>
      </c>
      <c r="AE3" s="15">
        <f t="shared" si="1"/>
        <v>95.271260261519785</v>
      </c>
      <c r="AF3" s="15">
        <f t="shared" si="1"/>
        <v>95.271260261519785</v>
      </c>
      <c r="AG3" s="15">
        <f t="shared" si="1"/>
        <v>95.271260261519785</v>
      </c>
      <c r="AH3" s="15">
        <f t="shared" si="1"/>
        <v>95.271260261519785</v>
      </c>
      <c r="AI3" s="15">
        <f t="shared" si="1"/>
        <v>95.271260261519785</v>
      </c>
      <c r="AJ3" s="15">
        <f t="shared" si="1"/>
        <v>95.271260261519785</v>
      </c>
      <c r="AK3" s="15">
        <f t="shared" si="1"/>
        <v>95.271260261519785</v>
      </c>
      <c r="AL3" s="15">
        <f t="shared" si="1"/>
        <v>95.271260261519785</v>
      </c>
      <c r="AM3" s="15">
        <f t="shared" si="1"/>
        <v>95.271260261519785</v>
      </c>
    </row>
    <row r="4" spans="1:39" x14ac:dyDescent="0.3">
      <c r="A4" s="3" t="s">
        <v>173</v>
      </c>
      <c r="B4" s="14">
        <f>IFERROR('QTR BS'!B4/'QTR P&amp;L'!D2*ASSUMPTIONS!$B$2,"")</f>
        <v>2.0134406886561993</v>
      </c>
      <c r="C4" s="14">
        <f>IFERROR('QTR BS'!C4/'QTR P&amp;L'!E2*ASSUMPTIONS!$B$2,"")</f>
        <v>2.4384750777322721</v>
      </c>
      <c r="D4" s="14">
        <f>IFERROR('QTR BS'!D4/'QTR P&amp;L'!G2*ASSUMPTIONS!$B$2,"")</f>
        <v>3.9793909497106186</v>
      </c>
      <c r="E4" s="14">
        <f>IFERROR('QTR BS'!E4/'QTR P&amp;L'!H2*ASSUMPTIONS!$B$2,"")</f>
        <v>1.8114920140241528</v>
      </c>
      <c r="F4" s="14">
        <f>IFERROR('QTR BS'!F4/'QTR P&amp;L'!I2*ASSUMPTIONS!$B$2,"")</f>
        <v>1.3961919333588337</v>
      </c>
      <c r="G4" s="14">
        <f>IFERROR('QTR BS'!G4/'QTR P&amp;L'!J2*ASSUMPTIONS!$B$2,"")</f>
        <v>1.5232799892113014</v>
      </c>
      <c r="H4" s="14">
        <f>IFERROR('QTR BS'!H4/'QTR P&amp;L'!K2*ASSUMPTIONS!$B$2,"")</f>
        <v>1.2557446170062976</v>
      </c>
      <c r="I4" s="14">
        <f>IFERROR('QTR BS'!I4/'QTR P&amp;L'!L2*ASSUMPTIONS!$B$2,"")</f>
        <v>0.92791891568446339</v>
      </c>
      <c r="J4" s="14">
        <f>IFERROR('QTR BS'!J4/'QTR P&amp;L'!M2*ASSUMPTIONS!$B$2,"")</f>
        <v>0.7826212388598518</v>
      </c>
      <c r="K4" s="14">
        <f>IFERROR('QTR BS'!K4/'QTR P&amp;L'!N2*ASSUMPTIONS!$B$2,"")</f>
        <v>0.60712939110912834</v>
      </c>
      <c r="L4" s="14">
        <f>IFERROR('QTR BS'!L4/'QTR P&amp;L'!O2*ASSUMPTIONS!$B$2,"")</f>
        <v>0.57791503143027423</v>
      </c>
      <c r="M4" s="14">
        <f>IFERROR('QTR BS'!M4/'QTR P&amp;L'!P2*ASSUMPTIONS!$B$2,"")</f>
        <v>0.26396037584239895</v>
      </c>
      <c r="N4" s="14">
        <f>IFERROR('QTR BS'!N4/'QTR P&amp;L'!Q2*ASSUMPTIONS!$B$2,"")</f>
        <v>0.35099041196923403</v>
      </c>
      <c r="O4" s="14">
        <f>IFERROR('QTR BS'!O4/'QTR P&amp;L'!R2*ASSUMPTIONS!$B$2,"")</f>
        <v>0</v>
      </c>
      <c r="P4" s="14">
        <f>IFERROR('QTR BS'!P4/'QTR P&amp;L'!S2*ASSUMPTIONS!$B$2,"")</f>
        <v>0</v>
      </c>
      <c r="Q4" s="14">
        <f>IFERROR('QTR BS'!Q4/'QTR P&amp;L'!T2*ASSUMPTIONS!$B$2,"")</f>
        <v>0</v>
      </c>
      <c r="R4" s="14">
        <f>IFERROR('QTR BS'!R4/'QTR P&amp;L'!U2*ASSUMPTIONS!$B$2,"")</f>
        <v>0</v>
      </c>
      <c r="S4" s="14">
        <f>IFERROR('QTR BS'!S4/'QTR P&amp;L'!V2*ASSUMPTIONS!$B$2,"")</f>
        <v>0</v>
      </c>
      <c r="T4" s="15">
        <f t="shared" ref="T4:AM4" si="2">S4</f>
        <v>0</v>
      </c>
      <c r="U4" s="15">
        <f t="shared" si="2"/>
        <v>0</v>
      </c>
      <c r="V4" s="15">
        <f t="shared" si="2"/>
        <v>0</v>
      </c>
      <c r="W4" s="15">
        <f t="shared" si="2"/>
        <v>0</v>
      </c>
      <c r="X4" s="15">
        <f t="shared" si="2"/>
        <v>0</v>
      </c>
      <c r="Y4" s="15">
        <f t="shared" si="2"/>
        <v>0</v>
      </c>
      <c r="Z4" s="15">
        <f t="shared" si="2"/>
        <v>0</v>
      </c>
      <c r="AA4" s="15">
        <f t="shared" si="2"/>
        <v>0</v>
      </c>
      <c r="AB4" s="15">
        <f t="shared" si="2"/>
        <v>0</v>
      </c>
      <c r="AC4" s="15">
        <f t="shared" si="2"/>
        <v>0</v>
      </c>
      <c r="AD4" s="15">
        <f t="shared" si="2"/>
        <v>0</v>
      </c>
      <c r="AE4" s="15">
        <f t="shared" si="2"/>
        <v>0</v>
      </c>
      <c r="AF4" s="15">
        <f t="shared" si="2"/>
        <v>0</v>
      </c>
      <c r="AG4" s="15">
        <f t="shared" si="2"/>
        <v>0</v>
      </c>
      <c r="AH4" s="15">
        <f t="shared" si="2"/>
        <v>0</v>
      </c>
      <c r="AI4" s="15">
        <f t="shared" si="2"/>
        <v>0</v>
      </c>
      <c r="AJ4" s="15">
        <f t="shared" si="2"/>
        <v>0</v>
      </c>
      <c r="AK4" s="15">
        <f t="shared" si="2"/>
        <v>0</v>
      </c>
      <c r="AL4" s="15">
        <f t="shared" si="2"/>
        <v>0</v>
      </c>
      <c r="AM4" s="15">
        <f t="shared" si="2"/>
        <v>0</v>
      </c>
    </row>
    <row r="5" spans="1:39" x14ac:dyDescent="0.3">
      <c r="A5" s="3" t="s">
        <v>174</v>
      </c>
      <c r="B5" s="14">
        <f>IFERROR('QTR BS'!B5/'QTR P&amp;L'!D3*ASSUMPTIONS!$B$2,"")</f>
        <v>-87.670875665102841</v>
      </c>
      <c r="C5" s="14">
        <f>IFERROR('QTR BS'!C5/'QTR P&amp;L'!E3*ASSUMPTIONS!$B$2,"")</f>
        <v>-194.53290002706947</v>
      </c>
      <c r="D5" s="14">
        <f>IFERROR('QTR BS'!D5/'QTR P&amp;L'!G3*ASSUMPTIONS!$B$2,"")</f>
        <v>-210.73985458021988</v>
      </c>
      <c r="E5" s="14">
        <f>IFERROR('QTR BS'!E5/'QTR P&amp;L'!H3*ASSUMPTIONS!$B$2,"")</f>
        <v>-155.80150156809327</v>
      </c>
      <c r="F5" s="14">
        <f>IFERROR('QTR BS'!F5/'QTR P&amp;L'!I3*ASSUMPTIONS!$B$2,"")</f>
        <v>-127.82916145752534</v>
      </c>
      <c r="G5" s="14">
        <f>IFERROR('QTR BS'!G5/'QTR P&amp;L'!J3*ASSUMPTIONS!$B$2,"")</f>
        <v>-159.3550633103267</v>
      </c>
      <c r="H5" s="14">
        <f>IFERROR('QTR BS'!H5/'QTR P&amp;L'!K3*ASSUMPTIONS!$B$2,"")</f>
        <v>-96.081192983896898</v>
      </c>
      <c r="I5" s="14">
        <f>IFERROR('QTR BS'!I5/'QTR P&amp;L'!L3*ASSUMPTIONS!$B$2,"")</f>
        <v>-83.178609734614028</v>
      </c>
      <c r="J5" s="14">
        <f>IFERROR('QTR BS'!J5/'QTR P&amp;L'!M3*ASSUMPTIONS!$B$2,"")</f>
        <v>-94.831855251081677</v>
      </c>
      <c r="K5" s="14">
        <f>IFERROR('QTR BS'!K5/'QTR P&amp;L'!N3*ASSUMPTIONS!$B$2,"")</f>
        <v>-115.14998068326067</v>
      </c>
      <c r="L5" s="14">
        <f>IFERROR('QTR BS'!L5/'QTR P&amp;L'!O3*ASSUMPTIONS!$B$2,"")</f>
        <v>-103.58939717926698</v>
      </c>
      <c r="M5" s="14">
        <f>IFERROR('QTR BS'!M5/'QTR P&amp;L'!P3*ASSUMPTIONS!$B$2,"")</f>
        <v>-85.239341763489037</v>
      </c>
      <c r="N5" s="14">
        <f>IFERROR('QTR BS'!N5/'QTR P&amp;L'!Q3*ASSUMPTIONS!$B$2,"")</f>
        <v>-125.27297431002167</v>
      </c>
      <c r="O5" s="14">
        <f>IFERROR('QTR BS'!O5/'QTR P&amp;L'!R3*ASSUMPTIONS!$B$2,"")</f>
        <v>-72.110479447089247</v>
      </c>
      <c r="P5" s="14">
        <f>IFERROR('QTR BS'!P5/'QTR P&amp;L'!S3*ASSUMPTIONS!$B$2,"")</f>
        <v>-81.868855280013776</v>
      </c>
      <c r="Q5" s="14">
        <f>IFERROR('QTR BS'!Q5/'QTR P&amp;L'!T3*ASSUMPTIONS!$B$2,"")</f>
        <v>-58.408813419343325</v>
      </c>
      <c r="R5" s="14">
        <f>IFERROR('QTR BS'!R5/'QTR P&amp;L'!U3*ASSUMPTIONS!$B$2,"")</f>
        <v>-72.865098192598637</v>
      </c>
      <c r="S5" s="14">
        <f>IFERROR('QTR BS'!S5/'QTR P&amp;L'!V3*ASSUMPTIONS!$B$2,"")</f>
        <v>-80.912795749319372</v>
      </c>
      <c r="T5" s="15">
        <f t="shared" ref="T5:AM5" si="3">S5</f>
        <v>-80.912795749319372</v>
      </c>
      <c r="U5" s="15">
        <f t="shared" si="3"/>
        <v>-80.912795749319372</v>
      </c>
      <c r="V5" s="15">
        <f t="shared" si="3"/>
        <v>-80.912795749319372</v>
      </c>
      <c r="W5" s="15">
        <f t="shared" si="3"/>
        <v>-80.912795749319372</v>
      </c>
      <c r="X5" s="15">
        <f t="shared" si="3"/>
        <v>-80.912795749319372</v>
      </c>
      <c r="Y5" s="15">
        <f t="shared" si="3"/>
        <v>-80.912795749319372</v>
      </c>
      <c r="Z5" s="15">
        <f t="shared" si="3"/>
        <v>-80.912795749319372</v>
      </c>
      <c r="AA5" s="15">
        <f t="shared" si="3"/>
        <v>-80.912795749319372</v>
      </c>
      <c r="AB5" s="15">
        <f t="shared" si="3"/>
        <v>-80.912795749319372</v>
      </c>
      <c r="AC5" s="15">
        <f t="shared" si="3"/>
        <v>-80.912795749319372</v>
      </c>
      <c r="AD5" s="15">
        <f t="shared" si="3"/>
        <v>-80.912795749319372</v>
      </c>
      <c r="AE5" s="15">
        <f t="shared" si="3"/>
        <v>-80.912795749319372</v>
      </c>
      <c r="AF5" s="15">
        <f t="shared" si="3"/>
        <v>-80.912795749319372</v>
      </c>
      <c r="AG5" s="15">
        <f t="shared" si="3"/>
        <v>-80.912795749319372</v>
      </c>
      <c r="AH5" s="15">
        <f t="shared" si="3"/>
        <v>-80.912795749319372</v>
      </c>
      <c r="AI5" s="15">
        <f t="shared" si="3"/>
        <v>-80.912795749319372</v>
      </c>
      <c r="AJ5" s="15">
        <f t="shared" si="3"/>
        <v>-80.912795749319372</v>
      </c>
      <c r="AK5" s="15">
        <f t="shared" si="3"/>
        <v>-80.912795749319372</v>
      </c>
      <c r="AL5" s="15">
        <f t="shared" si="3"/>
        <v>-80.912795749319372</v>
      </c>
      <c r="AM5" s="15">
        <f t="shared" si="3"/>
        <v>-80.912795749319372</v>
      </c>
    </row>
    <row r="6" spans="1:39" x14ac:dyDescent="0.3">
      <c r="A6" s="3" t="s">
        <v>175</v>
      </c>
      <c r="B6" s="11">
        <f>IFERROR('QTR BS'!B6/'QTR P&amp;L'!D2,"")</f>
        <v>0.19767950935634149</v>
      </c>
      <c r="C6" s="11">
        <f>IFERROR('QTR BS'!C6/'QTR P&amp;L'!E2,"")</f>
        <v>0.24054079113593954</v>
      </c>
      <c r="D6" s="11">
        <f>IFERROR('QTR BS'!D6/'QTR P&amp;L'!G2,"")</f>
        <v>7.5284133505262849E-2</v>
      </c>
      <c r="E6" s="11">
        <f>IFERROR('QTR BS'!E6/'QTR P&amp;L'!H2,"")</f>
        <v>7.9846773146344627E-2</v>
      </c>
      <c r="F6" s="11">
        <f>IFERROR('QTR BS'!F6/'QTR P&amp;L'!I2,"")</f>
        <v>6.4261124569679973E-2</v>
      </c>
      <c r="G6" s="11">
        <f>IFERROR('QTR BS'!G6/'QTR P&amp;L'!J2,"")</f>
        <v>6.3726371625722061E-2</v>
      </c>
      <c r="H6" s="11">
        <f>IFERROR('QTR BS'!H6/'QTR P&amp;L'!K2,"")</f>
        <v>5.9656303979010457E-2</v>
      </c>
      <c r="I6" s="11">
        <f>IFERROR('QTR BS'!I6/'QTR P&amp;L'!L2,"")</f>
        <v>7.1798774406765617E-2</v>
      </c>
      <c r="J6" s="11">
        <f>IFERROR('QTR BS'!J6/'QTR P&amp;L'!M2,"")</f>
        <v>6.1719474889345746E-2</v>
      </c>
      <c r="K6" s="11">
        <f>IFERROR('QTR BS'!K6/'QTR P&amp;L'!N2,"")</f>
        <v>5.6134240937153711E-2</v>
      </c>
      <c r="L6" s="11">
        <f>IFERROR('QTR BS'!L6/'QTR P&amp;L'!O2,"")</f>
        <v>6.0507494911556672E-2</v>
      </c>
      <c r="M6" s="11">
        <f>IFERROR('QTR BS'!M6/'QTR P&amp;L'!P2,"")</f>
        <v>5.6968433517340544E-2</v>
      </c>
      <c r="N6" s="11">
        <f>IFERROR('QTR BS'!N6/'QTR P&amp;L'!Q2,"")</f>
        <v>0.14384680223369509</v>
      </c>
      <c r="O6" s="11">
        <f>IFERROR('QTR BS'!O6/'QTR P&amp;L'!R2,"")</f>
        <v>5.6469504540980202E-2</v>
      </c>
      <c r="P6" s="11">
        <f>IFERROR('QTR BS'!P6/'QTR P&amp;L'!S2,"")</f>
        <v>6.822240309041655E-2</v>
      </c>
      <c r="Q6" s="11">
        <f>IFERROR('QTR BS'!Q6/'QTR P&amp;L'!T2,"")</f>
        <v>5.6029077765708632E-2</v>
      </c>
      <c r="R6" s="11">
        <f>IFERROR('QTR BS'!R6/'QTR P&amp;L'!U2,"")</f>
        <v>0.22533946760887374</v>
      </c>
      <c r="S6" s="11">
        <f>IFERROR('QTR BS'!S6/'QTR P&amp;L'!V2,"")</f>
        <v>0.17849362829601956</v>
      </c>
      <c r="T6" s="12">
        <f t="shared" ref="T6:AM6" si="4">S6</f>
        <v>0.17849362829601956</v>
      </c>
      <c r="U6" s="12">
        <f t="shared" si="4"/>
        <v>0.17849362829601956</v>
      </c>
      <c r="V6" s="12">
        <f t="shared" si="4"/>
        <v>0.17849362829601956</v>
      </c>
      <c r="W6" s="12">
        <f t="shared" si="4"/>
        <v>0.17849362829601956</v>
      </c>
      <c r="X6" s="12">
        <f t="shared" si="4"/>
        <v>0.17849362829601956</v>
      </c>
      <c r="Y6" s="12">
        <f t="shared" si="4"/>
        <v>0.17849362829601956</v>
      </c>
      <c r="Z6" s="12">
        <f t="shared" si="4"/>
        <v>0.17849362829601956</v>
      </c>
      <c r="AA6" s="12">
        <f t="shared" si="4"/>
        <v>0.17849362829601956</v>
      </c>
      <c r="AB6" s="12">
        <f t="shared" si="4"/>
        <v>0.17849362829601956</v>
      </c>
      <c r="AC6" s="12">
        <f t="shared" si="4"/>
        <v>0.17849362829601956</v>
      </c>
      <c r="AD6" s="12">
        <f t="shared" si="4"/>
        <v>0.17849362829601956</v>
      </c>
      <c r="AE6" s="12">
        <f t="shared" si="4"/>
        <v>0.17849362829601956</v>
      </c>
      <c r="AF6" s="12">
        <f t="shared" si="4"/>
        <v>0.17849362829601956</v>
      </c>
      <c r="AG6" s="12">
        <f t="shared" si="4"/>
        <v>0.17849362829601956</v>
      </c>
      <c r="AH6" s="12">
        <f t="shared" si="4"/>
        <v>0.17849362829601956</v>
      </c>
      <c r="AI6" s="12">
        <f t="shared" si="4"/>
        <v>0.17849362829601956</v>
      </c>
      <c r="AJ6" s="12">
        <f t="shared" si="4"/>
        <v>0.17849362829601956</v>
      </c>
      <c r="AK6" s="12">
        <f t="shared" si="4"/>
        <v>0.17849362829601956</v>
      </c>
      <c r="AL6" s="12">
        <f t="shared" si="4"/>
        <v>0.17849362829601956</v>
      </c>
      <c r="AM6" s="12">
        <f t="shared" si="4"/>
        <v>0.17849362829601956</v>
      </c>
    </row>
    <row r="7" spans="1:39" x14ac:dyDescent="0.3">
      <c r="A7" s="3" t="s">
        <v>176</v>
      </c>
      <c r="B7" s="11">
        <f>IFERROR('QTR BS'!B7/'QTR P&amp;L'!D2,"")</f>
        <v>0</v>
      </c>
      <c r="C7" s="11">
        <f>IFERROR('QTR BS'!C7/'QTR P&amp;L'!E2,"")</f>
        <v>0</v>
      </c>
      <c r="D7" s="11">
        <f>IFERROR('QTR BS'!D7/'QTR P&amp;L'!G2,"")</f>
        <v>0</v>
      </c>
      <c r="E7" s="11">
        <f>IFERROR('QTR BS'!E7/'QTR P&amp;L'!H2,"")</f>
        <v>0</v>
      </c>
      <c r="F7" s="11">
        <f>IFERROR('QTR BS'!F7/'QTR P&amp;L'!I2,"")</f>
        <v>7.5035063113604486E-2</v>
      </c>
      <c r="G7" s="11">
        <f>IFERROR('QTR BS'!G7/'QTR P&amp;L'!J2,"")</f>
        <v>7.9364365826796429E-2</v>
      </c>
      <c r="H7" s="11">
        <f>IFERROR('QTR BS'!H7/'QTR P&amp;L'!K2,"")</f>
        <v>5.4335824943544449E-2</v>
      </c>
      <c r="I7" s="11">
        <f>IFERROR('QTR BS'!I7/'QTR P&amp;L'!L2,"")</f>
        <v>4.3340708168268981E-2</v>
      </c>
      <c r="J7" s="11">
        <f>IFERROR('QTR BS'!J7/'QTR P&amp;L'!M2,"")</f>
        <v>3.6708883788988893E-2</v>
      </c>
      <c r="K7" s="11">
        <f>IFERROR('QTR BS'!K7/'QTR P&amp;L'!N2,"")</f>
        <v>4.0652208326737375E-2</v>
      </c>
      <c r="L7" s="11">
        <f>IFERROR('QTR BS'!L7/'QTR P&amp;L'!O2,"")</f>
        <v>3.9706725741338399E-2</v>
      </c>
      <c r="M7" s="11">
        <f>IFERROR('QTR BS'!M7/'QTR P&amp;L'!P2,"")</f>
        <v>3.5136338646240953E-2</v>
      </c>
      <c r="N7" s="11">
        <f>IFERROR('QTR BS'!N7/'QTR P&amp;L'!Q2,"")</f>
        <v>5.3148095187922392E-2</v>
      </c>
      <c r="O7" s="11">
        <f>IFERROR('QTR BS'!O7/'QTR P&amp;L'!R2,"")</f>
        <v>4.2516940249309895E-2</v>
      </c>
      <c r="P7" s="11">
        <f>IFERROR('QTR BS'!P7/'QTR P&amp;L'!S2,"")</f>
        <v>4.2894107071271517E-2</v>
      </c>
      <c r="Q7" s="11">
        <f>IFERROR('QTR BS'!Q7/'QTR P&amp;L'!T2,"")</f>
        <v>1.9105617922811898E-2</v>
      </c>
      <c r="R7" s="11">
        <f>IFERROR('QTR BS'!R7/'QTR P&amp;L'!U2,"")</f>
        <v>6.8293463300538135E-2</v>
      </c>
      <c r="S7" s="11">
        <f>IFERROR('QTR BS'!S7/'QTR P&amp;L'!V2,"")</f>
        <v>6.8129285449012505E-2</v>
      </c>
      <c r="T7" s="12">
        <f t="shared" ref="T7:AM7" si="5">S7</f>
        <v>6.8129285449012505E-2</v>
      </c>
      <c r="U7" s="12">
        <f t="shared" si="5"/>
        <v>6.8129285449012505E-2</v>
      </c>
      <c r="V7" s="12">
        <f t="shared" si="5"/>
        <v>6.8129285449012505E-2</v>
      </c>
      <c r="W7" s="12">
        <f t="shared" si="5"/>
        <v>6.8129285449012505E-2</v>
      </c>
      <c r="X7" s="12">
        <f t="shared" si="5"/>
        <v>6.8129285449012505E-2</v>
      </c>
      <c r="Y7" s="12">
        <f t="shared" si="5"/>
        <v>6.8129285449012505E-2</v>
      </c>
      <c r="Z7" s="12">
        <f t="shared" si="5"/>
        <v>6.8129285449012505E-2</v>
      </c>
      <c r="AA7" s="12">
        <f t="shared" si="5"/>
        <v>6.8129285449012505E-2</v>
      </c>
      <c r="AB7" s="12">
        <f t="shared" si="5"/>
        <v>6.8129285449012505E-2</v>
      </c>
      <c r="AC7" s="12">
        <f t="shared" si="5"/>
        <v>6.8129285449012505E-2</v>
      </c>
      <c r="AD7" s="12">
        <f t="shared" si="5"/>
        <v>6.8129285449012505E-2</v>
      </c>
      <c r="AE7" s="12">
        <f t="shared" si="5"/>
        <v>6.8129285449012505E-2</v>
      </c>
      <c r="AF7" s="12">
        <f t="shared" si="5"/>
        <v>6.8129285449012505E-2</v>
      </c>
      <c r="AG7" s="12">
        <f t="shared" si="5"/>
        <v>6.8129285449012505E-2</v>
      </c>
      <c r="AH7" s="12">
        <f t="shared" si="5"/>
        <v>6.8129285449012505E-2</v>
      </c>
      <c r="AI7" s="12">
        <f t="shared" si="5"/>
        <v>6.8129285449012505E-2</v>
      </c>
      <c r="AJ7" s="12">
        <f t="shared" si="5"/>
        <v>6.8129285449012505E-2</v>
      </c>
      <c r="AK7" s="12">
        <f t="shared" si="5"/>
        <v>6.8129285449012505E-2</v>
      </c>
      <c r="AL7" s="12">
        <f t="shared" si="5"/>
        <v>6.8129285449012505E-2</v>
      </c>
      <c r="AM7" s="12">
        <f t="shared" si="5"/>
        <v>6.8129285449012505E-2</v>
      </c>
    </row>
    <row r="8" spans="1:39" x14ac:dyDescent="0.3">
      <c r="A8" s="3" t="s">
        <v>177</v>
      </c>
      <c r="B8" s="11">
        <f>IFERROR('QTR BS'!B9/'QTR P&amp;L'!D2,"")</f>
        <v>6.0845745960823448E-2</v>
      </c>
      <c r="C8" s="11">
        <f>IFERROR('QTR BS'!C9/'QTR P&amp;L'!E2,"")</f>
        <v>7.3690183554580124E-2</v>
      </c>
      <c r="D8" s="11">
        <f>IFERROR('QTR BS'!D9/'QTR P&amp;L'!G2,"")</f>
        <v>2.9148049299787086E-2</v>
      </c>
      <c r="E8" s="11">
        <f>IFERROR('QTR BS'!E9/'QTR P&amp;L'!H2,"")</f>
        <v>2.3886508245682378E-2</v>
      </c>
      <c r="F8" s="11">
        <f>IFERROR('QTR BS'!F9/'QTR P&amp;L'!I2,"")</f>
        <v>1.8408134642356241E-2</v>
      </c>
      <c r="G8" s="11">
        <f>IFERROR('QTR BS'!G9/'QTR P&amp;L'!J2,"")</f>
        <v>2.0082713357757749E-2</v>
      </c>
      <c r="H8" s="11">
        <f>IFERROR('QTR BS'!H9/'QTR P&amp;L'!K2,"")</f>
        <v>0</v>
      </c>
      <c r="I8" s="11">
        <f>IFERROR('QTR BS'!I9/'QTR P&amp;L'!L2,"")</f>
        <v>0</v>
      </c>
      <c r="J8" s="11">
        <f>IFERROR('QTR BS'!J9/'QTR P&amp;L'!M2,"")</f>
        <v>0</v>
      </c>
      <c r="K8" s="11">
        <f>IFERROR('QTR BS'!K9/'QTR P&amp;L'!N2,"")</f>
        <v>0</v>
      </c>
      <c r="L8" s="11">
        <f>IFERROR('QTR BS'!L9/'QTR P&amp;L'!O2,"")</f>
        <v>0</v>
      </c>
      <c r="M8" s="11">
        <f>IFERROR('QTR BS'!M9/'QTR P&amp;L'!P2,"")</f>
        <v>0</v>
      </c>
      <c r="N8" s="11">
        <f>IFERROR('QTR BS'!N9/'QTR P&amp;L'!Q2,"")</f>
        <v>0</v>
      </c>
      <c r="O8" s="11">
        <f>IFERROR('QTR BS'!O9/'QTR P&amp;L'!R2,"")</f>
        <v>0</v>
      </c>
      <c r="P8" s="11">
        <f>IFERROR('QTR BS'!P9/'QTR P&amp;L'!S2,"")</f>
        <v>0</v>
      </c>
      <c r="Q8" s="11">
        <f>IFERROR('QTR BS'!Q9/'QTR P&amp;L'!T2,"")</f>
        <v>0</v>
      </c>
      <c r="R8" s="11">
        <f>IFERROR('QTR BS'!R9/'QTR P&amp;L'!U2,"")</f>
        <v>0</v>
      </c>
      <c r="S8" s="11">
        <f>IFERROR('QTR BS'!S9/'QTR P&amp;L'!V2,"")</f>
        <v>0</v>
      </c>
      <c r="T8" s="12">
        <f t="shared" ref="T8:AM8" si="6">S8</f>
        <v>0</v>
      </c>
      <c r="U8" s="12">
        <f t="shared" si="6"/>
        <v>0</v>
      </c>
      <c r="V8" s="12">
        <f t="shared" si="6"/>
        <v>0</v>
      </c>
      <c r="W8" s="12">
        <f t="shared" si="6"/>
        <v>0</v>
      </c>
      <c r="X8" s="12">
        <f t="shared" si="6"/>
        <v>0</v>
      </c>
      <c r="Y8" s="12">
        <f t="shared" si="6"/>
        <v>0</v>
      </c>
      <c r="Z8" s="12">
        <f t="shared" si="6"/>
        <v>0</v>
      </c>
      <c r="AA8" s="12">
        <f t="shared" si="6"/>
        <v>0</v>
      </c>
      <c r="AB8" s="12">
        <f t="shared" si="6"/>
        <v>0</v>
      </c>
      <c r="AC8" s="12">
        <f t="shared" si="6"/>
        <v>0</v>
      </c>
      <c r="AD8" s="12">
        <f t="shared" si="6"/>
        <v>0</v>
      </c>
      <c r="AE8" s="12">
        <f t="shared" si="6"/>
        <v>0</v>
      </c>
      <c r="AF8" s="12">
        <f t="shared" si="6"/>
        <v>0</v>
      </c>
      <c r="AG8" s="12">
        <f t="shared" si="6"/>
        <v>0</v>
      </c>
      <c r="AH8" s="12">
        <f t="shared" si="6"/>
        <v>0</v>
      </c>
      <c r="AI8" s="12">
        <f t="shared" si="6"/>
        <v>0</v>
      </c>
      <c r="AJ8" s="12">
        <f t="shared" si="6"/>
        <v>0</v>
      </c>
      <c r="AK8" s="12">
        <f t="shared" si="6"/>
        <v>0</v>
      </c>
      <c r="AL8" s="12">
        <f t="shared" si="6"/>
        <v>0</v>
      </c>
      <c r="AM8" s="12">
        <f t="shared" si="6"/>
        <v>0</v>
      </c>
    </row>
    <row r="9" spans="1:39" x14ac:dyDescent="0.3">
      <c r="A9" s="3" t="s">
        <v>39</v>
      </c>
      <c r="B9" s="4">
        <f>'QTR BS'!B10</f>
        <v>1617002</v>
      </c>
      <c r="C9" s="4">
        <f>'QTR BS'!C10</f>
        <v>2454914</v>
      </c>
      <c r="D9" s="4">
        <f>'QTR BS'!D10</f>
        <v>3702</v>
      </c>
      <c r="E9" s="4">
        <f>'QTR BS'!E10</f>
        <v>5135</v>
      </c>
      <c r="F9" s="4">
        <f>'QTR BS'!F10</f>
        <v>5782</v>
      </c>
      <c r="G9" s="4">
        <f>'QTR BS'!G10</f>
        <v>10185</v>
      </c>
      <c r="H9" s="4">
        <f>'QTR BS'!H10</f>
        <v>12054</v>
      </c>
      <c r="I9" s="4">
        <f>'QTR BS'!I10</f>
        <v>15892</v>
      </c>
      <c r="J9" s="4">
        <f>'QTR BS'!J10</f>
        <v>21061</v>
      </c>
      <c r="K9" s="4">
        <f>'QTR BS'!K10</f>
        <v>24868</v>
      </c>
      <c r="L9" s="4">
        <f>'QTR BS'!L10</f>
        <v>28350</v>
      </c>
      <c r="M9" s="4">
        <f>'QTR BS'!M10</f>
        <v>36282</v>
      </c>
      <c r="N9" s="4">
        <f>'QTR BS'!N10</f>
        <v>38370</v>
      </c>
      <c r="O9" s="4">
        <f>'QTR BS'!O10</f>
        <v>55602</v>
      </c>
      <c r="P9" s="4">
        <f>'QTR BS'!P10</f>
        <v>58698</v>
      </c>
      <c r="Q9" s="4">
        <f>'QTR BS'!Q10</f>
        <v>72516</v>
      </c>
      <c r="R9" s="4">
        <f>'QTR BS'!R10</f>
        <v>80925</v>
      </c>
      <c r="S9" s="4">
        <f>'QTR BS'!S10</f>
        <v>87910</v>
      </c>
      <c r="T9" s="4">
        <f>S9-'QTR CF'!W36-'QTR CF'!W6</f>
        <v>89495.359111633341</v>
      </c>
      <c r="U9" s="4">
        <f>T9-'QTR CF'!X36-'QTR CF'!X6</f>
        <v>91073.113984727403</v>
      </c>
      <c r="V9" s="4">
        <f>U9-'QTR CF'!Y36-'QTR CF'!Y6</f>
        <v>92643.301093317205</v>
      </c>
      <c r="W9" s="4">
        <f>V9-'QTR CF'!Z36-'QTR CF'!Z6</f>
        <v>94205.956736488602</v>
      </c>
      <c r="X9" s="4">
        <f>W9-'QTR CF'!AA36-'QTR CF'!AA6</f>
        <v>95761.117039217439</v>
      </c>
      <c r="Y9" s="4">
        <f>X9-'QTR CF'!AB36-'QTR CF'!AB6</f>
        <v>97308.817953204649</v>
      </c>
      <c r="Z9" s="4">
        <f>Y9-'QTR CF'!AC36-'QTR CF'!AC6</f>
        <v>98849.095257707377</v>
      </c>
      <c r="AA9" s="4">
        <f>Z9-'QTR CF'!AD36-'QTR CF'!AD6</f>
        <v>100381.98456036614</v>
      </c>
      <c r="AB9" s="4">
        <f>AA9-'QTR CF'!AE36-'QTR CF'!AE6</f>
        <v>101907.521298028</v>
      </c>
      <c r="AC9" s="4">
        <f>AB9-'QTR CF'!AF36-'QTR CF'!AF6</f>
        <v>103425.74073756576</v>
      </c>
      <c r="AD9" s="4">
        <f>AC9-'QTR CF'!AG36-'QTR CF'!AG6</f>
        <v>104936.67797669322</v>
      </c>
      <c r="AE9" s="4">
        <f>AD9-'QTR CF'!AH36-'QTR CF'!AH6</f>
        <v>106440.36794477659</v>
      </c>
      <c r="AF9" s="4">
        <f>AE9-'QTR CF'!AI36-'QTR CF'!AI6</f>
        <v>107936.845403642</v>
      </c>
      <c r="AG9" s="4">
        <f>AF9-'QTR CF'!AJ36-'QTR CF'!AJ6</f>
        <v>109426.14494837909</v>
      </c>
      <c r="AH9" s="4">
        <f>AG9-'QTR CF'!AK36-'QTR CF'!AK6</f>
        <v>110908.30100814076</v>
      </c>
      <c r="AI9" s="4">
        <f>AH9-'QTR CF'!AL36-'QTR CF'!AL6</f>
        <v>112383.34784693907</v>
      </c>
      <c r="AJ9" s="4">
        <f>AI9-'QTR CF'!AM36-'QTR CF'!AM6</f>
        <v>113851.31956443741</v>
      </c>
      <c r="AK9" s="4">
        <f>AJ9-'QTR CF'!AN36-'QTR CF'!AN6</f>
        <v>115312.25009673873</v>
      </c>
      <c r="AL9" s="4">
        <f>AK9-'QTR CF'!AO36-'QTR CF'!AO6</f>
        <v>116766.17321717014</v>
      </c>
      <c r="AM9" s="4">
        <f>AL9-'QTR CF'!AP36-'QTR CF'!AP6</f>
        <v>118213.12253706362</v>
      </c>
    </row>
    <row r="10" spans="1:39" x14ac:dyDescent="0.3">
      <c r="A10" s="3" t="s">
        <v>178</v>
      </c>
      <c r="B10" s="11">
        <f>IFERROR('QTR BS'!B11/'QTR P&amp;L'!D2,"")</f>
        <v>6.1260927266466878E-3</v>
      </c>
      <c r="C10" s="11">
        <f>IFERROR('QTR BS'!C11/'QTR P&amp;L'!E2,"")</f>
        <v>9.3659196009655554E-3</v>
      </c>
      <c r="D10" s="11">
        <f>IFERROR('QTR BS'!D11/'QTR P&amp;L'!G2,"")</f>
        <v>8.5539928629262008E-3</v>
      </c>
      <c r="E10" s="11">
        <f>IFERROR('QTR BS'!E11/'QTR P&amp;L'!H2,"")</f>
        <v>6.1940007791195951E-3</v>
      </c>
      <c r="F10" s="11">
        <f>IFERROR('QTR BS'!F11/'QTR P&amp;L'!I2,"")</f>
        <v>5.8704152322665648E-3</v>
      </c>
      <c r="G10" s="11">
        <f>IFERROR('QTR BS'!G11/'QTR P&amp;L'!J2,"")</f>
        <v>5.4617787867209102E-3</v>
      </c>
      <c r="H10" s="11">
        <f>IFERROR('QTR BS'!H11/'QTR P&amp;L'!K2,"")</f>
        <v>3.5816095314669979E-3</v>
      </c>
      <c r="I10" s="11">
        <f>IFERROR('QTR BS'!I11/'QTR P&amp;L'!L2,"")</f>
        <v>2.3198509894655443E-3</v>
      </c>
      <c r="J10" s="11">
        <f>IFERROR('QTR BS'!J11/'QTR P&amp;L'!M2,"")</f>
        <v>2.9940975732735205E-3</v>
      </c>
      <c r="K10" s="11">
        <f>IFERROR('QTR BS'!K11/'QTR P&amp;L'!N2,"")</f>
        <v>5.6327082763682418E-3</v>
      </c>
      <c r="L10" s="11">
        <f>IFERROR('QTR BS'!L11/'QTR P&amp;L'!O2,"")</f>
        <v>4.7454653817175889E-3</v>
      </c>
      <c r="M10" s="11">
        <f>IFERROR('QTR BS'!M11/'QTR P&amp;L'!P2,"")</f>
        <v>3.7489707122546814E-3</v>
      </c>
      <c r="N10" s="11">
        <f>IFERROR('QTR BS'!N11/'QTR P&amp;L'!Q2,"")</f>
        <v>2.0718876529644627E-2</v>
      </c>
      <c r="O10" s="11">
        <f>IFERROR('QTR BS'!O11/'QTR P&amp;L'!R2,"")</f>
        <v>6.5039720406867008E-2</v>
      </c>
      <c r="P10" s="11">
        <f>IFERROR('QTR BS'!P11/'QTR P&amp;L'!S2,"")</f>
        <v>6.3369331503055182E-2</v>
      </c>
      <c r="Q10" s="11">
        <f>IFERROR('QTR BS'!Q11/'QTR P&amp;L'!T2,"")</f>
        <v>0</v>
      </c>
      <c r="R10" s="11">
        <f>IFERROR('QTR BS'!R11/'QTR P&amp;L'!U2,"")</f>
        <v>0</v>
      </c>
      <c r="S10" s="11">
        <f>IFERROR('QTR BS'!S11/'QTR P&amp;L'!V2,"")</f>
        <v>0</v>
      </c>
      <c r="T10" s="12">
        <f t="shared" ref="T10:AM10" si="7">S10</f>
        <v>0</v>
      </c>
      <c r="U10" s="12">
        <f t="shared" si="7"/>
        <v>0</v>
      </c>
      <c r="V10" s="12">
        <f t="shared" si="7"/>
        <v>0</v>
      </c>
      <c r="W10" s="12">
        <f t="shared" si="7"/>
        <v>0</v>
      </c>
      <c r="X10" s="12">
        <f t="shared" si="7"/>
        <v>0</v>
      </c>
      <c r="Y10" s="12">
        <f t="shared" si="7"/>
        <v>0</v>
      </c>
      <c r="Z10" s="12">
        <f t="shared" si="7"/>
        <v>0</v>
      </c>
      <c r="AA10" s="12">
        <f t="shared" si="7"/>
        <v>0</v>
      </c>
      <c r="AB10" s="12">
        <f t="shared" si="7"/>
        <v>0</v>
      </c>
      <c r="AC10" s="12">
        <f t="shared" si="7"/>
        <v>0</v>
      </c>
      <c r="AD10" s="12">
        <f t="shared" si="7"/>
        <v>0</v>
      </c>
      <c r="AE10" s="12">
        <f t="shared" si="7"/>
        <v>0</v>
      </c>
      <c r="AF10" s="12">
        <f t="shared" si="7"/>
        <v>0</v>
      </c>
      <c r="AG10" s="12">
        <f t="shared" si="7"/>
        <v>0</v>
      </c>
      <c r="AH10" s="12">
        <f t="shared" si="7"/>
        <v>0</v>
      </c>
      <c r="AI10" s="12">
        <f t="shared" si="7"/>
        <v>0</v>
      </c>
      <c r="AJ10" s="12">
        <f t="shared" si="7"/>
        <v>0</v>
      </c>
      <c r="AK10" s="12">
        <f t="shared" si="7"/>
        <v>0</v>
      </c>
      <c r="AL10" s="12">
        <f t="shared" si="7"/>
        <v>0</v>
      </c>
      <c r="AM10" s="12">
        <f t="shared" si="7"/>
        <v>0</v>
      </c>
    </row>
    <row r="11" spans="1:39" x14ac:dyDescent="0.3">
      <c r="A11" s="3" t="s">
        <v>42</v>
      </c>
      <c r="B11" s="4">
        <f>'QTR BS'!B12</f>
        <v>16287537</v>
      </c>
      <c r="C11" s="4">
        <f>'QTR BS'!C12</f>
        <v>16811762</v>
      </c>
      <c r="D11" s="4">
        <f>'QTR BS'!D12</f>
        <v>15838</v>
      </c>
      <c r="E11" s="4">
        <f>'QTR BS'!E12</f>
        <v>14689</v>
      </c>
      <c r="F11" s="4">
        <f>'QTR BS'!F12</f>
        <v>11322</v>
      </c>
      <c r="G11" s="4">
        <f>'QTR BS'!G12</f>
        <v>12254</v>
      </c>
      <c r="H11" s="4">
        <f>'QTR BS'!H12</f>
        <v>12359</v>
      </c>
      <c r="I11" s="4">
        <f>'QTR BS'!I12</f>
        <v>12211</v>
      </c>
      <c r="J11" s="4">
        <f>'QTR BS'!J12</f>
        <v>11772</v>
      </c>
      <c r="K11" s="4">
        <f>'QTR BS'!K12</f>
        <v>12139</v>
      </c>
      <c r="L11" s="4">
        <f>'QTR BS'!L12</f>
        <v>11741</v>
      </c>
      <c r="M11" s="4">
        <f>'QTR BS'!M12</f>
        <v>11491</v>
      </c>
      <c r="N11" s="4">
        <f>'QTR BS'!N12</f>
        <v>11877</v>
      </c>
      <c r="O11" s="4">
        <f>'QTR BS'!O12</f>
        <v>12213</v>
      </c>
      <c r="P11" s="4">
        <f>'QTR BS'!P12</f>
        <v>12444</v>
      </c>
      <c r="Q11" s="4">
        <f>'QTR BS'!Q12</f>
        <v>1222115</v>
      </c>
      <c r="R11" s="4">
        <f>'QTR BS'!R12</f>
        <v>1397819</v>
      </c>
      <c r="S11" s="4">
        <f>'QTR BS'!S12</f>
        <v>1391915</v>
      </c>
      <c r="T11" s="13">
        <f t="shared" ref="T11:AM11" si="8">S11</f>
        <v>1391915</v>
      </c>
      <c r="U11" s="13">
        <f t="shared" si="8"/>
        <v>1391915</v>
      </c>
      <c r="V11" s="13">
        <f t="shared" si="8"/>
        <v>1391915</v>
      </c>
      <c r="W11" s="13">
        <f t="shared" si="8"/>
        <v>1391915</v>
      </c>
      <c r="X11" s="13">
        <f t="shared" si="8"/>
        <v>1391915</v>
      </c>
      <c r="Y11" s="13">
        <f t="shared" si="8"/>
        <v>1391915</v>
      </c>
      <c r="Z11" s="13">
        <f t="shared" si="8"/>
        <v>1391915</v>
      </c>
      <c r="AA11" s="13">
        <f t="shared" si="8"/>
        <v>1391915</v>
      </c>
      <c r="AB11" s="13">
        <f t="shared" si="8"/>
        <v>1391915</v>
      </c>
      <c r="AC11" s="13">
        <f t="shared" si="8"/>
        <v>1391915</v>
      </c>
      <c r="AD11" s="13">
        <f t="shared" si="8"/>
        <v>1391915</v>
      </c>
      <c r="AE11" s="13">
        <f t="shared" si="8"/>
        <v>1391915</v>
      </c>
      <c r="AF11" s="13">
        <f t="shared" si="8"/>
        <v>1391915</v>
      </c>
      <c r="AG11" s="13">
        <f t="shared" si="8"/>
        <v>1391915</v>
      </c>
      <c r="AH11" s="13">
        <f t="shared" si="8"/>
        <v>1391915</v>
      </c>
      <c r="AI11" s="13">
        <f t="shared" si="8"/>
        <v>1391915</v>
      </c>
      <c r="AJ11" s="13">
        <f t="shared" si="8"/>
        <v>1391915</v>
      </c>
      <c r="AK11" s="13">
        <f t="shared" si="8"/>
        <v>1391915</v>
      </c>
      <c r="AL11" s="13">
        <f t="shared" si="8"/>
        <v>1391915</v>
      </c>
      <c r="AM11" s="13">
        <f t="shared" si="8"/>
        <v>1391915</v>
      </c>
    </row>
    <row r="12" spans="1:39" x14ac:dyDescent="0.3">
      <c r="A12" s="3" t="s">
        <v>43</v>
      </c>
      <c r="B12" s="4">
        <f>'QTR BS'!B13</f>
        <v>10419321</v>
      </c>
      <c r="C12" s="4">
        <f>'QTR BS'!C13</f>
        <v>14851635</v>
      </c>
      <c r="D12" s="4">
        <f>'QTR BS'!D13</f>
        <v>14238</v>
      </c>
      <c r="E12" s="4">
        <f>'QTR BS'!E13</f>
        <v>13323</v>
      </c>
      <c r="F12" s="4">
        <f>'QTR BS'!F13</f>
        <v>12502</v>
      </c>
      <c r="G12" s="4">
        <f>'QTR BS'!G13</f>
        <v>13679</v>
      </c>
      <c r="H12" s="4">
        <f>'QTR BS'!H13</f>
        <v>13949</v>
      </c>
      <c r="I12" s="4">
        <f>'QTR BS'!I13</f>
        <v>13937</v>
      </c>
      <c r="J12" s="4">
        <f>'QTR BS'!J13</f>
        <v>13588</v>
      </c>
      <c r="K12" s="4">
        <f>'QTR BS'!K13</f>
        <v>14173</v>
      </c>
      <c r="L12" s="4">
        <f>'QTR BS'!L13</f>
        <v>13866</v>
      </c>
      <c r="M12" s="4">
        <f>'QTR BS'!M13</f>
        <v>13730</v>
      </c>
      <c r="N12" s="4">
        <f>'QTR BS'!N13</f>
        <v>14360</v>
      </c>
      <c r="O12" s="4">
        <f>'QTR BS'!O13</f>
        <v>71582</v>
      </c>
      <c r="P12" s="4">
        <f>'QTR BS'!P13</f>
        <v>72128</v>
      </c>
      <c r="Q12" s="4">
        <f>'QTR BS'!Q13</f>
        <v>802234</v>
      </c>
      <c r="R12" s="4">
        <f>'QTR BS'!R13</f>
        <v>914957</v>
      </c>
      <c r="S12" s="4">
        <f>'QTR BS'!S13</f>
        <v>917560</v>
      </c>
      <c r="T12" s="13">
        <f t="shared" ref="T12:AM12" si="9">S12</f>
        <v>917560</v>
      </c>
      <c r="U12" s="13">
        <f t="shared" si="9"/>
        <v>917560</v>
      </c>
      <c r="V12" s="13">
        <f t="shared" si="9"/>
        <v>917560</v>
      </c>
      <c r="W12" s="13">
        <f t="shared" si="9"/>
        <v>917560</v>
      </c>
      <c r="X12" s="13">
        <f t="shared" si="9"/>
        <v>917560</v>
      </c>
      <c r="Y12" s="13">
        <f t="shared" si="9"/>
        <v>917560</v>
      </c>
      <c r="Z12" s="13">
        <f t="shared" si="9"/>
        <v>917560</v>
      </c>
      <c r="AA12" s="13">
        <f t="shared" si="9"/>
        <v>917560</v>
      </c>
      <c r="AB12" s="13">
        <f t="shared" si="9"/>
        <v>917560</v>
      </c>
      <c r="AC12" s="13">
        <f t="shared" si="9"/>
        <v>917560</v>
      </c>
      <c r="AD12" s="13">
        <f t="shared" si="9"/>
        <v>917560</v>
      </c>
      <c r="AE12" s="13">
        <f t="shared" si="9"/>
        <v>917560</v>
      </c>
      <c r="AF12" s="13">
        <f t="shared" si="9"/>
        <v>917560</v>
      </c>
      <c r="AG12" s="13">
        <f t="shared" si="9"/>
        <v>917560</v>
      </c>
      <c r="AH12" s="13">
        <f t="shared" si="9"/>
        <v>917560</v>
      </c>
      <c r="AI12" s="13">
        <f t="shared" si="9"/>
        <v>917560</v>
      </c>
      <c r="AJ12" s="13">
        <f t="shared" si="9"/>
        <v>917560</v>
      </c>
      <c r="AK12" s="13">
        <f t="shared" si="9"/>
        <v>917560</v>
      </c>
      <c r="AL12" s="13">
        <f t="shared" si="9"/>
        <v>917560</v>
      </c>
      <c r="AM12" s="13">
        <f t="shared" si="9"/>
        <v>917560</v>
      </c>
    </row>
    <row r="13" spans="1:39" x14ac:dyDescent="0.3">
      <c r="A13" s="3" t="s">
        <v>179</v>
      </c>
      <c r="B13" s="11">
        <f>IFERROR('QTR BS'!B14/'QTR P&amp;L'!D2,"")</f>
        <v>0</v>
      </c>
      <c r="C13" s="11">
        <f>IFERROR('QTR BS'!C14/'QTR P&amp;L'!E2,"")</f>
        <v>0</v>
      </c>
      <c r="D13" s="11">
        <f>IFERROR('QTR BS'!D14/'QTR P&amp;L'!G2,"")</f>
        <v>0</v>
      </c>
      <c r="E13" s="11">
        <f>IFERROR('QTR BS'!E14/'QTR P&amp;L'!H2,"")</f>
        <v>0</v>
      </c>
      <c r="F13" s="11">
        <f>IFERROR('QTR BS'!F14/'QTR P&amp;L'!I2,"")</f>
        <v>1.4131125419694845</v>
      </c>
      <c r="G13" s="11">
        <f>IFERROR('QTR BS'!G14/'QTR P&amp;L'!J2,"")</f>
        <v>1.4748038929221641</v>
      </c>
      <c r="H13" s="11">
        <f>IFERROR('QTR BS'!H14/'QTR P&amp;L'!K2,"")</f>
        <v>0.99612216712382518</v>
      </c>
      <c r="I13" s="11">
        <f>IFERROR('QTR BS'!I14/'QTR P&amp;L'!L2,"")</f>
        <v>0.78371685543584657</v>
      </c>
      <c r="J13" s="11">
        <f>IFERROR('QTR BS'!J14/'QTR P&amp;L'!M2,"")</f>
        <v>0.65461836951634411</v>
      </c>
      <c r="K13" s="11">
        <f>IFERROR('QTR BS'!K14/'QTR P&amp;L'!N2,"")</f>
        <v>0.71477542561918062</v>
      </c>
      <c r="L13" s="11">
        <f>IFERROR('QTR BS'!L14/'QTR P&amp;L'!O2,"")</f>
        <v>0.68822461119794887</v>
      </c>
      <c r="M13" s="11">
        <f>IFERROR('QTR BS'!M14/'QTR P&amp;L'!P2,"")</f>
        <v>0.60022339586593265</v>
      </c>
      <c r="N13" s="11">
        <f>IFERROR('QTR BS'!N14/'QTR P&amp;L'!Q2,"")</f>
        <v>0.89462949862275543</v>
      </c>
      <c r="O13" s="11">
        <f>IFERROR('QTR BS'!O14/'QTR P&amp;L'!R2,"")</f>
        <v>0.70504851037185767</v>
      </c>
      <c r="P13" s="11">
        <f>IFERROR('QTR BS'!P14/'QTR P&amp;L'!S2,"")</f>
        <v>0.70057945310317182</v>
      </c>
      <c r="Q13" s="11">
        <f>IFERROR('QTR BS'!Q14/'QTR P&amp;L'!T2,"")</f>
        <v>0.30727119994480961</v>
      </c>
      <c r="R13" s="11">
        <f>IFERROR('QTR BS'!R14/'QTR P&amp;L'!U2,"")</f>
        <v>1.0815163576084048</v>
      </c>
      <c r="S13" s="11">
        <f>IFERROR('QTR BS'!S14/'QTR P&amp;L'!V2,"")</f>
        <v>1.0692974773706121</v>
      </c>
      <c r="T13" s="12">
        <f t="shared" ref="T13:AM13" si="10">S13</f>
        <v>1.0692974773706121</v>
      </c>
      <c r="U13" s="12">
        <f t="shared" si="10"/>
        <v>1.0692974773706121</v>
      </c>
      <c r="V13" s="12">
        <f t="shared" si="10"/>
        <v>1.0692974773706121</v>
      </c>
      <c r="W13" s="12">
        <f t="shared" si="10"/>
        <v>1.0692974773706121</v>
      </c>
      <c r="X13" s="12">
        <f t="shared" si="10"/>
        <v>1.0692974773706121</v>
      </c>
      <c r="Y13" s="12">
        <f t="shared" si="10"/>
        <v>1.0692974773706121</v>
      </c>
      <c r="Z13" s="12">
        <f t="shared" si="10"/>
        <v>1.0692974773706121</v>
      </c>
      <c r="AA13" s="12">
        <f t="shared" si="10"/>
        <v>1.0692974773706121</v>
      </c>
      <c r="AB13" s="12">
        <f t="shared" si="10"/>
        <v>1.0692974773706121</v>
      </c>
      <c r="AC13" s="12">
        <f t="shared" si="10"/>
        <v>1.0692974773706121</v>
      </c>
      <c r="AD13" s="12">
        <f t="shared" si="10"/>
        <v>1.0692974773706121</v>
      </c>
      <c r="AE13" s="12">
        <f t="shared" si="10"/>
        <v>1.0692974773706121</v>
      </c>
      <c r="AF13" s="12">
        <f t="shared" si="10"/>
        <v>1.0692974773706121</v>
      </c>
      <c r="AG13" s="12">
        <f t="shared" si="10"/>
        <v>1.0692974773706121</v>
      </c>
      <c r="AH13" s="12">
        <f t="shared" si="10"/>
        <v>1.0692974773706121</v>
      </c>
      <c r="AI13" s="12">
        <f t="shared" si="10"/>
        <v>1.0692974773706121</v>
      </c>
      <c r="AJ13" s="12">
        <f t="shared" si="10"/>
        <v>1.0692974773706121</v>
      </c>
      <c r="AK13" s="12">
        <f t="shared" si="10"/>
        <v>1.0692974773706121</v>
      </c>
      <c r="AL13" s="12">
        <f t="shared" si="10"/>
        <v>1.0692974773706121</v>
      </c>
      <c r="AM13" s="12">
        <f t="shared" si="10"/>
        <v>1.0692974773706121</v>
      </c>
    </row>
    <row r="14" spans="1:39" x14ac:dyDescent="0.3">
      <c r="A14" s="3" t="s">
        <v>45</v>
      </c>
      <c r="B14" s="4">
        <f>'QTR BS'!B15</f>
        <v>0</v>
      </c>
      <c r="C14" s="4">
        <f>'QTR BS'!C15</f>
        <v>0</v>
      </c>
      <c r="D14" s="4">
        <f>'QTR BS'!D15</f>
        <v>6396</v>
      </c>
      <c r="E14" s="4">
        <f>'QTR BS'!E15</f>
        <v>7686</v>
      </c>
      <c r="F14" s="4">
        <f>'QTR BS'!F15</f>
        <v>0</v>
      </c>
      <c r="G14" s="4">
        <f>'QTR BS'!G15</f>
        <v>501</v>
      </c>
      <c r="H14" s="4">
        <f>'QTR BS'!H15</f>
        <v>482</v>
      </c>
      <c r="I14" s="4">
        <f>'QTR BS'!I15</f>
        <v>28373</v>
      </c>
      <c r="J14" s="4">
        <f>'QTR BS'!J15</f>
        <v>30614</v>
      </c>
      <c r="K14" s="4">
        <f>'QTR BS'!K15</f>
        <v>29518</v>
      </c>
      <c r="L14" s="4">
        <f>'QTR BS'!L15</f>
        <v>22437</v>
      </c>
      <c r="M14" s="4">
        <f>'QTR BS'!M15</f>
        <v>22727</v>
      </c>
      <c r="N14" s="4">
        <f>'QTR BS'!N15</f>
        <v>24186</v>
      </c>
      <c r="O14" s="4">
        <f>'QTR BS'!O15</f>
        <v>38699</v>
      </c>
      <c r="P14" s="4">
        <f>'QTR BS'!P15</f>
        <v>38525</v>
      </c>
      <c r="Q14" s="4">
        <f>'QTR BS'!Q15</f>
        <v>43158</v>
      </c>
      <c r="R14" s="4">
        <f>'QTR BS'!R15</f>
        <v>110410</v>
      </c>
      <c r="S14" s="4">
        <f>'QTR BS'!S15</f>
        <v>96013</v>
      </c>
      <c r="T14" s="4">
        <f>S14-'QTR CF'!W14</f>
        <v>81941</v>
      </c>
      <c r="U14" s="4">
        <f>T14-'QTR CF'!X14</f>
        <v>67869</v>
      </c>
      <c r="V14" s="4">
        <f>U14-'QTR CF'!Y14</f>
        <v>53797</v>
      </c>
      <c r="W14" s="4">
        <f>V14-'QTR CF'!Z14</f>
        <v>39725</v>
      </c>
      <c r="X14" s="4">
        <f>W14-'QTR CF'!AA14</f>
        <v>25653</v>
      </c>
      <c r="Y14" s="4">
        <f>X14-'QTR CF'!AB14</f>
        <v>11581</v>
      </c>
      <c r="Z14" s="4">
        <f>Y14-'QTR CF'!AC14</f>
        <v>-2491</v>
      </c>
      <c r="AA14" s="4">
        <f>Z14-'QTR CF'!AD14</f>
        <v>-16563</v>
      </c>
      <c r="AB14" s="4">
        <f>AA14-'QTR CF'!AE14</f>
        <v>-30635</v>
      </c>
      <c r="AC14" s="4">
        <f>AB14-'QTR CF'!AF14</f>
        <v>-44707</v>
      </c>
      <c r="AD14" s="4">
        <f>AC14-'QTR CF'!AG14</f>
        <v>-58779</v>
      </c>
      <c r="AE14" s="4">
        <f>AD14-'QTR CF'!AH14</f>
        <v>-72851</v>
      </c>
      <c r="AF14" s="4">
        <f>AE14-'QTR CF'!AI14</f>
        <v>-86923</v>
      </c>
      <c r="AG14" s="4">
        <f>AF14-'QTR CF'!AJ14</f>
        <v>-100995</v>
      </c>
      <c r="AH14" s="4">
        <f>AG14-'QTR CF'!AK14</f>
        <v>-115067</v>
      </c>
      <c r="AI14" s="4">
        <f>AH14-'QTR CF'!AL14</f>
        <v>-129139</v>
      </c>
      <c r="AJ14" s="4">
        <f>AI14-'QTR CF'!AM14</f>
        <v>-143211</v>
      </c>
      <c r="AK14" s="4">
        <f>AJ14-'QTR CF'!AN14</f>
        <v>-157283</v>
      </c>
      <c r="AL14" s="4">
        <f>AK14-'QTR CF'!AO14</f>
        <v>-171355</v>
      </c>
      <c r="AM14" s="4">
        <f>AL14-'QTR CF'!AP14</f>
        <v>-185427</v>
      </c>
    </row>
    <row r="15" spans="1:39" x14ac:dyDescent="0.3">
      <c r="A15" s="3" t="s">
        <v>180</v>
      </c>
      <c r="B15" s="11">
        <f>IFERROR('QTR BS'!B16/'QTR P&amp;L'!D2,"")</f>
        <v>8.7229792214576129E-4</v>
      </c>
      <c r="C15" s="11">
        <f>IFERROR('QTR BS'!C16/'QTR P&amp;L'!E2,"")</f>
        <v>1.1239701988534291E-3</v>
      </c>
      <c r="D15" s="11">
        <f>IFERROR('QTR BS'!D16/'QTR P&amp;L'!G2,"")</f>
        <v>1.649323777251327E-3</v>
      </c>
      <c r="E15" s="11">
        <f>IFERROR('QTR BS'!E16/'QTR P&amp;L'!H2,"")</f>
        <v>1.1686793922867161E-3</v>
      </c>
      <c r="F15" s="11">
        <f>IFERROR('QTR BS'!F16/'QTR P&amp;L'!I2,"")</f>
        <v>1.17939563942369E-3</v>
      </c>
      <c r="G15" s="11">
        <f>IFERROR('QTR BS'!G16/'QTR P&amp;L'!J2,"")</f>
        <v>1.1687757074464499E-3</v>
      </c>
      <c r="H15" s="11">
        <f>IFERROR('QTR BS'!H16/'QTR P&amp;L'!K2,"")</f>
        <v>7.3478777713232722E-4</v>
      </c>
      <c r="I15" s="11">
        <f>IFERROR('QTR BS'!I16/'QTR P&amp;L'!L2,"")</f>
        <v>5.247281999981589E-4</v>
      </c>
      <c r="J15" s="11">
        <f>IFERROR('QTR BS'!J16/'QTR P&amp;L'!M2,"")</f>
        <v>3.8465836878861202E-4</v>
      </c>
      <c r="K15" s="11">
        <f>IFERROR('QTR BS'!K16/'QTR P&amp;L'!N2,"")</f>
        <v>5.9867313310403385E-4</v>
      </c>
      <c r="L15" s="11">
        <f>IFERROR('QTR BS'!L16/'QTR P&amp;L'!O2,"")</f>
        <v>7.3937049490031153E-4</v>
      </c>
      <c r="M15" s="11">
        <f>IFERROR('QTR BS'!M16/'QTR P&amp;L'!P2,"")</f>
        <v>5.7963515325503703E-4</v>
      </c>
      <c r="N15" s="11">
        <f>IFERROR('QTR BS'!N16/'QTR P&amp;L'!Q2,"")</f>
        <v>8.0527416951397569E-4</v>
      </c>
      <c r="O15" s="11">
        <f>IFERROR('QTR BS'!O16/'QTR P&amp;L'!R2,"")</f>
        <v>6.9236025611308955E-4</v>
      </c>
      <c r="P15" s="11">
        <f>IFERROR('QTR BS'!P16/'QTR P&amp;L'!S2,"")</f>
        <v>0</v>
      </c>
      <c r="Q15" s="11">
        <f>IFERROR('QTR BS'!Q16/'QTR P&amp;L'!T2,"")</f>
        <v>0</v>
      </c>
      <c r="R15" s="11">
        <f>IFERROR('QTR BS'!R16/'QTR P&amp;L'!U2,"")</f>
        <v>0</v>
      </c>
      <c r="S15" s="11">
        <f>IFERROR('QTR BS'!S16/'QTR P&amp;L'!V2,"")</f>
        <v>0</v>
      </c>
      <c r="T15" s="12">
        <f t="shared" ref="T15:AM15" si="11">S15</f>
        <v>0</v>
      </c>
      <c r="U15" s="12">
        <f t="shared" si="11"/>
        <v>0</v>
      </c>
      <c r="V15" s="12">
        <f t="shared" si="11"/>
        <v>0</v>
      </c>
      <c r="W15" s="12">
        <f t="shared" si="11"/>
        <v>0</v>
      </c>
      <c r="X15" s="12">
        <f t="shared" si="11"/>
        <v>0</v>
      </c>
      <c r="Y15" s="12">
        <f t="shared" si="11"/>
        <v>0</v>
      </c>
      <c r="Z15" s="12">
        <f t="shared" si="11"/>
        <v>0</v>
      </c>
      <c r="AA15" s="12">
        <f t="shared" si="11"/>
        <v>0</v>
      </c>
      <c r="AB15" s="12">
        <f t="shared" si="11"/>
        <v>0</v>
      </c>
      <c r="AC15" s="12">
        <f t="shared" si="11"/>
        <v>0</v>
      </c>
      <c r="AD15" s="12">
        <f t="shared" si="11"/>
        <v>0</v>
      </c>
      <c r="AE15" s="12">
        <f t="shared" si="11"/>
        <v>0</v>
      </c>
      <c r="AF15" s="12">
        <f t="shared" si="11"/>
        <v>0</v>
      </c>
      <c r="AG15" s="12">
        <f t="shared" si="11"/>
        <v>0</v>
      </c>
      <c r="AH15" s="12">
        <f t="shared" si="11"/>
        <v>0</v>
      </c>
      <c r="AI15" s="12">
        <f t="shared" si="11"/>
        <v>0</v>
      </c>
      <c r="AJ15" s="12">
        <f t="shared" si="11"/>
        <v>0</v>
      </c>
      <c r="AK15" s="12">
        <f t="shared" si="11"/>
        <v>0</v>
      </c>
      <c r="AL15" s="12">
        <f t="shared" si="11"/>
        <v>0</v>
      </c>
      <c r="AM15" s="12">
        <f t="shared" si="11"/>
        <v>0</v>
      </c>
    </row>
    <row r="16" spans="1:39" x14ac:dyDescent="0.3">
      <c r="A16" s="3" t="s">
        <v>181</v>
      </c>
      <c r="B16" s="11">
        <f>IFERROR('QTR BS'!B17/'QTR P&amp;L'!D2,"")</f>
        <v>9.7738390009289829E-4</v>
      </c>
      <c r="C16" s="11">
        <f>IFERROR('QTR BS'!C17/'QTR P&amp;L'!E2,"")</f>
        <v>3.2499412595841707E-3</v>
      </c>
      <c r="D16" s="11">
        <f>IFERROR('QTR BS'!D17/'QTR P&amp;L'!G2,"")</f>
        <v>2.1965993942483584E-3</v>
      </c>
      <c r="E16" s="11">
        <f>IFERROR('QTR BS'!E17/'QTR P&amp;L'!H2,"")</f>
        <v>1.7140631086871834E-3</v>
      </c>
      <c r="F16" s="11">
        <f>IFERROR('QTR BS'!F17/'QTR P&amp;L'!I2,"")</f>
        <v>1.2856474988312296E-3</v>
      </c>
      <c r="G16" s="11">
        <f>IFERROR('QTR BS'!G17/'QTR P&amp;L'!J2,"")</f>
        <v>1.4778269762423862E-3</v>
      </c>
      <c r="H16" s="11">
        <f>IFERROR('QTR BS'!H17/'QTR P&amp;L'!K2,"")</f>
        <v>1.0117758397162411E-3</v>
      </c>
      <c r="I16" s="11">
        <f>IFERROR('QTR BS'!I17/'QTR P&amp;L'!L2,"")</f>
        <v>7.7942083508498452E-4</v>
      </c>
      <c r="J16" s="11">
        <f>IFERROR('QTR BS'!J17/'QTR P&amp;L'!M2,"")</f>
        <v>6.8874640357420396E-4</v>
      </c>
      <c r="K16" s="11">
        <f>IFERROR('QTR BS'!K17/'QTR P&amp;L'!N2,"")</f>
        <v>8.3756673910227817E-4</v>
      </c>
      <c r="L16" s="11">
        <f>IFERROR('QTR BS'!L17/'QTR P&amp;L'!O2,"")</f>
        <v>2.2386339357000688E-2</v>
      </c>
      <c r="M16" s="11">
        <f>IFERROR('QTR BS'!M17/'QTR P&amp;L'!P2,"")</f>
        <v>1.6550698174273654E-2</v>
      </c>
      <c r="N16" s="11">
        <f>IFERROR('QTR BS'!N17/'QTR P&amp;L'!Q2,"")</f>
        <v>3.2338907536463117E-2</v>
      </c>
      <c r="O16" s="11">
        <f>IFERROR('QTR BS'!O17/'QTR P&amp;L'!R2,"")</f>
        <v>2.4545676210200575E-2</v>
      </c>
      <c r="P16" s="11">
        <f>IFERROR('QTR BS'!P17/'QTR P&amp;L'!S2,"")</f>
        <v>4.469502787934742E-2</v>
      </c>
      <c r="Q16" s="11">
        <f>IFERROR('QTR BS'!Q17/'QTR P&amp;L'!T2,"")</f>
        <v>4.9718704811169023E-2</v>
      </c>
      <c r="R16" s="11">
        <f>IFERROR('QTR BS'!R17/'QTR P&amp;L'!U2,"")</f>
        <v>4.9384503782895189E-2</v>
      </c>
      <c r="S16" s="11">
        <f>IFERROR('QTR BS'!S17/'QTR P&amp;L'!V2,"")</f>
        <v>6.0188906195435876E-2</v>
      </c>
      <c r="T16" s="12">
        <f t="shared" ref="T16:AM16" si="12">S16</f>
        <v>6.0188906195435876E-2</v>
      </c>
      <c r="U16" s="12">
        <f t="shared" si="12"/>
        <v>6.0188906195435876E-2</v>
      </c>
      <c r="V16" s="12">
        <f t="shared" si="12"/>
        <v>6.0188906195435876E-2</v>
      </c>
      <c r="W16" s="12">
        <f t="shared" si="12"/>
        <v>6.0188906195435876E-2</v>
      </c>
      <c r="X16" s="12">
        <f t="shared" si="12"/>
        <v>6.0188906195435876E-2</v>
      </c>
      <c r="Y16" s="12">
        <f t="shared" si="12"/>
        <v>6.0188906195435876E-2</v>
      </c>
      <c r="Z16" s="12">
        <f t="shared" si="12"/>
        <v>6.0188906195435876E-2</v>
      </c>
      <c r="AA16" s="12">
        <f t="shared" si="12"/>
        <v>6.0188906195435876E-2</v>
      </c>
      <c r="AB16" s="12">
        <f t="shared" si="12"/>
        <v>6.0188906195435876E-2</v>
      </c>
      <c r="AC16" s="12">
        <f t="shared" si="12"/>
        <v>6.0188906195435876E-2</v>
      </c>
      <c r="AD16" s="12">
        <f t="shared" si="12"/>
        <v>6.0188906195435876E-2</v>
      </c>
      <c r="AE16" s="12">
        <f t="shared" si="12"/>
        <v>6.0188906195435876E-2</v>
      </c>
      <c r="AF16" s="12">
        <f t="shared" si="12"/>
        <v>6.0188906195435876E-2</v>
      </c>
      <c r="AG16" s="12">
        <f t="shared" si="12"/>
        <v>6.0188906195435876E-2</v>
      </c>
      <c r="AH16" s="12">
        <f t="shared" si="12"/>
        <v>6.0188906195435876E-2</v>
      </c>
      <c r="AI16" s="12">
        <f t="shared" si="12"/>
        <v>6.0188906195435876E-2</v>
      </c>
      <c r="AJ16" s="12">
        <f t="shared" si="12"/>
        <v>6.0188906195435876E-2</v>
      </c>
      <c r="AK16" s="12">
        <f t="shared" si="12"/>
        <v>6.0188906195435876E-2</v>
      </c>
      <c r="AL16" s="12">
        <f t="shared" si="12"/>
        <v>6.0188906195435876E-2</v>
      </c>
      <c r="AM16" s="12">
        <f t="shared" si="12"/>
        <v>6.0188906195435876E-2</v>
      </c>
    </row>
    <row r="17" spans="1:39" x14ac:dyDescent="0.3">
      <c r="A17" s="3" t="s">
        <v>182</v>
      </c>
      <c r="B17" s="14">
        <f>IFERROR('QTR BS'!B19/'QTR P&amp;L'!D3*ASSUMPTIONS!$B$2,"")</f>
        <v>-72.788804506522709</v>
      </c>
      <c r="C17" s="14">
        <f>IFERROR('QTR BS'!C19/'QTR P&amp;L'!E3*ASSUMPTIONS!$B$2,"")</f>
        <v>-146.21460314198922</v>
      </c>
      <c r="D17" s="14">
        <f>IFERROR('QTR BS'!D19/'QTR P&amp;L'!G3*ASSUMPTIONS!$B$2,"")</f>
        <v>-125.12814803632978</v>
      </c>
      <c r="E17" s="14">
        <f>IFERROR('QTR BS'!E19/'QTR P&amp;L'!H3*ASSUMPTIONS!$B$2,"")</f>
        <v>-98.413490881828068</v>
      </c>
      <c r="F17" s="14">
        <f>IFERROR('QTR BS'!F19/'QTR P&amp;L'!I3*ASSUMPTIONS!$B$2,"")</f>
        <v>-119.53657957894929</v>
      </c>
      <c r="G17" s="14">
        <f>IFERROR('QTR BS'!G19/'QTR P&amp;L'!J3*ASSUMPTIONS!$B$2,"")</f>
        <v>-33.333346807199085</v>
      </c>
      <c r="H17" s="14">
        <f>IFERROR('QTR BS'!H19/'QTR P&amp;L'!K3*ASSUMPTIONS!$B$2,"")</f>
        <v>-66.706305048555649</v>
      </c>
      <c r="I17" s="14">
        <f>IFERROR('QTR BS'!I19/'QTR P&amp;L'!L3*ASSUMPTIONS!$B$2,"")</f>
        <v>-51.426295322040403</v>
      </c>
      <c r="J17" s="14">
        <f>IFERROR('QTR BS'!J19/'QTR P&amp;L'!M3*ASSUMPTIONS!$B$2,"")</f>
        <v>-57.789474236265903</v>
      </c>
      <c r="K17" s="14">
        <f>IFERROR('QTR BS'!K19/'QTR P&amp;L'!N3*ASSUMPTIONS!$B$2,"")</f>
        <v>-21.515756940228489</v>
      </c>
      <c r="L17" s="14">
        <f>IFERROR('QTR BS'!L19/'QTR P&amp;L'!O3*ASSUMPTIONS!$B$2,"")</f>
        <v>-21.082506729067841</v>
      </c>
      <c r="M17" s="14">
        <f>IFERROR('QTR BS'!M19/'QTR P&amp;L'!P3*ASSUMPTIONS!$B$2,"")</f>
        <v>-22.374094639644547</v>
      </c>
      <c r="N17" s="14">
        <f>IFERROR('QTR BS'!N19/'QTR P&amp;L'!Q3*ASSUMPTIONS!$B$2,"")</f>
        <v>-19.616622189396526</v>
      </c>
      <c r="O17" s="14">
        <f>IFERROR('QTR BS'!O19/'QTR P&amp;L'!R3*ASSUMPTIONS!$B$2,"")</f>
        <v>-22.698321693530847</v>
      </c>
      <c r="P17" s="14">
        <f>IFERROR('QTR BS'!P19/'QTR P&amp;L'!S3*ASSUMPTIONS!$B$2,"")</f>
        <v>-35.408704741145804</v>
      </c>
      <c r="Q17" s="14">
        <f>IFERROR('QTR BS'!Q19/'QTR P&amp;L'!T3*ASSUMPTIONS!$B$2,"")</f>
        <v>-30.7123222695922</v>
      </c>
      <c r="R17" s="14">
        <f>IFERROR('QTR BS'!R19/'QTR P&amp;L'!U3*ASSUMPTIONS!$B$2,"")</f>
        <v>-25.222712547509119</v>
      </c>
      <c r="S17" s="14">
        <f>IFERROR('QTR BS'!S19/'QTR P&amp;L'!V3*ASSUMPTIONS!$B$2,"")</f>
        <v>-33.048172976161013</v>
      </c>
      <c r="T17" s="15">
        <f t="shared" ref="T17:AM17" si="13">S17</f>
        <v>-33.048172976161013</v>
      </c>
      <c r="U17" s="15">
        <f t="shared" si="13"/>
        <v>-33.048172976161013</v>
      </c>
      <c r="V17" s="15">
        <f t="shared" si="13"/>
        <v>-33.048172976161013</v>
      </c>
      <c r="W17" s="15">
        <f t="shared" si="13"/>
        <v>-33.048172976161013</v>
      </c>
      <c r="X17" s="15">
        <f t="shared" si="13"/>
        <v>-33.048172976161013</v>
      </c>
      <c r="Y17" s="15">
        <f t="shared" si="13"/>
        <v>-33.048172976161013</v>
      </c>
      <c r="Z17" s="15">
        <f t="shared" si="13"/>
        <v>-33.048172976161013</v>
      </c>
      <c r="AA17" s="15">
        <f t="shared" si="13"/>
        <v>-33.048172976161013</v>
      </c>
      <c r="AB17" s="15">
        <f t="shared" si="13"/>
        <v>-33.048172976161013</v>
      </c>
      <c r="AC17" s="15">
        <f t="shared" si="13"/>
        <v>-33.048172976161013</v>
      </c>
      <c r="AD17" s="15">
        <f t="shared" si="13"/>
        <v>-33.048172976161013</v>
      </c>
      <c r="AE17" s="15">
        <f t="shared" si="13"/>
        <v>-33.048172976161013</v>
      </c>
      <c r="AF17" s="15">
        <f t="shared" si="13"/>
        <v>-33.048172976161013</v>
      </c>
      <c r="AG17" s="15">
        <f t="shared" si="13"/>
        <v>-33.048172976161013</v>
      </c>
      <c r="AH17" s="15">
        <f t="shared" si="13"/>
        <v>-33.048172976161013</v>
      </c>
      <c r="AI17" s="15">
        <f t="shared" si="13"/>
        <v>-33.048172976161013</v>
      </c>
      <c r="AJ17" s="15">
        <f t="shared" si="13"/>
        <v>-33.048172976161013</v>
      </c>
      <c r="AK17" s="15">
        <f t="shared" si="13"/>
        <v>-33.048172976161013</v>
      </c>
      <c r="AL17" s="15">
        <f t="shared" si="13"/>
        <v>-33.048172976161013</v>
      </c>
      <c r="AM17" s="15">
        <f t="shared" si="13"/>
        <v>-33.048172976161013</v>
      </c>
    </row>
    <row r="18" spans="1:39" x14ac:dyDescent="0.3">
      <c r="A18" s="3" t="s">
        <v>183</v>
      </c>
      <c r="B18" s="11">
        <f>IFERROR('QTR BS'!B20/'QTR P&amp;L'!D2,"")</f>
        <v>0</v>
      </c>
      <c r="C18" s="11">
        <f>IFERROR('QTR BS'!C20/'QTR P&amp;L'!E2,"")</f>
        <v>0</v>
      </c>
      <c r="D18" s="11">
        <f>IFERROR('QTR BS'!D20/'QTR P&amp;L'!G2,"")</f>
        <v>0</v>
      </c>
      <c r="E18" s="11">
        <f>IFERROR('QTR BS'!E20/'QTR P&amp;L'!H2,"")</f>
        <v>0</v>
      </c>
      <c r="F18" s="11">
        <f>IFERROR('QTR BS'!F20/'QTR P&amp;L'!I2,"")</f>
        <v>0</v>
      </c>
      <c r="G18" s="11">
        <f>IFERROR('QTR BS'!G20/'QTR P&amp;L'!J2,"")</f>
        <v>0.39277044795576632</v>
      </c>
      <c r="H18" s="11">
        <f>IFERROR('QTR BS'!H20/'QTR P&amp;L'!K2,"")</f>
        <v>0</v>
      </c>
      <c r="I18" s="11">
        <f>IFERROR('QTR BS'!I20/'QTR P&amp;L'!L2,"")</f>
        <v>0</v>
      </c>
      <c r="J18" s="11">
        <f>IFERROR('QTR BS'!J20/'QTR P&amp;L'!M2,"")</f>
        <v>0</v>
      </c>
      <c r="K18" s="11">
        <f>IFERROR('QTR BS'!K20/'QTR P&amp;L'!N2,"")</f>
        <v>0.17879603379049319</v>
      </c>
      <c r="L18" s="11">
        <f>IFERROR('QTR BS'!L20/'QTR P&amp;L'!O2,"")</f>
        <v>0.17956020106379389</v>
      </c>
      <c r="M18" s="11">
        <f>IFERROR('QTR BS'!M20/'QTR P&amp;L'!P2,"")</f>
        <v>0.19810337407364104</v>
      </c>
      <c r="N18" s="11">
        <f>IFERROR('QTR BS'!N20/'QTR P&amp;L'!Q2,"")</f>
        <v>0.27478663997471287</v>
      </c>
      <c r="O18" s="11">
        <f>IFERROR('QTR BS'!O20/'QTR P&amp;L'!R2,"")</f>
        <v>0.44786677784567591</v>
      </c>
      <c r="P18" s="11">
        <f>IFERROR('QTR BS'!P20/'QTR P&amp;L'!S2,"")</f>
        <v>0.46175852476342033</v>
      </c>
      <c r="Q18" s="11">
        <f>IFERROR('QTR BS'!Q20/'QTR P&amp;L'!T2,"")</f>
        <v>0.30552079852933817</v>
      </c>
      <c r="R18" s="11">
        <f>IFERROR('QTR BS'!R20/'QTR P&amp;L'!U2,"")</f>
        <v>0.42996196418178861</v>
      </c>
      <c r="S18" s="11">
        <f>IFERROR('QTR BS'!S20/'QTR P&amp;L'!V2,"")</f>
        <v>0.31972290432189437</v>
      </c>
      <c r="T18" s="12">
        <f t="shared" ref="T18:AM18" si="14">S18</f>
        <v>0.31972290432189437</v>
      </c>
      <c r="U18" s="12">
        <f t="shared" si="14"/>
        <v>0.31972290432189437</v>
      </c>
      <c r="V18" s="12">
        <f t="shared" si="14"/>
        <v>0.31972290432189437</v>
      </c>
      <c r="W18" s="12">
        <f t="shared" si="14"/>
        <v>0.31972290432189437</v>
      </c>
      <c r="X18" s="12">
        <f t="shared" si="14"/>
        <v>0.31972290432189437</v>
      </c>
      <c r="Y18" s="12">
        <f t="shared" si="14"/>
        <v>0.31972290432189437</v>
      </c>
      <c r="Z18" s="12">
        <f t="shared" si="14"/>
        <v>0.31972290432189437</v>
      </c>
      <c r="AA18" s="12">
        <f t="shared" si="14"/>
        <v>0.31972290432189437</v>
      </c>
      <c r="AB18" s="12">
        <f t="shared" si="14"/>
        <v>0.31972290432189437</v>
      </c>
      <c r="AC18" s="12">
        <f t="shared" si="14"/>
        <v>0.31972290432189437</v>
      </c>
      <c r="AD18" s="12">
        <f t="shared" si="14"/>
        <v>0.31972290432189437</v>
      </c>
      <c r="AE18" s="12">
        <f t="shared" si="14"/>
        <v>0.31972290432189437</v>
      </c>
      <c r="AF18" s="12">
        <f t="shared" si="14"/>
        <v>0.31972290432189437</v>
      </c>
      <c r="AG18" s="12">
        <f t="shared" si="14"/>
        <v>0.31972290432189437</v>
      </c>
      <c r="AH18" s="12">
        <f t="shared" si="14"/>
        <v>0.31972290432189437</v>
      </c>
      <c r="AI18" s="12">
        <f t="shared" si="14"/>
        <v>0.31972290432189437</v>
      </c>
      <c r="AJ18" s="12">
        <f t="shared" si="14"/>
        <v>0.31972290432189437</v>
      </c>
      <c r="AK18" s="12">
        <f t="shared" si="14"/>
        <v>0.31972290432189437</v>
      </c>
      <c r="AL18" s="12">
        <f t="shared" si="14"/>
        <v>0.31972290432189437</v>
      </c>
      <c r="AM18" s="12">
        <f t="shared" si="14"/>
        <v>0.31972290432189437</v>
      </c>
    </row>
    <row r="19" spans="1:39" x14ac:dyDescent="0.3">
      <c r="A19" s="3" t="s">
        <v>184</v>
      </c>
      <c r="B19" s="11">
        <f>IFERROR('QTR BS'!B21/'QTR P&amp;L'!D2,"")</f>
        <v>0</v>
      </c>
      <c r="C19" s="11">
        <f>IFERROR('QTR BS'!C21/'QTR P&amp;L'!E2,"")</f>
        <v>0</v>
      </c>
      <c r="D19" s="11">
        <f>IFERROR('QTR BS'!D21/'QTR P&amp;L'!G2,"")</f>
        <v>0</v>
      </c>
      <c r="E19" s="11">
        <f>IFERROR('QTR BS'!E21/'QTR P&amp;L'!H2,"")</f>
        <v>0</v>
      </c>
      <c r="F19" s="11">
        <f>IFERROR('QTR BS'!F21/'QTR P&amp;L'!I2,"")</f>
        <v>0</v>
      </c>
      <c r="G19" s="11">
        <f>IFERROR('QTR BS'!G21/'QTR P&amp;L'!J2,"")</f>
        <v>6.703602975882763E-3</v>
      </c>
      <c r="H19" s="11">
        <f>IFERROR('QTR BS'!H21/'QTR P&amp;L'!K2,"")</f>
        <v>0</v>
      </c>
      <c r="I19" s="11">
        <f>IFERROR('QTR BS'!I21/'QTR P&amp;L'!L2,"")</f>
        <v>0.18042671756427919</v>
      </c>
      <c r="J19" s="11">
        <f>IFERROR('QTR BS'!J21/'QTR P&amp;L'!M2,"")</f>
        <v>0.15296667766928218</v>
      </c>
      <c r="K19" s="11">
        <f>IFERROR('QTR BS'!K21/'QTR P&amp;L'!N2,"")</f>
        <v>0.14513218299825867</v>
      </c>
      <c r="L19" s="11">
        <f>IFERROR('QTR BS'!L21/'QTR P&amp;L'!O2,"")</f>
        <v>0.16479528152304698</v>
      </c>
      <c r="M19" s="11">
        <f>IFERROR('QTR BS'!M21/'QTR P&amp;L'!P2,"")</f>
        <v>1.3368924092671968E-2</v>
      </c>
      <c r="N19" s="11">
        <f>IFERROR('QTR BS'!N21/'QTR P&amp;L'!Q2,"")</f>
        <v>2.7808299592094765E-3</v>
      </c>
      <c r="O19" s="11">
        <f>IFERROR('QTR BS'!O21/'QTR P&amp;L'!R2,"")</f>
        <v>3.261317832490962E-2</v>
      </c>
      <c r="P19" s="11">
        <f>IFERROR('QTR BS'!P21/'QTR P&amp;L'!S2,"")</f>
        <v>7.9586729673586903E-2</v>
      </c>
      <c r="Q19" s="11">
        <f>IFERROR('QTR BS'!Q21/'QTR P&amp;L'!T2,"")</f>
        <v>2.9441643591758774E-2</v>
      </c>
      <c r="R19" s="11">
        <f>IFERROR('QTR BS'!R21/'QTR P&amp;L'!U2,"")</f>
        <v>6.8390000910211746E-2</v>
      </c>
      <c r="S19" s="11">
        <f>IFERROR('QTR BS'!S21/'QTR P&amp;L'!V2,"")</f>
        <v>6.8750103931665626E-2</v>
      </c>
      <c r="T19" s="12">
        <f t="shared" ref="T19:AM19" si="15">S19</f>
        <v>6.8750103931665626E-2</v>
      </c>
      <c r="U19" s="12">
        <f t="shared" si="15"/>
        <v>6.8750103931665626E-2</v>
      </c>
      <c r="V19" s="12">
        <f t="shared" si="15"/>
        <v>6.8750103931665626E-2</v>
      </c>
      <c r="W19" s="12">
        <f t="shared" si="15"/>
        <v>6.8750103931665626E-2</v>
      </c>
      <c r="X19" s="12">
        <f t="shared" si="15"/>
        <v>6.8750103931665626E-2</v>
      </c>
      <c r="Y19" s="12">
        <f t="shared" si="15"/>
        <v>6.8750103931665626E-2</v>
      </c>
      <c r="Z19" s="12">
        <f t="shared" si="15"/>
        <v>6.8750103931665626E-2</v>
      </c>
      <c r="AA19" s="12">
        <f t="shared" si="15"/>
        <v>6.8750103931665626E-2</v>
      </c>
      <c r="AB19" s="12">
        <f t="shared" si="15"/>
        <v>6.8750103931665626E-2</v>
      </c>
      <c r="AC19" s="12">
        <f t="shared" si="15"/>
        <v>6.8750103931665626E-2</v>
      </c>
      <c r="AD19" s="12">
        <f t="shared" si="15"/>
        <v>6.8750103931665626E-2</v>
      </c>
      <c r="AE19" s="12">
        <f t="shared" si="15"/>
        <v>6.8750103931665626E-2</v>
      </c>
      <c r="AF19" s="12">
        <f t="shared" si="15"/>
        <v>6.8750103931665626E-2</v>
      </c>
      <c r="AG19" s="12">
        <f t="shared" si="15"/>
        <v>6.8750103931665626E-2</v>
      </c>
      <c r="AH19" s="12">
        <f t="shared" si="15"/>
        <v>6.8750103931665626E-2</v>
      </c>
      <c r="AI19" s="12">
        <f t="shared" si="15"/>
        <v>6.8750103931665626E-2</v>
      </c>
      <c r="AJ19" s="12">
        <f t="shared" si="15"/>
        <v>6.8750103931665626E-2</v>
      </c>
      <c r="AK19" s="12">
        <f t="shared" si="15"/>
        <v>6.8750103931665626E-2</v>
      </c>
      <c r="AL19" s="12">
        <f t="shared" si="15"/>
        <v>6.8750103931665626E-2</v>
      </c>
      <c r="AM19" s="12">
        <f t="shared" si="15"/>
        <v>6.8750103931665626E-2</v>
      </c>
    </row>
    <row r="20" spans="1:39" x14ac:dyDescent="0.3">
      <c r="A20" s="3" t="s">
        <v>51</v>
      </c>
      <c r="B20" s="4">
        <f>'QTR BS'!B22</f>
        <v>0</v>
      </c>
      <c r="C20" s="4">
        <f>'QTR BS'!C22</f>
        <v>0</v>
      </c>
      <c r="D20" s="4">
        <f>'QTR BS'!D22</f>
        <v>0</v>
      </c>
      <c r="E20" s="4">
        <f>'QTR BS'!E22</f>
        <v>0</v>
      </c>
      <c r="F20" s="4">
        <f>'QTR BS'!F22</f>
        <v>115551</v>
      </c>
      <c r="G20" s="4">
        <f>'QTR BS'!G22</f>
        <v>3986</v>
      </c>
      <c r="H20" s="4">
        <f>'QTR BS'!H22</f>
        <v>1063</v>
      </c>
      <c r="I20" s="4">
        <f>'QTR BS'!I22</f>
        <v>0</v>
      </c>
      <c r="J20" s="4">
        <f>'QTR BS'!J22</f>
        <v>0</v>
      </c>
      <c r="K20" s="4">
        <f>'QTR BS'!K22</f>
        <v>0</v>
      </c>
      <c r="L20" s="4">
        <f>'QTR BS'!L22</f>
        <v>0</v>
      </c>
      <c r="M20" s="4">
        <f>'QTR BS'!M22</f>
        <v>0</v>
      </c>
      <c r="N20" s="4">
        <f>'QTR BS'!N22</f>
        <v>0</v>
      </c>
      <c r="O20" s="4">
        <f>'QTR BS'!O22</f>
        <v>0</v>
      </c>
      <c r="P20" s="4">
        <f>'QTR BS'!P22</f>
        <v>0</v>
      </c>
      <c r="Q20" s="4">
        <f>'QTR BS'!Q22</f>
        <v>0</v>
      </c>
      <c r="R20" s="4">
        <f>'QTR BS'!R22</f>
        <v>252953</v>
      </c>
      <c r="S20" s="4">
        <f>'QTR BS'!S22</f>
        <v>264088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</row>
    <row r="21" spans="1:39" x14ac:dyDescent="0.3">
      <c r="A21" s="3" t="s">
        <v>185</v>
      </c>
      <c r="B21" s="11">
        <f>IFERROR('QTR BS'!B23/'QTR P&amp;L'!D2,"")</f>
        <v>0</v>
      </c>
      <c r="C21" s="11">
        <f>IFERROR('QTR BS'!C23/'QTR P&amp;L'!E2,"")</f>
        <v>0</v>
      </c>
      <c r="D21" s="11">
        <f>IFERROR('QTR BS'!D23/'QTR P&amp;L'!G2,"")</f>
        <v>0</v>
      </c>
      <c r="E21" s="11">
        <f>IFERROR('QTR BS'!E23/'QTR P&amp;L'!H2,"")</f>
        <v>0</v>
      </c>
      <c r="F21" s="11">
        <f>IFERROR('QTR BS'!F23/'QTR P&amp;L'!I2,"")</f>
        <v>0</v>
      </c>
      <c r="G21" s="11">
        <f>IFERROR('QTR BS'!G23/'QTR P&amp;L'!J2,"")</f>
        <v>0.20215886359038907</v>
      </c>
      <c r="H21" s="11">
        <f>IFERROR('QTR BS'!H23/'QTR P&amp;L'!K2,"")</f>
        <v>0.2624654245803823</v>
      </c>
      <c r="I21" s="11">
        <f>IFERROR('QTR BS'!I23/'QTR P&amp;L'!L2,"")</f>
        <v>0.30358441526560148</v>
      </c>
      <c r="J21" s="11">
        <f>IFERROR('QTR BS'!J23/'QTR P&amp;L'!M2,"")</f>
        <v>0.35491751936936822</v>
      </c>
      <c r="K21" s="11">
        <f>IFERROR('QTR BS'!K23/'QTR P&amp;L'!N2,"")</f>
        <v>0.28721055737044338</v>
      </c>
      <c r="L21" s="11">
        <f>IFERROR('QTR BS'!L23/'QTR P&amp;L'!O2,"")</f>
        <v>0.36322208103275722</v>
      </c>
      <c r="M21" s="11">
        <f>IFERROR('QTR BS'!M23/'QTR P&amp;L'!P2,"")</f>
        <v>0.38927351564890528</v>
      </c>
      <c r="N21" s="11">
        <f>IFERROR('QTR BS'!N23/'QTR P&amp;L'!Q2,"")</f>
        <v>0.59759621897436666</v>
      </c>
      <c r="O21" s="11">
        <f>IFERROR('QTR BS'!O23/'QTR P&amp;L'!R2,"")</f>
        <v>0.40923909607853171</v>
      </c>
      <c r="P21" s="11">
        <f>IFERROR('QTR BS'!P23/'QTR P&amp;L'!S2,"")</f>
        <v>0.45957494624570272</v>
      </c>
      <c r="Q21" s="11">
        <f>IFERROR('QTR BS'!Q23/'QTR P&amp;L'!T2,"")</f>
        <v>0.27076978433810073</v>
      </c>
      <c r="R21" s="11">
        <f>IFERROR('QTR BS'!R23/'QTR P&amp;L'!U2,"")</f>
        <v>0.32280521744407026</v>
      </c>
      <c r="S21" s="11">
        <f>IFERROR('QTR BS'!S23/'QTR P&amp;L'!V2,"")</f>
        <v>0.42670461789176695</v>
      </c>
      <c r="T21" s="12">
        <f t="shared" ref="T21:AM21" si="16">S21</f>
        <v>0.42670461789176695</v>
      </c>
      <c r="U21" s="12">
        <f t="shared" si="16"/>
        <v>0.42670461789176695</v>
      </c>
      <c r="V21" s="12">
        <f t="shared" si="16"/>
        <v>0.42670461789176695</v>
      </c>
      <c r="W21" s="12">
        <f t="shared" si="16"/>
        <v>0.42670461789176695</v>
      </c>
      <c r="X21" s="12">
        <f t="shared" si="16"/>
        <v>0.42670461789176695</v>
      </c>
      <c r="Y21" s="12">
        <f t="shared" si="16"/>
        <v>0.42670461789176695</v>
      </c>
      <c r="Z21" s="12">
        <f t="shared" si="16"/>
        <v>0.42670461789176695</v>
      </c>
      <c r="AA21" s="12">
        <f t="shared" si="16"/>
        <v>0.42670461789176695</v>
      </c>
      <c r="AB21" s="12">
        <f t="shared" si="16"/>
        <v>0.42670461789176695</v>
      </c>
      <c r="AC21" s="12">
        <f t="shared" si="16"/>
        <v>0.42670461789176695</v>
      </c>
      <c r="AD21" s="12">
        <f t="shared" si="16"/>
        <v>0.42670461789176695</v>
      </c>
      <c r="AE21" s="12">
        <f t="shared" si="16"/>
        <v>0.42670461789176695</v>
      </c>
      <c r="AF21" s="12">
        <f t="shared" si="16"/>
        <v>0.42670461789176695</v>
      </c>
      <c r="AG21" s="12">
        <f t="shared" si="16"/>
        <v>0.42670461789176695</v>
      </c>
      <c r="AH21" s="12">
        <f t="shared" si="16"/>
        <v>0.42670461789176695</v>
      </c>
      <c r="AI21" s="12">
        <f t="shared" si="16"/>
        <v>0.42670461789176695</v>
      </c>
      <c r="AJ21" s="12">
        <f t="shared" si="16"/>
        <v>0.42670461789176695</v>
      </c>
      <c r="AK21" s="12">
        <f t="shared" si="16"/>
        <v>0.42670461789176695</v>
      </c>
      <c r="AL21" s="12">
        <f t="shared" si="16"/>
        <v>0.42670461789176695</v>
      </c>
      <c r="AM21" s="12">
        <f t="shared" si="16"/>
        <v>0.42670461789176695</v>
      </c>
    </row>
    <row r="22" spans="1:39" x14ac:dyDescent="0.3">
      <c r="A22" s="3" t="s">
        <v>186</v>
      </c>
      <c r="B22" s="11">
        <f>IFERROR('QTR BS'!B24/'QTR P&amp;L'!D2,"")</f>
        <v>2.7650536097972079E-3</v>
      </c>
      <c r="C22" s="11">
        <f>IFERROR('QTR BS'!C24/'QTR P&amp;L'!E2,"")</f>
        <v>3.9680283555528391E-3</v>
      </c>
      <c r="D22" s="11">
        <f>IFERROR('QTR BS'!D24/'QTR P&amp;L'!G2,"")</f>
        <v>4.2657510420727506E-3</v>
      </c>
      <c r="E22" s="11">
        <f>IFERROR('QTR BS'!E24/'QTR P&amp;L'!H2,"")</f>
        <v>3.6099207895078562E-3</v>
      </c>
      <c r="F22" s="11">
        <f>IFERROR('QTR BS'!F24/'QTR P&amp;L'!I2,"")</f>
        <v>3.5222491393599388E-3</v>
      </c>
      <c r="G22" s="11">
        <f>IFERROR('QTR BS'!G24/'QTR P&amp;L'!J2,"")</f>
        <v>3.7142343395293429E-3</v>
      </c>
      <c r="H22" s="11">
        <f>IFERROR('QTR BS'!H24/'QTR P&amp;L'!K2,"")</f>
        <v>2.3274691369898322E-3</v>
      </c>
      <c r="I22" s="11">
        <f>IFERROR('QTR BS'!I24/'QTR P&amp;L'!L2,"")</f>
        <v>1.5496359122752644E-3</v>
      </c>
      <c r="J22" s="11">
        <f>IFERROR('QTR BS'!J24/'QTR P&amp;L'!M2,"")</f>
        <v>1.6321990243192456E-3</v>
      </c>
      <c r="K22" s="11">
        <f>IFERROR('QTR BS'!K24/'QTR P&amp;L'!N2,"")</f>
        <v>2.8206714925093903E-3</v>
      </c>
      <c r="L22" s="11">
        <f>IFERROR('QTR BS'!L24/'QTR P&amp;L'!O2,"")</f>
        <v>2.3080729137382348E-3</v>
      </c>
      <c r="M22" s="11">
        <f>IFERROR('QTR BS'!M24/'QTR P&amp;L'!P2,"")</f>
        <v>1.8135365953773474E-3</v>
      </c>
      <c r="N22" s="11">
        <f>IFERROR('QTR BS'!N24/'QTR P&amp;L'!Q2,"")</f>
        <v>5.1101043093456956E-3</v>
      </c>
      <c r="O22" s="11">
        <f>IFERROR('QTR BS'!O24/'QTR P&amp;L'!R2,"")</f>
        <v>9.8285053748227713E-3</v>
      </c>
      <c r="P22" s="11">
        <f>IFERROR('QTR BS'!P24/'QTR P&amp;L'!S2,"")</f>
        <v>1.0781229120859097E-2</v>
      </c>
      <c r="Q22" s="11">
        <f>IFERROR('QTR BS'!Q24/'QTR P&amp;L'!T2,"")</f>
        <v>0</v>
      </c>
      <c r="R22" s="11">
        <f>IFERROR('QTR BS'!R24/'QTR P&amp;L'!U2,"")</f>
        <v>0</v>
      </c>
      <c r="S22" s="11">
        <f>IFERROR('QTR BS'!S24/'QTR P&amp;L'!V2,"")</f>
        <v>0</v>
      </c>
      <c r="T22" s="12">
        <f t="shared" ref="T22:AM22" si="17">S22</f>
        <v>0</v>
      </c>
      <c r="U22" s="12">
        <f t="shared" si="17"/>
        <v>0</v>
      </c>
      <c r="V22" s="12">
        <f t="shared" si="17"/>
        <v>0</v>
      </c>
      <c r="W22" s="12">
        <f t="shared" si="17"/>
        <v>0</v>
      </c>
      <c r="X22" s="12">
        <f t="shared" si="17"/>
        <v>0</v>
      </c>
      <c r="Y22" s="12">
        <f t="shared" si="17"/>
        <v>0</v>
      </c>
      <c r="Z22" s="12">
        <f t="shared" si="17"/>
        <v>0</v>
      </c>
      <c r="AA22" s="12">
        <f t="shared" si="17"/>
        <v>0</v>
      </c>
      <c r="AB22" s="12">
        <f t="shared" si="17"/>
        <v>0</v>
      </c>
      <c r="AC22" s="12">
        <f t="shared" si="17"/>
        <v>0</v>
      </c>
      <c r="AD22" s="12">
        <f t="shared" si="17"/>
        <v>0</v>
      </c>
      <c r="AE22" s="12">
        <f t="shared" si="17"/>
        <v>0</v>
      </c>
      <c r="AF22" s="12">
        <f t="shared" si="17"/>
        <v>0</v>
      </c>
      <c r="AG22" s="12">
        <f t="shared" si="17"/>
        <v>0</v>
      </c>
      <c r="AH22" s="12">
        <f t="shared" si="17"/>
        <v>0</v>
      </c>
      <c r="AI22" s="12">
        <f t="shared" si="17"/>
        <v>0</v>
      </c>
      <c r="AJ22" s="12">
        <f t="shared" si="17"/>
        <v>0</v>
      </c>
      <c r="AK22" s="12">
        <f t="shared" si="17"/>
        <v>0</v>
      </c>
      <c r="AL22" s="12">
        <f t="shared" si="17"/>
        <v>0</v>
      </c>
      <c r="AM22" s="12">
        <f t="shared" si="17"/>
        <v>0</v>
      </c>
    </row>
    <row r="23" spans="1:39" x14ac:dyDescent="0.3">
      <c r="A23" s="3" t="s">
        <v>187</v>
      </c>
      <c r="B23" s="11">
        <f>IFERROR('QTR BS'!B25/'QTR P&amp;L'!D2,"")</f>
        <v>1.6665744379536309E-3</v>
      </c>
      <c r="C23" s="11">
        <f>IFERROR('QTR BS'!C25/'QTR P&amp;L'!E2,"")</f>
        <v>1.6384940959296842E-3</v>
      </c>
      <c r="D23" s="11">
        <f>IFERROR('QTR BS'!D25/'QTR P&amp;L'!G2,"")</f>
        <v>1.057066602692896E-3</v>
      </c>
      <c r="E23" s="11">
        <f>IFERROR('QTR BS'!E25/'QTR P&amp;L'!H2,"")</f>
        <v>6.5575899233865731E-4</v>
      </c>
      <c r="F23" s="11">
        <f>IFERROR('QTR BS'!F25/'QTR P&amp;L'!I2,"")</f>
        <v>5.0469633218581326E-4</v>
      </c>
      <c r="G23" s="11">
        <f>IFERROR('QTR BS'!G25/'QTR P&amp;L'!J2,"")</f>
        <v>3.9333797846755525E-4</v>
      </c>
      <c r="H23" s="11">
        <f>IFERROR('QTR BS'!H25/'QTR P&amp;L'!K2,"")</f>
        <v>2.6544689330958415E-4</v>
      </c>
      <c r="I23" s="11">
        <f>IFERROR('QTR BS'!I25/'QTR P&amp;L'!L2,"")</f>
        <v>2.0559525964840143E-4</v>
      </c>
      <c r="J23" s="11">
        <f>IFERROR('QTR BS'!J25/'QTR P&amp;L'!M2,"")</f>
        <v>1.6373971103839565E-4</v>
      </c>
      <c r="K23" s="11">
        <f>IFERROR('QTR BS'!K25/'QTR P&amp;L'!N2,"")</f>
        <v>1.6981593679393268E-4</v>
      </c>
      <c r="L23" s="11">
        <f>IFERROR('QTR BS'!L25/'QTR P&amp;L'!O2,"")</f>
        <v>1.7148897410235362E-4</v>
      </c>
      <c r="M23" s="11">
        <f>IFERROR('QTR BS'!M25/'QTR P&amp;L'!P2,"")</f>
        <v>1.5174997574488093E-4</v>
      </c>
      <c r="N23" s="11">
        <f>IFERROR('QTR BS'!N25/'QTR P&amp;L'!Q2,"")</f>
        <v>3.7253337748543731E-4</v>
      </c>
      <c r="O23" s="11">
        <f>IFERROR('QTR BS'!O25/'QTR P&amp;L'!R2,"")</f>
        <v>3.0102619831003894E-4</v>
      </c>
      <c r="P23" s="11">
        <f>IFERROR('QTR BS'!P25/'QTR P&amp;L'!S2,"")</f>
        <v>0</v>
      </c>
      <c r="Q23" s="11">
        <f>IFERROR('QTR BS'!Q25/'QTR P&amp;L'!T2,"")</f>
        <v>0</v>
      </c>
      <c r="R23" s="11">
        <f>IFERROR('QTR BS'!R25/'QTR P&amp;L'!U2,"")</f>
        <v>0</v>
      </c>
      <c r="S23" s="11">
        <f>IFERROR('QTR BS'!S25/'QTR P&amp;L'!V2,"")</f>
        <v>0</v>
      </c>
      <c r="T23" s="12">
        <f t="shared" ref="T23:AM23" si="18">S23</f>
        <v>0</v>
      </c>
      <c r="U23" s="12">
        <f t="shared" si="18"/>
        <v>0</v>
      </c>
      <c r="V23" s="12">
        <f t="shared" si="18"/>
        <v>0</v>
      </c>
      <c r="W23" s="12">
        <f t="shared" si="18"/>
        <v>0</v>
      </c>
      <c r="X23" s="12">
        <f t="shared" si="18"/>
        <v>0</v>
      </c>
      <c r="Y23" s="12">
        <f t="shared" si="18"/>
        <v>0</v>
      </c>
      <c r="Z23" s="12">
        <f t="shared" si="18"/>
        <v>0</v>
      </c>
      <c r="AA23" s="12">
        <f t="shared" si="18"/>
        <v>0</v>
      </c>
      <c r="AB23" s="12">
        <f t="shared" si="18"/>
        <v>0</v>
      </c>
      <c r="AC23" s="12">
        <f t="shared" si="18"/>
        <v>0</v>
      </c>
      <c r="AD23" s="12">
        <f t="shared" si="18"/>
        <v>0</v>
      </c>
      <c r="AE23" s="12">
        <f t="shared" si="18"/>
        <v>0</v>
      </c>
      <c r="AF23" s="12">
        <f t="shared" si="18"/>
        <v>0</v>
      </c>
      <c r="AG23" s="12">
        <f t="shared" si="18"/>
        <v>0</v>
      </c>
      <c r="AH23" s="12">
        <f t="shared" si="18"/>
        <v>0</v>
      </c>
      <c r="AI23" s="12">
        <f t="shared" si="18"/>
        <v>0</v>
      </c>
      <c r="AJ23" s="12">
        <f t="shared" si="18"/>
        <v>0</v>
      </c>
      <c r="AK23" s="12">
        <f t="shared" si="18"/>
        <v>0</v>
      </c>
      <c r="AL23" s="12">
        <f t="shared" si="18"/>
        <v>0</v>
      </c>
      <c r="AM23" s="12">
        <f t="shared" si="18"/>
        <v>0</v>
      </c>
    </row>
    <row r="24" spans="1:39" x14ac:dyDescent="0.3">
      <c r="A24" s="3" t="s">
        <v>188</v>
      </c>
      <c r="B24" s="11">
        <f>IFERROR('QTR BS'!B26/'QTR P&amp;L'!D2,"")</f>
        <v>0</v>
      </c>
      <c r="C24" s="11">
        <f>IFERROR('QTR BS'!C26/'QTR P&amp;L'!E2,"")</f>
        <v>0</v>
      </c>
      <c r="D24" s="11">
        <f>IFERROR('QTR BS'!D26/'QTR P&amp;L'!G2,"")</f>
        <v>0</v>
      </c>
      <c r="E24" s="11">
        <f>IFERROR('QTR BS'!E26/'QTR P&amp;L'!H2,"")</f>
        <v>0</v>
      </c>
      <c r="F24" s="11">
        <f>IFERROR('QTR BS'!F26/'QTR P&amp;L'!I2,"")</f>
        <v>0</v>
      </c>
      <c r="G24" s="11">
        <f>IFERROR('QTR BS'!G26/'QTR P&amp;L'!J2,"")</f>
        <v>0</v>
      </c>
      <c r="H24" s="11">
        <f>IFERROR('QTR BS'!H26/'QTR P&amp;L'!K2,"")</f>
        <v>0</v>
      </c>
      <c r="I24" s="11">
        <f>IFERROR('QTR BS'!I26/'QTR P&amp;L'!L2,"")</f>
        <v>0</v>
      </c>
      <c r="J24" s="11">
        <f>IFERROR('QTR BS'!J26/'QTR P&amp;L'!M2,"")</f>
        <v>0</v>
      </c>
      <c r="K24" s="11">
        <f>IFERROR('QTR BS'!K26/'QTR P&amp;L'!N2,"")</f>
        <v>0</v>
      </c>
      <c r="L24" s="11">
        <f>IFERROR('QTR BS'!L26/'QTR P&amp;L'!O2,"")</f>
        <v>0</v>
      </c>
      <c r="M24" s="11">
        <f>IFERROR('QTR BS'!M26/'QTR P&amp;L'!P2,"")</f>
        <v>0</v>
      </c>
      <c r="N24" s="11">
        <f>IFERROR('QTR BS'!N26/'QTR P&amp;L'!Q2,"")</f>
        <v>0</v>
      </c>
      <c r="O24" s="11">
        <f>IFERROR('QTR BS'!O26/'QTR P&amp;L'!R2,"")</f>
        <v>0</v>
      </c>
      <c r="P24" s="11">
        <f>IFERROR('QTR BS'!P26/'QTR P&amp;L'!S2,"")</f>
        <v>0</v>
      </c>
      <c r="Q24" s="11">
        <f>IFERROR('QTR BS'!Q26/'QTR P&amp;L'!T2,"")</f>
        <v>3.3817647130437369E-2</v>
      </c>
      <c r="R24" s="11">
        <f>IFERROR('QTR BS'!R26/'QTR P&amp;L'!U2,"")</f>
        <v>3.4477717740578617E-2</v>
      </c>
      <c r="S24" s="11">
        <f>IFERROR('QTR BS'!S26/'QTR P&amp;L'!V2,"")</f>
        <v>3.4643888540910273E-2</v>
      </c>
      <c r="T24" s="12">
        <f t="shared" ref="T24:AM24" si="19">S24</f>
        <v>3.4643888540910273E-2</v>
      </c>
      <c r="U24" s="12">
        <f t="shared" si="19"/>
        <v>3.4643888540910273E-2</v>
      </c>
      <c r="V24" s="12">
        <f t="shared" si="19"/>
        <v>3.4643888540910273E-2</v>
      </c>
      <c r="W24" s="12">
        <f t="shared" si="19"/>
        <v>3.4643888540910273E-2</v>
      </c>
      <c r="X24" s="12">
        <f t="shared" si="19"/>
        <v>3.4643888540910273E-2</v>
      </c>
      <c r="Y24" s="12">
        <f t="shared" si="19"/>
        <v>3.4643888540910273E-2</v>
      </c>
      <c r="Z24" s="12">
        <f t="shared" si="19"/>
        <v>3.4643888540910273E-2</v>
      </c>
      <c r="AA24" s="12">
        <f t="shared" si="19"/>
        <v>3.4643888540910273E-2</v>
      </c>
      <c r="AB24" s="12">
        <f t="shared" si="19"/>
        <v>3.4643888540910273E-2</v>
      </c>
      <c r="AC24" s="12">
        <f t="shared" si="19"/>
        <v>3.4643888540910273E-2</v>
      </c>
      <c r="AD24" s="12">
        <f t="shared" si="19"/>
        <v>3.4643888540910273E-2</v>
      </c>
      <c r="AE24" s="12">
        <f t="shared" si="19"/>
        <v>3.4643888540910273E-2</v>
      </c>
      <c r="AF24" s="12">
        <f t="shared" si="19"/>
        <v>3.4643888540910273E-2</v>
      </c>
      <c r="AG24" s="12">
        <f t="shared" si="19"/>
        <v>3.4643888540910273E-2</v>
      </c>
      <c r="AH24" s="12">
        <f t="shared" si="19"/>
        <v>3.4643888540910273E-2</v>
      </c>
      <c r="AI24" s="12">
        <f t="shared" si="19"/>
        <v>3.4643888540910273E-2</v>
      </c>
      <c r="AJ24" s="12">
        <f t="shared" si="19"/>
        <v>3.4643888540910273E-2</v>
      </c>
      <c r="AK24" s="12">
        <f t="shared" si="19"/>
        <v>3.4643888540910273E-2</v>
      </c>
      <c r="AL24" s="12">
        <f t="shared" si="19"/>
        <v>3.4643888540910273E-2</v>
      </c>
      <c r="AM24" s="12">
        <f t="shared" si="19"/>
        <v>3.4643888540910273E-2</v>
      </c>
    </row>
    <row r="25" spans="1:39" x14ac:dyDescent="0.3">
      <c r="A25" s="3" t="s">
        <v>189</v>
      </c>
      <c r="B25" s="11">
        <f>IFERROR('QTR BS'!B27/'QTR P&amp;L'!D2,"")</f>
        <v>0</v>
      </c>
      <c r="C25" s="11">
        <f>IFERROR('QTR BS'!C27/'QTR P&amp;L'!E2,"")</f>
        <v>0</v>
      </c>
      <c r="D25" s="11">
        <f>IFERROR('QTR BS'!D27/'QTR P&amp;L'!G2,"")</f>
        <v>0</v>
      </c>
      <c r="E25" s="11">
        <f>IFERROR('QTR BS'!E27/'QTR P&amp;L'!H2,"")</f>
        <v>0</v>
      </c>
      <c r="F25" s="11">
        <f>IFERROR('QTR BS'!F27/'QTR P&amp;L'!I2,"")</f>
        <v>4.1278847379829148E-2</v>
      </c>
      <c r="G25" s="11">
        <f>IFERROR('QTR BS'!G27/'QTR P&amp;L'!J2,"")</f>
        <v>5.4364927738194242E-2</v>
      </c>
      <c r="H25" s="11">
        <f>IFERROR('QTR BS'!H27/'QTR P&amp;L'!K2,"")</f>
        <v>3.6789400590138459E-2</v>
      </c>
      <c r="I25" s="11">
        <f>IFERROR('QTR BS'!I27/'QTR P&amp;L'!L2,"")</f>
        <v>2.915156666656438E-2</v>
      </c>
      <c r="J25" s="11">
        <f>IFERROR('QTR BS'!J27/'QTR P&amp;L'!M2,"")</f>
        <v>2.4690908807377124E-2</v>
      </c>
      <c r="K25" s="11">
        <f>IFERROR('QTR BS'!K27/'QTR P&amp;L'!N2,"")</f>
        <v>2.7380661130859008E-2</v>
      </c>
      <c r="L25" s="11">
        <f>IFERROR('QTR BS'!L27/'QTR P&amp;L'!O2,"")</f>
        <v>2.6743846075994917E-2</v>
      </c>
      <c r="M25" s="11">
        <f>IFERROR('QTR BS'!M27/'QTR P&amp;L'!P2,"")</f>
        <v>2.3665533102640201E-2</v>
      </c>
      <c r="N25" s="11">
        <f>IFERROR('QTR BS'!N27/'QTR P&amp;L'!Q2,"")</f>
        <v>3.5797070909282476E-2</v>
      </c>
      <c r="O25" s="11">
        <f>IFERROR('QTR BS'!O27/'QTR P&amp;L'!R2,"")</f>
        <v>2.8636622245234004E-2</v>
      </c>
      <c r="P25" s="11">
        <f>IFERROR('QTR BS'!P27/'QTR P&amp;L'!S2,"")</f>
        <v>2.8890657077952842E-2</v>
      </c>
      <c r="Q25" s="11">
        <f>IFERROR('QTR BS'!Q27/'QTR P&amp;L'!T2,"")</f>
        <v>2.173933628133036E-2</v>
      </c>
      <c r="R25" s="11">
        <f>IFERROR('QTR BS'!R27/'QTR P&amp;L'!U2,"")</f>
        <v>3.5245881291838713E-2</v>
      </c>
      <c r="S25" s="11">
        <f>IFERROR('QTR BS'!S27/'QTR P&amp;L'!V2,"")</f>
        <v>3.739877055768346E-2</v>
      </c>
      <c r="T25" s="12">
        <f t="shared" ref="T25:AM25" si="20">S25</f>
        <v>3.739877055768346E-2</v>
      </c>
      <c r="U25" s="12">
        <f t="shared" si="20"/>
        <v>3.739877055768346E-2</v>
      </c>
      <c r="V25" s="12">
        <f t="shared" si="20"/>
        <v>3.739877055768346E-2</v>
      </c>
      <c r="W25" s="12">
        <f t="shared" si="20"/>
        <v>3.739877055768346E-2</v>
      </c>
      <c r="X25" s="12">
        <f t="shared" si="20"/>
        <v>3.739877055768346E-2</v>
      </c>
      <c r="Y25" s="12">
        <f t="shared" si="20"/>
        <v>3.739877055768346E-2</v>
      </c>
      <c r="Z25" s="12">
        <f t="shared" si="20"/>
        <v>3.739877055768346E-2</v>
      </c>
      <c r="AA25" s="12">
        <f t="shared" si="20"/>
        <v>3.739877055768346E-2</v>
      </c>
      <c r="AB25" s="12">
        <f t="shared" si="20"/>
        <v>3.739877055768346E-2</v>
      </c>
      <c r="AC25" s="12">
        <f t="shared" si="20"/>
        <v>3.739877055768346E-2</v>
      </c>
      <c r="AD25" s="12">
        <f t="shared" si="20"/>
        <v>3.739877055768346E-2</v>
      </c>
      <c r="AE25" s="12">
        <f t="shared" si="20"/>
        <v>3.739877055768346E-2</v>
      </c>
      <c r="AF25" s="12">
        <f t="shared" si="20"/>
        <v>3.739877055768346E-2</v>
      </c>
      <c r="AG25" s="12">
        <f t="shared" si="20"/>
        <v>3.739877055768346E-2</v>
      </c>
      <c r="AH25" s="12">
        <f t="shared" si="20"/>
        <v>3.739877055768346E-2</v>
      </c>
      <c r="AI25" s="12">
        <f t="shared" si="20"/>
        <v>3.739877055768346E-2</v>
      </c>
      <c r="AJ25" s="12">
        <f t="shared" si="20"/>
        <v>3.739877055768346E-2</v>
      </c>
      <c r="AK25" s="12">
        <f t="shared" si="20"/>
        <v>3.739877055768346E-2</v>
      </c>
      <c r="AL25" s="12">
        <f t="shared" si="20"/>
        <v>3.739877055768346E-2</v>
      </c>
      <c r="AM25" s="12">
        <f t="shared" si="20"/>
        <v>3.739877055768346E-2</v>
      </c>
    </row>
    <row r="26" spans="1:39" x14ac:dyDescent="0.3">
      <c r="A26" s="3" t="s">
        <v>190</v>
      </c>
      <c r="B26" s="11">
        <f>IFERROR('QTR BS'!B28/'QTR P&amp;L'!D2,"")</f>
        <v>6.5610900962814744E-3</v>
      </c>
      <c r="C26" s="11">
        <f>IFERROR('QTR BS'!C28/'QTR P&amp;L'!E2,"")</f>
        <v>1.0089938688703191E-2</v>
      </c>
      <c r="D26" s="11">
        <f>IFERROR('QTR BS'!D28/'QTR P&amp;L'!G2,"")</f>
        <v>1.299967013524455E-2</v>
      </c>
      <c r="E26" s="11">
        <f>IFERROR('QTR BS'!E28/'QTR P&amp;L'!H2,"")</f>
        <v>1.7926243345020128E-2</v>
      </c>
      <c r="F26" s="11">
        <f>IFERROR('QTR BS'!F28/'QTR P&amp;L'!I2,"")</f>
        <v>1.7356241234221598E-2</v>
      </c>
      <c r="G26" s="11">
        <f>IFERROR('QTR BS'!G28/'QTR P&amp;L'!J2,"")</f>
        <v>2.0150142725495045E-2</v>
      </c>
      <c r="H26" s="11">
        <f>IFERROR('QTR BS'!H28/'QTR P&amp;L'!K2,"")</f>
        <v>1.9596905427811909E-2</v>
      </c>
      <c r="I26" s="11">
        <f>IFERROR('QTR BS'!I28/'QTR P&amp;L'!L2,"")</f>
        <v>2.1814577624484861E-2</v>
      </c>
      <c r="J26" s="11">
        <f>IFERROR('QTR BS'!J28/'QTR P&amp;L'!M2,"")</f>
        <v>2.2939153803569527E-2</v>
      </c>
      <c r="K26" s="11">
        <f>IFERROR('QTR BS'!K28/'QTR P&amp;L'!N2,"")</f>
        <v>3.134399240145639E-2</v>
      </c>
      <c r="L26" s="11">
        <f>IFERROR('QTR BS'!L28/'QTR P&amp;L'!O2,"")</f>
        <v>3.651028371585683E-2</v>
      </c>
      <c r="M26" s="11">
        <f>IFERROR('QTR BS'!M28/'QTR P&amp;L'!P2,"")</f>
        <v>3.4260666655057379E-2</v>
      </c>
      <c r="N26" s="11">
        <f>IFERROR('QTR BS'!N28/'QTR P&amp;L'!Q2,"")</f>
        <v>5.6365428902569355E-2</v>
      </c>
      <c r="O26" s="11">
        <f>IFERROR('QTR BS'!O28/'QTR P&amp;L'!R2,"")</f>
        <v>4.7586221428850953E-2</v>
      </c>
      <c r="P26" s="11">
        <f>IFERROR('QTR BS'!P28/'QTR P&amp;L'!S2,"")</f>
        <v>4.3003437845454878E-2</v>
      </c>
      <c r="Q26" s="11">
        <f>IFERROR('QTR BS'!Q28/'QTR P&amp;L'!T2,"")</f>
        <v>6.7566306260728654E-2</v>
      </c>
      <c r="R26" s="11">
        <f>IFERROR('QTR BS'!R28/'QTR P&amp;L'!U2,"")</f>
        <v>4.4487288755023405E-2</v>
      </c>
      <c r="S26" s="11">
        <f>IFERROR('QTR BS'!S28/'QTR P&amp;L'!V2,"")</f>
        <v>5.0531575825771724E-2</v>
      </c>
      <c r="T26" s="12">
        <f t="shared" ref="T26:AM26" si="21">S26</f>
        <v>5.0531575825771724E-2</v>
      </c>
      <c r="U26" s="12">
        <f t="shared" si="21"/>
        <v>5.0531575825771724E-2</v>
      </c>
      <c r="V26" s="12">
        <f t="shared" si="21"/>
        <v>5.0531575825771724E-2</v>
      </c>
      <c r="W26" s="12">
        <f t="shared" si="21"/>
        <v>5.0531575825771724E-2</v>
      </c>
      <c r="X26" s="12">
        <f t="shared" si="21"/>
        <v>5.0531575825771724E-2</v>
      </c>
      <c r="Y26" s="12">
        <f t="shared" si="21"/>
        <v>5.0531575825771724E-2</v>
      </c>
      <c r="Z26" s="12">
        <f t="shared" si="21"/>
        <v>5.0531575825771724E-2</v>
      </c>
      <c r="AA26" s="12">
        <f t="shared" si="21"/>
        <v>5.0531575825771724E-2</v>
      </c>
      <c r="AB26" s="12">
        <f t="shared" si="21"/>
        <v>5.0531575825771724E-2</v>
      </c>
      <c r="AC26" s="12">
        <f t="shared" si="21"/>
        <v>5.0531575825771724E-2</v>
      </c>
      <c r="AD26" s="12">
        <f t="shared" si="21"/>
        <v>5.0531575825771724E-2</v>
      </c>
      <c r="AE26" s="12">
        <f t="shared" si="21"/>
        <v>5.0531575825771724E-2</v>
      </c>
      <c r="AF26" s="12">
        <f t="shared" si="21"/>
        <v>5.0531575825771724E-2</v>
      </c>
      <c r="AG26" s="12">
        <f t="shared" si="21"/>
        <v>5.0531575825771724E-2</v>
      </c>
      <c r="AH26" s="12">
        <f t="shared" si="21"/>
        <v>5.0531575825771724E-2</v>
      </c>
      <c r="AI26" s="12">
        <f t="shared" si="21"/>
        <v>5.0531575825771724E-2</v>
      </c>
      <c r="AJ26" s="12">
        <f t="shared" si="21"/>
        <v>5.0531575825771724E-2</v>
      </c>
      <c r="AK26" s="12">
        <f t="shared" si="21"/>
        <v>5.0531575825771724E-2</v>
      </c>
      <c r="AL26" s="12">
        <f t="shared" si="21"/>
        <v>5.0531575825771724E-2</v>
      </c>
      <c r="AM26" s="12">
        <f t="shared" si="21"/>
        <v>5.0531575825771724E-2</v>
      </c>
    </row>
    <row r="27" spans="1:39" x14ac:dyDescent="0.3">
      <c r="A27" s="3" t="s">
        <v>191</v>
      </c>
      <c r="B27" s="11">
        <f>IFERROR('QTR BS'!B30/'QTR P&amp;L'!D2,"")</f>
        <v>3.3996456766080762E-3</v>
      </c>
      <c r="C27" s="11">
        <f>IFERROR('QTR BS'!C30/'QTR P&amp;L'!E2,"")</f>
        <v>5.8007820114193472E-3</v>
      </c>
      <c r="D27" s="11">
        <f>IFERROR('QTR BS'!D30/'QTR P&amp;L'!G2,"")</f>
        <v>4.4756649773592828E-3</v>
      </c>
      <c r="E27" s="11">
        <f>IFERROR('QTR BS'!E30/'QTR P&amp;L'!H2,"")</f>
        <v>2.7269185820023374E-3</v>
      </c>
      <c r="F27" s="11">
        <f>IFERROR('QTR BS'!F30/'QTR P&amp;L'!I2,"")</f>
        <v>2.4544179523141654E-3</v>
      </c>
      <c r="G27" s="11">
        <f>IFERROR('QTR BS'!G30/'QTR P&amp;L'!J2,"")</f>
        <v>1.8318311568631858E-3</v>
      </c>
      <c r="H27" s="11">
        <f>IFERROR('QTR BS'!H30/'QTR P&amp;L'!K2,"")</f>
        <v>1.2926109587249317E-3</v>
      </c>
      <c r="I27" s="11">
        <f>IFERROR('QTR BS'!I30/'QTR P&amp;L'!L2,"")</f>
        <v>7.6407790526047687E-4</v>
      </c>
      <c r="J27" s="11">
        <f>IFERROR('QTR BS'!J30/'QTR P&amp;L'!M2,"")</f>
        <v>1.3307100325660093E-3</v>
      </c>
      <c r="K27" s="11">
        <f>IFERROR('QTR BS'!K30/'QTR P&amp;L'!N2,"")</f>
        <v>2.7487155870882323E-3</v>
      </c>
      <c r="L27" s="11">
        <f>IFERROR('QTR BS'!L30/'QTR P&amp;L'!O2,"")</f>
        <v>2.3896004588032883E-3</v>
      </c>
      <c r="M27" s="11">
        <f>IFERROR('QTR BS'!M30/'QTR P&amp;L'!P2,"")</f>
        <v>1.8956308445508077E-3</v>
      </c>
      <c r="N27" s="11">
        <f>IFERROR('QTR BS'!N30/'QTR P&amp;L'!Q2,"")</f>
        <v>1.5778105573701403E-2</v>
      </c>
      <c r="O27" s="11">
        <f>IFERROR('QTR BS'!O30/'QTR P&amp;L'!R2,"")</f>
        <v>5.0193108306215893E-2</v>
      </c>
      <c r="P27" s="11">
        <f>IFERROR('QTR BS'!P30/'QTR P&amp;L'!S2,"")</f>
        <v>4.9053074016934123E-2</v>
      </c>
      <c r="Q27" s="11">
        <f>IFERROR('QTR BS'!Q30/'QTR P&amp;L'!T2,"")</f>
        <v>0</v>
      </c>
      <c r="R27" s="11">
        <f>IFERROR('QTR BS'!R30/'QTR P&amp;L'!U2,"")</f>
        <v>0</v>
      </c>
      <c r="S27" s="11">
        <f>IFERROR('QTR BS'!S30/'QTR P&amp;L'!V2,"")</f>
        <v>0</v>
      </c>
      <c r="T27" s="12">
        <f t="shared" ref="T27:AM27" si="22">S27</f>
        <v>0</v>
      </c>
      <c r="U27" s="12">
        <f t="shared" si="22"/>
        <v>0</v>
      </c>
      <c r="V27" s="12">
        <f t="shared" si="22"/>
        <v>0</v>
      </c>
      <c r="W27" s="12">
        <f t="shared" si="22"/>
        <v>0</v>
      </c>
      <c r="X27" s="12">
        <f t="shared" si="22"/>
        <v>0</v>
      </c>
      <c r="Y27" s="12">
        <f t="shared" si="22"/>
        <v>0</v>
      </c>
      <c r="Z27" s="12">
        <f t="shared" si="22"/>
        <v>0</v>
      </c>
      <c r="AA27" s="12">
        <f t="shared" si="22"/>
        <v>0</v>
      </c>
      <c r="AB27" s="12">
        <f t="shared" si="22"/>
        <v>0</v>
      </c>
      <c r="AC27" s="12">
        <f t="shared" si="22"/>
        <v>0</v>
      </c>
      <c r="AD27" s="12">
        <f t="shared" si="22"/>
        <v>0</v>
      </c>
      <c r="AE27" s="12">
        <f t="shared" si="22"/>
        <v>0</v>
      </c>
      <c r="AF27" s="12">
        <f t="shared" si="22"/>
        <v>0</v>
      </c>
      <c r="AG27" s="12">
        <f t="shared" si="22"/>
        <v>0</v>
      </c>
      <c r="AH27" s="12">
        <f t="shared" si="22"/>
        <v>0</v>
      </c>
      <c r="AI27" s="12">
        <f t="shared" si="22"/>
        <v>0</v>
      </c>
      <c r="AJ27" s="12">
        <f t="shared" si="22"/>
        <v>0</v>
      </c>
      <c r="AK27" s="12">
        <f t="shared" si="22"/>
        <v>0</v>
      </c>
      <c r="AL27" s="12">
        <f t="shared" si="22"/>
        <v>0</v>
      </c>
      <c r="AM27" s="12">
        <f t="shared" si="22"/>
        <v>0</v>
      </c>
    </row>
    <row r="28" spans="1:39" x14ac:dyDescent="0.3">
      <c r="A28" s="3" t="s">
        <v>192</v>
      </c>
      <c r="B28" s="11">
        <f>IFERROR('QTR BS'!B31/'QTR P&amp;L'!D2,"")</f>
        <v>5.2782867642937501E-4</v>
      </c>
      <c r="C28" s="11">
        <f>IFERROR('QTR BS'!C31/'QTR P&amp;L'!E2,"")</f>
        <v>9.3404109827192547E-4</v>
      </c>
      <c r="D28" s="11">
        <f>IFERROR('QTR BS'!D31/'QTR P&amp;L'!G2,"")</f>
        <v>1.0345758239121961E-3</v>
      </c>
      <c r="E28" s="11">
        <f>IFERROR('QTR BS'!E31/'QTR P&amp;L'!H2,"")</f>
        <v>8.9598753408648229E-4</v>
      </c>
      <c r="F28" s="11">
        <f>IFERROR('QTR BS'!F31/'QTR P&amp;L'!I2,"")</f>
        <v>8.8720302605295594E-4</v>
      </c>
      <c r="G28" s="11">
        <f>IFERROR('QTR BS'!G31/'QTR P&amp;L'!J2,"")</f>
        <v>9.10296464453485E-4</v>
      </c>
      <c r="H28" s="11">
        <f>IFERROR('QTR BS'!H31/'QTR P&amp;L'!K2,"")</f>
        <v>6.0014080226514688E-4</v>
      </c>
      <c r="I28" s="11">
        <f>IFERROR('QTR BS'!I31/'QTR P&amp;L'!L2,"")</f>
        <v>4.5108213684052253E-4</v>
      </c>
      <c r="J28" s="11">
        <f>IFERROR('QTR BS'!J31/'QTR P&amp;L'!M2,"")</f>
        <v>3.5087080936799069E-4</v>
      </c>
      <c r="K28" s="11">
        <f>IFERROR('QTR BS'!K31/'QTR P&amp;L'!N2,"")</f>
        <v>5.5549958985133909E-4</v>
      </c>
      <c r="L28" s="11">
        <f>IFERROR('QTR BS'!L31/'QTR P&amp;L'!O2,"")</f>
        <v>6.8876719106683007E-4</v>
      </c>
      <c r="M28" s="11">
        <f>IFERROR('QTR BS'!M31/'QTR P&amp;L'!P2,"")</f>
        <v>5.6719663065299755E-4</v>
      </c>
      <c r="N28" s="11">
        <f>IFERROR('QTR BS'!N31/'QTR P&amp;L'!Q2,"")</f>
        <v>7.1120008429038039E-4</v>
      </c>
      <c r="O28" s="11">
        <f>IFERROR('QTR BS'!O31/'QTR P&amp;L'!R2,"")</f>
        <v>6.351652784341821E-4</v>
      </c>
      <c r="P28" s="11">
        <f>IFERROR('QTR BS'!P31/'QTR P&amp;L'!S2,"")</f>
        <v>0</v>
      </c>
      <c r="Q28" s="11">
        <f>IFERROR('QTR BS'!Q31/'QTR P&amp;L'!T2,"")</f>
        <v>0</v>
      </c>
      <c r="R28" s="11">
        <f>IFERROR('QTR BS'!R31/'QTR P&amp;L'!U2,"")</f>
        <v>0</v>
      </c>
      <c r="S28" s="11">
        <f>IFERROR('QTR BS'!S31/'QTR P&amp;L'!V2,"")</f>
        <v>0</v>
      </c>
      <c r="T28" s="12">
        <f t="shared" ref="T28:AM28" si="23">S28</f>
        <v>0</v>
      </c>
      <c r="U28" s="12">
        <f t="shared" si="23"/>
        <v>0</v>
      </c>
      <c r="V28" s="12">
        <f t="shared" si="23"/>
        <v>0</v>
      </c>
      <c r="W28" s="12">
        <f t="shared" si="23"/>
        <v>0</v>
      </c>
      <c r="X28" s="12">
        <f t="shared" si="23"/>
        <v>0</v>
      </c>
      <c r="Y28" s="12">
        <f t="shared" si="23"/>
        <v>0</v>
      </c>
      <c r="Z28" s="12">
        <f t="shared" si="23"/>
        <v>0</v>
      </c>
      <c r="AA28" s="12">
        <f t="shared" si="23"/>
        <v>0</v>
      </c>
      <c r="AB28" s="12">
        <f t="shared" si="23"/>
        <v>0</v>
      </c>
      <c r="AC28" s="12">
        <f t="shared" si="23"/>
        <v>0</v>
      </c>
      <c r="AD28" s="12">
        <f t="shared" si="23"/>
        <v>0</v>
      </c>
      <c r="AE28" s="12">
        <f t="shared" si="23"/>
        <v>0</v>
      </c>
      <c r="AF28" s="12">
        <f t="shared" si="23"/>
        <v>0</v>
      </c>
      <c r="AG28" s="12">
        <f t="shared" si="23"/>
        <v>0</v>
      </c>
      <c r="AH28" s="12">
        <f t="shared" si="23"/>
        <v>0</v>
      </c>
      <c r="AI28" s="12">
        <f t="shared" si="23"/>
        <v>0</v>
      </c>
      <c r="AJ28" s="12">
        <f t="shared" si="23"/>
        <v>0</v>
      </c>
      <c r="AK28" s="12">
        <f t="shared" si="23"/>
        <v>0</v>
      </c>
      <c r="AL28" s="12">
        <f t="shared" si="23"/>
        <v>0</v>
      </c>
      <c r="AM28" s="12">
        <f t="shared" si="23"/>
        <v>0</v>
      </c>
    </row>
    <row r="29" spans="1:39" x14ac:dyDescent="0.3">
      <c r="A29" s="3" t="s">
        <v>61</v>
      </c>
      <c r="B29" s="4">
        <f>'QTR BS'!B32</f>
        <v>0</v>
      </c>
      <c r="C29" s="4">
        <f>'QTR BS'!C32</f>
        <v>3497240</v>
      </c>
      <c r="D29" s="4">
        <f>'QTR BS'!D32</f>
        <v>3084</v>
      </c>
      <c r="E29" s="4">
        <f>'QTR BS'!E32</f>
        <v>2886</v>
      </c>
      <c r="F29" s="4">
        <f>'QTR BS'!F32</f>
        <v>25457</v>
      </c>
      <c r="G29" s="4">
        <f>'QTR BS'!G32</f>
        <v>15919</v>
      </c>
      <c r="H29" s="4">
        <f>'QTR BS'!H32</f>
        <v>19250</v>
      </c>
      <c r="I29" s="4">
        <f>'QTR BS'!I32</f>
        <v>2333</v>
      </c>
      <c r="J29" s="4">
        <f>'QTR BS'!J32</f>
        <v>2249</v>
      </c>
      <c r="K29" s="4">
        <f>'QTR BS'!K32</f>
        <v>2880</v>
      </c>
      <c r="L29" s="4">
        <f>'QTR BS'!L32</f>
        <v>2248</v>
      </c>
      <c r="M29" s="4">
        <f>'QTR BS'!M32</f>
        <v>2201</v>
      </c>
      <c r="N29" s="4">
        <f>'QTR BS'!N32</f>
        <v>2275</v>
      </c>
      <c r="O29" s="4">
        <f>'QTR BS'!O32</f>
        <v>2330</v>
      </c>
      <c r="P29" s="4">
        <f>'QTR BS'!P32</f>
        <v>0</v>
      </c>
      <c r="Q29" s="4">
        <f>'QTR BS'!Q32</f>
        <v>0</v>
      </c>
      <c r="R29" s="4">
        <f>'QTR BS'!R32</f>
        <v>0</v>
      </c>
      <c r="S29" s="4">
        <f>'QTR BS'!S32</f>
        <v>0</v>
      </c>
      <c r="T29" s="13">
        <f t="shared" ref="T29:AM29" si="24">S29</f>
        <v>0</v>
      </c>
      <c r="U29" s="13">
        <f t="shared" si="24"/>
        <v>0</v>
      </c>
      <c r="V29" s="13">
        <f t="shared" si="24"/>
        <v>0</v>
      </c>
      <c r="W29" s="13">
        <f t="shared" si="24"/>
        <v>0</v>
      </c>
      <c r="X29" s="13">
        <f t="shared" si="24"/>
        <v>0</v>
      </c>
      <c r="Y29" s="13">
        <f t="shared" si="24"/>
        <v>0</v>
      </c>
      <c r="Z29" s="13">
        <f t="shared" si="24"/>
        <v>0</v>
      </c>
      <c r="AA29" s="13">
        <f t="shared" si="24"/>
        <v>0</v>
      </c>
      <c r="AB29" s="13">
        <f t="shared" si="24"/>
        <v>0</v>
      </c>
      <c r="AC29" s="13">
        <f t="shared" si="24"/>
        <v>0</v>
      </c>
      <c r="AD29" s="13">
        <f t="shared" si="24"/>
        <v>0</v>
      </c>
      <c r="AE29" s="13">
        <f t="shared" si="24"/>
        <v>0</v>
      </c>
      <c r="AF29" s="13">
        <f t="shared" si="24"/>
        <v>0</v>
      </c>
      <c r="AG29" s="13">
        <f t="shared" si="24"/>
        <v>0</v>
      </c>
      <c r="AH29" s="13">
        <f t="shared" si="24"/>
        <v>0</v>
      </c>
      <c r="AI29" s="13">
        <f t="shared" si="24"/>
        <v>0</v>
      </c>
      <c r="AJ29" s="13">
        <f t="shared" si="24"/>
        <v>0</v>
      </c>
      <c r="AK29" s="13">
        <f t="shared" si="24"/>
        <v>0</v>
      </c>
      <c r="AL29" s="13">
        <f t="shared" si="24"/>
        <v>0</v>
      </c>
      <c r="AM29" s="13">
        <f t="shared" si="24"/>
        <v>0</v>
      </c>
    </row>
    <row r="30" spans="1:39" x14ac:dyDescent="0.3">
      <c r="A30" s="3" t="s">
        <v>62</v>
      </c>
      <c r="B30" s="4">
        <f>'QTR BS'!B33</f>
        <v>0</v>
      </c>
      <c r="C30" s="4">
        <f>'QTR BS'!C33</f>
        <v>0</v>
      </c>
      <c r="D30" s="4">
        <f>'QTR BS'!D33</f>
        <v>0</v>
      </c>
      <c r="E30" s="4">
        <f>'QTR BS'!E33</f>
        <v>0</v>
      </c>
      <c r="F30" s="4">
        <f>'QTR BS'!F33</f>
        <v>0</v>
      </c>
      <c r="G30" s="4">
        <f>'QTR BS'!G33</f>
        <v>0</v>
      </c>
      <c r="H30" s="4">
        <f>'QTR BS'!H33</f>
        <v>0</v>
      </c>
      <c r="I30" s="4">
        <f>'QTR BS'!I33</f>
        <v>0</v>
      </c>
      <c r="J30" s="4">
        <f>'QTR BS'!J33</f>
        <v>0</v>
      </c>
      <c r="K30" s="4">
        <f>'QTR BS'!K33</f>
        <v>0</v>
      </c>
      <c r="L30" s="4">
        <f>'QTR BS'!L33</f>
        <v>0</v>
      </c>
      <c r="M30" s="4">
        <f>'QTR BS'!M33</f>
        <v>0</v>
      </c>
      <c r="N30" s="4">
        <f>'QTR BS'!N33</f>
        <v>0</v>
      </c>
      <c r="O30" s="4">
        <f>'QTR BS'!O33</f>
        <v>0</v>
      </c>
      <c r="P30" s="4">
        <f>'QTR BS'!P33</f>
        <v>0</v>
      </c>
      <c r="Q30" s="4">
        <f>'QTR BS'!Q33</f>
        <v>862917</v>
      </c>
      <c r="R30" s="4">
        <f>'QTR BS'!R33</f>
        <v>861472</v>
      </c>
      <c r="S30" s="4">
        <f>'QTR BS'!S33</f>
        <v>669926</v>
      </c>
      <c r="T30" s="13">
        <f t="shared" ref="T30:AM30" si="25">S30</f>
        <v>669926</v>
      </c>
      <c r="U30" s="13">
        <f t="shared" si="25"/>
        <v>669926</v>
      </c>
      <c r="V30" s="13">
        <f t="shared" si="25"/>
        <v>669926</v>
      </c>
      <c r="W30" s="13">
        <f t="shared" si="25"/>
        <v>669926</v>
      </c>
      <c r="X30" s="13">
        <f t="shared" si="25"/>
        <v>669926</v>
      </c>
      <c r="Y30" s="13">
        <f t="shared" si="25"/>
        <v>669926</v>
      </c>
      <c r="Z30" s="13">
        <f t="shared" si="25"/>
        <v>669926</v>
      </c>
      <c r="AA30" s="13">
        <f t="shared" si="25"/>
        <v>669926</v>
      </c>
      <c r="AB30" s="13">
        <f t="shared" si="25"/>
        <v>669926</v>
      </c>
      <c r="AC30" s="13">
        <f t="shared" si="25"/>
        <v>669926</v>
      </c>
      <c r="AD30" s="13">
        <f t="shared" si="25"/>
        <v>669926</v>
      </c>
      <c r="AE30" s="13">
        <f t="shared" si="25"/>
        <v>669926</v>
      </c>
      <c r="AF30" s="13">
        <f t="shared" si="25"/>
        <v>669926</v>
      </c>
      <c r="AG30" s="13">
        <f t="shared" si="25"/>
        <v>669926</v>
      </c>
      <c r="AH30" s="13">
        <f t="shared" si="25"/>
        <v>669926</v>
      </c>
      <c r="AI30" s="13">
        <f t="shared" si="25"/>
        <v>669926</v>
      </c>
      <c r="AJ30" s="13">
        <f t="shared" si="25"/>
        <v>669926</v>
      </c>
      <c r="AK30" s="13">
        <f t="shared" si="25"/>
        <v>669926</v>
      </c>
      <c r="AL30" s="13">
        <f t="shared" si="25"/>
        <v>669926</v>
      </c>
      <c r="AM30" s="13">
        <f t="shared" si="25"/>
        <v>669926</v>
      </c>
    </row>
    <row r="31" spans="1:39" x14ac:dyDescent="0.3">
      <c r="A31" s="3" t="s">
        <v>193</v>
      </c>
      <c r="B31" s="11">
        <f>IFERROR('QTR BS'!B34/'QTR P&amp;L'!D2,"")</f>
        <v>0</v>
      </c>
      <c r="C31" s="11">
        <f>IFERROR('QTR BS'!C34/'QTR P&amp;L'!E2,"")</f>
        <v>0</v>
      </c>
      <c r="D31" s="11">
        <f>IFERROR('QTR BS'!D34/'QTR P&amp;L'!G2,"")</f>
        <v>0</v>
      </c>
      <c r="E31" s="11">
        <f>IFERROR('QTR BS'!E34/'QTR P&amp;L'!H2,"")</f>
        <v>0</v>
      </c>
      <c r="F31" s="11">
        <f>IFERROR('QTR BS'!F34/'QTR P&amp;L'!I2,"")</f>
        <v>0.77740766713417486</v>
      </c>
      <c r="G31" s="11">
        <f>IFERROR('QTR BS'!G34/'QTR P&amp;L'!J2,"")</f>
        <v>1.0102492638960689</v>
      </c>
      <c r="H31" s="11">
        <f>IFERROR('QTR BS'!H34/'QTR P&amp;L'!K2,"")</f>
        <v>0.67429281485271542</v>
      </c>
      <c r="I31" s="11">
        <f>IFERROR('QTR BS'!I34/'QTR P&amp;L'!L2,"")</f>
        <v>0.52701429654201049</v>
      </c>
      <c r="J31" s="11">
        <f>IFERROR('QTR BS'!J34/'QTR P&amp;L'!M2,"")</f>
        <v>0.44019991839004879</v>
      </c>
      <c r="K31" s="11">
        <f>IFERROR('QTR BS'!K34/'QTR P&amp;L'!N2,"")</f>
        <v>0.48131880783455899</v>
      </c>
      <c r="L31" s="11">
        <f>IFERROR('QTR BS'!L34/'QTR P&amp;L'!O2,"")</f>
        <v>0.46343911298030971</v>
      </c>
      <c r="M31" s="11">
        <f>IFERROR('QTR BS'!M34/'QTR P&amp;L'!P2,"")</f>
        <v>0.40417984113518934</v>
      </c>
      <c r="N31" s="11">
        <f>IFERROR('QTR BS'!N34/'QTR P&amp;L'!Q2,"")</f>
        <v>0.60242033806463269</v>
      </c>
      <c r="O31" s="11">
        <f>IFERROR('QTR BS'!O34/'QTR P&amp;L'!R2,"")</f>
        <v>0.47476045840269476</v>
      </c>
      <c r="P31" s="11">
        <f>IFERROR('QTR BS'!P34/'QTR P&amp;L'!S2,"")</f>
        <v>0.47175014273739962</v>
      </c>
      <c r="Q31" s="11">
        <f>IFERROR('QTR BS'!Q34/'QTR P&amp;L'!T2,"")</f>
        <v>0.21120473338843354</v>
      </c>
      <c r="R31" s="11">
        <f>IFERROR('QTR BS'!R34/'QTR P&amp;L'!U2,"")</f>
        <v>0.53431084558671427</v>
      </c>
      <c r="S31" s="11">
        <f>IFERROR('QTR BS'!S34/'QTR P&amp;L'!V2,"")</f>
        <v>0.55590276430515451</v>
      </c>
      <c r="T31" s="12">
        <f t="shared" ref="T31:AM31" si="26">S31</f>
        <v>0.55590276430515451</v>
      </c>
      <c r="U31" s="12">
        <f t="shared" si="26"/>
        <v>0.55590276430515451</v>
      </c>
      <c r="V31" s="12">
        <f t="shared" si="26"/>
        <v>0.55590276430515451</v>
      </c>
      <c r="W31" s="12">
        <f t="shared" si="26"/>
        <v>0.55590276430515451</v>
      </c>
      <c r="X31" s="12">
        <f t="shared" si="26"/>
        <v>0.55590276430515451</v>
      </c>
      <c r="Y31" s="12">
        <f t="shared" si="26"/>
        <v>0.55590276430515451</v>
      </c>
      <c r="Z31" s="12">
        <f t="shared" si="26"/>
        <v>0.55590276430515451</v>
      </c>
      <c r="AA31" s="12">
        <f t="shared" si="26"/>
        <v>0.55590276430515451</v>
      </c>
      <c r="AB31" s="12">
        <f t="shared" si="26"/>
        <v>0.55590276430515451</v>
      </c>
      <c r="AC31" s="12">
        <f t="shared" si="26"/>
        <v>0.55590276430515451</v>
      </c>
      <c r="AD31" s="12">
        <f t="shared" si="26"/>
        <v>0.55590276430515451</v>
      </c>
      <c r="AE31" s="12">
        <f t="shared" si="26"/>
        <v>0.55590276430515451</v>
      </c>
      <c r="AF31" s="12">
        <f t="shared" si="26"/>
        <v>0.55590276430515451</v>
      </c>
      <c r="AG31" s="12">
        <f t="shared" si="26"/>
        <v>0.55590276430515451</v>
      </c>
      <c r="AH31" s="12">
        <f t="shared" si="26"/>
        <v>0.55590276430515451</v>
      </c>
      <c r="AI31" s="12">
        <f t="shared" si="26"/>
        <v>0.55590276430515451</v>
      </c>
      <c r="AJ31" s="12">
        <f t="shared" si="26"/>
        <v>0.55590276430515451</v>
      </c>
      <c r="AK31" s="12">
        <f t="shared" si="26"/>
        <v>0.55590276430515451</v>
      </c>
      <c r="AL31" s="12">
        <f t="shared" si="26"/>
        <v>0.55590276430515451</v>
      </c>
      <c r="AM31" s="12">
        <f t="shared" si="26"/>
        <v>0.55590276430515451</v>
      </c>
    </row>
    <row r="32" spans="1:39" x14ac:dyDescent="0.3">
      <c r="A32" s="3" t="s">
        <v>194</v>
      </c>
      <c r="B32" s="11">
        <f>IFERROR('QTR BS'!B35/'QTR P&amp;L'!D2,"")</f>
        <v>0</v>
      </c>
      <c r="C32" s="11">
        <f>IFERROR('QTR BS'!C35/'QTR P&amp;L'!E2,"")</f>
        <v>2.3388695077711201E-4</v>
      </c>
      <c r="D32" s="11">
        <f>IFERROR('QTR BS'!D35/'QTR P&amp;L'!G2,"")</f>
        <v>0</v>
      </c>
      <c r="E32" s="11">
        <f>IFERROR('QTR BS'!E35/'QTR P&amp;L'!H2,"")</f>
        <v>3.1619270224646149E-3</v>
      </c>
      <c r="F32" s="11">
        <f>IFERROR('QTR BS'!F35/'QTR P&amp;L'!I2,"")</f>
        <v>0</v>
      </c>
      <c r="G32" s="11">
        <f>IFERROR('QTR BS'!G35/'QTR P&amp;L'!J2,"")</f>
        <v>0</v>
      </c>
      <c r="H32" s="11">
        <f>IFERROR('QTR BS'!H35/'QTR P&amp;L'!K2,"")</f>
        <v>0</v>
      </c>
      <c r="I32" s="11">
        <f>IFERROR('QTR BS'!I35/'QTR P&amp;L'!L2,"")</f>
        <v>0</v>
      </c>
      <c r="J32" s="11">
        <f>IFERROR('QTR BS'!J35/'QTR P&amp;L'!M2,"")</f>
        <v>0</v>
      </c>
      <c r="K32" s="11">
        <f>IFERROR('QTR BS'!K35/'QTR P&amp;L'!N2,"")</f>
        <v>0</v>
      </c>
      <c r="L32" s="11">
        <f>IFERROR('QTR BS'!L35/'QTR P&amp;L'!O2,"")</f>
        <v>0</v>
      </c>
      <c r="M32" s="11">
        <f>IFERROR('QTR BS'!M35/'QTR P&amp;L'!P2,"")</f>
        <v>0</v>
      </c>
      <c r="N32" s="11">
        <f>IFERROR('QTR BS'!N35/'QTR P&amp;L'!Q2,"")</f>
        <v>0</v>
      </c>
      <c r="O32" s="11">
        <f>IFERROR('QTR BS'!O35/'QTR P&amp;L'!R2,"")</f>
        <v>0</v>
      </c>
      <c r="P32" s="11">
        <f>IFERROR('QTR BS'!P35/'QTR P&amp;L'!S2,"")</f>
        <v>7.8171503541102291E-3</v>
      </c>
      <c r="Q32" s="11">
        <f>IFERROR('QTR BS'!Q35/'QTR P&amp;L'!T2,"")</f>
        <v>3.3820352542207804E-2</v>
      </c>
      <c r="R32" s="11">
        <f>IFERROR('QTR BS'!R35/'QTR P&amp;L'!U2,"")</f>
        <v>3.3693004884803049E-2</v>
      </c>
      <c r="S32" s="11">
        <f>IFERROR('QTR BS'!S35/'QTR P&amp;L'!V2,"")</f>
        <v>3.9316656227308254E-2</v>
      </c>
      <c r="T32" s="12">
        <f t="shared" ref="T32:AM32" si="27">S32</f>
        <v>3.9316656227308254E-2</v>
      </c>
      <c r="U32" s="12">
        <f t="shared" si="27"/>
        <v>3.9316656227308254E-2</v>
      </c>
      <c r="V32" s="12">
        <f t="shared" si="27"/>
        <v>3.9316656227308254E-2</v>
      </c>
      <c r="W32" s="12">
        <f t="shared" si="27"/>
        <v>3.9316656227308254E-2</v>
      </c>
      <c r="X32" s="12">
        <f t="shared" si="27"/>
        <v>3.9316656227308254E-2</v>
      </c>
      <c r="Y32" s="12">
        <f t="shared" si="27"/>
        <v>3.9316656227308254E-2</v>
      </c>
      <c r="Z32" s="12">
        <f t="shared" si="27"/>
        <v>3.9316656227308254E-2</v>
      </c>
      <c r="AA32" s="12">
        <f t="shared" si="27"/>
        <v>3.9316656227308254E-2</v>
      </c>
      <c r="AB32" s="12">
        <f t="shared" si="27"/>
        <v>3.9316656227308254E-2</v>
      </c>
      <c r="AC32" s="12">
        <f t="shared" si="27"/>
        <v>3.9316656227308254E-2</v>
      </c>
      <c r="AD32" s="12">
        <f t="shared" si="27"/>
        <v>3.9316656227308254E-2</v>
      </c>
      <c r="AE32" s="12">
        <f t="shared" si="27"/>
        <v>3.9316656227308254E-2</v>
      </c>
      <c r="AF32" s="12">
        <f t="shared" si="27"/>
        <v>3.9316656227308254E-2</v>
      </c>
      <c r="AG32" s="12">
        <f t="shared" si="27"/>
        <v>3.9316656227308254E-2</v>
      </c>
      <c r="AH32" s="12">
        <f t="shared" si="27"/>
        <v>3.9316656227308254E-2</v>
      </c>
      <c r="AI32" s="12">
        <f t="shared" si="27"/>
        <v>3.9316656227308254E-2</v>
      </c>
      <c r="AJ32" s="12">
        <f t="shared" si="27"/>
        <v>3.9316656227308254E-2</v>
      </c>
      <c r="AK32" s="12">
        <f t="shared" si="27"/>
        <v>3.9316656227308254E-2</v>
      </c>
      <c r="AL32" s="12">
        <f t="shared" si="27"/>
        <v>3.9316656227308254E-2</v>
      </c>
      <c r="AM32" s="12">
        <f t="shared" si="27"/>
        <v>3.9316656227308254E-2</v>
      </c>
    </row>
    <row r="33" spans="1:39" x14ac:dyDescent="0.3">
      <c r="A33" s="3" t="s">
        <v>66</v>
      </c>
      <c r="B33" s="4">
        <f>'QTR BS'!B37</f>
        <v>0</v>
      </c>
      <c r="C33" s="4">
        <f>'QTR BS'!C37</f>
        <v>0</v>
      </c>
      <c r="D33" s="4">
        <f>'QTR BS'!D37</f>
        <v>0</v>
      </c>
      <c r="E33" s="4">
        <f>'QTR BS'!E37</f>
        <v>0</v>
      </c>
      <c r="F33" s="4">
        <f>'QTR BS'!F37</f>
        <v>824488</v>
      </c>
      <c r="G33" s="4">
        <f>'QTR BS'!G37</f>
        <v>824488</v>
      </c>
      <c r="H33" s="4">
        <f>'QTR BS'!H37</f>
        <v>824488</v>
      </c>
      <c r="I33" s="4">
        <f>'QTR BS'!I37</f>
        <v>824488</v>
      </c>
      <c r="J33" s="4">
        <f>'QTR BS'!J37</f>
        <v>824488</v>
      </c>
      <c r="K33" s="4">
        <f>'QTR BS'!K37</f>
        <v>824488</v>
      </c>
      <c r="L33" s="4">
        <f>'QTR BS'!L37</f>
        <v>824488</v>
      </c>
      <c r="M33" s="4">
        <f>'QTR BS'!M37</f>
        <v>824488</v>
      </c>
      <c r="N33" s="4">
        <f>'QTR BS'!N37</f>
        <v>824488</v>
      </c>
      <c r="O33" s="4">
        <f>'QTR BS'!O37</f>
        <v>824488</v>
      </c>
      <c r="P33" s="4">
        <f>'QTR BS'!P37</f>
        <v>824488</v>
      </c>
      <c r="Q33" s="4">
        <f>'QTR BS'!Q37</f>
        <v>824488</v>
      </c>
      <c r="R33" s="4">
        <f>'QTR BS'!R37</f>
        <v>1760275</v>
      </c>
      <c r="S33" s="4">
        <f>'QTR BS'!S37</f>
        <v>1759975</v>
      </c>
      <c r="T33" s="13">
        <f t="shared" ref="T33:AM33" si="28">S33</f>
        <v>1759975</v>
      </c>
      <c r="U33" s="13">
        <f t="shared" si="28"/>
        <v>1759975</v>
      </c>
      <c r="V33" s="13">
        <f t="shared" si="28"/>
        <v>1759975</v>
      </c>
      <c r="W33" s="13">
        <f t="shared" si="28"/>
        <v>1759975</v>
      </c>
      <c r="X33" s="13">
        <f t="shared" si="28"/>
        <v>1759975</v>
      </c>
      <c r="Y33" s="13">
        <f t="shared" si="28"/>
        <v>1759975</v>
      </c>
      <c r="Z33" s="13">
        <f t="shared" si="28"/>
        <v>1759975</v>
      </c>
      <c r="AA33" s="13">
        <f t="shared" si="28"/>
        <v>1759975</v>
      </c>
      <c r="AB33" s="13">
        <f t="shared" si="28"/>
        <v>1759975</v>
      </c>
      <c r="AC33" s="13">
        <f t="shared" si="28"/>
        <v>1759975</v>
      </c>
      <c r="AD33" s="13">
        <f t="shared" si="28"/>
        <v>1759975</v>
      </c>
      <c r="AE33" s="13">
        <f t="shared" si="28"/>
        <v>1759975</v>
      </c>
      <c r="AF33" s="13">
        <f t="shared" si="28"/>
        <v>1759975</v>
      </c>
      <c r="AG33" s="13">
        <f t="shared" si="28"/>
        <v>1759975</v>
      </c>
      <c r="AH33" s="13">
        <f t="shared" si="28"/>
        <v>1759975</v>
      </c>
      <c r="AI33" s="13">
        <f t="shared" si="28"/>
        <v>1759975</v>
      </c>
      <c r="AJ33" s="13">
        <f t="shared" si="28"/>
        <v>1759975</v>
      </c>
      <c r="AK33" s="13">
        <f t="shared" si="28"/>
        <v>1759975</v>
      </c>
      <c r="AL33" s="13">
        <f t="shared" si="28"/>
        <v>1759975</v>
      </c>
      <c r="AM33" s="13">
        <f t="shared" si="28"/>
        <v>1759975</v>
      </c>
    </row>
    <row r="34" spans="1:39" x14ac:dyDescent="0.3">
      <c r="A34" s="3" t="s">
        <v>67</v>
      </c>
      <c r="B34" s="4">
        <f>'QTR BS'!B38</f>
        <v>74471</v>
      </c>
      <c r="C34" s="4">
        <f>'QTR BS'!C38</f>
        <v>74746</v>
      </c>
      <c r="D34" s="4">
        <f>'QTR BS'!D38</f>
        <v>75</v>
      </c>
      <c r="E34" s="4">
        <f>'QTR BS'!E38</f>
        <v>76</v>
      </c>
      <c r="F34" s="4">
        <f>'QTR BS'!F38</f>
        <v>76</v>
      </c>
      <c r="G34" s="4">
        <f>'QTR BS'!G38</f>
        <v>76</v>
      </c>
      <c r="H34" s="4">
        <f>'QTR BS'!H38</f>
        <v>77</v>
      </c>
      <c r="I34" s="4">
        <f>'QTR BS'!I38</f>
        <v>77</v>
      </c>
      <c r="J34" s="4">
        <f>'QTR BS'!J38</f>
        <v>77</v>
      </c>
      <c r="K34" s="4">
        <f>'QTR BS'!K38</f>
        <v>77</v>
      </c>
      <c r="L34" s="4">
        <f>'QTR BS'!L38</f>
        <v>78</v>
      </c>
      <c r="M34" s="4">
        <f>'QTR BS'!M38</f>
        <v>78</v>
      </c>
      <c r="N34" s="4">
        <f>'QTR BS'!N38</f>
        <v>79</v>
      </c>
      <c r="O34" s="4">
        <f>'QTR BS'!O38</f>
        <v>79</v>
      </c>
      <c r="P34" s="4">
        <f>'QTR BS'!P38</f>
        <v>79</v>
      </c>
      <c r="Q34" s="4">
        <f>'QTR BS'!Q38</f>
        <v>101</v>
      </c>
      <c r="R34" s="4">
        <f>'QTR BS'!R38</f>
        <v>101</v>
      </c>
      <c r="S34" s="4">
        <f>'QTR BS'!S38</f>
        <v>101</v>
      </c>
      <c r="T34" s="13">
        <f t="shared" ref="T34:AM34" si="29">S34</f>
        <v>101</v>
      </c>
      <c r="U34" s="13">
        <f t="shared" si="29"/>
        <v>101</v>
      </c>
      <c r="V34" s="13">
        <f t="shared" si="29"/>
        <v>101</v>
      </c>
      <c r="W34" s="13">
        <f t="shared" si="29"/>
        <v>101</v>
      </c>
      <c r="X34" s="13">
        <f t="shared" si="29"/>
        <v>101</v>
      </c>
      <c r="Y34" s="13">
        <f t="shared" si="29"/>
        <v>101</v>
      </c>
      <c r="Z34" s="13">
        <f t="shared" si="29"/>
        <v>101</v>
      </c>
      <c r="AA34" s="13">
        <f t="shared" si="29"/>
        <v>101</v>
      </c>
      <c r="AB34" s="13">
        <f t="shared" si="29"/>
        <v>101</v>
      </c>
      <c r="AC34" s="13">
        <f t="shared" si="29"/>
        <v>101</v>
      </c>
      <c r="AD34" s="13">
        <f t="shared" si="29"/>
        <v>101</v>
      </c>
      <c r="AE34" s="13">
        <f t="shared" si="29"/>
        <v>101</v>
      </c>
      <c r="AF34" s="13">
        <f t="shared" si="29"/>
        <v>101</v>
      </c>
      <c r="AG34" s="13">
        <f t="shared" si="29"/>
        <v>101</v>
      </c>
      <c r="AH34" s="13">
        <f t="shared" si="29"/>
        <v>101</v>
      </c>
      <c r="AI34" s="13">
        <f t="shared" si="29"/>
        <v>101</v>
      </c>
      <c r="AJ34" s="13">
        <f t="shared" si="29"/>
        <v>101</v>
      </c>
      <c r="AK34" s="13">
        <f t="shared" si="29"/>
        <v>101</v>
      </c>
      <c r="AL34" s="13">
        <f t="shared" si="29"/>
        <v>101</v>
      </c>
      <c r="AM34" s="13">
        <f t="shared" si="29"/>
        <v>101</v>
      </c>
    </row>
    <row r="35" spans="1:39" x14ac:dyDescent="0.3">
      <c r="A35" s="3" t="s">
        <v>68</v>
      </c>
      <c r="B35" s="4">
        <f>'QTR BS'!B39</f>
        <v>0</v>
      </c>
      <c r="C35" s="4">
        <f>'QTR BS'!C39</f>
        <v>0</v>
      </c>
      <c r="D35" s="4">
        <f>'QTR BS'!D39</f>
        <v>0</v>
      </c>
      <c r="E35" s="4">
        <f>'QTR BS'!E39</f>
        <v>0</v>
      </c>
      <c r="F35" s="4">
        <f>'QTR BS'!F39</f>
        <v>0</v>
      </c>
      <c r="G35" s="4">
        <f>'QTR BS'!G39</f>
        <v>0</v>
      </c>
      <c r="H35" s="4">
        <f>'QTR BS'!H39</f>
        <v>0</v>
      </c>
      <c r="I35" s="4">
        <f>'QTR BS'!I39</f>
        <v>0</v>
      </c>
      <c r="J35" s="4">
        <f>'QTR BS'!J39</f>
        <v>0</v>
      </c>
      <c r="K35" s="4">
        <f>'QTR BS'!K39</f>
        <v>0</v>
      </c>
      <c r="L35" s="4">
        <f>'QTR BS'!L39</f>
        <v>0</v>
      </c>
      <c r="M35" s="4">
        <f>'QTR BS'!M39</f>
        <v>0</v>
      </c>
      <c r="N35" s="4">
        <f>'QTR BS'!N39</f>
        <v>0</v>
      </c>
      <c r="O35" s="4">
        <f>'QTR BS'!O39</f>
        <v>0</v>
      </c>
      <c r="P35" s="4">
        <f>'QTR BS'!P39</f>
        <v>0</v>
      </c>
      <c r="Q35" s="4">
        <f>'QTR BS'!Q39</f>
        <v>0</v>
      </c>
      <c r="R35" s="4">
        <f>'QTR BS'!R39</f>
        <v>0</v>
      </c>
      <c r="S35" s="4">
        <f>'QTR BS'!S39</f>
        <v>-48226</v>
      </c>
      <c r="T35" s="13">
        <f t="shared" ref="T35:AM35" si="30">S35</f>
        <v>-48226</v>
      </c>
      <c r="U35" s="13">
        <f t="shared" si="30"/>
        <v>-48226</v>
      </c>
      <c r="V35" s="13">
        <f t="shared" si="30"/>
        <v>-48226</v>
      </c>
      <c r="W35" s="13">
        <f t="shared" si="30"/>
        <v>-48226</v>
      </c>
      <c r="X35" s="13">
        <f t="shared" si="30"/>
        <v>-48226</v>
      </c>
      <c r="Y35" s="13">
        <f t="shared" si="30"/>
        <v>-48226</v>
      </c>
      <c r="Z35" s="13">
        <f t="shared" si="30"/>
        <v>-48226</v>
      </c>
      <c r="AA35" s="13">
        <f t="shared" si="30"/>
        <v>-48226</v>
      </c>
      <c r="AB35" s="13">
        <f t="shared" si="30"/>
        <v>-48226</v>
      </c>
      <c r="AC35" s="13">
        <f t="shared" si="30"/>
        <v>-48226</v>
      </c>
      <c r="AD35" s="13">
        <f t="shared" si="30"/>
        <v>-48226</v>
      </c>
      <c r="AE35" s="13">
        <f t="shared" si="30"/>
        <v>-48226</v>
      </c>
      <c r="AF35" s="13">
        <f t="shared" si="30"/>
        <v>-48226</v>
      </c>
      <c r="AG35" s="13">
        <f t="shared" si="30"/>
        <v>-48226</v>
      </c>
      <c r="AH35" s="13">
        <f t="shared" si="30"/>
        <v>-48226</v>
      </c>
      <c r="AI35" s="13">
        <f t="shared" si="30"/>
        <v>-48226</v>
      </c>
      <c r="AJ35" s="13">
        <f t="shared" si="30"/>
        <v>-48226</v>
      </c>
      <c r="AK35" s="13">
        <f t="shared" si="30"/>
        <v>-48226</v>
      </c>
      <c r="AL35" s="13">
        <f t="shared" si="30"/>
        <v>-48226</v>
      </c>
      <c r="AM35" s="13">
        <f t="shared" si="30"/>
        <v>-48226</v>
      </c>
    </row>
    <row r="36" spans="1:39" x14ac:dyDescent="0.3">
      <c r="A36" s="3" t="s">
        <v>69</v>
      </c>
      <c r="B36" s="4">
        <f>'QTR BS'!B40</f>
        <v>237763609</v>
      </c>
      <c r="C36" s="4">
        <f>'QTR BS'!C40</f>
        <v>244293710</v>
      </c>
      <c r="D36" s="4">
        <f>'QTR BS'!D40</f>
        <v>272967</v>
      </c>
      <c r="E36" s="4">
        <f>'QTR BS'!E40</f>
        <v>277623</v>
      </c>
      <c r="F36" s="4">
        <f>'QTR BS'!F40</f>
        <v>281133</v>
      </c>
      <c r="G36" s="4">
        <f>'QTR BS'!G40</f>
        <v>280668</v>
      </c>
      <c r="H36" s="4">
        <f>'QTR BS'!H40</f>
        <v>279872</v>
      </c>
      <c r="I36" s="4">
        <f>'QTR BS'!I40</f>
        <v>278980</v>
      </c>
      <c r="J36" s="4">
        <f>'QTR BS'!J40</f>
        <v>277980</v>
      </c>
      <c r="K36" s="4">
        <f>'QTR BS'!K40</f>
        <v>276717</v>
      </c>
      <c r="L36" s="4">
        <f>'QTR BS'!L40</f>
        <v>281247</v>
      </c>
      <c r="M36" s="4">
        <f>'QTR BS'!M40</f>
        <v>286173</v>
      </c>
      <c r="N36" s="4">
        <f>'QTR BS'!N40</f>
        <v>292576</v>
      </c>
      <c r="O36" s="4">
        <f>'QTR BS'!O40</f>
        <v>297579</v>
      </c>
      <c r="P36" s="4">
        <f>'QTR BS'!P40</f>
        <v>300877</v>
      </c>
      <c r="Q36" s="4">
        <f>'QTR BS'!Q40</f>
        <v>1028384</v>
      </c>
      <c r="R36" s="4">
        <f>'QTR BS'!R40</f>
        <v>1035021</v>
      </c>
      <c r="S36" s="4">
        <f>'QTR BS'!S40</f>
        <v>1050518</v>
      </c>
      <c r="T36" s="4">
        <f>S36+'QTR CF'!W11</f>
        <v>1059676.8574415327</v>
      </c>
      <c r="U36" s="4">
        <f>T36+'QTR CF'!X11</f>
        <v>1068791.7840561494</v>
      </c>
      <c r="V36" s="4">
        <f>U36+'QTR CF'!Y11</f>
        <v>1077862.9905598229</v>
      </c>
      <c r="W36" s="4">
        <f>V36+'QTR CF'!Z11</f>
        <v>1086890.686657818</v>
      </c>
      <c r="X36" s="4">
        <f>W36+'QTR CF'!AA11</f>
        <v>1095875.0810495403</v>
      </c>
      <c r="Y36" s="4">
        <f>X36+'QTR CF'!AB11</f>
        <v>1104816.3814333596</v>
      </c>
      <c r="Z36" s="4">
        <f>Y36+'QTR CF'!AC11</f>
        <v>1113714.7945114127</v>
      </c>
      <c r="AA36" s="4">
        <f>Z36+'QTR CF'!AD11</f>
        <v>1122570.5259943812</v>
      </c>
      <c r="AB36" s="4">
        <f>AA36+'QTR CF'!AE11</f>
        <v>1131383.780606247</v>
      </c>
      <c r="AC36" s="4">
        <f>AB36+'QTR CF'!AF11</f>
        <v>1140154.7620890255</v>
      </c>
      <c r="AD36" s="4">
        <f>AC36+'QTR CF'!AG11</f>
        <v>1148883.6732074749</v>
      </c>
      <c r="AE36" s="4">
        <f>AD36+'QTR CF'!AH11</f>
        <v>1157570.7157537844</v>
      </c>
      <c r="AF36" s="4">
        <f>AE36+'QTR CF'!AI11</f>
        <v>1166216.0905522392</v>
      </c>
      <c r="AG36" s="4">
        <f>AF36+'QTR CF'!AJ11</f>
        <v>1174819.9974638622</v>
      </c>
      <c r="AH36" s="4">
        <f>AG36+'QTR CF'!AK11</f>
        <v>1183382.6353910351</v>
      </c>
      <c r="AI36" s="4">
        <f>AH36+'QTR CF'!AL11</f>
        <v>1191904.2022820965</v>
      </c>
      <c r="AJ36" s="4">
        <f>AI36+'QTR CF'!AM11</f>
        <v>1200384.8951359177</v>
      </c>
      <c r="AK36" s="4">
        <f>AJ36+'QTR CF'!AN11</f>
        <v>1208824.910006457</v>
      </c>
      <c r="AL36" s="4">
        <f>AK36+'QTR CF'!AO11</f>
        <v>1217224.4420072921</v>
      </c>
      <c r="AM36" s="4">
        <f>AL36+'QTR CF'!AP11</f>
        <v>1225583.6853161305</v>
      </c>
    </row>
    <row r="37" spans="1:39" x14ac:dyDescent="0.3">
      <c r="A37" s="3" t="s">
        <v>70</v>
      </c>
      <c r="B37" s="4">
        <f>'QTR BS'!B41</f>
        <v>-117656</v>
      </c>
      <c r="C37" s="4">
        <f>'QTR BS'!C41</f>
        <v>1165027</v>
      </c>
      <c r="D37" s="4">
        <f>'QTR BS'!D41</f>
        <v>123</v>
      </c>
      <c r="E37" s="4">
        <f>'QTR BS'!E41</f>
        <v>-2173</v>
      </c>
      <c r="F37" s="4">
        <f>'QTR BS'!F41</f>
        <v>-4211</v>
      </c>
      <c r="G37" s="4">
        <f>'QTR BS'!G41</f>
        <v>-1881</v>
      </c>
      <c r="H37" s="4">
        <f>'QTR BS'!H41</f>
        <v>-1287</v>
      </c>
      <c r="I37" s="4">
        <f>'QTR BS'!I41</f>
        <v>-1877</v>
      </c>
      <c r="J37" s="4">
        <f>'QTR BS'!J41</f>
        <v>-2541</v>
      </c>
      <c r="K37" s="4">
        <f>'QTR BS'!K41</f>
        <v>-701</v>
      </c>
      <c r="L37" s="4">
        <f>'QTR BS'!L41</f>
        <v>-2055</v>
      </c>
      <c r="M37" s="4">
        <f>'QTR BS'!M41</f>
        <v>-2363</v>
      </c>
      <c r="N37" s="4">
        <f>'QTR BS'!N41</f>
        <v>-338</v>
      </c>
      <c r="O37" s="4">
        <f>'QTR BS'!O41</f>
        <v>-3250</v>
      </c>
      <c r="P37" s="4">
        <f>'QTR BS'!P41</f>
        <v>-1001</v>
      </c>
      <c r="Q37" s="4">
        <f>'QTR BS'!Q41</f>
        <v>2178</v>
      </c>
      <c r="R37" s="4">
        <f>'QTR BS'!R41</f>
        <v>2508</v>
      </c>
      <c r="S37" s="4">
        <f>'QTR BS'!S41</f>
        <v>3162</v>
      </c>
      <c r="T37" s="4">
        <f>S37+'QTR CF'!W53</f>
        <v>4259</v>
      </c>
      <c r="U37" s="4">
        <f>T37+'QTR CF'!X53</f>
        <v>5356</v>
      </c>
      <c r="V37" s="4">
        <f>U37+'QTR CF'!Y53</f>
        <v>6453</v>
      </c>
      <c r="W37" s="4">
        <f>V37+'QTR CF'!Z53</f>
        <v>7550</v>
      </c>
      <c r="X37" s="4">
        <f>W37+'QTR CF'!AA53</f>
        <v>8647</v>
      </c>
      <c r="Y37" s="4">
        <f>X37+'QTR CF'!AB53</f>
        <v>9744</v>
      </c>
      <c r="Z37" s="4">
        <f>Y37+'QTR CF'!AC53</f>
        <v>10841</v>
      </c>
      <c r="AA37" s="4">
        <f>Z37+'QTR CF'!AD53</f>
        <v>11938</v>
      </c>
      <c r="AB37" s="4">
        <f>AA37+'QTR CF'!AE53</f>
        <v>13035</v>
      </c>
      <c r="AC37" s="4">
        <f>AB37+'QTR CF'!AF53</f>
        <v>14132</v>
      </c>
      <c r="AD37" s="4">
        <f>AC37+'QTR CF'!AG53</f>
        <v>15229</v>
      </c>
      <c r="AE37" s="4">
        <f>AD37+'QTR CF'!AH53</f>
        <v>16326</v>
      </c>
      <c r="AF37" s="4">
        <f>AE37+'QTR CF'!AI53</f>
        <v>17423</v>
      </c>
      <c r="AG37" s="4">
        <f>AF37+'QTR CF'!AJ53</f>
        <v>18520</v>
      </c>
      <c r="AH37" s="4">
        <f>AG37+'QTR CF'!AK53</f>
        <v>19617</v>
      </c>
      <c r="AI37" s="4">
        <f>AH37+'QTR CF'!AL53</f>
        <v>20714</v>
      </c>
      <c r="AJ37" s="4">
        <f>AI37+'QTR CF'!AM53</f>
        <v>21811</v>
      </c>
      <c r="AK37" s="4">
        <f>AJ37+'QTR CF'!AN53</f>
        <v>22908</v>
      </c>
      <c r="AL37" s="4">
        <f>AK37+'QTR CF'!AO53</f>
        <v>24005</v>
      </c>
      <c r="AM37" s="4">
        <f>AL37+'QTR CF'!AP53</f>
        <v>25102</v>
      </c>
    </row>
    <row r="38" spans="1:39" x14ac:dyDescent="0.3">
      <c r="A38" s="3" t="s">
        <v>71</v>
      </c>
      <c r="B38" s="4">
        <f>'QTR BS'!B42</f>
        <v>-50881064</v>
      </c>
      <c r="C38" s="4">
        <f>'QTR BS'!C42</f>
        <v>-48135273</v>
      </c>
      <c r="D38" s="4">
        <f>'QTR BS'!D42</f>
        <v>-44811</v>
      </c>
      <c r="E38" s="4">
        <f>'QTR BS'!E42</f>
        <v>-35653</v>
      </c>
      <c r="F38" s="4">
        <f>'QTR BS'!F42</f>
        <v>-217549</v>
      </c>
      <c r="G38" s="4">
        <f>'QTR BS'!G42</f>
        <v>-238772</v>
      </c>
      <c r="H38" s="4">
        <f>'QTR BS'!H42</f>
        <v>-197627</v>
      </c>
      <c r="I38" s="4">
        <f>'QTR BS'!I42</f>
        <v>-146118</v>
      </c>
      <c r="J38" s="4">
        <f>'QTR BS'!J42</f>
        <v>-62169</v>
      </c>
      <c r="K38" s="4">
        <f>'QTR BS'!K42</f>
        <v>-12053</v>
      </c>
      <c r="L38" s="4">
        <f>'QTR BS'!L42</f>
        <v>58921</v>
      </c>
      <c r="M38" s="4">
        <f>'QTR BS'!M42</f>
        <v>131866</v>
      </c>
      <c r="N38" s="4">
        <f>'QTR BS'!N42</f>
        <v>131309</v>
      </c>
      <c r="O38" s="4">
        <f>'QTR BS'!O42</f>
        <v>105521</v>
      </c>
      <c r="P38" s="4">
        <f>'QTR BS'!P42</f>
        <v>143159</v>
      </c>
      <c r="Q38" s="4">
        <f>'QTR BS'!Q42</f>
        <v>236163</v>
      </c>
      <c r="R38" s="4">
        <f>'QTR BS'!R42</f>
        <v>165480</v>
      </c>
      <c r="S38" s="4">
        <f>'QTR BS'!S42</f>
        <v>175912</v>
      </c>
      <c r="T38" s="4">
        <f>S38+'QTR P&amp;L'!W17+'QTR CF'!W46</f>
        <v>274156.87675747287</v>
      </c>
      <c r="U38" s="4">
        <f>T38+'QTR P&amp;L'!X17+'QTR CF'!X46</f>
        <v>371843.73721977236</v>
      </c>
      <c r="V38" s="4">
        <f>U38+'QTR P&amp;L'!Y17+'QTR CF'!Y46</f>
        <v>468975.25793443038</v>
      </c>
      <c r="W38" s="4">
        <f>V38+'QTR P&amp;L'!Z17+'QTR CF'!Z46</f>
        <v>565554.10261081113</v>
      </c>
      <c r="X38" s="4">
        <f>W38+'QTR P&amp;L'!AA17+'QTR CF'!AA46</f>
        <v>661582.92218169011</v>
      </c>
      <c r="Y38" s="4">
        <f>X38+'QTR P&amp;L'!AB17+'QTR CF'!AB46</f>
        <v>757064.3548645376</v>
      </c>
      <c r="Z38" s="4">
        <f>Y38+'QTR P&amp;L'!AC17+'QTR CF'!AC46</f>
        <v>852001.02622250782</v>
      </c>
      <c r="AA38" s="4">
        <f>Z38+'QTR P&amp;L'!AD17+'QTR CF'!AD46</f>
        <v>946395.54922513629</v>
      </c>
      <c r="AB38" s="4">
        <f>AA38+'QTR P&amp;L'!AE17+'QTR CF'!AE46</f>
        <v>1040250.5243087451</v>
      </c>
      <c r="AC38" s="4">
        <f>AB38+'QTR P&amp;L'!AF17+'QTR CF'!AF46</f>
        <v>1133568.5394365594</v>
      </c>
      <c r="AD38" s="4">
        <f>AC38+'QTR P&amp;L'!AG17+'QTR CF'!AG46</f>
        <v>1226352.1701585352</v>
      </c>
      <c r="AE38" s="4">
        <f>AD38+'QTR P&amp;L'!AH17+'QTR CF'!AH46</f>
        <v>1318603.9796708997</v>
      </c>
      <c r="AF38" s="4">
        <f>AE38+'QTR P&amp;L'!AI17+'QTR CF'!AI46</f>
        <v>1410326.5188754064</v>
      </c>
      <c r="AG38" s="4">
        <f>AF38+'QTR P&amp;L'!AJ17+'QTR CF'!AJ46</f>
        <v>1501522.3264383064</v>
      </c>
      <c r="AH38" s="4">
        <f>AG38+'QTR P&amp;L'!AK17+'QTR CF'!AK46</f>
        <v>1592193.9288490366</v>
      </c>
      <c r="AI38" s="4">
        <f>AH38+'QTR P&amp;L'!AL17+'QTR CF'!AL46</f>
        <v>1682343.8404786258</v>
      </c>
      <c r="AJ38" s="4">
        <f>AI38+'QTR P&amp;L'!AM17+'QTR CF'!AM46</f>
        <v>1771974.5636378217</v>
      </c>
      <c r="AK38" s="4">
        <f>AJ38+'QTR P&amp;L'!AN17+'QTR CF'!AN46</f>
        <v>1861088.5886349375</v>
      </c>
      <c r="AL38" s="4">
        <f>AK38+'QTR P&amp;L'!AO17+'QTR CF'!AO46</f>
        <v>1949688.3938334233</v>
      </c>
      <c r="AM38" s="4">
        <f>AL38+'QTR P&amp;L'!AP17+'QTR CF'!AP46</f>
        <v>2037776.4457091591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P5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8" customWidth="1"/>
    <col min="2" max="42" width="13" customWidth="1"/>
  </cols>
  <sheetData>
    <row r="1" spans="1:42" x14ac:dyDescent="0.3">
      <c r="A1" s="1" t="s">
        <v>162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133</v>
      </c>
      <c r="G1" s="2" t="s">
        <v>117</v>
      </c>
      <c r="H1" s="2" t="s">
        <v>118</v>
      </c>
      <c r="I1" s="2" t="s">
        <v>119</v>
      </c>
      <c r="J1" s="2" t="s">
        <v>134</v>
      </c>
      <c r="K1" s="2" t="s">
        <v>120</v>
      </c>
      <c r="L1" s="2" t="s">
        <v>121</v>
      </c>
      <c r="M1" s="2" t="s">
        <v>122</v>
      </c>
      <c r="N1" s="2" t="s">
        <v>135</v>
      </c>
      <c r="O1" s="2" t="s">
        <v>123</v>
      </c>
      <c r="P1" s="2" t="s">
        <v>124</v>
      </c>
      <c r="Q1" s="2" t="s">
        <v>125</v>
      </c>
      <c r="R1" s="2" t="s">
        <v>136</v>
      </c>
      <c r="S1" s="2" t="s">
        <v>126</v>
      </c>
      <c r="T1" s="2" t="s">
        <v>127</v>
      </c>
      <c r="U1" s="2" t="s">
        <v>128</v>
      </c>
      <c r="V1" s="2" t="s">
        <v>141</v>
      </c>
      <c r="W1" s="2" t="s">
        <v>142</v>
      </c>
      <c r="X1" s="2" t="s">
        <v>143</v>
      </c>
      <c r="Y1" s="2" t="s">
        <v>144</v>
      </c>
      <c r="Z1" s="2" t="s">
        <v>145</v>
      </c>
      <c r="AA1" s="2" t="s">
        <v>146</v>
      </c>
      <c r="AB1" s="2" t="s">
        <v>147</v>
      </c>
      <c r="AC1" s="2" t="s">
        <v>148</v>
      </c>
      <c r="AD1" s="2" t="s">
        <v>149</v>
      </c>
      <c r="AE1" s="2" t="s">
        <v>150</v>
      </c>
      <c r="AF1" s="2" t="s">
        <v>151</v>
      </c>
      <c r="AG1" s="2" t="s">
        <v>152</v>
      </c>
      <c r="AH1" s="2" t="s">
        <v>153</v>
      </c>
      <c r="AI1" s="2" t="s">
        <v>154</v>
      </c>
      <c r="AJ1" s="2" t="s">
        <v>155</v>
      </c>
      <c r="AK1" s="2" t="s">
        <v>156</v>
      </c>
      <c r="AL1" s="2" t="s">
        <v>157</v>
      </c>
      <c r="AM1" s="2" t="s">
        <v>158</v>
      </c>
      <c r="AN1" s="2" t="s">
        <v>159</v>
      </c>
      <c r="AO1" s="2" t="s">
        <v>160</v>
      </c>
      <c r="AP1" s="2" t="s">
        <v>161</v>
      </c>
    </row>
    <row r="2" spans="1:42" x14ac:dyDescent="0.3">
      <c r="A2" s="3" t="s">
        <v>27</v>
      </c>
      <c r="B2" s="4">
        <f>'QTR CF'!B2</f>
        <v>4753603</v>
      </c>
      <c r="C2" s="4">
        <f>'QTR CF'!C2</f>
        <v>585</v>
      </c>
      <c r="D2" s="4">
        <f>'QTR CF'!D2</f>
        <v>4545183</v>
      </c>
      <c r="E2" s="4">
        <f>'QTR CF'!E2</f>
        <v>2745791</v>
      </c>
      <c r="F2" s="4">
        <f>'QTR CF'!F2</f>
        <v>-7287622</v>
      </c>
      <c r="G2" s="4">
        <f>'QTR CF'!G2</f>
        <v>6679</v>
      </c>
      <c r="H2" s="4">
        <f>'QTR CF'!H2</f>
        <v>9159</v>
      </c>
      <c r="I2" s="4">
        <f>'QTR CF'!I2</f>
        <v>-181897</v>
      </c>
      <c r="J2" s="4">
        <f>'QTR CF'!J2</f>
        <v>-21223</v>
      </c>
      <c r="K2" s="4">
        <f>'QTR CF'!K2</f>
        <v>41227</v>
      </c>
      <c r="L2" s="4">
        <f>'QTR CF'!L2</f>
        <v>51509</v>
      </c>
      <c r="M2" s="4">
        <f>'QTR CF'!M2</f>
        <v>83949</v>
      </c>
      <c r="N2" s="4">
        <f>'QTR CF'!N2</f>
        <v>50116</v>
      </c>
      <c r="O2" s="4">
        <f>'QTR CF'!O2</f>
        <v>77811</v>
      </c>
      <c r="P2" s="4">
        <f>'QTR CF'!P2</f>
        <v>79783</v>
      </c>
      <c r="Q2" s="4">
        <f>'QTR CF'!Q2</f>
        <v>6356</v>
      </c>
      <c r="R2" s="4">
        <f>'QTR CF'!R2</f>
        <v>-18876</v>
      </c>
      <c r="S2" s="4">
        <f>'QTR CF'!S2</f>
        <v>44419</v>
      </c>
      <c r="T2" s="4">
        <f>'QTR CF'!T2</f>
        <v>99855</v>
      </c>
      <c r="U2" s="4">
        <f>'QTR CF'!U2</f>
        <v>-61014</v>
      </c>
      <c r="V2" s="4">
        <f>'QTR CF'!V2</f>
        <v>24739</v>
      </c>
      <c r="W2" s="4">
        <f>'QTR P&amp;L'!W17</f>
        <v>112551.87675747286</v>
      </c>
      <c r="X2" s="4">
        <f>'QTR P&amp;L'!X17</f>
        <v>111993.86046229949</v>
      </c>
      <c r="Y2" s="4">
        <f>'QTR P&amp;L'!Y17</f>
        <v>111438.52071465804</v>
      </c>
      <c r="Z2" s="4">
        <f>'QTR P&amp;L'!Z17</f>
        <v>110885.84467638076</v>
      </c>
      <c r="AA2" s="4">
        <f>'QTR P&amp;L'!AA17</f>
        <v>110335.819570879</v>
      </c>
      <c r="AB2" s="4">
        <f>'QTR P&amp;L'!AB17</f>
        <v>109788.43268284744</v>
      </c>
      <c r="AC2" s="4">
        <f>'QTR P&amp;L'!AC17</f>
        <v>109243.67135797023</v>
      </c>
      <c r="AD2" s="4">
        <f>'QTR P&amp;L'!AD17</f>
        <v>108701.52300262843</v>
      </c>
      <c r="AE2" s="4">
        <f>'QTR P&amp;L'!AE17</f>
        <v>108161.97508360882</v>
      </c>
      <c r="AF2" s="4">
        <f>'QTR P&amp;L'!AF17</f>
        <v>107625.0151278144</v>
      </c>
      <c r="AG2" s="4">
        <f>'QTR P&amp;L'!AG17</f>
        <v>107090.63072197579</v>
      </c>
      <c r="AH2" s="4">
        <f>'QTR P&amp;L'!AH17</f>
        <v>106558.80951236437</v>
      </c>
      <c r="AI2" s="4">
        <f>'QTR P&amp;L'!AI17</f>
        <v>106029.5392045066</v>
      </c>
      <c r="AJ2" s="4">
        <f>'QTR P&amp;L'!AJ17</f>
        <v>105502.80756290008</v>
      </c>
      <c r="AK2" s="4">
        <f>'QTR P&amp;L'!AK17</f>
        <v>104978.60241073027</v>
      </c>
      <c r="AL2" s="4">
        <f>'QTR P&amp;L'!AL17</f>
        <v>104456.91162958933</v>
      </c>
      <c r="AM2" s="4">
        <f>'QTR P&amp;L'!AM17</f>
        <v>103937.72315919575</v>
      </c>
      <c r="AN2" s="4">
        <f>'QTR P&amp;L'!AN17</f>
        <v>103421.02499711576</v>
      </c>
      <c r="AO2" s="4">
        <f>'QTR P&amp;L'!AO17</f>
        <v>102906.80519848567</v>
      </c>
      <c r="AP2" s="4">
        <f>'QTR P&amp;L'!AP17</f>
        <v>102395.05187573591</v>
      </c>
    </row>
    <row r="3" spans="1:42" x14ac:dyDescent="0.3">
      <c r="A3" s="3" t="s">
        <v>137</v>
      </c>
      <c r="B3" s="4">
        <f>'QTR CF'!B3</f>
        <v>31829</v>
      </c>
      <c r="C3" s="4">
        <f>'QTR CF'!C3</f>
        <v>108</v>
      </c>
      <c r="D3" s="4">
        <f>'QTR CF'!D3</f>
        <v>178317</v>
      </c>
      <c r="E3" s="4">
        <f>'QTR CF'!E3</f>
        <v>341340</v>
      </c>
      <c r="F3" s="4">
        <f>'QTR CF'!F3</f>
        <v>0</v>
      </c>
      <c r="G3" s="4">
        <f>'QTR CF'!G3</f>
        <v>245</v>
      </c>
      <c r="H3" s="4">
        <f>'QTR CF'!H3</f>
        <v>311</v>
      </c>
      <c r="I3" s="4">
        <f>'QTR CF'!I3</f>
        <v>396</v>
      </c>
      <c r="J3" s="4">
        <f>'QTR CF'!J3</f>
        <v>0</v>
      </c>
      <c r="K3" s="4">
        <f>'QTR CF'!K3</f>
        <v>404</v>
      </c>
      <c r="L3" s="4">
        <f>'QTR CF'!L3</f>
        <v>549</v>
      </c>
      <c r="M3" s="4">
        <f>'QTR CF'!M3</f>
        <v>723</v>
      </c>
      <c r="N3" s="4">
        <f>'QTR CF'!N3</f>
        <v>0</v>
      </c>
      <c r="O3" s="4">
        <f>'QTR CF'!O3</f>
        <v>0</v>
      </c>
      <c r="P3" s="4">
        <f>'QTR CF'!P3</f>
        <v>0</v>
      </c>
      <c r="Q3" s="4">
        <f>'QTR CF'!Q3</f>
        <v>0</v>
      </c>
      <c r="R3" s="4">
        <f>'QTR CF'!R3</f>
        <v>0</v>
      </c>
      <c r="S3" s="4">
        <f>'QTR CF'!S3</f>
        <v>0</v>
      </c>
      <c r="T3" s="4">
        <f>'QTR CF'!T3</f>
        <v>0</v>
      </c>
      <c r="U3" s="4">
        <f>'QTR CF'!U3</f>
        <v>0</v>
      </c>
      <c r="V3" s="4">
        <f>'QTR CF'!V3</f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</row>
    <row r="4" spans="1:42" x14ac:dyDescent="0.3">
      <c r="A4" s="3" t="s">
        <v>138</v>
      </c>
      <c r="B4" s="4">
        <f>'QTR CF'!B4</f>
        <v>373639</v>
      </c>
      <c r="C4" s="4">
        <f>'QTR CF'!C4</f>
        <v>188</v>
      </c>
      <c r="D4" s="4">
        <f>'QTR CF'!D4</f>
        <v>374953</v>
      </c>
      <c r="E4" s="4">
        <f>'QTR CF'!E4</f>
        <v>175659</v>
      </c>
      <c r="F4" s="4">
        <f>'QTR CF'!F4</f>
        <v>0</v>
      </c>
      <c r="G4" s="4">
        <f>'QTR CF'!G4</f>
        <v>141</v>
      </c>
      <c r="H4" s="4">
        <f>'QTR CF'!H4</f>
        <v>134</v>
      </c>
      <c r="I4" s="4">
        <f>'QTR CF'!I4</f>
        <v>127</v>
      </c>
      <c r="J4" s="4">
        <f>'QTR CF'!J4</f>
        <v>0</v>
      </c>
      <c r="K4" s="4">
        <f>'QTR CF'!K4</f>
        <v>145</v>
      </c>
      <c r="L4" s="4">
        <f>'QTR CF'!L4</f>
        <v>149</v>
      </c>
      <c r="M4" s="4">
        <f>'QTR CF'!M4</f>
        <v>151</v>
      </c>
      <c r="N4" s="4">
        <f>'QTR CF'!N4</f>
        <v>0</v>
      </c>
      <c r="O4" s="4">
        <f>'QTR CF'!O4</f>
        <v>0</v>
      </c>
      <c r="P4" s="4">
        <f>'QTR CF'!P4</f>
        <v>0</v>
      </c>
      <c r="Q4" s="4">
        <f>'QTR CF'!Q4</f>
        <v>0</v>
      </c>
      <c r="R4" s="4">
        <f>'QTR CF'!R4</f>
        <v>0</v>
      </c>
      <c r="S4" s="4">
        <f>'QTR CF'!S4</f>
        <v>0</v>
      </c>
      <c r="T4" s="4">
        <f>'QTR CF'!T4</f>
        <v>0</v>
      </c>
      <c r="U4" s="4">
        <f>'QTR CF'!U4</f>
        <v>0</v>
      </c>
      <c r="V4" s="4">
        <f>'QTR CF'!V4</f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</row>
    <row r="5" spans="1:42" x14ac:dyDescent="0.3">
      <c r="A5" s="3" t="s">
        <v>75</v>
      </c>
      <c r="B5" s="4">
        <f>'QTR CF'!B5</f>
        <v>0</v>
      </c>
      <c r="C5" s="4">
        <f>'QTR CF'!C5</f>
        <v>0</v>
      </c>
      <c r="D5" s="4">
        <f>'QTR CF'!D5</f>
        <v>0</v>
      </c>
      <c r="E5" s="4">
        <f>'QTR CF'!E5</f>
        <v>0</v>
      </c>
      <c r="F5" s="4">
        <f>'QTR CF'!F5</f>
        <v>0</v>
      </c>
      <c r="G5" s="4">
        <f>'QTR CF'!G5</f>
        <v>0</v>
      </c>
      <c r="H5" s="4">
        <f>'QTR CF'!H5</f>
        <v>0</v>
      </c>
      <c r="I5" s="4">
        <f>'QTR CF'!I5</f>
        <v>2379</v>
      </c>
      <c r="J5" s="4">
        <f>'QTR CF'!J5</f>
        <v>0</v>
      </c>
      <c r="K5" s="4">
        <f>'QTR CF'!K5</f>
        <v>0</v>
      </c>
      <c r="L5" s="4">
        <f>'QTR CF'!L5</f>
        <v>0</v>
      </c>
      <c r="M5" s="4">
        <f>'QTR CF'!M5</f>
        <v>0</v>
      </c>
      <c r="N5" s="4">
        <f>'QTR CF'!N5</f>
        <v>0</v>
      </c>
      <c r="O5" s="4">
        <f>'QTR CF'!O5</f>
        <v>0</v>
      </c>
      <c r="P5" s="4">
        <f>'QTR CF'!P5</f>
        <v>0</v>
      </c>
      <c r="Q5" s="4">
        <f>'QTR CF'!Q5</f>
        <v>0</v>
      </c>
      <c r="R5" s="4">
        <f>'QTR CF'!R5</f>
        <v>0</v>
      </c>
      <c r="S5" s="4">
        <f>'QTR CF'!S5</f>
        <v>0</v>
      </c>
      <c r="T5" s="4">
        <f>'QTR CF'!T5</f>
        <v>0</v>
      </c>
      <c r="U5" s="4">
        <f>'QTR CF'!U5</f>
        <v>0</v>
      </c>
      <c r="V5" s="4">
        <f>'QTR CF'!V5</f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</row>
    <row r="6" spans="1:42" x14ac:dyDescent="0.3">
      <c r="A6" s="3" t="s">
        <v>195</v>
      </c>
      <c r="B6" s="11">
        <f>IFERROR('QTR CF'!B6/'QTR P&amp;L'!B2,"")</f>
        <v>0</v>
      </c>
      <c r="C6" s="11">
        <f>IFERROR('QTR CF'!C6/'QTR P&amp;L'!C2,"")</f>
        <v>0</v>
      </c>
      <c r="D6" s="11">
        <f>IFERROR('QTR CF'!D6/'QTR P&amp;L'!D2,"")</f>
        <v>0</v>
      </c>
      <c r="E6" s="11">
        <f>IFERROR('QTR CF'!E6/'QTR P&amp;L'!E2,"")</f>
        <v>0</v>
      </c>
      <c r="F6" s="11">
        <f>IFERROR('QTR CF'!F6/'QTR P&amp;L'!F2,"")</f>
        <v>-6.0275714661824392E-6</v>
      </c>
      <c r="G6" s="11">
        <f>IFERROR('QTR CF'!G6/'QTR P&amp;L'!G2,"")</f>
        <v>0</v>
      </c>
      <c r="H6" s="11">
        <f>IFERROR('QTR CF'!H6/'QTR P&amp;L'!H2,"")</f>
        <v>0</v>
      </c>
      <c r="I6" s="11">
        <f>IFERROR('QTR CF'!I6/'QTR P&amp;L'!I2,"")</f>
        <v>0</v>
      </c>
      <c r="J6" s="11">
        <f>IFERROR('QTR CF'!J6/'QTR P&amp;L'!J2,"")</f>
        <v>1.0771841496032905E-2</v>
      </c>
      <c r="K6" s="11">
        <f>IFERROR('QTR CF'!K6/'QTR P&amp;L'!K2,"")</f>
        <v>0</v>
      </c>
      <c r="L6" s="11">
        <f>IFERROR('QTR CF'!L6/'QTR P&amp;L'!L2,"")</f>
        <v>0</v>
      </c>
      <c r="M6" s="11">
        <f>IFERROR('QTR CF'!M6/'QTR P&amp;L'!M2,"")</f>
        <v>0</v>
      </c>
      <c r="N6" s="11">
        <f>IFERROR('QTR CF'!N6/'QTR P&amp;L'!N2,"")</f>
        <v>9.2851900355462175E-3</v>
      </c>
      <c r="O6" s="11">
        <f>IFERROR('QTR CF'!O6/'QTR P&amp;L'!O2,"")</f>
        <v>3.4550811339638132E-3</v>
      </c>
      <c r="P6" s="11">
        <f>IFERROR('QTR CF'!P6/'QTR P&amp;L'!P2,"")</f>
        <v>3.5300527144587874E-3</v>
      </c>
      <c r="Q6" s="11">
        <f>IFERROR('QTR CF'!Q6/'QTR P&amp;L'!Q2,"")</f>
        <v>8.4290380360341373E-3</v>
      </c>
      <c r="R6" s="11">
        <f>IFERROR('QTR CF'!R6/'QTR P&amp;L'!R2,"")</f>
        <v>7.182485091677529E-3</v>
      </c>
      <c r="S6" s="11">
        <f>IFERROR('QTR CF'!S6/'QTR P&amp;L'!S2,"")</f>
        <v>7.9295180942431272E-3</v>
      </c>
      <c r="T6" s="11">
        <f>IFERROR('QTR CF'!T6/'QTR P&amp;L'!T2,"")</f>
        <v>1.2335324967298335E-2</v>
      </c>
      <c r="U6" s="11">
        <f>IFERROR('QTR CF'!U6/'QTR P&amp;L'!U2,"")</f>
        <v>1.2116849122748951E-2</v>
      </c>
      <c r="V6" s="11">
        <f>IFERROR('QTR CF'!V6/'QTR P&amp;L'!V2,"")</f>
        <v>1.2381725764521333E-2</v>
      </c>
      <c r="W6" s="12">
        <f t="shared" ref="W6:AP6" si="0">V6</f>
        <v>1.2381725764521333E-2</v>
      </c>
      <c r="X6" s="12">
        <f t="shared" si="0"/>
        <v>1.2381725764521333E-2</v>
      </c>
      <c r="Y6" s="12">
        <f t="shared" si="0"/>
        <v>1.2381725764521333E-2</v>
      </c>
      <c r="Z6" s="12">
        <f t="shared" si="0"/>
        <v>1.2381725764521333E-2</v>
      </c>
      <c r="AA6" s="12">
        <f t="shared" si="0"/>
        <v>1.2381725764521333E-2</v>
      </c>
      <c r="AB6" s="12">
        <f t="shared" si="0"/>
        <v>1.2381725764521333E-2</v>
      </c>
      <c r="AC6" s="12">
        <f t="shared" si="0"/>
        <v>1.2381725764521333E-2</v>
      </c>
      <c r="AD6" s="12">
        <f t="shared" si="0"/>
        <v>1.2381725764521333E-2</v>
      </c>
      <c r="AE6" s="12">
        <f t="shared" si="0"/>
        <v>1.2381725764521333E-2</v>
      </c>
      <c r="AF6" s="12">
        <f t="shared" si="0"/>
        <v>1.2381725764521333E-2</v>
      </c>
      <c r="AG6" s="12">
        <f t="shared" si="0"/>
        <v>1.2381725764521333E-2</v>
      </c>
      <c r="AH6" s="12">
        <f t="shared" si="0"/>
        <v>1.2381725764521333E-2</v>
      </c>
      <c r="AI6" s="12">
        <f t="shared" si="0"/>
        <v>1.2381725764521333E-2</v>
      </c>
      <c r="AJ6" s="12">
        <f t="shared" si="0"/>
        <v>1.2381725764521333E-2</v>
      </c>
      <c r="AK6" s="12">
        <f t="shared" si="0"/>
        <v>1.2381725764521333E-2</v>
      </c>
      <c r="AL6" s="12">
        <f t="shared" si="0"/>
        <v>1.2381725764521333E-2</v>
      </c>
      <c r="AM6" s="12">
        <f t="shared" si="0"/>
        <v>1.2381725764521333E-2</v>
      </c>
      <c r="AN6" s="12">
        <f t="shared" si="0"/>
        <v>1.2381725764521333E-2</v>
      </c>
      <c r="AO6" s="12">
        <f t="shared" si="0"/>
        <v>1.2381725764521333E-2</v>
      </c>
      <c r="AP6" s="12">
        <f t="shared" si="0"/>
        <v>1.2381725764521333E-2</v>
      </c>
    </row>
    <row r="7" spans="1:42" x14ac:dyDescent="0.3">
      <c r="A7" s="3" t="s">
        <v>76</v>
      </c>
      <c r="B7" s="4">
        <f>'QTR CF'!B7</f>
        <v>23503</v>
      </c>
      <c r="C7" s="4">
        <f>'QTR CF'!C7</f>
        <v>223</v>
      </c>
      <c r="D7" s="4">
        <f>'QTR CF'!D7</f>
        <v>854383</v>
      </c>
      <c r="E7" s="4">
        <f>'QTR CF'!E7</f>
        <v>-1061867</v>
      </c>
      <c r="F7" s="4">
        <f>'QTR CF'!F7</f>
        <v>208755</v>
      </c>
      <c r="G7" s="4">
        <f>'QTR CF'!G7</f>
        <v>455</v>
      </c>
      <c r="H7" s="4">
        <f>'QTR CF'!H7</f>
        <v>11</v>
      </c>
      <c r="I7" s="4">
        <f>'QTR CF'!I7</f>
        <v>239</v>
      </c>
      <c r="J7" s="4">
        <f>'QTR CF'!J7</f>
        <v>1647</v>
      </c>
      <c r="K7" s="4">
        <f>'QTR CF'!K7</f>
        <v>837</v>
      </c>
      <c r="L7" s="4">
        <f>'QTR CF'!L7</f>
        <v>251</v>
      </c>
      <c r="M7" s="4">
        <f>'QTR CF'!M7</f>
        <v>792</v>
      </c>
      <c r="N7" s="4">
        <f>'QTR CF'!N7</f>
        <v>248</v>
      </c>
      <c r="O7" s="4">
        <f>'QTR CF'!O7</f>
        <v>2250</v>
      </c>
      <c r="P7" s="4">
        <f>'QTR CF'!P7</f>
        <v>1822</v>
      </c>
      <c r="Q7" s="4">
        <f>'QTR CF'!Q7</f>
        <v>207</v>
      </c>
      <c r="R7" s="4">
        <f>'QTR CF'!R7</f>
        <v>-985</v>
      </c>
      <c r="S7" s="4">
        <f>'QTR CF'!S7</f>
        <v>2077</v>
      </c>
      <c r="T7" s="4">
        <f>'QTR CF'!T7</f>
        <v>3452</v>
      </c>
      <c r="U7" s="4">
        <f>'QTR CF'!U7</f>
        <v>-2303</v>
      </c>
      <c r="V7" s="4">
        <f>'QTR CF'!V7</f>
        <v>7374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</row>
    <row r="8" spans="1:42" x14ac:dyDescent="0.3">
      <c r="A8" s="3" t="s">
        <v>77</v>
      </c>
      <c r="B8" s="4">
        <f>'QTR CF'!B8</f>
        <v>0</v>
      </c>
      <c r="C8" s="4">
        <f>'QTR CF'!C8</f>
        <v>0</v>
      </c>
      <c r="D8" s="4">
        <f>'QTR CF'!D8</f>
        <v>0</v>
      </c>
      <c r="E8" s="4">
        <f>'QTR CF'!E8</f>
        <v>0</v>
      </c>
      <c r="F8" s="4">
        <f>'QTR CF'!F8</f>
        <v>0</v>
      </c>
      <c r="G8" s="4">
        <f>'QTR CF'!G8</f>
        <v>0</v>
      </c>
      <c r="H8" s="4">
        <f>'QTR CF'!H8</f>
        <v>0</v>
      </c>
      <c r="I8" s="4">
        <f>'QTR CF'!I8</f>
        <v>2354</v>
      </c>
      <c r="J8" s="4">
        <f>'QTR CF'!J8</f>
        <v>3531</v>
      </c>
      <c r="K8" s="4">
        <f>'QTR CF'!K8</f>
        <v>3531</v>
      </c>
      <c r="L8" s="4">
        <f>'QTR CF'!L8</f>
        <v>3531</v>
      </c>
      <c r="M8" s="4">
        <f>'QTR CF'!M8</f>
        <v>3531</v>
      </c>
      <c r="N8" s="4">
        <f>'QTR CF'!N8</f>
        <v>3531</v>
      </c>
      <c r="O8" s="4">
        <f>'QTR CF'!O8</f>
        <v>3531</v>
      </c>
      <c r="P8" s="4">
        <f>'QTR CF'!P8</f>
        <v>3531</v>
      </c>
      <c r="Q8" s="4">
        <f>'QTR CF'!Q8</f>
        <v>3531</v>
      </c>
      <c r="R8" s="4">
        <f>'QTR CF'!R8</f>
        <v>3531</v>
      </c>
      <c r="S8" s="4">
        <f>'QTR CF'!S8</f>
        <v>3531</v>
      </c>
      <c r="T8" s="4">
        <f>'QTR CF'!T8</f>
        <v>3531</v>
      </c>
      <c r="U8" s="4">
        <f>'QTR CF'!U8</f>
        <v>6329</v>
      </c>
      <c r="V8" s="4">
        <f>'QTR CF'!V8</f>
        <v>12935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</row>
    <row r="9" spans="1:42" x14ac:dyDescent="0.3">
      <c r="A9" s="3" t="s">
        <v>78</v>
      </c>
      <c r="B9" s="4">
        <f>'QTR CF'!B9</f>
        <v>349192</v>
      </c>
      <c r="C9" s="4">
        <f>'QTR CF'!C9</f>
        <v>754</v>
      </c>
      <c r="D9" s="4">
        <f>'QTR CF'!D9</f>
        <v>1259322</v>
      </c>
      <c r="E9" s="4">
        <f>'QTR CF'!E9</f>
        <v>-1247842</v>
      </c>
      <c r="F9" s="4">
        <f>'QTR CF'!F9</f>
        <v>-9879</v>
      </c>
      <c r="G9" s="4">
        <f>'QTR CF'!G9</f>
        <v>2596</v>
      </c>
      <c r="H9" s="4">
        <f>'QTR CF'!H9</f>
        <v>-2265</v>
      </c>
      <c r="I9" s="4">
        <f>'QTR CF'!I9</f>
        <v>747</v>
      </c>
      <c r="J9" s="4">
        <f>'QTR CF'!J9</f>
        <v>5053</v>
      </c>
      <c r="K9" s="4">
        <f>'QTR CF'!K9</f>
        <v>1672</v>
      </c>
      <c r="L9" s="4">
        <f>'QTR CF'!L9</f>
        <v>-5560</v>
      </c>
      <c r="M9" s="4">
        <f>'QTR CF'!M9</f>
        <v>6565</v>
      </c>
      <c r="N9" s="4">
        <f>'QTR CF'!N9</f>
        <v>4635</v>
      </c>
      <c r="O9" s="4">
        <f>'QTR CF'!O9</f>
        <v>2386</v>
      </c>
      <c r="P9" s="4">
        <f>'QTR CF'!P9</f>
        <v>9168</v>
      </c>
      <c r="Q9" s="4">
        <f>'QTR CF'!Q9</f>
        <v>5564</v>
      </c>
      <c r="R9" s="4">
        <f>'QTR CF'!R9</f>
        <v>1968</v>
      </c>
      <c r="S9" s="4">
        <f>'QTR CF'!S9</f>
        <v>5337</v>
      </c>
      <c r="T9" s="4">
        <f>'QTR CF'!T9</f>
        <v>9925</v>
      </c>
      <c r="U9" s="4">
        <f>'QTR CF'!U9</f>
        <v>7051</v>
      </c>
      <c r="V9" s="4">
        <f>'QTR CF'!V9</f>
        <v>6877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</row>
    <row r="10" spans="1:42" x14ac:dyDescent="0.3">
      <c r="A10" s="3" t="s">
        <v>79</v>
      </c>
      <c r="B10" s="4">
        <f>'QTR CF'!B10</f>
        <v>0</v>
      </c>
      <c r="C10" s="4">
        <f>'QTR CF'!C10</f>
        <v>0</v>
      </c>
      <c r="D10" s="4">
        <f>'QTR CF'!D10</f>
        <v>0</v>
      </c>
      <c r="E10" s="4">
        <f>'QTR CF'!E10</f>
        <v>0</v>
      </c>
      <c r="F10" s="4">
        <f>'QTR CF'!F10</f>
        <v>0</v>
      </c>
      <c r="G10" s="4">
        <f>'QTR CF'!G10</f>
        <v>0</v>
      </c>
      <c r="H10" s="4">
        <f>'QTR CF'!H10</f>
        <v>0</v>
      </c>
      <c r="I10" s="4">
        <f>'QTR CF'!I10</f>
        <v>0</v>
      </c>
      <c r="J10" s="4">
        <f>'QTR CF'!J10</f>
        <v>0</v>
      </c>
      <c r="K10" s="4">
        <f>'QTR CF'!K10</f>
        <v>0</v>
      </c>
      <c r="L10" s="4">
        <f>'QTR CF'!L10</f>
        <v>191</v>
      </c>
      <c r="M10" s="4">
        <f>'QTR CF'!M10</f>
        <v>4</v>
      </c>
      <c r="N10" s="4">
        <f>'QTR CF'!N10</f>
        <v>3</v>
      </c>
      <c r="O10" s="4">
        <f>'QTR CF'!O10</f>
        <v>-8</v>
      </c>
      <c r="P10" s="4">
        <f>'QTR CF'!P10</f>
        <v>39</v>
      </c>
      <c r="Q10" s="4">
        <f>'QTR CF'!Q10</f>
        <v>95</v>
      </c>
      <c r="R10" s="4">
        <f>'QTR CF'!R10</f>
        <v>47</v>
      </c>
      <c r="S10" s="4">
        <f>'QTR CF'!S10</f>
        <v>0</v>
      </c>
      <c r="T10" s="4">
        <f>'QTR CF'!T10</f>
        <v>0</v>
      </c>
      <c r="U10" s="4">
        <f>'QTR CF'!U10</f>
        <v>0</v>
      </c>
      <c r="V10" s="4">
        <f>'QTR CF'!V10</f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</row>
    <row r="11" spans="1:42" x14ac:dyDescent="0.3">
      <c r="A11" s="3" t="s">
        <v>196</v>
      </c>
      <c r="B11" s="11">
        <f>IFERROR('QTR CF'!B11/'QTR P&amp;L'!B2,"")</f>
        <v>5.8190812171041197E-2</v>
      </c>
      <c r="C11" s="11">
        <f>IFERROR('QTR CF'!C11/'QTR P&amp;L'!C2,"")</f>
        <v>7.1449985010492656E-2</v>
      </c>
      <c r="D11" s="11">
        <f>IFERROR('QTR CF'!D11/'QTR P&amp;L'!D2,"")</f>
        <v>6.5998661355347335E-2</v>
      </c>
      <c r="E11" s="11">
        <f>IFERROR('QTR CF'!E11/'QTR P&amp;L'!E2,"")</f>
        <v>6.1146096633515647E-2</v>
      </c>
      <c r="F11" s="11">
        <f>IFERROR('QTR CF'!F11/'QTR P&amp;L'!F2,"")</f>
        <v>6.3728721516327164E-2</v>
      </c>
      <c r="G11" s="11">
        <f>IFERROR('QTR CF'!G11/'QTR P&amp;L'!G2,"")</f>
        <v>3.2311752181605542E-2</v>
      </c>
      <c r="H11" s="11">
        <f>IFERROR('QTR CF'!H11/'QTR P&amp;L'!H2,"")</f>
        <v>2.7314634463056747E-2</v>
      </c>
      <c r="I11" s="11">
        <f>IFERROR('QTR CF'!I11/'QTR P&amp;L'!I2,"")</f>
        <v>3.3272769773471038E-2</v>
      </c>
      <c r="J11" s="11">
        <f>IFERROR('QTR CF'!J11/'QTR P&amp;L'!J2,"")</f>
        <v>3.3068485761165181E-2</v>
      </c>
      <c r="K11" s="11">
        <f>IFERROR('QTR CF'!K11/'QTR P&amp;L'!K2,"")</f>
        <v>2.118573973124464E-2</v>
      </c>
      <c r="L11" s="11">
        <f>IFERROR('QTR CF'!L11/'QTR P&amp;L'!L2,"")</f>
        <v>1.7598340508710182E-2</v>
      </c>
      <c r="M11" s="11">
        <f>IFERROR('QTR CF'!M11/'QTR P&amp;L'!M2,"")</f>
        <v>1.2940635258097969E-2</v>
      </c>
      <c r="N11" s="11">
        <f>IFERROR('QTR CF'!N11/'QTR P&amp;L'!N2,"")</f>
        <v>1.4405572265315815E-2</v>
      </c>
      <c r="O11" s="11">
        <f>IFERROR('QTR CF'!O11/'QTR P&amp;L'!O2,"")</f>
        <v>1.0016642864371901E-2</v>
      </c>
      <c r="P11" s="11">
        <f>IFERROR('QTR CF'!P11/'QTR P&amp;L'!P2,"")</f>
        <v>1.1806645653855818E-2</v>
      </c>
      <c r="Q11" s="11">
        <f>IFERROR('QTR CF'!Q11/'QTR P&amp;L'!Q2,"")</f>
        <v>2.0229691286481929E-2</v>
      </c>
      <c r="R11" s="11">
        <f>IFERROR('QTR CF'!R11/'QTR P&amp;L'!R2,"")</f>
        <v>1.77786072721909E-2</v>
      </c>
      <c r="S11" s="11">
        <f>IFERROR('QTR CF'!S11/'QTR P&amp;L'!S2,"")</f>
        <v>1.5272901760225464E-2</v>
      </c>
      <c r="T11" s="11">
        <f>IFERROR('QTR CF'!T11/'QTR P&amp;L'!T2,"")</f>
        <v>8.7033096654893609E-3</v>
      </c>
      <c r="U11" s="11">
        <f>IFERROR('QTR CF'!U11/'QTR P&amp;L'!U2,"")</f>
        <v>1.0183338711857301E-2</v>
      </c>
      <c r="V11" s="11">
        <f>IFERROR('QTR CF'!V11/'QTR P&amp;L'!V2,"")</f>
        <v>1.275310824967989E-2</v>
      </c>
      <c r="W11" s="12">
        <f t="shared" ref="W11:AP11" si="1">V11</f>
        <v>1.275310824967989E-2</v>
      </c>
      <c r="X11" s="12">
        <f t="shared" si="1"/>
        <v>1.275310824967989E-2</v>
      </c>
      <c r="Y11" s="12">
        <f t="shared" si="1"/>
        <v>1.275310824967989E-2</v>
      </c>
      <c r="Z11" s="12">
        <f t="shared" si="1"/>
        <v>1.275310824967989E-2</v>
      </c>
      <c r="AA11" s="12">
        <f t="shared" si="1"/>
        <v>1.275310824967989E-2</v>
      </c>
      <c r="AB11" s="12">
        <f t="shared" si="1"/>
        <v>1.275310824967989E-2</v>
      </c>
      <c r="AC11" s="12">
        <f t="shared" si="1"/>
        <v>1.275310824967989E-2</v>
      </c>
      <c r="AD11" s="12">
        <f t="shared" si="1"/>
        <v>1.275310824967989E-2</v>
      </c>
      <c r="AE11" s="12">
        <f t="shared" si="1"/>
        <v>1.275310824967989E-2</v>
      </c>
      <c r="AF11" s="12">
        <f t="shared" si="1"/>
        <v>1.275310824967989E-2</v>
      </c>
      <c r="AG11" s="12">
        <f t="shared" si="1"/>
        <v>1.275310824967989E-2</v>
      </c>
      <c r="AH11" s="12">
        <f t="shared" si="1"/>
        <v>1.275310824967989E-2</v>
      </c>
      <c r="AI11" s="12">
        <f t="shared" si="1"/>
        <v>1.275310824967989E-2</v>
      </c>
      <c r="AJ11" s="12">
        <f t="shared" si="1"/>
        <v>1.275310824967989E-2</v>
      </c>
      <c r="AK11" s="12">
        <f t="shared" si="1"/>
        <v>1.275310824967989E-2</v>
      </c>
      <c r="AL11" s="12">
        <f t="shared" si="1"/>
        <v>1.275310824967989E-2</v>
      </c>
      <c r="AM11" s="12">
        <f t="shared" si="1"/>
        <v>1.275310824967989E-2</v>
      </c>
      <c r="AN11" s="12">
        <f t="shared" si="1"/>
        <v>1.275310824967989E-2</v>
      </c>
      <c r="AO11" s="12">
        <f t="shared" si="1"/>
        <v>1.275310824967989E-2</v>
      </c>
      <c r="AP11" s="12">
        <f t="shared" si="1"/>
        <v>1.275310824967989E-2</v>
      </c>
    </row>
    <row r="12" spans="1:42" x14ac:dyDescent="0.3">
      <c r="A12" s="3" t="s">
        <v>139</v>
      </c>
      <c r="B12" s="4">
        <f>'QTR CF'!B12</f>
        <v>-407593</v>
      </c>
      <c r="C12" s="4">
        <f>'QTR CF'!C12</f>
        <v>0</v>
      </c>
      <c r="D12" s="4">
        <f>'QTR CF'!D12</f>
        <v>0</v>
      </c>
      <c r="E12" s="4">
        <f>'QTR CF'!E12</f>
        <v>0</v>
      </c>
      <c r="F12" s="4">
        <f>'QTR CF'!F12</f>
        <v>0</v>
      </c>
      <c r="G12" s="4">
        <f>'QTR CF'!G12</f>
        <v>0</v>
      </c>
      <c r="H12" s="4">
        <f>'QTR CF'!H12</f>
        <v>0</v>
      </c>
      <c r="I12" s="4">
        <f>'QTR CF'!I12</f>
        <v>0</v>
      </c>
      <c r="J12" s="4">
        <f>'QTR CF'!J12</f>
        <v>0</v>
      </c>
      <c r="K12" s="4">
        <f>'QTR CF'!K12</f>
        <v>0</v>
      </c>
      <c r="L12" s="4">
        <f>'QTR CF'!L12</f>
        <v>0</v>
      </c>
      <c r="M12" s="4">
        <f>'QTR CF'!M12</f>
        <v>0</v>
      </c>
      <c r="N12" s="4">
        <f>'QTR CF'!N12</f>
        <v>0</v>
      </c>
      <c r="O12" s="4">
        <f>'QTR CF'!O12</f>
        <v>0</v>
      </c>
      <c r="P12" s="4">
        <f>'QTR CF'!P12</f>
        <v>0</v>
      </c>
      <c r="Q12" s="4">
        <f>'QTR CF'!Q12</f>
        <v>0</v>
      </c>
      <c r="R12" s="4">
        <f>'QTR CF'!R12</f>
        <v>0</v>
      </c>
      <c r="S12" s="4">
        <f>'QTR CF'!S12</f>
        <v>0</v>
      </c>
      <c r="T12" s="4">
        <f>'QTR CF'!T12</f>
        <v>0</v>
      </c>
      <c r="U12" s="4">
        <f>'QTR CF'!U12</f>
        <v>0</v>
      </c>
      <c r="V12" s="4">
        <f>'QTR CF'!V12</f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</row>
    <row r="13" spans="1:42" x14ac:dyDescent="0.3">
      <c r="A13" s="3" t="s">
        <v>82</v>
      </c>
      <c r="B13" s="4">
        <f>'QTR CF'!B13</f>
        <v>0</v>
      </c>
      <c r="C13" s="4">
        <f>'QTR CF'!C13</f>
        <v>0</v>
      </c>
      <c r="D13" s="4">
        <f>'QTR CF'!D13</f>
        <v>0</v>
      </c>
      <c r="E13" s="4">
        <f>'QTR CF'!E13</f>
        <v>-14669</v>
      </c>
      <c r="F13" s="4">
        <f>'QTR CF'!F13</f>
        <v>14641</v>
      </c>
      <c r="G13" s="4">
        <f>'QTR CF'!G13</f>
        <v>0</v>
      </c>
      <c r="H13" s="4">
        <f>'QTR CF'!H13</f>
        <v>0</v>
      </c>
      <c r="I13" s="4">
        <f>'QTR CF'!I13</f>
        <v>0</v>
      </c>
      <c r="J13" s="4">
        <f>'QTR CF'!J13</f>
        <v>0</v>
      </c>
      <c r="K13" s="4">
        <f>'QTR CF'!K13</f>
        <v>0</v>
      </c>
      <c r="L13" s="4">
        <f>'QTR CF'!L13</f>
        <v>0</v>
      </c>
      <c r="M13" s="4">
        <f>'QTR CF'!M13</f>
        <v>0</v>
      </c>
      <c r="N13" s="4">
        <f>'QTR CF'!N13</f>
        <v>0</v>
      </c>
      <c r="O13" s="4">
        <f>'QTR CF'!O13</f>
        <v>0</v>
      </c>
      <c r="P13" s="4">
        <f>'QTR CF'!P13</f>
        <v>0</v>
      </c>
      <c r="Q13" s="4">
        <f>'QTR CF'!Q13</f>
        <v>0</v>
      </c>
      <c r="R13" s="4">
        <f>'QTR CF'!R13</f>
        <v>0</v>
      </c>
      <c r="S13" s="4">
        <f>'QTR CF'!S13</f>
        <v>0</v>
      </c>
      <c r="T13" s="4">
        <f>'QTR CF'!T13</f>
        <v>0</v>
      </c>
      <c r="U13" s="4">
        <f>'QTR CF'!U13</f>
        <v>0</v>
      </c>
      <c r="V13" s="4">
        <f>'QTR CF'!V13</f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</row>
    <row r="14" spans="1:42" x14ac:dyDescent="0.3">
      <c r="A14" s="3" t="s">
        <v>81</v>
      </c>
      <c r="B14" s="4">
        <f>'QTR CF'!B14</f>
        <v>0</v>
      </c>
      <c r="C14" s="4">
        <f>'QTR CF'!C14</f>
        <v>0</v>
      </c>
      <c r="D14" s="4">
        <f>'QTR CF'!D14</f>
        <v>0</v>
      </c>
      <c r="E14" s="4">
        <f>'QTR CF'!E14</f>
        <v>-182156</v>
      </c>
      <c r="F14" s="4">
        <f>'QTR CF'!F14</f>
        <v>172955</v>
      </c>
      <c r="G14" s="4">
        <f>'QTR CF'!G14</f>
        <v>2561</v>
      </c>
      <c r="H14" s="4">
        <f>'QTR CF'!H14</f>
        <v>-1489</v>
      </c>
      <c r="I14" s="4">
        <f>'QTR CF'!I14</f>
        <v>30257</v>
      </c>
      <c r="J14" s="4">
        <f>'QTR CF'!J14</f>
        <v>-11085</v>
      </c>
      <c r="K14" s="4">
        <f>'QTR CF'!K14</f>
        <v>2873</v>
      </c>
      <c r="L14" s="4">
        <f>'QTR CF'!L14</f>
        <v>-43917</v>
      </c>
      <c r="M14" s="4">
        <f>'QTR CF'!M14</f>
        <v>-3259</v>
      </c>
      <c r="N14" s="4">
        <f>'QTR CF'!N14</f>
        <v>2248</v>
      </c>
      <c r="O14" s="4">
        <f>'QTR CF'!O14</f>
        <v>6450</v>
      </c>
      <c r="P14" s="4">
        <f>'QTR CF'!P14</f>
        <v>-338</v>
      </c>
      <c r="Q14" s="4">
        <f>'QTR CF'!Q14</f>
        <v>-1385</v>
      </c>
      <c r="R14" s="4">
        <f>'QTR CF'!R14</f>
        <v>-14457</v>
      </c>
      <c r="S14" s="4">
        <f>'QTR CF'!S14</f>
        <v>269</v>
      </c>
      <c r="T14" s="4">
        <f>'QTR CF'!T14</f>
        <v>-4430</v>
      </c>
      <c r="U14" s="4">
        <f>'QTR CF'!U14</f>
        <v>-67247</v>
      </c>
      <c r="V14" s="4">
        <f>'QTR CF'!V14</f>
        <v>14072</v>
      </c>
      <c r="W14" s="13">
        <f t="shared" ref="W14:AP14" si="2">V14</f>
        <v>14072</v>
      </c>
      <c r="X14" s="13">
        <f t="shared" si="2"/>
        <v>14072</v>
      </c>
      <c r="Y14" s="13">
        <f t="shared" si="2"/>
        <v>14072</v>
      </c>
      <c r="Z14" s="13">
        <f t="shared" si="2"/>
        <v>14072</v>
      </c>
      <c r="AA14" s="13">
        <f t="shared" si="2"/>
        <v>14072</v>
      </c>
      <c r="AB14" s="13">
        <f t="shared" si="2"/>
        <v>14072</v>
      </c>
      <c r="AC14" s="13">
        <f t="shared" si="2"/>
        <v>14072</v>
      </c>
      <c r="AD14" s="13">
        <f t="shared" si="2"/>
        <v>14072</v>
      </c>
      <c r="AE14" s="13">
        <f t="shared" si="2"/>
        <v>14072</v>
      </c>
      <c r="AF14" s="13">
        <f t="shared" si="2"/>
        <v>14072</v>
      </c>
      <c r="AG14" s="13">
        <f t="shared" si="2"/>
        <v>14072</v>
      </c>
      <c r="AH14" s="13">
        <f t="shared" si="2"/>
        <v>14072</v>
      </c>
      <c r="AI14" s="13">
        <f t="shared" si="2"/>
        <v>14072</v>
      </c>
      <c r="AJ14" s="13">
        <f t="shared" si="2"/>
        <v>14072</v>
      </c>
      <c r="AK14" s="13">
        <f t="shared" si="2"/>
        <v>14072</v>
      </c>
      <c r="AL14" s="13">
        <f t="shared" si="2"/>
        <v>14072</v>
      </c>
      <c r="AM14" s="13">
        <f t="shared" si="2"/>
        <v>14072</v>
      </c>
      <c r="AN14" s="13">
        <f t="shared" si="2"/>
        <v>14072</v>
      </c>
      <c r="AO14" s="13">
        <f t="shared" si="2"/>
        <v>14072</v>
      </c>
      <c r="AP14" s="13">
        <f t="shared" si="2"/>
        <v>14072</v>
      </c>
    </row>
    <row r="15" spans="1:42" x14ac:dyDescent="0.3">
      <c r="A15" s="3" t="s">
        <v>23</v>
      </c>
      <c r="B15" s="4">
        <f>'QTR CF'!B15</f>
        <v>0</v>
      </c>
      <c r="C15" s="4">
        <f>'QTR CF'!C15</f>
        <v>0</v>
      </c>
      <c r="D15" s="4">
        <f>'QTR CF'!D15</f>
        <v>0</v>
      </c>
      <c r="E15" s="4">
        <f>'QTR CF'!E15</f>
        <v>-76765</v>
      </c>
      <c r="F15" s="4">
        <f>'QTR CF'!F15</f>
        <v>77645</v>
      </c>
      <c r="G15" s="4">
        <f>'QTR CF'!G15</f>
        <v>85</v>
      </c>
      <c r="H15" s="4">
        <f>'QTR CF'!H15</f>
        <v>517</v>
      </c>
      <c r="I15" s="4">
        <f>'QTR CF'!I15</f>
        <v>405</v>
      </c>
      <c r="J15" s="4">
        <f>'QTR CF'!J15</f>
        <v>-524</v>
      </c>
      <c r="K15" s="4">
        <f>'QTR CF'!K15</f>
        <v>69</v>
      </c>
      <c r="L15" s="4">
        <f>'QTR CF'!L15</f>
        <v>137</v>
      </c>
      <c r="M15" s="4">
        <f>'QTR CF'!M15</f>
        <v>52</v>
      </c>
      <c r="N15" s="4">
        <f>'QTR CF'!N15</f>
        <v>988</v>
      </c>
      <c r="O15" s="4">
        <f>'QTR CF'!O15</f>
        <v>369</v>
      </c>
      <c r="P15" s="4">
        <f>'QTR CF'!P15</f>
        <v>264</v>
      </c>
      <c r="Q15" s="4">
        <f>'QTR CF'!Q15</f>
        <v>-277</v>
      </c>
      <c r="R15" s="4">
        <f>'QTR CF'!R15</f>
        <v>1378</v>
      </c>
      <c r="S15" s="4">
        <f>'QTR CF'!S15</f>
        <v>0</v>
      </c>
      <c r="T15" s="4">
        <f>'QTR CF'!T15</f>
        <v>0</v>
      </c>
      <c r="U15" s="4">
        <f>'QTR CF'!U15</f>
        <v>0</v>
      </c>
      <c r="V15" s="4">
        <f>'QTR CF'!V15</f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</row>
    <row r="16" spans="1:42" x14ac:dyDescent="0.3">
      <c r="A16" s="3" t="s">
        <v>83</v>
      </c>
      <c r="B16" s="4">
        <f>'QTR CF'!B16</f>
        <v>0</v>
      </c>
      <c r="C16" s="4">
        <f>'QTR CF'!C16</f>
        <v>0</v>
      </c>
      <c r="D16" s="4">
        <f>'QTR CF'!D16</f>
        <v>0</v>
      </c>
      <c r="E16" s="4">
        <f>'QTR CF'!E16</f>
        <v>0</v>
      </c>
      <c r="F16" s="4">
        <f>'QTR CF'!F16</f>
        <v>0</v>
      </c>
      <c r="G16" s="4">
        <f>'QTR CF'!G16</f>
        <v>0</v>
      </c>
      <c r="H16" s="4">
        <f>'QTR CF'!H16</f>
        <v>0</v>
      </c>
      <c r="I16" s="4">
        <f>'QTR CF'!I16</f>
        <v>0</v>
      </c>
      <c r="J16" s="4">
        <f>'QTR CF'!J16</f>
        <v>0</v>
      </c>
      <c r="K16" s="4">
        <f>'QTR CF'!K16</f>
        <v>0</v>
      </c>
      <c r="L16" s="4">
        <f>'QTR CF'!L16</f>
        <v>0</v>
      </c>
      <c r="M16" s="4">
        <f>'QTR CF'!M16</f>
        <v>0</v>
      </c>
      <c r="N16" s="4">
        <f>'QTR CF'!N16</f>
        <v>0</v>
      </c>
      <c r="O16" s="4">
        <f>'QTR CF'!O16</f>
        <v>0</v>
      </c>
      <c r="P16" s="4">
        <f>'QTR CF'!P16</f>
        <v>0</v>
      </c>
      <c r="Q16" s="4">
        <f>'QTR CF'!Q16</f>
        <v>0</v>
      </c>
      <c r="R16" s="4">
        <f>'QTR CF'!R16</f>
        <v>0</v>
      </c>
      <c r="S16" s="4">
        <f>'QTR CF'!S16</f>
        <v>0</v>
      </c>
      <c r="T16" s="4">
        <f>'QTR CF'!T16</f>
        <v>13800</v>
      </c>
      <c r="U16" s="4">
        <f>'QTR CF'!U16</f>
        <v>0</v>
      </c>
      <c r="V16" s="4">
        <f>'QTR CF'!V16</f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</row>
    <row r="17" spans="1:42" x14ac:dyDescent="0.3">
      <c r="A17" s="3" t="s">
        <v>84</v>
      </c>
      <c r="B17" s="4">
        <f>'QTR CF'!B17</f>
        <v>0</v>
      </c>
      <c r="C17" s="4">
        <f>'QTR CF'!C17</f>
        <v>0</v>
      </c>
      <c r="D17" s="4">
        <f>'QTR CF'!D17</f>
        <v>0</v>
      </c>
      <c r="E17" s="4">
        <f>'QTR CF'!E17</f>
        <v>0</v>
      </c>
      <c r="F17" s="4">
        <f>'QTR CF'!F17</f>
        <v>0</v>
      </c>
      <c r="G17" s="4">
        <f>'QTR CF'!G17</f>
        <v>0</v>
      </c>
      <c r="H17" s="4">
        <f>'QTR CF'!H17</f>
        <v>0</v>
      </c>
      <c r="I17" s="4">
        <f>'QTR CF'!I17</f>
        <v>0</v>
      </c>
      <c r="J17" s="4">
        <f>'QTR CF'!J17</f>
        <v>0</v>
      </c>
      <c r="K17" s="4">
        <f>'QTR CF'!K17</f>
        <v>0</v>
      </c>
      <c r="L17" s="4">
        <f>'QTR CF'!L17</f>
        <v>0</v>
      </c>
      <c r="M17" s="4">
        <f>'QTR CF'!M17</f>
        <v>0</v>
      </c>
      <c r="N17" s="4">
        <f>'QTR CF'!N17</f>
        <v>0</v>
      </c>
      <c r="O17" s="4">
        <f>'QTR CF'!O17</f>
        <v>0</v>
      </c>
      <c r="P17" s="4">
        <f>'QTR CF'!P17</f>
        <v>0</v>
      </c>
      <c r="Q17" s="4">
        <f>'QTR CF'!Q17</f>
        <v>0</v>
      </c>
      <c r="R17" s="4">
        <f>'QTR CF'!R17</f>
        <v>0</v>
      </c>
      <c r="S17" s="4">
        <f>'QTR CF'!S17</f>
        <v>0</v>
      </c>
      <c r="T17" s="4">
        <f>'QTR CF'!T17</f>
        <v>0</v>
      </c>
      <c r="U17" s="4">
        <f>'QTR CF'!U17</f>
        <v>0</v>
      </c>
      <c r="V17" s="4">
        <f>'QTR CF'!V17</f>
        <v>6003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</row>
    <row r="18" spans="1:42" x14ac:dyDescent="0.3">
      <c r="A18" s="3" t="s">
        <v>85</v>
      </c>
      <c r="B18" s="4">
        <f>'QTR CF'!B18</f>
        <v>43259</v>
      </c>
      <c r="C18" s="4">
        <f>'QTR CF'!C18</f>
        <v>0</v>
      </c>
      <c r="D18" s="4">
        <f>'QTR CF'!D18</f>
        <v>0</v>
      </c>
      <c r="E18" s="4">
        <f>'QTR CF'!E18</f>
        <v>-185716</v>
      </c>
      <c r="F18" s="4">
        <f>'QTR CF'!F18</f>
        <v>185716</v>
      </c>
      <c r="G18" s="4">
        <f>'QTR CF'!G18</f>
        <v>0</v>
      </c>
      <c r="H18" s="4">
        <f>'QTR CF'!H18</f>
        <v>0</v>
      </c>
      <c r="I18" s="4">
        <f>'QTR CF'!I18</f>
        <v>56</v>
      </c>
      <c r="J18" s="4">
        <f>'QTR CF'!J18</f>
        <v>-19</v>
      </c>
      <c r="K18" s="4">
        <f>'QTR CF'!K18</f>
        <v>-4</v>
      </c>
      <c r="L18" s="4">
        <f>'QTR CF'!L18</f>
        <v>12</v>
      </c>
      <c r="M18" s="4">
        <f>'QTR CF'!M18</f>
        <v>-10</v>
      </c>
      <c r="N18" s="4">
        <f>'QTR CF'!N18</f>
        <v>-26</v>
      </c>
      <c r="O18" s="4">
        <f>'QTR CF'!O18</f>
        <v>-7672</v>
      </c>
      <c r="P18" s="4">
        <f>'QTR CF'!P18</f>
        <v>7672</v>
      </c>
      <c r="Q18" s="4">
        <f>'QTR CF'!Q18</f>
        <v>0</v>
      </c>
      <c r="R18" s="4">
        <f>'QTR CF'!R18</f>
        <v>-324</v>
      </c>
      <c r="S18" s="4">
        <f>'QTR CF'!S18</f>
        <v>-1014</v>
      </c>
      <c r="T18" s="4">
        <f>'QTR CF'!T18</f>
        <v>757</v>
      </c>
      <c r="U18" s="4">
        <f>'QTR CF'!U18</f>
        <v>2221</v>
      </c>
      <c r="V18" s="4">
        <f>'QTR CF'!V18</f>
        <v>-3651</v>
      </c>
      <c r="W18" s="4">
        <f>-('QTR BS'!T4-'QTR BS'!S4)-('QTR BS'!T7-'QTR BS'!S7)-('QTR BS'!T9-'QTR BS'!S9)-('QTR BS'!T11-'QTR BS'!S11)-('QTR BS'!T14-'QTR BS'!S14)-('QTR BS'!T16-'QTR BS'!S16)+('QTR BS'!T24-'QTR BS'!S24)+('QTR BS'!T25-'QTR BS'!S25)+('QTR BS'!T26-'QTR BS'!S26)+('QTR BS'!T27-'QTR BS'!S27)+('QTR BS'!T30-'QTR BS'!S30)+('QTR BS'!T31-'QTR BS'!S31)+('QTR BS'!T34-'QTR BS'!S34)+('QTR BS'!T35-'QTR BS'!S35)-('QTR BS'!T2-'QTR BS'!S2)-('QTR BS'!T12-'QTR BS'!S12)-('QTR BS'!T13-'QTR BS'!S13)+('QTR BS'!T22-'QTR BS'!S22)+('QTR BS'!T32-'QTR BS'!S32)+('QTR BS'!T33-'QTR BS'!S33)+('QTR BS'!T38-'QTR BS'!S38)+('QTR BS'!T39-'QTR BS'!S39)</f>
        <v>-262460.6106914024</v>
      </c>
      <c r="X18" s="4">
        <f>-('QTR BS'!U4-'QTR BS'!T4)-('QTR BS'!U7-'QTR BS'!T7)-('QTR BS'!U9-'QTR BS'!T9)-('QTR BS'!U11-'QTR BS'!T11)-('QTR BS'!U14-'QTR BS'!T14)-('QTR BS'!U16-'QTR BS'!T16)+('QTR BS'!U24-'QTR BS'!T24)+('QTR BS'!U25-'QTR BS'!T25)+('QTR BS'!U26-'QTR BS'!T26)+('QTR BS'!U27-'QTR BS'!T27)+('QTR BS'!U30-'QTR BS'!T30)+('QTR BS'!U31-'QTR BS'!T31)+('QTR BS'!U34-'QTR BS'!T34)+('QTR BS'!U35-'QTR BS'!T35)-('QTR BS'!U2-'QTR BS'!T2)-('QTR BS'!U12-'QTR BS'!T12)-('QTR BS'!U13-'QTR BS'!T13)+('QTR BS'!U22-'QTR BS'!T22)+('QTR BS'!U32-'QTR BS'!T32)+('QTR BS'!U33-'QTR BS'!T33)+('QTR BS'!U38-'QTR BS'!T38)+('QTR BS'!U39-'QTR BS'!T39)</f>
        <v>1619.5834705335947</v>
      </c>
      <c r="Y18" s="4">
        <f>-('QTR BS'!V4-'QTR BS'!U4)-('QTR BS'!V7-'QTR BS'!U7)-('QTR BS'!V9-'QTR BS'!U9)-('QTR BS'!V11-'QTR BS'!U11)-('QTR BS'!V14-'QTR BS'!U14)-('QTR BS'!V16-'QTR BS'!U16)+('QTR BS'!V24-'QTR BS'!U24)+('QTR BS'!V25-'QTR BS'!U25)+('QTR BS'!V26-'QTR BS'!U26)+('QTR BS'!V27-'QTR BS'!U27)+('QTR BS'!V30-'QTR BS'!U30)+('QTR BS'!V31-'QTR BS'!U31)+('QTR BS'!V34-'QTR BS'!U34)+('QTR BS'!V35-'QTR BS'!U35)-('QTR BS'!V2-'QTR BS'!U2)-('QTR BS'!V12-'QTR BS'!U12)-('QTR BS'!V13-'QTR BS'!U13)+('QTR BS'!V22-'QTR BS'!U22)+('QTR BS'!V32-'QTR BS'!U32)+('QTR BS'!V33-'QTR BS'!U33)+('QTR BS'!V38-'QTR BS'!U38)+('QTR BS'!V39-'QTR BS'!U39)</f>
        <v>1611.8150734846749</v>
      </c>
      <c r="Z18" s="4">
        <f>-('QTR BS'!W4-'QTR BS'!V4)-('QTR BS'!W7-'QTR BS'!V7)-('QTR BS'!W9-'QTR BS'!V9)-('QTR BS'!W11-'QTR BS'!V11)-('QTR BS'!W14-'QTR BS'!V14)-('QTR BS'!W16-'QTR BS'!V16)+('QTR BS'!W24-'QTR BS'!V24)+('QTR BS'!W25-'QTR BS'!V25)+('QTR BS'!W26-'QTR BS'!V26)+('QTR BS'!W27-'QTR BS'!V27)+('QTR BS'!W30-'QTR BS'!V30)+('QTR BS'!W31-'QTR BS'!V31)+('QTR BS'!W34-'QTR BS'!V34)+('QTR BS'!W35-'QTR BS'!V35)-('QTR BS'!W2-'QTR BS'!V2)-('QTR BS'!W12-'QTR BS'!V12)-('QTR BS'!W13-'QTR BS'!V13)+('QTR BS'!W22-'QTR BS'!V22)+('QTR BS'!W32-'QTR BS'!V32)+('QTR BS'!W33-'QTR BS'!V33)+('QTR BS'!W38-'QTR BS'!V38)+('QTR BS'!W39-'QTR BS'!V39)</f>
        <v>1604.0839378637829</v>
      </c>
      <c r="AA18" s="4">
        <f>-('QTR BS'!X4-'QTR BS'!W4)-('QTR BS'!X7-'QTR BS'!W7)-('QTR BS'!X9-'QTR BS'!W9)-('QTR BS'!X11-'QTR BS'!W11)-('QTR BS'!X14-'QTR BS'!W14)-('QTR BS'!X16-'QTR BS'!W16)+('QTR BS'!X24-'QTR BS'!W24)+('QTR BS'!X25-'QTR BS'!W25)+('QTR BS'!X26-'QTR BS'!W26)+('QTR BS'!X27-'QTR BS'!W27)+('QTR BS'!X30-'QTR BS'!W30)+('QTR BS'!X31-'QTR BS'!W31)+('QTR BS'!X34-'QTR BS'!W34)+('QTR BS'!X35-'QTR BS'!W35)-('QTR BS'!X2-'QTR BS'!W2)-('QTR BS'!X12-'QTR BS'!W12)-('QTR BS'!X13-'QTR BS'!W13)+('QTR BS'!X22-'QTR BS'!W22)+('QTR BS'!X32-'QTR BS'!W32)+('QTR BS'!X33-'QTR BS'!W33)+('QTR BS'!X38-'QTR BS'!W38)+('QTR BS'!X39-'QTR BS'!W39)</f>
        <v>1596.3898849446814</v>
      </c>
      <c r="AB18" s="4">
        <f>-('QTR BS'!Y4-'QTR BS'!X4)-('QTR BS'!Y7-'QTR BS'!X7)-('QTR BS'!Y9-'QTR BS'!X9)-('QTR BS'!Y11-'QTR BS'!X11)-('QTR BS'!Y14-'QTR BS'!X14)-('QTR BS'!Y16-'QTR BS'!X16)+('QTR BS'!Y24-'QTR BS'!X24)+('QTR BS'!Y25-'QTR BS'!X25)+('QTR BS'!Y26-'QTR BS'!X26)+('QTR BS'!Y27-'QTR BS'!X27)+('QTR BS'!Y30-'QTR BS'!X30)+('QTR BS'!Y31-'QTR BS'!X31)+('QTR BS'!Y34-'QTR BS'!X34)+('QTR BS'!Y35-'QTR BS'!X35)-('QTR BS'!Y2-'QTR BS'!X2)-('QTR BS'!Y12-'QTR BS'!X12)-('QTR BS'!Y13-'QTR BS'!X13)+('QTR BS'!Y22-'QTR BS'!X22)+('QTR BS'!Y32-'QTR BS'!X32)+('QTR BS'!Y33-'QTR BS'!X33)+('QTR BS'!Y38-'QTR BS'!X38)+('QTR BS'!Y39-'QTR BS'!X39)</f>
        <v>1588.7327368590268</v>
      </c>
      <c r="AC18" s="4">
        <f>-('QTR BS'!Z4-'QTR BS'!Y4)-('QTR BS'!Z7-'QTR BS'!Y7)-('QTR BS'!Z9-'QTR BS'!Y9)-('QTR BS'!Z11-'QTR BS'!Y11)-('QTR BS'!Z14-'QTR BS'!Y14)-('QTR BS'!Z16-'QTR BS'!Y16)+('QTR BS'!Z24-'QTR BS'!Y24)+('QTR BS'!Z25-'QTR BS'!Y25)+('QTR BS'!Z26-'QTR BS'!Y26)+('QTR BS'!Z27-'QTR BS'!Y27)+('QTR BS'!Z30-'QTR BS'!Y30)+('QTR BS'!Z31-'QTR BS'!Y31)+('QTR BS'!Z34-'QTR BS'!Y34)+('QTR BS'!Z35-'QTR BS'!Y35)-('QTR BS'!Z2-'QTR BS'!Y2)-('QTR BS'!Z12-'QTR BS'!Y12)-('QTR BS'!Z13-'QTR BS'!Y13)+('QTR BS'!Z22-'QTR BS'!Y22)+('QTR BS'!Z32-'QTR BS'!Y32)+('QTR BS'!Z33-'QTR BS'!Y33)+('QTR BS'!Z38-'QTR BS'!Y38)+('QTR BS'!Z39-'QTR BS'!Y39)</f>
        <v>1581.1123165910249</v>
      </c>
      <c r="AD18" s="4">
        <f>-('QTR BS'!AA4-'QTR BS'!Z4)-('QTR BS'!AA7-'QTR BS'!Z7)-('QTR BS'!AA9-'QTR BS'!Z9)-('QTR BS'!AA11-'QTR BS'!Z11)-('QTR BS'!AA14-'QTR BS'!Z14)-('QTR BS'!AA16-'QTR BS'!Z16)+('QTR BS'!AA24-'QTR BS'!Z24)+('QTR BS'!AA25-'QTR BS'!Z25)+('QTR BS'!AA26-'QTR BS'!Z26)+('QTR BS'!AA27-'QTR BS'!Z27)+('QTR BS'!AA30-'QTR BS'!Z30)+('QTR BS'!AA31-'QTR BS'!Z31)+('QTR BS'!AA34-'QTR BS'!Z34)+('QTR BS'!AA35-'QTR BS'!Z35)-('QTR BS'!AA2-'QTR BS'!Z2)-('QTR BS'!AA12-'QTR BS'!Z12)-('QTR BS'!AA13-'QTR BS'!Z13)+('QTR BS'!AA22-'QTR BS'!Z22)+('QTR BS'!AA32-'QTR BS'!Z32)+('QTR BS'!AA33-'QTR BS'!Z33)+('QTR BS'!AA38-'QTR BS'!Z38)+('QTR BS'!AA39-'QTR BS'!Z39)</f>
        <v>1573.5284479743423</v>
      </c>
      <c r="AE18" s="4">
        <f>-('QTR BS'!AB4-'QTR BS'!AA4)-('QTR BS'!AB7-'QTR BS'!AA7)-('QTR BS'!AB9-'QTR BS'!AA9)-('QTR BS'!AB11-'QTR BS'!AA11)-('QTR BS'!AB14-'QTR BS'!AA14)-('QTR BS'!AB16-'QTR BS'!AA16)+('QTR BS'!AB24-'QTR BS'!AA24)+('QTR BS'!AB25-'QTR BS'!AA25)+('QTR BS'!AB26-'QTR BS'!AA26)+('QTR BS'!AB27-'QTR BS'!AA27)+('QTR BS'!AB30-'QTR BS'!AA30)+('QTR BS'!AB31-'QTR BS'!AA31)+('QTR BS'!AB34-'QTR BS'!AA34)+('QTR BS'!AB35-'QTR BS'!AA35)-('QTR BS'!AB2-'QTR BS'!AA2)-('QTR BS'!AB12-'QTR BS'!AA12)-('QTR BS'!AB13-'QTR BS'!AA13)+('QTR BS'!AB22-'QTR BS'!AA22)+('QTR BS'!AB32-'QTR BS'!AA32)+('QTR BS'!AB33-'QTR BS'!AA33)+('QTR BS'!AB38-'QTR BS'!AA38)+('QTR BS'!AB39-'QTR BS'!AA39)</f>
        <v>1565.9809556877844</v>
      </c>
      <c r="AF18" s="4">
        <f>-('QTR BS'!AC4-'QTR BS'!AB4)-('QTR BS'!AC7-'QTR BS'!AB7)-('QTR BS'!AC9-'QTR BS'!AB9)-('QTR BS'!AC11-'QTR BS'!AB11)-('QTR BS'!AC14-'QTR BS'!AB14)-('QTR BS'!AC16-'QTR BS'!AB16)+('QTR BS'!AC24-'QTR BS'!AB24)+('QTR BS'!AC25-'QTR BS'!AB25)+('QTR BS'!AC26-'QTR BS'!AB26)+('QTR BS'!AC27-'QTR BS'!AB27)+('QTR BS'!AC30-'QTR BS'!AB30)+('QTR BS'!AC31-'QTR BS'!AB31)+('QTR BS'!AC34-'QTR BS'!AB34)+('QTR BS'!AC35-'QTR BS'!AB35)-('QTR BS'!AC2-'QTR BS'!AB2)-('QTR BS'!AC12-'QTR BS'!AB12)-('QTR BS'!AC13-'QTR BS'!AB13)+('QTR BS'!AC22-'QTR BS'!AB22)+('QTR BS'!AC32-'QTR BS'!AB32)+('QTR BS'!AC33-'QTR BS'!AB33)+('QTR BS'!AC38-'QTR BS'!AB38)+('QTR BS'!AC39-'QTR BS'!AB39)</f>
        <v>1558.4696652504535</v>
      </c>
      <c r="AG18" s="4">
        <f>-('QTR BS'!AD4-'QTR BS'!AC4)-('QTR BS'!AD7-'QTR BS'!AC7)-('QTR BS'!AD9-'QTR BS'!AC9)-('QTR BS'!AD11-'QTR BS'!AC11)-('QTR BS'!AD14-'QTR BS'!AC14)-('QTR BS'!AD16-'QTR BS'!AC16)+('QTR BS'!AD24-'QTR BS'!AC24)+('QTR BS'!AD25-'QTR BS'!AC25)+('QTR BS'!AD26-'QTR BS'!AC26)+('QTR BS'!AD27-'QTR BS'!AC27)+('QTR BS'!AD30-'QTR BS'!AC30)+('QTR BS'!AD31-'QTR BS'!AC31)+('QTR BS'!AD34-'QTR BS'!AC34)+('QTR BS'!AD35-'QTR BS'!AC35)-('QTR BS'!AD2-'QTR BS'!AC2)-('QTR BS'!AD12-'QTR BS'!AC12)-('QTR BS'!AD13-'QTR BS'!AC13)+('QTR BS'!AD22-'QTR BS'!AC22)+('QTR BS'!AD32-'QTR BS'!AC32)+('QTR BS'!AD33-'QTR BS'!AC33)+('QTR BS'!AD38-'QTR BS'!AC38)+('QTR BS'!AD39-'QTR BS'!AC39)</f>
        <v>1550.9944030187144</v>
      </c>
      <c r="AH18" s="4">
        <f>-('QTR BS'!AE4-'QTR BS'!AD4)-('QTR BS'!AE7-'QTR BS'!AD7)-('QTR BS'!AE9-'QTR BS'!AD9)-('QTR BS'!AE11-'QTR BS'!AD11)-('QTR BS'!AE14-'QTR BS'!AD14)-('QTR BS'!AE16-'QTR BS'!AD16)+('QTR BS'!AE24-'QTR BS'!AD24)+('QTR BS'!AE25-'QTR BS'!AD25)+('QTR BS'!AE26-'QTR BS'!AD26)+('QTR BS'!AE27-'QTR BS'!AD27)+('QTR BS'!AE30-'QTR BS'!AD30)+('QTR BS'!AE31-'QTR BS'!AD31)+('QTR BS'!AE34-'QTR BS'!AD34)+('QTR BS'!AE35-'QTR BS'!AD35)-('QTR BS'!AE2-'QTR BS'!AD2)-('QTR BS'!AE12-'QTR BS'!AD12)-('QTR BS'!AE13-'QTR BS'!AD13)+('QTR BS'!AE22-'QTR BS'!AD22)+('QTR BS'!AE32-'QTR BS'!AD32)+('QTR BS'!AE33-'QTR BS'!AD33)+('QTR BS'!AE38-'QTR BS'!AD38)+('QTR BS'!AE39-'QTR BS'!AD39)</f>
        <v>1543.5549961821016</v>
      </c>
      <c r="AI18" s="4">
        <f>-('QTR BS'!AF4-'QTR BS'!AE4)-('QTR BS'!AF7-'QTR BS'!AE7)-('QTR BS'!AF9-'QTR BS'!AE9)-('QTR BS'!AF11-'QTR BS'!AE11)-('QTR BS'!AF14-'QTR BS'!AE14)-('QTR BS'!AF16-'QTR BS'!AE16)+('QTR BS'!AF24-'QTR BS'!AE24)+('QTR BS'!AF25-'QTR BS'!AE25)+('QTR BS'!AF26-'QTR BS'!AE26)+('QTR BS'!AF27-'QTR BS'!AE27)+('QTR BS'!AF30-'QTR BS'!AE30)+('QTR BS'!AF31-'QTR BS'!AE31)+('QTR BS'!AF34-'QTR BS'!AE34)+('QTR BS'!AF35-'QTR BS'!AE35)-('QTR BS'!AF2-'QTR BS'!AE2)-('QTR BS'!AF12-'QTR BS'!AE12)-('QTR BS'!AF13-'QTR BS'!AE13)+('QTR BS'!AF22-'QTR BS'!AE22)+('QTR BS'!AF32-'QTR BS'!AE32)+('QTR BS'!AF33-'QTR BS'!AE33)+('QTR BS'!AF38-'QTR BS'!AE38)+('QTR BS'!AF39-'QTR BS'!AE39)</f>
        <v>1536.1512727585759</v>
      </c>
      <c r="AJ18" s="4">
        <f>-('QTR BS'!AG4-'QTR BS'!AF4)-('QTR BS'!AG7-'QTR BS'!AF7)-('QTR BS'!AG9-'QTR BS'!AF9)-('QTR BS'!AG11-'QTR BS'!AF11)-('QTR BS'!AG14-'QTR BS'!AF14)-('QTR BS'!AG16-'QTR BS'!AF16)+('QTR BS'!AG24-'QTR BS'!AF24)+('QTR BS'!AG25-'QTR BS'!AF25)+('QTR BS'!AG26-'QTR BS'!AF26)+('QTR BS'!AG27-'QTR BS'!AF27)+('QTR BS'!AG30-'QTR BS'!AF30)+('QTR BS'!AG31-'QTR BS'!AF31)+('QTR BS'!AG34-'QTR BS'!AF34)+('QTR BS'!AG35-'QTR BS'!AF35)-('QTR BS'!AG2-'QTR BS'!AF2)-('QTR BS'!AG12-'QTR BS'!AF12)-('QTR BS'!AG13-'QTR BS'!AF13)+('QTR BS'!AG22-'QTR BS'!AF22)+('QTR BS'!AG32-'QTR BS'!AF32)+('QTR BS'!AG33-'QTR BS'!AF33)+('QTR BS'!AG38-'QTR BS'!AF38)+('QTR BS'!AG39-'QTR BS'!AF39)</f>
        <v>1528.7830615912499</v>
      </c>
      <c r="AK18" s="4">
        <f>-('QTR BS'!AH4-'QTR BS'!AG4)-('QTR BS'!AH7-'QTR BS'!AG7)-('QTR BS'!AH9-'QTR BS'!AG9)-('QTR BS'!AH11-'QTR BS'!AG11)-('QTR BS'!AH14-'QTR BS'!AG14)-('QTR BS'!AH16-'QTR BS'!AG16)+('QTR BS'!AH24-'QTR BS'!AG24)+('QTR BS'!AH25-'QTR BS'!AG25)+('QTR BS'!AH26-'QTR BS'!AG26)+('QTR BS'!AH27-'QTR BS'!AG27)+('QTR BS'!AH30-'QTR BS'!AG30)+('QTR BS'!AH31-'QTR BS'!AG31)+('QTR BS'!AH34-'QTR BS'!AG34)+('QTR BS'!AH35-'QTR BS'!AG35)-('QTR BS'!AH2-'QTR BS'!AG2)-('QTR BS'!AH12-'QTR BS'!AG12)-('QTR BS'!AH13-'QTR BS'!AG13)+('QTR BS'!AH22-'QTR BS'!AG22)+('QTR BS'!AH32-'QTR BS'!AG32)+('QTR BS'!AH33-'QTR BS'!AG33)+('QTR BS'!AH38-'QTR BS'!AG38)+('QTR BS'!AH39-'QTR BS'!AG39)</f>
        <v>1521.4501923443713</v>
      </c>
      <c r="AL18" s="4">
        <f>-('QTR BS'!AI4-'QTR BS'!AH4)-('QTR BS'!AI7-'QTR BS'!AH7)-('QTR BS'!AI9-'QTR BS'!AH9)-('QTR BS'!AI11-'QTR BS'!AH11)-('QTR BS'!AI14-'QTR BS'!AH14)-('QTR BS'!AI16-'QTR BS'!AH16)+('QTR BS'!AI24-'QTR BS'!AH24)+('QTR BS'!AI25-'QTR BS'!AH25)+('QTR BS'!AI26-'QTR BS'!AH26)+('QTR BS'!AI27-'QTR BS'!AH27)+('QTR BS'!AI30-'QTR BS'!AH30)+('QTR BS'!AI31-'QTR BS'!AH31)+('QTR BS'!AI34-'QTR BS'!AH34)+('QTR BS'!AI35-'QTR BS'!AH35)-('QTR BS'!AI2-'QTR BS'!AH2)-('QTR BS'!AI12-'QTR BS'!AH12)-('QTR BS'!AI13-'QTR BS'!AH13)+('QTR BS'!AI22-'QTR BS'!AH22)+('QTR BS'!AI32-'QTR BS'!AH32)+('QTR BS'!AI33-'QTR BS'!AH33)+('QTR BS'!AI38-'QTR BS'!AH38)+('QTR BS'!AI39-'QTR BS'!AH39)</f>
        <v>1514.1524954986307</v>
      </c>
      <c r="AM18" s="4">
        <f>-('QTR BS'!AJ4-'QTR BS'!AI4)-('QTR BS'!AJ7-'QTR BS'!AI7)-('QTR BS'!AJ9-'QTR BS'!AI9)-('QTR BS'!AJ11-'QTR BS'!AI11)-('QTR BS'!AJ14-'QTR BS'!AI14)-('QTR BS'!AJ16-'QTR BS'!AI16)+('QTR BS'!AJ24-'QTR BS'!AI24)+('QTR BS'!AJ25-'QTR BS'!AI25)+('QTR BS'!AJ26-'QTR BS'!AI26)+('QTR BS'!AJ27-'QTR BS'!AI27)+('QTR BS'!AJ30-'QTR BS'!AI30)+('QTR BS'!AJ31-'QTR BS'!AI31)+('QTR BS'!AJ34-'QTR BS'!AI34)+('QTR BS'!AJ35-'QTR BS'!AI35)-('QTR BS'!AJ2-'QTR BS'!AI2)-('QTR BS'!AJ12-'QTR BS'!AI12)-('QTR BS'!AJ13-'QTR BS'!AI13)+('QTR BS'!AJ22-'QTR BS'!AI22)+('QTR BS'!AJ32-'QTR BS'!AI32)+('QTR BS'!AJ33-'QTR BS'!AI33)+('QTR BS'!AJ38-'QTR BS'!AI38)+('QTR BS'!AJ39-'QTR BS'!AI39)</f>
        <v>1506.8898023484435</v>
      </c>
      <c r="AN18" s="4">
        <f>-('QTR BS'!AK4-'QTR BS'!AJ4)-('QTR BS'!AK7-'QTR BS'!AJ7)-('QTR BS'!AK9-'QTR BS'!AJ9)-('QTR BS'!AK11-'QTR BS'!AJ11)-('QTR BS'!AK14-'QTR BS'!AJ14)-('QTR BS'!AK16-'QTR BS'!AJ16)+('QTR BS'!AK24-'QTR BS'!AJ24)+('QTR BS'!AK25-'QTR BS'!AJ25)+('QTR BS'!AK26-'QTR BS'!AJ26)+('QTR BS'!AK27-'QTR BS'!AJ27)+('QTR BS'!AK30-'QTR BS'!AJ30)+('QTR BS'!AK31-'QTR BS'!AJ31)+('QTR BS'!AK34-'QTR BS'!AJ34)+('QTR BS'!AK35-'QTR BS'!AJ35)-('QTR BS'!AK2-'QTR BS'!AJ2)-('QTR BS'!AK12-'QTR BS'!AJ12)-('QTR BS'!AK13-'QTR BS'!AJ13)+('QTR BS'!AK22-'QTR BS'!AJ22)+('QTR BS'!AK32-'QTR BS'!AJ32)+('QTR BS'!AK33-'QTR BS'!AJ33)+('QTR BS'!AK38-'QTR BS'!AJ38)+('QTR BS'!AK39-'QTR BS'!AJ39)</f>
        <v>1499.6619449972823</v>
      </c>
      <c r="AO18" s="4">
        <f>-('QTR BS'!AL4-'QTR BS'!AK4)-('QTR BS'!AL7-'QTR BS'!AK7)-('QTR BS'!AL9-'QTR BS'!AK9)-('QTR BS'!AL11-'QTR BS'!AK11)-('QTR BS'!AL14-'QTR BS'!AK14)-('QTR BS'!AL16-'QTR BS'!AK16)+('QTR BS'!AL24-'QTR BS'!AK24)+('QTR BS'!AL25-'QTR BS'!AK25)+('QTR BS'!AL26-'QTR BS'!AK26)+('QTR BS'!AL27-'QTR BS'!AK27)+('QTR BS'!AL30-'QTR BS'!AK30)+('QTR BS'!AL31-'QTR BS'!AK31)+('QTR BS'!AL34-'QTR BS'!AK34)+('QTR BS'!AL35-'QTR BS'!AK35)-('QTR BS'!AL2-'QTR BS'!AK2)-('QTR BS'!AL12-'QTR BS'!AK12)-('QTR BS'!AL13-'QTR BS'!AK13)+('QTR BS'!AL22-'QTR BS'!AK22)+('QTR BS'!AL32-'QTR BS'!AK32)+('QTR BS'!AL33-'QTR BS'!AK33)+('QTR BS'!AL38-'QTR BS'!AK38)+('QTR BS'!AL39-'QTR BS'!AK39)</f>
        <v>1492.4687563533298</v>
      </c>
      <c r="AP18" s="4">
        <f>-('QTR BS'!AM4-'QTR BS'!AL4)-('QTR BS'!AM7-'QTR BS'!AL7)-('QTR BS'!AM9-'QTR BS'!AL9)-('QTR BS'!AM11-'QTR BS'!AL11)-('QTR BS'!AM14-'QTR BS'!AL14)-('QTR BS'!AM16-'QTR BS'!AL16)+('QTR BS'!AM24-'QTR BS'!AL24)+('QTR BS'!AM25-'QTR BS'!AL25)+('QTR BS'!AM26-'QTR BS'!AL26)+('QTR BS'!AM27-'QTR BS'!AL27)+('QTR BS'!AM30-'QTR BS'!AL30)+('QTR BS'!AM31-'QTR BS'!AL31)+('QTR BS'!AM34-'QTR BS'!AL34)+('QTR BS'!AM35-'QTR BS'!AL35)-('QTR BS'!AM2-'QTR BS'!AL2)-('QTR BS'!AM12-'QTR BS'!AL12)-('QTR BS'!AM13-'QTR BS'!AL13)+('QTR BS'!AM22-'QTR BS'!AL22)+('QTR BS'!AM32-'QTR BS'!AL32)+('QTR BS'!AM33-'QTR BS'!AL33)+('QTR BS'!AM38-'QTR BS'!AL38)+('QTR BS'!AM39-'QTR BS'!AL39)</f>
        <v>1485.3100701275398</v>
      </c>
    </row>
    <row r="19" spans="1:42" x14ac:dyDescent="0.3">
      <c r="A19" s="3" t="s">
        <v>32</v>
      </c>
      <c r="B19" s="4">
        <f>'QTR CF'!B19</f>
        <v>-4362889</v>
      </c>
      <c r="C19" s="4">
        <f>'QTR CF'!C19</f>
        <v>-9234</v>
      </c>
      <c r="D19" s="4">
        <f>'QTR CF'!D19</f>
        <v>-18257982</v>
      </c>
      <c r="E19" s="4">
        <f>'QTR CF'!E19</f>
        <v>-10039888</v>
      </c>
      <c r="F19" s="4">
        <f>'QTR CF'!F19</f>
        <v>28281855</v>
      </c>
      <c r="G19" s="4">
        <f>'QTR CF'!G19</f>
        <v>-34420</v>
      </c>
      <c r="H19" s="4">
        <f>'QTR CF'!H19</f>
        <v>6500</v>
      </c>
      <c r="I19" s="4">
        <f>'QTR CF'!I19</f>
        <v>-51047</v>
      </c>
      <c r="J19" s="4">
        <f>'QTR CF'!J19</f>
        <v>52598</v>
      </c>
      <c r="K19" s="4">
        <f>'QTR CF'!K19</f>
        <v>-109639</v>
      </c>
      <c r="L19" s="4">
        <f>'QTR CF'!L19</f>
        <v>-25961</v>
      </c>
      <c r="M19" s="4">
        <f>'QTR CF'!M19</f>
        <v>-17671</v>
      </c>
      <c r="N19" s="4">
        <f>'QTR CF'!N19</f>
        <v>31713</v>
      </c>
      <c r="O19" s="4">
        <f>'QTR CF'!O19</f>
        <v>-18664</v>
      </c>
      <c r="P19" s="4">
        <f>'QTR CF'!P19</f>
        <v>-63549</v>
      </c>
      <c r="Q19" s="4">
        <f>'QTR CF'!Q19</f>
        <v>55684</v>
      </c>
      <c r="R19" s="4">
        <f>'QTR CF'!R19</f>
        <v>-63136</v>
      </c>
      <c r="S19" s="4">
        <f>'QTR CF'!S19</f>
        <v>11841</v>
      </c>
      <c r="T19" s="4">
        <f>'QTR CF'!T19</f>
        <v>-154994</v>
      </c>
      <c r="U19" s="4">
        <f>'QTR CF'!U19</f>
        <v>-20980</v>
      </c>
      <c r="V19" s="4">
        <f>'QTR CF'!V19</f>
        <v>-247958</v>
      </c>
      <c r="W19" s="4">
        <f>-('QTR BS'!T3-'QTR BS'!S3)</f>
        <v>3623.7812430182239</v>
      </c>
      <c r="X19" s="4">
        <f>-('QTR BS'!U3-'QTR BS'!T3)</f>
        <v>3606.3996310012881</v>
      </c>
      <c r="Y19" s="4">
        <f>-('QTR BS'!V3-'QTR BS'!U3)</f>
        <v>3589.1013905832078</v>
      </c>
      <c r="Z19" s="4">
        <f>-('QTR BS'!W3-'QTR BS'!V3)</f>
        <v>3571.886121868738</v>
      </c>
      <c r="AA19" s="4">
        <f>-('QTR BS'!X3-'QTR BS'!W3)</f>
        <v>3554.7534268808085</v>
      </c>
      <c r="AB19" s="4">
        <f>-('QTR BS'!Y3-'QTR BS'!X3)</f>
        <v>3537.7029095514445</v>
      </c>
      <c r="AC19" s="4">
        <f>-('QTR BS'!Z3-'QTR BS'!Y3)</f>
        <v>3520.7341757118702</v>
      </c>
      <c r="AD19" s="4">
        <f>-('QTR BS'!AA3-'QTR BS'!Z3)</f>
        <v>3503.8468330844771</v>
      </c>
      <c r="AE19" s="4">
        <f>-('QTR BS'!AB3-'QTR BS'!AA3)</f>
        <v>3487.0404912732774</v>
      </c>
      <c r="AF19" s="4">
        <f>-('QTR BS'!AC3-'QTR BS'!AB3)</f>
        <v>3470.3147617541254</v>
      </c>
      <c r="AG19" s="4">
        <f>-('QTR BS'!AD3-'QTR BS'!AC3)</f>
        <v>3453.6692578672664</v>
      </c>
      <c r="AH19" s="4">
        <f>-('QTR BS'!AE3-'QTR BS'!AD3)</f>
        <v>3437.1035948072094</v>
      </c>
      <c r="AI19" s="4">
        <f>-('QTR BS'!AF3-'QTR BS'!AE3)</f>
        <v>3420.6173896141117</v>
      </c>
      <c r="AJ19" s="4">
        <f>-('QTR BS'!AG3-'QTR BS'!AF3)</f>
        <v>3404.2102611652808</v>
      </c>
      <c r="AK19" s="4">
        <f>-('QTR BS'!AH3-'QTR BS'!AG3)</f>
        <v>3387.8818301656283</v>
      </c>
      <c r="AL19" s="4">
        <f>-('QTR BS'!AI3-'QTR BS'!AH3)</f>
        <v>3371.6317191401031</v>
      </c>
      <c r="AM19" s="4">
        <f>-('QTR BS'!AJ3-'QTR BS'!AI3)</f>
        <v>3355.4595524235629</v>
      </c>
      <c r="AN19" s="4">
        <f>-('QTR BS'!AK3-'QTR BS'!AJ3)</f>
        <v>3339.364956153091</v>
      </c>
      <c r="AO19" s="4">
        <f>-('QTR BS'!AL3-'QTR BS'!AK3)</f>
        <v>3323.3475582586834</v>
      </c>
      <c r="AP19" s="4">
        <f>-('QTR BS'!AM3-'QTR BS'!AL3)</f>
        <v>3307.4069884557975</v>
      </c>
    </row>
    <row r="20" spans="1:42" x14ac:dyDescent="0.3">
      <c r="A20" s="3" t="s">
        <v>86</v>
      </c>
      <c r="B20" s="4">
        <f>'QTR CF'!B20</f>
        <v>0</v>
      </c>
      <c r="C20" s="4">
        <f>'QTR CF'!C20</f>
        <v>0</v>
      </c>
      <c r="D20" s="4">
        <f>'QTR CF'!D20</f>
        <v>0</v>
      </c>
      <c r="E20" s="4">
        <f>'QTR CF'!E20</f>
        <v>0</v>
      </c>
      <c r="F20" s="4">
        <f>'QTR CF'!F20</f>
        <v>0</v>
      </c>
      <c r="G20" s="4">
        <f>'QTR CF'!G20</f>
        <v>0</v>
      </c>
      <c r="H20" s="4">
        <f>'QTR CF'!H20</f>
        <v>0</v>
      </c>
      <c r="I20" s="4">
        <f>'QTR CF'!I20</f>
        <v>0</v>
      </c>
      <c r="J20" s="4">
        <f>'QTR CF'!J20</f>
        <v>0</v>
      </c>
      <c r="K20" s="4">
        <f>'QTR CF'!K20</f>
        <v>0</v>
      </c>
      <c r="L20" s="4">
        <f>'QTR CF'!L20</f>
        <v>0</v>
      </c>
      <c r="M20" s="4">
        <f>'QTR CF'!M20</f>
        <v>0</v>
      </c>
      <c r="N20" s="4">
        <f>'QTR CF'!N20</f>
        <v>0</v>
      </c>
      <c r="O20" s="4">
        <f>'QTR CF'!O20</f>
        <v>0</v>
      </c>
      <c r="P20" s="4">
        <f>'QTR CF'!P20</f>
        <v>0</v>
      </c>
      <c r="Q20" s="4">
        <f>'QTR CF'!Q20</f>
        <v>0</v>
      </c>
      <c r="R20" s="4">
        <f>'QTR CF'!R20</f>
        <v>2318</v>
      </c>
      <c r="S20" s="4">
        <f>'QTR CF'!S20</f>
        <v>0</v>
      </c>
      <c r="T20" s="4">
        <f>'QTR CF'!T20</f>
        <v>0</v>
      </c>
      <c r="U20" s="4">
        <f>'QTR CF'!U20</f>
        <v>0</v>
      </c>
      <c r="V20" s="4">
        <f>'QTR CF'!V20</f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</row>
    <row r="21" spans="1:42" x14ac:dyDescent="0.3">
      <c r="A21" s="3" t="s">
        <v>34</v>
      </c>
      <c r="B21" s="4">
        <f>'QTR CF'!B21</f>
        <v>7484034</v>
      </c>
      <c r="C21" s="4">
        <f>'QTR CF'!C21</f>
        <v>-19242</v>
      </c>
      <c r="D21" s="4">
        <f>'QTR CF'!D21</f>
        <v>-46663808</v>
      </c>
      <c r="E21" s="4">
        <f>'QTR CF'!E21</f>
        <v>-57237007</v>
      </c>
      <c r="F21" s="4">
        <f>'QTR CF'!F21</f>
        <v>103744883</v>
      </c>
      <c r="G21" s="4">
        <f>'QTR CF'!G21</f>
        <v>4531</v>
      </c>
      <c r="H21" s="4">
        <f>'QTR CF'!H21</f>
        <v>24222</v>
      </c>
      <c r="I21" s="4">
        <f>'QTR CF'!I21</f>
        <v>7458</v>
      </c>
      <c r="J21" s="4">
        <f>'QTR CF'!J21</f>
        <v>-24409</v>
      </c>
      <c r="K21" s="4">
        <f>'QTR CF'!K21</f>
        <v>17338</v>
      </c>
      <c r="L21" s="4">
        <f>'QTR CF'!L21</f>
        <v>7294</v>
      </c>
      <c r="M21" s="4">
        <f>'QTR CF'!M21</f>
        <v>-52724</v>
      </c>
      <c r="N21" s="4">
        <f>'QTR CF'!N21</f>
        <v>-35207</v>
      </c>
      <c r="O21" s="4">
        <f>'QTR CF'!O21</f>
        <v>29386</v>
      </c>
      <c r="P21" s="4">
        <f>'QTR CF'!P21</f>
        <v>7666</v>
      </c>
      <c r="Q21" s="4">
        <f>'QTR CF'!Q21</f>
        <v>-22467</v>
      </c>
      <c r="R21" s="4">
        <f>'QTR CF'!R21</f>
        <v>62605</v>
      </c>
      <c r="S21" s="4">
        <f>'QTR CF'!S21</f>
        <v>4794</v>
      </c>
      <c r="T21" s="4">
        <f>'QTR CF'!T21</f>
        <v>18245</v>
      </c>
      <c r="U21" s="4">
        <f>'QTR CF'!U21</f>
        <v>8093</v>
      </c>
      <c r="V21" s="4">
        <f>'QTR CF'!V21</f>
        <v>-160909</v>
      </c>
      <c r="W21" s="4">
        <f>-('QTR BS'!T5-'QTR BS'!S5)</f>
        <v>1619.7819960116176</v>
      </c>
      <c r="X21" s="4">
        <f>-('QTR BS'!U5-'QTR BS'!T5)</f>
        <v>1612.0126467273221</v>
      </c>
      <c r="Y21" s="4">
        <f>-('QTR BS'!V5-'QTR BS'!U5)</f>
        <v>1604.2805634384858</v>
      </c>
      <c r="Z21" s="4">
        <f>-('QTR BS'!W5-'QTR BS'!V5)</f>
        <v>1596.5855673968908</v>
      </c>
      <c r="AA21" s="4">
        <f>-('QTR BS'!X5-'QTR BS'!W5)</f>
        <v>1588.927480712533</v>
      </c>
      <c r="AB21" s="4">
        <f>-('QTR BS'!Y5-'QTR BS'!X5)</f>
        <v>1581.3061263478012</v>
      </c>
      <c r="AC21" s="4">
        <f>-('QTR BS'!Z5-'QTR BS'!Y5)</f>
        <v>1573.7213281150325</v>
      </c>
      <c r="AD21" s="4">
        <f>-('QTR BS'!AA5-'QTR BS'!Z5)</f>
        <v>1566.1729106709245</v>
      </c>
      <c r="AE21" s="4">
        <f>-('QTR BS'!AB5-'QTR BS'!AA5)</f>
        <v>1558.660699513799</v>
      </c>
      <c r="AF21" s="4">
        <f>-('QTR BS'!AC5-'QTR BS'!AB5)</f>
        <v>1551.1845209786552</v>
      </c>
      <c r="AG21" s="4">
        <f>-('QTR BS'!AD5-'QTR BS'!AC5)</f>
        <v>1543.7442022335599</v>
      </c>
      <c r="AH21" s="4">
        <f>-('QTR BS'!AE5-'QTR BS'!AD5)</f>
        <v>1536.3395712757483</v>
      </c>
      <c r="AI21" s="4">
        <f>-('QTR BS'!AF5-'QTR BS'!AE5)</f>
        <v>1528.970456926967</v>
      </c>
      <c r="AJ21" s="4">
        <f>-('QTR BS'!AG5-'QTR BS'!AF5)</f>
        <v>1521.6366888307966</v>
      </c>
      <c r="AK21" s="4">
        <f>-('QTR BS'!AH5-'QTR BS'!AG5)</f>
        <v>1514.3380974472384</v>
      </c>
      <c r="AL21" s="4">
        <f>-('QTR BS'!AI5-'QTR BS'!AH5)</f>
        <v>1507.0745140499203</v>
      </c>
      <c r="AM21" s="4">
        <f>-('QTR BS'!AJ5-'QTR BS'!AI5)</f>
        <v>1499.8457707214984</v>
      </c>
      <c r="AN21" s="4">
        <f>-('QTR BS'!AK5-'QTR BS'!AJ5)</f>
        <v>1492.6517003503395</v>
      </c>
      <c r="AO21" s="4">
        <f>-('QTR BS'!AL5-'QTR BS'!AK5)</f>
        <v>1485.4921366260387</v>
      </c>
      <c r="AP21" s="4">
        <f>-('QTR BS'!AM5-'QTR BS'!AL5)</f>
        <v>1478.3669140363345</v>
      </c>
    </row>
    <row r="22" spans="1:42" x14ac:dyDescent="0.3">
      <c r="A22" s="3" t="s">
        <v>35</v>
      </c>
      <c r="B22" s="4">
        <f>'QTR CF'!B22</f>
        <v>-419333</v>
      </c>
      <c r="C22" s="4">
        <f>'QTR CF'!C22</f>
        <v>-2557</v>
      </c>
      <c r="D22" s="4">
        <f>'QTR CF'!D22</f>
        <v>-8115162</v>
      </c>
      <c r="E22" s="4">
        <f>'QTR CF'!E22</f>
        <v>-84869</v>
      </c>
      <c r="F22" s="4">
        <f>'QTR CF'!F22</f>
        <v>8203660</v>
      </c>
      <c r="G22" s="4">
        <f>'QTR CF'!G22</f>
        <v>3513</v>
      </c>
      <c r="H22" s="4">
        <f>'QTR CF'!H22</f>
        <v>-2256</v>
      </c>
      <c r="I22" s="4">
        <f>'QTR CF'!I22</f>
        <v>202</v>
      </c>
      <c r="J22" s="4">
        <f>'QTR CF'!J22</f>
        <v>755</v>
      </c>
      <c r="K22" s="4">
        <f>'QTR CF'!K22</f>
        <v>-4166</v>
      </c>
      <c r="L22" s="4">
        <f>'QTR CF'!L22</f>
        <v>-7892</v>
      </c>
      <c r="M22" s="4">
        <f>'QTR CF'!M22</f>
        <v>-348</v>
      </c>
      <c r="N22" s="4">
        <f>'QTR CF'!N22</f>
        <v>4426</v>
      </c>
      <c r="O22" s="4">
        <f>'QTR CF'!O22</f>
        <v>-2076</v>
      </c>
      <c r="P22" s="4">
        <f>'QTR CF'!P22</f>
        <v>-1393</v>
      </c>
      <c r="Q22" s="4">
        <f>'QTR CF'!Q22</f>
        <v>-16792</v>
      </c>
      <c r="R22" s="4">
        <f>'QTR CF'!R22</f>
        <v>21335</v>
      </c>
      <c r="S22" s="4">
        <f>'QTR CF'!S22</f>
        <v>-3687</v>
      </c>
      <c r="T22" s="4">
        <f>'QTR CF'!T22</f>
        <v>-16958</v>
      </c>
      <c r="U22" s="4">
        <f>'QTR CF'!U22</f>
        <v>-122275</v>
      </c>
      <c r="V22" s="4">
        <f>'QTR CF'!V22</f>
        <v>34599</v>
      </c>
      <c r="W22" s="4">
        <f>-('QTR BS'!T6-'QTR BS'!S6)</f>
        <v>617.82314309908543</v>
      </c>
      <c r="X22" s="4">
        <f>-('QTR BS'!U6-'QTR BS'!T6)</f>
        <v>614.85972962339292</v>
      </c>
      <c r="Y22" s="4">
        <f>-('QTR BS'!V6-'QTR BS'!U6)</f>
        <v>611.91053027925955</v>
      </c>
      <c r="Z22" s="4">
        <f>-('QTR BS'!W6-'QTR BS'!V6)</f>
        <v>608.97547688802297</v>
      </c>
      <c r="AA22" s="4">
        <f>-('QTR BS'!X6-'QTR BS'!W6)</f>
        <v>606.05450159804604</v>
      </c>
      <c r="AB22" s="4">
        <f>-('QTR BS'!Y6-'QTR BS'!X6)</f>
        <v>603.14753688313067</v>
      </c>
      <c r="AC22" s="4">
        <f>-('QTR BS'!Z6-'QTR BS'!Y6)</f>
        <v>600.25451554104802</v>
      </c>
      <c r="AD22" s="4">
        <f>-('QTR BS'!AA6-'QTR BS'!Z6)</f>
        <v>597.37537069180689</v>
      </c>
      <c r="AE22" s="4">
        <f>-('QTR BS'!AB6-'QTR BS'!AA6)</f>
        <v>594.51003577627125</v>
      </c>
      <c r="AF22" s="4">
        <f>-('QTR BS'!AC6-'QTR BS'!AB6)</f>
        <v>591.65844455453043</v>
      </c>
      <c r="AG22" s="4">
        <f>-('QTR BS'!AD6-'QTR BS'!AC6)</f>
        <v>588.82053110441484</v>
      </c>
      <c r="AH22" s="4">
        <f>-('QTR BS'!AE6-'QTR BS'!AD6)</f>
        <v>585.99622981995344</v>
      </c>
      <c r="AI22" s="4">
        <f>-('QTR BS'!AF6-'QTR BS'!AE6)</f>
        <v>583.18547540980217</v>
      </c>
      <c r="AJ22" s="4">
        <f>-('QTR BS'!AG6-'QTR BS'!AF6)</f>
        <v>580.38820289589057</v>
      </c>
      <c r="AK22" s="4">
        <f>-('QTR BS'!AH6-'QTR BS'!AG6)</f>
        <v>577.60434761174838</v>
      </c>
      <c r="AL22" s="4">
        <f>-('QTR BS'!AI6-'QTR BS'!AH6)</f>
        <v>574.83384520106483</v>
      </c>
      <c r="AM22" s="4">
        <f>-('QTR BS'!AJ6-'QTR BS'!AI6)</f>
        <v>572.07663161627715</v>
      </c>
      <c r="AN22" s="4">
        <f>-('QTR BS'!AK6-'QTR BS'!AJ6)</f>
        <v>569.33264311699895</v>
      </c>
      <c r="AO22" s="4">
        <f>-('QTR BS'!AL6-'QTR BS'!AK6)</f>
        <v>566.60181626856502</v>
      </c>
      <c r="AP22" s="4">
        <f>-('QTR BS'!AM6-'QTR BS'!AL6)</f>
        <v>563.88408794059069</v>
      </c>
    </row>
    <row r="23" spans="1:42" x14ac:dyDescent="0.3">
      <c r="A23" s="3" t="s">
        <v>140</v>
      </c>
      <c r="B23" s="4">
        <f>'QTR CF'!B23</f>
        <v>-2031690</v>
      </c>
      <c r="C23" s="4">
        <f>'QTR CF'!C23</f>
        <v>12113</v>
      </c>
      <c r="D23" s="4">
        <f>'QTR CF'!D23</f>
        <v>27567210</v>
      </c>
      <c r="E23" s="4">
        <f>'QTR CF'!E23</f>
        <v>39115245</v>
      </c>
      <c r="F23" s="4">
        <f>'QTR CF'!F23</f>
        <v>0</v>
      </c>
      <c r="G23" s="4">
        <f>'QTR CF'!G23</f>
        <v>17742</v>
      </c>
      <c r="H23" s="4">
        <f>'QTR CF'!H23</f>
        <v>-7406</v>
      </c>
      <c r="I23" s="4">
        <f>'QTR CF'!I23</f>
        <v>41126</v>
      </c>
      <c r="J23" s="4">
        <f>'QTR CF'!J23</f>
        <v>0</v>
      </c>
      <c r="K23" s="4">
        <f>'QTR CF'!K23</f>
        <v>182</v>
      </c>
      <c r="L23" s="4">
        <f>'QTR CF'!L23</f>
        <v>-12673</v>
      </c>
      <c r="M23" s="4">
        <f>'QTR CF'!M23</f>
        <v>27143</v>
      </c>
      <c r="N23" s="4">
        <f>'QTR CF'!N23</f>
        <v>0</v>
      </c>
      <c r="O23" s="4">
        <f>'QTR CF'!O23</f>
        <v>0</v>
      </c>
      <c r="P23" s="4">
        <f>'QTR CF'!P23</f>
        <v>0</v>
      </c>
      <c r="Q23" s="4">
        <f>'QTR CF'!Q23</f>
        <v>0</v>
      </c>
      <c r="R23" s="4">
        <f>'QTR CF'!R23</f>
        <v>0</v>
      </c>
      <c r="S23" s="4">
        <f>'QTR CF'!S23</f>
        <v>0</v>
      </c>
      <c r="T23" s="4">
        <f>'QTR CF'!T23</f>
        <v>0</v>
      </c>
      <c r="U23" s="4">
        <f>'QTR CF'!U23</f>
        <v>0</v>
      </c>
      <c r="V23" s="4">
        <f>'QTR CF'!V23</f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</row>
    <row r="24" spans="1:42" x14ac:dyDescent="0.3">
      <c r="A24" s="3" t="s">
        <v>46</v>
      </c>
      <c r="B24" s="4">
        <f>'QTR CF'!B24</f>
        <v>0</v>
      </c>
      <c r="C24" s="4">
        <f>'QTR CF'!C24</f>
        <v>0</v>
      </c>
      <c r="D24" s="4">
        <f>'QTR CF'!D24</f>
        <v>0</v>
      </c>
      <c r="E24" s="4">
        <f>'QTR CF'!E24</f>
        <v>0</v>
      </c>
      <c r="F24" s="4">
        <f>'QTR CF'!F24</f>
        <v>0</v>
      </c>
      <c r="G24" s="4">
        <f>'QTR CF'!G24</f>
        <v>0</v>
      </c>
      <c r="H24" s="4">
        <f>'QTR CF'!H24</f>
        <v>0</v>
      </c>
      <c r="I24" s="4">
        <f>'QTR CF'!I24</f>
        <v>0</v>
      </c>
      <c r="J24" s="4">
        <f>'QTR CF'!J24</f>
        <v>0</v>
      </c>
      <c r="K24" s="4">
        <f>'QTR CF'!K24</f>
        <v>0</v>
      </c>
      <c r="L24" s="4">
        <f>'QTR CF'!L24</f>
        <v>0</v>
      </c>
      <c r="M24" s="4">
        <f>'QTR CF'!M24</f>
        <v>0</v>
      </c>
      <c r="N24" s="4">
        <f>'QTR CF'!N24</f>
        <v>0</v>
      </c>
      <c r="O24" s="4">
        <f>'QTR CF'!O24</f>
        <v>0</v>
      </c>
      <c r="P24" s="4">
        <f>'QTR CF'!P24</f>
        <v>-6362</v>
      </c>
      <c r="Q24" s="4">
        <f>'QTR CF'!Q24</f>
        <v>1059</v>
      </c>
      <c r="R24" s="4">
        <f>'QTR CF'!R24</f>
        <v>441</v>
      </c>
      <c r="S24" s="4">
        <f>'QTR CF'!S24</f>
        <v>-1700</v>
      </c>
      <c r="T24" s="4">
        <f>'QTR CF'!T24</f>
        <v>2442</v>
      </c>
      <c r="U24" s="4">
        <f>'QTR CF'!U24</f>
        <v>769</v>
      </c>
      <c r="V24" s="4">
        <f>'QTR CF'!V24</f>
        <v>1346</v>
      </c>
      <c r="W24" s="4">
        <f>-('QTR BS'!T17-'QTR BS'!S17)</f>
        <v>208.33292235893896</v>
      </c>
      <c r="X24" s="4">
        <f>-('QTR BS'!U17-'QTR BS'!T17)</f>
        <v>207.33364514434652</v>
      </c>
      <c r="Y24" s="4">
        <f>-('QTR BS'!V17-'QTR BS'!U17)</f>
        <v>206.33916100297938</v>
      </c>
      <c r="Z24" s="4">
        <f>-('QTR BS'!W17-'QTR BS'!V17)</f>
        <v>205.34944694465958</v>
      </c>
      <c r="AA24" s="4">
        <f>-('QTR BS'!X17-'QTR BS'!W17)</f>
        <v>204.36448008951265</v>
      </c>
      <c r="AB24" s="4">
        <f>-('QTR BS'!Y17-'QTR BS'!X17)</f>
        <v>203.3842376673565</v>
      </c>
      <c r="AC24" s="4">
        <f>-('QTR BS'!Z17-'QTR BS'!Y17)</f>
        <v>202.40869701730117</v>
      </c>
      <c r="AD24" s="4">
        <f>-('QTR BS'!AA17-'QTR BS'!Z17)</f>
        <v>201.43783558706491</v>
      </c>
      <c r="AE24" s="4">
        <f>-('QTR BS'!AB17-'QTR BS'!AA17)</f>
        <v>200.4716309326177</v>
      </c>
      <c r="AF24" s="4">
        <f>-('QTR BS'!AC17-'QTR BS'!AB17)</f>
        <v>199.51006071752636</v>
      </c>
      <c r="AG24" s="4">
        <f>-('QTR BS'!AD17-'QTR BS'!AC17)</f>
        <v>198.55310271251801</v>
      </c>
      <c r="AH24" s="4">
        <f>-('QTR BS'!AE17-'QTR BS'!AD17)</f>
        <v>197.6007347949635</v>
      </c>
      <c r="AI24" s="4">
        <f>-('QTR BS'!AF17-'QTR BS'!AE17)</f>
        <v>196.65293494828802</v>
      </c>
      <c r="AJ24" s="4">
        <f>-('QTR BS'!AG17-'QTR BS'!AF17)</f>
        <v>195.70968126159278</v>
      </c>
      <c r="AK24" s="4">
        <f>-('QTR BS'!AH17-'QTR BS'!AG17)</f>
        <v>194.77095192900742</v>
      </c>
      <c r="AL24" s="4">
        <f>-('QTR BS'!AI17-'QTR BS'!AH17)</f>
        <v>193.83672524931899</v>
      </c>
      <c r="AM24" s="4">
        <f>-('QTR BS'!AJ17-'QTR BS'!AI17)</f>
        <v>192.90697962533886</v>
      </c>
      <c r="AN24" s="4">
        <f>-('QTR BS'!AK17-'QTR BS'!AJ17)</f>
        <v>191.98169356352446</v>
      </c>
      <c r="AO24" s="4">
        <f>-('QTR BS'!AL17-'QTR BS'!AK17)</f>
        <v>191.06084567341168</v>
      </c>
      <c r="AP24" s="4">
        <f>-('QTR BS'!AM17-'QTR BS'!AL17)</f>
        <v>190.14441466710559</v>
      </c>
    </row>
    <row r="25" spans="1:42" x14ac:dyDescent="0.3">
      <c r="A25" s="3" t="s">
        <v>48</v>
      </c>
      <c r="B25" s="4">
        <f>'QTR CF'!B25</f>
        <v>0</v>
      </c>
      <c r="C25" s="4">
        <f>'QTR CF'!C25</f>
        <v>0</v>
      </c>
      <c r="D25" s="4">
        <f>'QTR CF'!D25</f>
        <v>0</v>
      </c>
      <c r="E25" s="4">
        <f>'QTR CF'!E25</f>
        <v>0</v>
      </c>
      <c r="F25" s="4">
        <f>'QTR CF'!F25</f>
        <v>23966</v>
      </c>
      <c r="G25" s="4">
        <f>'QTR CF'!G25</f>
        <v>0</v>
      </c>
      <c r="H25" s="4">
        <f>'QTR CF'!H25</f>
        <v>0</v>
      </c>
      <c r="I25" s="4">
        <f>'QTR CF'!I25</f>
        <v>0</v>
      </c>
      <c r="J25" s="4">
        <f>'QTR CF'!J25</f>
        <v>428</v>
      </c>
      <c r="K25" s="4">
        <f>'QTR CF'!K25</f>
        <v>0</v>
      </c>
      <c r="L25" s="4">
        <f>'QTR CF'!L25</f>
        <v>0</v>
      </c>
      <c r="M25" s="4">
        <f>'QTR CF'!M25</f>
        <v>0</v>
      </c>
      <c r="N25" s="4">
        <f>'QTR CF'!N25</f>
        <v>5249</v>
      </c>
      <c r="O25" s="4">
        <f>'QTR CF'!O25</f>
        <v>-3013</v>
      </c>
      <c r="P25" s="4">
        <f>'QTR CF'!P25</f>
        <v>6963</v>
      </c>
      <c r="Q25" s="4">
        <f>'QTR CF'!Q25</f>
        <v>-16209</v>
      </c>
      <c r="R25" s="4">
        <f>'QTR CF'!R25</f>
        <v>11089</v>
      </c>
      <c r="S25" s="4">
        <f>'QTR CF'!S25</f>
        <v>11679</v>
      </c>
      <c r="T25" s="4">
        <f>'QTR CF'!T25</f>
        <v>9110</v>
      </c>
      <c r="U25" s="4">
        <f>'QTR CF'!U25</f>
        <v>-16708</v>
      </c>
      <c r="V25" s="4">
        <f>'QTR CF'!V25</f>
        <v>47171</v>
      </c>
      <c r="W25" s="4">
        <f>('QTR BS'!T19-'QTR BS'!S19)</f>
        <v>-661.58677489910042</v>
      </c>
      <c r="X25" s="4">
        <f>('QTR BS'!U19-'QTR BS'!T19)</f>
        <v>-658.41344740893692</v>
      </c>
      <c r="Y25" s="4">
        <f>('QTR BS'!V19-'QTR BS'!U19)</f>
        <v>-655.25534091130248</v>
      </c>
      <c r="Z25" s="4">
        <f>('QTR BS'!W19-'QTR BS'!V19)</f>
        <v>-652.11238239807426</v>
      </c>
      <c r="AA25" s="4">
        <f>('QTR BS'!X19-'QTR BS'!W19)</f>
        <v>-648.98449921133579</v>
      </c>
      <c r="AB25" s="4">
        <f>('QTR BS'!Y19-'QTR BS'!X19)</f>
        <v>-645.87161904174718</v>
      </c>
      <c r="AC25" s="4">
        <f>('QTR BS'!Z19-'QTR BS'!Y19)</f>
        <v>-642.77366992668249</v>
      </c>
      <c r="AD25" s="4">
        <f>('QTR BS'!AA19-'QTR BS'!Z19)</f>
        <v>-639.69058024874539</v>
      </c>
      <c r="AE25" s="4">
        <f>('QTR BS'!AB19-'QTR BS'!AA19)</f>
        <v>-636.62227873408119</v>
      </c>
      <c r="AF25" s="4">
        <f>('QTR BS'!AC19-'QTR BS'!AB19)</f>
        <v>-633.56869445060147</v>
      </c>
      <c r="AG25" s="4">
        <f>('QTR BS'!AD19-'QTR BS'!AC19)</f>
        <v>-630.52975680663076</v>
      </c>
      <c r="AH25" s="4">
        <f>('QTR BS'!AE19-'QTR BS'!AD19)</f>
        <v>-627.50539554884017</v>
      </c>
      <c r="AI25" s="4">
        <f>('QTR BS'!AF19-'QTR BS'!AE19)</f>
        <v>-624.4955407610978</v>
      </c>
      <c r="AJ25" s="4">
        <f>('QTR BS'!AG19-'QTR BS'!AF19)</f>
        <v>-621.50012286253332</v>
      </c>
      <c r="AK25" s="4">
        <f>('QTR BS'!AH19-'QTR BS'!AG19)</f>
        <v>-618.51907260601001</v>
      </c>
      <c r="AL25" s="4">
        <f>('QTR BS'!AI19-'QTR BS'!AH19)</f>
        <v>-615.55232107650954</v>
      </c>
      <c r="AM25" s="4">
        <f>('QTR BS'!AJ19-'QTR BS'!AI19)</f>
        <v>-612.59979968973494</v>
      </c>
      <c r="AN25" s="4">
        <f>('QTR BS'!AK19-'QTR BS'!AJ19)</f>
        <v>-609.66144019010244</v>
      </c>
      <c r="AO25" s="4">
        <f>('QTR BS'!AL19-'QTR BS'!AK19)</f>
        <v>-606.73717464963556</v>
      </c>
      <c r="AP25" s="4">
        <f>('QTR BS'!AM19-'QTR BS'!AL19)</f>
        <v>-603.82693546608789</v>
      </c>
    </row>
    <row r="26" spans="1:42" x14ac:dyDescent="0.3">
      <c r="A26" s="3" t="s">
        <v>49</v>
      </c>
      <c r="B26" s="4">
        <f>'QTR CF'!B26</f>
        <v>0</v>
      </c>
      <c r="C26" s="4">
        <f>'QTR CF'!C26</f>
        <v>0</v>
      </c>
      <c r="D26" s="4">
        <f>'QTR CF'!D26</f>
        <v>0</v>
      </c>
      <c r="E26" s="4">
        <f>'QTR CF'!E26</f>
        <v>0</v>
      </c>
      <c r="F26" s="4">
        <f>'QTR CF'!F26</f>
        <v>26484</v>
      </c>
      <c r="G26" s="4">
        <f>'QTR CF'!G26</f>
        <v>0</v>
      </c>
      <c r="H26" s="4">
        <f>'QTR CF'!H26</f>
        <v>0</v>
      </c>
      <c r="I26" s="4">
        <f>'QTR CF'!I26</f>
        <v>0</v>
      </c>
      <c r="J26" s="4">
        <f>'QTR CF'!J26</f>
        <v>34644</v>
      </c>
      <c r="K26" s="4">
        <f>'QTR CF'!K26</f>
        <v>0</v>
      </c>
      <c r="L26" s="4">
        <f>'QTR CF'!L26</f>
        <v>0</v>
      </c>
      <c r="M26" s="4">
        <f>'QTR CF'!M26</f>
        <v>0</v>
      </c>
      <c r="N26" s="4">
        <f>'QTR CF'!N26</f>
        <v>-8025</v>
      </c>
      <c r="O26" s="4">
        <f>'QTR CF'!O26</f>
        <v>1998</v>
      </c>
      <c r="P26" s="4">
        <f>'QTR CF'!P26</f>
        <v>15762</v>
      </c>
      <c r="Q26" s="4">
        <f>'QTR CF'!Q26</f>
        <v>-6609</v>
      </c>
      <c r="R26" s="4">
        <f>'QTR CF'!R26</f>
        <v>74247</v>
      </c>
      <c r="S26" s="4">
        <f>'QTR CF'!S26</f>
        <v>-8673</v>
      </c>
      <c r="T26" s="4">
        <f>'QTR CF'!T26</f>
        <v>1660</v>
      </c>
      <c r="U26" s="4">
        <f>'QTR CF'!U26</f>
        <v>39974</v>
      </c>
      <c r="V26" s="4">
        <f>'QTR CF'!V26</f>
        <v>12657</v>
      </c>
      <c r="W26" s="4">
        <f>('QTR BS'!T20-'QTR BS'!S20)</f>
        <v>-1106.6625265823386</v>
      </c>
      <c r="X26" s="4">
        <f>('QTR BS'!U20-'QTR BS'!T20)</f>
        <v>-1101.3543754051789</v>
      </c>
      <c r="Y26" s="4">
        <f>('QTR BS'!V20-'QTR BS'!U20)</f>
        <v>-1096.0716849879827</v>
      </c>
      <c r="Z26" s="4">
        <f>('QTR BS'!W20-'QTR BS'!V20)</f>
        <v>-1090.8143332071486</v>
      </c>
      <c r="AA26" s="4">
        <f>('QTR BS'!X20-'QTR BS'!W20)</f>
        <v>-1085.5821985249349</v>
      </c>
      <c r="AB26" s="4">
        <f>('QTR BS'!Y20-'QTR BS'!X20)</f>
        <v>-1080.3751599864336</v>
      </c>
      <c r="AC26" s="4">
        <f>('QTR BS'!Z20-'QTR BS'!Y20)</f>
        <v>-1075.1930972171249</v>
      </c>
      <c r="AD26" s="4">
        <f>('QTR BS'!AA20-'QTR BS'!Z20)</f>
        <v>-1070.03589041956</v>
      </c>
      <c r="AE26" s="4">
        <f>('QTR BS'!AB20-'QTR BS'!AA20)</f>
        <v>-1064.9034203712363</v>
      </c>
      <c r="AF26" s="4">
        <f>('QTR BS'!AC20-'QTR BS'!AB20)</f>
        <v>-1059.7955684212502</v>
      </c>
      <c r="AG26" s="4">
        <f>('QTR BS'!AD20-'QTR BS'!AC20)</f>
        <v>-1054.712216487882</v>
      </c>
      <c r="AH26" s="4">
        <f>('QTR BS'!AE20-'QTR BS'!AD20)</f>
        <v>-1049.6532470559468</v>
      </c>
      <c r="AI26" s="4">
        <f>('QTR BS'!AF20-'QTR BS'!AE20)</f>
        <v>-1044.6185431736812</v>
      </c>
      <c r="AJ26" s="4">
        <f>('QTR BS'!AG20-'QTR BS'!AF20)</f>
        <v>-1039.6079884503852</v>
      </c>
      <c r="AK26" s="4">
        <f>('QTR BS'!AH20-'QTR BS'!AG20)</f>
        <v>-1034.6214670537738</v>
      </c>
      <c r="AL26" s="4">
        <f>('QTR BS'!AI20-'QTR BS'!AH20)</f>
        <v>-1029.6588637069508</v>
      </c>
      <c r="AM26" s="4">
        <f>('QTR BS'!AJ20-'QTR BS'!AI20)</f>
        <v>-1024.7200636860216</v>
      </c>
      <c r="AN26" s="4">
        <f>('QTR BS'!AK20-'QTR BS'!AJ20)</f>
        <v>-1019.8049528173869</v>
      </c>
      <c r="AO26" s="4">
        <f>('QTR BS'!AL20-'QTR BS'!AK20)</f>
        <v>-1014.9134174750943</v>
      </c>
      <c r="AP26" s="4">
        <f>('QTR BS'!AM20-'QTR BS'!AL20)</f>
        <v>-1010.0453445782186</v>
      </c>
    </row>
    <row r="27" spans="1:42" x14ac:dyDescent="0.3">
      <c r="A27" s="3" t="s">
        <v>87</v>
      </c>
      <c r="B27" s="4">
        <f>'QTR CF'!B27</f>
        <v>0</v>
      </c>
      <c r="C27" s="4">
        <f>'QTR CF'!C27</f>
        <v>0</v>
      </c>
      <c r="D27" s="4">
        <f>'QTR CF'!D27</f>
        <v>0</v>
      </c>
      <c r="E27" s="4">
        <f>'QTR CF'!E27</f>
        <v>0</v>
      </c>
      <c r="F27" s="4">
        <f>'QTR CF'!F27</f>
        <v>1357</v>
      </c>
      <c r="G27" s="4">
        <f>'QTR CF'!G27</f>
        <v>0</v>
      </c>
      <c r="H27" s="4">
        <f>'QTR CF'!H27</f>
        <v>0</v>
      </c>
      <c r="I27" s="4">
        <f>'QTR CF'!I27</f>
        <v>0</v>
      </c>
      <c r="J27" s="4">
        <f>'QTR CF'!J27</f>
        <v>-164</v>
      </c>
      <c r="K27" s="4">
        <f>'QTR CF'!K27</f>
        <v>0</v>
      </c>
      <c r="L27" s="4">
        <f>'QTR CF'!L27</f>
        <v>57605</v>
      </c>
      <c r="M27" s="4">
        <f>'QTR CF'!M27</f>
        <v>57</v>
      </c>
      <c r="N27" s="4">
        <f>'QTR CF'!N27</f>
        <v>-9560</v>
      </c>
      <c r="O27" s="4">
        <f>'QTR CF'!O27</f>
        <v>8250</v>
      </c>
      <c r="P27" s="4">
        <f>'QTR CF'!P27</f>
        <v>-53228</v>
      </c>
      <c r="Q27" s="4">
        <f>'QTR CF'!Q27</f>
        <v>-4653</v>
      </c>
      <c r="R27" s="4">
        <f>'QTR CF'!R27</f>
        <v>10095</v>
      </c>
      <c r="S27" s="4">
        <f>'QTR CF'!S27</f>
        <v>15353</v>
      </c>
      <c r="T27" s="4">
        <f>'QTR CF'!T27</f>
        <v>-4425</v>
      </c>
      <c r="U27" s="4">
        <f>'QTR CF'!U27</f>
        <v>27814</v>
      </c>
      <c r="V27" s="4">
        <f>'QTR CF'!V27</f>
        <v>8</v>
      </c>
      <c r="W27" s="4">
        <f>('QTR BS'!T21-'QTR BS'!S21)</f>
        <v>-237.96594704774179</v>
      </c>
      <c r="X27" s="4">
        <f>('QTR BS'!U21-'QTR BS'!T21)</f>
        <v>-236.82453384218388</v>
      </c>
      <c r="Y27" s="4">
        <f>('QTR BS'!V21-'QTR BS'!U21)</f>
        <v>-235.68859547081956</v>
      </c>
      <c r="Z27" s="4">
        <f>('QTR BS'!W21-'QTR BS'!V21)</f>
        <v>-234.55810567340814</v>
      </c>
      <c r="AA27" s="4">
        <f>('QTR BS'!X21-'QTR BS'!W21)</f>
        <v>-233.43303831561934</v>
      </c>
      <c r="AB27" s="4">
        <f>('QTR BS'!Y21-'QTR BS'!X21)</f>
        <v>-232.31336738852406</v>
      </c>
      <c r="AC27" s="4">
        <f>('QTR BS'!Z21-'QTR BS'!Y21)</f>
        <v>-231.1990670079249</v>
      </c>
      <c r="AD27" s="4">
        <f>('QTR BS'!AA21-'QTR BS'!Z21)</f>
        <v>-230.09011141376686</v>
      </c>
      <c r="AE27" s="4">
        <f>('QTR BS'!AB21-'QTR BS'!AA21)</f>
        <v>-228.98647496958438</v>
      </c>
      <c r="AF27" s="4">
        <f>('QTR BS'!AC21-'QTR BS'!AB21)</f>
        <v>-227.88813216184644</v>
      </c>
      <c r="AG27" s="4">
        <f>('QTR BS'!AD21-'QTR BS'!AC21)</f>
        <v>-226.79505759943277</v>
      </c>
      <c r="AH27" s="4">
        <f>('QTR BS'!AE21-'QTR BS'!AD21)</f>
        <v>-225.70722601297166</v>
      </c>
      <c r="AI27" s="4">
        <f>('QTR BS'!AF21-'QTR BS'!AE21)</f>
        <v>-224.62461225433799</v>
      </c>
      <c r="AJ27" s="4">
        <f>('QTR BS'!AG21-'QTR BS'!AF21)</f>
        <v>-223.54719129598379</v>
      </c>
      <c r="AK27" s="4">
        <f>('QTR BS'!AH21-'QTR BS'!AG21)</f>
        <v>-222.47493823046534</v>
      </c>
      <c r="AL27" s="4">
        <f>('QTR BS'!AI21-'QTR BS'!AH21)</f>
        <v>-221.40782826976647</v>
      </c>
      <c r="AM27" s="4">
        <f>('QTR BS'!AJ21-'QTR BS'!AI21)</f>
        <v>-220.34583674477472</v>
      </c>
      <c r="AN27" s="4">
        <f>('QTR BS'!AK21-'QTR BS'!AJ21)</f>
        <v>-219.28893910470651</v>
      </c>
      <c r="AO27" s="4">
        <f>('QTR BS'!AL21-'QTR BS'!AK21)</f>
        <v>-218.23711091653968</v>
      </c>
      <c r="AP27" s="4">
        <f>('QTR BS'!AM21-'QTR BS'!AL21)</f>
        <v>-217.19032786444586</v>
      </c>
    </row>
    <row r="28" spans="1:42" x14ac:dyDescent="0.3">
      <c r="A28" s="3" t="s">
        <v>52</v>
      </c>
      <c r="B28" s="4">
        <f>'QTR CF'!B28</f>
        <v>0</v>
      </c>
      <c r="C28" s="4">
        <f>'QTR CF'!C28</f>
        <v>0</v>
      </c>
      <c r="D28" s="4">
        <f>'QTR CF'!D28</f>
        <v>0</v>
      </c>
      <c r="E28" s="4">
        <f>'QTR CF'!E28</f>
        <v>0</v>
      </c>
      <c r="F28" s="4">
        <f>'QTR CF'!F28</f>
        <v>13379</v>
      </c>
      <c r="G28" s="4">
        <f>'QTR CF'!G28</f>
        <v>0</v>
      </c>
      <c r="H28" s="4">
        <f>'QTR CF'!H28</f>
        <v>0</v>
      </c>
      <c r="I28" s="4">
        <f>'QTR CF'!I28</f>
        <v>0</v>
      </c>
      <c r="J28" s="4">
        <f>'QTR CF'!J28</f>
        <v>16940</v>
      </c>
      <c r="K28" s="4">
        <f>'QTR CF'!K28</f>
        <v>32248</v>
      </c>
      <c r="L28" s="4">
        <f>'QTR CF'!L28</f>
        <v>30747</v>
      </c>
      <c r="M28" s="4">
        <f>'QTR CF'!M28</f>
        <v>37585</v>
      </c>
      <c r="N28" s="4">
        <f>'QTR CF'!N28</f>
        <v>-36770</v>
      </c>
      <c r="O28" s="4">
        <f>'QTR CF'!O28</f>
        <v>29414</v>
      </c>
      <c r="P28" s="4">
        <f>'QTR CF'!P28</f>
        <v>27278</v>
      </c>
      <c r="Q28" s="4">
        <f>'QTR CF'!Q28</f>
        <v>2331</v>
      </c>
      <c r="R28" s="4">
        <f>'QTR CF'!R28</f>
        <v>-22862</v>
      </c>
      <c r="S28" s="4">
        <f>'QTR CF'!S28</f>
        <v>15379</v>
      </c>
      <c r="T28" s="4">
        <f>'QTR CF'!T28</f>
        <v>48842</v>
      </c>
      <c r="U28" s="4">
        <f>'QTR CF'!U28</f>
        <v>19055</v>
      </c>
      <c r="V28" s="4">
        <f>'QTR CF'!V28</f>
        <v>70359</v>
      </c>
      <c r="W28" s="4">
        <f>('QTR BS'!T23-'QTR BS'!S23)</f>
        <v>-1476.9602182302042</v>
      </c>
      <c r="X28" s="4">
        <f>('QTR BS'!U23-'QTR BS'!T23)</f>
        <v>-1469.8759193290025</v>
      </c>
      <c r="Y28" s="4">
        <f>('QTR BS'!V23-'QTR BS'!U23)</f>
        <v>-1462.8256005516159</v>
      </c>
      <c r="Z28" s="4">
        <f>('QTR BS'!W23-'QTR BS'!V23)</f>
        <v>-1455.8090989108896</v>
      </c>
      <c r="AA28" s="4">
        <f>('QTR BS'!X23-'QTR BS'!W23)</f>
        <v>-1448.8262522015139</v>
      </c>
      <c r="AB28" s="4">
        <f>('QTR BS'!Y23-'QTR BS'!X23)</f>
        <v>-1441.8768989964155</v>
      </c>
      <c r="AC28" s="4">
        <f>('QTR BS'!Z23-'QTR BS'!Y23)</f>
        <v>-1434.9608786425088</v>
      </c>
      <c r="AD28" s="4">
        <f>('QTR BS'!AA23-'QTR BS'!Z23)</f>
        <v>-1428.0780312575516</v>
      </c>
      <c r="AE28" s="4">
        <f>('QTR BS'!AB23-'QTR BS'!AA23)</f>
        <v>-1421.2281977260718</v>
      </c>
      <c r="AF28" s="4">
        <f>('QTR BS'!AC23-'QTR BS'!AB23)</f>
        <v>-1414.4112196956412</v>
      </c>
      <c r="AG28" s="4">
        <f>('QTR BS'!AD23-'QTR BS'!AC23)</f>
        <v>-1407.6269395737327</v>
      </c>
      <c r="AH28" s="4">
        <f>('QTR BS'!AE23-'QTR BS'!AD23)</f>
        <v>-1400.8752005234128</v>
      </c>
      <c r="AI28" s="4">
        <f>('QTR BS'!AF23-'QTR BS'!AE23)</f>
        <v>-1394.1558464601403</v>
      </c>
      <c r="AJ28" s="4">
        <f>('QTR BS'!AG23-'QTR BS'!AF23)</f>
        <v>-1387.4687220479245</v>
      </c>
      <c r="AK28" s="4">
        <f>('QTR BS'!AH23-'QTR BS'!AG23)</f>
        <v>-1380.813672696182</v>
      </c>
      <c r="AL28" s="4">
        <f>('QTR BS'!AI23-'QTR BS'!AH23)</f>
        <v>-1374.1905445553712</v>
      </c>
      <c r="AM28" s="4">
        <f>('QTR BS'!AJ23-'QTR BS'!AI23)</f>
        <v>-1367.5991845143144</v>
      </c>
      <c r="AN28" s="4">
        <f>('QTR BS'!AK23-'QTR BS'!AJ23)</f>
        <v>-1361.0394401958911</v>
      </c>
      <c r="AO28" s="4">
        <f>('QTR BS'!AL23-'QTR BS'!AK23)</f>
        <v>-1354.5111599541269</v>
      </c>
      <c r="AP28" s="4">
        <f>('QTR BS'!AM23-'QTR BS'!AL23)</f>
        <v>-1348.0141928701778</v>
      </c>
    </row>
    <row r="29" spans="1:42" x14ac:dyDescent="0.3">
      <c r="A29" s="3" t="s">
        <v>88</v>
      </c>
      <c r="B29" s="4">
        <f>'QTR CF'!B29</f>
        <v>0</v>
      </c>
      <c r="C29" s="4">
        <f>'QTR CF'!C29</f>
        <v>0</v>
      </c>
      <c r="D29" s="4">
        <f>'QTR CF'!D29</f>
        <v>0</v>
      </c>
      <c r="E29" s="4">
        <f>'QTR CF'!E29</f>
        <v>0</v>
      </c>
      <c r="F29" s="4">
        <f>'QTR CF'!F29</f>
        <v>0</v>
      </c>
      <c r="G29" s="4">
        <f>'QTR CF'!G29</f>
        <v>0</v>
      </c>
      <c r="H29" s="4">
        <f>'QTR CF'!H29</f>
        <v>0</v>
      </c>
      <c r="I29" s="4">
        <f>'QTR CF'!I29</f>
        <v>115551</v>
      </c>
      <c r="J29" s="4">
        <f>'QTR CF'!J29</f>
        <v>-111565</v>
      </c>
      <c r="K29" s="4">
        <f>'QTR CF'!K29</f>
        <v>-2923</v>
      </c>
      <c r="L29" s="4">
        <f>'QTR CF'!L29</f>
        <v>-1063</v>
      </c>
      <c r="M29" s="4">
        <f>'QTR CF'!M29</f>
        <v>0</v>
      </c>
      <c r="N29" s="4">
        <f>'QTR CF'!N29</f>
        <v>247</v>
      </c>
      <c r="O29" s="4">
        <f>'QTR CF'!O29</f>
        <v>-248</v>
      </c>
      <c r="P29" s="4">
        <f>'QTR CF'!P29</f>
        <v>0</v>
      </c>
      <c r="Q29" s="4">
        <f>'QTR CF'!Q29</f>
        <v>0</v>
      </c>
      <c r="R29" s="4">
        <f>'QTR CF'!R29</f>
        <v>0</v>
      </c>
      <c r="S29" s="4">
        <f>'QTR CF'!S29</f>
        <v>0</v>
      </c>
      <c r="T29" s="4">
        <f>'QTR CF'!T29</f>
        <v>0</v>
      </c>
      <c r="U29" s="4">
        <f>'QTR CF'!U29</f>
        <v>252953</v>
      </c>
      <c r="V29" s="4">
        <f>'QTR CF'!V29</f>
        <v>4642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</row>
    <row r="30" spans="1:42" x14ac:dyDescent="0.3">
      <c r="A30" s="3" t="s">
        <v>57</v>
      </c>
      <c r="B30" s="4">
        <f>'QTR CF'!B30</f>
        <v>-109313</v>
      </c>
      <c r="C30" s="4">
        <f>'QTR CF'!C30</f>
        <v>174</v>
      </c>
      <c r="D30" s="4">
        <f>'QTR CF'!D30</f>
        <v>339778</v>
      </c>
      <c r="E30" s="4">
        <f>'QTR CF'!E30</f>
        <v>-339952</v>
      </c>
      <c r="F30" s="4">
        <f>'QTR CF'!F30</f>
        <v>374</v>
      </c>
      <c r="G30" s="4">
        <f>'QTR CF'!G30</f>
        <v>765</v>
      </c>
      <c r="H30" s="4">
        <f>'QTR CF'!H30</f>
        <v>1055</v>
      </c>
      <c r="I30" s="4">
        <f>'QTR CF'!I30</f>
        <v>471</v>
      </c>
      <c r="J30" s="4">
        <f>'QTR CF'!J30</f>
        <v>319</v>
      </c>
      <c r="K30" s="4">
        <f>'QTR CF'!K30</f>
        <v>1508</v>
      </c>
      <c r="L30" s="4">
        <f>'QTR CF'!L30</f>
        <v>2015</v>
      </c>
      <c r="M30" s="4">
        <f>'QTR CF'!M30</f>
        <v>1716</v>
      </c>
      <c r="N30" s="4">
        <f>'QTR CF'!N30</f>
        <v>2066</v>
      </c>
      <c r="O30" s="4">
        <f>'QTR CF'!O30</f>
        <v>2094</v>
      </c>
      <c r="P30" s="4">
        <f>'QTR CF'!P30</f>
        <v>790</v>
      </c>
      <c r="Q30" s="4">
        <f>'QTR CF'!Q30</f>
        <v>1210</v>
      </c>
      <c r="R30" s="4">
        <f>'QTR CF'!R30</f>
        <v>826</v>
      </c>
      <c r="S30" s="4">
        <f>'QTR CF'!S30</f>
        <v>-1648</v>
      </c>
      <c r="T30" s="4">
        <f>'QTR CF'!T30</f>
        <v>3647</v>
      </c>
      <c r="U30" s="4">
        <f>'QTR CF'!U30</f>
        <v>1692</v>
      </c>
      <c r="V30" s="4">
        <f>'QTR CF'!V30</f>
        <v>6246</v>
      </c>
      <c r="W30" s="4">
        <f>('QTR BS'!T28-'QTR BS'!S28)</f>
        <v>-174.90583445731318</v>
      </c>
      <c r="X30" s="4">
        <f>('QTR BS'!U28-'QTR BS'!T28)</f>
        <v>-174.06689160999667</v>
      </c>
      <c r="Y30" s="4">
        <f>('QTR BS'!V28-'QTR BS'!U28)</f>
        <v>-173.23197278568841</v>
      </c>
      <c r="Z30" s="4">
        <f>('QTR BS'!W28-'QTR BS'!V28)</f>
        <v>-172.40105868298997</v>
      </c>
      <c r="AA30" s="4">
        <f>('QTR BS'!X28-'QTR BS'!W28)</f>
        <v>-171.57413009310403</v>
      </c>
      <c r="AB30" s="4">
        <f>('QTR BS'!Y28-'QTR BS'!X28)</f>
        <v>-170.75116789935419</v>
      </c>
      <c r="AC30" s="4">
        <f>('QTR BS'!Z28-'QTR BS'!Y28)</f>
        <v>-169.93215307674836</v>
      </c>
      <c r="AD30" s="4">
        <f>('QTR BS'!AA28-'QTR BS'!Z28)</f>
        <v>-169.11706669159321</v>
      </c>
      <c r="AE30" s="4">
        <f>('QTR BS'!AB28-'QTR BS'!AA28)</f>
        <v>-168.30588990094839</v>
      </c>
      <c r="AF30" s="4">
        <f>('QTR BS'!AC28-'QTR BS'!AB28)</f>
        <v>-167.49860395230644</v>
      </c>
      <c r="AG30" s="4">
        <f>('QTR BS'!AD28-'QTR BS'!AC28)</f>
        <v>-166.69519018308347</v>
      </c>
      <c r="AH30" s="4">
        <f>('QTR BS'!AE28-'QTR BS'!AD28)</f>
        <v>-165.89563002021896</v>
      </c>
      <c r="AI30" s="4">
        <f>('QTR BS'!AF28-'QTR BS'!AE28)</f>
        <v>-165.09990497973195</v>
      </c>
      <c r="AJ30" s="4">
        <f>('QTR BS'!AG28-'QTR BS'!AF28)</f>
        <v>-164.30799666629173</v>
      </c>
      <c r="AK30" s="4">
        <f>('QTR BS'!AH28-'QTR BS'!AG28)</f>
        <v>-163.51988677283953</v>
      </c>
      <c r="AL30" s="4">
        <f>('QTR BS'!AI28-'QTR BS'!AH28)</f>
        <v>-162.73555708007916</v>
      </c>
      <c r="AM30" s="4">
        <f>('QTR BS'!AJ28-'QTR BS'!AI28)</f>
        <v>-161.95498945614236</v>
      </c>
      <c r="AN30" s="4">
        <f>('QTR BS'!AK28-'QTR BS'!AJ28)</f>
        <v>-161.17816585610126</v>
      </c>
      <c r="AO30" s="4">
        <f>('QTR BS'!AL28-'QTR BS'!AK28)</f>
        <v>-160.40506832161191</v>
      </c>
      <c r="AP30" s="4">
        <f>('QTR BS'!AM28-'QTR BS'!AL28)</f>
        <v>-159.63567898042675</v>
      </c>
    </row>
    <row r="31" spans="1:42" x14ac:dyDescent="0.3">
      <c r="A31" s="3" t="s">
        <v>89</v>
      </c>
      <c r="B31" s="4">
        <f>'QTR CF'!B31</f>
        <v>3883</v>
      </c>
      <c r="C31" s="4">
        <f>'QTR CF'!C31</f>
        <v>-5</v>
      </c>
      <c r="D31" s="4">
        <f>'QTR CF'!D31</f>
        <v>7975</v>
      </c>
      <c r="E31" s="4">
        <f>'QTR CF'!E31</f>
        <v>22495</v>
      </c>
      <c r="F31" s="4">
        <f>'QTR CF'!F31</f>
        <v>-30436</v>
      </c>
      <c r="G31" s="4">
        <f>'QTR CF'!G31</f>
        <v>-78</v>
      </c>
      <c r="H31" s="4">
        <f>'QTR CF'!H31</f>
        <v>-17</v>
      </c>
      <c r="I31" s="4">
        <f>'QTR CF'!I31</f>
        <v>-31</v>
      </c>
      <c r="J31" s="4">
        <f>'QTR CF'!J31</f>
        <v>-57</v>
      </c>
      <c r="K31" s="4">
        <f>'QTR CF'!K31</f>
        <v>-15</v>
      </c>
      <c r="L31" s="4">
        <f>'QTR CF'!L31</f>
        <v>-23</v>
      </c>
      <c r="M31" s="4">
        <f>'QTR CF'!M31</f>
        <v>-26</v>
      </c>
      <c r="N31" s="4">
        <f>'QTR CF'!N31</f>
        <v>-38</v>
      </c>
      <c r="O31" s="4">
        <f>'QTR CF'!O31</f>
        <v>-23</v>
      </c>
      <c r="P31" s="4">
        <f>'QTR CF'!P31</f>
        <v>-11</v>
      </c>
      <c r="Q31" s="4">
        <f>'QTR CF'!Q31</f>
        <v>51</v>
      </c>
      <c r="R31" s="4">
        <f>'QTR CF'!R31</f>
        <v>518</v>
      </c>
      <c r="S31" s="4">
        <f>'QTR CF'!S31</f>
        <v>0</v>
      </c>
      <c r="T31" s="4">
        <f>'QTR CF'!T31</f>
        <v>0</v>
      </c>
      <c r="U31" s="4">
        <f>'QTR CF'!U31</f>
        <v>0</v>
      </c>
      <c r="V31" s="4">
        <f>'QTR CF'!V31</f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</row>
    <row r="32" spans="1:42" x14ac:dyDescent="0.3">
      <c r="A32" s="3" t="s">
        <v>90</v>
      </c>
      <c r="B32" s="4">
        <f>'QTR CF'!B32</f>
        <v>0</v>
      </c>
      <c r="C32" s="4">
        <f>'QTR CF'!C32</f>
        <v>0</v>
      </c>
      <c r="D32" s="4">
        <f>'QTR CF'!D32</f>
        <v>0</v>
      </c>
      <c r="E32" s="4">
        <f>'QTR CF'!E32</f>
        <v>0</v>
      </c>
      <c r="F32" s="4">
        <f>'QTR CF'!F32</f>
        <v>0</v>
      </c>
      <c r="G32" s="4">
        <f>'QTR CF'!G32</f>
        <v>0</v>
      </c>
      <c r="H32" s="4">
        <f>'QTR CF'!H32</f>
        <v>0</v>
      </c>
      <c r="I32" s="4">
        <f>'QTR CF'!I32</f>
        <v>154103</v>
      </c>
      <c r="J32" s="4">
        <f>'QTR CF'!J32</f>
        <v>35360</v>
      </c>
      <c r="K32" s="4">
        <f>'QTR CF'!K32</f>
        <v>-4625</v>
      </c>
      <c r="L32" s="4">
        <f>'QTR CF'!L32</f>
        <v>-3594</v>
      </c>
      <c r="M32" s="4">
        <f>'QTR CF'!M32</f>
        <v>-2374</v>
      </c>
      <c r="N32" s="4">
        <f>'QTR CF'!N32</f>
        <v>-2130</v>
      </c>
      <c r="O32" s="4">
        <f>'QTR CF'!O32</f>
        <v>-2378</v>
      </c>
      <c r="P32" s="4">
        <f>'QTR CF'!P32</f>
        <v>-2379</v>
      </c>
      <c r="Q32" s="4">
        <f>'QTR CF'!Q32</f>
        <v>-2378</v>
      </c>
      <c r="R32" s="4">
        <f>'QTR CF'!R32</f>
        <v>-2378</v>
      </c>
      <c r="S32" s="4">
        <f>'QTR CF'!S32</f>
        <v>-2378</v>
      </c>
      <c r="T32" s="4">
        <f>'QTR CF'!T32</f>
        <v>-4942</v>
      </c>
      <c r="U32" s="4">
        <f>'QTR CF'!U32</f>
        <v>240783</v>
      </c>
      <c r="V32" s="4">
        <f>'QTR CF'!V32</f>
        <v>21647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</row>
    <row r="33" spans="1:42" x14ac:dyDescent="0.3">
      <c r="A33" s="3" t="s">
        <v>91</v>
      </c>
      <c r="B33" s="4">
        <f>'QTR CF'!B33</f>
        <v>213764</v>
      </c>
      <c r="C33" s="4">
        <f>'QTR CF'!C33</f>
        <v>0</v>
      </c>
      <c r="D33" s="4">
        <f>'QTR CF'!D33</f>
        <v>0</v>
      </c>
      <c r="E33" s="4">
        <f>'QTR CF'!E33</f>
        <v>532395</v>
      </c>
      <c r="F33" s="4">
        <f>'QTR CF'!F33</f>
        <v>-532395</v>
      </c>
      <c r="G33" s="4">
        <f>'QTR CF'!G33</f>
        <v>0</v>
      </c>
      <c r="H33" s="4">
        <f>'QTR CF'!H33</f>
        <v>488</v>
      </c>
      <c r="I33" s="4">
        <f>'QTR CF'!I33</f>
        <v>-488</v>
      </c>
      <c r="J33" s="4">
        <f>'QTR CF'!J33</f>
        <v>0</v>
      </c>
      <c r="K33" s="4">
        <f>'QTR CF'!K33</f>
        <v>0</v>
      </c>
      <c r="L33" s="4">
        <f>'QTR CF'!L33</f>
        <v>0</v>
      </c>
      <c r="M33" s="4">
        <f>'QTR CF'!M33</f>
        <v>0</v>
      </c>
      <c r="N33" s="4">
        <f>'QTR CF'!N33</f>
        <v>0</v>
      </c>
      <c r="O33" s="4">
        <f>'QTR CF'!O33</f>
        <v>0</v>
      </c>
      <c r="P33" s="4">
        <f>'QTR CF'!P33</f>
        <v>0</v>
      </c>
      <c r="Q33" s="4">
        <f>'QTR CF'!Q33</f>
        <v>0</v>
      </c>
      <c r="R33" s="4">
        <f>'QTR CF'!R33</f>
        <v>0</v>
      </c>
      <c r="S33" s="4">
        <f>'QTR CF'!S33</f>
        <v>148</v>
      </c>
      <c r="T33" s="4">
        <f>'QTR CF'!T33</f>
        <v>-1358</v>
      </c>
      <c r="U33" s="4">
        <f>'QTR CF'!U33</f>
        <v>-576</v>
      </c>
      <c r="V33" s="4">
        <f>'QTR CF'!V33</f>
        <v>4267</v>
      </c>
      <c r="W33" s="4">
        <f>0</f>
        <v>0</v>
      </c>
      <c r="X33" s="4">
        <f>0</f>
        <v>0</v>
      </c>
      <c r="Y33" s="4">
        <f>0</f>
        <v>0</v>
      </c>
      <c r="Z33" s="4">
        <f>0</f>
        <v>0</v>
      </c>
      <c r="AA33" s="4">
        <f>0</f>
        <v>0</v>
      </c>
      <c r="AB33" s="4">
        <f>0</f>
        <v>0</v>
      </c>
      <c r="AC33" s="4">
        <f>0</f>
        <v>0</v>
      </c>
      <c r="AD33" s="4">
        <f>0</f>
        <v>0</v>
      </c>
      <c r="AE33" s="4">
        <f>0</f>
        <v>0</v>
      </c>
      <c r="AF33" s="4">
        <f>0</f>
        <v>0</v>
      </c>
      <c r="AG33" s="4">
        <f>0</f>
        <v>0</v>
      </c>
      <c r="AH33" s="4">
        <f>0</f>
        <v>0</v>
      </c>
      <c r="AI33" s="4">
        <f>0</f>
        <v>0</v>
      </c>
      <c r="AJ33" s="4">
        <f>0</f>
        <v>0</v>
      </c>
      <c r="AK33" s="4">
        <f>0</f>
        <v>0</v>
      </c>
      <c r="AL33" s="4">
        <f>0</f>
        <v>0</v>
      </c>
      <c r="AM33" s="4">
        <f>0</f>
        <v>0</v>
      </c>
      <c r="AN33" s="4">
        <f>0</f>
        <v>0</v>
      </c>
      <c r="AO33" s="4">
        <f>0</f>
        <v>0</v>
      </c>
      <c r="AP33" s="4">
        <f>0</f>
        <v>0</v>
      </c>
    </row>
    <row r="34" spans="1:42" x14ac:dyDescent="0.3">
      <c r="A34" s="3" t="s">
        <v>93</v>
      </c>
      <c r="B34" s="4">
        <f>'QTR CF'!B35</f>
        <v>0</v>
      </c>
      <c r="C34" s="4">
        <f>'QTR CF'!C35</f>
        <v>1876</v>
      </c>
      <c r="D34" s="4">
        <f>'QTR CF'!D35</f>
        <v>1874397</v>
      </c>
      <c r="E34" s="4">
        <f>'QTR CF'!E35</f>
        <v>9451</v>
      </c>
      <c r="F34" s="4">
        <f>'QTR CF'!F35</f>
        <v>-1883838</v>
      </c>
      <c r="G34" s="4">
        <f>'QTR CF'!G35</f>
        <v>0</v>
      </c>
      <c r="H34" s="4">
        <f>'QTR CF'!H35</f>
        <v>2592</v>
      </c>
      <c r="I34" s="4">
        <f>'QTR CF'!I35</f>
        <v>0</v>
      </c>
      <c r="J34" s="4">
        <f>'QTR CF'!J35</f>
        <v>0</v>
      </c>
      <c r="K34" s="4">
        <f>'QTR CF'!K35</f>
        <v>3233</v>
      </c>
      <c r="L34" s="4">
        <f>'QTR CF'!L35</f>
        <v>0</v>
      </c>
      <c r="M34" s="4">
        <f>'QTR CF'!M35</f>
        <v>0</v>
      </c>
      <c r="N34" s="4">
        <f>'QTR CF'!N35</f>
        <v>0</v>
      </c>
      <c r="O34" s="4">
        <f>'QTR CF'!O35</f>
        <v>0</v>
      </c>
      <c r="P34" s="4">
        <f>'QTR CF'!P35</f>
        <v>0</v>
      </c>
      <c r="Q34" s="4">
        <f>'QTR CF'!Q35</f>
        <v>0</v>
      </c>
      <c r="R34" s="4">
        <f>'QTR CF'!R35</f>
        <v>0</v>
      </c>
      <c r="S34" s="4">
        <f>'QTR CF'!S35</f>
        <v>0</v>
      </c>
      <c r="T34" s="4">
        <f>'QTR CF'!T35</f>
        <v>0</v>
      </c>
      <c r="U34" s="4">
        <f>'QTR CF'!U35</f>
        <v>0</v>
      </c>
      <c r="V34" s="4">
        <f>'QTR CF'!V35</f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</row>
    <row r="35" spans="1:42" x14ac:dyDescent="0.3">
      <c r="A35" s="3" t="s">
        <v>197</v>
      </c>
      <c r="B35" s="11">
        <f>IFERROR('QTR CF'!B36/'QTR P&amp;L'!B2,"")</f>
        <v>-2.7387711914843636E-3</v>
      </c>
      <c r="C35" s="11">
        <f>IFERROR('QTR CF'!C36/'QTR P&amp;L'!C2,"")</f>
        <v>-1.3950234835615069E-2</v>
      </c>
      <c r="D35" s="11">
        <f>IFERROR('QTR CF'!D36/'QTR P&amp;L'!D2,"")</f>
        <v>-1.0562935528079463E-2</v>
      </c>
      <c r="E35" s="11">
        <f>IFERROR('QTR CF'!E36/'QTR P&amp;L'!E2,"")</f>
        <v>-1.242506777537665E-2</v>
      </c>
      <c r="F35" s="11">
        <f>IFERROR('QTR CF'!F36/'QTR P&amp;L'!F2,"")</f>
        <v>-1.1407331596496244E-2</v>
      </c>
      <c r="G35" s="11">
        <f>IFERROR('QTR CF'!G36/'QTR P&amp;L'!G2,"")</f>
        <v>-5.5627192850931121E-3</v>
      </c>
      <c r="H35" s="11">
        <f>IFERROR('QTR CF'!H36/'QTR P&amp;L'!H2,"")</f>
        <v>-1.112842487988573E-2</v>
      </c>
      <c r="I35" s="11">
        <f>IFERROR('QTR CF'!I36/'QTR P&amp;L'!I2,"")</f>
        <v>-5.4241574227548986E-3</v>
      </c>
      <c r="J35" s="11">
        <f>IFERROR('QTR CF'!J36/'QTR P&amp;L'!J2,"")</f>
        <v>-2.6898698613202671E-2</v>
      </c>
      <c r="K35" s="11">
        <f>IFERROR('QTR CF'!K36/'QTR P&amp;L'!K2,"")</f>
        <v>-8.6674181250216403E-3</v>
      </c>
      <c r="L35" s="11">
        <f>IFERROR('QTR CF'!L36/'QTR P&amp;L'!L2,"")</f>
        <v>-1.3983546242056197E-2</v>
      </c>
      <c r="M35" s="11">
        <f>IFERROR('QTR CF'!M36/'QTR P&amp;L'!M2,"")</f>
        <v>-1.5274575901153196E-2</v>
      </c>
      <c r="N35" s="11">
        <f>IFERROR('QTR CF'!N36/'QTR P&amp;L'!N2,"")</f>
        <v>-1.3660109085152618E-2</v>
      </c>
      <c r="O35" s="11">
        <f>IFERROR('QTR CF'!O36/'QTR P&amp;L'!O2,"")</f>
        <v>-1.272110832480574E-2</v>
      </c>
      <c r="P35" s="11">
        <f>IFERROR('QTR CF'!P36/'QTR P&amp;L'!P2,"")</f>
        <v>-2.2921709451038243E-2</v>
      </c>
      <c r="Q35" s="11">
        <f>IFERROR('QTR CF'!Q36/'QTR P&amp;L'!Q2,"")</f>
        <v>-1.5970016707557537E-2</v>
      </c>
      <c r="R35" s="11">
        <f>IFERROR('QTR CF'!R36/'QTR P&amp;L'!R2,"")</f>
        <v>-1.6276486542623803E-2</v>
      </c>
      <c r="S35" s="11">
        <f>IFERROR('QTR CF'!S36/'QTR P&amp;L'!S2,"")</f>
        <v>-2.1088691553590302E-2</v>
      </c>
      <c r="T35" s="11">
        <f>IFERROR('QTR CF'!T36/'QTR P&amp;L'!T2,"")</f>
        <v>-1.1159823553044332E-2</v>
      </c>
      <c r="U35" s="11">
        <f>IFERROR('QTR CF'!U36/'QTR P&amp;L'!U2,"")</f>
        <v>-1.4266879601051432E-2</v>
      </c>
      <c r="V35" s="11">
        <f>IFERROR('QTR CF'!V36/'QTR P&amp;L'!V2,"")</f>
        <v>-1.4589234342348135E-2</v>
      </c>
      <c r="W35" s="12">
        <f t="shared" ref="W35:AP35" si="3">V35</f>
        <v>-1.4589234342348135E-2</v>
      </c>
      <c r="X35" s="12">
        <f t="shared" si="3"/>
        <v>-1.4589234342348135E-2</v>
      </c>
      <c r="Y35" s="12">
        <f t="shared" si="3"/>
        <v>-1.4589234342348135E-2</v>
      </c>
      <c r="Z35" s="12">
        <f t="shared" si="3"/>
        <v>-1.4589234342348135E-2</v>
      </c>
      <c r="AA35" s="12">
        <f t="shared" si="3"/>
        <v>-1.4589234342348135E-2</v>
      </c>
      <c r="AB35" s="12">
        <f t="shared" si="3"/>
        <v>-1.4589234342348135E-2</v>
      </c>
      <c r="AC35" s="12">
        <f t="shared" si="3"/>
        <v>-1.4589234342348135E-2</v>
      </c>
      <c r="AD35" s="12">
        <f t="shared" si="3"/>
        <v>-1.4589234342348135E-2</v>
      </c>
      <c r="AE35" s="12">
        <f t="shared" si="3"/>
        <v>-1.4589234342348135E-2</v>
      </c>
      <c r="AF35" s="12">
        <f t="shared" si="3"/>
        <v>-1.4589234342348135E-2</v>
      </c>
      <c r="AG35" s="12">
        <f t="shared" si="3"/>
        <v>-1.4589234342348135E-2</v>
      </c>
      <c r="AH35" s="12">
        <f t="shared" si="3"/>
        <v>-1.4589234342348135E-2</v>
      </c>
      <c r="AI35" s="12">
        <f t="shared" si="3"/>
        <v>-1.4589234342348135E-2</v>
      </c>
      <c r="AJ35" s="12">
        <f t="shared" si="3"/>
        <v>-1.4589234342348135E-2</v>
      </c>
      <c r="AK35" s="12">
        <f t="shared" si="3"/>
        <v>-1.4589234342348135E-2</v>
      </c>
      <c r="AL35" s="12">
        <f t="shared" si="3"/>
        <v>-1.4589234342348135E-2</v>
      </c>
      <c r="AM35" s="12">
        <f t="shared" si="3"/>
        <v>-1.4589234342348135E-2</v>
      </c>
      <c r="AN35" s="12">
        <f t="shared" si="3"/>
        <v>-1.4589234342348135E-2</v>
      </c>
      <c r="AO35" s="12">
        <f t="shared" si="3"/>
        <v>-1.4589234342348135E-2</v>
      </c>
      <c r="AP35" s="12">
        <f t="shared" si="3"/>
        <v>-1.4589234342348135E-2</v>
      </c>
    </row>
    <row r="36" spans="1:42" x14ac:dyDescent="0.3">
      <c r="A36" s="3" t="s">
        <v>95</v>
      </c>
      <c r="B36" s="4">
        <f>'QTR CF'!B37</f>
        <v>0</v>
      </c>
      <c r="C36" s="4">
        <f>'QTR CF'!C37</f>
        <v>0</v>
      </c>
      <c r="D36" s="4">
        <f>'QTR CF'!D37</f>
        <v>0</v>
      </c>
      <c r="E36" s="4">
        <f>'QTR CF'!E37</f>
        <v>0</v>
      </c>
      <c r="F36" s="4">
        <f>'QTR CF'!F37</f>
        <v>0</v>
      </c>
      <c r="G36" s="4">
        <f>'QTR CF'!G37</f>
        <v>0</v>
      </c>
      <c r="H36" s="4">
        <f>'QTR CF'!H37</f>
        <v>0</v>
      </c>
      <c r="I36" s="4">
        <f>'QTR CF'!I37</f>
        <v>0</v>
      </c>
      <c r="J36" s="4">
        <f>'QTR CF'!J37</f>
        <v>0</v>
      </c>
      <c r="K36" s="4">
        <f>'QTR CF'!K37</f>
        <v>0</v>
      </c>
      <c r="L36" s="4">
        <f>'QTR CF'!L37</f>
        <v>0</v>
      </c>
      <c r="M36" s="4">
        <f>'QTR CF'!M37</f>
        <v>0</v>
      </c>
      <c r="N36" s="4">
        <f>'QTR CF'!N37</f>
        <v>0</v>
      </c>
      <c r="O36" s="4">
        <f>'QTR CF'!O37</f>
        <v>0</v>
      </c>
      <c r="P36" s="4">
        <f>'QTR CF'!P37</f>
        <v>0</v>
      </c>
      <c r="Q36" s="4">
        <f>'QTR CF'!Q37</f>
        <v>-3000</v>
      </c>
      <c r="R36" s="4">
        <f>'QTR CF'!R37</f>
        <v>0</v>
      </c>
      <c r="S36" s="4">
        <f>'QTR CF'!S37</f>
        <v>0</v>
      </c>
      <c r="T36" s="4">
        <f>'QTR CF'!T37</f>
        <v>-5000</v>
      </c>
      <c r="U36" s="4">
        <f>'QTR CF'!U37</f>
        <v>0</v>
      </c>
      <c r="V36" s="4">
        <f>'QTR CF'!V37</f>
        <v>-5000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</row>
    <row r="37" spans="1:42" x14ac:dyDescent="0.3">
      <c r="A37" s="3" t="s">
        <v>96</v>
      </c>
      <c r="B37" s="4">
        <f>'QTR CF'!B38</f>
        <v>0</v>
      </c>
      <c r="C37" s="4">
        <f>'QTR CF'!C38</f>
        <v>0</v>
      </c>
      <c r="D37" s="4">
        <f>'QTR CF'!D38</f>
        <v>0</v>
      </c>
      <c r="E37" s="4">
        <f>'QTR CF'!E38</f>
        <v>0</v>
      </c>
      <c r="F37" s="4">
        <f>'QTR CF'!F38</f>
        <v>0</v>
      </c>
      <c r="G37" s="4">
        <f>'QTR CF'!G38</f>
        <v>0</v>
      </c>
      <c r="H37" s="4">
        <f>'QTR CF'!H38</f>
        <v>0</v>
      </c>
      <c r="I37" s="4">
        <f>'QTR CF'!I38</f>
        <v>0</v>
      </c>
      <c r="J37" s="4">
        <f>'QTR CF'!J38</f>
        <v>0</v>
      </c>
      <c r="K37" s="4">
        <f>'QTR CF'!K38</f>
        <v>0</v>
      </c>
      <c r="L37" s="4">
        <f>'QTR CF'!L38</f>
        <v>0</v>
      </c>
      <c r="M37" s="4">
        <f>'QTR CF'!M38</f>
        <v>0</v>
      </c>
      <c r="N37" s="4">
        <f>'QTR CF'!N38</f>
        <v>0</v>
      </c>
      <c r="O37" s="4">
        <f>'QTR CF'!O38</f>
        <v>0</v>
      </c>
      <c r="P37" s="4">
        <f>'QTR CF'!P38</f>
        <v>0</v>
      </c>
      <c r="Q37" s="4">
        <f>'QTR CF'!Q38</f>
        <v>0</v>
      </c>
      <c r="R37" s="4">
        <f>'QTR CF'!R38</f>
        <v>-75336</v>
      </c>
      <c r="S37" s="4">
        <f>'QTR CF'!S38</f>
        <v>0</v>
      </c>
      <c r="T37" s="4">
        <f>'QTR CF'!T38</f>
        <v>0</v>
      </c>
      <c r="U37" s="4">
        <f>'QTR CF'!U38</f>
        <v>0</v>
      </c>
      <c r="V37" s="4">
        <f>'QTR CF'!V38</f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</row>
    <row r="38" spans="1:42" x14ac:dyDescent="0.3">
      <c r="A38" s="3" t="s">
        <v>97</v>
      </c>
      <c r="B38" s="4">
        <f>'QTR CF'!B39</f>
        <v>0</v>
      </c>
      <c r="C38" s="4">
        <f>'QTR CF'!C39</f>
        <v>0</v>
      </c>
      <c r="D38" s="4">
        <f>'QTR CF'!D39</f>
        <v>0</v>
      </c>
      <c r="E38" s="4">
        <f>'QTR CF'!E39</f>
        <v>0</v>
      </c>
      <c r="F38" s="4">
        <f>'QTR CF'!F39</f>
        <v>0</v>
      </c>
      <c r="G38" s="4">
        <f>'QTR CF'!G39</f>
        <v>0</v>
      </c>
      <c r="H38" s="4">
        <f>'QTR CF'!H39</f>
        <v>0</v>
      </c>
      <c r="I38" s="4">
        <f>'QTR CF'!I39</f>
        <v>0</v>
      </c>
      <c r="J38" s="4">
        <f>'QTR CF'!J39</f>
        <v>0</v>
      </c>
      <c r="K38" s="4">
        <f>'QTR CF'!K39</f>
        <v>0</v>
      </c>
      <c r="L38" s="4">
        <f>'QTR CF'!L39</f>
        <v>0</v>
      </c>
      <c r="M38" s="4">
        <f>'QTR CF'!M39</f>
        <v>0</v>
      </c>
      <c r="N38" s="4">
        <f>'QTR CF'!N39</f>
        <v>0</v>
      </c>
      <c r="O38" s="4">
        <f>'QTR CF'!O39</f>
        <v>0</v>
      </c>
      <c r="P38" s="4">
        <f>'QTR CF'!P39</f>
        <v>0</v>
      </c>
      <c r="Q38" s="4">
        <f>'QTR CF'!Q39</f>
        <v>0</v>
      </c>
      <c r="R38" s="4">
        <f>'QTR CF'!R39</f>
        <v>0</v>
      </c>
      <c r="S38" s="4">
        <f>'QTR CF'!S39</f>
        <v>0</v>
      </c>
      <c r="T38" s="4">
        <f>'QTR CF'!T39</f>
        <v>-1256351</v>
      </c>
      <c r="U38" s="4">
        <f>'QTR CF'!U39</f>
        <v>-22418</v>
      </c>
      <c r="V38" s="4">
        <f>'QTR CF'!V39</f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</row>
    <row r="39" spans="1:42" x14ac:dyDescent="0.3">
      <c r="A39" s="3" t="s">
        <v>98</v>
      </c>
      <c r="B39" s="4">
        <f>'QTR CF'!B40</f>
        <v>0</v>
      </c>
      <c r="C39" s="4">
        <f>'QTR CF'!C40</f>
        <v>0</v>
      </c>
      <c r="D39" s="4">
        <f>'QTR CF'!D40</f>
        <v>0</v>
      </c>
      <c r="E39" s="4">
        <f>'QTR CF'!E40</f>
        <v>0</v>
      </c>
      <c r="F39" s="4">
        <f>'QTR CF'!F40</f>
        <v>0</v>
      </c>
      <c r="G39" s="4">
        <f>'QTR CF'!G40</f>
        <v>0</v>
      </c>
      <c r="H39" s="4">
        <f>'QTR CF'!H40</f>
        <v>0</v>
      </c>
      <c r="I39" s="4">
        <f>'QTR CF'!I40</f>
        <v>0</v>
      </c>
      <c r="J39" s="4">
        <f>'QTR CF'!J40</f>
        <v>0</v>
      </c>
      <c r="K39" s="4">
        <f>'QTR CF'!K40</f>
        <v>0</v>
      </c>
      <c r="L39" s="4">
        <f>'QTR CF'!L40</f>
        <v>0</v>
      </c>
      <c r="M39" s="4">
        <f>'QTR CF'!M40</f>
        <v>0</v>
      </c>
      <c r="N39" s="4">
        <f>'QTR CF'!N40</f>
        <v>0</v>
      </c>
      <c r="O39" s="4">
        <f>'QTR CF'!O40</f>
        <v>0</v>
      </c>
      <c r="P39" s="4">
        <f>'QTR CF'!P40</f>
        <v>0</v>
      </c>
      <c r="Q39" s="4">
        <f>'QTR CF'!Q40</f>
        <v>0</v>
      </c>
      <c r="R39" s="4">
        <f>'QTR CF'!R40</f>
        <v>0</v>
      </c>
      <c r="S39" s="4">
        <f>'QTR CF'!S40</f>
        <v>0</v>
      </c>
      <c r="T39" s="4">
        <f>'QTR CF'!T40</f>
        <v>0</v>
      </c>
      <c r="U39" s="4">
        <f>'QTR CF'!U40</f>
        <v>0</v>
      </c>
      <c r="V39" s="4">
        <f>'QTR CF'!V40</f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</row>
    <row r="40" spans="1:42" x14ac:dyDescent="0.3">
      <c r="A40" s="3" t="s">
        <v>100</v>
      </c>
      <c r="B40" s="4">
        <f>'QTR CF'!B42</f>
        <v>-37179</v>
      </c>
      <c r="C40" s="4">
        <f>'QTR CF'!C42</f>
        <v>-25</v>
      </c>
      <c r="D40" s="4">
        <f>'QTR CF'!D42</f>
        <v>-49567</v>
      </c>
      <c r="E40" s="4">
        <f>'QTR CF'!E42</f>
        <v>-22794</v>
      </c>
      <c r="F40" s="4">
        <f>'QTR CF'!F42</f>
        <v>72292</v>
      </c>
      <c r="G40" s="4">
        <f>'QTR CF'!G42</f>
        <v>-20</v>
      </c>
      <c r="H40" s="4">
        <f>'QTR CF'!H42</f>
        <v>-17</v>
      </c>
      <c r="I40" s="4">
        <f>'QTR CF'!I42</f>
        <v>-12</v>
      </c>
      <c r="J40" s="4">
        <f>'QTR CF'!J42</f>
        <v>-14</v>
      </c>
      <c r="K40" s="4">
        <f>'QTR CF'!K42</f>
        <v>-11</v>
      </c>
      <c r="L40" s="4">
        <f>'QTR CF'!L42</f>
        <v>-11</v>
      </c>
      <c r="M40" s="4">
        <f>'QTR CF'!M42</f>
        <v>-11</v>
      </c>
      <c r="N40" s="4">
        <f>'QTR CF'!N42</f>
        <v>-11</v>
      </c>
      <c r="O40" s="4">
        <f>'QTR CF'!O42</f>
        <v>-15</v>
      </c>
      <c r="P40" s="4">
        <f>'QTR CF'!P42</f>
        <v>-15</v>
      </c>
      <c r="Q40" s="4">
        <f>'QTR CF'!Q42</f>
        <v>-16</v>
      </c>
      <c r="R40" s="4">
        <f>'QTR CF'!R42</f>
        <v>-15</v>
      </c>
      <c r="S40" s="4">
        <f>'QTR CF'!S42</f>
        <v>0</v>
      </c>
      <c r="T40" s="4">
        <f>'QTR CF'!T42</f>
        <v>0</v>
      </c>
      <c r="U40" s="4">
        <f>'QTR CF'!U42</f>
        <v>0</v>
      </c>
      <c r="V40" s="4">
        <f>'QTR CF'!V42</f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</row>
    <row r="41" spans="1:42" x14ac:dyDescent="0.3">
      <c r="A41" s="3" t="s">
        <v>102</v>
      </c>
      <c r="B41" s="4">
        <f>'QTR CF'!B43</f>
        <v>21983116</v>
      </c>
      <c r="C41" s="4">
        <f>'QTR CF'!C43</f>
        <v>0</v>
      </c>
      <c r="D41" s="4">
        <f>'QTR CF'!D43</f>
        <v>67769386</v>
      </c>
      <c r="E41" s="4">
        <f>'QTR CF'!E43</f>
        <v>0</v>
      </c>
      <c r="F41" s="4">
        <f>'QTR CF'!F43</f>
        <v>-67701617</v>
      </c>
      <c r="G41" s="4">
        <f>'QTR CF'!G43</f>
        <v>0</v>
      </c>
      <c r="H41" s="4">
        <f>'QTR CF'!H43</f>
        <v>0</v>
      </c>
      <c r="I41" s="4">
        <f>'QTR CF'!I43</f>
        <v>0</v>
      </c>
      <c r="J41" s="4">
        <f>'QTR CF'!J43</f>
        <v>0</v>
      </c>
      <c r="K41" s="4">
        <f>'QTR CF'!K43</f>
        <v>0</v>
      </c>
      <c r="L41" s="4">
        <f>'QTR CF'!L43</f>
        <v>0</v>
      </c>
      <c r="M41" s="4">
        <f>'QTR CF'!M43</f>
        <v>0</v>
      </c>
      <c r="N41" s="4">
        <f>'QTR CF'!N43</f>
        <v>0</v>
      </c>
      <c r="O41" s="4">
        <f>'QTR CF'!O43</f>
        <v>0</v>
      </c>
      <c r="P41" s="4">
        <f>'QTR CF'!P43</f>
        <v>0</v>
      </c>
      <c r="Q41" s="4">
        <f>'QTR CF'!Q43</f>
        <v>0</v>
      </c>
      <c r="R41" s="4">
        <f>'QTR CF'!R43</f>
        <v>0</v>
      </c>
      <c r="S41" s="4">
        <f>'QTR CF'!S43</f>
        <v>0</v>
      </c>
      <c r="T41" s="4">
        <f>'QTR CF'!T43</f>
        <v>0</v>
      </c>
      <c r="U41" s="4">
        <f>'QTR CF'!U43</f>
        <v>0</v>
      </c>
      <c r="V41" s="4">
        <f>'QTR CF'!V43</f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</row>
    <row r="42" spans="1:42" x14ac:dyDescent="0.3">
      <c r="A42" s="3" t="s">
        <v>101</v>
      </c>
      <c r="B42" s="4">
        <f>'QTR CF'!B44</f>
        <v>1591679</v>
      </c>
      <c r="C42" s="4">
        <f>'QTR CF'!C44</f>
        <v>716</v>
      </c>
      <c r="D42" s="4">
        <f>'QTR CF'!D44</f>
        <v>2514301</v>
      </c>
      <c r="E42" s="4">
        <f>'QTR CF'!E44</f>
        <v>727056</v>
      </c>
      <c r="F42" s="4">
        <f>'QTR CF'!F44</f>
        <v>-3238353</v>
      </c>
      <c r="G42" s="4">
        <f>'QTR CF'!G44</f>
        <v>810</v>
      </c>
      <c r="H42" s="4">
        <f>'QTR CF'!H44</f>
        <v>450</v>
      </c>
      <c r="I42" s="4">
        <f>'QTR CF'!I44</f>
        <v>1844</v>
      </c>
      <c r="J42" s="4">
        <f>'QTR CF'!J44</f>
        <v>579</v>
      </c>
      <c r="K42" s="4">
        <f>'QTR CF'!K44</f>
        <v>478</v>
      </c>
      <c r="L42" s="4">
        <f>'QTR CF'!L44</f>
        <v>229</v>
      </c>
      <c r="M42" s="4">
        <f>'QTR CF'!M44</f>
        <v>896</v>
      </c>
      <c r="N42" s="4">
        <f>'QTR CF'!N44</f>
        <v>682</v>
      </c>
      <c r="O42" s="4">
        <f>'QTR CF'!O44</f>
        <v>967</v>
      </c>
      <c r="P42" s="4">
        <f>'QTR CF'!P44</f>
        <v>180</v>
      </c>
      <c r="Q42" s="4">
        <f>'QTR CF'!Q44</f>
        <v>2685</v>
      </c>
      <c r="R42" s="4">
        <f>'QTR CF'!R44</f>
        <v>24</v>
      </c>
      <c r="S42" s="4">
        <f>'QTR CF'!S44</f>
        <v>0</v>
      </c>
      <c r="T42" s="4">
        <f>'QTR CF'!T44</f>
        <v>0</v>
      </c>
      <c r="U42" s="4">
        <f>'QTR CF'!U44</f>
        <v>0</v>
      </c>
      <c r="V42" s="4">
        <f>'QTR CF'!V44</f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</row>
    <row r="43" spans="1:42" x14ac:dyDescent="0.3">
      <c r="A43" s="3" t="s">
        <v>103</v>
      </c>
      <c r="B43" s="4">
        <f>'QTR CF'!B45</f>
        <v>0</v>
      </c>
      <c r="C43" s="4">
        <f>'QTR CF'!C45</f>
        <v>0</v>
      </c>
      <c r="D43" s="4">
        <f>'QTR CF'!D45</f>
        <v>0</v>
      </c>
      <c r="E43" s="4">
        <f>'QTR CF'!E45</f>
        <v>0</v>
      </c>
      <c r="F43" s="4">
        <f>'QTR CF'!F45</f>
        <v>0</v>
      </c>
      <c r="G43" s="4">
        <f>'QTR CF'!G45</f>
        <v>0</v>
      </c>
      <c r="H43" s="4">
        <f>'QTR CF'!H45</f>
        <v>0</v>
      </c>
      <c r="I43" s="4">
        <f>'QTR CF'!I45</f>
        <v>542018</v>
      </c>
      <c r="J43" s="4">
        <f>'QTR CF'!J45</f>
        <v>0</v>
      </c>
      <c r="K43" s="4">
        <f>'QTR CF'!K45</f>
        <v>0</v>
      </c>
      <c r="L43" s="4">
        <f>'QTR CF'!L45</f>
        <v>0</v>
      </c>
      <c r="M43" s="4">
        <f>'QTR CF'!M45</f>
        <v>0</v>
      </c>
      <c r="N43" s="4">
        <f>'QTR CF'!N45</f>
        <v>0</v>
      </c>
      <c r="O43" s="4">
        <f>'QTR CF'!O45</f>
        <v>0</v>
      </c>
      <c r="P43" s="4">
        <f>'QTR CF'!P45</f>
        <v>0</v>
      </c>
      <c r="Q43" s="4">
        <f>'QTR CF'!Q45</f>
        <v>0</v>
      </c>
      <c r="R43" s="4">
        <f>'QTR CF'!R45</f>
        <v>0</v>
      </c>
      <c r="S43" s="4">
        <f>'QTR CF'!S45</f>
        <v>0</v>
      </c>
      <c r="T43" s="4">
        <f>'QTR CF'!T45</f>
        <v>0</v>
      </c>
      <c r="U43" s="4">
        <f>'QTR CF'!U45</f>
        <v>0</v>
      </c>
      <c r="V43" s="4">
        <f>'QTR CF'!V45</f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</row>
    <row r="44" spans="1:42" x14ac:dyDescent="0.3">
      <c r="A44" s="3" t="s">
        <v>28</v>
      </c>
      <c r="B44" s="4">
        <f>'QTR CF'!B46</f>
        <v>0</v>
      </c>
      <c r="C44" s="4">
        <f>'QTR CF'!C46</f>
        <v>0</v>
      </c>
      <c r="D44" s="4">
        <f>'QTR CF'!D46</f>
        <v>0</v>
      </c>
      <c r="E44" s="4">
        <f>'QTR CF'!E46</f>
        <v>0</v>
      </c>
      <c r="F44" s="4">
        <f>'QTR CF'!F46</f>
        <v>0</v>
      </c>
      <c r="G44" s="4">
        <f>'QTR CF'!G46</f>
        <v>0</v>
      </c>
      <c r="H44" s="4">
        <f>'QTR CF'!H46</f>
        <v>0</v>
      </c>
      <c r="I44" s="4">
        <f>'QTR CF'!I46</f>
        <v>-4596</v>
      </c>
      <c r="J44" s="4">
        <f>'QTR CF'!J46</f>
        <v>-6930</v>
      </c>
      <c r="K44" s="4">
        <f>'QTR CF'!K46</f>
        <v>-6781</v>
      </c>
      <c r="L44" s="4">
        <f>'QTR CF'!L46</f>
        <v>-6856</v>
      </c>
      <c r="M44" s="4">
        <f>'QTR CF'!M46</f>
        <v>-6875</v>
      </c>
      <c r="N44" s="4">
        <f>'QTR CF'!N46</f>
        <v>-6950</v>
      </c>
      <c r="O44" s="4">
        <f>'QTR CF'!O46</f>
        <v>-6837</v>
      </c>
      <c r="P44" s="4">
        <f>'QTR CF'!P46</f>
        <v>-6838</v>
      </c>
      <c r="Q44" s="4">
        <f>'QTR CF'!Q46</f>
        <v>-6913</v>
      </c>
      <c r="R44" s="4">
        <f>'QTR CF'!R46</f>
        <v>-6912</v>
      </c>
      <c r="S44" s="4">
        <f>'QTR CF'!S46</f>
        <v>-6781</v>
      </c>
      <c r="T44" s="4">
        <f>'QTR CF'!T46</f>
        <v>-6851</v>
      </c>
      <c r="U44" s="4">
        <f>'QTR CF'!U46</f>
        <v>-9669</v>
      </c>
      <c r="V44" s="4">
        <f>'QTR CF'!V46</f>
        <v>-14307</v>
      </c>
      <c r="W44" s="13">
        <f t="shared" ref="W44:AP44" si="4">V44</f>
        <v>-14307</v>
      </c>
      <c r="X44" s="13">
        <f t="shared" si="4"/>
        <v>-14307</v>
      </c>
      <c r="Y44" s="13">
        <f t="shared" si="4"/>
        <v>-14307</v>
      </c>
      <c r="Z44" s="13">
        <f t="shared" si="4"/>
        <v>-14307</v>
      </c>
      <c r="AA44" s="13">
        <f t="shared" si="4"/>
        <v>-14307</v>
      </c>
      <c r="AB44" s="13">
        <f t="shared" si="4"/>
        <v>-14307</v>
      </c>
      <c r="AC44" s="13">
        <f t="shared" si="4"/>
        <v>-14307</v>
      </c>
      <c r="AD44" s="13">
        <f t="shared" si="4"/>
        <v>-14307</v>
      </c>
      <c r="AE44" s="13">
        <f t="shared" si="4"/>
        <v>-14307</v>
      </c>
      <c r="AF44" s="13">
        <f t="shared" si="4"/>
        <v>-14307</v>
      </c>
      <c r="AG44" s="13">
        <f t="shared" si="4"/>
        <v>-14307</v>
      </c>
      <c r="AH44" s="13">
        <f t="shared" si="4"/>
        <v>-14307</v>
      </c>
      <c r="AI44" s="13">
        <f t="shared" si="4"/>
        <v>-14307</v>
      </c>
      <c r="AJ44" s="13">
        <f t="shared" si="4"/>
        <v>-14307</v>
      </c>
      <c r="AK44" s="13">
        <f t="shared" si="4"/>
        <v>-14307</v>
      </c>
      <c r="AL44" s="13">
        <f t="shared" si="4"/>
        <v>-14307</v>
      </c>
      <c r="AM44" s="13">
        <f t="shared" si="4"/>
        <v>-14307</v>
      </c>
      <c r="AN44" s="13">
        <f t="shared" si="4"/>
        <v>-14307</v>
      </c>
      <c r="AO44" s="13">
        <f t="shared" si="4"/>
        <v>-14307</v>
      </c>
      <c r="AP44" s="13">
        <f t="shared" si="4"/>
        <v>-14307</v>
      </c>
    </row>
    <row r="45" spans="1:42" x14ac:dyDescent="0.3">
      <c r="A45" s="3" t="s">
        <v>104</v>
      </c>
      <c r="B45" s="4">
        <f>'QTR CF'!B47</f>
        <v>0</v>
      </c>
      <c r="C45" s="4">
        <f>'QTR CF'!C47</f>
        <v>0</v>
      </c>
      <c r="D45" s="4">
        <f>'QTR CF'!D47</f>
        <v>0</v>
      </c>
      <c r="E45" s="4">
        <f>'QTR CF'!E47</f>
        <v>0</v>
      </c>
      <c r="F45" s="4">
        <f>'QTR CF'!F47</f>
        <v>0</v>
      </c>
      <c r="G45" s="4">
        <f>'QTR CF'!G47</f>
        <v>0</v>
      </c>
      <c r="H45" s="4">
        <f>'QTR CF'!H47</f>
        <v>0</v>
      </c>
      <c r="I45" s="4">
        <f>'QTR CF'!I47</f>
        <v>0</v>
      </c>
      <c r="J45" s="4">
        <f>'QTR CF'!J47</f>
        <v>0</v>
      </c>
      <c r="K45" s="4">
        <f>'QTR CF'!K47</f>
        <v>0</v>
      </c>
      <c r="L45" s="4">
        <f>'QTR CF'!L47</f>
        <v>0</v>
      </c>
      <c r="M45" s="4">
        <f>'QTR CF'!M47</f>
        <v>0</v>
      </c>
      <c r="N45" s="4">
        <f>'QTR CF'!N47</f>
        <v>0</v>
      </c>
      <c r="O45" s="4">
        <f>'QTR CF'!O47</f>
        <v>0</v>
      </c>
      <c r="P45" s="4">
        <f>'QTR CF'!P47</f>
        <v>0</v>
      </c>
      <c r="Q45" s="4">
        <f>'QTR CF'!Q47</f>
        <v>-1658</v>
      </c>
      <c r="R45" s="4">
        <f>'QTR CF'!R47</f>
        <v>-603</v>
      </c>
      <c r="S45" s="4">
        <f>'QTR CF'!S47</f>
        <v>-1932</v>
      </c>
      <c r="T45" s="4">
        <f>'QTR CF'!T47</f>
        <v>-879</v>
      </c>
      <c r="U45" s="4">
        <f>'QTR CF'!U47</f>
        <v>-448</v>
      </c>
      <c r="V45" s="4">
        <f>'QTR CF'!V47</f>
        <v>-42245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</row>
    <row r="46" spans="1:42" x14ac:dyDescent="0.3">
      <c r="A46" s="3" t="s">
        <v>105</v>
      </c>
      <c r="B46" s="4">
        <f>'QTR CF'!B48</f>
        <v>0</v>
      </c>
      <c r="C46" s="4">
        <f>'QTR CF'!C48</f>
        <v>0</v>
      </c>
      <c r="D46" s="4">
        <f>'QTR CF'!D48</f>
        <v>0</v>
      </c>
      <c r="E46" s="4">
        <f>'QTR CF'!E48</f>
        <v>0</v>
      </c>
      <c r="F46" s="4">
        <f>'QTR CF'!F48</f>
        <v>0</v>
      </c>
      <c r="G46" s="4">
        <f>'QTR CF'!G48</f>
        <v>0</v>
      </c>
      <c r="H46" s="4">
        <f>'QTR CF'!H48</f>
        <v>0</v>
      </c>
      <c r="I46" s="4">
        <f>'QTR CF'!I48</f>
        <v>0</v>
      </c>
      <c r="J46" s="4">
        <f>'QTR CF'!J48</f>
        <v>0</v>
      </c>
      <c r="K46" s="4">
        <f>'QTR CF'!K48</f>
        <v>0</v>
      </c>
      <c r="L46" s="4">
        <f>'QTR CF'!L48</f>
        <v>0</v>
      </c>
      <c r="M46" s="4">
        <f>'QTR CF'!M48</f>
        <v>0</v>
      </c>
      <c r="N46" s="4">
        <f>'QTR CF'!N48</f>
        <v>0</v>
      </c>
      <c r="O46" s="4">
        <f>'QTR CF'!O48</f>
        <v>0</v>
      </c>
      <c r="P46" s="4">
        <f>'QTR CF'!P48</f>
        <v>0</v>
      </c>
      <c r="Q46" s="4">
        <f>'QTR CF'!Q48</f>
        <v>0</v>
      </c>
      <c r="R46" s="4">
        <f>'QTR CF'!R48</f>
        <v>0</v>
      </c>
      <c r="S46" s="4">
        <f>'QTR CF'!S48</f>
        <v>0</v>
      </c>
      <c r="T46" s="4">
        <f>'QTR CF'!T48</f>
        <v>900000</v>
      </c>
      <c r="U46" s="4">
        <f>'QTR CF'!U48</f>
        <v>0</v>
      </c>
      <c r="V46" s="4">
        <f>'QTR CF'!V48</f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</row>
    <row r="47" spans="1:42" x14ac:dyDescent="0.3">
      <c r="A47" s="3" t="s">
        <v>106</v>
      </c>
      <c r="B47" s="4">
        <f>'QTR CF'!B49</f>
        <v>0</v>
      </c>
      <c r="C47" s="4">
        <f>'QTR CF'!C49</f>
        <v>0</v>
      </c>
      <c r="D47" s="4">
        <f>'QTR CF'!D49</f>
        <v>0</v>
      </c>
      <c r="E47" s="4">
        <f>'QTR CF'!E49</f>
        <v>0</v>
      </c>
      <c r="F47" s="4">
        <f>'QTR CF'!F49</f>
        <v>0</v>
      </c>
      <c r="G47" s="4">
        <f>'QTR CF'!G49</f>
        <v>0</v>
      </c>
      <c r="H47" s="4">
        <f>'QTR CF'!H49</f>
        <v>0</v>
      </c>
      <c r="I47" s="4">
        <f>'QTR CF'!I49</f>
        <v>0</v>
      </c>
      <c r="J47" s="4">
        <f>'QTR CF'!J49</f>
        <v>0</v>
      </c>
      <c r="K47" s="4">
        <f>'QTR CF'!K49</f>
        <v>0</v>
      </c>
      <c r="L47" s="4">
        <f>'QTR CF'!L49</f>
        <v>0</v>
      </c>
      <c r="M47" s="4">
        <f>'QTR CF'!M49</f>
        <v>0</v>
      </c>
      <c r="N47" s="4">
        <f>'QTR CF'!N49</f>
        <v>0</v>
      </c>
      <c r="O47" s="4">
        <f>'QTR CF'!O49</f>
        <v>0</v>
      </c>
      <c r="P47" s="4">
        <f>'QTR CF'!P49</f>
        <v>0</v>
      </c>
      <c r="Q47" s="4">
        <f>'QTR CF'!Q49</f>
        <v>0</v>
      </c>
      <c r="R47" s="4">
        <f>'QTR CF'!R49</f>
        <v>0</v>
      </c>
      <c r="S47" s="4">
        <f>'QTR CF'!S49</f>
        <v>0</v>
      </c>
      <c r="T47" s="4">
        <f>'QTR CF'!T49</f>
        <v>0</v>
      </c>
      <c r="U47" s="4">
        <f>'QTR CF'!U49</f>
        <v>-2250</v>
      </c>
      <c r="V47" s="4">
        <f>'QTR CF'!V49</f>
        <v>-199500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</row>
    <row r="48" spans="1:42" x14ac:dyDescent="0.3">
      <c r="A48" s="3" t="s">
        <v>107</v>
      </c>
      <c r="B48" s="4">
        <f>'QTR CF'!B50</f>
        <v>0</v>
      </c>
      <c r="C48" s="4">
        <f>'QTR CF'!C50</f>
        <v>0</v>
      </c>
      <c r="D48" s="4">
        <f>'QTR CF'!D50</f>
        <v>0</v>
      </c>
      <c r="E48" s="4">
        <f>'QTR CF'!E50</f>
        <v>0</v>
      </c>
      <c r="F48" s="4">
        <f>'QTR CF'!F50</f>
        <v>0</v>
      </c>
      <c r="G48" s="4">
        <f>'QTR CF'!G50</f>
        <v>0</v>
      </c>
      <c r="H48" s="4">
        <f>'QTR CF'!H50</f>
        <v>0</v>
      </c>
      <c r="I48" s="4">
        <f>'QTR CF'!I50</f>
        <v>0</v>
      </c>
      <c r="J48" s="4">
        <f>'QTR CF'!J50</f>
        <v>0</v>
      </c>
      <c r="K48" s="4">
        <f>'QTR CF'!K50</f>
        <v>0</v>
      </c>
      <c r="L48" s="4">
        <f>'QTR CF'!L50</f>
        <v>0</v>
      </c>
      <c r="M48" s="4">
        <f>'QTR CF'!M50</f>
        <v>0</v>
      </c>
      <c r="N48" s="4">
        <f>'QTR CF'!N50</f>
        <v>0</v>
      </c>
      <c r="O48" s="4">
        <f>'QTR CF'!O50</f>
        <v>0</v>
      </c>
      <c r="P48" s="4">
        <f>'QTR CF'!P50</f>
        <v>0</v>
      </c>
      <c r="Q48" s="4">
        <f>'QTR CF'!Q50</f>
        <v>0</v>
      </c>
      <c r="R48" s="4">
        <f>'QTR CF'!R50</f>
        <v>0</v>
      </c>
      <c r="S48" s="4">
        <f>'QTR CF'!S50</f>
        <v>-2195</v>
      </c>
      <c r="T48" s="4">
        <f>'QTR CF'!T50</f>
        <v>-29386</v>
      </c>
      <c r="U48" s="4">
        <f>'QTR CF'!U50</f>
        <v>0</v>
      </c>
      <c r="V48" s="4">
        <f>'QTR CF'!V50</f>
        <v>-786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</row>
    <row r="49" spans="1:42" x14ac:dyDescent="0.3">
      <c r="A49" s="3" t="s">
        <v>108</v>
      </c>
      <c r="B49" s="4">
        <f>'QTR CF'!B51</f>
        <v>0</v>
      </c>
      <c r="C49" s="4">
        <f>'QTR CF'!C51</f>
        <v>0</v>
      </c>
      <c r="D49" s="4">
        <f>'QTR CF'!D51</f>
        <v>0</v>
      </c>
      <c r="E49" s="4">
        <f>'QTR CF'!E51</f>
        <v>0</v>
      </c>
      <c r="F49" s="4">
        <f>'QTR CF'!F51</f>
        <v>0</v>
      </c>
      <c r="G49" s="4">
        <f>'QTR CF'!G51</f>
        <v>0</v>
      </c>
      <c r="H49" s="4">
        <f>'QTR CF'!H51</f>
        <v>0</v>
      </c>
      <c r="I49" s="4">
        <f>'QTR CF'!I51</f>
        <v>0</v>
      </c>
      <c r="J49" s="4">
        <f>'QTR CF'!J51</f>
        <v>0</v>
      </c>
      <c r="K49" s="4">
        <f>'QTR CF'!K51</f>
        <v>0</v>
      </c>
      <c r="L49" s="4">
        <f>'QTR CF'!L51</f>
        <v>0</v>
      </c>
      <c r="M49" s="4">
        <f>'QTR CF'!M51</f>
        <v>0</v>
      </c>
      <c r="N49" s="4">
        <f>'QTR CF'!N51</f>
        <v>0</v>
      </c>
      <c r="O49" s="4">
        <f>'QTR CF'!O51</f>
        <v>0</v>
      </c>
      <c r="P49" s="4">
        <f>'QTR CF'!P51</f>
        <v>0</v>
      </c>
      <c r="Q49" s="4">
        <f>'QTR CF'!Q51</f>
        <v>0</v>
      </c>
      <c r="R49" s="4">
        <f>'QTR CF'!R51</f>
        <v>0</v>
      </c>
      <c r="S49" s="4">
        <f>'QTR CF'!S51</f>
        <v>321</v>
      </c>
      <c r="T49" s="4">
        <f>'QTR CF'!T51</f>
        <v>-2</v>
      </c>
      <c r="U49" s="4">
        <f>'QTR CF'!U51</f>
        <v>-18</v>
      </c>
      <c r="V49" s="4">
        <f>'QTR CF'!V51</f>
        <v>-308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</row>
    <row r="50" spans="1:42" x14ac:dyDescent="0.3">
      <c r="A50" s="3" t="s">
        <v>110</v>
      </c>
      <c r="B50" s="4">
        <f>'QTR CF'!B53</f>
        <v>520973</v>
      </c>
      <c r="C50" s="4">
        <f>'QTR CF'!C53</f>
        <v>-165</v>
      </c>
      <c r="D50" s="4">
        <f>'QTR CF'!D53</f>
        <v>-23445</v>
      </c>
      <c r="E50" s="4">
        <f>'QTR CF'!E53</f>
        <v>-212755</v>
      </c>
      <c r="F50" s="4">
        <f>'QTR CF'!F53</f>
        <v>235827</v>
      </c>
      <c r="G50" s="4">
        <f>'QTR CF'!G53</f>
        <v>104</v>
      </c>
      <c r="H50" s="4">
        <f>'QTR CF'!H53</f>
        <v>17</v>
      </c>
      <c r="I50" s="4">
        <f>'QTR CF'!I53</f>
        <v>37</v>
      </c>
      <c r="J50" s="4">
        <f>'QTR CF'!J53</f>
        <v>-108</v>
      </c>
      <c r="K50" s="4">
        <f>'QTR CF'!K53</f>
        <v>-181</v>
      </c>
      <c r="L50" s="4">
        <f>'QTR CF'!L53</f>
        <v>-374</v>
      </c>
      <c r="M50" s="4">
        <f>'QTR CF'!M53</f>
        <v>0</v>
      </c>
      <c r="N50" s="4">
        <f>'QTR CF'!N53</f>
        <v>1812</v>
      </c>
      <c r="O50" s="4">
        <f>'QTR CF'!O53</f>
        <v>-722</v>
      </c>
      <c r="P50" s="4">
        <f>'QTR CF'!P53</f>
        <v>-44</v>
      </c>
      <c r="Q50" s="4">
        <f>'QTR CF'!Q53</f>
        <v>750</v>
      </c>
      <c r="R50" s="4">
        <f>'QTR CF'!R53</f>
        <v>-981</v>
      </c>
      <c r="S50" s="4">
        <f>'QTR CF'!S53</f>
        <v>1259</v>
      </c>
      <c r="T50" s="4">
        <f>'QTR CF'!T53</f>
        <v>955</v>
      </c>
      <c r="U50" s="4">
        <f>'QTR CF'!U53</f>
        <v>-40</v>
      </c>
      <c r="V50" s="4">
        <f>'QTR CF'!V53</f>
        <v>1097</v>
      </c>
      <c r="W50" s="13">
        <f t="shared" ref="W50:AP50" si="5">V50</f>
        <v>1097</v>
      </c>
      <c r="X50" s="13">
        <f t="shared" si="5"/>
        <v>1097</v>
      </c>
      <c r="Y50" s="13">
        <f t="shared" si="5"/>
        <v>1097</v>
      </c>
      <c r="Z50" s="13">
        <f t="shared" si="5"/>
        <v>1097</v>
      </c>
      <c r="AA50" s="13">
        <f t="shared" si="5"/>
        <v>1097</v>
      </c>
      <c r="AB50" s="13">
        <f t="shared" si="5"/>
        <v>1097</v>
      </c>
      <c r="AC50" s="13">
        <f t="shared" si="5"/>
        <v>1097</v>
      </c>
      <c r="AD50" s="13">
        <f t="shared" si="5"/>
        <v>1097</v>
      </c>
      <c r="AE50" s="13">
        <f t="shared" si="5"/>
        <v>1097</v>
      </c>
      <c r="AF50" s="13">
        <f t="shared" si="5"/>
        <v>1097</v>
      </c>
      <c r="AG50" s="13">
        <f t="shared" si="5"/>
        <v>1097</v>
      </c>
      <c r="AH50" s="13">
        <f t="shared" si="5"/>
        <v>1097</v>
      </c>
      <c r="AI50" s="13">
        <f t="shared" si="5"/>
        <v>1097</v>
      </c>
      <c r="AJ50" s="13">
        <f t="shared" si="5"/>
        <v>1097</v>
      </c>
      <c r="AK50" s="13">
        <f t="shared" si="5"/>
        <v>1097</v>
      </c>
      <c r="AL50" s="13">
        <f t="shared" si="5"/>
        <v>1097</v>
      </c>
      <c r="AM50" s="13">
        <f t="shared" si="5"/>
        <v>1097</v>
      </c>
      <c r="AN50" s="13">
        <f t="shared" si="5"/>
        <v>1097</v>
      </c>
      <c r="AO50" s="13">
        <f t="shared" si="5"/>
        <v>1097</v>
      </c>
      <c r="AP50" s="13">
        <f t="shared" si="5"/>
        <v>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ASSUMPTIONS</vt:lpstr>
      <vt:lpstr>ANNL P&amp;L</vt:lpstr>
      <vt:lpstr>BALANCE SHEET</vt:lpstr>
      <vt:lpstr>CASH FLOW</vt:lpstr>
      <vt:lpstr>YTD P&amp;L</vt:lpstr>
      <vt:lpstr>YTD BS</vt:lpstr>
      <vt:lpstr>YTD CF</vt:lpstr>
      <vt:lpstr>QTR P&amp;L</vt:lpstr>
      <vt:lpstr>QTR BS</vt:lpstr>
      <vt:lpstr>QTR CF</vt:lpstr>
      <vt:lpstr>IS DRIVERS</vt:lpstr>
      <vt:lpstr>BS DRIVERS</vt:lpstr>
      <vt:lpstr>CF 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Rodino</cp:lastModifiedBy>
  <dcterms:created xsi:type="dcterms:W3CDTF">2026-05-11T17:25:55Z</dcterms:created>
  <dcterms:modified xsi:type="dcterms:W3CDTF">2026-05-17T14:40:36Z</dcterms:modified>
</cp:coreProperties>
</file>