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YTD P&amp;L" sheetId="4" state="hidden" r:id="rId4"/>
    <sheet xmlns:r="http://schemas.openxmlformats.org/officeDocument/2006/relationships" name="YTD BS" sheetId="5" state="hidden" r:id="rId5"/>
    <sheet xmlns:r="http://schemas.openxmlformats.org/officeDocument/2006/relationships" name="YTD CF" sheetId="6" state="hidden" r:id="rId6"/>
    <sheet xmlns:r="http://schemas.openxmlformats.org/officeDocument/2006/relationships" name="QTR P&amp;L" sheetId="7" state="visible" r:id="rId7"/>
    <sheet xmlns:r="http://schemas.openxmlformats.org/officeDocument/2006/relationships" name="QTR BS" sheetId="8" state="visible" r:id="rId8"/>
    <sheet xmlns:r="http://schemas.openxmlformats.org/officeDocument/2006/relationships" name="QTR C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FY2026E</t>
        </is>
      </c>
      <c r="J1" s="2" t="inlineStr">
        <is>
          <t>FY2027E</t>
        </is>
      </c>
      <c r="K1" s="2" t="inlineStr">
        <is>
          <t>FY2028E</t>
        </is>
      </c>
      <c r="L1" s="2" t="inlineStr">
        <is>
          <t>FY2029E</t>
        </is>
      </c>
      <c r="M1" s="2" t="inlineStr">
        <is>
          <t>FY2030E</t>
        </is>
      </c>
      <c r="N1" s="2" t="inlineStr">
        <is>
          <t>FY2031E</t>
        </is>
      </c>
    </row>
    <row r="2">
      <c r="A2" s="3" t="inlineStr">
        <is>
          <t>Net Sales / Revenue</t>
        </is>
      </c>
      <c r="B2" s="4" t="n">
        <v>75146.546</v>
      </c>
      <c r="C2" s="4" t="n">
        <v>130725.777</v>
      </c>
      <c r="D2" s="4" t="n">
        <v>314271.559</v>
      </c>
      <c r="E2" s="4" t="n">
        <v>653604</v>
      </c>
      <c r="F2" s="4" t="n">
        <v>1318014</v>
      </c>
      <c r="G2" s="4" t="n">
        <v>1355630</v>
      </c>
      <c r="H2" s="4" t="n">
        <v>2515269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COGS</t>
        </is>
      </c>
      <c r="B3" s="4" t="n">
        <v>-43844.733</v>
      </c>
      <c r="C3" s="4" t="n">
        <v>-69752.03200000001</v>
      </c>
      <c r="D3" s="4" t="n">
        <v>-186103.035</v>
      </c>
      <c r="E3" s="4" t="n">
        <v>-382735</v>
      </c>
      <c r="F3" s="4" t="n">
        <v>-684875</v>
      </c>
      <c r="G3" s="4" t="n">
        <v>-675423</v>
      </c>
      <c r="H3" s="4" t="n">
        <v>-1247936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  <c r="M4" s="7">
        <f>M2+M3</f>
        <v/>
      </c>
      <c r="N4" s="7">
        <f>N2+N3</f>
        <v/>
      </c>
    </row>
    <row r="5">
      <c r="A5" s="3" t="inlineStr">
        <is>
          <t>Sales and Marketing</t>
        </is>
      </c>
      <c r="B5" s="4" t="n">
        <v>-21129.722</v>
      </c>
      <c r="C5" s="4" t="n">
        <v>-34875.339</v>
      </c>
      <c r="D5" s="4" t="n">
        <v>-74738.295</v>
      </c>
      <c r="E5" s="4" t="n">
        <v>0</v>
      </c>
      <c r="F5" s="4" t="n">
        <v>0</v>
      </c>
      <c r="G5" s="4" t="n">
        <v>0</v>
      </c>
      <c r="H5" s="4" t="n">
        <v>0</v>
      </c>
      <c r="I5" s="5" t="n"/>
      <c r="J5" s="5" t="n"/>
      <c r="K5" s="5" t="n"/>
      <c r="L5" s="5" t="n"/>
      <c r="M5" s="5" t="n"/>
      <c r="N5" s="5" t="n"/>
    </row>
    <row r="6">
      <c r="A6" s="3" t="inlineStr">
        <is>
          <t>General and Administrative</t>
        </is>
      </c>
      <c r="B6" s="4" t="n">
        <v>-11620.534</v>
      </c>
      <c r="C6" s="4" t="n">
        <v>-18187.406</v>
      </c>
      <c r="D6" s="4" t="n">
        <v>-57519.745</v>
      </c>
      <c r="E6" s="4" t="n">
        <v>0</v>
      </c>
      <c r="F6" s="4" t="n">
        <v>0</v>
      </c>
      <c r="G6" s="4" t="n">
        <v>0</v>
      </c>
      <c r="H6" s="4" t="n">
        <v>0</v>
      </c>
      <c r="I6" s="5" t="n"/>
      <c r="J6" s="5" t="n"/>
      <c r="K6" s="5" t="n"/>
      <c r="L6" s="5" t="n"/>
      <c r="M6" s="5" t="n"/>
      <c r="N6" s="5" t="n"/>
    </row>
    <row r="7">
      <c r="A7" s="3" t="inlineStr">
        <is>
          <t>Operating Expenses</t>
        </is>
      </c>
      <c r="B7" s="4" t="n">
        <v>-32750.256</v>
      </c>
      <c r="C7" s="4" t="n">
        <v>-53062.745</v>
      </c>
      <c r="D7" s="4" t="n">
        <v>-132258.04</v>
      </c>
      <c r="E7" s="4" t="n">
        <v>0</v>
      </c>
      <c r="F7" s="4" t="n">
        <v>0</v>
      </c>
      <c r="G7" s="4" t="n">
        <v>0</v>
      </c>
      <c r="H7" s="4" t="n">
        <v>0</v>
      </c>
      <c r="I7" s="5" t="n"/>
      <c r="J7" s="5" t="n"/>
      <c r="K7" s="5" t="n"/>
      <c r="L7" s="5" t="n"/>
      <c r="M7" s="5" t="n"/>
      <c r="N7" s="5" t="n"/>
    </row>
    <row r="8">
      <c r="A8" s="3" t="inlineStr">
        <is>
          <t>SG&amp;A</t>
        </is>
      </c>
      <c r="B8" s="4" t="n">
        <v>0</v>
      </c>
      <c r="C8" s="4" t="n">
        <v>0</v>
      </c>
      <c r="D8" s="4" t="n">
        <v>0</v>
      </c>
      <c r="E8" s="4" t="n">
        <v>-428670</v>
      </c>
      <c r="F8" s="4" t="n">
        <v>-366773</v>
      </c>
      <c r="G8" s="4" t="n">
        <v>-524479</v>
      </c>
      <c r="H8" s="4" t="n">
        <v>-798810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Distributor Termination Fees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-327461</v>
      </c>
      <c r="I9" s="5" t="n"/>
      <c r="J9" s="5" t="n"/>
      <c r="K9" s="5" t="n"/>
      <c r="L9" s="5" t="n"/>
      <c r="M9" s="5" t="n"/>
      <c r="N9" s="5" t="n"/>
    </row>
    <row r="10">
      <c r="A10" s="3" t="inlineStr">
        <is>
          <t>Income (Loss) from Operations</t>
        </is>
      </c>
      <c r="B10" s="6">
        <f>B4+SUM(B5:B9)</f>
        <v/>
      </c>
      <c r="C10" s="6">
        <f>C4+SUM(C5:C9)</f>
        <v/>
      </c>
      <c r="D10" s="6">
        <f>D4+SUM(D5:D9)</f>
        <v/>
      </c>
      <c r="E10" s="6">
        <f>E4+SUM(E5:E9)</f>
        <v/>
      </c>
      <c r="F10" s="6">
        <f>F4+SUM(F5:F9)</f>
        <v/>
      </c>
      <c r="G10" s="6">
        <f>G4+SUM(G5:G9)</f>
        <v/>
      </c>
      <c r="H10" s="6">
        <f>H4+SUM(H5:H9)</f>
        <v/>
      </c>
      <c r="I10" s="7">
        <f>I4+SUM(I5:I9)</f>
        <v/>
      </c>
      <c r="J10" s="7">
        <f>J4+SUM(J5:J9)</f>
        <v/>
      </c>
      <c r="K10" s="7">
        <f>K4+SUM(K5:K9)</f>
        <v/>
      </c>
      <c r="L10" s="7">
        <f>L4+SUM(L5:L9)</f>
        <v/>
      </c>
      <c r="M10" s="7">
        <f>M4+SUM(M5:M9)</f>
        <v/>
      </c>
      <c r="N10" s="7">
        <f>N4+SUM(N5:N9)</f>
        <v/>
      </c>
    </row>
    <row r="11">
      <c r="A11" s="3" t="inlineStr">
        <is>
          <t>Interest Income (Expense)</t>
        </is>
      </c>
      <c r="B11" s="4" t="n">
        <v>-1011.755</v>
      </c>
      <c r="C11" s="4" t="n">
        <v>-668.4109999999999</v>
      </c>
      <c r="D11" s="4" t="n">
        <v>307.328</v>
      </c>
      <c r="E11" s="4" t="n">
        <v>5529</v>
      </c>
      <c r="F11" s="4" t="n">
        <v>26629</v>
      </c>
      <c r="G11" s="4" t="n">
        <v>39263</v>
      </c>
      <c r="H11" s="4" t="n">
        <v>-27892</v>
      </c>
      <c r="I11" s="5" t="n"/>
      <c r="J11" s="5" t="n"/>
      <c r="K11" s="5" t="n"/>
      <c r="L11" s="5" t="n"/>
      <c r="M11" s="5" t="n"/>
      <c r="N11" s="5" t="n"/>
    </row>
    <row r="12">
      <c r="A12" s="3" t="inlineStr">
        <is>
          <t>Foreign Currency Gain (Loss)</t>
        </is>
      </c>
      <c r="B12" s="4" t="n">
        <v>0</v>
      </c>
      <c r="C12" s="4" t="n">
        <v>1375.925</v>
      </c>
      <c r="D12" s="4" t="n">
        <v>-276.259</v>
      </c>
      <c r="E12" s="4" t="n">
        <v>-392</v>
      </c>
      <c r="F12" s="4" t="n">
        <v>-1246</v>
      </c>
      <c r="G12" s="4" t="n">
        <v>-1734</v>
      </c>
      <c r="H12" s="4" t="n">
        <v>0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Other Income (Expense)</t>
        </is>
      </c>
      <c r="B13" s="4" t="n">
        <v>12431.458</v>
      </c>
      <c r="C13" s="4" t="n">
        <v>-49.1</v>
      </c>
      <c r="D13" s="4" t="n">
        <v>0</v>
      </c>
      <c r="E13" s="4" t="n">
        <v>0</v>
      </c>
      <c r="F13" s="4" t="n">
        <v>0</v>
      </c>
      <c r="G13" s="4" t="n">
        <v>1793</v>
      </c>
      <c r="H13" s="4" t="n">
        <v>11863</v>
      </c>
      <c r="I13" s="5" t="n"/>
      <c r="J13" s="5" t="n"/>
      <c r="K13" s="5" t="n"/>
      <c r="L13" s="5" t="n"/>
      <c r="M13" s="5" t="n"/>
      <c r="N13" s="5" t="n"/>
    </row>
    <row r="14">
      <c r="A14" s="3" t="inlineStr">
        <is>
          <t>Gain (Loss) on Lease Cancellations</t>
        </is>
      </c>
      <c r="B14" s="4" t="n">
        <v>0</v>
      </c>
      <c r="C14" s="4" t="n">
        <v>152.112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Income Tax (Expense) Benefit</t>
        </is>
      </c>
      <c r="B15" s="4" t="n">
        <v>0</v>
      </c>
      <c r="C15" s="4" t="n">
        <v>-197.677</v>
      </c>
      <c r="D15" s="4" t="n">
        <v>7995.72</v>
      </c>
      <c r="E15" s="4" t="n">
        <v>-34618</v>
      </c>
      <c r="F15" s="4" t="n">
        <v>-64948</v>
      </c>
      <c r="G15" s="4" t="n">
        <v>-49976</v>
      </c>
      <c r="H15" s="4" t="n">
        <v>-17034</v>
      </c>
      <c r="I15" s="5" t="n"/>
      <c r="J15" s="5" t="n"/>
      <c r="K15" s="5" t="n"/>
      <c r="L15" s="5" t="n"/>
      <c r="M15" s="5" t="n"/>
      <c r="N15" s="5" t="n"/>
    </row>
    <row r="16">
      <c r="A16" s="3" t="inlineStr">
        <is>
          <t>Pre-Tax Income (Loss)</t>
        </is>
      </c>
      <c r="B16" s="6">
        <f>B10+SUM(B11:B15)</f>
        <v/>
      </c>
      <c r="C16" s="6">
        <f>C10+SUM(C11:C15)</f>
        <v/>
      </c>
      <c r="D16" s="6">
        <f>D10+SUM(D11:D15)</f>
        <v/>
      </c>
      <c r="E16" s="6">
        <f>E10+SUM(E11:E15)</f>
        <v/>
      </c>
      <c r="F16" s="6">
        <f>F10+SUM(F11:F15)</f>
        <v/>
      </c>
      <c r="G16" s="6">
        <f>G10+SUM(G11:G15)</f>
        <v/>
      </c>
      <c r="H16" s="6">
        <f>H10+SUM(H11:H15)</f>
        <v/>
      </c>
      <c r="I16" s="7">
        <f>I10+SUM(I11:I15)</f>
        <v/>
      </c>
      <c r="J16" s="7">
        <f>J10+SUM(J11:J15)</f>
        <v/>
      </c>
      <c r="K16" s="7">
        <f>K10+SUM(K11:K15)</f>
        <v/>
      </c>
      <c r="L16" s="7">
        <f>L10+SUM(L11:L15)</f>
        <v/>
      </c>
      <c r="M16" s="7">
        <f>M10+SUM(M11:M15)</f>
        <v/>
      </c>
      <c r="N16" s="7">
        <f>N10+SUM(N11:N15)</f>
        <v/>
      </c>
    </row>
    <row r="17">
      <c r="A17" s="3" t="inlineStr">
        <is>
          <t>Net Income (Loss)</t>
        </is>
      </c>
      <c r="B17" s="6">
        <f>B16</f>
        <v/>
      </c>
      <c r="C17" s="6">
        <f>C16</f>
        <v/>
      </c>
      <c r="D17" s="6">
        <f>D16</f>
        <v/>
      </c>
      <c r="E17" s="6">
        <f>E16</f>
        <v/>
      </c>
      <c r="F17" s="6">
        <f>F16</f>
        <v/>
      </c>
      <c r="G17" s="6">
        <f>G16</f>
        <v/>
      </c>
      <c r="H17" s="6">
        <f>H16</f>
        <v/>
      </c>
      <c r="I17" s="7">
        <f>I16</f>
        <v/>
      </c>
      <c r="J17" s="7">
        <f>J16</f>
        <v/>
      </c>
      <c r="K17" s="7">
        <f>K16</f>
        <v/>
      </c>
      <c r="L17" s="7">
        <f>L16</f>
        <v/>
      </c>
      <c r="M17" s="7">
        <f>M16</f>
        <v/>
      </c>
      <c r="N17" s="7">
        <f>N16</f>
        <v/>
      </c>
    </row>
    <row r="18">
      <c r="A18" s="3" t="inlineStr">
        <is>
          <t>Basic Earnings (Loss) per Share</t>
        </is>
      </c>
      <c r="B18" s="8" t="n">
        <v>0.16</v>
      </c>
      <c r="C18" s="8" t="n">
        <v>0.12</v>
      </c>
      <c r="D18" s="8" t="n">
        <v>0.05</v>
      </c>
      <c r="E18" s="8" t="n">
        <v>0</v>
      </c>
      <c r="F18" s="8" t="n">
        <v>0</v>
      </c>
      <c r="G18" s="8" t="n">
        <v>0</v>
      </c>
      <c r="H18" s="8" t="n">
        <v>0</v>
      </c>
      <c r="I18" s="9" t="n"/>
      <c r="J18" s="9" t="n"/>
      <c r="K18" s="9" t="n"/>
      <c r="L18" s="9" t="n"/>
      <c r="M18" s="9" t="n"/>
      <c r="N18" s="9" t="n"/>
    </row>
    <row r="19">
      <c r="A19" s="3" t="inlineStr">
        <is>
          <t>Diluted Earnings (Loss) per Share</t>
        </is>
      </c>
      <c r="B19" s="8" t="n">
        <v>0.16</v>
      </c>
      <c r="C19" s="8" t="n">
        <v>0.11</v>
      </c>
      <c r="D19" s="8" t="n">
        <v>0.05</v>
      </c>
      <c r="E19" s="8" t="n">
        <v>0</v>
      </c>
      <c r="F19" s="8" t="n">
        <v>0</v>
      </c>
      <c r="G19" s="8" t="n">
        <v>0</v>
      </c>
      <c r="H19" s="8" t="n">
        <v>0</v>
      </c>
      <c r="I19" s="9" t="n"/>
      <c r="J19" s="9" t="n"/>
      <c r="K19" s="9" t="n"/>
      <c r="L19" s="9" t="n"/>
      <c r="M19" s="9" t="n"/>
      <c r="N19" s="9" t="n"/>
    </row>
    <row r="20">
      <c r="A20" s="3" t="inlineStr">
        <is>
          <t>Weighted Average Shares Outstanding (Basic)</t>
        </is>
      </c>
      <c r="B20" s="4" t="n">
        <v>60761995</v>
      </c>
      <c r="C20" s="4" t="n">
        <v>70195085</v>
      </c>
      <c r="D20" s="4" t="n">
        <v>151469631</v>
      </c>
      <c r="E20" s="4" t="n">
        <v>0</v>
      </c>
      <c r="F20" s="4" t="n">
        <v>0</v>
      </c>
      <c r="G20" s="4" t="n">
        <v>0</v>
      </c>
      <c r="H20" s="4" t="n">
        <v>0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Weighted Average Shares Outstanding (Diluted)</t>
        </is>
      </c>
      <c r="B21" s="4" t="n">
        <v>64183399</v>
      </c>
      <c r="C21" s="4" t="n">
        <v>74443601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Preferred Dividends</t>
        </is>
      </c>
      <c r="B22" s="4" t="n">
        <v>0</v>
      </c>
      <c r="C22" s="4" t="n">
        <v>0</v>
      </c>
      <c r="D22" s="4" t="n">
        <v>0</v>
      </c>
      <c r="E22" s="4" t="n">
        <v>-11526</v>
      </c>
      <c r="F22" s="4" t="n">
        <v>-27462</v>
      </c>
      <c r="G22" s="4" t="n">
        <v>-27500</v>
      </c>
      <c r="H22" s="4" t="n">
        <v>-37608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Income Allocated to Participating Preferred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-17348</v>
      </c>
      <c r="G23" s="4" t="n">
        <v>-10117</v>
      </c>
      <c r="H23" s="4" t="n">
        <v>-6554</v>
      </c>
      <c r="I23" s="5" t="n"/>
      <c r="J23" s="5" t="n"/>
      <c r="K23" s="5" t="n"/>
      <c r="L23" s="5" t="n"/>
      <c r="M23" s="5" t="n"/>
      <c r="N23" s="5" t="n"/>
    </row>
    <row r="24">
      <c r="A24" s="3" t="inlineStr">
        <is>
          <t>Net Income (Loss) Attributable to Common Shareholders</t>
        </is>
      </c>
      <c r="B24" s="6">
        <f>B17+B22+B23</f>
        <v/>
      </c>
      <c r="C24" s="6">
        <f>C17+C22+C23</f>
        <v/>
      </c>
      <c r="D24" s="6">
        <f>D17+D22+D23</f>
        <v/>
      </c>
      <c r="E24" s="6">
        <f>E17+E22+E23</f>
        <v/>
      </c>
      <c r="F24" s="6">
        <f>F17+F22+F23</f>
        <v/>
      </c>
      <c r="G24" s="6">
        <f>G17+G22+G23</f>
        <v/>
      </c>
      <c r="H24" s="6">
        <f>H17+H22+H23</f>
        <v/>
      </c>
      <c r="I24" s="7">
        <f>I17+I22+I23</f>
        <v/>
      </c>
      <c r="J24" s="7">
        <f>J17+J22+J23</f>
        <v/>
      </c>
      <c r="K24" s="7">
        <f>K17+K22+K23</f>
        <v/>
      </c>
      <c r="L24" s="7">
        <f>L17+L22+L23</f>
        <v/>
      </c>
      <c r="M24" s="7">
        <f>M17+M22+M23</f>
        <v/>
      </c>
      <c r="N24" s="7">
        <f>N17+N22+N23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FY2026E</t>
        </is>
      </c>
      <c r="J1" s="2" t="inlineStr">
        <is>
          <t>FY2027E</t>
        </is>
      </c>
      <c r="K1" s="2" t="inlineStr">
        <is>
          <t>FY2028E</t>
        </is>
      </c>
      <c r="L1" s="2" t="inlineStr">
        <is>
          <t>FY2029E</t>
        </is>
      </c>
      <c r="M1" s="2" t="inlineStr">
        <is>
          <t>FY2030E</t>
        </is>
      </c>
      <c r="N1" s="2" t="inlineStr">
        <is>
          <t>FY2031E</t>
        </is>
      </c>
    </row>
    <row r="2">
      <c r="A2" s="3" t="inlineStr">
        <is>
          <t>Cash, Cash Equivalents &amp; Restricted Cash</t>
        </is>
      </c>
      <c r="B2" s="4" t="n">
        <v>23090.682</v>
      </c>
      <c r="C2" s="4" t="n">
        <v>43248.021</v>
      </c>
      <c r="D2" s="4" t="n">
        <v>16254.708</v>
      </c>
      <c r="E2" s="4" t="n">
        <v>652927</v>
      </c>
      <c r="F2" s="4" t="n">
        <v>755981</v>
      </c>
      <c r="G2" s="4" t="n">
        <v>890190</v>
      </c>
      <c r="H2" s="4" t="n">
        <v>539987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Accounts Receivable</t>
        </is>
      </c>
      <c r="B3" s="4" t="n">
        <v>7774.618</v>
      </c>
      <c r="C3" s="4" t="n">
        <v>14986.213</v>
      </c>
      <c r="D3" s="4" t="n">
        <v>38741.049</v>
      </c>
      <c r="E3" s="4" t="n">
        <v>63311</v>
      </c>
      <c r="F3" s="4" t="n">
        <v>183703</v>
      </c>
      <c r="G3" s="4" t="n">
        <v>270342</v>
      </c>
      <c r="H3" s="4" t="n">
        <v>755499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Note Receivable - Current</t>
        </is>
      </c>
      <c r="B4" s="4" t="n">
        <v>1181.116</v>
      </c>
      <c r="C4" s="4" t="n">
        <v>1885.887</v>
      </c>
      <c r="D4" s="4" t="n">
        <v>2587.905</v>
      </c>
      <c r="E4" s="4" t="n">
        <v>2979</v>
      </c>
      <c r="F4" s="4" t="n">
        <v>2318</v>
      </c>
      <c r="G4" s="4" t="n">
        <v>0</v>
      </c>
      <c r="H4" s="4" t="n">
        <v>0</v>
      </c>
      <c r="I4" s="5" t="n"/>
      <c r="J4" s="5" t="n"/>
      <c r="K4" s="5" t="n"/>
      <c r="L4" s="5" t="n"/>
      <c r="M4" s="5" t="n"/>
      <c r="N4" s="5" t="n"/>
    </row>
    <row r="5">
      <c r="A5" s="3" t="inlineStr">
        <is>
          <t>Inventories</t>
        </is>
      </c>
      <c r="B5" s="4" t="n">
        <v>15292.349</v>
      </c>
      <c r="C5" s="4" t="n">
        <v>18403.622</v>
      </c>
      <c r="D5" s="4" t="n">
        <v>191221.851</v>
      </c>
      <c r="E5" s="4" t="n">
        <v>173289</v>
      </c>
      <c r="F5" s="4" t="n">
        <v>229275</v>
      </c>
      <c r="G5" s="4" t="n">
        <v>131165</v>
      </c>
      <c r="H5" s="4" t="n">
        <v>337698</v>
      </c>
      <c r="I5" s="5" t="n"/>
      <c r="J5" s="5" t="n"/>
      <c r="K5" s="5" t="n"/>
      <c r="L5" s="5" t="n"/>
      <c r="M5" s="5" t="n"/>
      <c r="N5" s="5" t="n"/>
    </row>
    <row r="6">
      <c r="A6" s="3" t="inlineStr">
        <is>
          <t>Prepaid Expenses</t>
        </is>
      </c>
      <c r="B6" s="4" t="n">
        <v>4170.136</v>
      </c>
      <c r="C6" s="4" t="n">
        <v>14626.922</v>
      </c>
      <c r="D6" s="4" t="n">
        <v>13555.037</v>
      </c>
      <c r="E6" s="4" t="n">
        <v>11341</v>
      </c>
      <c r="F6" s="4" t="n">
        <v>19503</v>
      </c>
      <c r="G6" s="4" t="n">
        <v>18759</v>
      </c>
      <c r="H6" s="4" t="n">
        <v>128806</v>
      </c>
      <c r="I6" s="5" t="n"/>
      <c r="J6" s="5" t="n"/>
      <c r="K6" s="5" t="n"/>
      <c r="L6" s="5" t="n"/>
      <c r="M6" s="5" t="n"/>
      <c r="N6" s="5" t="n"/>
    </row>
    <row r="7">
      <c r="A7" s="3" t="inlineStr">
        <is>
          <t>Deferred Other Costs - Current</t>
        </is>
      </c>
      <c r="B7" s="4" t="n">
        <v>0</v>
      </c>
      <c r="C7" s="4" t="n">
        <v>0</v>
      </c>
      <c r="D7" s="4" t="n">
        <v>0</v>
      </c>
      <c r="E7" s="4" t="n">
        <v>14124</v>
      </c>
      <c r="F7" s="4" t="n">
        <v>14124</v>
      </c>
      <c r="G7" s="4" t="n">
        <v>14124</v>
      </c>
      <c r="H7" s="4" t="n">
        <v>49164</v>
      </c>
      <c r="I7" s="5" t="n"/>
      <c r="J7" s="5" t="n"/>
      <c r="K7" s="5" t="n"/>
      <c r="L7" s="5" t="n"/>
      <c r="M7" s="5" t="n"/>
      <c r="N7" s="5" t="n"/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  <row r="9">
      <c r="A9" s="3" t="inlineStr">
        <is>
          <t>Note Receivable - Non-Current</t>
        </is>
      </c>
      <c r="B9" s="4" t="n">
        <v>10630.04</v>
      </c>
      <c r="C9" s="4" t="n">
        <v>9429.437</v>
      </c>
      <c r="D9" s="4" t="n">
        <v>7116.738</v>
      </c>
      <c r="E9" s="4" t="n">
        <v>3574</v>
      </c>
      <c r="F9" s="4" t="n">
        <v>0</v>
      </c>
      <c r="G9" s="4" t="n">
        <v>0</v>
      </c>
      <c r="H9" s="4" t="n">
        <v>0</v>
      </c>
      <c r="I9" s="5" t="n"/>
      <c r="J9" s="5" t="n"/>
      <c r="K9" s="5" t="n"/>
      <c r="L9" s="5" t="n"/>
      <c r="M9" s="5" t="n"/>
      <c r="N9" s="5" t="n"/>
    </row>
    <row r="10">
      <c r="A10" s="3" t="inlineStr">
        <is>
          <t>Net PP&amp;E</t>
        </is>
      </c>
      <c r="B10" s="4" t="n">
        <v>132.889</v>
      </c>
      <c r="C10" s="4" t="n">
        <v>579.377</v>
      </c>
      <c r="D10" s="4" t="n">
        <v>3180.058</v>
      </c>
      <c r="E10" s="4" t="n">
        <v>10185</v>
      </c>
      <c r="F10" s="4" t="n">
        <v>24868</v>
      </c>
      <c r="G10" s="4" t="n">
        <v>55602</v>
      </c>
      <c r="H10" s="4" t="n">
        <v>87910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ROU Assets - Operating - Non-Current</t>
        </is>
      </c>
      <c r="B11" s="4" t="n">
        <v>395.828</v>
      </c>
      <c r="C11" s="4" t="n">
        <v>836.038</v>
      </c>
      <c r="D11" s="4" t="n">
        <v>1128.151</v>
      </c>
      <c r="E11" s="4" t="n">
        <v>972</v>
      </c>
      <c r="F11" s="4" t="n">
        <v>1957</v>
      </c>
      <c r="G11" s="4" t="n">
        <v>21606</v>
      </c>
      <c r="H11" s="4" t="n">
        <v>0</v>
      </c>
      <c r="I11" s="5" t="n"/>
      <c r="J11" s="5" t="n"/>
      <c r="K11" s="5" t="n"/>
      <c r="L11" s="5" t="n"/>
      <c r="M11" s="5" t="n"/>
      <c r="N11" s="5" t="n"/>
    </row>
    <row r="12">
      <c r="A12" s="3" t="inlineStr">
        <is>
          <t>ROU Assets - Finance - Non-Current</t>
        </is>
      </c>
      <c r="B12" s="4" t="n">
        <v>413.638</v>
      </c>
      <c r="C12" s="4" t="n">
        <v>162.119</v>
      </c>
      <c r="D12" s="4" t="n">
        <v>85.953</v>
      </c>
      <c r="E12" s="4" t="n">
        <v>208</v>
      </c>
      <c r="F12" s="4" t="n">
        <v>208</v>
      </c>
      <c r="G12" s="4" t="n">
        <v>230</v>
      </c>
      <c r="H12" s="4" t="n">
        <v>0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Intangible Assets</t>
        </is>
      </c>
      <c r="B13" s="4" t="n">
        <v>17173</v>
      </c>
      <c r="C13" s="4" t="n">
        <v>16590.083</v>
      </c>
      <c r="D13" s="4" t="n">
        <v>16301.326</v>
      </c>
      <c r="E13" s="4" t="n">
        <v>12254</v>
      </c>
      <c r="F13" s="4" t="n">
        <v>12139</v>
      </c>
      <c r="G13" s="4" t="n">
        <v>12213</v>
      </c>
      <c r="H13" s="4" t="n">
        <v>1391915</v>
      </c>
      <c r="I13" s="5" t="n"/>
      <c r="J13" s="5" t="n"/>
      <c r="K13" s="5" t="n"/>
      <c r="L13" s="5" t="n"/>
      <c r="M13" s="5" t="n"/>
      <c r="N13" s="5" t="n"/>
    </row>
    <row r="14">
      <c r="A14" s="3" t="inlineStr">
        <is>
          <t>Goodwill</t>
        </is>
      </c>
      <c r="B14" s="4" t="n">
        <v>10023.806</v>
      </c>
      <c r="C14" s="4" t="n">
        <v>10419.321</v>
      </c>
      <c r="D14" s="4" t="n">
        <v>14526.583</v>
      </c>
      <c r="E14" s="4" t="n">
        <v>13679</v>
      </c>
      <c r="F14" s="4" t="n">
        <v>14173</v>
      </c>
      <c r="G14" s="4" t="n">
        <v>71582</v>
      </c>
      <c r="H14" s="4" t="n">
        <v>917560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Deferred Other Costs - Non-Current</t>
        </is>
      </c>
      <c r="B15" s="4" t="n">
        <v>0</v>
      </c>
      <c r="C15" s="4" t="n">
        <v>0</v>
      </c>
      <c r="D15" s="4" t="n">
        <v>0</v>
      </c>
      <c r="E15" s="4" t="n">
        <v>262462</v>
      </c>
      <c r="F15" s="4" t="n">
        <v>248338</v>
      </c>
      <c r="G15" s="4" t="n">
        <v>234215</v>
      </c>
      <c r="H15" s="4" t="n">
        <v>771635</v>
      </c>
      <c r="I15" s="5" t="n"/>
      <c r="J15" s="5" t="n"/>
      <c r="K15" s="5" t="n"/>
      <c r="L15" s="5" t="n"/>
      <c r="M15" s="5" t="n"/>
      <c r="N15" s="5" t="n"/>
    </row>
    <row r="16">
      <c r="A16" s="3" t="inlineStr">
        <is>
          <t>Deferred Tax Assets</t>
        </is>
      </c>
      <c r="B16" s="4" t="n">
        <v>0</v>
      </c>
      <c r="C16" s="4" t="n">
        <v>0</v>
      </c>
      <c r="D16" s="4" t="n">
        <v>9019.241</v>
      </c>
      <c r="E16" s="4" t="n">
        <v>501</v>
      </c>
      <c r="F16" s="4" t="n">
        <v>29518</v>
      </c>
      <c r="G16" s="4" t="n">
        <v>38699</v>
      </c>
      <c r="H16" s="4" t="n">
        <v>96013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Other Non-Current Assets</t>
        </is>
      </c>
      <c r="B17" s="4" t="n">
        <v>104.134</v>
      </c>
      <c r="C17" s="4" t="n">
        <v>122.733</v>
      </c>
      <c r="D17" s="4" t="n">
        <v>299.828</v>
      </c>
      <c r="E17" s="4" t="n">
        <v>263</v>
      </c>
      <c r="F17" s="4" t="n">
        <v>291</v>
      </c>
      <c r="G17" s="4" t="n">
        <v>8154</v>
      </c>
      <c r="H17" s="4" t="n">
        <v>43434</v>
      </c>
      <c r="I17" s="5" t="n"/>
      <c r="J17" s="5" t="n"/>
      <c r="K17" s="5" t="n"/>
      <c r="L17" s="5" t="n"/>
      <c r="M17" s="5" t="n"/>
      <c r="N17" s="5" t="n"/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6">
        <f>F8+SUM(F9:F17)</f>
        <v/>
      </c>
      <c r="G18" s="6">
        <f>G8+SUM(G9:G17)</f>
        <v/>
      </c>
      <c r="H18" s="6">
        <f>H8+SUM(H9:H17)</f>
        <v/>
      </c>
      <c r="I18" s="7">
        <f>I8+SUM(I9:I17)</f>
        <v/>
      </c>
      <c r="J18" s="7">
        <f>J8+SUM(J9:J17)</f>
        <v/>
      </c>
      <c r="K18" s="7">
        <f>K8+SUM(K9:K17)</f>
        <v/>
      </c>
      <c r="L18" s="7">
        <f>L8+SUM(L9:L17)</f>
        <v/>
      </c>
      <c r="M18" s="7">
        <f>M8+SUM(M9:M17)</f>
        <v/>
      </c>
      <c r="N18" s="7">
        <f>N8+SUM(N9:N17)</f>
        <v/>
      </c>
    </row>
    <row r="19">
      <c r="A19" s="3" t="inlineStr">
        <is>
          <t>Accounts Payable</t>
        </is>
      </c>
      <c r="B19" s="4" t="n">
        <v>17292.647</v>
      </c>
      <c r="C19" s="4" t="n">
        <v>25412.753</v>
      </c>
      <c r="D19" s="4" t="n">
        <v>91478.61199999999</v>
      </c>
      <c r="E19" s="4" t="n">
        <v>36248</v>
      </c>
      <c r="F19" s="4" t="n">
        <v>42840</v>
      </c>
      <c r="G19" s="4" t="n">
        <v>41287</v>
      </c>
      <c r="H19" s="4" t="n">
        <v>137930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Accrued Expenses</t>
        </is>
      </c>
      <c r="B20" s="4" t="n">
        <v>0</v>
      </c>
      <c r="C20" s="4" t="n">
        <v>0</v>
      </c>
      <c r="D20" s="4" t="n">
        <v>0</v>
      </c>
      <c r="E20" s="4" t="n">
        <v>69899</v>
      </c>
      <c r="F20" s="4" t="n">
        <v>62120</v>
      </c>
      <c r="G20" s="4" t="n">
        <v>148780</v>
      </c>
      <c r="H20" s="4" t="n">
        <v>230721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Income Taxes Payable</t>
        </is>
      </c>
      <c r="B21" s="4" t="n">
        <v>0</v>
      </c>
      <c r="C21" s="4" t="n">
        <v>0</v>
      </c>
      <c r="D21" s="4" t="n">
        <v>0</v>
      </c>
      <c r="E21" s="4" t="n">
        <v>1193</v>
      </c>
      <c r="F21" s="4" t="n">
        <v>50424</v>
      </c>
      <c r="G21" s="4" t="n">
        <v>10834</v>
      </c>
      <c r="H21" s="4" t="n">
        <v>49612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Accrued Distributor Termination Fees</t>
        </is>
      </c>
      <c r="B22" s="4" t="n">
        <v>0</v>
      </c>
      <c r="C22" s="4" t="n">
        <v>0</v>
      </c>
      <c r="D22" s="4" t="n">
        <v>0</v>
      </c>
      <c r="E22" s="4" t="n">
        <v>3986</v>
      </c>
      <c r="F22" s="4" t="n">
        <v>0</v>
      </c>
      <c r="G22" s="4" t="n">
        <v>0</v>
      </c>
      <c r="H22" s="4" t="n">
        <v>264088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Accrued Promotional Allowance</t>
        </is>
      </c>
      <c r="B23" s="4" t="n">
        <v>0</v>
      </c>
      <c r="C23" s="4" t="n">
        <v>0</v>
      </c>
      <c r="D23" s="4" t="n">
        <v>0</v>
      </c>
      <c r="E23" s="4" t="n">
        <v>35977</v>
      </c>
      <c r="F23" s="4" t="n">
        <v>99787</v>
      </c>
      <c r="G23" s="4" t="n">
        <v>135948</v>
      </c>
      <c r="H23" s="4" t="n">
        <v>307922</v>
      </c>
      <c r="I23" s="5" t="n"/>
      <c r="J23" s="5" t="n"/>
      <c r="K23" s="5" t="n"/>
      <c r="L23" s="5" t="n"/>
      <c r="M23" s="5" t="n"/>
      <c r="N23" s="5" t="n"/>
    </row>
    <row r="24">
      <c r="A24" s="3" t="inlineStr">
        <is>
          <t>Lease Liability - Operating - Current</t>
        </is>
      </c>
      <c r="B24" s="4" t="n">
        <v>294.916</v>
      </c>
      <c r="C24" s="4" t="n">
        <v>321.283</v>
      </c>
      <c r="D24" s="4" t="n">
        <v>511.764</v>
      </c>
      <c r="E24" s="4" t="n">
        <v>661</v>
      </c>
      <c r="F24" s="4" t="n">
        <v>980</v>
      </c>
      <c r="G24" s="4" t="n">
        <v>3265</v>
      </c>
      <c r="H24" s="4" t="n">
        <v>0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Lease Liability - Finance - Current</t>
        </is>
      </c>
      <c r="B25" s="4" t="n">
        <v>354.158</v>
      </c>
      <c r="C25" s="4" t="n">
        <v>205.824</v>
      </c>
      <c r="D25" s="4" t="n">
        <v>157.046</v>
      </c>
      <c r="E25" s="4" t="n">
        <v>70</v>
      </c>
      <c r="F25" s="4" t="n">
        <v>59</v>
      </c>
      <c r="G25" s="4" t="n">
        <v>100</v>
      </c>
      <c r="H25" s="4" t="n">
        <v>0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Bonds Payable, Net</t>
        </is>
      </c>
      <c r="B26" s="4" t="n">
        <v>8634.279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25000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Deferred Revenue - Current</t>
        </is>
      </c>
      <c r="B28" s="4" t="n">
        <v>0</v>
      </c>
      <c r="C28" s="4" t="n">
        <v>0</v>
      </c>
      <c r="D28" s="4" t="n">
        <v>0</v>
      </c>
      <c r="E28" s="4" t="n">
        <v>9675</v>
      </c>
      <c r="F28" s="4" t="n">
        <v>9513</v>
      </c>
      <c r="G28" s="4" t="n">
        <v>9513</v>
      </c>
      <c r="H28" s="4" t="n">
        <v>26988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Other Current Liabilities</t>
        </is>
      </c>
      <c r="B29" s="4" t="n">
        <v>107.399</v>
      </c>
      <c r="C29" s="4" t="n">
        <v>425.232</v>
      </c>
      <c r="D29" s="4" t="n">
        <v>976.072</v>
      </c>
      <c r="E29" s="4" t="n">
        <v>3586</v>
      </c>
      <c r="F29" s="4" t="n">
        <v>10890</v>
      </c>
      <c r="G29" s="4" t="n">
        <v>15808</v>
      </c>
      <c r="H29" s="4" t="n">
        <v>36465</v>
      </c>
      <c r="I29" s="5" t="n"/>
      <c r="J29" s="5" t="n"/>
      <c r="K29" s="5" t="n"/>
      <c r="L29" s="5" t="n"/>
      <c r="M29" s="5" t="n"/>
      <c r="N29" s="5" t="n"/>
    </row>
    <row r="30">
      <c r="A30" s="3" t="inlineStr">
        <is>
          <t>Total Current Liabilities</t>
        </is>
      </c>
      <c r="B30" s="6">
        <f>SUM(B19:B29)</f>
        <v/>
      </c>
      <c r="C30" s="6">
        <f>SUM(C19:C29)</f>
        <v/>
      </c>
      <c r="D30" s="6">
        <f>SUM(D19:D29)</f>
        <v/>
      </c>
      <c r="E30" s="6">
        <f>SUM(E19:E29)</f>
        <v/>
      </c>
      <c r="F30" s="6">
        <f>SUM(F19:F29)</f>
        <v/>
      </c>
      <c r="G30" s="6">
        <f>SUM(G19:G29)</f>
        <v/>
      </c>
      <c r="H30" s="6">
        <f>SUM(H19:H29)</f>
        <v/>
      </c>
      <c r="I30" s="7">
        <f>SUM(I19:I29)</f>
        <v/>
      </c>
      <c r="J30" s="7">
        <f>SUM(J19:J29)</f>
        <v/>
      </c>
      <c r="K30" s="7">
        <f>SUM(K19:K29)</f>
        <v/>
      </c>
      <c r="L30" s="7">
        <f>SUM(L19:L29)</f>
        <v/>
      </c>
      <c r="M30" s="7">
        <f>SUM(M19:M29)</f>
        <v/>
      </c>
      <c r="N30" s="7">
        <f>SUM(N19:N29)</f>
        <v/>
      </c>
    </row>
    <row r="31">
      <c r="A31" s="3" t="inlineStr">
        <is>
          <t>Lease Liability - Operating - Non-Current</t>
        </is>
      </c>
      <c r="B31" s="4" t="n">
        <v>107.311</v>
      </c>
      <c r="C31" s="4" t="n">
        <v>514.948</v>
      </c>
      <c r="D31" s="4" t="n">
        <v>657.9349999999999</v>
      </c>
      <c r="E31" s="4" t="n">
        <v>326</v>
      </c>
      <c r="F31" s="4" t="n">
        <v>955</v>
      </c>
      <c r="G31" s="4" t="n">
        <v>16674</v>
      </c>
      <c r="H31" s="4" t="n">
        <v>0</v>
      </c>
      <c r="I31" s="5" t="n"/>
      <c r="J31" s="5" t="n"/>
      <c r="K31" s="5" t="n"/>
      <c r="L31" s="5" t="n"/>
      <c r="M31" s="5" t="n"/>
      <c r="N31" s="5" t="n"/>
    </row>
    <row r="32">
      <c r="A32" s="3" t="inlineStr">
        <is>
          <t>Lease Liability - Finance - Non-Current</t>
        </is>
      </c>
      <c r="B32" s="4" t="n">
        <v>132.537</v>
      </c>
      <c r="C32" s="4" t="n">
        <v>82.29000000000001</v>
      </c>
      <c r="D32" s="4" t="n">
        <v>45.408</v>
      </c>
      <c r="E32" s="4" t="n">
        <v>162</v>
      </c>
      <c r="F32" s="4" t="n">
        <v>193</v>
      </c>
      <c r="G32" s="4" t="n">
        <v>211</v>
      </c>
      <c r="H32" s="4" t="n">
        <v>0</v>
      </c>
      <c r="I32" s="5" t="n"/>
      <c r="J32" s="5" t="n"/>
      <c r="K32" s="5" t="n"/>
      <c r="L32" s="5" t="n"/>
      <c r="M32" s="5" t="n"/>
      <c r="N32" s="5" t="n"/>
    </row>
    <row r="33">
      <c r="A33" s="3" t="inlineStr">
        <is>
          <t>Deferred Tax Liability</t>
        </is>
      </c>
      <c r="B33" s="4" t="n">
        <v>0</v>
      </c>
      <c r="C33" s="4" t="n">
        <v>0</v>
      </c>
      <c r="D33" s="4" t="n">
        <v>3146.394</v>
      </c>
      <c r="E33" s="4" t="n">
        <v>15919</v>
      </c>
      <c r="F33" s="4" t="n">
        <v>2880</v>
      </c>
      <c r="G33" s="4" t="n">
        <v>2330</v>
      </c>
      <c r="H33" s="4" t="n">
        <v>0</v>
      </c>
      <c r="I33" s="5" t="n"/>
      <c r="J33" s="5" t="n"/>
      <c r="K33" s="5" t="n"/>
      <c r="L33" s="5" t="n"/>
      <c r="M33" s="5" t="n"/>
      <c r="N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669926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Deferred Revenue - Non-Current</t>
        </is>
      </c>
      <c r="B35" s="4" t="n">
        <v>0</v>
      </c>
      <c r="C35" s="4" t="n">
        <v>0</v>
      </c>
      <c r="D35" s="4" t="n">
        <v>0</v>
      </c>
      <c r="E35" s="4" t="n">
        <v>179788</v>
      </c>
      <c r="F35" s="4" t="n">
        <v>167227</v>
      </c>
      <c r="G35" s="4" t="n">
        <v>157714</v>
      </c>
      <c r="H35" s="4" t="n">
        <v>401155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28372</v>
      </c>
      <c r="I36" s="5" t="n"/>
      <c r="J36" s="5" t="n"/>
      <c r="K36" s="5" t="n"/>
      <c r="L36" s="5" t="n"/>
      <c r="M36" s="5" t="n"/>
      <c r="N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  <c r="L37" s="7">
        <f>L30+SUM(L31:L36)</f>
        <v/>
      </c>
      <c r="M37" s="7">
        <f>M30+SUM(M31:M36)</f>
        <v/>
      </c>
      <c r="N37" s="7">
        <f>N30+SUM(N31:N36)</f>
        <v/>
      </c>
    </row>
    <row r="38">
      <c r="A38" s="3" t="inlineStr">
        <is>
          <t>Convertible Preferred Stock</t>
        </is>
      </c>
      <c r="B38" s="4" t="n">
        <v>0</v>
      </c>
      <c r="C38" s="4" t="n">
        <v>0</v>
      </c>
      <c r="D38" s="4" t="n">
        <v>0</v>
      </c>
      <c r="E38" s="4" t="n">
        <v>824488</v>
      </c>
      <c r="F38" s="4" t="n">
        <v>824488</v>
      </c>
      <c r="G38" s="4" t="n">
        <v>824488</v>
      </c>
      <c r="H38" s="4" t="n">
        <v>1759975</v>
      </c>
      <c r="I38" s="5" t="n"/>
      <c r="J38" s="5" t="n"/>
      <c r="K38" s="5" t="n"/>
      <c r="L38" s="5" t="n"/>
      <c r="M38" s="5" t="n"/>
      <c r="N38" s="5" t="n"/>
    </row>
    <row r="39">
      <c r="A39" s="3" t="inlineStr">
        <is>
          <t>Common Stock</t>
        </is>
      </c>
      <c r="B39" s="4" t="n">
        <v>68.94199999999999</v>
      </c>
      <c r="C39" s="4" t="n">
        <v>72.26300000000001</v>
      </c>
      <c r="D39" s="4" t="n">
        <v>74.90900000000001</v>
      </c>
      <c r="E39" s="4" t="n">
        <v>76</v>
      </c>
      <c r="F39" s="4" t="n">
        <v>77</v>
      </c>
      <c r="G39" s="4" t="n">
        <v>79</v>
      </c>
      <c r="H39" s="4" t="n">
        <v>101</v>
      </c>
      <c r="I39" s="5" t="n"/>
      <c r="J39" s="5" t="n"/>
      <c r="K39" s="5" t="n"/>
      <c r="L39" s="5" t="n"/>
      <c r="M39" s="5" t="n"/>
      <c r="N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-48226</v>
      </c>
      <c r="I40" s="5" t="n"/>
      <c r="J40" s="5" t="n"/>
      <c r="K40" s="5" t="n"/>
      <c r="L40" s="5" t="n"/>
      <c r="M40" s="5" t="n"/>
      <c r="N40" s="5" t="n"/>
    </row>
    <row r="41">
      <c r="A41" s="3" t="inlineStr">
        <is>
          <t>Additional Paid-in Capital</t>
        </is>
      </c>
      <c r="B41" s="4" t="n">
        <v>127552.998</v>
      </c>
      <c r="C41" s="4" t="n">
        <v>159884.154</v>
      </c>
      <c r="D41" s="4" t="n">
        <v>267846.196</v>
      </c>
      <c r="E41" s="4" t="n">
        <v>280668</v>
      </c>
      <c r="F41" s="4" t="n">
        <v>276717</v>
      </c>
      <c r="G41" s="4" t="n">
        <v>297579</v>
      </c>
      <c r="H41" s="4" t="n">
        <v>1050518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Accumulated Other Comprehensive Income (Loss)</t>
        </is>
      </c>
      <c r="B42" s="4" t="n">
        <v>-753.52</v>
      </c>
      <c r="C42" s="4" t="n">
        <v>-202.142</v>
      </c>
      <c r="D42" s="4" t="n">
        <v>613.651</v>
      </c>
      <c r="E42" s="4" t="n">
        <v>-1881</v>
      </c>
      <c r="F42" s="4" t="n">
        <v>-701</v>
      </c>
      <c r="G42" s="4" t="n">
        <v>-3250</v>
      </c>
      <c r="H42" s="4" t="n">
        <v>3162</v>
      </c>
      <c r="I42" s="5" t="n"/>
      <c r="J42" s="5" t="n"/>
      <c r="K42" s="5" t="n"/>
      <c r="L42" s="5" t="n"/>
      <c r="M42" s="5" t="n"/>
      <c r="N42" s="5" t="n"/>
    </row>
    <row r="43">
      <c r="A43" s="3" t="inlineStr">
        <is>
          <t>Retained Earnings (Accumulated Deficit)</t>
        </is>
      </c>
      <c r="B43" s="4" t="n">
        <v>-63409.431</v>
      </c>
      <c r="C43" s="4" t="n">
        <v>-55426.832</v>
      </c>
      <c r="D43" s="4" t="n">
        <v>-51489.559</v>
      </c>
      <c r="E43" s="4" t="n">
        <v>-238772</v>
      </c>
      <c r="F43" s="4" t="n">
        <v>-12053</v>
      </c>
      <c r="G43" s="4" t="n">
        <v>105521</v>
      </c>
      <c r="H43" s="4" t="n">
        <v>175912</v>
      </c>
      <c r="I43" s="5" t="n"/>
      <c r="J43" s="5" t="n"/>
      <c r="K43" s="5" t="n"/>
      <c r="L43" s="5" t="n"/>
      <c r="M43" s="5" t="n"/>
      <c r="N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  <c r="L44" s="7">
        <f>SUM(L38:L43)</f>
        <v/>
      </c>
      <c r="M44" s="7">
        <f>SUM(M38:M43)</f>
        <v/>
      </c>
      <c r="N44" s="7">
        <f>SUM(N38:N43)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7">
        <f>I37+I44</f>
        <v/>
      </c>
      <c r="J45" s="7">
        <f>J37+J44</f>
        <v/>
      </c>
      <c r="K45" s="7">
        <f>K37+K44</f>
        <v/>
      </c>
      <c r="L45" s="7">
        <f>L37+L44</f>
        <v/>
      </c>
      <c r="M45" s="7">
        <f>M37+M44</f>
        <v/>
      </c>
      <c r="N45" s="7">
        <f>N37+N44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FY2019</t>
        </is>
      </c>
      <c r="C1" s="2" t="inlineStr">
        <is>
          <t>FY2020</t>
        </is>
      </c>
      <c r="D1" s="2" t="inlineStr">
        <is>
          <t>FY2021</t>
        </is>
      </c>
      <c r="E1" s="2" t="inlineStr">
        <is>
          <t>FY2022</t>
        </is>
      </c>
      <c r="F1" s="2" t="inlineStr">
        <is>
          <t>FY2023</t>
        </is>
      </c>
      <c r="G1" s="2" t="inlineStr">
        <is>
          <t>FY2024</t>
        </is>
      </c>
      <c r="H1" s="2" t="inlineStr">
        <is>
          <t>FY2025</t>
        </is>
      </c>
      <c r="I1" s="2" t="inlineStr">
        <is>
          <t>FY2026E</t>
        </is>
      </c>
      <c r="J1" s="2" t="inlineStr">
        <is>
          <t>FY2027E</t>
        </is>
      </c>
      <c r="K1" s="2" t="inlineStr">
        <is>
          <t>FY2028E</t>
        </is>
      </c>
      <c r="L1" s="2" t="inlineStr">
        <is>
          <t>FY2029E</t>
        </is>
      </c>
      <c r="M1" s="2" t="inlineStr">
        <is>
          <t>FY2030E</t>
        </is>
      </c>
      <c r="N1" s="2" t="inlineStr">
        <is>
          <t>FY2031E</t>
        </is>
      </c>
    </row>
    <row r="2">
      <c r="A2" s="3" t="inlineStr">
        <is>
          <t>Net Income (Loss)</t>
        </is>
      </c>
      <c r="B2" s="4" t="n">
        <v>9971.26</v>
      </c>
      <c r="C2" s="4" t="n">
        <v>8523.849</v>
      </c>
      <c r="D2" s="4" t="n">
        <v>3937</v>
      </c>
      <c r="E2" s="4" t="n">
        <v>-187282</v>
      </c>
      <c r="F2" s="4" t="n">
        <v>226801</v>
      </c>
      <c r="G2" s="4" t="n">
        <v>145074</v>
      </c>
      <c r="H2" s="4" t="n">
        <v>107999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Depreciation</t>
        </is>
      </c>
      <c r="B3" s="4" t="n">
        <v>66.93899999999999</v>
      </c>
      <c r="C3" s="4" t="n">
        <v>127.263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Amortization</t>
        </is>
      </c>
      <c r="B4" s="4" t="n">
        <v>826.474</v>
      </c>
      <c r="C4" s="4" t="n">
        <v>1484.303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5" t="n"/>
      <c r="J4" s="5" t="n"/>
      <c r="K4" s="5" t="n"/>
      <c r="L4" s="5" t="n"/>
      <c r="M4" s="5" t="n"/>
      <c r="N4" s="5" t="n"/>
    </row>
    <row r="5">
      <c r="A5" s="3" t="inlineStr">
        <is>
          <t>Depreciation &amp; Amortization</t>
        </is>
      </c>
      <c r="B5" s="4" t="n">
        <v>0</v>
      </c>
      <c r="C5" s="4" t="n">
        <v>0</v>
      </c>
      <c r="D5" s="4" t="n">
        <v>1264</v>
      </c>
      <c r="E5" s="4" t="n">
        <v>1917</v>
      </c>
      <c r="F5" s="4" t="n">
        <v>3226</v>
      </c>
      <c r="G5" s="4" t="n">
        <v>7274</v>
      </c>
      <c r="H5" s="4" t="n">
        <v>29451</v>
      </c>
      <c r="I5" s="5" t="n"/>
      <c r="J5" s="5" t="n"/>
      <c r="K5" s="5" t="n"/>
      <c r="L5" s="5" t="n"/>
      <c r="M5" s="5" t="n"/>
      <c r="N5" s="5" t="n"/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2379</v>
      </c>
      <c r="F6" s="4" t="n">
        <v>0</v>
      </c>
      <c r="G6" s="4" t="n">
        <v>0</v>
      </c>
      <c r="H6" s="4" t="n">
        <v>0</v>
      </c>
      <c r="I6" s="5" t="n"/>
      <c r="J6" s="5" t="n"/>
      <c r="K6" s="5" t="n"/>
      <c r="L6" s="5" t="n"/>
      <c r="M6" s="5" t="n"/>
      <c r="N6" s="5" t="n"/>
    </row>
    <row r="7">
      <c r="A7" s="3" t="inlineStr">
        <is>
          <t>Allowance for Credit Losses</t>
        </is>
      </c>
      <c r="B7" s="4" t="n">
        <v>109.393</v>
      </c>
      <c r="C7" s="4" t="n">
        <v>257.177</v>
      </c>
      <c r="D7" s="4" t="n">
        <v>1494</v>
      </c>
      <c r="E7" s="4" t="n">
        <v>2352</v>
      </c>
      <c r="F7" s="4" t="n">
        <v>2128</v>
      </c>
      <c r="G7" s="4" t="n">
        <v>3294</v>
      </c>
      <c r="H7" s="4" t="n">
        <v>10600</v>
      </c>
      <c r="I7" s="5" t="n"/>
      <c r="J7" s="5" t="n"/>
      <c r="K7" s="5" t="n"/>
      <c r="L7" s="5" t="n"/>
      <c r="M7" s="5" t="n"/>
      <c r="N7" s="5" t="n"/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0</v>
      </c>
      <c r="E8" s="4" t="n">
        <v>5885</v>
      </c>
      <c r="F8" s="4" t="n">
        <v>14124</v>
      </c>
      <c r="G8" s="4" t="n">
        <v>14124</v>
      </c>
      <c r="H8" s="4" t="n">
        <v>26326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Inventory Write-Down</t>
        </is>
      </c>
      <c r="B9" s="4" t="n">
        <v>331.985</v>
      </c>
      <c r="C9" s="4" t="n">
        <v>747.5069999999999</v>
      </c>
      <c r="D9" s="4" t="n">
        <v>2355</v>
      </c>
      <c r="E9" s="4" t="n">
        <v>6131</v>
      </c>
      <c r="F9" s="4" t="n">
        <v>7312</v>
      </c>
      <c r="G9" s="4" t="n">
        <v>19086</v>
      </c>
      <c r="H9" s="4" t="n">
        <v>29190</v>
      </c>
      <c r="I9" s="5" t="n"/>
      <c r="J9" s="5" t="n"/>
      <c r="K9" s="5" t="n"/>
      <c r="L9" s="5" t="n"/>
      <c r="M9" s="5" t="n"/>
      <c r="N9" s="5" t="n"/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198</v>
      </c>
      <c r="G10" s="4" t="n">
        <v>173</v>
      </c>
      <c r="H10" s="4" t="n">
        <v>0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Stock-Based Compensation</t>
        </is>
      </c>
      <c r="B11" s="4" t="n">
        <v>4831.75</v>
      </c>
      <c r="C11" s="4" t="n">
        <v>6340</v>
      </c>
      <c r="D11" s="4" t="n">
        <v>36475</v>
      </c>
      <c r="E11" s="4" t="n">
        <v>20665</v>
      </c>
      <c r="F11" s="4" t="n">
        <v>21226</v>
      </c>
      <c r="G11" s="4" t="n">
        <v>19591</v>
      </c>
      <c r="H11" s="4" t="n">
        <v>28050</v>
      </c>
      <c r="I11" s="5" t="n"/>
      <c r="J11" s="5" t="n"/>
      <c r="K11" s="5" t="n"/>
      <c r="L11" s="5" t="n"/>
      <c r="M11" s="5" t="n"/>
      <c r="N11" s="5" t="n"/>
    </row>
    <row r="12">
      <c r="A12" s="3" t="inlineStr">
        <is>
          <t>Gain on China Transaction</t>
        </is>
      </c>
      <c r="B12" s="4" t="n">
        <v>-12461.037</v>
      </c>
      <c r="C12" s="4" t="n">
        <v>-322.936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(Benefit) Provision for Deferred Income Taxes</t>
        </is>
      </c>
      <c r="B13" s="4" t="n">
        <v>0</v>
      </c>
      <c r="C13" s="4" t="n">
        <v>0</v>
      </c>
      <c r="D13" s="4" t="n">
        <v>-9201</v>
      </c>
      <c r="E13" s="4" t="n">
        <v>20244</v>
      </c>
      <c r="F13" s="4" t="n">
        <v>-42055</v>
      </c>
      <c r="G13" s="4" t="n">
        <v>-9730</v>
      </c>
      <c r="H13" s="4" t="n">
        <v>-57336</v>
      </c>
      <c r="I13" s="5" t="n"/>
      <c r="J13" s="5" t="n"/>
      <c r="K13" s="5" t="n"/>
      <c r="L13" s="5" t="n"/>
      <c r="M13" s="5" t="n"/>
      <c r="N13" s="5" t="n"/>
    </row>
    <row r="14">
      <c r="A14" s="3" t="inlineStr">
        <is>
          <t>Foreign Currency Gain (Loss)</t>
        </is>
      </c>
      <c r="B14" s="4" t="n">
        <v>0</v>
      </c>
      <c r="C14" s="4" t="n">
        <v>0</v>
      </c>
      <c r="D14" s="4" t="n">
        <v>880</v>
      </c>
      <c r="E14" s="4" t="n">
        <v>483</v>
      </c>
      <c r="F14" s="4" t="n">
        <v>1246</v>
      </c>
      <c r="G14" s="4" t="n">
        <v>1734</v>
      </c>
      <c r="H14" s="4" t="n">
        <v>0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Gain (Loss) on Lease Cancellations</t>
        </is>
      </c>
      <c r="B15" s="4" t="n">
        <v>0</v>
      </c>
      <c r="C15" s="4" t="n">
        <v>-152.112</v>
      </c>
      <c r="D15" s="4" t="n">
        <v>-28</v>
      </c>
      <c r="E15" s="4" t="n">
        <v>0</v>
      </c>
      <c r="F15" s="4" t="n">
        <v>0</v>
      </c>
      <c r="G15" s="4" t="n">
        <v>0</v>
      </c>
      <c r="H15" s="4" t="n">
        <v>0</v>
      </c>
      <c r="I15" s="5" t="n"/>
      <c r="J15" s="5" t="n"/>
      <c r="K15" s="5" t="n"/>
      <c r="L15" s="5" t="n"/>
      <c r="M15" s="5" t="n"/>
      <c r="N15" s="5" t="n"/>
    </row>
    <row r="16">
      <c r="A16" s="3" t="inlineStr">
        <is>
          <t>Change in Fair Value of Contingent Consideration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13800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Gain (Loss) on Extinguishment of Debt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6003</v>
      </c>
      <c r="I17" s="5" t="n"/>
      <c r="J17" s="5" t="n"/>
      <c r="K17" s="5" t="n"/>
      <c r="L17" s="5" t="n"/>
      <c r="M17" s="5" t="n"/>
      <c r="N17" s="5" t="n"/>
    </row>
    <row r="18">
      <c r="A18" s="3" t="inlineStr">
        <is>
          <t>Other Operating Items</t>
        </is>
      </c>
      <c r="B18" s="4" t="n">
        <v>0</v>
      </c>
      <c r="C18" s="4" t="n">
        <v>0</v>
      </c>
      <c r="D18" s="4" t="n">
        <v>0</v>
      </c>
      <c r="E18" s="4" t="n">
        <v>37</v>
      </c>
      <c r="F18" s="4" t="n">
        <v>-28</v>
      </c>
      <c r="G18" s="4" t="n">
        <v>-324</v>
      </c>
      <c r="H18" s="4" t="n">
        <v>-1687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Accounts Receivable</t>
        </is>
      </c>
      <c r="B19" s="4" t="n">
        <v>-1432.98</v>
      </c>
      <c r="C19" s="4" t="n">
        <v>-7468.772</v>
      </c>
      <c r="D19" s="4" t="n">
        <v>-25249</v>
      </c>
      <c r="E19" s="4" t="n">
        <v>-26369</v>
      </c>
      <c r="F19" s="4" t="n">
        <v>-121558</v>
      </c>
      <c r="G19" s="4" t="n">
        <v>-89665</v>
      </c>
      <c r="H19" s="4" t="n">
        <v>-412091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Note Receivable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2318</v>
      </c>
      <c r="H20" s="4" t="n">
        <v>0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Inventories</t>
        </is>
      </c>
      <c r="B21" s="4" t="n">
        <v>-2239.254</v>
      </c>
      <c r="C21" s="4" t="n">
        <v>-3858.78</v>
      </c>
      <c r="D21" s="4" t="n">
        <v>-175174</v>
      </c>
      <c r="E21" s="4" t="n">
        <v>11802</v>
      </c>
      <c r="F21" s="4" t="n">
        <v>-63299</v>
      </c>
      <c r="G21" s="4" t="n">
        <v>77190</v>
      </c>
      <c r="H21" s="4" t="n">
        <v>-129777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Prepaid Expenses</t>
        </is>
      </c>
      <c r="B22" s="4" t="n">
        <v>-805.571</v>
      </c>
      <c r="C22" s="4" t="n">
        <v>-10456.787</v>
      </c>
      <c r="D22" s="4" t="n">
        <v>1072</v>
      </c>
      <c r="E22" s="4" t="n">
        <v>2214</v>
      </c>
      <c r="F22" s="4" t="n">
        <v>-7980</v>
      </c>
      <c r="G22" s="4" t="n">
        <v>1074</v>
      </c>
      <c r="H22" s="4" t="n">
        <v>-108321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Change in A/P and Accrued (legacy)</t>
        </is>
      </c>
      <c r="B23" s="4" t="n">
        <v>2624.892</v>
      </c>
      <c r="C23" s="4" t="n">
        <v>8120.106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5" t="n"/>
      <c r="J23" s="5" t="n"/>
      <c r="K23" s="5" t="n"/>
      <c r="L23" s="5" t="n"/>
      <c r="M23" s="5" t="n"/>
      <c r="N23" s="5" t="n"/>
    </row>
    <row r="24">
      <c r="A24" s="3" t="inlineStr">
        <is>
          <t>Other Non-Current Assets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-4862</v>
      </c>
      <c r="H24" s="4" t="n">
        <v>2857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Accounts Payable</t>
        </is>
      </c>
      <c r="B25" s="4" t="n">
        <v>0</v>
      </c>
      <c r="C25" s="4" t="n">
        <v>0</v>
      </c>
      <c r="D25" s="4" t="n">
        <v>23966</v>
      </c>
      <c r="E25" s="4" t="n">
        <v>428</v>
      </c>
      <c r="F25" s="4" t="n">
        <v>5249</v>
      </c>
      <c r="G25" s="4" t="n">
        <v>-1170</v>
      </c>
      <c r="H25" s="4" t="n">
        <v>51252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Accrued Expenses</t>
        </is>
      </c>
      <c r="B26" s="4" t="n">
        <v>0</v>
      </c>
      <c r="C26" s="4" t="n">
        <v>0</v>
      </c>
      <c r="D26" s="4" t="n">
        <v>26484</v>
      </c>
      <c r="E26" s="4" t="n">
        <v>34644</v>
      </c>
      <c r="F26" s="4" t="n">
        <v>-8025</v>
      </c>
      <c r="G26" s="4" t="n">
        <v>85398</v>
      </c>
      <c r="H26" s="4" t="n">
        <v>45618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Change in Income Taxes</t>
        </is>
      </c>
      <c r="B27" s="4" t="n">
        <v>0</v>
      </c>
      <c r="C27" s="4" t="n">
        <v>0</v>
      </c>
      <c r="D27" s="4" t="n">
        <v>1357</v>
      </c>
      <c r="E27" s="4" t="n">
        <v>-164</v>
      </c>
      <c r="F27" s="4" t="n">
        <v>48102</v>
      </c>
      <c r="G27" s="4" t="n">
        <v>-39536</v>
      </c>
      <c r="H27" s="4" t="n">
        <v>38750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Accrued Promotional Allowance</t>
        </is>
      </c>
      <c r="B28" s="4" t="n">
        <v>0</v>
      </c>
      <c r="C28" s="4" t="n">
        <v>0</v>
      </c>
      <c r="D28" s="4" t="n">
        <v>13379</v>
      </c>
      <c r="E28" s="4" t="n">
        <v>16940</v>
      </c>
      <c r="F28" s="4" t="n">
        <v>63810</v>
      </c>
      <c r="G28" s="4" t="n">
        <v>36161</v>
      </c>
      <c r="H28" s="4" t="n">
        <v>153635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Accrued Distributor Termination</t>
        </is>
      </c>
      <c r="B29" s="4" t="n">
        <v>0</v>
      </c>
      <c r="C29" s="4" t="n">
        <v>0</v>
      </c>
      <c r="D29" s="4" t="n">
        <v>0</v>
      </c>
      <c r="E29" s="4" t="n">
        <v>3986</v>
      </c>
      <c r="F29" s="4" t="n">
        <v>-3739</v>
      </c>
      <c r="G29" s="4" t="n">
        <v>-248</v>
      </c>
      <c r="H29" s="4" t="n">
        <v>257595</v>
      </c>
      <c r="I29" s="5" t="n"/>
      <c r="J29" s="5" t="n"/>
      <c r="K29" s="5" t="n"/>
      <c r="L29" s="5" t="n"/>
      <c r="M29" s="5" t="n"/>
      <c r="N29" s="5" t="n"/>
    </row>
    <row r="30">
      <c r="A30" s="3" t="inlineStr">
        <is>
          <t>Other Current Liabilities</t>
        </is>
      </c>
      <c r="B30" s="4" t="n">
        <v>-895.806</v>
      </c>
      <c r="C30" s="4" t="n">
        <v>-96.28100000000001</v>
      </c>
      <c r="D30" s="4" t="n">
        <v>374</v>
      </c>
      <c r="E30" s="4" t="n">
        <v>2610</v>
      </c>
      <c r="F30" s="4" t="n">
        <v>7305</v>
      </c>
      <c r="G30" s="4" t="n">
        <v>4920</v>
      </c>
      <c r="H30" s="4" t="n">
        <v>9937</v>
      </c>
      <c r="I30" s="5" t="n"/>
      <c r="J30" s="5" t="n"/>
      <c r="K30" s="5" t="n"/>
      <c r="L30" s="5" t="n"/>
      <c r="M30" s="5" t="n"/>
      <c r="N30" s="5" t="n"/>
    </row>
    <row r="31">
      <c r="A31" s="3" t="inlineStr">
        <is>
          <t>ROU &amp; Lease Liability, Net</t>
        </is>
      </c>
      <c r="B31" s="4" t="n">
        <v>105.943</v>
      </c>
      <c r="C31" s="4" t="n">
        <v>150.547</v>
      </c>
      <c r="D31" s="4" t="n">
        <v>29</v>
      </c>
      <c r="E31" s="4" t="n">
        <v>-183</v>
      </c>
      <c r="F31" s="4" t="n">
        <v>-102</v>
      </c>
      <c r="G31" s="4" t="n">
        <v>535</v>
      </c>
      <c r="H31" s="4" t="n">
        <v>0</v>
      </c>
      <c r="I31" s="5" t="n"/>
      <c r="J31" s="5" t="n"/>
      <c r="K31" s="5" t="n"/>
      <c r="L31" s="5" t="n"/>
      <c r="M31" s="5" t="n"/>
      <c r="N31" s="5" t="n"/>
    </row>
    <row r="32">
      <c r="A32" s="3" t="inlineStr">
        <is>
          <t>Deferred Revenue</t>
        </is>
      </c>
      <c r="B32" s="4" t="n">
        <v>0</v>
      </c>
      <c r="C32" s="4" t="n">
        <v>0</v>
      </c>
      <c r="D32" s="4" t="n">
        <v>0</v>
      </c>
      <c r="E32" s="4" t="n">
        <v>189463</v>
      </c>
      <c r="F32" s="4" t="n">
        <v>-12723</v>
      </c>
      <c r="G32" s="4" t="n">
        <v>-9513</v>
      </c>
      <c r="H32" s="4" t="n">
        <v>255110</v>
      </c>
      <c r="I32" s="5" t="n"/>
      <c r="J32" s="5" t="n"/>
      <c r="K32" s="5" t="n"/>
      <c r="L32" s="5" t="n"/>
      <c r="M32" s="5" t="n"/>
      <c r="N32" s="5" t="n"/>
    </row>
    <row r="33">
      <c r="A33" s="3" t="inlineStr">
        <is>
          <t>Net Change in Other Working Capital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2481</v>
      </c>
      <c r="I33" s="5" t="n"/>
      <c r="J33" s="5" t="n"/>
      <c r="K33" s="5" t="n"/>
      <c r="L33" s="5" t="n"/>
      <c r="M33" s="5" t="n"/>
      <c r="N33" s="5" t="n"/>
    </row>
    <row r="34">
      <c r="A34" s="3" t="inlineStr">
        <is>
          <t>Cash Flow from Operations</t>
        </is>
      </c>
      <c r="B34" s="6">
        <f>SUM(B2:B33)</f>
        <v/>
      </c>
      <c r="C34" s="6">
        <f>SUM(C2:C33)</f>
        <v/>
      </c>
      <c r="D34" s="6">
        <f>SUM(D2:D33)</f>
        <v/>
      </c>
      <c r="E34" s="6">
        <f>SUM(E2:E33)</f>
        <v/>
      </c>
      <c r="F34" s="6">
        <f>SUM(F2:F33)</f>
        <v/>
      </c>
      <c r="G34" s="6">
        <f>SUM(G2:G33)</f>
        <v/>
      </c>
      <c r="H34" s="6">
        <f>SUM(H2:H33)</f>
        <v/>
      </c>
      <c r="I34" s="7">
        <f>SUM(I2:I33)</f>
        <v/>
      </c>
      <c r="J34" s="7">
        <f>SUM(J2:J33)</f>
        <v/>
      </c>
      <c r="K34" s="7">
        <f>SUM(K2:K33)</f>
        <v/>
      </c>
      <c r="L34" s="7">
        <f>SUM(L2:L33)</f>
        <v/>
      </c>
      <c r="M34" s="7">
        <f>SUM(M2:M33)</f>
        <v/>
      </c>
      <c r="N34" s="7">
        <f>SUM(N2:N33)</f>
        <v/>
      </c>
    </row>
    <row r="35">
      <c r="A35" s="3" t="inlineStr">
        <is>
          <t>Collections from Note Receivable</t>
        </is>
      </c>
      <c r="B35" s="4" t="n">
        <v>0</v>
      </c>
      <c r="C35" s="4" t="n">
        <v>1331.011</v>
      </c>
      <c r="D35" s="4" t="n">
        <v>1886</v>
      </c>
      <c r="E35" s="4" t="n">
        <v>2592</v>
      </c>
      <c r="F35" s="4" t="n">
        <v>3233</v>
      </c>
      <c r="G35" s="4" t="n">
        <v>0</v>
      </c>
      <c r="H35" s="4" t="n">
        <v>0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Purchase of PP&amp;E</t>
        </is>
      </c>
      <c r="B36" s="4" t="n">
        <v>-77.974</v>
      </c>
      <c r="C36" s="4" t="n">
        <v>-573.751</v>
      </c>
      <c r="D36" s="4" t="n">
        <v>-3150</v>
      </c>
      <c r="E36" s="4" t="n">
        <v>-8264</v>
      </c>
      <c r="F36" s="4" t="n">
        <v>-17433</v>
      </c>
      <c r="G36" s="4" t="n">
        <v>-23390</v>
      </c>
      <c r="H36" s="4" t="n">
        <v>-36067</v>
      </c>
      <c r="I36" s="5" t="n"/>
      <c r="J36" s="5" t="n"/>
      <c r="K36" s="5" t="n"/>
      <c r="L36" s="5" t="n"/>
      <c r="M36" s="5" t="n"/>
      <c r="N36" s="5" t="n"/>
    </row>
    <row r="37">
      <c r="A37" s="3" t="inlineStr">
        <is>
          <t>Purchase of Non-Marketable Equity Securities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-3000</v>
      </c>
      <c r="H37" s="4" t="n">
        <v>-10000</v>
      </c>
      <c r="I37" s="5" t="n"/>
      <c r="J37" s="5" t="n"/>
      <c r="K37" s="5" t="n"/>
      <c r="L37" s="5" t="n"/>
      <c r="M37" s="5" t="n"/>
      <c r="N37" s="5" t="n"/>
    </row>
    <row r="38">
      <c r="A38" s="3" t="inlineStr">
        <is>
          <t>Acquisition of Big Beverages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-75336</v>
      </c>
      <c r="H38" s="4" t="n">
        <v>0</v>
      </c>
      <c r="I38" s="5" t="n"/>
      <c r="J38" s="5" t="n"/>
      <c r="K38" s="5" t="n"/>
      <c r="L38" s="5" t="n"/>
      <c r="M38" s="5" t="n"/>
      <c r="N38" s="5" t="n"/>
    </row>
    <row r="39">
      <c r="A39" s="3" t="inlineStr">
        <is>
          <t>Acquisitions, Net of Cash Acquired</t>
        </is>
      </c>
      <c r="B39" s="4" t="n">
        <v>-14188.056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-1278769</v>
      </c>
      <c r="I39" s="5" t="n"/>
      <c r="J39" s="5" t="n"/>
      <c r="K39" s="5" t="n"/>
      <c r="L39" s="5" t="n"/>
      <c r="M39" s="5" t="n"/>
      <c r="N39" s="5" t="n"/>
    </row>
    <row r="40">
      <c r="A40" s="3" t="inlineStr">
        <is>
          <t>Working Capital Estimate from Pepsi (Rockstar)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29156</v>
      </c>
      <c r="I40" s="5" t="n"/>
      <c r="J40" s="5" t="n"/>
      <c r="K40" s="5" t="n"/>
      <c r="L40" s="5" t="n"/>
      <c r="M40" s="5" t="n"/>
      <c r="N40" s="5" t="n"/>
    </row>
    <row r="41">
      <c r="A41" s="3" t="inlineStr">
        <is>
          <t>Cash Flow from Investing</t>
        </is>
      </c>
      <c r="B41" s="6">
        <f>SUM(B35:B40)</f>
        <v/>
      </c>
      <c r="C41" s="6">
        <f>SUM(C35:C40)</f>
        <v/>
      </c>
      <c r="D41" s="6">
        <f>SUM(D35:D40)</f>
        <v/>
      </c>
      <c r="E41" s="6">
        <f>SUM(E35:E40)</f>
        <v/>
      </c>
      <c r="F41" s="6">
        <f>SUM(F35:F40)</f>
        <v/>
      </c>
      <c r="G41" s="6">
        <f>SUM(G35:G40)</f>
        <v/>
      </c>
      <c r="H41" s="6">
        <f>SUM(H35:H40)</f>
        <v/>
      </c>
      <c r="I41" s="7">
        <f>SUM(I35:I40)</f>
        <v/>
      </c>
      <c r="J41" s="7">
        <f>SUM(J35:J40)</f>
        <v/>
      </c>
      <c r="K41" s="7">
        <f>SUM(K35:K40)</f>
        <v/>
      </c>
      <c r="L41" s="7">
        <f>SUM(L35:L40)</f>
        <v/>
      </c>
      <c r="M41" s="7">
        <f>SUM(M35:M40)</f>
        <v/>
      </c>
      <c r="N41" s="7">
        <f>SUM(N35:N40)</f>
        <v/>
      </c>
    </row>
    <row r="42">
      <c r="A42" s="3" t="inlineStr">
        <is>
          <t>Proceeds from Related-Party Notes</t>
        </is>
      </c>
      <c r="B42" s="4" t="n">
        <v>1500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5" t="n"/>
      <c r="J42" s="5" t="n"/>
      <c r="K42" s="5" t="n"/>
      <c r="L42" s="5" t="n"/>
      <c r="M42" s="5" t="n"/>
      <c r="N42" s="5" t="n"/>
    </row>
    <row r="43">
      <c r="A43" s="3" t="inlineStr">
        <is>
          <t>Payments on Bonds Payable</t>
        </is>
      </c>
      <c r="B43" s="4" t="n">
        <v>0</v>
      </c>
      <c r="C43" s="4" t="n">
        <v>-9601.531000000001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5" t="n"/>
      <c r="J43" s="5" t="n"/>
      <c r="K43" s="5" t="n"/>
      <c r="L43" s="5" t="n"/>
      <c r="M43" s="5" t="n"/>
      <c r="N43" s="5" t="n"/>
    </row>
    <row r="44">
      <c r="A44" s="3" t="inlineStr">
        <is>
          <t>Finance Lease Payments</t>
        </is>
      </c>
      <c r="B44" s="4" t="n">
        <v>-26.486</v>
      </c>
      <c r="C44" s="4" t="n">
        <v>-280.208</v>
      </c>
      <c r="D44" s="4" t="n">
        <v>-94</v>
      </c>
      <c r="E44" s="4" t="n">
        <v>-63</v>
      </c>
      <c r="F44" s="4" t="n">
        <v>-44</v>
      </c>
      <c r="G44" s="4" t="n">
        <v>-61</v>
      </c>
      <c r="H44" s="4" t="n">
        <v>0</v>
      </c>
      <c r="I44" s="5" t="n"/>
      <c r="J44" s="5" t="n"/>
      <c r="K44" s="5" t="n"/>
      <c r="L44" s="5" t="n"/>
      <c r="M44" s="5" t="n"/>
      <c r="N44" s="5" t="n"/>
    </row>
    <row r="45">
      <c r="A45" s="3" t="inlineStr">
        <is>
          <t>Proceeds from Exercise of Stock Options</t>
        </is>
      </c>
      <c r="B45" s="4" t="n">
        <v>224.083</v>
      </c>
      <c r="C45" s="4" t="n">
        <v>4126.791</v>
      </c>
      <c r="D45" s="4" t="n">
        <v>3720</v>
      </c>
      <c r="E45" s="4" t="n">
        <v>3683</v>
      </c>
      <c r="F45" s="4" t="n">
        <v>2285</v>
      </c>
      <c r="G45" s="4" t="n">
        <v>3856</v>
      </c>
      <c r="H45" s="4" t="n">
        <v>0</v>
      </c>
      <c r="I45" s="5" t="n"/>
      <c r="J45" s="5" t="n"/>
      <c r="K45" s="5" t="n"/>
      <c r="L45" s="5" t="n"/>
      <c r="M45" s="5" t="n"/>
      <c r="N45" s="5" t="n"/>
    </row>
    <row r="46">
      <c r="A46" s="3" t="inlineStr">
        <is>
          <t>Cash Paid for RSU Tax Withholding</t>
        </is>
      </c>
      <c r="B46" s="4" t="n">
        <v>0</v>
      </c>
      <c r="C46" s="4" t="n">
        <v>-656.6799999999999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5" t="n"/>
      <c r="J46" s="5" t="n"/>
      <c r="K46" s="5" t="n"/>
      <c r="L46" s="5" t="n"/>
      <c r="M46" s="5" t="n"/>
      <c r="N46" s="5" t="n"/>
    </row>
    <row r="47">
      <c r="A47" s="3" t="inlineStr">
        <is>
          <t>Section 16(b) Short-Swing Profit Recovery</t>
        </is>
      </c>
      <c r="B47" s="4" t="n">
        <v>0</v>
      </c>
      <c r="C47" s="4" t="n">
        <v>90.8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5" t="n"/>
      <c r="J47" s="5" t="n"/>
      <c r="K47" s="5" t="n"/>
      <c r="L47" s="5" t="n"/>
      <c r="M47" s="5" t="n"/>
      <c r="N47" s="5" t="n"/>
    </row>
    <row r="48">
      <c r="A48" s="3" t="inlineStr">
        <is>
          <t>Proceeds from Issuance of Common Stock</t>
        </is>
      </c>
      <c r="B48" s="4" t="n">
        <v>26955.437</v>
      </c>
      <c r="C48" s="4" t="n">
        <v>21892.316</v>
      </c>
      <c r="D48" s="4" t="n">
        <v>67769</v>
      </c>
      <c r="E48" s="4" t="n">
        <v>0</v>
      </c>
      <c r="F48" s="4" t="n">
        <v>0</v>
      </c>
      <c r="G48" s="4" t="n">
        <v>0</v>
      </c>
      <c r="H48" s="4" t="n">
        <v>0</v>
      </c>
      <c r="I48" s="5" t="n"/>
      <c r="J48" s="5" t="n"/>
      <c r="K48" s="5" t="n"/>
      <c r="L48" s="5" t="n"/>
      <c r="M48" s="5" t="n"/>
      <c r="N48" s="5" t="n"/>
    </row>
    <row r="49">
      <c r="A49" s="3" t="inlineStr">
        <is>
          <t>Proceeds from Issuance of Preferred Stock</t>
        </is>
      </c>
      <c r="B49" s="4" t="n">
        <v>0</v>
      </c>
      <c r="C49" s="4" t="n">
        <v>0</v>
      </c>
      <c r="D49" s="4" t="n">
        <v>0</v>
      </c>
      <c r="E49" s="4" t="n">
        <v>542018</v>
      </c>
      <c r="F49" s="4" t="n">
        <v>0</v>
      </c>
      <c r="G49" s="4" t="n">
        <v>0</v>
      </c>
      <c r="H49" s="4" t="n">
        <v>0</v>
      </c>
      <c r="I49" s="5" t="n"/>
      <c r="J49" s="5" t="n"/>
      <c r="K49" s="5" t="n"/>
      <c r="L49" s="5" t="n"/>
      <c r="M49" s="5" t="n"/>
      <c r="N49" s="5" t="n"/>
    </row>
    <row r="50">
      <c r="A50" s="3" t="inlineStr">
        <is>
          <t>Preferred Dividends</t>
        </is>
      </c>
      <c r="B50" s="4" t="n">
        <v>0</v>
      </c>
      <c r="C50" s="4" t="n">
        <v>0</v>
      </c>
      <c r="D50" s="4" t="n">
        <v>0</v>
      </c>
      <c r="E50" s="4" t="n">
        <v>-11526</v>
      </c>
      <c r="F50" s="4" t="n">
        <v>-27462</v>
      </c>
      <c r="G50" s="4" t="n">
        <v>-27500</v>
      </c>
      <c r="H50" s="4" t="n">
        <v>-37608</v>
      </c>
      <c r="I50" s="5" t="n"/>
      <c r="J50" s="5" t="n"/>
      <c r="K50" s="5" t="n"/>
      <c r="L50" s="5" t="n"/>
      <c r="M50" s="5" t="n"/>
      <c r="N50" s="5" t="n"/>
    </row>
    <row r="51">
      <c r="A51" s="3" t="inlineStr">
        <is>
          <t>Share Repurchases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-2261</v>
      </c>
      <c r="H51" s="4" t="n">
        <v>-45504</v>
      </c>
      <c r="I51" s="5" t="n"/>
      <c r="J51" s="5" t="n"/>
      <c r="K51" s="5" t="n"/>
      <c r="L51" s="5" t="n"/>
      <c r="M51" s="5" t="n"/>
      <c r="N51" s="5" t="n"/>
    </row>
    <row r="52">
      <c r="A52" s="3" t="inlineStr">
        <is>
          <t>Proceeds from Issuance of Long-Term Debt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900000</v>
      </c>
      <c r="I52" s="5" t="n"/>
      <c r="J52" s="5" t="n"/>
      <c r="K52" s="5" t="n"/>
      <c r="L52" s="5" t="n"/>
      <c r="M52" s="5" t="n"/>
      <c r="N52" s="5" t="n"/>
    </row>
    <row r="53">
      <c r="A53" s="3" t="inlineStr">
        <is>
          <t>Repayments of Long-Term Debt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-201750</v>
      </c>
      <c r="I53" s="5" t="n"/>
      <c r="J53" s="5" t="n"/>
      <c r="K53" s="5" t="n"/>
      <c r="L53" s="5" t="n"/>
      <c r="M53" s="5" t="n"/>
      <c r="N53" s="5" t="n"/>
    </row>
    <row r="54">
      <c r="A54" s="3" t="inlineStr">
        <is>
          <t>Debt Issuance Fees</t>
        </is>
      </c>
      <c r="B54" s="4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-32367</v>
      </c>
      <c r="I54" s="5" t="n"/>
      <c r="J54" s="5" t="n"/>
      <c r="K54" s="5" t="n"/>
      <c r="L54" s="5" t="n"/>
      <c r="M54" s="5" t="n"/>
      <c r="N54" s="5" t="n"/>
    </row>
    <row r="55">
      <c r="A55" s="3" t="inlineStr">
        <is>
          <t>Other Financing Activities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-7</v>
      </c>
      <c r="I55" s="5" t="n"/>
      <c r="J55" s="5" t="n"/>
      <c r="K55" s="5" t="n"/>
      <c r="L55" s="5" t="n"/>
      <c r="M55" s="5" t="n"/>
      <c r="N55" s="5" t="n"/>
    </row>
    <row r="56">
      <c r="A56" s="3" t="inlineStr">
        <is>
          <t>Cash Flow from Financing</t>
        </is>
      </c>
      <c r="B56" s="6">
        <f>SUM(B42:B55)</f>
        <v/>
      </c>
      <c r="C56" s="6">
        <f>SUM(C42:C55)</f>
        <v/>
      </c>
      <c r="D56" s="6">
        <f>SUM(D42:D55)</f>
        <v/>
      </c>
      <c r="E56" s="6">
        <f>SUM(E42:E55)</f>
        <v/>
      </c>
      <c r="F56" s="6">
        <f>SUM(F42:F55)</f>
        <v/>
      </c>
      <c r="G56" s="6">
        <f>SUM(G42:G55)</f>
        <v/>
      </c>
      <c r="H56" s="6">
        <f>SUM(H42:H55)</f>
        <v/>
      </c>
      <c r="I56" s="7">
        <f>SUM(I42:I55)</f>
        <v/>
      </c>
      <c r="J56" s="7">
        <f>SUM(J42:J55)</f>
        <v/>
      </c>
      <c r="K56" s="7">
        <f>SUM(K42:K55)</f>
        <v/>
      </c>
      <c r="L56" s="7">
        <f>SUM(L42:L55)</f>
        <v/>
      </c>
      <c r="M56" s="7">
        <f>SUM(M42:M55)</f>
        <v/>
      </c>
      <c r="N56" s="7">
        <f>SUM(N42:N55)</f>
        <v/>
      </c>
    </row>
    <row r="57">
      <c r="A57" s="3" t="inlineStr">
        <is>
          <t>FX Effect on Cash</t>
        </is>
      </c>
      <c r="B57" s="4" t="n">
        <v>-73.491</v>
      </c>
      <c r="C57" s="4" t="n">
        <v>433.507</v>
      </c>
      <c r="D57" s="4" t="n">
        <v>-538</v>
      </c>
      <c r="E57" s="4" t="n">
        <v>50</v>
      </c>
      <c r="F57" s="4" t="n">
        <v>1257</v>
      </c>
      <c r="G57" s="4" t="n">
        <v>-997</v>
      </c>
      <c r="H57" s="4" t="n">
        <v>3271</v>
      </c>
      <c r="I57" s="5" t="n"/>
      <c r="J57" s="5" t="n"/>
      <c r="K57" s="5" t="n"/>
      <c r="L57" s="5" t="n"/>
      <c r="M57" s="5" t="n"/>
      <c r="N57" s="5" t="n"/>
    </row>
    <row r="58">
      <c r="A58" s="3" t="inlineStr">
        <is>
          <t>Net Change in Cash</t>
        </is>
      </c>
      <c r="B58" s="6">
        <f>B34+B41+B56+B57</f>
        <v/>
      </c>
      <c r="C58" s="6">
        <f>C34+C41+C56+C57</f>
        <v/>
      </c>
      <c r="D58" s="6">
        <f>D34+D41+D56+D57</f>
        <v/>
      </c>
      <c r="E58" s="6">
        <f>E34+E41+E56+E57</f>
        <v/>
      </c>
      <c r="F58" s="6">
        <f>F34+F41+F56+F57</f>
        <v/>
      </c>
      <c r="G58" s="6">
        <f>G34+G41+G56+G57</f>
        <v/>
      </c>
      <c r="H58" s="6">
        <f>H34+H41+H56+H57</f>
        <v/>
      </c>
      <c r="I58" s="7">
        <f>I34+I41+I56+I57</f>
        <v/>
      </c>
      <c r="J58" s="7">
        <f>J34+J41+J56+J57</f>
        <v/>
      </c>
      <c r="K58" s="7">
        <f>K34+K41+K56+K57</f>
        <v/>
      </c>
      <c r="L58" s="7">
        <f>L34+L41+L56+L57</f>
        <v/>
      </c>
      <c r="M58" s="7">
        <f>M34+M41+M56+M57</f>
        <v/>
      </c>
      <c r="N58" s="7">
        <f>N34+N41+N56+N57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>
      <c r="A1" s="1" t="inlineStr"/>
      <c r="B1" s="2" t="inlineStr">
        <is>
          <t>Q1 FY2019</t>
        </is>
      </c>
      <c r="C1" s="2" t="inlineStr">
        <is>
          <t>Q2 FY2019</t>
        </is>
      </c>
      <c r="D1" s="2" t="inlineStr">
        <is>
          <t>Q3 FY2019</t>
        </is>
      </c>
      <c r="E1" s="2" t="inlineStr">
        <is>
          <t>Q1 FY2020</t>
        </is>
      </c>
      <c r="F1" s="2" t="inlineStr">
        <is>
          <t>Q2 FY2020</t>
        </is>
      </c>
      <c r="G1" s="2" t="inlineStr">
        <is>
          <t>Q3 FY2020</t>
        </is>
      </c>
      <c r="H1" s="2" t="inlineStr">
        <is>
          <t>Q1 FY2021</t>
        </is>
      </c>
      <c r="I1" s="2" t="inlineStr">
        <is>
          <t>Q2 FY2021</t>
        </is>
      </c>
      <c r="J1" s="2" t="inlineStr">
        <is>
          <t>Q3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Q1 FY2023</t>
        </is>
      </c>
      <c r="O1" s="2" t="inlineStr">
        <is>
          <t>Q2 FY2023</t>
        </is>
      </c>
      <c r="P1" s="2" t="inlineStr">
        <is>
          <t>Q3 FY2023</t>
        </is>
      </c>
      <c r="Q1" s="2" t="inlineStr">
        <is>
          <t>Q1 FY2024</t>
        </is>
      </c>
      <c r="R1" s="2" t="inlineStr">
        <is>
          <t>Q2 FY2024</t>
        </is>
      </c>
      <c r="S1" s="2" t="inlineStr">
        <is>
          <t>Q3 FY2024</t>
        </is>
      </c>
      <c r="T1" s="2" t="inlineStr">
        <is>
          <t>Q1 FY2025</t>
        </is>
      </c>
      <c r="U1" s="2" t="inlineStr">
        <is>
          <t>Q2 FY2025</t>
        </is>
      </c>
      <c r="V1" s="2" t="inlineStr">
        <is>
          <t>Q3 FY2025</t>
        </is>
      </c>
    </row>
    <row r="2">
      <c r="A2" s="3" t="inlineStr">
        <is>
          <t>Net Sales / Revenue</t>
        </is>
      </c>
      <c r="B2" s="4" t="n">
        <v>14485.65</v>
      </c>
      <c r="C2" s="4" t="n">
        <v>30607.579</v>
      </c>
      <c r="D2" s="4" t="n">
        <v>51031.426</v>
      </c>
      <c r="E2" s="4" t="n">
        <v>28184.889</v>
      </c>
      <c r="F2" s="4" t="n">
        <v>58222.116</v>
      </c>
      <c r="G2" s="4" t="n">
        <v>95061.265</v>
      </c>
      <c r="H2" s="4" t="n">
        <v>50034.879</v>
      </c>
      <c r="I2" s="4" t="n">
        <v>115108.202</v>
      </c>
      <c r="J2" s="4" t="n">
        <v>210017.302</v>
      </c>
      <c r="K2" s="4" t="n">
        <v>133388</v>
      </c>
      <c r="L2" s="4" t="n">
        <v>287408</v>
      </c>
      <c r="M2" s="4" t="n">
        <v>475640</v>
      </c>
      <c r="N2" s="4" t="n">
        <v>259939</v>
      </c>
      <c r="O2" s="4" t="n">
        <v>585822</v>
      </c>
      <c r="P2" s="4" t="n">
        <v>970579</v>
      </c>
      <c r="Q2" s="4" t="n">
        <v>355708</v>
      </c>
      <c r="R2" s="4" t="n">
        <v>757685</v>
      </c>
      <c r="S2" s="4" t="n">
        <v>1023433</v>
      </c>
      <c r="T2" s="4" t="n">
        <v>329276</v>
      </c>
      <c r="U2" s="4" t="n">
        <v>1068535</v>
      </c>
      <c r="V2" s="4" t="n">
        <v>1793641</v>
      </c>
    </row>
    <row r="3">
      <c r="A3" s="3" t="inlineStr">
        <is>
          <t>COGS</t>
        </is>
      </c>
      <c r="B3" s="4" t="n">
        <v>-8764.592000000001</v>
      </c>
      <c r="C3" s="4" t="n">
        <v>-18020.49</v>
      </c>
      <c r="D3" s="4" t="n">
        <v>-29821.968</v>
      </c>
      <c r="E3" s="4" t="n">
        <v>-15182.706</v>
      </c>
      <c r="F3" s="4" t="n">
        <v>-32207.118</v>
      </c>
      <c r="G3" s="4" t="n">
        <v>-51512.534</v>
      </c>
      <c r="H3" s="4" t="n">
        <v>-29455.784</v>
      </c>
      <c r="I3" s="4" t="n">
        <v>-66279.738</v>
      </c>
      <c r="J3" s="4" t="n">
        <v>-123495.466</v>
      </c>
      <c r="K3" s="4" t="n">
        <v>-79494</v>
      </c>
      <c r="L3" s="4" t="n">
        <v>-174195</v>
      </c>
      <c r="M3" s="4" t="n">
        <v>-283778</v>
      </c>
      <c r="N3" s="4" t="n">
        <v>-146121</v>
      </c>
      <c r="O3" s="4" t="n">
        <v>-313010</v>
      </c>
      <c r="P3" s="4" t="n">
        <v>-503685</v>
      </c>
      <c r="Q3" s="4" t="n">
        <v>-173501</v>
      </c>
      <c r="R3" s="4" t="n">
        <v>-366380</v>
      </c>
      <c r="S3" s="4" t="n">
        <v>-509899</v>
      </c>
      <c r="T3" s="4" t="n">
        <v>-156903</v>
      </c>
      <c r="U3" s="4" t="n">
        <v>-515311</v>
      </c>
      <c r="V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  <c r="P4" s="6">
        <f>P2+P3</f>
        <v/>
      </c>
      <c r="Q4" s="6">
        <f>Q2+Q3</f>
        <v/>
      </c>
      <c r="R4" s="6">
        <f>R2+R3</f>
        <v/>
      </c>
      <c r="S4" s="6">
        <f>S2+S3</f>
        <v/>
      </c>
      <c r="T4" s="6">
        <f>T2+T3</f>
        <v/>
      </c>
      <c r="U4" s="6">
        <f>U2+U3</f>
        <v/>
      </c>
      <c r="V4" s="6">
        <f>V2+V3</f>
        <v/>
      </c>
    </row>
    <row r="5">
      <c r="A5" s="3" t="inlineStr">
        <is>
          <t>Sales and Marketing</t>
        </is>
      </c>
      <c r="B5" s="4" t="n">
        <v>-3601.003</v>
      </c>
      <c r="C5" s="4" t="n">
        <v>-9162.941999999999</v>
      </c>
      <c r="D5" s="4" t="n">
        <v>-14086.91</v>
      </c>
      <c r="E5" s="4" t="n">
        <v>-7506.047</v>
      </c>
      <c r="F5" s="4" t="n">
        <v>-15372.918</v>
      </c>
      <c r="G5" s="4" t="n">
        <v>-23640.914</v>
      </c>
      <c r="H5" s="4" t="n">
        <v>-11959.053</v>
      </c>
      <c r="I5" s="4" t="n">
        <v>-27490.041</v>
      </c>
      <c r="J5" s="4" t="n">
        <v>-50111.103</v>
      </c>
      <c r="K5" s="4" t="n">
        <v>-31597</v>
      </c>
      <c r="L5" s="4" t="n">
        <v>-64072</v>
      </c>
      <c r="M5" s="4" t="n">
        <v>-262782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</row>
    <row r="6">
      <c r="A6" s="3" t="inlineStr">
        <is>
          <t>General and Administrative</t>
        </is>
      </c>
      <c r="B6" s="4" t="n">
        <v>-2622.102</v>
      </c>
      <c r="C6" s="4" t="n">
        <v>-5054.848</v>
      </c>
      <c r="D6" s="4" t="n">
        <v>-7249.378</v>
      </c>
      <c r="E6" s="4" t="n">
        <v>-4247.853</v>
      </c>
      <c r="F6" s="4" t="n">
        <v>-7902.571</v>
      </c>
      <c r="G6" s="4" t="n">
        <v>-12460.009</v>
      </c>
      <c r="H6" s="4" t="n">
        <v>-7806.666</v>
      </c>
      <c r="I6" s="4" t="n">
        <v>-16926.198</v>
      </c>
      <c r="J6" s="4" t="n">
        <v>-28066.228</v>
      </c>
      <c r="K6" s="4" t="n">
        <v>-12181</v>
      </c>
      <c r="L6" s="4" t="n">
        <v>-26595</v>
      </c>
      <c r="M6" s="4" t="n">
        <v>-54135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</row>
    <row r="7">
      <c r="A7" s="3" t="inlineStr">
        <is>
          <t>Operating Expenses</t>
        </is>
      </c>
      <c r="B7" s="4" t="n">
        <v>-6223.105</v>
      </c>
      <c r="C7" s="4" t="n">
        <v>-14217.79</v>
      </c>
      <c r="D7" s="4" t="n">
        <v>-21336.288</v>
      </c>
      <c r="E7" s="4" t="n">
        <v>-11753.9</v>
      </c>
      <c r="F7" s="4" t="n">
        <v>-23275.489</v>
      </c>
      <c r="G7" s="4" t="n">
        <v>-36100.923</v>
      </c>
      <c r="H7" s="4" t="n">
        <v>-19765.719</v>
      </c>
      <c r="I7" s="4" t="n">
        <v>-44416.239</v>
      </c>
      <c r="J7" s="4" t="n">
        <v>-78177.33100000001</v>
      </c>
      <c r="K7" s="4" t="n">
        <v>-43778</v>
      </c>
      <c r="L7" s="4" t="n">
        <v>-90667</v>
      </c>
      <c r="M7" s="4" t="n">
        <v>-316917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</row>
    <row r="8">
      <c r="A8" s="3" t="inlineStr">
        <is>
          <t>SG&amp;A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-68905</v>
      </c>
      <c r="O8" s="4" t="n">
        <v>-163086</v>
      </c>
      <c r="P8" s="4" t="n">
        <v>-259471</v>
      </c>
      <c r="Q8" s="4" t="n">
        <v>-99017</v>
      </c>
      <c r="R8" s="4" t="n">
        <v>-213867</v>
      </c>
      <c r="S8" s="4" t="n">
        <v>-339310</v>
      </c>
      <c r="T8" s="4" t="n">
        <v>-120342</v>
      </c>
      <c r="U8" s="4" t="n">
        <v>-358228</v>
      </c>
      <c r="V8" s="4" t="n">
        <v>-563799</v>
      </c>
    </row>
    <row r="9">
      <c r="A9" s="3" t="inlineStr">
        <is>
          <t>Distributor Termination Fees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-246707</v>
      </c>
    </row>
    <row r="10">
      <c r="A10" s="3" t="inlineStr">
        <is>
          <t>Income (Loss) from Operations</t>
        </is>
      </c>
      <c r="B10" s="6">
        <f>B4+SUM(B5:B9)</f>
        <v/>
      </c>
      <c r="C10" s="6">
        <f>C4+SUM(C5:C9)</f>
        <v/>
      </c>
      <c r="D10" s="6">
        <f>D4+SUM(D5:D9)</f>
        <v/>
      </c>
      <c r="E10" s="6">
        <f>E4+SUM(E5:E9)</f>
        <v/>
      </c>
      <c r="F10" s="6">
        <f>F4+SUM(F5:F9)</f>
        <v/>
      </c>
      <c r="G10" s="6">
        <f>G4+SUM(G5:G9)</f>
        <v/>
      </c>
      <c r="H10" s="6">
        <f>H4+SUM(H5:H9)</f>
        <v/>
      </c>
      <c r="I10" s="6">
        <f>I4+SUM(I5:I9)</f>
        <v/>
      </c>
      <c r="J10" s="6">
        <f>J4+SUM(J5:J9)</f>
        <v/>
      </c>
      <c r="K10" s="6">
        <f>K4+SUM(K5:K9)</f>
        <v/>
      </c>
      <c r="L10" s="6">
        <f>L4+SUM(L5:L9)</f>
        <v/>
      </c>
      <c r="M10" s="6">
        <f>M4+SUM(M5:M9)</f>
        <v/>
      </c>
      <c r="N10" s="6">
        <f>N4+SUM(N5:N9)</f>
        <v/>
      </c>
      <c r="O10" s="6">
        <f>O4+SUM(O5:O9)</f>
        <v/>
      </c>
      <c r="P10" s="6">
        <f>P4+SUM(P5:P9)</f>
        <v/>
      </c>
      <c r="Q10" s="6">
        <f>Q4+SUM(Q5:Q9)</f>
        <v/>
      </c>
      <c r="R10" s="6">
        <f>R4+SUM(R5:R9)</f>
        <v/>
      </c>
      <c r="S10" s="6">
        <f>S4+SUM(S5:S9)</f>
        <v/>
      </c>
      <c r="T10" s="6">
        <f>T4+SUM(T5:T9)</f>
        <v/>
      </c>
      <c r="U10" s="6">
        <f>U4+SUM(U5:U9)</f>
        <v/>
      </c>
      <c r="V10" s="6">
        <f>V4+SUM(V5:V9)</f>
        <v/>
      </c>
    </row>
    <row r="11">
      <c r="A11" s="3" t="inlineStr">
        <is>
          <t>Interest Income (Expense)</t>
        </is>
      </c>
      <c r="B11" s="4" t="n">
        <v>-114.572</v>
      </c>
      <c r="C11" s="4" t="n">
        <v>-238.809</v>
      </c>
      <c r="D11" s="4" t="n">
        <v>-779.749</v>
      </c>
      <c r="E11" s="4" t="n">
        <v>-341.718</v>
      </c>
      <c r="F11" s="4" t="n">
        <v>-394.85</v>
      </c>
      <c r="G11" s="4" t="n">
        <v>-642.249</v>
      </c>
      <c r="H11" s="4" t="n">
        <v>84.925</v>
      </c>
      <c r="I11" s="4" t="n">
        <v>160.141</v>
      </c>
      <c r="J11" s="4" t="n">
        <v>232.09</v>
      </c>
      <c r="K11" s="4" t="n">
        <v>76</v>
      </c>
      <c r="L11" s="4" t="n">
        <v>129</v>
      </c>
      <c r="M11" s="4" t="n">
        <v>1579</v>
      </c>
      <c r="N11" s="4" t="n">
        <v>4969</v>
      </c>
      <c r="O11" s="4" t="n">
        <v>10542</v>
      </c>
      <c r="P11" s="4" t="n">
        <v>17767</v>
      </c>
      <c r="Q11" s="4" t="n">
        <v>9640</v>
      </c>
      <c r="R11" s="4" t="n">
        <v>20287</v>
      </c>
      <c r="S11" s="4" t="n">
        <v>31399</v>
      </c>
      <c r="T11" s="4" t="n">
        <v>7846</v>
      </c>
      <c r="U11" s="4" t="n">
        <v>-6196</v>
      </c>
      <c r="V11" s="4" t="n">
        <v>-19592</v>
      </c>
    </row>
    <row r="12">
      <c r="A12" s="3" t="inlineStr">
        <is>
          <t>Other Income (Expense)</t>
        </is>
      </c>
      <c r="B12" s="4" t="n">
        <v>12273.213</v>
      </c>
      <c r="C12" s="4" t="n">
        <v>12052.809</v>
      </c>
      <c r="D12" s="4" t="n">
        <v>12050.921</v>
      </c>
      <c r="E12" s="4" t="n">
        <v>-282.591</v>
      </c>
      <c r="F12" s="4" t="n">
        <v>-511.491</v>
      </c>
      <c r="G12" s="4" t="n">
        <v>-361.705</v>
      </c>
      <c r="H12" s="4" t="n">
        <v>-11.621</v>
      </c>
      <c r="I12" s="4" t="n">
        <v>97.038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1116</v>
      </c>
      <c r="U12" s="4" t="n">
        <v>1658</v>
      </c>
      <c r="V12" s="4" t="n">
        <v>7022</v>
      </c>
    </row>
    <row r="13">
      <c r="A13" s="3" t="inlineStr">
        <is>
          <t>Foreign Currency Gain (Loss)</t>
        </is>
      </c>
      <c r="B13" s="4" t="n">
        <v>260.665</v>
      </c>
      <c r="C13" s="4" t="n">
        <v>0</v>
      </c>
      <c r="D13" s="4" t="n">
        <v>0</v>
      </c>
      <c r="E13" s="4" t="n">
        <v>-192.413</v>
      </c>
      <c r="F13" s="4" t="n">
        <v>-119.105</v>
      </c>
      <c r="G13" s="4" t="n">
        <v>262.022</v>
      </c>
      <c r="H13" s="4" t="n">
        <v>-301.256</v>
      </c>
      <c r="I13" s="4" t="n">
        <v>-123.636</v>
      </c>
      <c r="J13" s="4" t="n">
        <v>-451.217</v>
      </c>
      <c r="K13" s="4" t="n">
        <v>-162</v>
      </c>
      <c r="L13" s="4" t="n">
        <v>-676</v>
      </c>
      <c r="M13" s="4" t="n">
        <v>-930</v>
      </c>
      <c r="N13" s="4" t="n">
        <v>-118</v>
      </c>
      <c r="O13" s="4" t="n">
        <v>-1049</v>
      </c>
      <c r="P13" s="4" t="n">
        <v>-1226</v>
      </c>
      <c r="Q13" s="4" t="n">
        <v>-369</v>
      </c>
      <c r="R13" s="4" t="n">
        <v>-633</v>
      </c>
      <c r="S13" s="4" t="n">
        <v>-356</v>
      </c>
      <c r="T13" s="4" t="n">
        <v>0</v>
      </c>
      <c r="U13" s="4" t="n">
        <v>0</v>
      </c>
      <c r="V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152.112</v>
      </c>
      <c r="G14" s="4" t="n">
        <v>152.112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</row>
    <row r="15">
      <c r="A15" s="3" t="inlineStr">
        <is>
          <t>Income Tax (Expense) Benefit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-833.819</v>
      </c>
      <c r="K15" s="4" t="n">
        <v>-3351</v>
      </c>
      <c r="L15" s="4" t="n">
        <v>-6161</v>
      </c>
      <c r="M15" s="4" t="n">
        <v>-41653</v>
      </c>
      <c r="N15" s="4" t="n">
        <v>-8537</v>
      </c>
      <c r="O15" s="4" t="n">
        <v>-26483</v>
      </c>
      <c r="P15" s="4" t="n">
        <v>-47279</v>
      </c>
      <c r="Q15" s="4" t="n">
        <v>-14650</v>
      </c>
      <c r="R15" s="4" t="n">
        <v>-39498</v>
      </c>
      <c r="S15" s="4" t="n">
        <v>-41317</v>
      </c>
      <c r="T15" s="4" t="n">
        <v>-16574</v>
      </c>
      <c r="U15" s="4" t="n">
        <v>-46184</v>
      </c>
      <c r="V15" s="4" t="n">
        <v>-19167</v>
      </c>
    </row>
    <row r="16">
      <c r="A16" s="3" t="inlineStr">
        <is>
          <t>Pre-Tax Income (Loss)</t>
        </is>
      </c>
      <c r="B16" s="6">
        <f>B10+SUM(B11:B15)</f>
        <v/>
      </c>
      <c r="C16" s="6">
        <f>C10+SUM(C11:C15)</f>
        <v/>
      </c>
      <c r="D16" s="6">
        <f>D10+SUM(D11:D15)</f>
        <v/>
      </c>
      <c r="E16" s="6">
        <f>E10+SUM(E11:E15)</f>
        <v/>
      </c>
      <c r="F16" s="6">
        <f>F10+SUM(F11:F15)</f>
        <v/>
      </c>
      <c r="G16" s="6">
        <f>G10+SUM(G11:G15)</f>
        <v/>
      </c>
      <c r="H16" s="6">
        <f>H10+SUM(H11:H15)</f>
        <v/>
      </c>
      <c r="I16" s="6">
        <f>I10+SUM(I11:I15)</f>
        <v/>
      </c>
      <c r="J16" s="6">
        <f>J10+SUM(J11:J15)</f>
        <v/>
      </c>
      <c r="K16" s="6">
        <f>K10+SUM(K11:K15)</f>
        <v/>
      </c>
      <c r="L16" s="6">
        <f>L10+SUM(L11:L15)</f>
        <v/>
      </c>
      <c r="M16" s="6">
        <f>M10+SUM(M11:M15)</f>
        <v/>
      </c>
      <c r="N16" s="6">
        <f>N10+SUM(N11:N15)</f>
        <v/>
      </c>
      <c r="O16" s="6">
        <f>O10+SUM(O11:O15)</f>
        <v/>
      </c>
      <c r="P16" s="6">
        <f>P10+SUM(P11:P15)</f>
        <v/>
      </c>
      <c r="Q16" s="6">
        <f>Q10+SUM(Q11:Q15)</f>
        <v/>
      </c>
      <c r="R16" s="6">
        <f>R10+SUM(R11:R15)</f>
        <v/>
      </c>
      <c r="S16" s="6">
        <f>S10+SUM(S11:S15)</f>
        <v/>
      </c>
      <c r="T16" s="6">
        <f>T10+SUM(T11:T15)</f>
        <v/>
      </c>
      <c r="U16" s="6">
        <f>U10+SUM(U11:U15)</f>
        <v/>
      </c>
      <c r="V16" s="6">
        <f>V10+SUM(V11:V15)</f>
        <v/>
      </c>
    </row>
    <row r="17">
      <c r="A17" s="3" t="inlineStr">
        <is>
          <t>Net Income (Loss)</t>
        </is>
      </c>
      <c r="B17" s="6">
        <f>B16</f>
        <v/>
      </c>
      <c r="C17" s="6">
        <f>C16</f>
        <v/>
      </c>
      <c r="D17" s="6">
        <f>D16</f>
        <v/>
      </c>
      <c r="E17" s="6">
        <f>E16</f>
        <v/>
      </c>
      <c r="F17" s="6">
        <f>F16</f>
        <v/>
      </c>
      <c r="G17" s="6">
        <f>G16</f>
        <v/>
      </c>
      <c r="H17" s="6">
        <f>H16</f>
        <v/>
      </c>
      <c r="I17" s="6">
        <f>I16</f>
        <v/>
      </c>
      <c r="J17" s="6">
        <f>J16</f>
        <v/>
      </c>
      <c r="K17" s="6">
        <f>K16</f>
        <v/>
      </c>
      <c r="L17" s="6">
        <f>L16</f>
        <v/>
      </c>
      <c r="M17" s="6">
        <f>M16</f>
        <v/>
      </c>
      <c r="N17" s="6">
        <f>N16</f>
        <v/>
      </c>
      <c r="O17" s="6">
        <f>O16</f>
        <v/>
      </c>
      <c r="P17" s="6">
        <f>P16</f>
        <v/>
      </c>
      <c r="Q17" s="6">
        <f>Q16</f>
        <v/>
      </c>
      <c r="R17" s="6">
        <f>R16</f>
        <v/>
      </c>
      <c r="S17" s="6">
        <f>S16</f>
        <v/>
      </c>
      <c r="T17" s="6">
        <f>T16</f>
        <v/>
      </c>
      <c r="U17" s="6">
        <f>U16</f>
        <v/>
      </c>
      <c r="V17" s="6">
        <f>V16</f>
        <v/>
      </c>
    </row>
    <row r="18">
      <c r="A18" s="3" t="inlineStr">
        <is>
          <t>Basic Earnings (Loss) per Share</t>
        </is>
      </c>
      <c r="B18" s="8" t="n">
        <v>0.2</v>
      </c>
      <c r="C18" s="8" t="n">
        <v>0.18</v>
      </c>
      <c r="D18" s="8" t="n">
        <v>0.19</v>
      </c>
      <c r="E18" s="8" t="n">
        <v>0.01</v>
      </c>
      <c r="F18" s="8" t="n">
        <v>0.03</v>
      </c>
      <c r="G18" s="8" t="n">
        <v>0.1</v>
      </c>
      <c r="H18" s="8" t="n">
        <v>0.01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</row>
    <row r="19">
      <c r="A19" s="3" t="inlineStr">
        <is>
          <t>Diluted Earnings (Loss) per Share</t>
        </is>
      </c>
      <c r="B19" s="8" t="n">
        <v>0.19</v>
      </c>
      <c r="C19" s="8" t="n">
        <v>0.17</v>
      </c>
      <c r="D19" s="8" t="n">
        <v>0.2</v>
      </c>
      <c r="E19" s="8" t="n">
        <v>0.01</v>
      </c>
      <c r="F19" s="8" t="n">
        <v>0.03</v>
      </c>
      <c r="G19" s="8" t="n">
        <v>0.09</v>
      </c>
      <c r="H19" s="8" t="n">
        <v>0.01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</row>
    <row r="20">
      <c r="A20" s="3" t="inlineStr">
        <is>
          <t>Weighted Average Shares Outstanding (Basic)</t>
        </is>
      </c>
      <c r="B20" s="4" t="n">
        <v>57155445</v>
      </c>
      <c r="C20" s="4" t="n">
        <v>57267622</v>
      </c>
      <c r="D20" s="4" t="n">
        <v>58023685</v>
      </c>
      <c r="E20" s="4" t="n">
        <v>69284307</v>
      </c>
      <c r="F20" s="4" t="n">
        <v>69444655</v>
      </c>
      <c r="G20" s="4" t="n">
        <v>70184071</v>
      </c>
      <c r="H20" s="4" t="n">
        <v>72516396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</row>
    <row r="21">
      <c r="A21" s="3" t="inlineStr">
        <is>
          <t>Weighted Average Shares Outstanding (Diluted)</t>
        </is>
      </c>
      <c r="B21" s="4" t="n">
        <v>61687409</v>
      </c>
      <c r="C21" s="4" t="n">
        <v>61817621</v>
      </c>
      <c r="D21" s="4" t="n">
        <v>62050032</v>
      </c>
      <c r="E21" s="4" t="n">
        <v>70339416</v>
      </c>
      <c r="F21" s="4" t="n">
        <v>71073534</v>
      </c>
      <c r="G21" s="4" t="n">
        <v>73524209</v>
      </c>
      <c r="H21" s="4" t="n">
        <v>76925484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</row>
    <row r="22">
      <c r="A22" s="3" t="inlineStr">
        <is>
          <t>Preferred Dividends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-4596</v>
      </c>
      <c r="N22" s="4" t="n">
        <v>-6781</v>
      </c>
      <c r="O22" s="4" t="n">
        <v>-13637</v>
      </c>
      <c r="P22" s="4" t="n">
        <v>-20512</v>
      </c>
      <c r="Q22" s="4" t="n">
        <v>-6837</v>
      </c>
      <c r="R22" s="4" t="n">
        <v>-13675</v>
      </c>
      <c r="S22" s="4" t="n">
        <v>-20588</v>
      </c>
      <c r="T22" s="4" t="n">
        <v>-6781</v>
      </c>
      <c r="U22" s="4" t="n">
        <v>-13632</v>
      </c>
      <c r="V22" s="4" t="n">
        <v>-23289</v>
      </c>
    </row>
    <row r="23">
      <c r="A23" s="3" t="inlineStr">
        <is>
          <t>Income Allocated to Participating Preferred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-6727</v>
      </c>
      <c r="P23" s="4" t="n">
        <v>-13263</v>
      </c>
      <c r="Q23" s="4" t="n">
        <v>-6128</v>
      </c>
      <c r="R23" s="4" t="n">
        <v>-12417</v>
      </c>
      <c r="S23" s="4" t="n">
        <v>-12357</v>
      </c>
      <c r="T23" s="4" t="n">
        <v>-3219</v>
      </c>
      <c r="U23" s="4" t="n">
        <v>-10703</v>
      </c>
      <c r="V23" s="4" t="n">
        <v>-5272</v>
      </c>
    </row>
    <row r="24">
      <c r="A24" s="3" t="inlineStr">
        <is>
          <t>Net Income (Loss) Attributable to Common Shareholders</t>
        </is>
      </c>
      <c r="B24" s="6">
        <f>B17+B22+B23</f>
        <v/>
      </c>
      <c r="C24" s="6">
        <f>C17+C22+C23</f>
        <v/>
      </c>
      <c r="D24" s="6">
        <f>D17+D22+D23</f>
        <v/>
      </c>
      <c r="E24" s="6">
        <f>E17+E22+E23</f>
        <v/>
      </c>
      <c r="F24" s="6">
        <f>F17+F22+F23</f>
        <v/>
      </c>
      <c r="G24" s="6">
        <f>G17+G22+G23</f>
        <v/>
      </c>
      <c r="H24" s="6">
        <f>H17+H22+H23</f>
        <v/>
      </c>
      <c r="I24" s="6">
        <f>I17+I22+I23</f>
        <v/>
      </c>
      <c r="J24" s="6">
        <f>J17+J22+J23</f>
        <v/>
      </c>
      <c r="K24" s="6">
        <f>K17+K22+K23</f>
        <v/>
      </c>
      <c r="L24" s="6">
        <f>L17+L22+L23</f>
        <v/>
      </c>
      <c r="M24" s="6">
        <f>M17+M22+M23</f>
        <v/>
      </c>
      <c r="N24" s="6">
        <f>N17+N22+N23</f>
        <v/>
      </c>
      <c r="O24" s="6">
        <f>O17+O22+O23</f>
        <v/>
      </c>
      <c r="P24" s="6">
        <f>P17+P22+P23</f>
        <v/>
      </c>
      <c r="Q24" s="6">
        <f>Q17+Q22+Q23</f>
        <v/>
      </c>
      <c r="R24" s="6">
        <f>R17+R22+R23</f>
        <v/>
      </c>
      <c r="S24" s="6">
        <f>S17+S22+S23</f>
        <v/>
      </c>
      <c r="T24" s="6">
        <f>T17+T22+T23</f>
        <v/>
      </c>
      <c r="U24" s="6">
        <f>U17+U22+U23</f>
        <v/>
      </c>
      <c r="V24" s="6">
        <f>V17+V22+V23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/>
      <c r="B1" s="2" t="inlineStr">
        <is>
          <t>Q4 FY2019</t>
        </is>
      </c>
      <c r="C1" s="2" t="inlineStr">
        <is>
          <t>Q1 FY2020</t>
        </is>
      </c>
      <c r="D1" s="2" t="inlineStr">
        <is>
          <t>Q2 FY2020</t>
        </is>
      </c>
      <c r="E1" s="2" t="inlineStr">
        <is>
          <t>Q3 FY2020</t>
        </is>
      </c>
      <c r="F1" s="2" t="inlineStr">
        <is>
          <t>Q4 FY2020</t>
        </is>
      </c>
      <c r="G1" s="2" t="inlineStr">
        <is>
          <t>Q1 FY2021</t>
        </is>
      </c>
      <c r="H1" s="2" t="inlineStr">
        <is>
          <t>Q2 FY2021</t>
        </is>
      </c>
      <c r="I1" s="2" t="inlineStr">
        <is>
          <t>Q3 FY2021</t>
        </is>
      </c>
      <c r="J1" s="2" t="inlineStr">
        <is>
          <t>Q4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Q4 FY2022</t>
        </is>
      </c>
      <c r="O1" s="2" t="inlineStr">
        <is>
          <t>Q1 FY2023</t>
        </is>
      </c>
      <c r="P1" s="2" t="inlineStr">
        <is>
          <t>Q2 FY2023</t>
        </is>
      </c>
      <c r="Q1" s="2" t="inlineStr">
        <is>
          <t>Q3 FY2023</t>
        </is>
      </c>
      <c r="R1" s="2" t="inlineStr">
        <is>
          <t>Q4 FY2023</t>
        </is>
      </c>
      <c r="S1" s="2" t="inlineStr">
        <is>
          <t>Q1 FY2024</t>
        </is>
      </c>
      <c r="T1" s="2" t="inlineStr">
        <is>
          <t>Q2 FY2024</t>
        </is>
      </c>
      <c r="U1" s="2" t="inlineStr">
        <is>
          <t>Q3 FY2024</t>
        </is>
      </c>
      <c r="V1" s="2" t="inlineStr">
        <is>
          <t>Q4 FY2024</t>
        </is>
      </c>
      <c r="W1" s="2" t="inlineStr">
        <is>
          <t>Q1 FY2025</t>
        </is>
      </c>
      <c r="X1" s="2" t="inlineStr">
        <is>
          <t>Q2 FY2025</t>
        </is>
      </c>
      <c r="Y1" s="2" t="inlineStr">
        <is>
          <t>Q3 FY2025</t>
        </is>
      </c>
    </row>
    <row r="2">
      <c r="A2" s="3" t="inlineStr">
        <is>
          <t>Cash, Cash Equivalents &amp; Restricted Cash</t>
        </is>
      </c>
      <c r="B2" s="4" t="n">
        <v>23090.682</v>
      </c>
      <c r="C2" s="4" t="n">
        <v>19094.101</v>
      </c>
      <c r="D2" s="4" t="n">
        <v>20110.815</v>
      </c>
      <c r="E2" s="4" t="n">
        <v>52158.098</v>
      </c>
      <c r="F2" s="4" t="n">
        <v>43248.021</v>
      </c>
      <c r="G2" s="4" t="n">
        <v>31634.675</v>
      </c>
      <c r="H2" s="4" t="n">
        <v>83789.981</v>
      </c>
      <c r="I2" s="4" t="n">
        <v>61377.202</v>
      </c>
      <c r="J2" s="4" t="n">
        <v>16255</v>
      </c>
      <c r="K2" s="4" t="n">
        <v>25532</v>
      </c>
      <c r="L2" s="4" t="n">
        <v>60031</v>
      </c>
      <c r="M2" s="4" t="n">
        <v>726972</v>
      </c>
      <c r="N2" s="4" t="n">
        <v>652927</v>
      </c>
      <c r="O2" s="4" t="n">
        <v>633581</v>
      </c>
      <c r="P2" s="4" t="n">
        <v>681054</v>
      </c>
      <c r="Q2" s="4" t="n">
        <v>760022</v>
      </c>
      <c r="R2" s="4" t="n">
        <v>755981</v>
      </c>
      <c r="S2" s="4" t="n">
        <v>879498</v>
      </c>
      <c r="T2" s="4" t="n">
        <v>903210</v>
      </c>
      <c r="U2" s="4" t="n">
        <v>903748</v>
      </c>
      <c r="V2" s="4" t="n">
        <v>890190</v>
      </c>
      <c r="W2" s="4" t="n">
        <v>977285</v>
      </c>
      <c r="X2" s="4" t="n">
        <v>615233</v>
      </c>
      <c r="Y2" s="4" t="n">
        <v>932463</v>
      </c>
    </row>
    <row r="3">
      <c r="A3" s="3" t="inlineStr">
        <is>
          <t>Accounts Receivable</t>
        </is>
      </c>
      <c r="B3" s="4" t="n">
        <v>7774.618</v>
      </c>
      <c r="C3" s="4" t="n">
        <v>10699.811</v>
      </c>
      <c r="D3" s="4" t="n">
        <v>12221.985</v>
      </c>
      <c r="E3" s="4" t="n">
        <v>16561.371</v>
      </c>
      <c r="F3" s="4" t="n">
        <v>14986.213</v>
      </c>
      <c r="G3" s="4" t="n">
        <v>23997.68</v>
      </c>
      <c r="H3" s="4" t="n">
        <v>32398.823</v>
      </c>
      <c r="I3" s="4" t="n">
        <v>43500.578</v>
      </c>
      <c r="J3" s="4" t="n">
        <v>38741</v>
      </c>
      <c r="K3" s="4" t="n">
        <v>72707</v>
      </c>
      <c r="L3" s="4" t="n">
        <v>66195</v>
      </c>
      <c r="M3" s="4" t="n">
        <v>117003</v>
      </c>
      <c r="N3" s="4" t="n">
        <v>63311</v>
      </c>
      <c r="O3" s="4" t="n">
        <v>172032</v>
      </c>
      <c r="P3" s="4" t="n">
        <v>197811</v>
      </c>
      <c r="Q3" s="4" t="n">
        <v>215243</v>
      </c>
      <c r="R3" s="4" t="n">
        <v>183703</v>
      </c>
      <c r="S3" s="4" t="n">
        <v>200117</v>
      </c>
      <c r="T3" s="4" t="n">
        <v>262920</v>
      </c>
      <c r="U3" s="4" t="n">
        <v>208774</v>
      </c>
      <c r="V3" s="4" t="n">
        <v>270342</v>
      </c>
      <c r="W3" s="4" t="n">
        <v>256424</v>
      </c>
      <c r="X3" s="4" t="n">
        <v>490389</v>
      </c>
      <c r="Y3" s="4" t="n">
        <v>513682</v>
      </c>
    </row>
    <row r="4">
      <c r="A4" s="3" t="inlineStr">
        <is>
          <t>Note Receivable - Current</t>
        </is>
      </c>
      <c r="B4" s="4" t="n">
        <v>1181.116</v>
      </c>
      <c r="C4" s="4" t="n">
        <v>1157.754</v>
      </c>
      <c r="D4" s="4" t="n">
        <v>1742.841</v>
      </c>
      <c r="E4" s="4" t="n">
        <v>1810.773</v>
      </c>
      <c r="F4" s="4" t="n">
        <v>1885.887</v>
      </c>
      <c r="G4" s="4" t="n">
        <v>2509.412</v>
      </c>
      <c r="H4" s="4" t="n">
        <v>2545.745</v>
      </c>
      <c r="I4" s="4" t="n">
        <v>2543.225</v>
      </c>
      <c r="J4" s="4" t="n">
        <v>2588</v>
      </c>
      <c r="K4" s="4" t="n">
        <v>5833</v>
      </c>
      <c r="L4" s="4" t="n">
        <v>3066</v>
      </c>
      <c r="M4" s="4" t="n">
        <v>2888</v>
      </c>
      <c r="N4" s="4" t="n">
        <v>2979</v>
      </c>
      <c r="O4" s="4" t="n">
        <v>3587</v>
      </c>
      <c r="P4" s="4" t="n">
        <v>3323</v>
      </c>
      <c r="Q4" s="4" t="n">
        <v>3309</v>
      </c>
      <c r="R4" s="4" t="n">
        <v>2318</v>
      </c>
      <c r="S4" s="4" t="n">
        <v>2259</v>
      </c>
      <c r="T4" s="4" t="n">
        <v>1166</v>
      </c>
      <c r="U4" s="4" t="n">
        <v>1025</v>
      </c>
      <c r="V4" s="4" t="n">
        <v>0</v>
      </c>
      <c r="W4" s="4" t="n">
        <v>0</v>
      </c>
      <c r="X4" s="4" t="n">
        <v>0</v>
      </c>
      <c r="Y4" s="4" t="n">
        <v>0</v>
      </c>
    </row>
    <row r="5">
      <c r="A5" s="3" t="inlineStr">
        <is>
          <t>Inventories</t>
        </is>
      </c>
      <c r="B5" s="4" t="n">
        <v>15292.349</v>
      </c>
      <c r="C5" s="4" t="n">
        <v>21038.367</v>
      </c>
      <c r="D5" s="4" t="n">
        <v>23512.418</v>
      </c>
      <c r="E5" s="4" t="n">
        <v>15679.192</v>
      </c>
      <c r="F5" s="4" t="n">
        <v>18403.622</v>
      </c>
      <c r="G5" s="4" t="n">
        <v>36891.859</v>
      </c>
      <c r="H5" s="4" t="n">
        <v>63826.596</v>
      </c>
      <c r="I5" s="4" t="n">
        <v>122311.445</v>
      </c>
      <c r="J5" s="4" t="n">
        <v>191222</v>
      </c>
      <c r="K5" s="4" t="n">
        <v>184094</v>
      </c>
      <c r="L5" s="4" t="n">
        <v>162138</v>
      </c>
      <c r="M5" s="4" t="n">
        <v>153933</v>
      </c>
      <c r="N5" s="4" t="n">
        <v>173289</v>
      </c>
      <c r="O5" s="4" t="n">
        <v>154280</v>
      </c>
      <c r="P5" s="4" t="n">
        <v>152545</v>
      </c>
      <c r="Q5" s="4" t="n">
        <v>198704</v>
      </c>
      <c r="R5" s="4" t="n">
        <v>229275</v>
      </c>
      <c r="S5" s="4" t="n">
        <v>197504</v>
      </c>
      <c r="T5" s="4" t="n">
        <v>180669</v>
      </c>
      <c r="U5" s="4" t="n">
        <v>197572</v>
      </c>
      <c r="V5" s="4" t="n">
        <v>131165</v>
      </c>
      <c r="W5" s="4" t="n">
        <v>141159</v>
      </c>
      <c r="X5" s="4" t="n">
        <v>230046</v>
      </c>
      <c r="Y5" s="4" t="n">
        <v>282514</v>
      </c>
    </row>
    <row r="6">
      <c r="A6" s="3" t="inlineStr">
        <is>
          <t>Prepaid Expenses</t>
        </is>
      </c>
      <c r="B6" s="4" t="n">
        <v>4170.136</v>
      </c>
      <c r="C6" s="4" t="n">
        <v>4671.721</v>
      </c>
      <c r="D6" s="4" t="n">
        <v>4312.554</v>
      </c>
      <c r="E6" s="4" t="n">
        <v>4731.887</v>
      </c>
      <c r="F6" s="4" t="n">
        <v>14626.922</v>
      </c>
      <c r="G6" s="4" t="n">
        <v>17183.929</v>
      </c>
      <c r="H6" s="4" t="n">
        <v>22744.642</v>
      </c>
      <c r="I6" s="4" t="n">
        <v>22829.51</v>
      </c>
      <c r="J6" s="4" t="n">
        <v>13555</v>
      </c>
      <c r="K6" s="4" t="n">
        <v>10042</v>
      </c>
      <c r="L6" s="4" t="n">
        <v>12298</v>
      </c>
      <c r="M6" s="4" t="n">
        <v>12096</v>
      </c>
      <c r="N6" s="4" t="n">
        <v>11341</v>
      </c>
      <c r="O6" s="4" t="n">
        <v>15507</v>
      </c>
      <c r="P6" s="4" t="n">
        <v>23398</v>
      </c>
      <c r="Q6" s="4" t="n">
        <v>23747</v>
      </c>
      <c r="R6" s="4" t="n">
        <v>19503</v>
      </c>
      <c r="S6" s="4" t="n">
        <v>21523</v>
      </c>
      <c r="T6" s="4" t="n">
        <v>22900</v>
      </c>
      <c r="U6" s="4" t="n">
        <v>38227</v>
      </c>
      <c r="V6" s="4" t="n">
        <v>18759</v>
      </c>
      <c r="W6" s="4" t="n">
        <v>22464</v>
      </c>
      <c r="X6" s="4" t="n">
        <v>41420</v>
      </c>
      <c r="Y6" s="4" t="n">
        <v>163395</v>
      </c>
    </row>
    <row r="7">
      <c r="A7" s="3" t="inlineStr">
        <is>
          <t>Deferred Other Costs - Current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14124</v>
      </c>
      <c r="N7" s="4" t="n">
        <v>14124</v>
      </c>
      <c r="O7" s="4" t="n">
        <v>14124</v>
      </c>
      <c r="P7" s="4" t="n">
        <v>14124</v>
      </c>
      <c r="Q7" s="4" t="n">
        <v>14124</v>
      </c>
      <c r="R7" s="4" t="n">
        <v>14124</v>
      </c>
      <c r="S7" s="4" t="n">
        <v>14124</v>
      </c>
      <c r="T7" s="4" t="n">
        <v>14124</v>
      </c>
      <c r="U7" s="4" t="n">
        <v>14124</v>
      </c>
      <c r="V7" s="4" t="n">
        <v>14124</v>
      </c>
      <c r="W7" s="4" t="n">
        <v>14124</v>
      </c>
      <c r="X7" s="4" t="n">
        <v>14124</v>
      </c>
      <c r="Y7" s="4" t="n">
        <v>49520</v>
      </c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6">
        <f>SUM(I2:I7)</f>
        <v/>
      </c>
      <c r="J8" s="6">
        <f>SUM(J2:J7)</f>
        <v/>
      </c>
      <c r="K8" s="6">
        <f>SUM(K2:K7)</f>
        <v/>
      </c>
      <c r="L8" s="6">
        <f>SUM(L2:L7)</f>
        <v/>
      </c>
      <c r="M8" s="6">
        <f>SUM(M2:M7)</f>
        <v/>
      </c>
      <c r="N8" s="6">
        <f>SUM(N2:N7)</f>
        <v/>
      </c>
      <c r="O8" s="6">
        <f>SUM(O2:O7)</f>
        <v/>
      </c>
      <c r="P8" s="6">
        <f>SUM(P2:P7)</f>
        <v/>
      </c>
      <c r="Q8" s="6">
        <f>SUM(Q2:Q7)</f>
        <v/>
      </c>
      <c r="R8" s="6">
        <f>SUM(R2:R7)</f>
        <v/>
      </c>
      <c r="S8" s="6">
        <f>SUM(S2:S7)</f>
        <v/>
      </c>
      <c r="T8" s="6">
        <f>SUM(T2:T7)</f>
        <v/>
      </c>
      <c r="U8" s="6">
        <f>SUM(U2:U7)</f>
        <v/>
      </c>
      <c r="V8" s="6">
        <f>SUM(V2:V7)</f>
        <v/>
      </c>
      <c r="W8" s="6">
        <f>SUM(W2:W7)</f>
        <v/>
      </c>
      <c r="X8" s="6">
        <f>SUM(X2:X7)</f>
        <v/>
      </c>
      <c r="Y8" s="6">
        <f>SUM(Y2:Y7)</f>
        <v/>
      </c>
    </row>
    <row r="9">
      <c r="A9" s="3" t="inlineStr">
        <is>
          <t>Note Receivable - Non-Current</t>
        </is>
      </c>
      <c r="B9" s="4" t="n">
        <v>10630.041</v>
      </c>
      <c r="C9" s="4" t="n">
        <v>10416.12</v>
      </c>
      <c r="D9" s="4" t="n">
        <v>8714.205</v>
      </c>
      <c r="E9" s="4" t="n">
        <v>9053.866</v>
      </c>
      <c r="F9" s="4" t="n">
        <v>9429.437</v>
      </c>
      <c r="G9" s="4" t="n">
        <v>6900.882</v>
      </c>
      <c r="H9" s="4" t="n">
        <v>7000.8</v>
      </c>
      <c r="I9" s="4" t="n">
        <v>6993.869</v>
      </c>
      <c r="J9" s="4" t="n">
        <v>7117</v>
      </c>
      <c r="K9" s="4" t="n">
        <v>3888</v>
      </c>
      <c r="L9" s="4" t="n">
        <v>3679</v>
      </c>
      <c r="M9" s="4" t="n">
        <v>3465</v>
      </c>
      <c r="N9" s="4" t="n">
        <v>3574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</row>
    <row r="10">
      <c r="A10" s="3" t="inlineStr">
        <is>
          <t>Net PP&amp;E</t>
        </is>
      </c>
      <c r="B10" s="4" t="n">
        <v>132.889</v>
      </c>
      <c r="C10" s="4" t="n">
        <v>115.324</v>
      </c>
      <c r="D10" s="4" t="n">
        <v>398.315</v>
      </c>
      <c r="E10" s="4" t="n">
        <v>467.38</v>
      </c>
      <c r="F10" s="4" t="n">
        <v>579.377</v>
      </c>
      <c r="G10" s="4" t="n">
        <v>1169.022</v>
      </c>
      <c r="H10" s="4" t="n">
        <v>1617.002</v>
      </c>
      <c r="I10" s="4" t="n">
        <v>2454.914</v>
      </c>
      <c r="J10" s="4" t="n">
        <v>3180</v>
      </c>
      <c r="K10" s="4" t="n">
        <v>3702</v>
      </c>
      <c r="L10" s="4" t="n">
        <v>5135</v>
      </c>
      <c r="M10" s="4" t="n">
        <v>5782</v>
      </c>
      <c r="N10" s="4" t="n">
        <v>10185</v>
      </c>
      <c r="O10" s="4" t="n">
        <v>12054</v>
      </c>
      <c r="P10" s="4" t="n">
        <v>15892</v>
      </c>
      <c r="Q10" s="4" t="n">
        <v>21061</v>
      </c>
      <c r="R10" s="4" t="n">
        <v>24868</v>
      </c>
      <c r="S10" s="4" t="n">
        <v>28350</v>
      </c>
      <c r="T10" s="4" t="n">
        <v>36282</v>
      </c>
      <c r="U10" s="4" t="n">
        <v>38370</v>
      </c>
      <c r="V10" s="4" t="n">
        <v>55602</v>
      </c>
      <c r="W10" s="4" t="n">
        <v>58698</v>
      </c>
      <c r="X10" s="4" t="n">
        <v>72516</v>
      </c>
      <c r="Y10" s="4" t="n">
        <v>80925</v>
      </c>
    </row>
    <row r="11">
      <c r="A11" s="3" t="inlineStr">
        <is>
          <t>ROU Assets - Operating - Non-Current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836.038</v>
      </c>
      <c r="G11" s="4" t="n">
        <v>791.9690000000001</v>
      </c>
      <c r="H11" s="4" t="n">
        <v>704.857</v>
      </c>
      <c r="I11" s="4" t="n">
        <v>888.9109999999999</v>
      </c>
      <c r="J11" s="4" t="n">
        <v>1128</v>
      </c>
      <c r="K11" s="4" t="n">
        <v>1141</v>
      </c>
      <c r="L11" s="4" t="n">
        <v>954</v>
      </c>
      <c r="M11" s="4" t="n">
        <v>1105</v>
      </c>
      <c r="N11" s="4" t="n">
        <v>972</v>
      </c>
      <c r="O11" s="4" t="n">
        <v>931</v>
      </c>
      <c r="P11" s="4" t="n">
        <v>756</v>
      </c>
      <c r="Q11" s="4" t="n">
        <v>1152</v>
      </c>
      <c r="R11" s="4" t="n">
        <v>1957</v>
      </c>
      <c r="S11" s="4" t="n">
        <v>1688</v>
      </c>
      <c r="T11" s="4" t="n">
        <v>1507</v>
      </c>
      <c r="U11" s="4" t="n">
        <v>5506</v>
      </c>
      <c r="V11" s="4" t="n">
        <v>21606</v>
      </c>
      <c r="W11" s="4" t="n">
        <v>20866</v>
      </c>
      <c r="X11" s="4" t="n">
        <v>0</v>
      </c>
      <c r="Y11" s="4" t="n">
        <v>0</v>
      </c>
    </row>
    <row r="12">
      <c r="A12" s="3" t="inlineStr">
        <is>
          <t>Intangible Assets</t>
        </is>
      </c>
      <c r="B12" s="4" t="n">
        <v>17173</v>
      </c>
      <c r="C12" s="4" t="n">
        <v>17029.472</v>
      </c>
      <c r="D12" s="4" t="n">
        <v>16888.97</v>
      </c>
      <c r="E12" s="4" t="n">
        <v>16740.838</v>
      </c>
      <c r="F12" s="4" t="n">
        <v>16590.083</v>
      </c>
      <c r="G12" s="4" t="n">
        <v>16439.197</v>
      </c>
      <c r="H12" s="4" t="n">
        <v>16287.537</v>
      </c>
      <c r="I12" s="4" t="n">
        <v>16811.762</v>
      </c>
      <c r="J12" s="4" t="n">
        <v>16301</v>
      </c>
      <c r="K12" s="4" t="n">
        <v>15838</v>
      </c>
      <c r="L12" s="4" t="n">
        <v>14689</v>
      </c>
      <c r="M12" s="4" t="n">
        <v>11322</v>
      </c>
      <c r="N12" s="4" t="n">
        <v>12254</v>
      </c>
      <c r="O12" s="4" t="n">
        <v>12359</v>
      </c>
      <c r="P12" s="4" t="n">
        <v>12211</v>
      </c>
      <c r="Q12" s="4" t="n">
        <v>11772</v>
      </c>
      <c r="R12" s="4" t="n">
        <v>12139</v>
      </c>
      <c r="S12" s="4" t="n">
        <v>11741</v>
      </c>
      <c r="T12" s="4" t="n">
        <v>11491</v>
      </c>
      <c r="U12" s="4" t="n">
        <v>11877</v>
      </c>
      <c r="V12" s="4" t="n">
        <v>12213</v>
      </c>
      <c r="W12" s="4" t="n">
        <v>12444</v>
      </c>
      <c r="X12" s="4" t="n">
        <v>1222115</v>
      </c>
      <c r="Y12" s="4" t="n">
        <v>1397819</v>
      </c>
    </row>
    <row r="13">
      <c r="A13" s="3" t="inlineStr">
        <is>
          <t>Goodwill</t>
        </is>
      </c>
      <c r="B13" s="4" t="n">
        <v>10023.806</v>
      </c>
      <c r="C13" s="4" t="n">
        <v>10023.806</v>
      </c>
      <c r="D13" s="4" t="n">
        <v>10419.321</v>
      </c>
      <c r="E13" s="4" t="n">
        <v>10419.321</v>
      </c>
      <c r="F13" s="4" t="n">
        <v>10419.321</v>
      </c>
      <c r="G13" s="4" t="n">
        <v>10419.321</v>
      </c>
      <c r="H13" s="4" t="n">
        <v>10419.321</v>
      </c>
      <c r="I13" s="4" t="n">
        <v>14851.635</v>
      </c>
      <c r="J13" s="4" t="n">
        <v>14527</v>
      </c>
      <c r="K13" s="4" t="n">
        <v>14238</v>
      </c>
      <c r="L13" s="4" t="n">
        <v>13323</v>
      </c>
      <c r="M13" s="4" t="n">
        <v>12502</v>
      </c>
      <c r="N13" s="4" t="n">
        <v>13679</v>
      </c>
      <c r="O13" s="4" t="n">
        <v>13949</v>
      </c>
      <c r="P13" s="4" t="n">
        <v>13937</v>
      </c>
      <c r="Q13" s="4" t="n">
        <v>13588</v>
      </c>
      <c r="R13" s="4" t="n">
        <v>14173</v>
      </c>
      <c r="S13" s="4" t="n">
        <v>13866</v>
      </c>
      <c r="T13" s="4" t="n">
        <v>13730</v>
      </c>
      <c r="U13" s="4" t="n">
        <v>14360</v>
      </c>
      <c r="V13" s="4" t="n">
        <v>71582</v>
      </c>
      <c r="W13" s="4" t="n">
        <v>72128</v>
      </c>
      <c r="X13" s="4" t="n">
        <v>802234</v>
      </c>
      <c r="Y13" s="4" t="n">
        <v>914957</v>
      </c>
    </row>
    <row r="14">
      <c r="A14" s="3" t="inlineStr">
        <is>
          <t>Deferred Other Costs - Non-Current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265993</v>
      </c>
      <c r="N14" s="4" t="n">
        <v>262462</v>
      </c>
      <c r="O14" s="4" t="n">
        <v>258931</v>
      </c>
      <c r="P14" s="4" t="n">
        <v>255400</v>
      </c>
      <c r="Q14" s="4" t="n">
        <v>251869</v>
      </c>
      <c r="R14" s="4" t="n">
        <v>248338</v>
      </c>
      <c r="S14" s="4" t="n">
        <v>244807</v>
      </c>
      <c r="T14" s="4" t="n">
        <v>241276</v>
      </c>
      <c r="U14" s="4" t="n">
        <v>237746</v>
      </c>
      <c r="V14" s="4" t="n">
        <v>234215</v>
      </c>
      <c r="W14" s="4" t="n">
        <v>230684</v>
      </c>
      <c r="X14" s="4" t="n">
        <v>227153</v>
      </c>
      <c r="Y14" s="4" t="n">
        <v>784214</v>
      </c>
    </row>
    <row r="15">
      <c r="A15" s="3" t="inlineStr">
        <is>
          <t>Deferred Tax Assets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9019</v>
      </c>
      <c r="K15" s="4" t="n">
        <v>6396</v>
      </c>
      <c r="L15" s="4" t="n">
        <v>7686</v>
      </c>
      <c r="M15" s="4" t="n">
        <v>0</v>
      </c>
      <c r="N15" s="4" t="n">
        <v>501</v>
      </c>
      <c r="O15" s="4" t="n">
        <v>482</v>
      </c>
      <c r="P15" s="4" t="n">
        <v>28373</v>
      </c>
      <c r="Q15" s="4" t="n">
        <v>30614</v>
      </c>
      <c r="R15" s="4" t="n">
        <v>29518</v>
      </c>
      <c r="S15" s="4" t="n">
        <v>22437</v>
      </c>
      <c r="T15" s="4" t="n">
        <v>22727</v>
      </c>
      <c r="U15" s="4" t="n">
        <v>24186</v>
      </c>
      <c r="V15" s="4" t="n">
        <v>38699</v>
      </c>
      <c r="W15" s="4" t="n">
        <v>38525</v>
      </c>
      <c r="X15" s="4" t="n">
        <v>43158</v>
      </c>
      <c r="Y15" s="4" t="n">
        <v>110410</v>
      </c>
    </row>
    <row r="16">
      <c r="A16" s="3" t="inlineStr">
        <is>
          <t>ROU Assets - Finance - Non-Current</t>
        </is>
      </c>
      <c r="B16" s="4" t="n">
        <v>809.466</v>
      </c>
      <c r="C16" s="4" t="n">
        <v>626.12</v>
      </c>
      <c r="D16" s="4" t="n">
        <v>524.15</v>
      </c>
      <c r="E16" s="4" t="n">
        <v>415.595</v>
      </c>
      <c r="F16" s="4" t="n">
        <v>162.119</v>
      </c>
      <c r="G16" s="4" t="n">
        <v>129.625</v>
      </c>
      <c r="H16" s="4" t="n">
        <v>100.365</v>
      </c>
      <c r="I16" s="4" t="n">
        <v>106.675</v>
      </c>
      <c r="J16" s="4" t="n">
        <v>86</v>
      </c>
      <c r="K16" s="4" t="n">
        <v>220</v>
      </c>
      <c r="L16" s="4" t="n">
        <v>180</v>
      </c>
      <c r="M16" s="4" t="n">
        <v>222</v>
      </c>
      <c r="N16" s="4" t="n">
        <v>208</v>
      </c>
      <c r="O16" s="4" t="n">
        <v>191</v>
      </c>
      <c r="P16" s="4" t="n">
        <v>171</v>
      </c>
      <c r="Q16" s="4" t="n">
        <v>148</v>
      </c>
      <c r="R16" s="4" t="n">
        <v>208</v>
      </c>
      <c r="S16" s="4" t="n">
        <v>263</v>
      </c>
      <c r="T16" s="4" t="n">
        <v>233</v>
      </c>
      <c r="U16" s="4" t="n">
        <v>214</v>
      </c>
      <c r="V16" s="4" t="n">
        <v>0</v>
      </c>
      <c r="W16" s="4" t="n">
        <v>0</v>
      </c>
      <c r="X16" s="4" t="n">
        <v>0</v>
      </c>
      <c r="Y16" s="4" t="n">
        <v>0</v>
      </c>
    </row>
    <row r="17">
      <c r="A17" s="3" t="inlineStr">
        <is>
          <t>Other Non-Current Assets</t>
        </is>
      </c>
      <c r="B17" s="4" t="n">
        <v>104.134</v>
      </c>
      <c r="C17" s="4" t="n">
        <v>55.358</v>
      </c>
      <c r="D17" s="4" t="n">
        <v>53.523</v>
      </c>
      <c r="E17" s="4" t="n">
        <v>60.875</v>
      </c>
      <c r="F17" s="4" t="n">
        <v>122.733</v>
      </c>
      <c r="G17" s="4" t="n">
        <v>110.1</v>
      </c>
      <c r="H17" s="4" t="n">
        <v>112.456</v>
      </c>
      <c r="I17" s="4" t="n">
        <v>308.449</v>
      </c>
      <c r="J17" s="4" t="n">
        <v>300</v>
      </c>
      <c r="K17" s="4" t="n">
        <v>293</v>
      </c>
      <c r="L17" s="4" t="n">
        <v>264</v>
      </c>
      <c r="M17" s="4" t="n">
        <v>242</v>
      </c>
      <c r="N17" s="4" t="n">
        <v>263</v>
      </c>
      <c r="O17" s="4" t="n">
        <v>263</v>
      </c>
      <c r="P17" s="4" t="n">
        <v>254</v>
      </c>
      <c r="Q17" s="4" t="n">
        <v>265</v>
      </c>
      <c r="R17" s="4" t="n">
        <v>291</v>
      </c>
      <c r="S17" s="4" t="n">
        <v>7963</v>
      </c>
      <c r="T17" s="4" t="n">
        <v>6653</v>
      </c>
      <c r="U17" s="4" t="n">
        <v>8594</v>
      </c>
      <c r="V17" s="4" t="n">
        <v>8384</v>
      </c>
      <c r="W17" s="4" t="n">
        <v>14717</v>
      </c>
      <c r="X17" s="4" t="n">
        <v>36755</v>
      </c>
      <c r="Y17" s="4" t="n">
        <v>35809</v>
      </c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6">
        <f>F8+SUM(F9:F17)</f>
        <v/>
      </c>
      <c r="G18" s="6">
        <f>G8+SUM(G9:G17)</f>
        <v/>
      </c>
      <c r="H18" s="6">
        <f>H8+SUM(H9:H17)</f>
        <v/>
      </c>
      <c r="I18" s="6">
        <f>I8+SUM(I9:I17)</f>
        <v/>
      </c>
      <c r="J18" s="6">
        <f>J8+SUM(J9:J17)</f>
        <v/>
      </c>
      <c r="K18" s="6">
        <f>K8+SUM(K9:K17)</f>
        <v/>
      </c>
      <c r="L18" s="6">
        <f>L8+SUM(L9:L17)</f>
        <v/>
      </c>
      <c r="M18" s="6">
        <f>M8+SUM(M9:M17)</f>
        <v/>
      </c>
      <c r="N18" s="6">
        <f>N8+SUM(N9:N17)</f>
        <v/>
      </c>
      <c r="O18" s="6">
        <f>O8+SUM(O9:O17)</f>
        <v/>
      </c>
      <c r="P18" s="6">
        <f>P8+SUM(P9:P17)</f>
        <v/>
      </c>
      <c r="Q18" s="6">
        <f>Q8+SUM(Q9:Q17)</f>
        <v/>
      </c>
      <c r="R18" s="6">
        <f>R8+SUM(R9:R17)</f>
        <v/>
      </c>
      <c r="S18" s="6">
        <f>S8+SUM(S9:S17)</f>
        <v/>
      </c>
      <c r="T18" s="6">
        <f>T8+SUM(T9:T17)</f>
        <v/>
      </c>
      <c r="U18" s="6">
        <f>U8+SUM(U9:U17)</f>
        <v/>
      </c>
      <c r="V18" s="6">
        <f>V8+SUM(V9:V17)</f>
        <v/>
      </c>
      <c r="W18" s="6">
        <f>W8+SUM(W9:W17)</f>
        <v/>
      </c>
      <c r="X18" s="6">
        <f>X8+SUM(X9:X17)</f>
        <v/>
      </c>
      <c r="Y18" s="6">
        <f>Y8+SUM(Y9:Y17)</f>
        <v/>
      </c>
    </row>
    <row r="19">
      <c r="A19" s="3" t="inlineStr">
        <is>
          <t>Accounts Payable</t>
        </is>
      </c>
      <c r="B19" s="4" t="n">
        <v>17292.647</v>
      </c>
      <c r="C19" s="4" t="n">
        <v>19885.182</v>
      </c>
      <c r="D19" s="4" t="n">
        <v>20149.301</v>
      </c>
      <c r="E19" s="4" t="n">
        <v>18117.611</v>
      </c>
      <c r="F19" s="4" t="n">
        <v>25412.753</v>
      </c>
      <c r="G19" s="4" t="n">
        <v>37525.39</v>
      </c>
      <c r="H19" s="4" t="n">
        <v>52992.075</v>
      </c>
      <c r="I19" s="4" t="n">
        <v>91931.59299999999</v>
      </c>
      <c r="J19" s="4" t="n">
        <v>91479</v>
      </c>
      <c r="K19" s="4" t="n">
        <v>109307</v>
      </c>
      <c r="L19" s="4" t="n">
        <v>102416</v>
      </c>
      <c r="M19" s="4" t="n">
        <v>143947</v>
      </c>
      <c r="N19" s="4" t="n">
        <v>107340</v>
      </c>
      <c r="O19" s="4" t="n">
        <v>107112</v>
      </c>
      <c r="P19" s="4" t="n">
        <v>94313</v>
      </c>
      <c r="Q19" s="4" t="n">
        <v>121088</v>
      </c>
      <c r="R19" s="4" t="n">
        <v>42840</v>
      </c>
      <c r="S19" s="4" t="n">
        <v>40196</v>
      </c>
      <c r="T19" s="4" t="n">
        <v>47423</v>
      </c>
      <c r="U19" s="4" t="n">
        <v>30938</v>
      </c>
      <c r="V19" s="4" t="n">
        <v>41287</v>
      </c>
      <c r="W19" s="4" t="n">
        <v>61052</v>
      </c>
      <c r="X19" s="4" t="n">
        <v>120962</v>
      </c>
      <c r="Y19" s="4" t="n">
        <v>97794</v>
      </c>
    </row>
    <row r="20">
      <c r="A20" s="3" t="inlineStr">
        <is>
          <t>Accrued Expenses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62120</v>
      </c>
      <c r="S20" s="4" t="n">
        <v>63871</v>
      </c>
      <c r="T20" s="4" t="n">
        <v>79633</v>
      </c>
      <c r="U20" s="4" t="n">
        <v>73024</v>
      </c>
      <c r="V20" s="4" t="n">
        <v>148780</v>
      </c>
      <c r="W20" s="4" t="n">
        <v>152046</v>
      </c>
      <c r="X20" s="4" t="n">
        <v>225859</v>
      </c>
      <c r="Y20" s="4" t="n">
        <v>311768</v>
      </c>
    </row>
    <row r="21">
      <c r="A21" s="3" t="inlineStr">
        <is>
          <t>Income Taxes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58798</v>
      </c>
      <c r="Q21" s="4" t="n">
        <v>58855</v>
      </c>
      <c r="R21" s="4" t="n">
        <v>50424</v>
      </c>
      <c r="S21" s="4" t="n">
        <v>58619</v>
      </c>
      <c r="T21" s="4" t="n">
        <v>5374</v>
      </c>
      <c r="U21" s="4" t="n">
        <v>739</v>
      </c>
      <c r="V21" s="4" t="n">
        <v>10834</v>
      </c>
      <c r="W21" s="4" t="n">
        <v>26206</v>
      </c>
      <c r="X21" s="4" t="n">
        <v>21765</v>
      </c>
      <c r="Y21" s="4" t="n">
        <v>49590</v>
      </c>
    </row>
    <row r="22">
      <c r="A22" s="3" t="inlineStr">
        <is>
          <t>Accrued Distributor Termination Fees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115551</v>
      </c>
      <c r="N22" s="4" t="n">
        <v>3986</v>
      </c>
      <c r="O22" s="4" t="n">
        <v>1063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252953</v>
      </c>
    </row>
    <row r="23">
      <c r="A23" s="3" t="inlineStr">
        <is>
          <t>Accrued Promotional Allowance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35977</v>
      </c>
      <c r="O23" s="4" t="n">
        <v>68225</v>
      </c>
      <c r="P23" s="4" t="n">
        <v>98933</v>
      </c>
      <c r="Q23" s="4" t="n">
        <v>136557</v>
      </c>
      <c r="R23" s="4" t="n">
        <v>99787</v>
      </c>
      <c r="S23" s="4" t="n">
        <v>129201</v>
      </c>
      <c r="T23" s="4" t="n">
        <v>156479</v>
      </c>
      <c r="U23" s="4" t="n">
        <v>158810</v>
      </c>
      <c r="V23" s="4" t="n">
        <v>135948</v>
      </c>
      <c r="W23" s="4" t="n">
        <v>151327</v>
      </c>
      <c r="X23" s="4" t="n">
        <v>200169</v>
      </c>
      <c r="Y23" s="4" t="n">
        <v>234068</v>
      </c>
    </row>
    <row r="24">
      <c r="A24" s="3" t="inlineStr">
        <is>
          <t>Lease Liability - Operating - Current</t>
        </is>
      </c>
      <c r="B24" s="4" t="n">
        <v>649.074</v>
      </c>
      <c r="C24" s="4" t="n">
        <v>587.6900000000001</v>
      </c>
      <c r="D24" s="4" t="n">
        <v>411.946</v>
      </c>
      <c r="E24" s="4" t="n">
        <v>397.931</v>
      </c>
      <c r="F24" s="4" t="n">
        <v>321.283</v>
      </c>
      <c r="G24" s="4" t="n">
        <v>337.626</v>
      </c>
      <c r="H24" s="4" t="n">
        <v>318.142</v>
      </c>
      <c r="I24" s="4" t="n">
        <v>376.602</v>
      </c>
      <c r="J24" s="4" t="n">
        <v>512</v>
      </c>
      <c r="K24" s="4" t="n">
        <v>569</v>
      </c>
      <c r="L24" s="4" t="n">
        <v>556</v>
      </c>
      <c r="M24" s="4" t="n">
        <v>663</v>
      </c>
      <c r="N24" s="4" t="n">
        <v>661</v>
      </c>
      <c r="O24" s="4" t="n">
        <v>605</v>
      </c>
      <c r="P24" s="4" t="n">
        <v>505</v>
      </c>
      <c r="Q24" s="4" t="n">
        <v>628</v>
      </c>
      <c r="R24" s="4" t="n">
        <v>980</v>
      </c>
      <c r="S24" s="4" t="n">
        <v>821</v>
      </c>
      <c r="T24" s="4" t="n">
        <v>729</v>
      </c>
      <c r="U24" s="4" t="n">
        <v>1358</v>
      </c>
      <c r="V24" s="4" t="n">
        <v>3265</v>
      </c>
      <c r="W24" s="4" t="n">
        <v>3550</v>
      </c>
      <c r="X24" s="4" t="n">
        <v>0</v>
      </c>
      <c r="Y24" s="4" t="n">
        <v>0</v>
      </c>
    </row>
    <row r="25">
      <c r="A25" s="3" t="inlineStr">
        <is>
          <t>Bonds Payable, Net</t>
        </is>
      </c>
      <c r="B25" s="4" t="n">
        <v>8634.279</v>
      </c>
      <c r="C25" s="4" t="n">
        <v>8599.75</v>
      </c>
      <c r="D25" s="4" t="n">
        <v>8953.266</v>
      </c>
      <c r="E25" s="4" t="n">
        <v>9540.007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</row>
    <row r="26">
      <c r="A26" s="3" t="inlineStr">
        <is>
          <t>Lease Liability - Finance - Current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205.824</v>
      </c>
      <c r="G26" s="4" t="n">
        <v>192.649</v>
      </c>
      <c r="H26" s="4" t="n">
        <v>191.753</v>
      </c>
      <c r="I26" s="4" t="n">
        <v>155.508</v>
      </c>
      <c r="J26" s="4" t="n">
        <v>157</v>
      </c>
      <c r="K26" s="4" t="n">
        <v>141</v>
      </c>
      <c r="L26" s="4" t="n">
        <v>101</v>
      </c>
      <c r="M26" s="4" t="n">
        <v>95</v>
      </c>
      <c r="N26" s="4" t="n">
        <v>70</v>
      </c>
      <c r="O26" s="4" t="n">
        <v>69</v>
      </c>
      <c r="P26" s="4" t="n">
        <v>67</v>
      </c>
      <c r="Q26" s="4" t="n">
        <v>63</v>
      </c>
      <c r="R26" s="4" t="n">
        <v>59</v>
      </c>
      <c r="S26" s="4" t="n">
        <v>61</v>
      </c>
      <c r="T26" s="4" t="n">
        <v>61</v>
      </c>
      <c r="U26" s="4" t="n">
        <v>99</v>
      </c>
      <c r="V26" s="4" t="n">
        <v>0</v>
      </c>
      <c r="W26" s="4" t="n">
        <v>0</v>
      </c>
      <c r="X26" s="4" t="n">
        <v>0</v>
      </c>
      <c r="Y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25000</v>
      </c>
      <c r="Y27" s="4" t="n">
        <v>25000</v>
      </c>
    </row>
    <row r="28">
      <c r="A28" s="3" t="inlineStr">
        <is>
          <t>Deferred Revenue - Current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7770</v>
      </c>
      <c r="N28" s="4" t="n">
        <v>9675</v>
      </c>
      <c r="O28" s="4" t="n">
        <v>9563</v>
      </c>
      <c r="P28" s="4" t="n">
        <v>9500</v>
      </c>
      <c r="Q28" s="4" t="n">
        <v>9500</v>
      </c>
      <c r="R28" s="4" t="n">
        <v>9513</v>
      </c>
      <c r="S28" s="4" t="n">
        <v>9513</v>
      </c>
      <c r="T28" s="4" t="n">
        <v>9513</v>
      </c>
      <c r="U28" s="4" t="n">
        <v>9513</v>
      </c>
      <c r="V28" s="4" t="n">
        <v>9513</v>
      </c>
      <c r="W28" s="4" t="n">
        <v>9513</v>
      </c>
      <c r="X28" s="4" t="n">
        <v>16071</v>
      </c>
      <c r="Y28" s="4" t="n">
        <v>25557</v>
      </c>
    </row>
    <row r="29">
      <c r="A29" s="3" t="inlineStr">
        <is>
          <t>Other Current Liabilities</t>
        </is>
      </c>
      <c r="B29" s="4" t="n">
        <v>107.399</v>
      </c>
      <c r="C29" s="4" t="n">
        <v>160.646</v>
      </c>
      <c r="D29" s="4" t="n">
        <v>561.617</v>
      </c>
      <c r="E29" s="4" t="n">
        <v>716.678</v>
      </c>
      <c r="F29" s="4" t="n">
        <v>425.232</v>
      </c>
      <c r="G29" s="4" t="n">
        <v>586.954</v>
      </c>
      <c r="H29" s="4" t="n">
        <v>754.907</v>
      </c>
      <c r="I29" s="4" t="n">
        <v>957.627</v>
      </c>
      <c r="J29" s="4" t="n">
        <v>976</v>
      </c>
      <c r="K29" s="4" t="n">
        <v>1734</v>
      </c>
      <c r="L29" s="4" t="n">
        <v>2761</v>
      </c>
      <c r="M29" s="4" t="n">
        <v>3267</v>
      </c>
      <c r="N29" s="4" t="n">
        <v>3586</v>
      </c>
      <c r="O29" s="4" t="n">
        <v>5094</v>
      </c>
      <c r="P29" s="4" t="n">
        <v>7109</v>
      </c>
      <c r="Q29" s="4" t="n">
        <v>8826</v>
      </c>
      <c r="R29" s="4" t="n">
        <v>10890</v>
      </c>
      <c r="S29" s="4" t="n">
        <v>12987</v>
      </c>
      <c r="T29" s="4" t="n">
        <v>13772</v>
      </c>
      <c r="U29" s="4" t="n">
        <v>14979</v>
      </c>
      <c r="V29" s="4" t="n">
        <v>15908</v>
      </c>
      <c r="W29" s="4" t="n">
        <v>14160</v>
      </c>
      <c r="X29" s="4" t="n">
        <v>49949</v>
      </c>
      <c r="Y29" s="4" t="n">
        <v>32258</v>
      </c>
    </row>
    <row r="30">
      <c r="A30" s="3" t="inlineStr">
        <is>
          <t>Total Current Liabilities</t>
        </is>
      </c>
      <c r="B30" s="6">
        <f>SUM(B19:B29)</f>
        <v/>
      </c>
      <c r="C30" s="6">
        <f>SUM(C19:C29)</f>
        <v/>
      </c>
      <c r="D30" s="6">
        <f>SUM(D19:D29)</f>
        <v/>
      </c>
      <c r="E30" s="6">
        <f>SUM(E19:E29)</f>
        <v/>
      </c>
      <c r="F30" s="6">
        <f>SUM(F19:F29)</f>
        <v/>
      </c>
      <c r="G30" s="6">
        <f>SUM(G19:G29)</f>
        <v/>
      </c>
      <c r="H30" s="6">
        <f>SUM(H19:H29)</f>
        <v/>
      </c>
      <c r="I30" s="6">
        <f>SUM(I19:I29)</f>
        <v/>
      </c>
      <c r="J30" s="6">
        <f>SUM(J19:J29)</f>
        <v/>
      </c>
      <c r="K30" s="6">
        <f>SUM(K19:K29)</f>
        <v/>
      </c>
      <c r="L30" s="6">
        <f>SUM(L19:L29)</f>
        <v/>
      </c>
      <c r="M30" s="6">
        <f>SUM(M19:M29)</f>
        <v/>
      </c>
      <c r="N30" s="6">
        <f>SUM(N19:N29)</f>
        <v/>
      </c>
      <c r="O30" s="6">
        <f>SUM(O19:O29)</f>
        <v/>
      </c>
      <c r="P30" s="6">
        <f>SUM(P19:P29)</f>
        <v/>
      </c>
      <c r="Q30" s="6">
        <f>SUM(Q19:Q29)</f>
        <v/>
      </c>
      <c r="R30" s="6">
        <f>SUM(R19:R29)</f>
        <v/>
      </c>
      <c r="S30" s="6">
        <f>SUM(S19:S29)</f>
        <v/>
      </c>
      <c r="T30" s="6">
        <f>SUM(T19:T29)</f>
        <v/>
      </c>
      <c r="U30" s="6">
        <f>SUM(U19:U29)</f>
        <v/>
      </c>
      <c r="V30" s="6">
        <f>SUM(V19:V29)</f>
        <v/>
      </c>
      <c r="W30" s="6">
        <f>SUM(W19:W29)</f>
        <v/>
      </c>
      <c r="X30" s="6">
        <f>SUM(X19:X29)</f>
        <v/>
      </c>
      <c r="Y30" s="6">
        <f>SUM(Y19:Y29)</f>
        <v/>
      </c>
    </row>
    <row r="31">
      <c r="A31" s="3" t="inlineStr">
        <is>
          <t>Lease Liability - Operating - Non-Current</t>
        </is>
      </c>
      <c r="B31" s="4" t="n">
        <v>239.848</v>
      </c>
      <c r="C31" s="4" t="n">
        <v>188.789</v>
      </c>
      <c r="D31" s="4" t="n">
        <v>203.101</v>
      </c>
      <c r="E31" s="4" t="n">
        <v>124.978</v>
      </c>
      <c r="F31" s="4" t="n">
        <v>514.948</v>
      </c>
      <c r="G31" s="4" t="n">
        <v>436.631</v>
      </c>
      <c r="H31" s="4" t="n">
        <v>391.157</v>
      </c>
      <c r="I31" s="4" t="n">
        <v>550.547</v>
      </c>
      <c r="J31" s="4" t="n">
        <v>658</v>
      </c>
      <c r="K31" s="4" t="n">
        <v>597</v>
      </c>
      <c r="L31" s="4" t="n">
        <v>420</v>
      </c>
      <c r="M31" s="4" t="n">
        <v>462</v>
      </c>
      <c r="N31" s="4" t="n">
        <v>326</v>
      </c>
      <c r="O31" s="4" t="n">
        <v>336</v>
      </c>
      <c r="P31" s="4" t="n">
        <v>249</v>
      </c>
      <c r="Q31" s="4" t="n">
        <v>512</v>
      </c>
      <c r="R31" s="4" t="n">
        <v>955</v>
      </c>
      <c r="S31" s="4" t="n">
        <v>850</v>
      </c>
      <c r="T31" s="4" t="n">
        <v>762</v>
      </c>
      <c r="U31" s="4" t="n">
        <v>4193</v>
      </c>
      <c r="V31" s="4" t="n">
        <v>16674</v>
      </c>
      <c r="W31" s="4" t="n">
        <v>16152</v>
      </c>
      <c r="X31" s="4" t="n">
        <v>0</v>
      </c>
      <c r="Y31" s="4" t="n">
        <v>0</v>
      </c>
    </row>
    <row r="32">
      <c r="A32" s="3" t="inlineStr">
        <is>
          <t>Lease Liability - Finance - Non-Current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82.29000000000001</v>
      </c>
      <c r="G32" s="4" t="n">
        <v>87.152</v>
      </c>
      <c r="H32" s="4" t="n">
        <v>60.731</v>
      </c>
      <c r="I32" s="4" t="n">
        <v>88.649</v>
      </c>
      <c r="J32" s="4" t="n">
        <v>45</v>
      </c>
      <c r="K32" s="4" t="n">
        <v>138</v>
      </c>
      <c r="L32" s="4" t="n">
        <v>138</v>
      </c>
      <c r="M32" s="4" t="n">
        <v>167</v>
      </c>
      <c r="N32" s="4" t="n">
        <v>162</v>
      </c>
      <c r="O32" s="4" t="n">
        <v>156</v>
      </c>
      <c r="P32" s="4" t="n">
        <v>147</v>
      </c>
      <c r="Q32" s="4" t="n">
        <v>135</v>
      </c>
      <c r="R32" s="4" t="n">
        <v>193</v>
      </c>
      <c r="S32" s="4" t="n">
        <v>245</v>
      </c>
      <c r="T32" s="4" t="n">
        <v>228</v>
      </c>
      <c r="U32" s="4" t="n">
        <v>189</v>
      </c>
      <c r="V32" s="4" t="n">
        <v>0</v>
      </c>
      <c r="W32" s="4" t="n">
        <v>0</v>
      </c>
      <c r="X32" s="4" t="n">
        <v>0</v>
      </c>
      <c r="Y32" s="4" t="n">
        <v>0</v>
      </c>
    </row>
    <row r="33">
      <c r="A33" s="3" t="inlineStr">
        <is>
          <t>Deferred Tax Liability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3497.24</v>
      </c>
      <c r="J33" s="4" t="n">
        <v>3146</v>
      </c>
      <c r="K33" s="4" t="n">
        <v>3084</v>
      </c>
      <c r="L33" s="4" t="n">
        <v>2886</v>
      </c>
      <c r="M33" s="4" t="n">
        <v>25457</v>
      </c>
      <c r="N33" s="4" t="n">
        <v>15919</v>
      </c>
      <c r="O33" s="4" t="n">
        <v>19250</v>
      </c>
      <c r="P33" s="4" t="n">
        <v>2333</v>
      </c>
      <c r="Q33" s="4" t="n">
        <v>2249</v>
      </c>
      <c r="R33" s="4" t="n">
        <v>2880</v>
      </c>
      <c r="S33" s="4" t="n">
        <v>2248</v>
      </c>
      <c r="T33" s="4" t="n">
        <v>2201</v>
      </c>
      <c r="U33" s="4" t="n">
        <v>2275</v>
      </c>
      <c r="V33" s="4" t="n">
        <v>0</v>
      </c>
      <c r="W33" s="4" t="n">
        <v>0</v>
      </c>
      <c r="X33" s="4" t="n">
        <v>0</v>
      </c>
      <c r="Y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862917</v>
      </c>
      <c r="Y34" s="4" t="n">
        <v>861472</v>
      </c>
    </row>
    <row r="35">
      <c r="A35" s="3" t="inlineStr">
        <is>
          <t>Deferred Revenue - Non-Current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146333</v>
      </c>
      <c r="N35" s="4" t="n">
        <v>179788</v>
      </c>
      <c r="O35" s="4" t="n">
        <v>175275</v>
      </c>
      <c r="P35" s="4" t="n">
        <v>171745</v>
      </c>
      <c r="Q35" s="4" t="n">
        <v>169370</v>
      </c>
      <c r="R35" s="4" t="n">
        <v>167227</v>
      </c>
      <c r="S35" s="4" t="n">
        <v>164849</v>
      </c>
      <c r="T35" s="4" t="n">
        <v>162471</v>
      </c>
      <c r="U35" s="4" t="n">
        <v>160092</v>
      </c>
      <c r="V35" s="4" t="n">
        <v>157714</v>
      </c>
      <c r="W35" s="4" t="n">
        <v>155336</v>
      </c>
      <c r="X35" s="4" t="n">
        <v>156135</v>
      </c>
      <c r="Y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22.198</v>
      </c>
      <c r="J36" s="4" t="n">
        <v>0</v>
      </c>
      <c r="K36" s="4" t="n">
        <v>0</v>
      </c>
      <c r="L36" s="4" t="n">
        <v>487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2541</v>
      </c>
      <c r="W36" s="4" t="n">
        <v>2574</v>
      </c>
      <c r="X36" s="4" t="n">
        <v>25002</v>
      </c>
      <c r="Y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  <c r="N37" s="6">
        <f>N30+SUM(N31:N36)</f>
        <v/>
      </c>
      <c r="O37" s="6">
        <f>O30+SUM(O31:O36)</f>
        <v/>
      </c>
      <c r="P37" s="6">
        <f>P30+SUM(P31:P36)</f>
        <v/>
      </c>
      <c r="Q37" s="6">
        <f>Q30+SUM(Q31:Q36)</f>
        <v/>
      </c>
      <c r="R37" s="6">
        <f>R30+SUM(R31:R36)</f>
        <v/>
      </c>
      <c r="S37" s="6">
        <f>S30+SUM(S31:S36)</f>
        <v/>
      </c>
      <c r="T37" s="6">
        <f>T30+SUM(T31:T36)</f>
        <v/>
      </c>
      <c r="U37" s="6">
        <f>U30+SUM(U31:U36)</f>
        <v/>
      </c>
      <c r="V37" s="6">
        <f>V30+SUM(V31:V36)</f>
        <v/>
      </c>
      <c r="W37" s="6">
        <f>W30+SUM(W31:W36)</f>
        <v/>
      </c>
      <c r="X37" s="6">
        <f>X30+SUM(X31:X36)</f>
        <v/>
      </c>
      <c r="Y37" s="6">
        <f>Y30+SUM(Y31:Y36)</f>
        <v/>
      </c>
    </row>
    <row r="38">
      <c r="A38" s="3" t="inlineStr">
        <is>
          <t>Convertible Preferred Stock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824488</v>
      </c>
      <c r="N38" s="4" t="n">
        <v>824488</v>
      </c>
      <c r="O38" s="4" t="n">
        <v>824488</v>
      </c>
      <c r="P38" s="4" t="n">
        <v>824488</v>
      </c>
      <c r="Q38" s="4" t="n">
        <v>824488</v>
      </c>
      <c r="R38" s="4" t="n">
        <v>824488</v>
      </c>
      <c r="S38" s="4" t="n">
        <v>824488</v>
      </c>
      <c r="T38" s="4" t="n">
        <v>824488</v>
      </c>
      <c r="U38" s="4" t="n">
        <v>824488</v>
      </c>
      <c r="V38" s="4" t="n">
        <v>824488</v>
      </c>
      <c r="W38" s="4" t="n">
        <v>824488</v>
      </c>
      <c r="X38" s="4" t="n">
        <v>824488</v>
      </c>
      <c r="Y38" s="4" t="n">
        <v>1760275</v>
      </c>
    </row>
    <row r="39">
      <c r="A39" s="3" t="inlineStr">
        <is>
          <t>Common Stock</t>
        </is>
      </c>
      <c r="B39" s="4" t="n">
        <v>68.94199999999999</v>
      </c>
      <c r="C39" s="4" t="n">
        <v>69.28</v>
      </c>
      <c r="D39" s="4" t="n">
        <v>69.563</v>
      </c>
      <c r="E39" s="4" t="n">
        <v>71.652</v>
      </c>
      <c r="F39" s="4" t="n">
        <v>72.26300000000001</v>
      </c>
      <c r="G39" s="4" t="n">
        <v>72.586</v>
      </c>
      <c r="H39" s="4" t="n">
        <v>74.471</v>
      </c>
      <c r="I39" s="4" t="n">
        <v>74.746</v>
      </c>
      <c r="J39" s="4" t="n">
        <v>75</v>
      </c>
      <c r="K39" s="4" t="n">
        <v>75</v>
      </c>
      <c r="L39" s="4" t="n">
        <v>76</v>
      </c>
      <c r="M39" s="4" t="n">
        <v>76</v>
      </c>
      <c r="N39" s="4" t="n">
        <v>76</v>
      </c>
      <c r="O39" s="4" t="n">
        <v>77</v>
      </c>
      <c r="P39" s="4" t="n">
        <v>77</v>
      </c>
      <c r="Q39" s="4" t="n">
        <v>77</v>
      </c>
      <c r="R39" s="4" t="n">
        <v>77</v>
      </c>
      <c r="S39" s="4" t="n">
        <v>78</v>
      </c>
      <c r="T39" s="4" t="n">
        <v>78</v>
      </c>
      <c r="U39" s="4" t="n">
        <v>79</v>
      </c>
      <c r="V39" s="4" t="n">
        <v>79</v>
      </c>
      <c r="W39" s="4" t="n">
        <v>79</v>
      </c>
      <c r="X39" s="4" t="n">
        <v>101</v>
      </c>
      <c r="Y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</row>
    <row r="41">
      <c r="A41" s="3" t="inlineStr">
        <is>
          <t>Additional Paid-in Capital</t>
        </is>
      </c>
      <c r="B41" s="4" t="n">
        <v>127552.998</v>
      </c>
      <c r="C41" s="4" t="n">
        <v>129168.007</v>
      </c>
      <c r="D41" s="4" t="n">
        <v>130832.04</v>
      </c>
      <c r="E41" s="4" t="n">
        <v>156548.446</v>
      </c>
      <c r="F41" s="4" t="n">
        <v>159884.154</v>
      </c>
      <c r="G41" s="4" t="n">
        <v>164174.742</v>
      </c>
      <c r="H41" s="4" t="n">
        <v>237763.609</v>
      </c>
      <c r="I41" s="4" t="n">
        <v>244293.71</v>
      </c>
      <c r="J41" s="4" t="n">
        <v>267847</v>
      </c>
      <c r="K41" s="4" t="n">
        <v>272967</v>
      </c>
      <c r="L41" s="4" t="n">
        <v>277623</v>
      </c>
      <c r="M41" s="4" t="n">
        <v>281133</v>
      </c>
      <c r="N41" s="4" t="n">
        <v>280668</v>
      </c>
      <c r="O41" s="4" t="n">
        <v>279872</v>
      </c>
      <c r="P41" s="4" t="n">
        <v>278980</v>
      </c>
      <c r="Q41" s="4" t="n">
        <v>277980</v>
      </c>
      <c r="R41" s="4" t="n">
        <v>276717</v>
      </c>
      <c r="S41" s="4" t="n">
        <v>281247</v>
      </c>
      <c r="T41" s="4" t="n">
        <v>286173</v>
      </c>
      <c r="U41" s="4" t="n">
        <v>292576</v>
      </c>
      <c r="V41" s="4" t="n">
        <v>297579</v>
      </c>
      <c r="W41" s="4" t="n">
        <v>300877</v>
      </c>
      <c r="X41" s="4" t="n">
        <v>1028384</v>
      </c>
      <c r="Y41" s="4" t="n">
        <v>1035021</v>
      </c>
    </row>
    <row r="42">
      <c r="A42" s="3" t="inlineStr">
        <is>
          <t>Accumulated Other Comprehensive Income (Loss)</t>
        </is>
      </c>
      <c r="B42" s="4" t="n">
        <v>-753.52</v>
      </c>
      <c r="C42" s="4" t="n">
        <v>-868.01</v>
      </c>
      <c r="D42" s="4" t="n">
        <v>-976.691</v>
      </c>
      <c r="E42" s="4" t="n">
        <v>-866.664</v>
      </c>
      <c r="F42" s="4" t="n">
        <v>-202.142</v>
      </c>
      <c r="G42" s="4" t="n">
        <v>-394.651</v>
      </c>
      <c r="H42" s="4" t="n">
        <v>-117.656</v>
      </c>
      <c r="I42" s="4" t="n">
        <v>1165.027</v>
      </c>
      <c r="J42" s="4" t="n">
        <v>614</v>
      </c>
      <c r="K42" s="4" t="n">
        <v>123</v>
      </c>
      <c r="L42" s="4" t="n">
        <v>-2173</v>
      </c>
      <c r="M42" s="4" t="n">
        <v>-4211</v>
      </c>
      <c r="N42" s="4" t="n">
        <v>-1881</v>
      </c>
      <c r="O42" s="4" t="n">
        <v>-1287</v>
      </c>
      <c r="P42" s="4" t="n">
        <v>-1877</v>
      </c>
      <c r="Q42" s="4" t="n">
        <v>-2541</v>
      </c>
      <c r="R42" s="4" t="n">
        <v>-701</v>
      </c>
      <c r="S42" s="4" t="n">
        <v>-2055</v>
      </c>
      <c r="T42" s="4" t="n">
        <v>-2363</v>
      </c>
      <c r="U42" s="4" t="n">
        <v>-338</v>
      </c>
      <c r="V42" s="4" t="n">
        <v>-3250</v>
      </c>
      <c r="W42" s="4" t="n">
        <v>-1001</v>
      </c>
      <c r="X42" s="4" t="n">
        <v>2178</v>
      </c>
      <c r="Y42" s="4" t="n">
        <v>2508</v>
      </c>
    </row>
    <row r="43">
      <c r="A43" s="3" t="inlineStr">
        <is>
          <t>Retained Earnings (Accumulated Deficit)</t>
        </is>
      </c>
      <c r="B43" s="4" t="n">
        <v>-63409.431</v>
      </c>
      <c r="C43" s="4" t="n">
        <v>-62863.38</v>
      </c>
      <c r="D43" s="4" t="n">
        <v>-61305.046</v>
      </c>
      <c r="E43" s="4" t="n">
        <v>-56551.443</v>
      </c>
      <c r="F43" s="4" t="n">
        <v>-55426.832</v>
      </c>
      <c r="G43" s="4" t="n">
        <v>-54841.408</v>
      </c>
      <c r="H43" s="4" t="n">
        <v>-50881.064</v>
      </c>
      <c r="I43" s="4" t="n">
        <v>-48135.273</v>
      </c>
      <c r="J43" s="4" t="n">
        <v>-51490</v>
      </c>
      <c r="K43" s="4" t="n">
        <v>-44811</v>
      </c>
      <c r="L43" s="4" t="n">
        <v>-35653</v>
      </c>
      <c r="M43" s="4" t="n">
        <v>-217549</v>
      </c>
      <c r="N43" s="4" t="n">
        <v>-238772</v>
      </c>
      <c r="O43" s="4" t="n">
        <v>-197627</v>
      </c>
      <c r="P43" s="4" t="n">
        <v>-146118</v>
      </c>
      <c r="Q43" s="4" t="n">
        <v>-62169</v>
      </c>
      <c r="R43" s="4" t="n">
        <v>-12053</v>
      </c>
      <c r="S43" s="4" t="n">
        <v>58921</v>
      </c>
      <c r="T43" s="4" t="n">
        <v>131866</v>
      </c>
      <c r="U43" s="4" t="n">
        <v>131309</v>
      </c>
      <c r="V43" s="4" t="n">
        <v>105521</v>
      </c>
      <c r="W43" s="4" t="n">
        <v>143159</v>
      </c>
      <c r="X43" s="4" t="n">
        <v>236163</v>
      </c>
      <c r="Y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  <c r="N44" s="6">
        <f>SUM(N38:N43)</f>
        <v/>
      </c>
      <c r="O44" s="6">
        <f>SUM(O38:O43)</f>
        <v/>
      </c>
      <c r="P44" s="6">
        <f>SUM(P38:P43)</f>
        <v/>
      </c>
      <c r="Q44" s="6">
        <f>SUM(Q38:Q43)</f>
        <v/>
      </c>
      <c r="R44" s="6">
        <f>SUM(R38:R43)</f>
        <v/>
      </c>
      <c r="S44" s="6">
        <f>SUM(S38:S43)</f>
        <v/>
      </c>
      <c r="T44" s="6">
        <f>SUM(T38:T43)</f>
        <v/>
      </c>
      <c r="U44" s="6">
        <f>SUM(U38:U43)</f>
        <v/>
      </c>
      <c r="V44" s="6">
        <f>SUM(V38:V43)</f>
        <v/>
      </c>
      <c r="W44" s="6">
        <f>SUM(W38:W43)</f>
        <v/>
      </c>
      <c r="X44" s="6">
        <f>SUM(X38:X43)</f>
        <v/>
      </c>
      <c r="Y44" s="6">
        <f>SUM(Y38:Y43)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  <c r="N45" s="6">
        <f>N37+N44</f>
        <v/>
      </c>
      <c r="O45" s="6">
        <f>O37+O44</f>
        <v/>
      </c>
      <c r="P45" s="6">
        <f>P37+P44</f>
        <v/>
      </c>
      <c r="Q45" s="6">
        <f>Q37+Q44</f>
        <v/>
      </c>
      <c r="R45" s="6">
        <f>R37+R44</f>
        <v/>
      </c>
      <c r="S45" s="6">
        <f>S37+S44</f>
        <v/>
      </c>
      <c r="T45" s="6">
        <f>T37+T44</f>
        <v/>
      </c>
      <c r="U45" s="6">
        <f>U37+U44</f>
        <v/>
      </c>
      <c r="V45" s="6">
        <f>V37+V44</f>
        <v/>
      </c>
      <c r="W45" s="6">
        <f>W37+W44</f>
        <v/>
      </c>
      <c r="X45" s="6">
        <f>X37+X44</f>
        <v/>
      </c>
      <c r="Y45" s="6">
        <f>Y37+Y44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Q1 FY2021</t>
        </is>
      </c>
      <c r="F1" s="2" t="inlineStr">
        <is>
          <t>Q2 FY2021</t>
        </is>
      </c>
      <c r="G1" s="2" t="inlineStr">
        <is>
          <t>Q3 FY2021</t>
        </is>
      </c>
      <c r="H1" s="2" t="inlineStr">
        <is>
          <t>Q1 FY2022</t>
        </is>
      </c>
      <c r="I1" s="2" t="inlineStr">
        <is>
          <t>Q2 FY2022</t>
        </is>
      </c>
      <c r="J1" s="2" t="inlineStr">
        <is>
          <t>Q3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Q1 FY2024</t>
        </is>
      </c>
      <c r="O1" s="2" t="inlineStr">
        <is>
          <t>Q2 FY2024</t>
        </is>
      </c>
      <c r="P1" s="2" t="inlineStr">
        <is>
          <t>Q3 FY2024</t>
        </is>
      </c>
      <c r="Q1" s="2" t="inlineStr">
        <is>
          <t>Q1 FY2025</t>
        </is>
      </c>
      <c r="R1" s="2" t="inlineStr">
        <is>
          <t>Q2 FY2025</t>
        </is>
      </c>
      <c r="S1" s="2" t="inlineStr">
        <is>
          <t>Q3 FY2025</t>
        </is>
      </c>
    </row>
    <row r="2">
      <c r="A2" s="3" t="inlineStr">
        <is>
          <t>Net Income (Loss)</t>
        </is>
      </c>
      <c r="B2" s="4" t="n">
        <v>546.051</v>
      </c>
      <c r="C2" s="4" t="n">
        <v>2104.385</v>
      </c>
      <c r="D2" s="4" t="n">
        <v>6857.988</v>
      </c>
      <c r="E2" s="4" t="n">
        <v>585.424</v>
      </c>
      <c r="F2" s="4" t="n">
        <v>4545.768</v>
      </c>
      <c r="G2" s="4" t="n">
        <v>7291.559</v>
      </c>
      <c r="H2" s="4" t="n">
        <v>6679</v>
      </c>
      <c r="I2" s="4" t="n">
        <v>15838</v>
      </c>
      <c r="J2" s="4" t="n">
        <v>-166059</v>
      </c>
      <c r="K2" s="4" t="n">
        <v>41227</v>
      </c>
      <c r="L2" s="4" t="n">
        <v>92736</v>
      </c>
      <c r="M2" s="4" t="n">
        <v>176685</v>
      </c>
      <c r="N2" s="4" t="n">
        <v>77811</v>
      </c>
      <c r="O2" s="4" t="n">
        <v>157594</v>
      </c>
      <c r="P2" s="4" t="n">
        <v>163950</v>
      </c>
      <c r="Q2" s="4" t="n">
        <v>44419</v>
      </c>
      <c r="R2" s="4" t="n">
        <v>144274</v>
      </c>
      <c r="S2" s="4" t="n">
        <v>83260</v>
      </c>
    </row>
    <row r="3">
      <c r="A3" s="3" t="inlineStr">
        <is>
          <t>Depreciation</t>
        </is>
      </c>
      <c r="B3" s="4" t="n">
        <v>124.939</v>
      </c>
      <c r="C3" s="4" t="n">
        <v>50.351</v>
      </c>
      <c r="D3" s="4" t="n">
        <v>82.18000000000001</v>
      </c>
      <c r="E3" s="4" t="n">
        <v>108.198</v>
      </c>
      <c r="F3" s="4" t="n">
        <v>178.425</v>
      </c>
      <c r="G3" s="4" t="n">
        <v>519.765</v>
      </c>
      <c r="H3" s="4" t="n">
        <v>245</v>
      </c>
      <c r="I3" s="4" t="n">
        <v>556</v>
      </c>
      <c r="J3" s="4" t="n">
        <v>952</v>
      </c>
      <c r="K3" s="4" t="n">
        <v>404</v>
      </c>
      <c r="L3" s="4" t="n">
        <v>953</v>
      </c>
      <c r="M3" s="4" t="n">
        <v>1676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</row>
    <row r="4">
      <c r="A4" s="3" t="inlineStr">
        <is>
          <t>Amortization</t>
        </is>
      </c>
      <c r="B4" s="4" t="n">
        <v>309.597</v>
      </c>
      <c r="C4" s="4" t="n">
        <v>851.045</v>
      </c>
      <c r="D4" s="4" t="n">
        <v>1224.684</v>
      </c>
      <c r="E4" s="4" t="n">
        <v>187.67</v>
      </c>
      <c r="F4" s="4" t="n">
        <v>375.141</v>
      </c>
      <c r="G4" s="4" t="n">
        <v>550.8</v>
      </c>
      <c r="H4" s="4" t="n">
        <v>141</v>
      </c>
      <c r="I4" s="4" t="n">
        <v>275</v>
      </c>
      <c r="J4" s="4" t="n">
        <v>402</v>
      </c>
      <c r="K4" s="4" t="n">
        <v>145</v>
      </c>
      <c r="L4" s="4" t="n">
        <v>294</v>
      </c>
      <c r="M4" s="4" t="n">
        <v>445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2379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1229</v>
      </c>
      <c r="O6" s="4" t="n">
        <v>2648</v>
      </c>
      <c r="P6" s="4" t="n">
        <v>4888</v>
      </c>
      <c r="Q6" s="4" t="n">
        <v>2611</v>
      </c>
      <c r="R6" s="4" t="n">
        <v>11730</v>
      </c>
      <c r="S6" s="4" t="n">
        <v>20516</v>
      </c>
    </row>
    <row r="7">
      <c r="A7" s="3" t="inlineStr">
        <is>
          <t>Allowance for Credit Losses</t>
        </is>
      </c>
      <c r="B7" s="4" t="n">
        <v>221.222</v>
      </c>
      <c r="C7" s="4" t="n">
        <v>221.182</v>
      </c>
      <c r="D7" s="4" t="n">
        <v>244.685</v>
      </c>
      <c r="E7" s="4" t="n">
        <v>223.034</v>
      </c>
      <c r="F7" s="4" t="n">
        <v>854.606</v>
      </c>
      <c r="G7" s="4" t="n">
        <v>-207.261</v>
      </c>
      <c r="H7" s="4" t="n">
        <v>455</v>
      </c>
      <c r="I7" s="4" t="n">
        <v>466</v>
      </c>
      <c r="J7" s="4" t="n">
        <v>705</v>
      </c>
      <c r="K7" s="4" t="n">
        <v>837</v>
      </c>
      <c r="L7" s="4" t="n">
        <v>1088</v>
      </c>
      <c r="M7" s="4" t="n">
        <v>1880</v>
      </c>
      <c r="N7" s="4" t="n">
        <v>2250</v>
      </c>
      <c r="O7" s="4" t="n">
        <v>4072</v>
      </c>
      <c r="P7" s="4" t="n">
        <v>4279</v>
      </c>
      <c r="Q7" s="4" t="n">
        <v>2077</v>
      </c>
      <c r="R7" s="4" t="n">
        <v>5529</v>
      </c>
      <c r="S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2354</v>
      </c>
      <c r="K8" s="4" t="n">
        <v>3531</v>
      </c>
      <c r="L8" s="4" t="n">
        <v>7062</v>
      </c>
      <c r="M8" s="4" t="n">
        <v>10593</v>
      </c>
      <c r="N8" s="4" t="n">
        <v>3531</v>
      </c>
      <c r="O8" s="4" t="n">
        <v>7062</v>
      </c>
      <c r="P8" s="4" t="n">
        <v>10593</v>
      </c>
      <c r="Q8" s="4" t="n">
        <v>3531</v>
      </c>
      <c r="R8" s="4" t="n">
        <v>7062</v>
      </c>
      <c r="S8" s="4" t="n">
        <v>13391</v>
      </c>
    </row>
    <row r="9">
      <c r="A9" s="3" t="inlineStr">
        <is>
          <t>Inventory Write-Down</t>
        </is>
      </c>
      <c r="B9" s="4" t="n">
        <v>-270.71</v>
      </c>
      <c r="C9" s="4" t="n">
        <v>-137.37</v>
      </c>
      <c r="D9" s="4" t="n">
        <v>211.822</v>
      </c>
      <c r="E9" s="4" t="n">
        <v>753.9349999999999</v>
      </c>
      <c r="F9" s="4" t="n">
        <v>1260.076</v>
      </c>
      <c r="G9" s="4" t="n">
        <v>12.234</v>
      </c>
      <c r="H9" s="4" t="n">
        <v>2596</v>
      </c>
      <c r="I9" s="4" t="n">
        <v>331</v>
      </c>
      <c r="J9" s="4" t="n">
        <v>1078</v>
      </c>
      <c r="K9" s="4" t="n">
        <v>1672</v>
      </c>
      <c r="L9" s="4" t="n">
        <v>-3888</v>
      </c>
      <c r="M9" s="4" t="n">
        <v>2677</v>
      </c>
      <c r="N9" s="4" t="n">
        <v>2386</v>
      </c>
      <c r="O9" s="4" t="n">
        <v>11554</v>
      </c>
      <c r="P9" s="4" t="n">
        <v>17118</v>
      </c>
      <c r="Q9" s="4" t="n">
        <v>5337</v>
      </c>
      <c r="R9" s="4" t="n">
        <v>15262</v>
      </c>
      <c r="S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191</v>
      </c>
      <c r="M10" s="4" t="n">
        <v>195</v>
      </c>
      <c r="N10" s="4" t="n">
        <v>-8</v>
      </c>
      <c r="O10" s="4" t="n">
        <v>31</v>
      </c>
      <c r="P10" s="4" t="n">
        <v>126</v>
      </c>
      <c r="Q10" s="4" t="n">
        <v>0</v>
      </c>
      <c r="R10" s="4" t="n">
        <v>0</v>
      </c>
      <c r="S10" s="4" t="n">
        <v>0</v>
      </c>
    </row>
    <row r="11">
      <c r="A11" s="3" t="inlineStr">
        <is>
          <t>Stock-Based Compensation</t>
        </is>
      </c>
      <c r="B11" s="4" t="n">
        <v>1400</v>
      </c>
      <c r="C11" s="4" t="n">
        <v>2574.999</v>
      </c>
      <c r="D11" s="4" t="n">
        <v>4718.699</v>
      </c>
      <c r="E11" s="4" t="n">
        <v>3575.001</v>
      </c>
      <c r="F11" s="4" t="n">
        <v>7597.26</v>
      </c>
      <c r="G11" s="4" t="n">
        <v>13400.581</v>
      </c>
      <c r="H11" s="4" t="n">
        <v>4310</v>
      </c>
      <c r="I11" s="4" t="n">
        <v>8517</v>
      </c>
      <c r="J11" s="4" t="n">
        <v>14780</v>
      </c>
      <c r="K11" s="4" t="n">
        <v>5507</v>
      </c>
      <c r="L11" s="4" t="n">
        <v>11242</v>
      </c>
      <c r="M11" s="4" t="n">
        <v>16221</v>
      </c>
      <c r="N11" s="4" t="n">
        <v>3563</v>
      </c>
      <c r="O11" s="4" t="n">
        <v>8309</v>
      </c>
      <c r="P11" s="4" t="n">
        <v>13685</v>
      </c>
      <c r="Q11" s="4" t="n">
        <v>5029</v>
      </c>
      <c r="R11" s="4" t="n">
        <v>11463</v>
      </c>
      <c r="S11" s="4" t="n">
        <v>18847</v>
      </c>
    </row>
    <row r="12">
      <c r="A12" s="3" t="inlineStr">
        <is>
          <t>Gain on China Transaction</t>
        </is>
      </c>
      <c r="B12" s="4" t="n">
        <v>144.403</v>
      </c>
      <c r="C12" s="4" t="n">
        <v>23.1</v>
      </c>
      <c r="D12" s="4" t="n">
        <v>-384.493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</row>
    <row r="13">
      <c r="A13" s="3" t="inlineStr">
        <is>
          <t>Gain (Loss) on Lease Cancellations</t>
        </is>
      </c>
      <c r="B13" s="4" t="n">
        <v>0</v>
      </c>
      <c r="C13" s="4" t="n">
        <v>-152.112</v>
      </c>
      <c r="D13" s="4" t="n">
        <v>-152.112</v>
      </c>
      <c r="E13" s="4" t="n">
        <v>0</v>
      </c>
      <c r="F13" s="4" t="n">
        <v>0</v>
      </c>
      <c r="G13" s="4" t="n">
        <v>-14.669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</row>
    <row r="14">
      <c r="A14" s="3" t="inlineStr">
        <is>
          <t>(Benefit) Provision for Deferred Income Taxes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-182.156</v>
      </c>
      <c r="H14" s="4" t="n">
        <v>2561</v>
      </c>
      <c r="I14" s="4" t="n">
        <v>1072</v>
      </c>
      <c r="J14" s="4" t="n">
        <v>31329</v>
      </c>
      <c r="K14" s="4" t="n">
        <v>2873</v>
      </c>
      <c r="L14" s="4" t="n">
        <v>-41044</v>
      </c>
      <c r="M14" s="4" t="n">
        <v>-44303</v>
      </c>
      <c r="N14" s="4" t="n">
        <v>6450</v>
      </c>
      <c r="O14" s="4" t="n">
        <v>6112</v>
      </c>
      <c r="P14" s="4" t="n">
        <v>4727</v>
      </c>
      <c r="Q14" s="4" t="n">
        <v>269</v>
      </c>
      <c r="R14" s="4" t="n">
        <v>-4161</v>
      </c>
      <c r="S14" s="4" t="n">
        <v>-71408</v>
      </c>
    </row>
    <row r="15">
      <c r="A15" s="3" t="inlineStr">
        <is>
          <t>Foreign Currency Gain (Loss)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-76.765</v>
      </c>
      <c r="H15" s="4" t="n">
        <v>85</v>
      </c>
      <c r="I15" s="4" t="n">
        <v>602</v>
      </c>
      <c r="J15" s="4" t="n">
        <v>1007</v>
      </c>
      <c r="K15" s="4" t="n">
        <v>69</v>
      </c>
      <c r="L15" s="4" t="n">
        <v>206</v>
      </c>
      <c r="M15" s="4" t="n">
        <v>258</v>
      </c>
      <c r="N15" s="4" t="n">
        <v>369</v>
      </c>
      <c r="O15" s="4" t="n">
        <v>633</v>
      </c>
      <c r="P15" s="4" t="n">
        <v>356</v>
      </c>
      <c r="Q15" s="4" t="n">
        <v>0</v>
      </c>
      <c r="R15" s="4" t="n">
        <v>0</v>
      </c>
      <c r="S15" s="4" t="n">
        <v>0</v>
      </c>
    </row>
    <row r="16">
      <c r="A16" s="3" t="inlineStr">
        <is>
          <t>Change in Fair Value of Contingent Consideration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13800</v>
      </c>
      <c r="S16" s="4" t="n">
        <v>13800</v>
      </c>
    </row>
    <row r="17">
      <c r="A17" s="3" t="inlineStr">
        <is>
          <t>Gain (Loss) on Extinguishment of Debt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</row>
    <row r="18">
      <c r="A18" s="3" t="inlineStr">
        <is>
          <t>Other Operating Items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-185.716</v>
      </c>
      <c r="H18" s="4" t="n">
        <v>0</v>
      </c>
      <c r="I18" s="4" t="n">
        <v>0</v>
      </c>
      <c r="J18" s="4" t="n">
        <v>56</v>
      </c>
      <c r="K18" s="4" t="n">
        <v>-4</v>
      </c>
      <c r="L18" s="4" t="n">
        <v>8</v>
      </c>
      <c r="M18" s="4" t="n">
        <v>-2</v>
      </c>
      <c r="N18" s="4" t="n">
        <v>-7672</v>
      </c>
      <c r="O18" s="4" t="n">
        <v>0</v>
      </c>
      <c r="P18" s="4" t="n">
        <v>0</v>
      </c>
      <c r="Q18" s="4" t="n">
        <v>-1014</v>
      </c>
      <c r="R18" s="4" t="n">
        <v>-257</v>
      </c>
      <c r="S18" s="4" t="n">
        <v>1964</v>
      </c>
    </row>
    <row r="19">
      <c r="A19" s="3" t="inlineStr">
        <is>
          <t>Accounts Receivable</t>
        </is>
      </c>
      <c r="B19" s="4" t="n">
        <v>-3146.415</v>
      </c>
      <c r="C19" s="4" t="n">
        <v>-4668.549</v>
      </c>
      <c r="D19" s="4" t="n">
        <v>-9031.438</v>
      </c>
      <c r="E19" s="4" t="n">
        <v>-9234.501</v>
      </c>
      <c r="F19" s="4" t="n">
        <v>-18267.216</v>
      </c>
      <c r="G19" s="4" t="n">
        <v>-28307.104</v>
      </c>
      <c r="H19" s="4" t="n">
        <v>-34420</v>
      </c>
      <c r="I19" s="4" t="n">
        <v>-27920</v>
      </c>
      <c r="J19" s="4" t="n">
        <v>-78967</v>
      </c>
      <c r="K19" s="4" t="n">
        <v>-109639</v>
      </c>
      <c r="L19" s="4" t="n">
        <v>-135600</v>
      </c>
      <c r="M19" s="4" t="n">
        <v>-153271</v>
      </c>
      <c r="N19" s="4" t="n">
        <v>-18664</v>
      </c>
      <c r="O19" s="4" t="n">
        <v>-82213</v>
      </c>
      <c r="P19" s="4" t="n">
        <v>-26529</v>
      </c>
      <c r="Q19" s="4" t="n">
        <v>11841</v>
      </c>
      <c r="R19" s="4" t="n">
        <v>-143153</v>
      </c>
      <c r="S19" s="4" t="n">
        <v>-164133</v>
      </c>
    </row>
    <row r="20">
      <c r="A20" s="3" t="inlineStr">
        <is>
          <t>Note Receivable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</row>
    <row r="21">
      <c r="A21" s="3" t="inlineStr">
        <is>
          <t>Inventories</t>
        </is>
      </c>
      <c r="B21" s="4" t="n">
        <v>-5475.308</v>
      </c>
      <c r="C21" s="4" t="n">
        <v>-8082.699</v>
      </c>
      <c r="D21" s="4" t="n">
        <v>-598.665</v>
      </c>
      <c r="E21" s="4" t="n">
        <v>-19242.172</v>
      </c>
      <c r="F21" s="4" t="n">
        <v>-46683.05</v>
      </c>
      <c r="G21" s="4" t="n">
        <v>-103920.057</v>
      </c>
      <c r="H21" s="4" t="n">
        <v>4531</v>
      </c>
      <c r="I21" s="4" t="n">
        <v>28753</v>
      </c>
      <c r="J21" s="4" t="n">
        <v>36211</v>
      </c>
      <c r="K21" s="4" t="n">
        <v>17338</v>
      </c>
      <c r="L21" s="4" t="n">
        <v>24632</v>
      </c>
      <c r="M21" s="4" t="n">
        <v>-28092</v>
      </c>
      <c r="N21" s="4" t="n">
        <v>29386</v>
      </c>
      <c r="O21" s="4" t="n">
        <v>37052</v>
      </c>
      <c r="P21" s="4" t="n">
        <v>14585</v>
      </c>
      <c r="Q21" s="4" t="n">
        <v>4794</v>
      </c>
      <c r="R21" s="4" t="n">
        <v>23039</v>
      </c>
      <c r="S21" s="4" t="n">
        <v>31132</v>
      </c>
    </row>
    <row r="22">
      <c r="A22" s="3" t="inlineStr">
        <is>
          <t>Prepaid Expenses</t>
        </is>
      </c>
      <c r="B22" s="4" t="n">
        <v>-501.586</v>
      </c>
      <c r="C22" s="4" t="n">
        <v>-142.419</v>
      </c>
      <c r="D22" s="4" t="n">
        <v>-561.752</v>
      </c>
      <c r="E22" s="4" t="n">
        <v>-2557.007</v>
      </c>
      <c r="F22" s="4" t="n">
        <v>-8117.719</v>
      </c>
      <c r="G22" s="4" t="n">
        <v>-8202.588</v>
      </c>
      <c r="H22" s="4" t="n">
        <v>3513</v>
      </c>
      <c r="I22" s="4" t="n">
        <v>1257</v>
      </c>
      <c r="J22" s="4" t="n">
        <v>1459</v>
      </c>
      <c r="K22" s="4" t="n">
        <v>-4166</v>
      </c>
      <c r="L22" s="4" t="n">
        <v>-12058</v>
      </c>
      <c r="M22" s="4" t="n">
        <v>-12406</v>
      </c>
      <c r="N22" s="4" t="n">
        <v>-2076</v>
      </c>
      <c r="O22" s="4" t="n">
        <v>-3469</v>
      </c>
      <c r="P22" s="4" t="n">
        <v>-20261</v>
      </c>
      <c r="Q22" s="4" t="n">
        <v>-3687</v>
      </c>
      <c r="R22" s="4" t="n">
        <v>-20645</v>
      </c>
      <c r="S22" s="4" t="n">
        <v>-142920</v>
      </c>
    </row>
    <row r="23">
      <c r="A23" s="3" t="inlineStr">
        <is>
          <t>Change in A/P and Accrued (legacy)</t>
        </is>
      </c>
      <c r="B23" s="4" t="n">
        <v>2729.7</v>
      </c>
      <c r="C23" s="4" t="n">
        <v>2856.654</v>
      </c>
      <c r="D23" s="4" t="n">
        <v>824.9640000000001</v>
      </c>
      <c r="E23" s="4" t="n">
        <v>12112.637</v>
      </c>
      <c r="F23" s="4" t="n">
        <v>27579.323</v>
      </c>
      <c r="G23" s="4" t="n">
        <v>66694.568</v>
      </c>
      <c r="H23" s="4" t="n">
        <v>17742</v>
      </c>
      <c r="I23" s="4" t="n">
        <v>10336</v>
      </c>
      <c r="J23" s="4" t="n">
        <v>51462</v>
      </c>
      <c r="K23" s="4" t="n">
        <v>182</v>
      </c>
      <c r="L23" s="4" t="n">
        <v>-12491</v>
      </c>
      <c r="M23" s="4" t="n">
        <v>14652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</row>
    <row r="24">
      <c r="A24" s="3" t="inlineStr">
        <is>
          <t>Other Non-Current Assets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-6362</v>
      </c>
      <c r="P24" s="4" t="n">
        <v>-5303</v>
      </c>
      <c r="Q24" s="4" t="n">
        <v>-1700</v>
      </c>
      <c r="R24" s="4" t="n">
        <v>742</v>
      </c>
      <c r="S24" s="4" t="n">
        <v>1511</v>
      </c>
    </row>
    <row r="25">
      <c r="A25" s="3" t="inlineStr">
        <is>
          <t>Accounts Payable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-3013</v>
      </c>
      <c r="O25" s="4" t="n">
        <v>3950</v>
      </c>
      <c r="P25" s="4" t="n">
        <v>-12259</v>
      </c>
      <c r="Q25" s="4" t="n">
        <v>11679</v>
      </c>
      <c r="R25" s="4" t="n">
        <v>20789</v>
      </c>
      <c r="S25" s="4" t="n">
        <v>4081</v>
      </c>
    </row>
    <row r="26">
      <c r="A26" s="3" t="inlineStr">
        <is>
          <t>Accrued Expenses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1998</v>
      </c>
      <c r="O26" s="4" t="n">
        <v>17760</v>
      </c>
      <c r="P26" s="4" t="n">
        <v>11151</v>
      </c>
      <c r="Q26" s="4" t="n">
        <v>-8673</v>
      </c>
      <c r="R26" s="4" t="n">
        <v>-7013</v>
      </c>
      <c r="S26" s="4" t="n">
        <v>32961</v>
      </c>
    </row>
    <row r="27">
      <c r="A27" s="3" t="inlineStr">
        <is>
          <t>Change in Income Taxes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57605</v>
      </c>
      <c r="M27" s="4" t="n">
        <v>57662</v>
      </c>
      <c r="N27" s="4" t="n">
        <v>8250</v>
      </c>
      <c r="O27" s="4" t="n">
        <v>-44978</v>
      </c>
      <c r="P27" s="4" t="n">
        <v>-49631</v>
      </c>
      <c r="Q27" s="4" t="n">
        <v>15353</v>
      </c>
      <c r="R27" s="4" t="n">
        <v>10928</v>
      </c>
      <c r="S27" s="4" t="n">
        <v>38742</v>
      </c>
    </row>
    <row r="28">
      <c r="A28" s="3" t="inlineStr">
        <is>
          <t>Accrued Promotional Allowance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32248</v>
      </c>
      <c r="L28" s="4" t="n">
        <v>62995</v>
      </c>
      <c r="M28" s="4" t="n">
        <v>100580</v>
      </c>
      <c r="N28" s="4" t="n">
        <v>29414</v>
      </c>
      <c r="O28" s="4" t="n">
        <v>56692</v>
      </c>
      <c r="P28" s="4" t="n">
        <v>59023</v>
      </c>
      <c r="Q28" s="4" t="n">
        <v>15379</v>
      </c>
      <c r="R28" s="4" t="n">
        <v>64221</v>
      </c>
      <c r="S28" s="4" t="n">
        <v>83276</v>
      </c>
    </row>
    <row r="29">
      <c r="A29" s="3" t="inlineStr">
        <is>
          <t>Accrued Distributor Termination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115551</v>
      </c>
      <c r="K29" s="4" t="n">
        <v>-2923</v>
      </c>
      <c r="L29" s="4" t="n">
        <v>-3986</v>
      </c>
      <c r="M29" s="4" t="n">
        <v>-3986</v>
      </c>
      <c r="N29" s="4" t="n">
        <v>-248</v>
      </c>
      <c r="O29" s="4" t="n">
        <v>-248</v>
      </c>
      <c r="P29" s="4" t="n">
        <v>-248</v>
      </c>
      <c r="Q29" s="4" t="n">
        <v>0</v>
      </c>
      <c r="R29" s="4" t="n">
        <v>0</v>
      </c>
      <c r="S29" s="4" t="n">
        <v>252953</v>
      </c>
    </row>
    <row r="30">
      <c r="A30" s="3" t="inlineStr">
        <is>
          <t>Other Current Liabilities</t>
        </is>
      </c>
      <c r="B30" s="4" t="n">
        <v>102.743</v>
      </c>
      <c r="C30" s="4" t="n">
        <v>109.313</v>
      </c>
      <c r="D30" s="4" t="n">
        <v>257.023</v>
      </c>
      <c r="E30" s="4" t="n">
        <v>174.355</v>
      </c>
      <c r="F30" s="4" t="n">
        <v>339.952</v>
      </c>
      <c r="G30" s="4" t="n">
        <v>0</v>
      </c>
      <c r="H30" s="4" t="n">
        <v>765</v>
      </c>
      <c r="I30" s="4" t="n">
        <v>1820</v>
      </c>
      <c r="J30" s="4" t="n">
        <v>2291</v>
      </c>
      <c r="K30" s="4" t="n">
        <v>1508</v>
      </c>
      <c r="L30" s="4" t="n">
        <v>3523</v>
      </c>
      <c r="M30" s="4" t="n">
        <v>5239</v>
      </c>
      <c r="N30" s="4" t="n">
        <v>2094</v>
      </c>
      <c r="O30" s="4" t="n">
        <v>2884</v>
      </c>
      <c r="P30" s="4" t="n">
        <v>4094</v>
      </c>
      <c r="Q30" s="4" t="n">
        <v>-1648</v>
      </c>
      <c r="R30" s="4" t="n">
        <v>1999</v>
      </c>
      <c r="S30" s="4" t="n">
        <v>3691</v>
      </c>
    </row>
    <row r="31">
      <c r="A31" s="3" t="inlineStr">
        <is>
          <t>ROU &amp; Lease Liability, Net</t>
        </is>
      </c>
      <c r="B31" s="4" t="n">
        <v>-2.18</v>
      </c>
      <c r="C31" s="4" t="n">
        <v>146.042</v>
      </c>
      <c r="D31" s="4" t="n">
        <v>149.925</v>
      </c>
      <c r="E31" s="4" t="n">
        <v>-4.575</v>
      </c>
      <c r="F31" s="4" t="n">
        <v>7.97</v>
      </c>
      <c r="G31" s="4" t="n">
        <v>30.465</v>
      </c>
      <c r="H31" s="4" t="n">
        <v>-78</v>
      </c>
      <c r="I31" s="4" t="n">
        <v>-95</v>
      </c>
      <c r="J31" s="4" t="n">
        <v>-126</v>
      </c>
      <c r="K31" s="4" t="n">
        <v>-15</v>
      </c>
      <c r="L31" s="4" t="n">
        <v>-38</v>
      </c>
      <c r="M31" s="4" t="n">
        <v>-64</v>
      </c>
      <c r="N31" s="4" t="n">
        <v>-23</v>
      </c>
      <c r="O31" s="4" t="n">
        <v>-34</v>
      </c>
      <c r="P31" s="4" t="n">
        <v>17</v>
      </c>
      <c r="Q31" s="4" t="n">
        <v>0</v>
      </c>
      <c r="R31" s="4" t="n">
        <v>0</v>
      </c>
      <c r="S31" s="4" t="n">
        <v>0</v>
      </c>
    </row>
    <row r="32">
      <c r="A32" s="3" t="inlineStr">
        <is>
          <t>Deferred Revenue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154103</v>
      </c>
      <c r="K32" s="4" t="n">
        <v>-4625</v>
      </c>
      <c r="L32" s="4" t="n">
        <v>-8219</v>
      </c>
      <c r="M32" s="4" t="n">
        <v>-10593</v>
      </c>
      <c r="N32" s="4" t="n">
        <v>-2378</v>
      </c>
      <c r="O32" s="4" t="n">
        <v>-4757</v>
      </c>
      <c r="P32" s="4" t="n">
        <v>-7135</v>
      </c>
      <c r="Q32" s="4" t="n">
        <v>-2378</v>
      </c>
      <c r="R32" s="4" t="n">
        <v>-7320</v>
      </c>
      <c r="S32" s="4" t="n">
        <v>233463</v>
      </c>
    </row>
    <row r="33">
      <c r="A33" s="3" t="inlineStr">
        <is>
          <t>Net Change in Other Working Capital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532.395</v>
      </c>
      <c r="H33" s="4" t="n">
        <v>0</v>
      </c>
      <c r="I33" s="4" t="n">
        <v>488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148</v>
      </c>
      <c r="R33" s="4" t="n">
        <v>-1210</v>
      </c>
      <c r="S33" s="4" t="n">
        <v>-1786</v>
      </c>
    </row>
    <row r="34">
      <c r="A34" s="3" t="inlineStr">
        <is>
          <t>Cash Flow from Operations</t>
        </is>
      </c>
      <c r="B34" s="6">
        <f>SUM(B2:B33)</f>
        <v/>
      </c>
      <c r="C34" s="6">
        <f>SUM(C2:C33)</f>
        <v/>
      </c>
      <c r="D34" s="6">
        <f>SUM(D2:D33)</f>
        <v/>
      </c>
      <c r="E34" s="6">
        <f>SUM(E2:E33)</f>
        <v/>
      </c>
      <c r="F34" s="6">
        <f>SUM(F2:F33)</f>
        <v/>
      </c>
      <c r="G34" s="6">
        <f>SUM(G2:G33)</f>
        <v/>
      </c>
      <c r="H34" s="6">
        <f>SUM(H2:H33)</f>
        <v/>
      </c>
      <c r="I34" s="6">
        <f>SUM(I2:I33)</f>
        <v/>
      </c>
      <c r="J34" s="6">
        <f>SUM(J2:J33)</f>
        <v/>
      </c>
      <c r="K34" s="6">
        <f>SUM(K2:K33)</f>
        <v/>
      </c>
      <c r="L34" s="6">
        <f>SUM(L2:L33)</f>
        <v/>
      </c>
      <c r="M34" s="6">
        <f>SUM(M2:M33)</f>
        <v/>
      </c>
      <c r="N34" s="6">
        <f>SUM(N2:N33)</f>
        <v/>
      </c>
      <c r="O34" s="6">
        <f>SUM(O2:O33)</f>
        <v/>
      </c>
      <c r="P34" s="6">
        <f>SUM(P2:P33)</f>
        <v/>
      </c>
      <c r="Q34" s="6">
        <f>SUM(Q2:Q33)</f>
        <v/>
      </c>
      <c r="R34" s="6">
        <f>SUM(R2:R33)</f>
        <v/>
      </c>
      <c r="S34" s="6">
        <f>SUM(S2:S33)</f>
        <v/>
      </c>
    </row>
    <row r="35">
      <c r="A35" s="3" t="inlineStr">
        <is>
          <t>Collections from Note Receivable</t>
        </is>
      </c>
      <c r="B35" s="4" t="n">
        <v>0</v>
      </c>
      <c r="C35" s="4" t="n">
        <v>1331.011</v>
      </c>
      <c r="D35" s="4" t="n">
        <v>1331.011</v>
      </c>
      <c r="E35" s="4" t="n">
        <v>1876.273</v>
      </c>
      <c r="F35" s="4" t="n">
        <v>1876.273</v>
      </c>
      <c r="G35" s="4" t="n">
        <v>1885.724</v>
      </c>
      <c r="H35" s="4" t="n">
        <v>0</v>
      </c>
      <c r="I35" s="4" t="n">
        <v>2592</v>
      </c>
      <c r="J35" s="4" t="n">
        <v>2592</v>
      </c>
      <c r="K35" s="4" t="n">
        <v>3233</v>
      </c>
      <c r="L35" s="4" t="n">
        <v>3233</v>
      </c>
      <c r="M35" s="4" t="n">
        <v>3233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s="3" t="inlineStr">
        <is>
          <t>Purchase of PP&amp;E</t>
        </is>
      </c>
      <c r="B36" s="4" t="n">
        <v>-107.372</v>
      </c>
      <c r="C36" s="4" t="n">
        <v>-315.777</v>
      </c>
      <c r="D36" s="4" t="n">
        <v>-416.671</v>
      </c>
      <c r="E36" s="4" t="n">
        <v>-697.843</v>
      </c>
      <c r="F36" s="4" t="n">
        <v>-1216.05</v>
      </c>
      <c r="G36" s="4" t="n">
        <v>-2395.302</v>
      </c>
      <c r="H36" s="4" t="n">
        <v>-742</v>
      </c>
      <c r="I36" s="4" t="n">
        <v>-2456</v>
      </c>
      <c r="J36" s="4" t="n">
        <v>-3477</v>
      </c>
      <c r="K36" s="4" t="n">
        <v>-2253</v>
      </c>
      <c r="L36" s="4" t="n">
        <v>-6810</v>
      </c>
      <c r="M36" s="4" t="n">
        <v>-12687</v>
      </c>
      <c r="N36" s="4" t="n">
        <v>-4525</v>
      </c>
      <c r="O36" s="4" t="n">
        <v>-13739</v>
      </c>
      <c r="P36" s="4" t="n">
        <v>-17983</v>
      </c>
      <c r="Q36" s="4" t="n">
        <v>-6944</v>
      </c>
      <c r="R36" s="4" t="n">
        <v>-15194</v>
      </c>
      <c r="S36" s="4" t="n">
        <v>-25539</v>
      </c>
    </row>
    <row r="37">
      <c r="A37" s="3" t="inlineStr">
        <is>
          <t>Purchase of Non-Marketable Equity Securities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-3000</v>
      </c>
      <c r="Q37" s="4" t="n">
        <v>0</v>
      </c>
      <c r="R37" s="4" t="n">
        <v>-5000</v>
      </c>
      <c r="S37" s="4" t="n">
        <v>-5000</v>
      </c>
    </row>
    <row r="38">
      <c r="A38" s="3" t="inlineStr">
        <is>
          <t>Acquisition of Big Beverages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</row>
    <row r="39">
      <c r="A39" s="3" t="inlineStr">
        <is>
          <t>Acquisitions, Net of Cash Acquired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-1256351</v>
      </c>
      <c r="S39" s="4" t="n">
        <v>-1278769</v>
      </c>
    </row>
    <row r="40">
      <c r="A40" s="3" t="inlineStr">
        <is>
          <t>Working Capital Estimate from Pepsi (Rockstar)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30617</v>
      </c>
    </row>
    <row r="41">
      <c r="A41" s="3" t="inlineStr">
        <is>
          <t>Cash Flow from Investing</t>
        </is>
      </c>
      <c r="B41" s="6">
        <f>SUM(B35:B40)</f>
        <v/>
      </c>
      <c r="C41" s="6">
        <f>SUM(C35:C40)</f>
        <v/>
      </c>
      <c r="D41" s="6">
        <f>SUM(D35:D40)</f>
        <v/>
      </c>
      <c r="E41" s="6">
        <f>SUM(E35:E40)</f>
        <v/>
      </c>
      <c r="F41" s="6">
        <f>SUM(F35:F40)</f>
        <v/>
      </c>
      <c r="G41" s="6">
        <f>SUM(G35:G40)</f>
        <v/>
      </c>
      <c r="H41" s="6">
        <f>SUM(H35:H40)</f>
        <v/>
      </c>
      <c r="I41" s="6">
        <f>SUM(I35:I40)</f>
        <v/>
      </c>
      <c r="J41" s="6">
        <f>SUM(J35:J40)</f>
        <v/>
      </c>
      <c r="K41" s="6">
        <f>SUM(K35:K40)</f>
        <v/>
      </c>
      <c r="L41" s="6">
        <f>SUM(L35:L40)</f>
        <v/>
      </c>
      <c r="M41" s="6">
        <f>SUM(M35:M40)</f>
        <v/>
      </c>
      <c r="N41" s="6">
        <f>SUM(N35:N40)</f>
        <v/>
      </c>
      <c r="O41" s="6">
        <f>SUM(O35:O40)</f>
        <v/>
      </c>
      <c r="P41" s="6">
        <f>SUM(P35:P40)</f>
        <v/>
      </c>
      <c r="Q41" s="6">
        <f>SUM(Q35:Q40)</f>
        <v/>
      </c>
      <c r="R41" s="6">
        <f>SUM(R35:R40)</f>
        <v/>
      </c>
      <c r="S41" s="6">
        <f>SUM(S35:S40)</f>
        <v/>
      </c>
    </row>
    <row r="42">
      <c r="A42" s="3" t="inlineStr">
        <is>
          <t>Proceeds from Related-Party Notes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</row>
    <row r="43">
      <c r="A43" s="3" t="inlineStr">
        <is>
          <t>Payments on Bonds Payable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</row>
    <row r="44">
      <c r="A44" s="3" t="inlineStr">
        <is>
          <t>Finance Lease Payments</t>
        </is>
      </c>
      <c r="B44" s="4" t="n">
        <v>-64.08199999999999</v>
      </c>
      <c r="C44" s="4" t="n">
        <v>-222.052</v>
      </c>
      <c r="D44" s="4" t="n">
        <v>-259.231</v>
      </c>
      <c r="E44" s="4" t="n">
        <v>-25.149</v>
      </c>
      <c r="F44" s="4" t="n">
        <v>-49.592</v>
      </c>
      <c r="G44" s="4" t="n">
        <v>-72.386</v>
      </c>
      <c r="H44" s="4" t="n">
        <v>-20</v>
      </c>
      <c r="I44" s="4" t="n">
        <v>-37</v>
      </c>
      <c r="J44" s="4" t="n">
        <v>-49</v>
      </c>
      <c r="K44" s="4" t="n">
        <v>-11</v>
      </c>
      <c r="L44" s="4" t="n">
        <v>-22</v>
      </c>
      <c r="M44" s="4" t="n">
        <v>-33</v>
      </c>
      <c r="N44" s="4" t="n">
        <v>-15</v>
      </c>
      <c r="O44" s="4" t="n">
        <v>-30</v>
      </c>
      <c r="P44" s="4" t="n">
        <v>-46</v>
      </c>
      <c r="Q44" s="4" t="n">
        <v>0</v>
      </c>
      <c r="R44" s="4" t="n">
        <v>0</v>
      </c>
      <c r="S44" s="4" t="n">
        <v>0</v>
      </c>
    </row>
    <row r="45">
      <c r="A45" s="3" t="inlineStr">
        <is>
          <t>Proceeds from Issuance of Common Stock</t>
        </is>
      </c>
      <c r="B45" s="4" t="n">
        <v>0</v>
      </c>
      <c r="C45" s="4" t="n">
        <v>0</v>
      </c>
      <c r="D45" s="4" t="n">
        <v>21983.116</v>
      </c>
      <c r="E45" s="4" t="n">
        <v>0</v>
      </c>
      <c r="F45" s="4" t="n">
        <v>67769.386</v>
      </c>
      <c r="G45" s="4" t="n">
        <v>67769.386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</row>
    <row r="46">
      <c r="A46" s="3" t="inlineStr">
        <is>
          <t>Proceeds from Exercise of Stock Options</t>
        </is>
      </c>
      <c r="B46" s="4" t="n">
        <v>215.347</v>
      </c>
      <c r="C46" s="4" t="n">
        <v>704.664</v>
      </c>
      <c r="D46" s="4" t="n">
        <v>2296.343</v>
      </c>
      <c r="E46" s="4" t="n">
        <v>715.91</v>
      </c>
      <c r="F46" s="4" t="n">
        <v>2515.017</v>
      </c>
      <c r="G46" s="4" t="n">
        <v>3242.073</v>
      </c>
      <c r="H46" s="4" t="n">
        <v>810</v>
      </c>
      <c r="I46" s="4" t="n">
        <v>1260</v>
      </c>
      <c r="J46" s="4" t="n">
        <v>3104</v>
      </c>
      <c r="K46" s="4" t="n">
        <v>478</v>
      </c>
      <c r="L46" s="4" t="n">
        <v>707</v>
      </c>
      <c r="M46" s="4" t="n">
        <v>1603</v>
      </c>
      <c r="N46" s="4" t="n">
        <v>967</v>
      </c>
      <c r="O46" s="4" t="n">
        <v>1147</v>
      </c>
      <c r="P46" s="4" t="n">
        <v>3832</v>
      </c>
      <c r="Q46" s="4" t="n">
        <v>0</v>
      </c>
      <c r="R46" s="4" t="n">
        <v>0</v>
      </c>
      <c r="S46" s="4" t="n">
        <v>0</v>
      </c>
    </row>
    <row r="47">
      <c r="A47" s="3" t="inlineStr">
        <is>
          <t>Cash Paid for RSU Tax Withholding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</row>
    <row r="48">
      <c r="A48" s="3" t="inlineStr">
        <is>
          <t>Section 16(b) Short-Swing Profit Recovery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</row>
    <row r="49">
      <c r="A49" s="3" t="inlineStr">
        <is>
          <t>Proceeds from Issuance of Preferred Stock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542018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</row>
    <row r="50">
      <c r="A50" s="3" t="inlineStr">
        <is>
          <t>Preferred Dividends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-4596</v>
      </c>
      <c r="K50" s="4" t="n">
        <v>-6781</v>
      </c>
      <c r="L50" s="4" t="n">
        <v>-13637</v>
      </c>
      <c r="M50" s="4" t="n">
        <v>-20512</v>
      </c>
      <c r="N50" s="4" t="n">
        <v>-6837</v>
      </c>
      <c r="O50" s="4" t="n">
        <v>-13675</v>
      </c>
      <c r="P50" s="4" t="n">
        <v>-20588</v>
      </c>
      <c r="Q50" s="4" t="n">
        <v>-6781</v>
      </c>
      <c r="R50" s="4" t="n">
        <v>-13632</v>
      </c>
      <c r="S50" s="4" t="n">
        <v>-23301</v>
      </c>
    </row>
    <row r="51">
      <c r="A51" s="3" t="inlineStr">
        <is>
          <t>Share Repurchases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-1658</v>
      </c>
      <c r="Q51" s="4" t="n">
        <v>-1932</v>
      </c>
      <c r="R51" s="4" t="n">
        <v>-2811</v>
      </c>
      <c r="S51" s="4" t="n">
        <v>-3259</v>
      </c>
    </row>
    <row r="52">
      <c r="A52" s="3" t="inlineStr">
        <is>
          <t>Proceeds from Issuance of Long-Term Debt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900000</v>
      </c>
      <c r="S52" s="4" t="n">
        <v>900000</v>
      </c>
    </row>
    <row r="53">
      <c r="A53" s="3" t="inlineStr">
        <is>
          <t>Repayments of Long-Term Debt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-2250</v>
      </c>
    </row>
    <row r="54">
      <c r="A54" s="3" t="inlineStr">
        <is>
          <t>Debt Issuance Fees</t>
        </is>
      </c>
      <c r="B54" s="4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-2195</v>
      </c>
      <c r="R54" s="4" t="n">
        <v>-31581</v>
      </c>
      <c r="S54" s="4" t="n">
        <v>-31581</v>
      </c>
    </row>
    <row r="55">
      <c r="A55" s="3" t="inlineStr">
        <is>
          <t>Other Financing Activities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321</v>
      </c>
      <c r="R55" s="4" t="n">
        <v>319</v>
      </c>
      <c r="S55" s="4" t="n">
        <v>301</v>
      </c>
    </row>
    <row r="56">
      <c r="A56" s="3" t="inlineStr">
        <is>
          <t>Cash Flow from Financing</t>
        </is>
      </c>
      <c r="B56" s="6">
        <f>SUM(B42:B55)</f>
        <v/>
      </c>
      <c r="C56" s="6">
        <f>SUM(C42:C55)</f>
        <v/>
      </c>
      <c r="D56" s="6">
        <f>SUM(D42:D55)</f>
        <v/>
      </c>
      <c r="E56" s="6">
        <f>SUM(E42:E55)</f>
        <v/>
      </c>
      <c r="F56" s="6">
        <f>SUM(F42:F55)</f>
        <v/>
      </c>
      <c r="G56" s="6">
        <f>SUM(G42:G55)</f>
        <v/>
      </c>
      <c r="H56" s="6">
        <f>SUM(H42:H55)</f>
        <v/>
      </c>
      <c r="I56" s="6">
        <f>SUM(I42:I55)</f>
        <v/>
      </c>
      <c r="J56" s="6">
        <f>SUM(J42:J55)</f>
        <v/>
      </c>
      <c r="K56" s="6">
        <f>SUM(K42:K55)</f>
        <v/>
      </c>
      <c r="L56" s="6">
        <f>SUM(L42:L55)</f>
        <v/>
      </c>
      <c r="M56" s="6">
        <f>SUM(M42:M55)</f>
        <v/>
      </c>
      <c r="N56" s="6">
        <f>SUM(N42:N55)</f>
        <v/>
      </c>
      <c r="O56" s="6">
        <f>SUM(O42:O55)</f>
        <v/>
      </c>
      <c r="P56" s="6">
        <f>SUM(P42:P55)</f>
        <v/>
      </c>
      <c r="Q56" s="6">
        <f>SUM(Q42:Q55)</f>
        <v/>
      </c>
      <c r="R56" s="6">
        <f>SUM(R42:R55)</f>
        <v/>
      </c>
      <c r="S56" s="6">
        <f>SUM(S42:S55)</f>
        <v/>
      </c>
    </row>
    <row r="57">
      <c r="A57" s="3" t="inlineStr">
        <is>
          <t>FX Effect on Cash</t>
        </is>
      </c>
      <c r="B57" s="4" t="n">
        <v>-222.93</v>
      </c>
      <c r="C57" s="4" t="n">
        <v>-231.635</v>
      </c>
      <c r="D57" s="4" t="n">
        <v>289.338</v>
      </c>
      <c r="E57" s="4" t="n">
        <v>-164.536</v>
      </c>
      <c r="F57" s="4" t="n">
        <v>-23.61</v>
      </c>
      <c r="G57" s="4" t="n">
        <v>-236.365</v>
      </c>
      <c r="H57" s="4" t="n">
        <v>104</v>
      </c>
      <c r="I57" s="4" t="n">
        <v>121</v>
      </c>
      <c r="J57" s="4" t="n">
        <v>158</v>
      </c>
      <c r="K57" s="4" t="n">
        <v>-181</v>
      </c>
      <c r="L57" s="4" t="n">
        <v>-555</v>
      </c>
      <c r="M57" s="4" t="n">
        <v>-555</v>
      </c>
      <c r="N57" s="4" t="n">
        <v>-722</v>
      </c>
      <c r="O57" s="4" t="n">
        <v>-766</v>
      </c>
      <c r="P57" s="4" t="n">
        <v>-16</v>
      </c>
      <c r="Q57" s="4" t="n">
        <v>1259</v>
      </c>
      <c r="R57" s="4" t="n">
        <v>2214</v>
      </c>
      <c r="S57" s="4" t="n">
        <v>2174</v>
      </c>
    </row>
    <row r="58">
      <c r="A58" s="3" t="inlineStr">
        <is>
          <t>Net Change in Cash</t>
        </is>
      </c>
      <c r="B58" s="6">
        <f>B34+B41+B56+B57</f>
        <v/>
      </c>
      <c r="C58" s="6">
        <f>C34+C41+C56+C57</f>
        <v/>
      </c>
      <c r="D58" s="6">
        <f>D34+D41+D56+D57</f>
        <v/>
      </c>
      <c r="E58" s="6">
        <f>E34+E41+E56+E57</f>
        <v/>
      </c>
      <c r="F58" s="6">
        <f>F34+F41+F56+F57</f>
        <v/>
      </c>
      <c r="G58" s="6">
        <f>G34+G41+G56+G57</f>
        <v/>
      </c>
      <c r="H58" s="6">
        <f>H34+H41+H56+H57</f>
        <v/>
      </c>
      <c r="I58" s="6">
        <f>I34+I41+I56+I57</f>
        <v/>
      </c>
      <c r="J58" s="6">
        <f>J34+J41+J56+J57</f>
        <v/>
      </c>
      <c r="K58" s="6">
        <f>K34+K41+K56+K57</f>
        <v/>
      </c>
      <c r="L58" s="6">
        <f>L34+L41+L56+L57</f>
        <v/>
      </c>
      <c r="M58" s="6">
        <f>M34+M41+M56+M57</f>
        <v/>
      </c>
      <c r="N58" s="6">
        <f>N34+N41+N56+N57</f>
        <v/>
      </c>
      <c r="O58" s="6">
        <f>O34+O41+O56+O57</f>
        <v/>
      </c>
      <c r="P58" s="6">
        <f>P34+P41+P56+P57</f>
        <v/>
      </c>
      <c r="Q58" s="6">
        <f>Q34+Q41+Q56+Q57</f>
        <v/>
      </c>
      <c r="R58" s="6">
        <f>R34+R41+R56+R57</f>
        <v/>
      </c>
      <c r="S58" s="6">
        <f>S34+S41+S56+S57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" t="inlineStr"/>
      <c r="B1" s="2" t="inlineStr">
        <is>
          <t>Q1 FY2019</t>
        </is>
      </c>
      <c r="C1" s="2" t="inlineStr">
        <is>
          <t>Q2 FY2019</t>
        </is>
      </c>
      <c r="D1" s="2" t="inlineStr">
        <is>
          <t>Q3 FY2019</t>
        </is>
      </c>
      <c r="E1" s="2" t="inlineStr">
        <is>
          <t>Q4 FY2019</t>
        </is>
      </c>
      <c r="F1" s="2" t="inlineStr">
        <is>
          <t>Q1 FY2020</t>
        </is>
      </c>
      <c r="G1" s="2" t="inlineStr">
        <is>
          <t>Q2 FY2020</t>
        </is>
      </c>
      <c r="H1" s="2" t="inlineStr">
        <is>
          <t>Q3 FY2020</t>
        </is>
      </c>
      <c r="I1" s="2" t="inlineStr">
        <is>
          <t>Q4 FY2020</t>
        </is>
      </c>
      <c r="J1" s="2" t="inlineStr">
        <is>
          <t>Q1 FY2021</t>
        </is>
      </c>
      <c r="K1" s="2" t="inlineStr">
        <is>
          <t>Q2 FY2021</t>
        </is>
      </c>
      <c r="L1" s="2" t="inlineStr">
        <is>
          <t>Q3 FY2021</t>
        </is>
      </c>
      <c r="M1" s="2" t="inlineStr">
        <is>
          <t>Q4 FY2021</t>
        </is>
      </c>
      <c r="N1" s="2" t="inlineStr">
        <is>
          <t>Q1 FY2022</t>
        </is>
      </c>
      <c r="O1" s="2" t="inlineStr">
        <is>
          <t>Q2 FY2022</t>
        </is>
      </c>
      <c r="P1" s="2" t="inlineStr">
        <is>
          <t>Q3 FY2022</t>
        </is>
      </c>
      <c r="Q1" s="2" t="inlineStr">
        <is>
          <t>Q4 FY2022</t>
        </is>
      </c>
      <c r="R1" s="2" t="inlineStr">
        <is>
          <t>Q1 FY2023</t>
        </is>
      </c>
      <c r="S1" s="2" t="inlineStr">
        <is>
          <t>Q2 FY2023</t>
        </is>
      </c>
      <c r="T1" s="2" t="inlineStr">
        <is>
          <t>Q3 FY2023</t>
        </is>
      </c>
      <c r="U1" s="2" t="inlineStr">
        <is>
          <t>Q4 FY2023</t>
        </is>
      </c>
      <c r="V1" s="2" t="inlineStr">
        <is>
          <t>Q1 FY2024</t>
        </is>
      </c>
      <c r="W1" s="2" t="inlineStr">
        <is>
          <t>Q2 FY2024</t>
        </is>
      </c>
      <c r="X1" s="2" t="inlineStr">
        <is>
          <t>Q3 FY2024</t>
        </is>
      </c>
      <c r="Y1" s="2" t="inlineStr">
        <is>
          <t>Q4 FY2024</t>
        </is>
      </c>
      <c r="Z1" s="2" t="inlineStr">
        <is>
          <t>Q1 FY2025</t>
        </is>
      </c>
      <c r="AA1" s="2" t="inlineStr">
        <is>
          <t>Q2 FY2025</t>
        </is>
      </c>
      <c r="AB1" s="2" t="inlineStr">
        <is>
          <t>Q3 FY2025</t>
        </is>
      </c>
      <c r="AC1" s="2" t="inlineStr">
        <is>
          <t>Q4 FY2025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P&amp;L'!B2-'YTD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P&amp;L'!C2-'YTD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P&amp;L'!D2-'YTD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P&amp;L'!E2-'YTD P&amp;L'!M2</f>
        <v/>
      </c>
      <c r="R2" s="4">
        <f>'YTD P&amp;L'!N2</f>
        <v/>
      </c>
      <c r="S2" s="4">
        <f>'YTD P&amp;L'!O2-'YTD P&amp;L'!N2</f>
        <v/>
      </c>
      <c r="T2" s="4">
        <f>'YTD P&amp;L'!P2-'YTD P&amp;L'!O2</f>
        <v/>
      </c>
      <c r="U2" s="4">
        <f>'ANNL P&amp;L'!F2-'YTD P&amp;L'!P2</f>
        <v/>
      </c>
      <c r="V2" s="4">
        <f>'YTD P&amp;L'!Q2</f>
        <v/>
      </c>
      <c r="W2" s="4">
        <f>'YTD P&amp;L'!R2-'YTD P&amp;L'!Q2</f>
        <v/>
      </c>
      <c r="X2" s="4">
        <f>'YTD P&amp;L'!S2-'YTD P&amp;L'!R2</f>
        <v/>
      </c>
      <c r="Y2" s="4">
        <f>'ANNL P&amp;L'!G2-'YTD P&amp;L'!S2</f>
        <v/>
      </c>
      <c r="Z2" s="4">
        <f>'YTD P&amp;L'!T2</f>
        <v/>
      </c>
      <c r="AA2" s="4">
        <f>'YTD P&amp;L'!U2-'YTD P&amp;L'!T2</f>
        <v/>
      </c>
      <c r="AB2" s="4">
        <f>'YTD P&amp;L'!V2-'YTD P&amp;L'!U2</f>
        <v/>
      </c>
      <c r="AC2" s="4">
        <f>'ANNL P&amp;L'!H2-'YTD P&amp;L'!V2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P&amp;L'!B3-'YTD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P&amp;L'!C3-'YTD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P&amp;L'!D3-'YTD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P&amp;L'!E3-'YTD P&amp;L'!M3</f>
        <v/>
      </c>
      <c r="R3" s="4">
        <f>'YTD P&amp;L'!N3</f>
        <v/>
      </c>
      <c r="S3" s="4">
        <f>'YTD P&amp;L'!O3-'YTD P&amp;L'!N3</f>
        <v/>
      </c>
      <c r="T3" s="4">
        <f>'YTD P&amp;L'!P3-'YTD P&amp;L'!O3</f>
        <v/>
      </c>
      <c r="U3" s="4">
        <f>'ANNL P&amp;L'!F3-'YTD P&amp;L'!P3</f>
        <v/>
      </c>
      <c r="V3" s="4">
        <f>'YTD P&amp;L'!Q3</f>
        <v/>
      </c>
      <c r="W3" s="4">
        <f>'YTD P&amp;L'!R3-'YTD P&amp;L'!Q3</f>
        <v/>
      </c>
      <c r="X3" s="4">
        <f>'YTD P&amp;L'!S3-'YTD P&amp;L'!R3</f>
        <v/>
      </c>
      <c r="Y3" s="4">
        <f>'ANNL P&amp;L'!G3-'YTD P&amp;L'!S3</f>
        <v/>
      </c>
      <c r="Z3" s="4">
        <f>'YTD P&amp;L'!T3</f>
        <v/>
      </c>
      <c r="AA3" s="4">
        <f>'YTD P&amp;L'!U3-'YTD P&amp;L'!T3</f>
        <v/>
      </c>
      <c r="AB3" s="4">
        <f>'YTD P&amp;L'!V3-'YTD P&amp;L'!U3</f>
        <v/>
      </c>
      <c r="AC3" s="4">
        <f>'ANNL P&amp;L'!H3-'YTD P&amp;L'!V3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P&amp;L'!B4-'YTD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P&amp;L'!C4-'YTD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P&amp;L'!D4-'YTD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P&amp;L'!E4-'YTD P&amp;L'!M4</f>
        <v/>
      </c>
      <c r="R4" s="6">
        <f>'YTD P&amp;L'!N4</f>
        <v/>
      </c>
      <c r="S4" s="6">
        <f>'YTD P&amp;L'!O4-'YTD P&amp;L'!N4</f>
        <v/>
      </c>
      <c r="T4" s="6">
        <f>'YTD P&amp;L'!P4-'YTD P&amp;L'!O4</f>
        <v/>
      </c>
      <c r="U4" s="6">
        <f>'ANNL P&amp;L'!F4-'YTD P&amp;L'!P4</f>
        <v/>
      </c>
      <c r="V4" s="6">
        <f>'YTD P&amp;L'!Q4</f>
        <v/>
      </c>
      <c r="W4" s="6">
        <f>'YTD P&amp;L'!R4-'YTD P&amp;L'!Q4</f>
        <v/>
      </c>
      <c r="X4" s="6">
        <f>'YTD P&amp;L'!S4-'YTD P&amp;L'!R4</f>
        <v/>
      </c>
      <c r="Y4" s="6">
        <f>'ANNL P&amp;L'!G4-'YTD P&amp;L'!S4</f>
        <v/>
      </c>
      <c r="Z4" s="6">
        <f>'YTD P&amp;L'!T4</f>
        <v/>
      </c>
      <c r="AA4" s="6">
        <f>'YTD P&amp;L'!U4-'YTD P&amp;L'!T4</f>
        <v/>
      </c>
      <c r="AB4" s="6">
        <f>'YTD P&amp;L'!V4-'YTD P&amp;L'!U4</f>
        <v/>
      </c>
      <c r="AC4" s="6">
        <f>'ANNL P&amp;L'!H4-'YTD P&amp;L'!V4</f>
        <v/>
      </c>
    </row>
    <row r="5">
      <c r="A5" s="3" t="inlineStr">
        <is>
          <t>Sales and Marketing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P&amp;L'!B5-'YTD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P&amp;L'!C5-'YTD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P&amp;L'!D5-'YTD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P&amp;L'!E5-'YTD P&amp;L'!M5</f>
        <v/>
      </c>
      <c r="R5" s="4">
        <f>'YTD P&amp;L'!N5</f>
        <v/>
      </c>
      <c r="S5" s="4">
        <f>'YTD P&amp;L'!O5-'YTD P&amp;L'!N5</f>
        <v/>
      </c>
      <c r="T5" s="4">
        <f>'YTD P&amp;L'!P5-'YTD P&amp;L'!O5</f>
        <v/>
      </c>
      <c r="U5" s="4">
        <f>'ANNL P&amp;L'!F5-'YTD P&amp;L'!P5</f>
        <v/>
      </c>
      <c r="V5" s="4">
        <f>'YTD P&amp;L'!Q5</f>
        <v/>
      </c>
      <c r="W5" s="4">
        <f>'YTD P&amp;L'!R5-'YTD P&amp;L'!Q5</f>
        <v/>
      </c>
      <c r="X5" s="4">
        <f>'YTD P&amp;L'!S5-'YTD P&amp;L'!R5</f>
        <v/>
      </c>
      <c r="Y5" s="4">
        <f>'ANNL P&amp;L'!G5-'YTD P&amp;L'!S5</f>
        <v/>
      </c>
      <c r="Z5" s="4">
        <f>'YTD P&amp;L'!T5</f>
        <v/>
      </c>
      <c r="AA5" s="4">
        <f>'YTD P&amp;L'!U5-'YTD P&amp;L'!T5</f>
        <v/>
      </c>
      <c r="AB5" s="4">
        <f>'YTD P&amp;L'!V5-'YTD P&amp;L'!U5</f>
        <v/>
      </c>
      <c r="AC5" s="4">
        <f>'ANNL P&amp;L'!H5-'YTD P&amp;L'!V5</f>
        <v/>
      </c>
    </row>
    <row r="6">
      <c r="A6" s="3" t="inlineStr">
        <is>
          <t>General and Administrative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P&amp;L'!B6-'YTD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P&amp;L'!C6-'YTD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P&amp;L'!D6-'YTD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P&amp;L'!E6-'YTD P&amp;L'!M6</f>
        <v/>
      </c>
      <c r="R6" s="4">
        <f>'YTD P&amp;L'!N6</f>
        <v/>
      </c>
      <c r="S6" s="4">
        <f>'YTD P&amp;L'!O6-'YTD P&amp;L'!N6</f>
        <v/>
      </c>
      <c r="T6" s="4">
        <f>'YTD P&amp;L'!P6-'YTD P&amp;L'!O6</f>
        <v/>
      </c>
      <c r="U6" s="4">
        <f>'ANNL P&amp;L'!F6-'YTD P&amp;L'!P6</f>
        <v/>
      </c>
      <c r="V6" s="4">
        <f>'YTD P&amp;L'!Q6</f>
        <v/>
      </c>
      <c r="W6" s="4">
        <f>'YTD P&amp;L'!R6-'YTD P&amp;L'!Q6</f>
        <v/>
      </c>
      <c r="X6" s="4">
        <f>'YTD P&amp;L'!S6-'YTD P&amp;L'!R6</f>
        <v/>
      </c>
      <c r="Y6" s="4">
        <f>'ANNL P&amp;L'!G6-'YTD P&amp;L'!S6</f>
        <v/>
      </c>
      <c r="Z6" s="4">
        <f>'YTD P&amp;L'!T6</f>
        <v/>
      </c>
      <c r="AA6" s="4">
        <f>'YTD P&amp;L'!U6-'YTD P&amp;L'!T6</f>
        <v/>
      </c>
      <c r="AB6" s="4">
        <f>'YTD P&amp;L'!V6-'YTD P&amp;L'!U6</f>
        <v/>
      </c>
      <c r="AC6" s="4">
        <f>'ANNL P&amp;L'!H6-'YTD P&amp;L'!V6</f>
        <v/>
      </c>
    </row>
    <row r="7">
      <c r="A7" s="3" t="inlineStr">
        <is>
          <t>Operating Expenses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P&amp;L'!B7-'YTD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P&amp;L'!C7-'YTD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P&amp;L'!D7-'YTD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P&amp;L'!E7-'YTD P&amp;L'!M7</f>
        <v/>
      </c>
      <c r="R7" s="4">
        <f>'YTD P&amp;L'!N7</f>
        <v/>
      </c>
      <c r="S7" s="4">
        <f>'YTD P&amp;L'!O7-'YTD P&amp;L'!N7</f>
        <v/>
      </c>
      <c r="T7" s="4">
        <f>'YTD P&amp;L'!P7-'YTD P&amp;L'!O7</f>
        <v/>
      </c>
      <c r="U7" s="4">
        <f>'ANNL P&amp;L'!F7-'YTD P&amp;L'!P7</f>
        <v/>
      </c>
      <c r="V7" s="4">
        <f>'YTD P&amp;L'!Q7</f>
        <v/>
      </c>
      <c r="W7" s="4">
        <f>'YTD P&amp;L'!R7-'YTD P&amp;L'!Q7</f>
        <v/>
      </c>
      <c r="X7" s="4">
        <f>'YTD P&amp;L'!S7-'YTD P&amp;L'!R7</f>
        <v/>
      </c>
      <c r="Y7" s="4">
        <f>'ANNL P&amp;L'!G7-'YTD P&amp;L'!S7</f>
        <v/>
      </c>
      <c r="Z7" s="4">
        <f>'YTD P&amp;L'!T7</f>
        <v/>
      </c>
      <c r="AA7" s="4">
        <f>'YTD P&amp;L'!U7-'YTD P&amp;L'!T7</f>
        <v/>
      </c>
      <c r="AB7" s="4">
        <f>'YTD P&amp;L'!V7-'YTD P&amp;L'!U7</f>
        <v/>
      </c>
      <c r="AC7" s="4">
        <f>'ANNL P&amp;L'!H7-'YTD P&amp;L'!V7</f>
        <v/>
      </c>
    </row>
    <row r="8">
      <c r="A8" s="3" t="inlineStr">
        <is>
          <t>SG&amp;A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P&amp;L'!B8-'YTD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P&amp;L'!C8-'YTD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P&amp;L'!D8-'YTD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P&amp;L'!E8-'YTD P&amp;L'!M8</f>
        <v/>
      </c>
      <c r="R8" s="4">
        <f>'YTD P&amp;L'!N8</f>
        <v/>
      </c>
      <c r="S8" s="4">
        <f>'YTD P&amp;L'!O8-'YTD P&amp;L'!N8</f>
        <v/>
      </c>
      <c r="T8" s="4">
        <f>'YTD P&amp;L'!P8-'YTD P&amp;L'!O8</f>
        <v/>
      </c>
      <c r="U8" s="4">
        <f>'ANNL P&amp;L'!F8-'YTD P&amp;L'!P8</f>
        <v/>
      </c>
      <c r="V8" s="4">
        <f>'YTD P&amp;L'!Q8</f>
        <v/>
      </c>
      <c r="W8" s="4">
        <f>'YTD P&amp;L'!R8-'YTD P&amp;L'!Q8</f>
        <v/>
      </c>
      <c r="X8" s="4">
        <f>'YTD P&amp;L'!S8-'YTD P&amp;L'!R8</f>
        <v/>
      </c>
      <c r="Y8" s="4">
        <f>'ANNL P&amp;L'!G8-'YTD P&amp;L'!S8</f>
        <v/>
      </c>
      <c r="Z8" s="4">
        <f>'YTD P&amp;L'!T8</f>
        <v/>
      </c>
      <c r="AA8" s="4">
        <f>'YTD P&amp;L'!U8-'YTD P&amp;L'!T8</f>
        <v/>
      </c>
      <c r="AB8" s="4">
        <f>'YTD P&amp;L'!V8-'YTD P&amp;L'!U8</f>
        <v/>
      </c>
      <c r="AC8" s="4">
        <f>'ANNL P&amp;L'!H8-'YTD P&amp;L'!V8</f>
        <v/>
      </c>
    </row>
    <row r="9">
      <c r="A9" s="3" t="inlineStr">
        <is>
          <t>Distributor Termination Fees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P&amp;L'!B9-'YTD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P&amp;L'!C9-'YTD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P&amp;L'!D9-'YTD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P&amp;L'!E9-'YTD P&amp;L'!M9</f>
        <v/>
      </c>
      <c r="R9" s="4">
        <f>'YTD P&amp;L'!N9</f>
        <v/>
      </c>
      <c r="S9" s="4">
        <f>'YTD P&amp;L'!O9-'YTD P&amp;L'!N9</f>
        <v/>
      </c>
      <c r="T9" s="4">
        <f>'YTD P&amp;L'!P9-'YTD P&amp;L'!O9</f>
        <v/>
      </c>
      <c r="U9" s="4">
        <f>'ANNL P&amp;L'!F9-'YTD P&amp;L'!P9</f>
        <v/>
      </c>
      <c r="V9" s="4">
        <f>'YTD P&amp;L'!Q9</f>
        <v/>
      </c>
      <c r="W9" s="4">
        <f>'YTD P&amp;L'!R9-'YTD P&amp;L'!Q9</f>
        <v/>
      </c>
      <c r="X9" s="4">
        <f>'YTD P&amp;L'!S9-'YTD P&amp;L'!R9</f>
        <v/>
      </c>
      <c r="Y9" s="4">
        <f>'ANNL P&amp;L'!G9-'YTD P&amp;L'!S9</f>
        <v/>
      </c>
      <c r="Z9" s="4">
        <f>'YTD P&amp;L'!T9</f>
        <v/>
      </c>
      <c r="AA9" s="4">
        <f>'YTD P&amp;L'!U9-'YTD P&amp;L'!T9</f>
        <v/>
      </c>
      <c r="AB9" s="4">
        <f>'YTD P&amp;L'!V9-'YTD P&amp;L'!U9</f>
        <v/>
      </c>
      <c r="AC9" s="4">
        <f>'ANNL P&amp;L'!H9-'YTD P&amp;L'!V9</f>
        <v/>
      </c>
    </row>
    <row r="10">
      <c r="A10" s="3" t="inlineStr">
        <is>
          <t>Income (Loss) from Operations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P&amp;L'!B10-'YTD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P&amp;L'!C10-'YTD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P&amp;L'!D10-'YTD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P&amp;L'!E10-'YTD P&amp;L'!M10</f>
        <v/>
      </c>
      <c r="R10" s="6">
        <f>'YTD P&amp;L'!N10</f>
        <v/>
      </c>
      <c r="S10" s="6">
        <f>'YTD P&amp;L'!O10-'YTD P&amp;L'!N10</f>
        <v/>
      </c>
      <c r="T10" s="6">
        <f>'YTD P&amp;L'!P10-'YTD P&amp;L'!O10</f>
        <v/>
      </c>
      <c r="U10" s="6">
        <f>'ANNL P&amp;L'!F10-'YTD P&amp;L'!P10</f>
        <v/>
      </c>
      <c r="V10" s="6">
        <f>'YTD P&amp;L'!Q10</f>
        <v/>
      </c>
      <c r="W10" s="6">
        <f>'YTD P&amp;L'!R10-'YTD P&amp;L'!Q10</f>
        <v/>
      </c>
      <c r="X10" s="6">
        <f>'YTD P&amp;L'!S10-'YTD P&amp;L'!R10</f>
        <v/>
      </c>
      <c r="Y10" s="6">
        <f>'ANNL P&amp;L'!G10-'YTD P&amp;L'!S10</f>
        <v/>
      </c>
      <c r="Z10" s="6">
        <f>'YTD P&amp;L'!T10</f>
        <v/>
      </c>
      <c r="AA10" s="6">
        <f>'YTD P&amp;L'!U10-'YTD P&amp;L'!T10</f>
        <v/>
      </c>
      <c r="AB10" s="6">
        <f>'YTD P&amp;L'!V10-'YTD P&amp;L'!U10</f>
        <v/>
      </c>
      <c r="AC10" s="6">
        <f>'ANNL P&amp;L'!H10-'YTD P&amp;L'!V10</f>
        <v/>
      </c>
    </row>
    <row r="11">
      <c r="A11" s="3" t="inlineStr">
        <is>
          <t>Interest Income (Expense)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P&amp;L'!B11-'YTD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P&amp;L'!C11-'YTD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P&amp;L'!D11-'YTD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P&amp;L'!E11-'YTD P&amp;L'!M11</f>
        <v/>
      </c>
      <c r="R11" s="4">
        <f>'YTD P&amp;L'!N11</f>
        <v/>
      </c>
      <c r="S11" s="4">
        <f>'YTD P&amp;L'!O11-'YTD P&amp;L'!N11</f>
        <v/>
      </c>
      <c r="T11" s="4">
        <f>'YTD P&amp;L'!P11-'YTD P&amp;L'!O11</f>
        <v/>
      </c>
      <c r="U11" s="4">
        <f>'ANNL P&amp;L'!F11-'YTD P&amp;L'!P11</f>
        <v/>
      </c>
      <c r="V11" s="4">
        <f>'YTD P&amp;L'!Q11</f>
        <v/>
      </c>
      <c r="W11" s="4">
        <f>'YTD P&amp;L'!R11-'YTD P&amp;L'!Q11</f>
        <v/>
      </c>
      <c r="X11" s="4">
        <f>'YTD P&amp;L'!S11-'YTD P&amp;L'!R11</f>
        <v/>
      </c>
      <c r="Y11" s="4">
        <f>'ANNL P&amp;L'!G11-'YTD P&amp;L'!S11</f>
        <v/>
      </c>
      <c r="Z11" s="4">
        <f>'YTD P&amp;L'!T11</f>
        <v/>
      </c>
      <c r="AA11" s="4">
        <f>'YTD P&amp;L'!U11-'YTD P&amp;L'!T11</f>
        <v/>
      </c>
      <c r="AB11" s="4">
        <f>'YTD P&amp;L'!V11-'YTD P&amp;L'!U11</f>
        <v/>
      </c>
      <c r="AC11" s="4">
        <f>'ANNL P&amp;L'!H11-'YTD P&amp;L'!V11</f>
        <v/>
      </c>
    </row>
    <row r="12">
      <c r="A12" s="3" t="inlineStr">
        <is>
          <t>Other Income (Expense)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P&amp;L'!B13-'YTD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P&amp;L'!C13-'YTD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P&amp;L'!D13-'YTD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P&amp;L'!E13-'YTD P&amp;L'!M12</f>
        <v/>
      </c>
      <c r="R12" s="4">
        <f>'YTD P&amp;L'!N12</f>
        <v/>
      </c>
      <c r="S12" s="4">
        <f>'YTD P&amp;L'!O12-'YTD P&amp;L'!N12</f>
        <v/>
      </c>
      <c r="T12" s="4">
        <f>'YTD P&amp;L'!P12-'YTD P&amp;L'!O12</f>
        <v/>
      </c>
      <c r="U12" s="4">
        <f>'ANNL P&amp;L'!F13-'YTD P&amp;L'!P12</f>
        <v/>
      </c>
      <c r="V12" s="4">
        <f>'YTD P&amp;L'!Q12</f>
        <v/>
      </c>
      <c r="W12" s="4">
        <f>'YTD P&amp;L'!R12-'YTD P&amp;L'!Q12</f>
        <v/>
      </c>
      <c r="X12" s="4">
        <f>'YTD P&amp;L'!S12-'YTD P&amp;L'!R12</f>
        <v/>
      </c>
      <c r="Y12" s="4">
        <f>'ANNL P&amp;L'!G13-'YTD P&amp;L'!S12</f>
        <v/>
      </c>
      <c r="Z12" s="4">
        <f>'YTD P&amp;L'!T12</f>
        <v/>
      </c>
      <c r="AA12" s="4">
        <f>'YTD P&amp;L'!U12-'YTD P&amp;L'!T12</f>
        <v/>
      </c>
      <c r="AB12" s="4">
        <f>'YTD P&amp;L'!V12-'YTD P&amp;L'!U12</f>
        <v/>
      </c>
      <c r="AC12" s="4">
        <f>'ANNL P&amp;L'!H13-'YTD P&amp;L'!V12</f>
        <v/>
      </c>
    </row>
    <row r="13">
      <c r="A13" s="3" t="inlineStr">
        <is>
          <t>Foreign Currency Gain (Loss)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P&amp;L'!B12-'YTD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P&amp;L'!C12-'YTD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P&amp;L'!D12-'YTD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P&amp;L'!E12-'YTD P&amp;L'!M13</f>
        <v/>
      </c>
      <c r="R13" s="4">
        <f>'YTD P&amp;L'!N13</f>
        <v/>
      </c>
      <c r="S13" s="4">
        <f>'YTD P&amp;L'!O13-'YTD P&amp;L'!N13</f>
        <v/>
      </c>
      <c r="T13" s="4">
        <f>'YTD P&amp;L'!P13-'YTD P&amp;L'!O13</f>
        <v/>
      </c>
      <c r="U13" s="4">
        <f>'ANNL P&amp;L'!F12-'YTD P&amp;L'!P13</f>
        <v/>
      </c>
      <c r="V13" s="4">
        <f>'YTD P&amp;L'!Q13</f>
        <v/>
      </c>
      <c r="W13" s="4">
        <f>'YTD P&amp;L'!R13-'YTD P&amp;L'!Q13</f>
        <v/>
      </c>
      <c r="X13" s="4">
        <f>'YTD P&amp;L'!S13-'YTD P&amp;L'!R13</f>
        <v/>
      </c>
      <c r="Y13" s="4">
        <f>'ANNL P&amp;L'!G12-'YTD P&amp;L'!S13</f>
        <v/>
      </c>
      <c r="Z13" s="4">
        <f>'YTD P&amp;L'!T13</f>
        <v/>
      </c>
      <c r="AA13" s="4">
        <f>'YTD P&amp;L'!U13-'YTD P&amp;L'!T13</f>
        <v/>
      </c>
      <c r="AB13" s="4">
        <f>'YTD P&amp;L'!V13-'YTD P&amp;L'!U13</f>
        <v/>
      </c>
      <c r="AC13" s="4">
        <f>'ANNL P&amp;L'!H12-'YTD P&amp;L'!V13</f>
        <v/>
      </c>
    </row>
    <row r="14">
      <c r="A14" s="3" t="inlineStr">
        <is>
          <t>Gain (Loss) on Lease Cancellations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P&amp;L'!B14-'YTD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P&amp;L'!C14-'YTD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P&amp;L'!D14-'YTD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P&amp;L'!E14-'YTD P&amp;L'!M14</f>
        <v/>
      </c>
      <c r="R14" s="4">
        <f>'YTD P&amp;L'!N14</f>
        <v/>
      </c>
      <c r="S14" s="4">
        <f>'YTD P&amp;L'!O14-'YTD P&amp;L'!N14</f>
        <v/>
      </c>
      <c r="T14" s="4">
        <f>'YTD P&amp;L'!P14-'YTD P&amp;L'!O14</f>
        <v/>
      </c>
      <c r="U14" s="4">
        <f>'ANNL P&amp;L'!F14-'YTD P&amp;L'!P14</f>
        <v/>
      </c>
      <c r="V14" s="4">
        <f>'YTD P&amp;L'!Q14</f>
        <v/>
      </c>
      <c r="W14" s="4">
        <f>'YTD P&amp;L'!R14-'YTD P&amp;L'!Q14</f>
        <v/>
      </c>
      <c r="X14" s="4">
        <f>'YTD P&amp;L'!S14-'YTD P&amp;L'!R14</f>
        <v/>
      </c>
      <c r="Y14" s="4">
        <f>'ANNL P&amp;L'!G14-'YTD P&amp;L'!S14</f>
        <v/>
      </c>
      <c r="Z14" s="4">
        <f>'YTD P&amp;L'!T14</f>
        <v/>
      </c>
      <c r="AA14" s="4">
        <f>'YTD P&amp;L'!U14-'YTD P&amp;L'!T14</f>
        <v/>
      </c>
      <c r="AB14" s="4">
        <f>'YTD P&amp;L'!V14-'YTD P&amp;L'!U14</f>
        <v/>
      </c>
      <c r="AC14" s="4">
        <f>'ANNL P&amp;L'!H14-'YTD P&amp;L'!V14</f>
        <v/>
      </c>
    </row>
    <row r="15">
      <c r="A15" s="3" t="inlineStr">
        <is>
          <t>Income Tax (Expense) Benefit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P&amp;L'!B15-'YTD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P&amp;L'!C15-'YTD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P&amp;L'!D15-'YTD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P&amp;L'!E15-'YTD P&amp;L'!M15</f>
        <v/>
      </c>
      <c r="R15" s="4">
        <f>'YTD P&amp;L'!N15</f>
        <v/>
      </c>
      <c r="S15" s="4">
        <f>'YTD P&amp;L'!O15-'YTD P&amp;L'!N15</f>
        <v/>
      </c>
      <c r="T15" s="4">
        <f>'YTD P&amp;L'!P15-'YTD P&amp;L'!O15</f>
        <v/>
      </c>
      <c r="U15" s="4">
        <f>'ANNL P&amp;L'!F15-'YTD P&amp;L'!P15</f>
        <v/>
      </c>
      <c r="V15" s="4">
        <f>'YTD P&amp;L'!Q15</f>
        <v/>
      </c>
      <c r="W15" s="4">
        <f>'YTD P&amp;L'!R15-'YTD P&amp;L'!Q15</f>
        <v/>
      </c>
      <c r="X15" s="4">
        <f>'YTD P&amp;L'!S15-'YTD P&amp;L'!R15</f>
        <v/>
      </c>
      <c r="Y15" s="4">
        <f>'ANNL P&amp;L'!G15-'YTD P&amp;L'!S15</f>
        <v/>
      </c>
      <c r="Z15" s="4">
        <f>'YTD P&amp;L'!T15</f>
        <v/>
      </c>
      <c r="AA15" s="4">
        <f>'YTD P&amp;L'!U15-'YTD P&amp;L'!T15</f>
        <v/>
      </c>
      <c r="AB15" s="4">
        <f>'YTD P&amp;L'!V15-'YTD P&amp;L'!U15</f>
        <v/>
      </c>
      <c r="AC15" s="4">
        <f>'ANNL P&amp;L'!H15-'YTD P&amp;L'!V15</f>
        <v/>
      </c>
    </row>
    <row r="16">
      <c r="A16" s="3" t="inlineStr">
        <is>
          <t>Pre-Tax Income (Loss)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P&amp;L'!B16-'YTD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P&amp;L'!C16-'YTD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P&amp;L'!D16-'YTD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P&amp;L'!E16-'YTD P&amp;L'!M16</f>
        <v/>
      </c>
      <c r="R16" s="6">
        <f>'YTD P&amp;L'!N16</f>
        <v/>
      </c>
      <c r="S16" s="6">
        <f>'YTD P&amp;L'!O16-'YTD P&amp;L'!N16</f>
        <v/>
      </c>
      <c r="T16" s="6">
        <f>'YTD P&amp;L'!P16-'YTD P&amp;L'!O16</f>
        <v/>
      </c>
      <c r="U16" s="6">
        <f>'ANNL P&amp;L'!F16-'YTD P&amp;L'!P16</f>
        <v/>
      </c>
      <c r="V16" s="6">
        <f>'YTD P&amp;L'!Q16</f>
        <v/>
      </c>
      <c r="W16" s="6">
        <f>'YTD P&amp;L'!R16-'YTD P&amp;L'!Q16</f>
        <v/>
      </c>
      <c r="X16" s="6">
        <f>'YTD P&amp;L'!S16-'YTD P&amp;L'!R16</f>
        <v/>
      </c>
      <c r="Y16" s="6">
        <f>'ANNL P&amp;L'!G16-'YTD P&amp;L'!S16</f>
        <v/>
      </c>
      <c r="Z16" s="6">
        <f>'YTD P&amp;L'!T16</f>
        <v/>
      </c>
      <c r="AA16" s="6">
        <f>'YTD P&amp;L'!U16-'YTD P&amp;L'!T16</f>
        <v/>
      </c>
      <c r="AB16" s="6">
        <f>'YTD P&amp;L'!V16-'YTD P&amp;L'!U16</f>
        <v/>
      </c>
      <c r="AC16" s="6">
        <f>'ANNL P&amp;L'!H16-'YTD P&amp;L'!V16</f>
        <v/>
      </c>
    </row>
    <row r="17">
      <c r="A17" s="3" t="inlineStr">
        <is>
          <t>Net Income (Loss)</t>
        </is>
      </c>
      <c r="B17" s="6">
        <f>'YTD P&amp;L'!B17</f>
        <v/>
      </c>
      <c r="C17" s="6">
        <f>'YTD P&amp;L'!C17-'YTD P&amp;L'!B17</f>
        <v/>
      </c>
      <c r="D17" s="6">
        <f>'YTD P&amp;L'!D17-'YTD P&amp;L'!C17</f>
        <v/>
      </c>
      <c r="E17" s="6">
        <f>'ANNL P&amp;L'!B17-'YTD P&amp;L'!D17</f>
        <v/>
      </c>
      <c r="F17" s="6">
        <f>'YTD P&amp;L'!E17</f>
        <v/>
      </c>
      <c r="G17" s="6">
        <f>'YTD P&amp;L'!F17-'YTD P&amp;L'!E17</f>
        <v/>
      </c>
      <c r="H17" s="6">
        <f>'YTD P&amp;L'!G17-'YTD P&amp;L'!F17</f>
        <v/>
      </c>
      <c r="I17" s="6">
        <f>'ANNL P&amp;L'!C17-'YTD P&amp;L'!G17</f>
        <v/>
      </c>
      <c r="J17" s="6">
        <f>'YTD P&amp;L'!H17</f>
        <v/>
      </c>
      <c r="K17" s="6">
        <f>'YTD P&amp;L'!I17-'YTD P&amp;L'!H17</f>
        <v/>
      </c>
      <c r="L17" s="6">
        <f>'YTD P&amp;L'!J17-'YTD P&amp;L'!I17</f>
        <v/>
      </c>
      <c r="M17" s="6">
        <f>'ANNL P&amp;L'!D17-'YTD P&amp;L'!J17</f>
        <v/>
      </c>
      <c r="N17" s="6">
        <f>'YTD P&amp;L'!K17</f>
        <v/>
      </c>
      <c r="O17" s="6">
        <f>'YTD P&amp;L'!L17-'YTD P&amp;L'!K17</f>
        <v/>
      </c>
      <c r="P17" s="6">
        <f>'YTD P&amp;L'!M17-'YTD P&amp;L'!L17</f>
        <v/>
      </c>
      <c r="Q17" s="6">
        <f>'ANNL P&amp;L'!E17-'YTD P&amp;L'!M17</f>
        <v/>
      </c>
      <c r="R17" s="6">
        <f>'YTD P&amp;L'!N17</f>
        <v/>
      </c>
      <c r="S17" s="6">
        <f>'YTD P&amp;L'!O17-'YTD P&amp;L'!N17</f>
        <v/>
      </c>
      <c r="T17" s="6">
        <f>'YTD P&amp;L'!P17-'YTD P&amp;L'!O17</f>
        <v/>
      </c>
      <c r="U17" s="6">
        <f>'ANNL P&amp;L'!F17-'YTD P&amp;L'!P17</f>
        <v/>
      </c>
      <c r="V17" s="6">
        <f>'YTD P&amp;L'!Q17</f>
        <v/>
      </c>
      <c r="W17" s="6">
        <f>'YTD P&amp;L'!R17-'YTD P&amp;L'!Q17</f>
        <v/>
      </c>
      <c r="X17" s="6">
        <f>'YTD P&amp;L'!S17-'YTD P&amp;L'!R17</f>
        <v/>
      </c>
      <c r="Y17" s="6">
        <f>'ANNL P&amp;L'!G17-'YTD P&amp;L'!S17</f>
        <v/>
      </c>
      <c r="Z17" s="6">
        <f>'YTD P&amp;L'!T17</f>
        <v/>
      </c>
      <c r="AA17" s="6">
        <f>'YTD P&amp;L'!U17-'YTD P&amp;L'!T17</f>
        <v/>
      </c>
      <c r="AB17" s="6">
        <f>'YTD P&amp;L'!V17-'YTD P&amp;L'!U17</f>
        <v/>
      </c>
      <c r="AC17" s="6">
        <f>'ANNL P&amp;L'!H17-'YTD P&amp;L'!V17</f>
        <v/>
      </c>
    </row>
    <row r="18">
      <c r="A18" s="3" t="inlineStr">
        <is>
          <t>Basic Earnings (Loss) per Share</t>
        </is>
      </c>
    </row>
    <row r="19">
      <c r="A19" s="3" t="inlineStr">
        <is>
          <t>Diluted Earnings (Loss) per Share</t>
        </is>
      </c>
    </row>
    <row r="20">
      <c r="A20" s="3" t="inlineStr">
        <is>
          <t>Weighted Average Shares Outstanding (Basic)</t>
        </is>
      </c>
    </row>
    <row r="21">
      <c r="A21" s="3" t="inlineStr">
        <is>
          <t>Weighted Average Shares Outstanding (Diluted)</t>
        </is>
      </c>
    </row>
    <row r="22">
      <c r="A22" s="3" t="inlineStr">
        <is>
          <t>Preferred Dividends</t>
        </is>
      </c>
      <c r="B22" s="4">
        <f>'YTD P&amp;L'!B22</f>
        <v/>
      </c>
      <c r="C22" s="4">
        <f>'YTD P&amp;L'!C22-'YTD P&amp;L'!B22</f>
        <v/>
      </c>
      <c r="D22" s="4">
        <f>'YTD P&amp;L'!D22-'YTD P&amp;L'!C22</f>
        <v/>
      </c>
      <c r="E22" s="4">
        <f>'ANNL P&amp;L'!B22-'YTD P&amp;L'!D22</f>
        <v/>
      </c>
      <c r="F22" s="4">
        <f>'YTD P&amp;L'!E22</f>
        <v/>
      </c>
      <c r="G22" s="4">
        <f>'YTD P&amp;L'!F22-'YTD P&amp;L'!E22</f>
        <v/>
      </c>
      <c r="H22" s="4">
        <f>'YTD P&amp;L'!G22-'YTD P&amp;L'!F22</f>
        <v/>
      </c>
      <c r="I22" s="4">
        <f>'ANNL P&amp;L'!C22-'YTD P&amp;L'!G22</f>
        <v/>
      </c>
      <c r="J22" s="4">
        <f>'YTD P&amp;L'!H22</f>
        <v/>
      </c>
      <c r="K22" s="4">
        <f>'YTD P&amp;L'!I22-'YTD P&amp;L'!H22</f>
        <v/>
      </c>
      <c r="L22" s="4">
        <f>'YTD P&amp;L'!J22-'YTD P&amp;L'!I22</f>
        <v/>
      </c>
      <c r="M22" s="4">
        <f>'ANNL P&amp;L'!D22-'YTD P&amp;L'!J22</f>
        <v/>
      </c>
      <c r="N22" s="4">
        <f>'YTD P&amp;L'!K22</f>
        <v/>
      </c>
      <c r="O22" s="4">
        <f>'YTD P&amp;L'!L22-'YTD P&amp;L'!K22</f>
        <v/>
      </c>
      <c r="P22" s="4">
        <f>'YTD P&amp;L'!M22-'YTD P&amp;L'!L22</f>
        <v/>
      </c>
      <c r="Q22" s="4">
        <f>'ANNL P&amp;L'!E22-'YTD P&amp;L'!M22</f>
        <v/>
      </c>
      <c r="R22" s="4">
        <f>'YTD P&amp;L'!N22</f>
        <v/>
      </c>
      <c r="S22" s="4">
        <f>'YTD P&amp;L'!O22-'YTD P&amp;L'!N22</f>
        <v/>
      </c>
      <c r="T22" s="4">
        <f>'YTD P&amp;L'!P22-'YTD P&amp;L'!O22</f>
        <v/>
      </c>
      <c r="U22" s="4">
        <f>'ANNL P&amp;L'!F22-'YTD P&amp;L'!P22</f>
        <v/>
      </c>
      <c r="V22" s="4">
        <f>'YTD P&amp;L'!Q22</f>
        <v/>
      </c>
      <c r="W22" s="4">
        <f>'YTD P&amp;L'!R22-'YTD P&amp;L'!Q22</f>
        <v/>
      </c>
      <c r="X22" s="4">
        <f>'YTD P&amp;L'!S22-'YTD P&amp;L'!R22</f>
        <v/>
      </c>
      <c r="Y22" s="4">
        <f>'ANNL P&amp;L'!G22-'YTD P&amp;L'!S22</f>
        <v/>
      </c>
      <c r="Z22" s="4">
        <f>'YTD P&amp;L'!T22</f>
        <v/>
      </c>
      <c r="AA22" s="4">
        <f>'YTD P&amp;L'!U22-'YTD P&amp;L'!T22</f>
        <v/>
      </c>
      <c r="AB22" s="4">
        <f>'YTD P&amp;L'!V22-'YTD P&amp;L'!U22</f>
        <v/>
      </c>
      <c r="AC22" s="4">
        <f>'ANNL P&amp;L'!H22-'YTD P&amp;L'!V22</f>
        <v/>
      </c>
    </row>
    <row r="23">
      <c r="A23" s="3" t="inlineStr">
        <is>
          <t>Income Allocated to Participating Preferred</t>
        </is>
      </c>
      <c r="B23" s="4">
        <f>'YTD P&amp;L'!B23</f>
        <v/>
      </c>
      <c r="C23" s="4">
        <f>'YTD P&amp;L'!C23-'YTD P&amp;L'!B23</f>
        <v/>
      </c>
      <c r="D23" s="4">
        <f>'YTD P&amp;L'!D23-'YTD P&amp;L'!C23</f>
        <v/>
      </c>
      <c r="E23" s="4">
        <f>'ANNL P&amp;L'!B23-'YTD P&amp;L'!D23</f>
        <v/>
      </c>
      <c r="F23" s="4">
        <f>'YTD P&amp;L'!E23</f>
        <v/>
      </c>
      <c r="G23" s="4">
        <f>'YTD P&amp;L'!F23-'YTD P&amp;L'!E23</f>
        <v/>
      </c>
      <c r="H23" s="4">
        <f>'YTD P&amp;L'!G23-'YTD P&amp;L'!F23</f>
        <v/>
      </c>
      <c r="I23" s="4">
        <f>'ANNL P&amp;L'!C23-'YTD P&amp;L'!G23</f>
        <v/>
      </c>
      <c r="J23" s="4">
        <f>'YTD P&amp;L'!H23</f>
        <v/>
      </c>
      <c r="K23" s="4">
        <f>'YTD P&amp;L'!I23-'YTD P&amp;L'!H23</f>
        <v/>
      </c>
      <c r="L23" s="4">
        <f>'YTD P&amp;L'!J23-'YTD P&amp;L'!I23</f>
        <v/>
      </c>
      <c r="M23" s="4">
        <f>'ANNL P&amp;L'!D23-'YTD P&amp;L'!J23</f>
        <v/>
      </c>
      <c r="N23" s="4">
        <f>'YTD P&amp;L'!K23</f>
        <v/>
      </c>
      <c r="O23" s="4">
        <f>'YTD P&amp;L'!L23-'YTD P&amp;L'!K23</f>
        <v/>
      </c>
      <c r="P23" s="4">
        <f>'YTD P&amp;L'!M23-'YTD P&amp;L'!L23</f>
        <v/>
      </c>
      <c r="Q23" s="4">
        <f>'ANNL P&amp;L'!E23-'YTD P&amp;L'!M23</f>
        <v/>
      </c>
      <c r="R23" s="4">
        <f>'YTD P&amp;L'!N23</f>
        <v/>
      </c>
      <c r="S23" s="4">
        <f>'YTD P&amp;L'!O23-'YTD P&amp;L'!N23</f>
        <v/>
      </c>
      <c r="T23" s="4">
        <f>'YTD P&amp;L'!P23-'YTD P&amp;L'!O23</f>
        <v/>
      </c>
      <c r="U23" s="4">
        <f>'ANNL P&amp;L'!F23-'YTD P&amp;L'!P23</f>
        <v/>
      </c>
      <c r="V23" s="4">
        <f>'YTD P&amp;L'!Q23</f>
        <v/>
      </c>
      <c r="W23" s="4">
        <f>'YTD P&amp;L'!R23-'YTD P&amp;L'!Q23</f>
        <v/>
      </c>
      <c r="X23" s="4">
        <f>'YTD P&amp;L'!S23-'YTD P&amp;L'!R23</f>
        <v/>
      </c>
      <c r="Y23" s="4">
        <f>'ANNL P&amp;L'!G23-'YTD P&amp;L'!S23</f>
        <v/>
      </c>
      <c r="Z23" s="4">
        <f>'YTD P&amp;L'!T23</f>
        <v/>
      </c>
      <c r="AA23" s="4">
        <f>'YTD P&amp;L'!U23-'YTD P&amp;L'!T23</f>
        <v/>
      </c>
      <c r="AB23" s="4">
        <f>'YTD P&amp;L'!V23-'YTD P&amp;L'!U23</f>
        <v/>
      </c>
      <c r="AC23" s="4">
        <f>'ANNL P&amp;L'!H23-'YTD P&amp;L'!V23</f>
        <v/>
      </c>
    </row>
    <row r="24">
      <c r="A24" s="3" t="inlineStr">
        <is>
          <t>Net Income (Loss) Attributable to Common Shareholders</t>
        </is>
      </c>
      <c r="B24" s="6">
        <f>'YTD P&amp;L'!B24</f>
        <v/>
      </c>
      <c r="C24" s="6">
        <f>'YTD P&amp;L'!C24-'YTD P&amp;L'!B24</f>
        <v/>
      </c>
      <c r="D24" s="6">
        <f>'YTD P&amp;L'!D24-'YTD P&amp;L'!C24</f>
        <v/>
      </c>
      <c r="E24" s="6">
        <f>'ANNL P&amp;L'!B24-'YTD P&amp;L'!D24</f>
        <v/>
      </c>
      <c r="F24" s="6">
        <f>'YTD P&amp;L'!E24</f>
        <v/>
      </c>
      <c r="G24" s="6">
        <f>'YTD P&amp;L'!F24-'YTD P&amp;L'!E24</f>
        <v/>
      </c>
      <c r="H24" s="6">
        <f>'YTD P&amp;L'!G24-'YTD P&amp;L'!F24</f>
        <v/>
      </c>
      <c r="I24" s="6">
        <f>'ANNL P&amp;L'!C24-'YTD P&amp;L'!G24</f>
        <v/>
      </c>
      <c r="J24" s="6">
        <f>'YTD P&amp;L'!H24</f>
        <v/>
      </c>
      <c r="K24" s="6">
        <f>'YTD P&amp;L'!I24-'YTD P&amp;L'!H24</f>
        <v/>
      </c>
      <c r="L24" s="6">
        <f>'YTD P&amp;L'!J24-'YTD P&amp;L'!I24</f>
        <v/>
      </c>
      <c r="M24" s="6">
        <f>'ANNL P&amp;L'!D24-'YTD P&amp;L'!J24</f>
        <v/>
      </c>
      <c r="N24" s="6">
        <f>'YTD P&amp;L'!K24</f>
        <v/>
      </c>
      <c r="O24" s="6">
        <f>'YTD P&amp;L'!L24-'YTD P&amp;L'!K24</f>
        <v/>
      </c>
      <c r="P24" s="6">
        <f>'YTD P&amp;L'!M24-'YTD P&amp;L'!L24</f>
        <v/>
      </c>
      <c r="Q24" s="6">
        <f>'ANNL P&amp;L'!E24-'YTD P&amp;L'!M24</f>
        <v/>
      </c>
      <c r="R24" s="6">
        <f>'YTD P&amp;L'!N24</f>
        <v/>
      </c>
      <c r="S24" s="6">
        <f>'YTD P&amp;L'!O24-'YTD P&amp;L'!N24</f>
        <v/>
      </c>
      <c r="T24" s="6">
        <f>'YTD P&amp;L'!P24-'YTD P&amp;L'!O24</f>
        <v/>
      </c>
      <c r="U24" s="6">
        <f>'ANNL P&amp;L'!F24-'YTD P&amp;L'!P24</f>
        <v/>
      </c>
      <c r="V24" s="6">
        <f>'YTD P&amp;L'!Q24</f>
        <v/>
      </c>
      <c r="W24" s="6">
        <f>'YTD P&amp;L'!R24-'YTD P&amp;L'!Q24</f>
        <v/>
      </c>
      <c r="X24" s="6">
        <f>'YTD P&amp;L'!S24-'YTD P&amp;L'!R24</f>
        <v/>
      </c>
      <c r="Y24" s="6">
        <f>'ANNL P&amp;L'!G24-'YTD P&amp;L'!S24</f>
        <v/>
      </c>
      <c r="Z24" s="6">
        <f>'YTD P&amp;L'!T24</f>
        <v/>
      </c>
      <c r="AA24" s="6">
        <f>'YTD P&amp;L'!U24-'YTD P&amp;L'!T24</f>
        <v/>
      </c>
      <c r="AB24" s="6">
        <f>'YTD P&amp;L'!V24-'YTD P&amp;L'!U24</f>
        <v/>
      </c>
      <c r="AC24" s="6">
        <f>'ANNL P&amp;L'!H24-'YTD P&amp;L'!V24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" t="inlineStr"/>
      <c r="B1" s="2" t="inlineStr">
        <is>
          <t>Q4 FY2019</t>
        </is>
      </c>
      <c r="C1" s="2" t="inlineStr">
        <is>
          <t>Q1 FY2020</t>
        </is>
      </c>
      <c r="D1" s="2" t="inlineStr">
        <is>
          <t>Q2 FY2020</t>
        </is>
      </c>
      <c r="E1" s="2" t="inlineStr">
        <is>
          <t>Q3 FY2020</t>
        </is>
      </c>
      <c r="F1" s="2" t="inlineStr">
        <is>
          <t>Q4 FY2020</t>
        </is>
      </c>
      <c r="G1" s="2" t="inlineStr">
        <is>
          <t>Q1 FY2021</t>
        </is>
      </c>
      <c r="H1" s="2" t="inlineStr">
        <is>
          <t>Q2 FY2021</t>
        </is>
      </c>
      <c r="I1" s="2" t="inlineStr">
        <is>
          <t>Q3 FY2021</t>
        </is>
      </c>
      <c r="J1" s="2" t="inlineStr">
        <is>
          <t>Q4 FY2021</t>
        </is>
      </c>
      <c r="K1" s="2" t="inlineStr">
        <is>
          <t>Q1 FY2022</t>
        </is>
      </c>
      <c r="L1" s="2" t="inlineStr">
        <is>
          <t>Q2 FY2022</t>
        </is>
      </c>
      <c r="M1" s="2" t="inlineStr">
        <is>
          <t>Q3 FY2022</t>
        </is>
      </c>
      <c r="N1" s="2" t="inlineStr">
        <is>
          <t>Q4 FY2022</t>
        </is>
      </c>
      <c r="O1" s="2" t="inlineStr">
        <is>
          <t>Q1 FY2023</t>
        </is>
      </c>
      <c r="P1" s="2" t="inlineStr">
        <is>
          <t>Q2 FY2023</t>
        </is>
      </c>
      <c r="Q1" s="2" t="inlineStr">
        <is>
          <t>Q3 FY2023</t>
        </is>
      </c>
      <c r="R1" s="2" t="inlineStr">
        <is>
          <t>Q4 FY2023</t>
        </is>
      </c>
      <c r="S1" s="2" t="inlineStr">
        <is>
          <t>Q1 FY2024</t>
        </is>
      </c>
      <c r="T1" s="2" t="inlineStr">
        <is>
          <t>Q2 FY2024</t>
        </is>
      </c>
      <c r="U1" s="2" t="inlineStr">
        <is>
          <t>Q3 FY2024</t>
        </is>
      </c>
      <c r="V1" s="2" t="inlineStr">
        <is>
          <t>Q4 FY2024</t>
        </is>
      </c>
      <c r="W1" s="2" t="inlineStr">
        <is>
          <t>Q1 FY2025</t>
        </is>
      </c>
      <c r="X1" s="2" t="inlineStr">
        <is>
          <t>Q2 FY2025</t>
        </is>
      </c>
      <c r="Y1" s="2" t="inlineStr">
        <is>
          <t>Q3 FY2025</t>
        </is>
      </c>
      <c r="Z1" s="2" t="inlineStr">
        <is>
          <t>Q4 FY2025</t>
        </is>
      </c>
    </row>
    <row r="2">
      <c r="A2" s="3" t="inlineStr">
        <is>
          <t>Cash, Cash Equivalents &amp; Restricted Cash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4">
        <f>'YTD BS'!Q2</f>
        <v/>
      </c>
      <c r="R2" s="4">
        <f>'BALANCE SHEET'!F2</f>
        <v/>
      </c>
      <c r="S2" s="4">
        <f>'YTD BS'!S2</f>
        <v/>
      </c>
      <c r="T2" s="4">
        <f>'YTD BS'!T2</f>
        <v/>
      </c>
      <c r="U2" s="4">
        <f>'YTD BS'!U2</f>
        <v/>
      </c>
      <c r="V2" s="4">
        <f>'BALANCE SHEET'!G2</f>
        <v/>
      </c>
      <c r="W2" s="4">
        <f>'YTD BS'!W2</f>
        <v/>
      </c>
      <c r="X2" s="4">
        <f>'YTD BS'!X2</f>
        <v/>
      </c>
      <c r="Y2" s="4">
        <f>'YTD BS'!Y2</f>
        <v/>
      </c>
      <c r="Z2" s="4">
        <f>'BALANCE SHEET'!H2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4">
        <f>'YTD BS'!Q3</f>
        <v/>
      </c>
      <c r="R3" s="4">
        <f>'BALANCE SHEET'!F3</f>
        <v/>
      </c>
      <c r="S3" s="4">
        <f>'YTD BS'!S3</f>
        <v/>
      </c>
      <c r="T3" s="4">
        <f>'YTD BS'!T3</f>
        <v/>
      </c>
      <c r="U3" s="4">
        <f>'YTD BS'!U3</f>
        <v/>
      </c>
      <c r="V3" s="4">
        <f>'BALANCE SHEET'!G3</f>
        <v/>
      </c>
      <c r="W3" s="4">
        <f>'YTD BS'!W3</f>
        <v/>
      </c>
      <c r="X3" s="4">
        <f>'YTD BS'!X3</f>
        <v/>
      </c>
      <c r="Y3" s="4">
        <f>'YTD BS'!Y3</f>
        <v/>
      </c>
      <c r="Z3" s="4">
        <f>'BALANCE SHEET'!H3</f>
        <v/>
      </c>
    </row>
    <row r="4">
      <c r="A4" s="3" t="inlineStr">
        <is>
          <t>Note Receivable - Current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4">
        <f>'YTD BS'!Q4</f>
        <v/>
      </c>
      <c r="R4" s="4">
        <f>'BALANCE SHEET'!F4</f>
        <v/>
      </c>
      <c r="S4" s="4">
        <f>'YTD BS'!S4</f>
        <v/>
      </c>
      <c r="T4" s="4">
        <f>'YTD BS'!T4</f>
        <v/>
      </c>
      <c r="U4" s="4">
        <f>'YTD BS'!U4</f>
        <v/>
      </c>
      <c r="V4" s="4">
        <f>'BALANCE SHEET'!G4</f>
        <v/>
      </c>
      <c r="W4" s="4">
        <f>'YTD BS'!W4</f>
        <v/>
      </c>
      <c r="X4" s="4">
        <f>'YTD BS'!X4</f>
        <v/>
      </c>
      <c r="Y4" s="4">
        <f>'YTD BS'!Y4</f>
        <v/>
      </c>
      <c r="Z4" s="4">
        <f>'BALANCE SHEET'!H4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4">
        <f>'YTD BS'!Q5</f>
        <v/>
      </c>
      <c r="R5" s="4">
        <f>'BALANCE SHEET'!F5</f>
        <v/>
      </c>
      <c r="S5" s="4">
        <f>'YTD BS'!S5</f>
        <v/>
      </c>
      <c r="T5" s="4">
        <f>'YTD BS'!T5</f>
        <v/>
      </c>
      <c r="U5" s="4">
        <f>'YTD BS'!U5</f>
        <v/>
      </c>
      <c r="V5" s="4">
        <f>'BALANCE SHEET'!G5</f>
        <v/>
      </c>
      <c r="W5" s="4">
        <f>'YTD BS'!W5</f>
        <v/>
      </c>
      <c r="X5" s="4">
        <f>'YTD BS'!X5</f>
        <v/>
      </c>
      <c r="Y5" s="4">
        <f>'YTD BS'!Y5</f>
        <v/>
      </c>
      <c r="Z5" s="4">
        <f>'BALANCE SHEET'!H5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4">
        <f>'YTD BS'!P6</f>
        <v/>
      </c>
      <c r="Q6" s="4">
        <f>'YTD BS'!Q6</f>
        <v/>
      </c>
      <c r="R6" s="4">
        <f>'BALANCE SHEET'!F6</f>
        <v/>
      </c>
      <c r="S6" s="4">
        <f>'YTD BS'!S6</f>
        <v/>
      </c>
      <c r="T6" s="4">
        <f>'YTD BS'!T6</f>
        <v/>
      </c>
      <c r="U6" s="4">
        <f>'YTD BS'!U6</f>
        <v/>
      </c>
      <c r="V6" s="4">
        <f>'BALANCE SHEET'!G6</f>
        <v/>
      </c>
      <c r="W6" s="4">
        <f>'YTD BS'!W6</f>
        <v/>
      </c>
      <c r="X6" s="4">
        <f>'YTD BS'!X6</f>
        <v/>
      </c>
      <c r="Y6" s="4">
        <f>'YTD BS'!Y6</f>
        <v/>
      </c>
      <c r="Z6" s="4">
        <f>'BALANCE SHEET'!H6</f>
        <v/>
      </c>
    </row>
    <row r="7">
      <c r="A7" s="3" t="inlineStr">
        <is>
          <t>Deferred Other Costs - Current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4">
        <f>'YTD BS'!Q7</f>
        <v/>
      </c>
      <c r="R7" s="4">
        <f>'BALANCE SHEET'!F7</f>
        <v/>
      </c>
      <c r="S7" s="4">
        <f>'YTD BS'!S7</f>
        <v/>
      </c>
      <c r="T7" s="4">
        <f>'YTD BS'!T7</f>
        <v/>
      </c>
      <c r="U7" s="4">
        <f>'YTD BS'!U7</f>
        <v/>
      </c>
      <c r="V7" s="4">
        <f>'BALANCE SHEET'!G7</f>
        <v/>
      </c>
      <c r="W7" s="4">
        <f>'YTD BS'!W7</f>
        <v/>
      </c>
      <c r="X7" s="4">
        <f>'YTD BS'!X7</f>
        <v/>
      </c>
      <c r="Y7" s="4">
        <f>'YTD BS'!Y7</f>
        <v/>
      </c>
      <c r="Z7" s="4">
        <f>'BALANCE SHEET'!H7</f>
        <v/>
      </c>
    </row>
    <row r="8">
      <c r="A8" s="3" t="inlineStr">
        <is>
          <t>Total Current Assets</t>
        </is>
      </c>
      <c r="B8" s="6">
        <f>'BALANCE SHEET'!B8</f>
        <v/>
      </c>
      <c r="C8" s="6">
        <f>'YTD BS'!C8</f>
        <v/>
      </c>
      <c r="D8" s="6">
        <f>'YTD BS'!D8</f>
        <v/>
      </c>
      <c r="E8" s="6">
        <f>'YTD BS'!E8</f>
        <v/>
      </c>
      <c r="F8" s="6">
        <f>'BALANCE SHEET'!C8</f>
        <v/>
      </c>
      <c r="G8" s="6">
        <f>'YTD BS'!G8</f>
        <v/>
      </c>
      <c r="H8" s="6">
        <f>'YTD BS'!H8</f>
        <v/>
      </c>
      <c r="I8" s="6">
        <f>'YTD BS'!I8</f>
        <v/>
      </c>
      <c r="J8" s="6">
        <f>'BALANCE SHEET'!D8</f>
        <v/>
      </c>
      <c r="K8" s="6">
        <f>'YTD BS'!K8</f>
        <v/>
      </c>
      <c r="L8" s="6">
        <f>'YTD BS'!L8</f>
        <v/>
      </c>
      <c r="M8" s="6">
        <f>'YTD BS'!M8</f>
        <v/>
      </c>
      <c r="N8" s="6">
        <f>'BALANCE SHEET'!E8</f>
        <v/>
      </c>
      <c r="O8" s="6">
        <f>'YTD BS'!O8</f>
        <v/>
      </c>
      <c r="P8" s="6">
        <f>'YTD BS'!P8</f>
        <v/>
      </c>
      <c r="Q8" s="6">
        <f>'YTD BS'!Q8</f>
        <v/>
      </c>
      <c r="R8" s="6">
        <f>'BALANCE SHEET'!F8</f>
        <v/>
      </c>
      <c r="S8" s="6">
        <f>'YTD BS'!S8</f>
        <v/>
      </c>
      <c r="T8" s="6">
        <f>'YTD BS'!T8</f>
        <v/>
      </c>
      <c r="U8" s="6">
        <f>'YTD BS'!U8</f>
        <v/>
      </c>
      <c r="V8" s="6">
        <f>'BALANCE SHEET'!G8</f>
        <v/>
      </c>
      <c r="W8" s="6">
        <f>'YTD BS'!W8</f>
        <v/>
      </c>
      <c r="X8" s="6">
        <f>'YTD BS'!X8</f>
        <v/>
      </c>
      <c r="Y8" s="6">
        <f>'YTD BS'!Y8</f>
        <v/>
      </c>
      <c r="Z8" s="6">
        <f>'BALANCE SHEET'!H8</f>
        <v/>
      </c>
    </row>
    <row r="9">
      <c r="A9" s="3" t="inlineStr">
        <is>
          <t>Note Receivable - Non-Current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4">
        <f>'YTD BS'!Q9</f>
        <v/>
      </c>
      <c r="R9" s="4">
        <f>'BALANCE SHEET'!F9</f>
        <v/>
      </c>
      <c r="S9" s="4">
        <f>'YTD BS'!S9</f>
        <v/>
      </c>
      <c r="T9" s="4">
        <f>'YTD BS'!T9</f>
        <v/>
      </c>
      <c r="U9" s="4">
        <f>'YTD BS'!U9</f>
        <v/>
      </c>
      <c r="V9" s="4">
        <f>'BALANCE SHEET'!G9</f>
        <v/>
      </c>
      <c r="W9" s="4">
        <f>'YTD BS'!W9</f>
        <v/>
      </c>
      <c r="X9" s="4">
        <f>'YTD BS'!X9</f>
        <v/>
      </c>
      <c r="Y9" s="4">
        <f>'YTD BS'!Y9</f>
        <v/>
      </c>
      <c r="Z9" s="4">
        <f>'BALANCE SHEET'!H9</f>
        <v/>
      </c>
    </row>
    <row r="10">
      <c r="A10" s="3" t="inlineStr">
        <is>
          <t>Net PP&amp;E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4">
        <f>'YTD BS'!Q10</f>
        <v/>
      </c>
      <c r="R10" s="4">
        <f>'BALANCE SHEET'!F10</f>
        <v/>
      </c>
      <c r="S10" s="4">
        <f>'YTD BS'!S10</f>
        <v/>
      </c>
      <c r="T10" s="4">
        <f>'YTD BS'!T10</f>
        <v/>
      </c>
      <c r="U10" s="4">
        <f>'YTD BS'!U10</f>
        <v/>
      </c>
      <c r="V10" s="4">
        <f>'BALANCE SHEET'!G10</f>
        <v/>
      </c>
      <c r="W10" s="4">
        <f>'YTD BS'!W10</f>
        <v/>
      </c>
      <c r="X10" s="4">
        <f>'YTD BS'!X10</f>
        <v/>
      </c>
      <c r="Y10" s="4">
        <f>'YTD BS'!Y10</f>
        <v/>
      </c>
      <c r="Z10" s="4">
        <f>'BALANCE SHEET'!H10</f>
        <v/>
      </c>
    </row>
    <row r="11">
      <c r="A11" s="3" t="inlineStr">
        <is>
          <t>ROU Assets - Operating - Non-Current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4">
        <f>'YTD BS'!P11</f>
        <v/>
      </c>
      <c r="Q11" s="4">
        <f>'YTD BS'!Q11</f>
        <v/>
      </c>
      <c r="R11" s="4">
        <f>'BALANCE SHEET'!F11</f>
        <v/>
      </c>
      <c r="S11" s="4">
        <f>'YTD BS'!S11</f>
        <v/>
      </c>
      <c r="T11" s="4">
        <f>'YTD BS'!T11</f>
        <v/>
      </c>
      <c r="U11" s="4">
        <f>'YTD BS'!U11</f>
        <v/>
      </c>
      <c r="V11" s="4">
        <f>'BALANCE SHEET'!G11</f>
        <v/>
      </c>
      <c r="W11" s="4">
        <f>'YTD BS'!W11</f>
        <v/>
      </c>
      <c r="X11" s="4">
        <f>'YTD BS'!X11</f>
        <v/>
      </c>
      <c r="Y11" s="4">
        <f>'YTD BS'!Y11</f>
        <v/>
      </c>
      <c r="Z11" s="4">
        <f>'BALANCE SHEET'!H11</f>
        <v/>
      </c>
    </row>
    <row r="12">
      <c r="A12" s="3" t="inlineStr">
        <is>
          <t>Intangible Assets</t>
        </is>
      </c>
      <c r="B12" s="4">
        <f>'BALANCE SHEET'!B13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SHEET'!C13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SHEET'!D13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SHEET'!E13</f>
        <v/>
      </c>
      <c r="O12" s="4">
        <f>'YTD BS'!O12</f>
        <v/>
      </c>
      <c r="P12" s="4">
        <f>'YTD BS'!P12</f>
        <v/>
      </c>
      <c r="Q12" s="4">
        <f>'YTD BS'!Q12</f>
        <v/>
      </c>
      <c r="R12" s="4">
        <f>'BALANCE SHEET'!F13</f>
        <v/>
      </c>
      <c r="S12" s="4">
        <f>'YTD BS'!S12</f>
        <v/>
      </c>
      <c r="T12" s="4">
        <f>'YTD BS'!T12</f>
        <v/>
      </c>
      <c r="U12" s="4">
        <f>'YTD BS'!U12</f>
        <v/>
      </c>
      <c r="V12" s="4">
        <f>'BALANCE SHEET'!G13</f>
        <v/>
      </c>
      <c r="W12" s="4">
        <f>'YTD BS'!W12</f>
        <v/>
      </c>
      <c r="X12" s="4">
        <f>'YTD BS'!X12</f>
        <v/>
      </c>
      <c r="Y12" s="4">
        <f>'YTD BS'!Y12</f>
        <v/>
      </c>
      <c r="Z12" s="4">
        <f>'BALANCE SHEET'!H13</f>
        <v/>
      </c>
    </row>
    <row r="13">
      <c r="A13" s="3" t="inlineStr">
        <is>
          <t>Goodwill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4">
        <f>'YTD BS'!O13</f>
        <v/>
      </c>
      <c r="P13" s="4">
        <f>'YTD BS'!P13</f>
        <v/>
      </c>
      <c r="Q13" s="4">
        <f>'YTD BS'!Q13</f>
        <v/>
      </c>
      <c r="R13" s="4">
        <f>'BALANCE SHEET'!F14</f>
        <v/>
      </c>
      <c r="S13" s="4">
        <f>'YTD BS'!S13</f>
        <v/>
      </c>
      <c r="T13" s="4">
        <f>'YTD BS'!T13</f>
        <v/>
      </c>
      <c r="U13" s="4">
        <f>'YTD BS'!U13</f>
        <v/>
      </c>
      <c r="V13" s="4">
        <f>'BALANCE SHEET'!G14</f>
        <v/>
      </c>
      <c r="W13" s="4">
        <f>'YTD BS'!W13</f>
        <v/>
      </c>
      <c r="X13" s="4">
        <f>'YTD BS'!X13</f>
        <v/>
      </c>
      <c r="Y13" s="4">
        <f>'YTD BS'!Y13</f>
        <v/>
      </c>
      <c r="Z13" s="4">
        <f>'BALANCE SHEET'!H14</f>
        <v/>
      </c>
    </row>
    <row r="14">
      <c r="A14" s="3" t="inlineStr">
        <is>
          <t>Deferred Other Costs - Non-Current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4">
        <f>'YTD BS'!O14</f>
        <v/>
      </c>
      <c r="P14" s="4">
        <f>'YTD BS'!P14</f>
        <v/>
      </c>
      <c r="Q14" s="4">
        <f>'YTD BS'!Q14</f>
        <v/>
      </c>
      <c r="R14" s="4">
        <f>'BALANCE SHEET'!F15</f>
        <v/>
      </c>
      <c r="S14" s="4">
        <f>'YTD BS'!S14</f>
        <v/>
      </c>
      <c r="T14" s="4">
        <f>'YTD BS'!T14</f>
        <v/>
      </c>
      <c r="U14" s="4">
        <f>'YTD BS'!U14</f>
        <v/>
      </c>
      <c r="V14" s="4">
        <f>'BALANCE SHEET'!G15</f>
        <v/>
      </c>
      <c r="W14" s="4">
        <f>'YTD BS'!W14</f>
        <v/>
      </c>
      <c r="X14" s="4">
        <f>'YTD BS'!X14</f>
        <v/>
      </c>
      <c r="Y14" s="4">
        <f>'YTD BS'!Y14</f>
        <v/>
      </c>
      <c r="Z14" s="4">
        <f>'BALANCE SHEET'!H15</f>
        <v/>
      </c>
    </row>
    <row r="15">
      <c r="A15" s="3" t="inlineStr">
        <is>
          <t>Deferred Tax Assets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4">
        <f>'YTD BS'!O15</f>
        <v/>
      </c>
      <c r="P15" s="4">
        <f>'YTD BS'!P15</f>
        <v/>
      </c>
      <c r="Q15" s="4">
        <f>'YTD BS'!Q15</f>
        <v/>
      </c>
      <c r="R15" s="4">
        <f>'BALANCE SHEET'!F16</f>
        <v/>
      </c>
      <c r="S15" s="4">
        <f>'YTD BS'!S15</f>
        <v/>
      </c>
      <c r="T15" s="4">
        <f>'YTD BS'!T15</f>
        <v/>
      </c>
      <c r="U15" s="4">
        <f>'YTD BS'!U15</f>
        <v/>
      </c>
      <c r="V15" s="4">
        <f>'BALANCE SHEET'!G16</f>
        <v/>
      </c>
      <c r="W15" s="4">
        <f>'YTD BS'!W15</f>
        <v/>
      </c>
      <c r="X15" s="4">
        <f>'YTD BS'!X15</f>
        <v/>
      </c>
      <c r="Y15" s="4">
        <f>'YTD BS'!Y15</f>
        <v/>
      </c>
      <c r="Z15" s="4">
        <f>'BALANCE SHEET'!H16</f>
        <v/>
      </c>
    </row>
    <row r="16">
      <c r="A16" s="3" t="inlineStr">
        <is>
          <t>ROU Assets - Finance - Non-Current</t>
        </is>
      </c>
      <c r="B16" s="4">
        <f>'BALANCE SHEET'!B12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SHEET'!C12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SHEET'!D12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SHEET'!E12</f>
        <v/>
      </c>
      <c r="O16" s="4">
        <f>'YTD BS'!O16</f>
        <v/>
      </c>
      <c r="P16" s="4">
        <f>'YTD BS'!P16</f>
        <v/>
      </c>
      <c r="Q16" s="4">
        <f>'YTD BS'!Q16</f>
        <v/>
      </c>
      <c r="R16" s="4">
        <f>'BALANCE SHEET'!F12</f>
        <v/>
      </c>
      <c r="S16" s="4">
        <f>'YTD BS'!S16</f>
        <v/>
      </c>
      <c r="T16" s="4">
        <f>'YTD BS'!T16</f>
        <v/>
      </c>
      <c r="U16" s="4">
        <f>'YTD BS'!U16</f>
        <v/>
      </c>
      <c r="V16" s="4">
        <f>'BALANCE SHEET'!G12</f>
        <v/>
      </c>
      <c r="W16" s="4">
        <f>'YTD BS'!W16</f>
        <v/>
      </c>
      <c r="X16" s="4">
        <f>'YTD BS'!X16</f>
        <v/>
      </c>
      <c r="Y16" s="4">
        <f>'YTD BS'!Y16</f>
        <v/>
      </c>
      <c r="Z16" s="4">
        <f>'BALANCE SHEET'!H12</f>
        <v/>
      </c>
    </row>
    <row r="17">
      <c r="A17" s="3" t="inlineStr">
        <is>
          <t>Other Non-Current Assets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4">
        <f>'YTD BS'!Q17</f>
        <v/>
      </c>
      <c r="R17" s="4">
        <f>'BALANCE SHEET'!F17</f>
        <v/>
      </c>
      <c r="S17" s="4">
        <f>'YTD BS'!S17</f>
        <v/>
      </c>
      <c r="T17" s="4">
        <f>'YTD BS'!T17</f>
        <v/>
      </c>
      <c r="U17" s="4">
        <f>'YTD BS'!U17</f>
        <v/>
      </c>
      <c r="V17" s="4">
        <f>'BALANCE SHEET'!G17</f>
        <v/>
      </c>
      <c r="W17" s="4">
        <f>'YTD BS'!W17</f>
        <v/>
      </c>
      <c r="X17" s="4">
        <f>'YTD BS'!X17</f>
        <v/>
      </c>
      <c r="Y17" s="4">
        <f>'YTD BS'!Y17</f>
        <v/>
      </c>
      <c r="Z17" s="4">
        <f>'BALANCE SHEET'!H17</f>
        <v/>
      </c>
    </row>
    <row r="18">
      <c r="A18" s="3" t="inlineStr">
        <is>
          <t>Total Assets</t>
        </is>
      </c>
      <c r="B18" s="6">
        <f>'BALANCE SHEET'!B18</f>
        <v/>
      </c>
      <c r="C18" s="6">
        <f>'YTD BS'!C18</f>
        <v/>
      </c>
      <c r="D18" s="6">
        <f>'YTD BS'!D18</f>
        <v/>
      </c>
      <c r="E18" s="6">
        <f>'YTD BS'!E18</f>
        <v/>
      </c>
      <c r="F18" s="6">
        <f>'BALANCE SHEET'!C18</f>
        <v/>
      </c>
      <c r="G18" s="6">
        <f>'YTD BS'!G18</f>
        <v/>
      </c>
      <c r="H18" s="6">
        <f>'YTD BS'!H18</f>
        <v/>
      </c>
      <c r="I18" s="6">
        <f>'YTD BS'!I18</f>
        <v/>
      </c>
      <c r="J18" s="6">
        <f>'BALANCE SHEET'!D18</f>
        <v/>
      </c>
      <c r="K18" s="6">
        <f>'YTD BS'!K18</f>
        <v/>
      </c>
      <c r="L18" s="6">
        <f>'YTD BS'!L18</f>
        <v/>
      </c>
      <c r="M18" s="6">
        <f>'YTD BS'!M18</f>
        <v/>
      </c>
      <c r="N18" s="6">
        <f>'BALANCE SHEET'!E18</f>
        <v/>
      </c>
      <c r="O18" s="6">
        <f>'YTD BS'!O18</f>
        <v/>
      </c>
      <c r="P18" s="6">
        <f>'YTD BS'!P18</f>
        <v/>
      </c>
      <c r="Q18" s="6">
        <f>'YTD BS'!Q18</f>
        <v/>
      </c>
      <c r="R18" s="6">
        <f>'BALANCE SHEET'!F18</f>
        <v/>
      </c>
      <c r="S18" s="6">
        <f>'YTD BS'!S18</f>
        <v/>
      </c>
      <c r="T18" s="6">
        <f>'YTD BS'!T18</f>
        <v/>
      </c>
      <c r="U18" s="6">
        <f>'YTD BS'!U18</f>
        <v/>
      </c>
      <c r="V18" s="6">
        <f>'BALANCE SHEET'!G18</f>
        <v/>
      </c>
      <c r="W18" s="6">
        <f>'YTD BS'!W18</f>
        <v/>
      </c>
      <c r="X18" s="6">
        <f>'YTD BS'!X18</f>
        <v/>
      </c>
      <c r="Y18" s="6">
        <f>'YTD BS'!Y18</f>
        <v/>
      </c>
      <c r="Z18" s="6">
        <f>'BALANCE SHEET'!H18</f>
        <v/>
      </c>
    </row>
    <row r="19">
      <c r="A19" s="3" t="inlineStr">
        <is>
          <t>Accounts Payable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4">
        <f>'YTD BS'!P19</f>
        <v/>
      </c>
      <c r="Q19" s="4">
        <f>'YTD BS'!Q19</f>
        <v/>
      </c>
      <c r="R19" s="4">
        <f>'BALANCE SHEET'!F19</f>
        <v/>
      </c>
      <c r="S19" s="4">
        <f>'YTD BS'!S19</f>
        <v/>
      </c>
      <c r="T19" s="4">
        <f>'YTD BS'!T19</f>
        <v/>
      </c>
      <c r="U19" s="4">
        <f>'YTD BS'!U19</f>
        <v/>
      </c>
      <c r="V19" s="4">
        <f>'BALANCE SHEET'!G19</f>
        <v/>
      </c>
      <c r="W19" s="4">
        <f>'YTD BS'!W19</f>
        <v/>
      </c>
      <c r="X19" s="4">
        <f>'YTD BS'!X19</f>
        <v/>
      </c>
      <c r="Y19" s="4">
        <f>'YTD BS'!Y19</f>
        <v/>
      </c>
      <c r="Z19" s="4">
        <f>'BALANCE SHEET'!H19</f>
        <v/>
      </c>
    </row>
    <row r="20">
      <c r="A20" s="3" t="inlineStr">
        <is>
          <t>Accrued Expenses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4">
        <f>'YTD BS'!Q20</f>
        <v/>
      </c>
      <c r="R20" s="4">
        <f>'BALANCE SHEET'!F20</f>
        <v/>
      </c>
      <c r="S20" s="4">
        <f>'YTD BS'!S20</f>
        <v/>
      </c>
      <c r="T20" s="4">
        <f>'YTD BS'!T20</f>
        <v/>
      </c>
      <c r="U20" s="4">
        <f>'YTD BS'!U20</f>
        <v/>
      </c>
      <c r="V20" s="4">
        <f>'BALANCE SHEET'!G20</f>
        <v/>
      </c>
      <c r="W20" s="4">
        <f>'YTD BS'!W20</f>
        <v/>
      </c>
      <c r="X20" s="4">
        <f>'YTD BS'!X20</f>
        <v/>
      </c>
      <c r="Y20" s="4">
        <f>'YTD BS'!Y20</f>
        <v/>
      </c>
      <c r="Z20" s="4">
        <f>'BALANCE SHEET'!H20</f>
        <v/>
      </c>
    </row>
    <row r="21">
      <c r="A21" s="3" t="inlineStr">
        <is>
          <t>Income Taxes Payable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4">
        <f>'YTD BS'!Q21</f>
        <v/>
      </c>
      <c r="R21" s="4">
        <f>'BALANCE SHEET'!F21</f>
        <v/>
      </c>
      <c r="S21" s="4">
        <f>'YTD BS'!S21</f>
        <v/>
      </c>
      <c r="T21" s="4">
        <f>'YTD BS'!T21</f>
        <v/>
      </c>
      <c r="U21" s="4">
        <f>'YTD BS'!U21</f>
        <v/>
      </c>
      <c r="V21" s="4">
        <f>'BALANCE SHEET'!G21</f>
        <v/>
      </c>
      <c r="W21" s="4">
        <f>'YTD BS'!W21</f>
        <v/>
      </c>
      <c r="X21" s="4">
        <f>'YTD BS'!X21</f>
        <v/>
      </c>
      <c r="Y21" s="4">
        <f>'YTD BS'!Y21</f>
        <v/>
      </c>
      <c r="Z21" s="4">
        <f>'BALANCE SHEET'!H21</f>
        <v/>
      </c>
    </row>
    <row r="22">
      <c r="A22" s="3" t="inlineStr">
        <is>
          <t>Accrued Distributor Termination Fees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4">
        <f>'YTD BS'!Q22</f>
        <v/>
      </c>
      <c r="R22" s="4">
        <f>'BALANCE SHEET'!F22</f>
        <v/>
      </c>
      <c r="S22" s="4">
        <f>'YTD BS'!S22</f>
        <v/>
      </c>
      <c r="T22" s="4">
        <f>'YTD BS'!T22</f>
        <v/>
      </c>
      <c r="U22" s="4">
        <f>'YTD BS'!U22</f>
        <v/>
      </c>
      <c r="V22" s="4">
        <f>'BALANCE SHEET'!G22</f>
        <v/>
      </c>
      <c r="W22" s="4">
        <f>'YTD BS'!W22</f>
        <v/>
      </c>
      <c r="X22" s="4">
        <f>'YTD BS'!X22</f>
        <v/>
      </c>
      <c r="Y22" s="4">
        <f>'YTD BS'!Y22</f>
        <v/>
      </c>
      <c r="Z22" s="4">
        <f>'BALANCE SHEET'!H22</f>
        <v/>
      </c>
    </row>
    <row r="23">
      <c r="A23" s="3" t="inlineStr">
        <is>
          <t>Accrued Promotional Allowance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4">
        <f>'YTD BS'!Q23</f>
        <v/>
      </c>
      <c r="R23" s="4">
        <f>'BALANCE SHEET'!F23</f>
        <v/>
      </c>
      <c r="S23" s="4">
        <f>'YTD BS'!S23</f>
        <v/>
      </c>
      <c r="T23" s="4">
        <f>'YTD BS'!T23</f>
        <v/>
      </c>
      <c r="U23" s="4">
        <f>'YTD BS'!U23</f>
        <v/>
      </c>
      <c r="V23" s="4">
        <f>'BALANCE SHEET'!G23</f>
        <v/>
      </c>
      <c r="W23" s="4">
        <f>'YTD BS'!W23</f>
        <v/>
      </c>
      <c r="X23" s="4">
        <f>'YTD BS'!X23</f>
        <v/>
      </c>
      <c r="Y23" s="4">
        <f>'YTD BS'!Y23</f>
        <v/>
      </c>
      <c r="Z23" s="4">
        <f>'BALANCE SHEET'!H23</f>
        <v/>
      </c>
    </row>
    <row r="24">
      <c r="A24" s="3" t="inlineStr">
        <is>
          <t>Lease Liability - Operating - Current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4">
        <f>'YTD BS'!Q24</f>
        <v/>
      </c>
      <c r="R24" s="4">
        <f>'BALANCE SHEET'!F24</f>
        <v/>
      </c>
      <c r="S24" s="4">
        <f>'YTD BS'!S24</f>
        <v/>
      </c>
      <c r="T24" s="4">
        <f>'YTD BS'!T24</f>
        <v/>
      </c>
      <c r="U24" s="4">
        <f>'YTD BS'!U24</f>
        <v/>
      </c>
      <c r="V24" s="4">
        <f>'BALANCE SHEET'!G24</f>
        <v/>
      </c>
      <c r="W24" s="4">
        <f>'YTD BS'!W24</f>
        <v/>
      </c>
      <c r="X24" s="4">
        <f>'YTD BS'!X24</f>
        <v/>
      </c>
      <c r="Y24" s="4">
        <f>'YTD BS'!Y24</f>
        <v/>
      </c>
      <c r="Z24" s="4">
        <f>'BALANCE SHEET'!H24</f>
        <v/>
      </c>
    </row>
    <row r="25">
      <c r="A25" s="3" t="inlineStr">
        <is>
          <t>Bonds Payable, Net</t>
        </is>
      </c>
      <c r="B25" s="4">
        <f>'BALANCE SHEET'!B26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SHEET'!C26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SHEET'!D26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SHEET'!E26</f>
        <v/>
      </c>
      <c r="O25" s="4">
        <f>'YTD BS'!O25</f>
        <v/>
      </c>
      <c r="P25" s="4">
        <f>'YTD BS'!P25</f>
        <v/>
      </c>
      <c r="Q25" s="4">
        <f>'YTD BS'!Q25</f>
        <v/>
      </c>
      <c r="R25" s="4">
        <f>'BALANCE SHEET'!F26</f>
        <v/>
      </c>
      <c r="S25" s="4">
        <f>'YTD BS'!S25</f>
        <v/>
      </c>
      <c r="T25" s="4">
        <f>'YTD BS'!T25</f>
        <v/>
      </c>
      <c r="U25" s="4">
        <f>'YTD BS'!U25</f>
        <v/>
      </c>
      <c r="V25" s="4">
        <f>'BALANCE SHEET'!G26</f>
        <v/>
      </c>
      <c r="W25" s="4">
        <f>'YTD BS'!W25</f>
        <v/>
      </c>
      <c r="X25" s="4">
        <f>'YTD BS'!X25</f>
        <v/>
      </c>
      <c r="Y25" s="4">
        <f>'YTD BS'!Y25</f>
        <v/>
      </c>
      <c r="Z25" s="4">
        <f>'BALANCE SHEET'!H26</f>
        <v/>
      </c>
    </row>
    <row r="26">
      <c r="A26" s="3" t="inlineStr">
        <is>
          <t>Lease Liability - Finance - Current</t>
        </is>
      </c>
      <c r="B26" s="4">
        <f>'BALANCE SHEET'!B25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SHEET'!C25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SHEET'!D25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SHEET'!E25</f>
        <v/>
      </c>
      <c r="O26" s="4">
        <f>'YTD BS'!O26</f>
        <v/>
      </c>
      <c r="P26" s="4">
        <f>'YTD BS'!P26</f>
        <v/>
      </c>
      <c r="Q26" s="4">
        <f>'YTD BS'!Q26</f>
        <v/>
      </c>
      <c r="R26" s="4">
        <f>'BALANCE SHEET'!F25</f>
        <v/>
      </c>
      <c r="S26" s="4">
        <f>'YTD BS'!S26</f>
        <v/>
      </c>
      <c r="T26" s="4">
        <f>'YTD BS'!T26</f>
        <v/>
      </c>
      <c r="U26" s="4">
        <f>'YTD BS'!U26</f>
        <v/>
      </c>
      <c r="V26" s="4">
        <f>'BALANCE SHEET'!G25</f>
        <v/>
      </c>
      <c r="W26" s="4">
        <f>'YTD BS'!W26</f>
        <v/>
      </c>
      <c r="X26" s="4">
        <f>'YTD BS'!X26</f>
        <v/>
      </c>
      <c r="Y26" s="4">
        <f>'YTD BS'!Y26</f>
        <v/>
      </c>
      <c r="Z26" s="4">
        <f>'BALANCE SHEET'!H25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4">
        <f>'YTD BS'!Q27</f>
        <v/>
      </c>
      <c r="R27" s="4">
        <f>'BALANCE SHEET'!F27</f>
        <v/>
      </c>
      <c r="S27" s="4">
        <f>'YTD BS'!S27</f>
        <v/>
      </c>
      <c r="T27" s="4">
        <f>'YTD BS'!T27</f>
        <v/>
      </c>
      <c r="U27" s="4">
        <f>'YTD BS'!U27</f>
        <v/>
      </c>
      <c r="V27" s="4">
        <f>'BALANCE SHEET'!G27</f>
        <v/>
      </c>
      <c r="W27" s="4">
        <f>'YTD BS'!W27</f>
        <v/>
      </c>
      <c r="X27" s="4">
        <f>'YTD BS'!X27</f>
        <v/>
      </c>
      <c r="Y27" s="4">
        <f>'YTD BS'!Y27</f>
        <v/>
      </c>
      <c r="Z27" s="4">
        <f>'BALANCE SHEET'!H27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4">
        <f>'YTD BS'!O28</f>
        <v/>
      </c>
      <c r="P28" s="4">
        <f>'YTD BS'!P28</f>
        <v/>
      </c>
      <c r="Q28" s="4">
        <f>'YTD BS'!Q28</f>
        <v/>
      </c>
      <c r="R28" s="4">
        <f>'BALANCE SHEET'!F28</f>
        <v/>
      </c>
      <c r="S28" s="4">
        <f>'YTD BS'!S28</f>
        <v/>
      </c>
      <c r="T28" s="4">
        <f>'YTD BS'!T28</f>
        <v/>
      </c>
      <c r="U28" s="4">
        <f>'YTD BS'!U28</f>
        <v/>
      </c>
      <c r="V28" s="4">
        <f>'BALANCE SHEET'!G28</f>
        <v/>
      </c>
      <c r="W28" s="4">
        <f>'YTD BS'!W28</f>
        <v/>
      </c>
      <c r="X28" s="4">
        <f>'YTD BS'!X28</f>
        <v/>
      </c>
      <c r="Y28" s="4">
        <f>'YTD BS'!Y28</f>
        <v/>
      </c>
      <c r="Z28" s="4">
        <f>'BALANCE SHEET'!H28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4">
        <f>'YTD BS'!O29</f>
        <v/>
      </c>
      <c r="P29" s="4">
        <f>'YTD BS'!P29</f>
        <v/>
      </c>
      <c r="Q29" s="4">
        <f>'YTD BS'!Q29</f>
        <v/>
      </c>
      <c r="R29" s="4">
        <f>'BALANCE SHEET'!F29</f>
        <v/>
      </c>
      <c r="S29" s="4">
        <f>'YTD BS'!S29</f>
        <v/>
      </c>
      <c r="T29" s="4">
        <f>'YTD BS'!T29</f>
        <v/>
      </c>
      <c r="U29" s="4">
        <f>'YTD BS'!U29</f>
        <v/>
      </c>
      <c r="V29" s="4">
        <f>'BALANCE SHEET'!G29</f>
        <v/>
      </c>
      <c r="W29" s="4">
        <f>'YTD BS'!W29</f>
        <v/>
      </c>
      <c r="X29" s="4">
        <f>'YTD BS'!X29</f>
        <v/>
      </c>
      <c r="Y29" s="4">
        <f>'YTD BS'!Y29</f>
        <v/>
      </c>
      <c r="Z29" s="4">
        <f>'BALANCE SHEET'!H29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6">
        <f>'YTD BS'!O30</f>
        <v/>
      </c>
      <c r="P30" s="6">
        <f>'YTD BS'!P30</f>
        <v/>
      </c>
      <c r="Q30" s="6">
        <f>'YTD BS'!Q30</f>
        <v/>
      </c>
      <c r="R30" s="6">
        <f>'BALANCE SHEET'!F30</f>
        <v/>
      </c>
      <c r="S30" s="6">
        <f>'YTD BS'!S30</f>
        <v/>
      </c>
      <c r="T30" s="6">
        <f>'YTD BS'!T30</f>
        <v/>
      </c>
      <c r="U30" s="6">
        <f>'YTD BS'!U30</f>
        <v/>
      </c>
      <c r="V30" s="6">
        <f>'BALANCE SHEET'!G30</f>
        <v/>
      </c>
      <c r="W30" s="6">
        <f>'YTD BS'!W30</f>
        <v/>
      </c>
      <c r="X30" s="6">
        <f>'YTD BS'!X30</f>
        <v/>
      </c>
      <c r="Y30" s="6">
        <f>'YTD BS'!Y30</f>
        <v/>
      </c>
      <c r="Z30" s="6">
        <f>'BALANCE SHEET'!H30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4">
        <f>'YTD BS'!O31</f>
        <v/>
      </c>
      <c r="P31" s="4">
        <f>'YTD BS'!P31</f>
        <v/>
      </c>
      <c r="Q31" s="4">
        <f>'YTD BS'!Q31</f>
        <v/>
      </c>
      <c r="R31" s="4">
        <f>'BALANCE SHEET'!F31</f>
        <v/>
      </c>
      <c r="S31" s="4">
        <f>'YTD BS'!S31</f>
        <v/>
      </c>
      <c r="T31" s="4">
        <f>'YTD BS'!T31</f>
        <v/>
      </c>
      <c r="U31" s="4">
        <f>'YTD BS'!U31</f>
        <v/>
      </c>
      <c r="V31" s="4">
        <f>'BALANCE SHEET'!G31</f>
        <v/>
      </c>
      <c r="W31" s="4">
        <f>'YTD BS'!W31</f>
        <v/>
      </c>
      <c r="X31" s="4">
        <f>'YTD BS'!X31</f>
        <v/>
      </c>
      <c r="Y31" s="4">
        <f>'YTD BS'!Y31</f>
        <v/>
      </c>
      <c r="Z31" s="4">
        <f>'BALANCE SHEET'!H31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4">
        <f>'YTD BS'!O32</f>
        <v/>
      </c>
      <c r="P32" s="4">
        <f>'YTD BS'!P32</f>
        <v/>
      </c>
      <c r="Q32" s="4">
        <f>'YTD BS'!Q32</f>
        <v/>
      </c>
      <c r="R32" s="4">
        <f>'BALANCE SHEET'!F32</f>
        <v/>
      </c>
      <c r="S32" s="4">
        <f>'YTD BS'!S32</f>
        <v/>
      </c>
      <c r="T32" s="4">
        <f>'YTD BS'!T32</f>
        <v/>
      </c>
      <c r="U32" s="4">
        <f>'YTD BS'!U32</f>
        <v/>
      </c>
      <c r="V32" s="4">
        <f>'BALANCE SHEET'!G32</f>
        <v/>
      </c>
      <c r="W32" s="4">
        <f>'YTD BS'!W32</f>
        <v/>
      </c>
      <c r="X32" s="4">
        <f>'YTD BS'!X32</f>
        <v/>
      </c>
      <c r="Y32" s="4">
        <f>'YTD BS'!Y32</f>
        <v/>
      </c>
      <c r="Z32" s="4">
        <f>'BALANCE SHEET'!H32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4">
        <f>'YTD BS'!O33</f>
        <v/>
      </c>
      <c r="P33" s="4">
        <f>'YTD BS'!P33</f>
        <v/>
      </c>
      <c r="Q33" s="4">
        <f>'YTD BS'!Q33</f>
        <v/>
      </c>
      <c r="R33" s="4">
        <f>'BALANCE SHEET'!F33</f>
        <v/>
      </c>
      <c r="S33" s="4">
        <f>'YTD BS'!S33</f>
        <v/>
      </c>
      <c r="T33" s="4">
        <f>'YTD BS'!T33</f>
        <v/>
      </c>
      <c r="U33" s="4">
        <f>'YTD BS'!U33</f>
        <v/>
      </c>
      <c r="V33" s="4">
        <f>'BALANCE SHEET'!G33</f>
        <v/>
      </c>
      <c r="W33" s="4">
        <f>'YTD BS'!W33</f>
        <v/>
      </c>
      <c r="X33" s="4">
        <f>'YTD BS'!X33</f>
        <v/>
      </c>
      <c r="Y33" s="4">
        <f>'YTD BS'!Y33</f>
        <v/>
      </c>
      <c r="Z33" s="4">
        <f>'BALANCE SHEET'!H33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4">
        <f>'YTD BS'!O34</f>
        <v/>
      </c>
      <c r="P34" s="4">
        <f>'YTD BS'!P34</f>
        <v/>
      </c>
      <c r="Q34" s="4">
        <f>'YTD BS'!Q34</f>
        <v/>
      </c>
      <c r="R34" s="4">
        <f>'BALANCE SHEET'!F34</f>
        <v/>
      </c>
      <c r="S34" s="4">
        <f>'YTD BS'!S34</f>
        <v/>
      </c>
      <c r="T34" s="4">
        <f>'YTD BS'!T34</f>
        <v/>
      </c>
      <c r="U34" s="4">
        <f>'YTD BS'!U34</f>
        <v/>
      </c>
      <c r="V34" s="4">
        <f>'BALANCE SHEET'!G34</f>
        <v/>
      </c>
      <c r="W34" s="4">
        <f>'YTD BS'!W34</f>
        <v/>
      </c>
      <c r="X34" s="4">
        <f>'YTD BS'!X34</f>
        <v/>
      </c>
      <c r="Y34" s="4">
        <f>'YTD BS'!Y34</f>
        <v/>
      </c>
      <c r="Z34" s="4">
        <f>'BALANCE SHEET'!H34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4">
        <f>'YTD BS'!O35</f>
        <v/>
      </c>
      <c r="P35" s="4">
        <f>'YTD BS'!P35</f>
        <v/>
      </c>
      <c r="Q35" s="4">
        <f>'YTD BS'!Q35</f>
        <v/>
      </c>
      <c r="R35" s="4">
        <f>'BALANCE SHEET'!F35</f>
        <v/>
      </c>
      <c r="S35" s="4">
        <f>'YTD BS'!S35</f>
        <v/>
      </c>
      <c r="T35" s="4">
        <f>'YTD BS'!T35</f>
        <v/>
      </c>
      <c r="U35" s="4">
        <f>'YTD BS'!U35</f>
        <v/>
      </c>
      <c r="V35" s="4">
        <f>'BALANCE SHEET'!G35</f>
        <v/>
      </c>
      <c r="W35" s="4">
        <f>'YTD BS'!W35</f>
        <v/>
      </c>
      <c r="X35" s="4">
        <f>'YTD BS'!X35</f>
        <v/>
      </c>
      <c r="Y35" s="4">
        <f>'YTD BS'!Y35</f>
        <v/>
      </c>
      <c r="Z35" s="4">
        <f>'BALANCE SHEET'!H35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4">
        <f>'YTD BS'!O36</f>
        <v/>
      </c>
      <c r="P36" s="4">
        <f>'YTD BS'!P36</f>
        <v/>
      </c>
      <c r="Q36" s="4">
        <f>'YTD BS'!Q36</f>
        <v/>
      </c>
      <c r="R36" s="4">
        <f>'BALANCE SHEET'!F36</f>
        <v/>
      </c>
      <c r="S36" s="4">
        <f>'YTD BS'!S36</f>
        <v/>
      </c>
      <c r="T36" s="4">
        <f>'YTD BS'!T36</f>
        <v/>
      </c>
      <c r="U36" s="4">
        <f>'YTD BS'!U36</f>
        <v/>
      </c>
      <c r="V36" s="4">
        <f>'BALANCE SHEET'!G36</f>
        <v/>
      </c>
      <c r="W36" s="4">
        <f>'YTD BS'!W36</f>
        <v/>
      </c>
      <c r="X36" s="4">
        <f>'YTD BS'!X36</f>
        <v/>
      </c>
      <c r="Y36" s="4">
        <f>'YTD BS'!Y36</f>
        <v/>
      </c>
      <c r="Z36" s="4">
        <f>'BALANCE SHEET'!H36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6">
        <f>'YTD BS'!O37</f>
        <v/>
      </c>
      <c r="P37" s="6">
        <f>'YTD BS'!P37</f>
        <v/>
      </c>
      <c r="Q37" s="6">
        <f>'YTD BS'!Q37</f>
        <v/>
      </c>
      <c r="R37" s="6">
        <f>'BALANCE SHEET'!F37</f>
        <v/>
      </c>
      <c r="S37" s="6">
        <f>'YTD BS'!S37</f>
        <v/>
      </c>
      <c r="T37" s="6">
        <f>'YTD BS'!T37</f>
        <v/>
      </c>
      <c r="U37" s="6">
        <f>'YTD BS'!U37</f>
        <v/>
      </c>
      <c r="V37" s="6">
        <f>'BALANCE SHEET'!G37</f>
        <v/>
      </c>
      <c r="W37" s="6">
        <f>'YTD BS'!W37</f>
        <v/>
      </c>
      <c r="X37" s="6">
        <f>'YTD BS'!X37</f>
        <v/>
      </c>
      <c r="Y37" s="6">
        <f>'YTD BS'!Y37</f>
        <v/>
      </c>
      <c r="Z37" s="6">
        <f>'BALANCE SHEET'!H37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4">
        <f>'YTD BS'!O38</f>
        <v/>
      </c>
      <c r="P38" s="4">
        <f>'YTD BS'!P38</f>
        <v/>
      </c>
      <c r="Q38" s="4">
        <f>'YTD BS'!Q38</f>
        <v/>
      </c>
      <c r="R38" s="4">
        <f>'BALANCE SHEET'!F38</f>
        <v/>
      </c>
      <c r="S38" s="4">
        <f>'YTD BS'!S38</f>
        <v/>
      </c>
      <c r="T38" s="4">
        <f>'YTD BS'!T38</f>
        <v/>
      </c>
      <c r="U38" s="4">
        <f>'YTD BS'!U38</f>
        <v/>
      </c>
      <c r="V38" s="4">
        <f>'BALANCE SHEET'!G38</f>
        <v/>
      </c>
      <c r="W38" s="4">
        <f>'YTD BS'!W38</f>
        <v/>
      </c>
      <c r="X38" s="4">
        <f>'YTD BS'!X38</f>
        <v/>
      </c>
      <c r="Y38" s="4">
        <f>'YTD BS'!Y38</f>
        <v/>
      </c>
      <c r="Z38" s="4">
        <f>'BALANCE SHEET'!H38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4">
        <f>'YTD BS'!O39</f>
        <v/>
      </c>
      <c r="P39" s="4">
        <f>'YTD BS'!P39</f>
        <v/>
      </c>
      <c r="Q39" s="4">
        <f>'YTD BS'!Q39</f>
        <v/>
      </c>
      <c r="R39" s="4">
        <f>'BALANCE SHEET'!F39</f>
        <v/>
      </c>
      <c r="S39" s="4">
        <f>'YTD BS'!S39</f>
        <v/>
      </c>
      <c r="T39" s="4">
        <f>'YTD BS'!T39</f>
        <v/>
      </c>
      <c r="U39" s="4">
        <f>'YTD BS'!U39</f>
        <v/>
      </c>
      <c r="V39" s="4">
        <f>'BALANCE SHEET'!G39</f>
        <v/>
      </c>
      <c r="W39" s="4">
        <f>'YTD BS'!W39</f>
        <v/>
      </c>
      <c r="X39" s="4">
        <f>'YTD BS'!X39</f>
        <v/>
      </c>
      <c r="Y39" s="4">
        <f>'YTD BS'!Y39</f>
        <v/>
      </c>
      <c r="Z39" s="4">
        <f>'BALANCE SHEET'!H39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4">
        <f>'YTD BS'!O40</f>
        <v/>
      </c>
      <c r="P40" s="4">
        <f>'YTD BS'!P40</f>
        <v/>
      </c>
      <c r="Q40" s="4">
        <f>'YTD BS'!Q40</f>
        <v/>
      </c>
      <c r="R40" s="4">
        <f>'BALANCE SHEET'!F40</f>
        <v/>
      </c>
      <c r="S40" s="4">
        <f>'YTD BS'!S40</f>
        <v/>
      </c>
      <c r="T40" s="4">
        <f>'YTD BS'!T40</f>
        <v/>
      </c>
      <c r="U40" s="4">
        <f>'YTD BS'!U40</f>
        <v/>
      </c>
      <c r="V40" s="4">
        <f>'BALANCE SHEET'!G40</f>
        <v/>
      </c>
      <c r="W40" s="4">
        <f>'YTD BS'!W40</f>
        <v/>
      </c>
      <c r="X40" s="4">
        <f>'YTD BS'!X40</f>
        <v/>
      </c>
      <c r="Y40" s="4">
        <f>'YTD BS'!Y40</f>
        <v/>
      </c>
      <c r="Z40" s="4">
        <f>'BALANCE SHEET'!H40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4">
        <f>'YTD BS'!O41</f>
        <v/>
      </c>
      <c r="P41" s="4">
        <f>'YTD BS'!P41</f>
        <v/>
      </c>
      <c r="Q41" s="4">
        <f>'YTD BS'!Q41</f>
        <v/>
      </c>
      <c r="R41" s="4">
        <f>'BALANCE SHEET'!F41</f>
        <v/>
      </c>
      <c r="S41" s="4">
        <f>'YTD BS'!S41</f>
        <v/>
      </c>
      <c r="T41" s="4">
        <f>'YTD BS'!T41</f>
        <v/>
      </c>
      <c r="U41" s="4">
        <f>'YTD BS'!U41</f>
        <v/>
      </c>
      <c r="V41" s="4">
        <f>'BALANCE SHEET'!G41</f>
        <v/>
      </c>
      <c r="W41" s="4">
        <f>'YTD BS'!W41</f>
        <v/>
      </c>
      <c r="X41" s="4">
        <f>'YTD BS'!X41</f>
        <v/>
      </c>
      <c r="Y41" s="4">
        <f>'YTD BS'!Y41</f>
        <v/>
      </c>
      <c r="Z41" s="4">
        <f>'BALANCE SHEET'!H41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4">
        <f>'YTD BS'!O42</f>
        <v/>
      </c>
      <c r="P42" s="4">
        <f>'YTD BS'!P42</f>
        <v/>
      </c>
      <c r="Q42" s="4">
        <f>'YTD BS'!Q42</f>
        <v/>
      </c>
      <c r="R42" s="4">
        <f>'BALANCE SHEET'!F42</f>
        <v/>
      </c>
      <c r="S42" s="4">
        <f>'YTD BS'!S42</f>
        <v/>
      </c>
      <c r="T42" s="4">
        <f>'YTD BS'!T42</f>
        <v/>
      </c>
      <c r="U42" s="4">
        <f>'YTD BS'!U42</f>
        <v/>
      </c>
      <c r="V42" s="4">
        <f>'BALANCE SHEET'!G42</f>
        <v/>
      </c>
      <c r="W42" s="4">
        <f>'YTD BS'!W42</f>
        <v/>
      </c>
      <c r="X42" s="4">
        <f>'YTD BS'!X42</f>
        <v/>
      </c>
      <c r="Y42" s="4">
        <f>'YTD BS'!Y42</f>
        <v/>
      </c>
      <c r="Z42" s="4">
        <f>'BALANCE SHEET'!H42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4">
        <f>'YTD BS'!O43</f>
        <v/>
      </c>
      <c r="P43" s="4">
        <f>'YTD BS'!P43</f>
        <v/>
      </c>
      <c r="Q43" s="4">
        <f>'YTD BS'!Q43</f>
        <v/>
      </c>
      <c r="R43" s="4">
        <f>'BALANCE SHEET'!F43</f>
        <v/>
      </c>
      <c r="S43" s="4">
        <f>'YTD BS'!S43</f>
        <v/>
      </c>
      <c r="T43" s="4">
        <f>'YTD BS'!T43</f>
        <v/>
      </c>
      <c r="U43" s="4">
        <f>'YTD BS'!U43</f>
        <v/>
      </c>
      <c r="V43" s="4">
        <f>'BALANCE SHEET'!G43</f>
        <v/>
      </c>
      <c r="W43" s="4">
        <f>'YTD BS'!W43</f>
        <v/>
      </c>
      <c r="X43" s="4">
        <f>'YTD BS'!X43</f>
        <v/>
      </c>
      <c r="Y43" s="4">
        <f>'YTD BS'!Y43</f>
        <v/>
      </c>
      <c r="Z43" s="4">
        <f>'BALANCE SHEET'!H43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6">
        <f>'YTD BS'!O44</f>
        <v/>
      </c>
      <c r="P44" s="6">
        <f>'YTD BS'!P44</f>
        <v/>
      </c>
      <c r="Q44" s="6">
        <f>'YTD BS'!Q44</f>
        <v/>
      </c>
      <c r="R44" s="6">
        <f>'BALANCE SHEET'!F44</f>
        <v/>
      </c>
      <c r="S44" s="6">
        <f>'YTD BS'!S44</f>
        <v/>
      </c>
      <c r="T44" s="6">
        <f>'YTD BS'!T44</f>
        <v/>
      </c>
      <c r="U44" s="6">
        <f>'YTD BS'!U44</f>
        <v/>
      </c>
      <c r="V44" s="6">
        <f>'BALANCE SHEET'!G44</f>
        <v/>
      </c>
      <c r="W44" s="6">
        <f>'YTD BS'!W44</f>
        <v/>
      </c>
      <c r="X44" s="6">
        <f>'YTD BS'!X44</f>
        <v/>
      </c>
      <c r="Y44" s="6">
        <f>'YTD BS'!Y44</f>
        <v/>
      </c>
      <c r="Z44" s="6">
        <f>'BALANCE SHEET'!H44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6">
        <f>'YTD BS'!O45</f>
        <v/>
      </c>
      <c r="P45" s="6">
        <f>'YTD BS'!P45</f>
        <v/>
      </c>
      <c r="Q45" s="6">
        <f>'YTD BS'!Q45</f>
        <v/>
      </c>
      <c r="R45" s="6">
        <f>'BALANCE SHEET'!F45</f>
        <v/>
      </c>
      <c r="S45" s="6">
        <f>'YTD BS'!S45</f>
        <v/>
      </c>
      <c r="T45" s="6">
        <f>'YTD BS'!T45</f>
        <v/>
      </c>
      <c r="U45" s="6">
        <f>'YTD BS'!U45</f>
        <v/>
      </c>
      <c r="V45" s="6">
        <f>'BALANCE SHEET'!G45</f>
        <v/>
      </c>
      <c r="W45" s="6">
        <f>'YTD BS'!W45</f>
        <v/>
      </c>
      <c r="X45" s="6">
        <f>'YTD BS'!X45</f>
        <v/>
      </c>
      <c r="Y45" s="6">
        <f>'YTD BS'!Y45</f>
        <v/>
      </c>
      <c r="Z45" s="6">
        <f>'BALANCE SHEET'!H45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/>
      <c r="B1" s="2" t="inlineStr">
        <is>
          <t>Q1 FY2020</t>
        </is>
      </c>
      <c r="C1" s="2" t="inlineStr">
        <is>
          <t>Q2 FY2020</t>
        </is>
      </c>
      <c r="D1" s="2" t="inlineStr">
        <is>
          <t>Q3 FY2020</t>
        </is>
      </c>
      <c r="E1" s="2" t="inlineStr">
        <is>
          <t>Q4 FY2020</t>
        </is>
      </c>
      <c r="F1" s="2" t="inlineStr">
        <is>
          <t>Q1 FY2021</t>
        </is>
      </c>
      <c r="G1" s="2" t="inlineStr">
        <is>
          <t>Q2 FY2021</t>
        </is>
      </c>
      <c r="H1" s="2" t="inlineStr">
        <is>
          <t>Q3 FY2021</t>
        </is>
      </c>
      <c r="I1" s="2" t="inlineStr">
        <is>
          <t>Q4 FY2021</t>
        </is>
      </c>
      <c r="J1" s="2" t="inlineStr">
        <is>
          <t>Q1 FY2022</t>
        </is>
      </c>
      <c r="K1" s="2" t="inlineStr">
        <is>
          <t>Q2 FY2022</t>
        </is>
      </c>
      <c r="L1" s="2" t="inlineStr">
        <is>
          <t>Q3 FY2022</t>
        </is>
      </c>
      <c r="M1" s="2" t="inlineStr">
        <is>
          <t>Q4 FY2022</t>
        </is>
      </c>
      <c r="N1" s="2" t="inlineStr">
        <is>
          <t>Q1 FY2023</t>
        </is>
      </c>
      <c r="O1" s="2" t="inlineStr">
        <is>
          <t>Q2 FY2023</t>
        </is>
      </c>
      <c r="P1" s="2" t="inlineStr">
        <is>
          <t>Q3 FY2023</t>
        </is>
      </c>
      <c r="Q1" s="2" t="inlineStr">
        <is>
          <t>Q4 FY2023</t>
        </is>
      </c>
      <c r="R1" s="2" t="inlineStr">
        <is>
          <t>Q1 FY2024</t>
        </is>
      </c>
      <c r="S1" s="2" t="inlineStr">
        <is>
          <t>Q2 FY2024</t>
        </is>
      </c>
      <c r="T1" s="2" t="inlineStr">
        <is>
          <t>Q3 FY2024</t>
        </is>
      </c>
      <c r="U1" s="2" t="inlineStr">
        <is>
          <t>Q4 FY2024</t>
        </is>
      </c>
      <c r="V1" s="2" t="inlineStr">
        <is>
          <t>Q1 FY2025</t>
        </is>
      </c>
      <c r="W1" s="2" t="inlineStr">
        <is>
          <t>Q2 FY2025</t>
        </is>
      </c>
      <c r="X1" s="2" t="inlineStr">
        <is>
          <t>Q3 FY2025</t>
        </is>
      </c>
      <c r="Y1" s="2" t="inlineStr">
        <is>
          <t>Q4 FY2025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4">
        <f>'YTD CF'!P2-'YTD CF'!O2</f>
        <v/>
      </c>
      <c r="U2" s="4">
        <f>'CASH FLOW'!G2-'YTD CF'!P2</f>
        <v/>
      </c>
      <c r="V2" s="4">
        <f>'YTD CF'!Q2</f>
        <v/>
      </c>
      <c r="W2" s="4">
        <f>'YTD CF'!R2-'YTD CF'!Q2</f>
        <v/>
      </c>
      <c r="X2" s="4">
        <f>'YTD CF'!S2-'YTD CF'!R2</f>
        <v/>
      </c>
      <c r="Y2" s="4">
        <f>'CASH FLOW'!H2-'YTD CF'!S2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4">
        <f>'YTD CF'!P3-'YTD CF'!O3</f>
        <v/>
      </c>
      <c r="U3" s="4">
        <f>'CASH FLOW'!G3-'YTD CF'!P3</f>
        <v/>
      </c>
      <c r="V3" s="4">
        <f>'YTD CF'!Q3</f>
        <v/>
      </c>
      <c r="W3" s="4">
        <f>'YTD CF'!R3-'YTD CF'!Q3</f>
        <v/>
      </c>
      <c r="X3" s="4">
        <f>'YTD CF'!S3-'YTD CF'!R3</f>
        <v/>
      </c>
      <c r="Y3" s="4">
        <f>'CASH FLOW'!H3-'YTD CF'!S3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4">
        <f>'YTD CF'!P4-'YTD CF'!O4</f>
        <v/>
      </c>
      <c r="U4" s="4">
        <f>'CASH FLOW'!G4-'YTD CF'!P4</f>
        <v/>
      </c>
      <c r="V4" s="4">
        <f>'YTD CF'!Q4</f>
        <v/>
      </c>
      <c r="W4" s="4">
        <f>'YTD CF'!R4-'YTD CF'!Q4</f>
        <v/>
      </c>
      <c r="X4" s="4">
        <f>'YTD CF'!S4-'YTD CF'!R4</f>
        <v/>
      </c>
      <c r="Y4" s="4">
        <f>'CASH FLOW'!H4-'YTD CF'!S4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FLOW'!C6-'YTD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FLOW'!D6-'YTD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FLOW'!E6-'YTD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FLOW'!F6-'YTD CF'!M5</f>
        <v/>
      </c>
      <c r="R5" s="4">
        <f>'YTD CF'!N5</f>
        <v/>
      </c>
      <c r="S5" s="4">
        <f>'YTD CF'!O5-'YTD CF'!N5</f>
        <v/>
      </c>
      <c r="T5" s="4">
        <f>'YTD CF'!P5-'YTD CF'!O5</f>
        <v/>
      </c>
      <c r="U5" s="4">
        <f>'CASH FLOW'!G6-'YTD CF'!P5</f>
        <v/>
      </c>
      <c r="V5" s="4">
        <f>'YTD CF'!Q5</f>
        <v/>
      </c>
      <c r="W5" s="4">
        <f>'YTD CF'!R5-'YTD CF'!Q5</f>
        <v/>
      </c>
      <c r="X5" s="4">
        <f>'YTD CF'!S5-'YTD CF'!R5</f>
        <v/>
      </c>
      <c r="Y5" s="4">
        <f>'CASH FLOW'!H6-'YTD CF'!S5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FLOW'!C5-'YTD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FLOW'!D5-'YTD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FLOW'!E5-'YTD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FLOW'!F5-'YTD CF'!M6</f>
        <v/>
      </c>
      <c r="R6" s="4">
        <f>'YTD CF'!N6</f>
        <v/>
      </c>
      <c r="S6" s="4">
        <f>'YTD CF'!O6-'YTD CF'!N6</f>
        <v/>
      </c>
      <c r="T6" s="4">
        <f>'YTD CF'!P6-'YTD CF'!O6</f>
        <v/>
      </c>
      <c r="U6" s="4">
        <f>'CASH FLOW'!G5-'YTD CF'!P6</f>
        <v/>
      </c>
      <c r="V6" s="4">
        <f>'YTD CF'!Q6</f>
        <v/>
      </c>
      <c r="W6" s="4">
        <f>'YTD CF'!R6-'YTD CF'!Q6</f>
        <v/>
      </c>
      <c r="X6" s="4">
        <f>'YTD CF'!S6-'YTD CF'!R6</f>
        <v/>
      </c>
      <c r="Y6" s="4">
        <f>'CASH FLOW'!H5-'YTD CF'!S6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4">
        <f>'YTD CF'!P7-'YTD CF'!O7</f>
        <v/>
      </c>
      <c r="U7" s="4">
        <f>'CASH FLOW'!G7-'YTD CF'!P7</f>
        <v/>
      </c>
      <c r="V7" s="4">
        <f>'YTD CF'!Q7</f>
        <v/>
      </c>
      <c r="W7" s="4">
        <f>'YTD CF'!R7-'YTD CF'!Q7</f>
        <v/>
      </c>
      <c r="X7" s="4">
        <f>'YTD CF'!S7-'YTD CF'!R7</f>
        <v/>
      </c>
      <c r="Y7" s="4">
        <f>'CASH FLOW'!H7-'YTD CF'!S7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4">
        <f>'YTD CF'!P8-'YTD CF'!O8</f>
        <v/>
      </c>
      <c r="U8" s="4">
        <f>'CASH FLOW'!G8-'YTD CF'!P8</f>
        <v/>
      </c>
      <c r="V8" s="4">
        <f>'YTD CF'!Q8</f>
        <v/>
      </c>
      <c r="W8" s="4">
        <f>'YTD CF'!R8-'YTD CF'!Q8</f>
        <v/>
      </c>
      <c r="X8" s="4">
        <f>'YTD CF'!S8-'YTD CF'!R8</f>
        <v/>
      </c>
      <c r="Y8" s="4">
        <f>'CASH FLOW'!H8-'YTD CF'!S8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4">
        <f>'YTD CF'!P9-'YTD CF'!O9</f>
        <v/>
      </c>
      <c r="U9" s="4">
        <f>'CASH FLOW'!G9-'YTD CF'!P9</f>
        <v/>
      </c>
      <c r="V9" s="4">
        <f>'YTD CF'!Q9</f>
        <v/>
      </c>
      <c r="W9" s="4">
        <f>'YTD CF'!R9-'YTD CF'!Q9</f>
        <v/>
      </c>
      <c r="X9" s="4">
        <f>'YTD CF'!S9-'YTD CF'!R9</f>
        <v/>
      </c>
      <c r="Y9" s="4">
        <f>'CASH FLOW'!H9-'YTD CF'!S9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4">
        <f>'YTD CF'!P10-'YTD CF'!O10</f>
        <v/>
      </c>
      <c r="U10" s="4">
        <f>'CASH FLOW'!G10-'YTD CF'!P10</f>
        <v/>
      </c>
      <c r="V10" s="4">
        <f>'YTD CF'!Q10</f>
        <v/>
      </c>
      <c r="W10" s="4">
        <f>'YTD CF'!R10-'YTD CF'!Q10</f>
        <v/>
      </c>
      <c r="X10" s="4">
        <f>'YTD CF'!S10-'YTD CF'!R10</f>
        <v/>
      </c>
      <c r="Y10" s="4">
        <f>'CASH FLOW'!H10-'YTD CF'!S10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4">
        <f>'YTD CF'!P11-'YTD CF'!O11</f>
        <v/>
      </c>
      <c r="U11" s="4">
        <f>'CASH FLOW'!G11-'YTD CF'!P11</f>
        <v/>
      </c>
      <c r="V11" s="4">
        <f>'YTD CF'!Q11</f>
        <v/>
      </c>
      <c r="W11" s="4">
        <f>'YTD CF'!R11-'YTD CF'!Q11</f>
        <v/>
      </c>
      <c r="X11" s="4">
        <f>'YTD CF'!S11-'YTD CF'!R11</f>
        <v/>
      </c>
      <c r="Y11" s="4">
        <f>'CASH FLOW'!H11-'YTD CF'!S11</f>
        <v/>
      </c>
    </row>
    <row r="12">
      <c r="A12" s="3" t="inlineStr">
        <is>
          <t>Gain on China Transaction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  <c r="T12" s="4">
        <f>'YTD CF'!P12-'YTD CF'!O12</f>
        <v/>
      </c>
      <c r="U12" s="4">
        <f>'CASH FLOW'!G12-'YTD CF'!P12</f>
        <v/>
      </c>
      <c r="V12" s="4">
        <f>'YTD CF'!Q12</f>
        <v/>
      </c>
      <c r="W12" s="4">
        <f>'YTD CF'!R12-'YTD CF'!Q12</f>
        <v/>
      </c>
      <c r="X12" s="4">
        <f>'YTD CF'!S12-'YTD CF'!R12</f>
        <v/>
      </c>
      <c r="Y12" s="4">
        <f>'CASH FLOW'!H12-'YTD CF'!S12</f>
        <v/>
      </c>
    </row>
    <row r="13">
      <c r="A13" s="3" t="inlineStr">
        <is>
          <t>Gain (Loss) on Lease Cancellations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FLOW'!C15-'YTD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FLOW'!D15-'YTD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FLOW'!E15-'YTD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FLOW'!F15-'YTD CF'!M13</f>
        <v/>
      </c>
      <c r="R13" s="4">
        <f>'YTD CF'!N13</f>
        <v/>
      </c>
      <c r="S13" s="4">
        <f>'YTD CF'!O13-'YTD CF'!N13</f>
        <v/>
      </c>
      <c r="T13" s="4">
        <f>'YTD CF'!P13-'YTD CF'!O13</f>
        <v/>
      </c>
      <c r="U13" s="4">
        <f>'CASH FLOW'!G15-'YTD CF'!P13</f>
        <v/>
      </c>
      <c r="V13" s="4">
        <f>'YTD CF'!Q13</f>
        <v/>
      </c>
      <c r="W13" s="4">
        <f>'YTD CF'!R13-'YTD CF'!Q13</f>
        <v/>
      </c>
      <c r="X13" s="4">
        <f>'YTD CF'!S13-'YTD CF'!R13</f>
        <v/>
      </c>
      <c r="Y13" s="4">
        <f>'CASH FLOW'!H15-'YTD CF'!S13</f>
        <v/>
      </c>
    </row>
    <row r="14">
      <c r="A14" s="3" t="inlineStr">
        <is>
          <t>(Benefit) Provision for Deferred Income Taxes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FLOW'!C13-'YTD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FLOW'!D13-'YTD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FLOW'!E13-'YTD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FLOW'!F13-'YTD CF'!M14</f>
        <v/>
      </c>
      <c r="R14" s="4">
        <f>'YTD CF'!N14</f>
        <v/>
      </c>
      <c r="S14" s="4">
        <f>'YTD CF'!O14-'YTD CF'!N14</f>
        <v/>
      </c>
      <c r="T14" s="4">
        <f>'YTD CF'!P14-'YTD CF'!O14</f>
        <v/>
      </c>
      <c r="U14" s="4">
        <f>'CASH FLOW'!G13-'YTD CF'!P14</f>
        <v/>
      </c>
      <c r="V14" s="4">
        <f>'YTD CF'!Q14</f>
        <v/>
      </c>
      <c r="W14" s="4">
        <f>'YTD CF'!R14-'YTD CF'!Q14</f>
        <v/>
      </c>
      <c r="X14" s="4">
        <f>'YTD CF'!S14-'YTD CF'!R14</f>
        <v/>
      </c>
      <c r="Y14" s="4">
        <f>'CASH FLOW'!H13-'YTD CF'!S14</f>
        <v/>
      </c>
    </row>
    <row r="15">
      <c r="A15" s="3" t="inlineStr">
        <is>
          <t>Foreign Currency Gain (Loss)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FLOW'!C14-'YTD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FLOW'!D14-'YTD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FLOW'!E14-'YTD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FLOW'!F14-'YTD CF'!M15</f>
        <v/>
      </c>
      <c r="R15" s="4">
        <f>'YTD CF'!N15</f>
        <v/>
      </c>
      <c r="S15" s="4">
        <f>'YTD CF'!O15-'YTD CF'!N15</f>
        <v/>
      </c>
      <c r="T15" s="4">
        <f>'YTD CF'!P15-'YTD CF'!O15</f>
        <v/>
      </c>
      <c r="U15" s="4">
        <f>'CASH FLOW'!G14-'YTD CF'!P15</f>
        <v/>
      </c>
      <c r="V15" s="4">
        <f>'YTD CF'!Q15</f>
        <v/>
      </c>
      <c r="W15" s="4">
        <f>'YTD CF'!R15-'YTD CF'!Q15</f>
        <v/>
      </c>
      <c r="X15" s="4">
        <f>'YTD CF'!S15-'YTD CF'!R15</f>
        <v/>
      </c>
      <c r="Y15" s="4">
        <f>'CASH FLOW'!H14-'YTD CF'!S15</f>
        <v/>
      </c>
    </row>
    <row r="16">
      <c r="A16" s="3" t="inlineStr">
        <is>
          <t>Change in Fair Value of Contingent Consideration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  <c r="T16" s="4">
        <f>'YTD CF'!P16-'YTD CF'!O16</f>
        <v/>
      </c>
      <c r="U16" s="4">
        <f>'CASH FLOW'!G16-'YTD CF'!P16</f>
        <v/>
      </c>
      <c r="V16" s="4">
        <f>'YTD CF'!Q16</f>
        <v/>
      </c>
      <c r="W16" s="4">
        <f>'YTD CF'!R16-'YTD CF'!Q16</f>
        <v/>
      </c>
      <c r="X16" s="4">
        <f>'YTD CF'!S16-'YTD CF'!R16</f>
        <v/>
      </c>
      <c r="Y16" s="4">
        <f>'CASH FLOW'!H16-'YTD CF'!S16</f>
        <v/>
      </c>
    </row>
    <row r="17">
      <c r="A17" s="3" t="inlineStr">
        <is>
          <t>Gain (Loss) on Extinguishment of Debt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  <c r="T17" s="4">
        <f>'YTD CF'!P17-'YTD CF'!O17</f>
        <v/>
      </c>
      <c r="U17" s="4">
        <f>'CASH FLOW'!G17-'YTD CF'!P17</f>
        <v/>
      </c>
      <c r="V17" s="4">
        <f>'YTD CF'!Q17</f>
        <v/>
      </c>
      <c r="W17" s="4">
        <f>'YTD CF'!R17-'YTD CF'!Q17</f>
        <v/>
      </c>
      <c r="X17" s="4">
        <f>'YTD CF'!S17-'YTD CF'!R17</f>
        <v/>
      </c>
      <c r="Y17" s="4">
        <f>'CASH FLOW'!H17-'YTD CF'!S17</f>
        <v/>
      </c>
    </row>
    <row r="18">
      <c r="A18" s="3" t="inlineStr">
        <is>
          <t>Other Operating Items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4">
        <f>'YTD CF'!O18-'YTD CF'!N18</f>
        <v/>
      </c>
      <c r="T18" s="4">
        <f>'YTD CF'!P18-'YTD CF'!O18</f>
        <v/>
      </c>
      <c r="U18" s="4">
        <f>'CASH FLOW'!G18-'YTD CF'!P18</f>
        <v/>
      </c>
      <c r="V18" s="4">
        <f>'YTD CF'!Q18</f>
        <v/>
      </c>
      <c r="W18" s="4">
        <f>'YTD CF'!R18-'YTD CF'!Q18</f>
        <v/>
      </c>
      <c r="X18" s="4">
        <f>'YTD CF'!S18-'YTD CF'!R18</f>
        <v/>
      </c>
      <c r="Y18" s="4">
        <f>'CASH FLOW'!H18-'YTD CF'!S18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FLOW'!C19-'YTD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FLOW'!D19-'YTD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FLOW'!E19-'YTD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FLOW'!F19-'YTD CF'!M19</f>
        <v/>
      </c>
      <c r="R19" s="4">
        <f>'YTD CF'!N19</f>
        <v/>
      </c>
      <c r="S19" s="4">
        <f>'YTD CF'!O19-'YTD CF'!N19</f>
        <v/>
      </c>
      <c r="T19" s="4">
        <f>'YTD CF'!P19-'YTD CF'!O19</f>
        <v/>
      </c>
      <c r="U19" s="4">
        <f>'CASH FLOW'!G19-'YTD CF'!P19</f>
        <v/>
      </c>
      <c r="V19" s="4">
        <f>'YTD CF'!Q19</f>
        <v/>
      </c>
      <c r="W19" s="4">
        <f>'YTD CF'!R19-'YTD CF'!Q19</f>
        <v/>
      </c>
      <c r="X19" s="4">
        <f>'YTD CF'!S19-'YTD CF'!R19</f>
        <v/>
      </c>
      <c r="Y19" s="4">
        <f>'CASH FLOW'!H19-'YTD CF'!S19</f>
        <v/>
      </c>
    </row>
    <row r="20">
      <c r="A20" s="3" t="inlineStr">
        <is>
          <t>Note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4">
        <f>'YTD CF'!O20-'YTD CF'!N20</f>
        <v/>
      </c>
      <c r="T20" s="4">
        <f>'YTD CF'!P20-'YTD CF'!O20</f>
        <v/>
      </c>
      <c r="U20" s="4">
        <f>'CASH FLOW'!G20-'YTD CF'!P20</f>
        <v/>
      </c>
      <c r="V20" s="4">
        <f>'YTD CF'!Q20</f>
        <v/>
      </c>
      <c r="W20" s="4">
        <f>'YTD CF'!R20-'YTD CF'!Q20</f>
        <v/>
      </c>
      <c r="X20" s="4">
        <f>'YTD CF'!S20-'YTD CF'!R20</f>
        <v/>
      </c>
      <c r="Y20" s="4">
        <f>'CASH FLOW'!H20-'YTD CF'!S20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4">
        <f>'YTD CF'!O21-'YTD CF'!N21</f>
        <v/>
      </c>
      <c r="T21" s="4">
        <f>'YTD CF'!P21-'YTD CF'!O21</f>
        <v/>
      </c>
      <c r="U21" s="4">
        <f>'CASH FLOW'!G21-'YTD CF'!P21</f>
        <v/>
      </c>
      <c r="V21" s="4">
        <f>'YTD CF'!Q21</f>
        <v/>
      </c>
      <c r="W21" s="4">
        <f>'YTD CF'!R21-'YTD CF'!Q21</f>
        <v/>
      </c>
      <c r="X21" s="4">
        <f>'YTD CF'!S21-'YTD CF'!R21</f>
        <v/>
      </c>
      <c r="Y21" s="4">
        <f>'CASH FLOW'!H21-'YTD CF'!S21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4">
        <f>'YTD CF'!O22-'YTD CF'!N22</f>
        <v/>
      </c>
      <c r="T22" s="4">
        <f>'YTD CF'!P22-'YTD CF'!O22</f>
        <v/>
      </c>
      <c r="U22" s="4">
        <f>'CASH FLOW'!G22-'YTD CF'!P22</f>
        <v/>
      </c>
      <c r="V22" s="4">
        <f>'YTD CF'!Q22</f>
        <v/>
      </c>
      <c r="W22" s="4">
        <f>'YTD CF'!R22-'YTD CF'!Q22</f>
        <v/>
      </c>
      <c r="X22" s="4">
        <f>'YTD CF'!S22-'YTD CF'!R22</f>
        <v/>
      </c>
      <c r="Y22" s="4">
        <f>'CASH FLOW'!H22-'YTD CF'!S22</f>
        <v/>
      </c>
    </row>
    <row r="23">
      <c r="A23" s="3" t="inlineStr">
        <is>
          <t>Change in A/P and Accrued (legacy)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4">
        <f>'YTD CF'!O23-'YTD CF'!N23</f>
        <v/>
      </c>
      <c r="T23" s="4">
        <f>'YTD CF'!P23-'YTD CF'!O23</f>
        <v/>
      </c>
      <c r="U23" s="4">
        <f>'CASH FLOW'!G23-'YTD CF'!P23</f>
        <v/>
      </c>
      <c r="V23" s="4">
        <f>'YTD CF'!Q23</f>
        <v/>
      </c>
      <c r="W23" s="4">
        <f>'YTD CF'!R23-'YTD CF'!Q23</f>
        <v/>
      </c>
      <c r="X23" s="4">
        <f>'YTD CF'!S23-'YTD CF'!R23</f>
        <v/>
      </c>
      <c r="Y23" s="4">
        <f>'CASH FLOW'!H23-'YTD CF'!S23</f>
        <v/>
      </c>
    </row>
    <row r="24">
      <c r="A24" s="3" t="inlineStr">
        <is>
          <t>Other Non-Current Assets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4">
        <f>'YTD CF'!O24-'YTD CF'!N24</f>
        <v/>
      </c>
      <c r="T24" s="4">
        <f>'YTD CF'!P24-'YTD CF'!O24</f>
        <v/>
      </c>
      <c r="U24" s="4">
        <f>'CASH FLOW'!G24-'YTD CF'!P24</f>
        <v/>
      </c>
      <c r="V24" s="4">
        <f>'YTD CF'!Q24</f>
        <v/>
      </c>
      <c r="W24" s="4">
        <f>'YTD CF'!R24-'YTD CF'!Q24</f>
        <v/>
      </c>
      <c r="X24" s="4">
        <f>'YTD CF'!S24-'YTD CF'!R24</f>
        <v/>
      </c>
      <c r="Y24" s="4">
        <f>'CASH FLOW'!H24-'YTD CF'!S24</f>
        <v/>
      </c>
    </row>
    <row r="25">
      <c r="A25" s="3" t="inlineStr">
        <is>
          <t>Accounts Payable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4">
        <f>'YTD CF'!O25-'YTD CF'!N25</f>
        <v/>
      </c>
      <c r="T25" s="4">
        <f>'YTD CF'!P25-'YTD CF'!O25</f>
        <v/>
      </c>
      <c r="U25" s="4">
        <f>'CASH FLOW'!G25-'YTD CF'!P25</f>
        <v/>
      </c>
      <c r="V25" s="4">
        <f>'YTD CF'!Q25</f>
        <v/>
      </c>
      <c r="W25" s="4">
        <f>'YTD CF'!R25-'YTD CF'!Q25</f>
        <v/>
      </c>
      <c r="X25" s="4">
        <f>'YTD CF'!S25-'YTD CF'!R25</f>
        <v/>
      </c>
      <c r="Y25" s="4">
        <f>'CASH FLOW'!H25-'YTD CF'!S25</f>
        <v/>
      </c>
    </row>
    <row r="26">
      <c r="A26" s="3" t="inlineStr">
        <is>
          <t>Accrued Expenses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FLOW'!C26-'YTD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FLOW'!D26-'YTD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FLOW'!E26-'YTD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FLOW'!F26-'YTD CF'!M26</f>
        <v/>
      </c>
      <c r="R26" s="4">
        <f>'YTD CF'!N26</f>
        <v/>
      </c>
      <c r="S26" s="4">
        <f>'YTD CF'!O26-'YTD CF'!N26</f>
        <v/>
      </c>
      <c r="T26" s="4">
        <f>'YTD CF'!P26-'YTD CF'!O26</f>
        <v/>
      </c>
      <c r="U26" s="4">
        <f>'CASH FLOW'!G26-'YTD CF'!P26</f>
        <v/>
      </c>
      <c r="V26" s="4">
        <f>'YTD CF'!Q26</f>
        <v/>
      </c>
      <c r="W26" s="4">
        <f>'YTD CF'!R26-'YTD CF'!Q26</f>
        <v/>
      </c>
      <c r="X26" s="4">
        <f>'YTD CF'!S26-'YTD CF'!R26</f>
        <v/>
      </c>
      <c r="Y26" s="4">
        <f>'CASH FLOW'!H26-'YTD CF'!S26</f>
        <v/>
      </c>
    </row>
    <row r="27">
      <c r="A27" s="3" t="inlineStr">
        <is>
          <t>Change in Income Taxes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4">
        <f>'YTD CF'!O27-'YTD CF'!N27</f>
        <v/>
      </c>
      <c r="T27" s="4">
        <f>'YTD CF'!P27-'YTD CF'!O27</f>
        <v/>
      </c>
      <c r="U27" s="4">
        <f>'CASH FLOW'!G27-'YTD CF'!P27</f>
        <v/>
      </c>
      <c r="V27" s="4">
        <f>'YTD CF'!Q27</f>
        <v/>
      </c>
      <c r="W27" s="4">
        <f>'YTD CF'!R27-'YTD CF'!Q27</f>
        <v/>
      </c>
      <c r="X27" s="4">
        <f>'YTD CF'!S27-'YTD CF'!R27</f>
        <v/>
      </c>
      <c r="Y27" s="4">
        <f>'CASH FLOW'!H27-'YTD CF'!S27</f>
        <v/>
      </c>
    </row>
    <row r="28">
      <c r="A28" s="3" t="inlineStr">
        <is>
          <t>Accrued Promotional Allowance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4">
        <f>'YTD CF'!N28</f>
        <v/>
      </c>
      <c r="S28" s="4">
        <f>'YTD CF'!O28-'YTD CF'!N28</f>
        <v/>
      </c>
      <c r="T28" s="4">
        <f>'YTD CF'!P28-'YTD CF'!O28</f>
        <v/>
      </c>
      <c r="U28" s="4">
        <f>'CASH FLOW'!G28-'YTD CF'!P28</f>
        <v/>
      </c>
      <c r="V28" s="4">
        <f>'YTD CF'!Q28</f>
        <v/>
      </c>
      <c r="W28" s="4">
        <f>'YTD CF'!R28-'YTD CF'!Q28</f>
        <v/>
      </c>
      <c r="X28" s="4">
        <f>'YTD CF'!S28-'YTD CF'!R28</f>
        <v/>
      </c>
      <c r="Y28" s="4">
        <f>'CASH FLOW'!H28-'YTD CF'!S28</f>
        <v/>
      </c>
    </row>
    <row r="29">
      <c r="A29" s="3" t="inlineStr">
        <is>
          <t>Accrued Distributor Termination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4">
        <f>'YTD CF'!O29-'YTD CF'!N29</f>
        <v/>
      </c>
      <c r="T29" s="4">
        <f>'YTD CF'!P29-'YTD CF'!O29</f>
        <v/>
      </c>
      <c r="U29" s="4">
        <f>'CASH FLOW'!G29-'YTD CF'!P29</f>
        <v/>
      </c>
      <c r="V29" s="4">
        <f>'YTD CF'!Q29</f>
        <v/>
      </c>
      <c r="W29" s="4">
        <f>'YTD CF'!R29-'YTD CF'!Q29</f>
        <v/>
      </c>
      <c r="X29" s="4">
        <f>'YTD CF'!S29-'YTD CF'!R29</f>
        <v/>
      </c>
      <c r="Y29" s="4">
        <f>'CASH FLOW'!H29-'YTD CF'!S29</f>
        <v/>
      </c>
    </row>
    <row r="30">
      <c r="A30" s="3" t="inlineStr">
        <is>
          <t>Other Current Liabilities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4">
        <f>'YTD CF'!N30</f>
        <v/>
      </c>
      <c r="S30" s="4">
        <f>'YTD CF'!O30-'YTD CF'!N30</f>
        <v/>
      </c>
      <c r="T30" s="4">
        <f>'YTD CF'!P30-'YTD CF'!O30</f>
        <v/>
      </c>
      <c r="U30" s="4">
        <f>'CASH FLOW'!G30-'YTD CF'!P30</f>
        <v/>
      </c>
      <c r="V30" s="4">
        <f>'YTD CF'!Q30</f>
        <v/>
      </c>
      <c r="W30" s="4">
        <f>'YTD CF'!R30-'YTD CF'!Q30</f>
        <v/>
      </c>
      <c r="X30" s="4">
        <f>'YTD CF'!S30-'YTD CF'!R30</f>
        <v/>
      </c>
      <c r="Y30" s="4">
        <f>'CASH FLOW'!H30-'YTD CF'!S30</f>
        <v/>
      </c>
    </row>
    <row r="31">
      <c r="A31" s="3" t="inlineStr">
        <is>
          <t>ROU &amp; Lease Liability, Net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4">
        <f>'YTD CF'!N31</f>
        <v/>
      </c>
      <c r="S31" s="4">
        <f>'YTD CF'!O31-'YTD CF'!N31</f>
        <v/>
      </c>
      <c r="T31" s="4">
        <f>'YTD CF'!P31-'YTD CF'!O31</f>
        <v/>
      </c>
      <c r="U31" s="4">
        <f>'CASH FLOW'!G31-'YTD CF'!P31</f>
        <v/>
      </c>
      <c r="V31" s="4">
        <f>'YTD CF'!Q31</f>
        <v/>
      </c>
      <c r="W31" s="4">
        <f>'YTD CF'!R31-'YTD CF'!Q31</f>
        <v/>
      </c>
      <c r="X31" s="4">
        <f>'YTD CF'!S31-'YTD CF'!R31</f>
        <v/>
      </c>
      <c r="Y31" s="4">
        <f>'CASH FLOW'!H31-'YTD CF'!S31</f>
        <v/>
      </c>
    </row>
    <row r="32">
      <c r="A32" s="3" t="inlineStr">
        <is>
          <t>Deferred Revenue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4">
        <f>'YTD CF'!N32</f>
        <v/>
      </c>
      <c r="S32" s="4">
        <f>'YTD CF'!O32-'YTD CF'!N32</f>
        <v/>
      </c>
      <c r="T32" s="4">
        <f>'YTD CF'!P32-'YTD CF'!O32</f>
        <v/>
      </c>
      <c r="U32" s="4">
        <f>'CASH FLOW'!G32-'YTD CF'!P32</f>
        <v/>
      </c>
      <c r="V32" s="4">
        <f>'YTD CF'!Q32</f>
        <v/>
      </c>
      <c r="W32" s="4">
        <f>'YTD CF'!R32-'YTD CF'!Q32</f>
        <v/>
      </c>
      <c r="X32" s="4">
        <f>'YTD CF'!S32-'YTD CF'!R32</f>
        <v/>
      </c>
      <c r="Y32" s="4">
        <f>'CASH FLOW'!H32-'YTD CF'!S32</f>
        <v/>
      </c>
    </row>
    <row r="33">
      <c r="A33" s="3" t="inlineStr">
        <is>
          <t>Net Change in Other Working Capital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FLOW'!C33-'YTD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FLOW'!D33-'YTD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FLOW'!E33-'YTD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FLOW'!F33-'YTD CF'!M33</f>
        <v/>
      </c>
      <c r="R33" s="4">
        <f>'YTD CF'!N33</f>
        <v/>
      </c>
      <c r="S33" s="4">
        <f>'YTD CF'!O33-'YTD CF'!N33</f>
        <v/>
      </c>
      <c r="T33" s="4">
        <f>'YTD CF'!P33-'YTD CF'!O33</f>
        <v/>
      </c>
      <c r="U33" s="4">
        <f>'CASH FLOW'!G33-'YTD CF'!P33</f>
        <v/>
      </c>
      <c r="V33" s="4">
        <f>'YTD CF'!Q33</f>
        <v/>
      </c>
      <c r="W33" s="4">
        <f>'YTD CF'!R33-'YTD CF'!Q33</f>
        <v/>
      </c>
      <c r="X33" s="4">
        <f>'YTD CF'!S33-'YTD CF'!R33</f>
        <v/>
      </c>
      <c r="Y33" s="4">
        <f>'CASH FLOW'!H33-'YTD CF'!S33</f>
        <v/>
      </c>
    </row>
    <row r="34">
      <c r="A34" s="3" t="inlineStr">
        <is>
          <t>Cash Flow from Operations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'CASH FLOW'!C34-'YTD CF'!D34</f>
        <v/>
      </c>
      <c r="F34" s="6">
        <f>'YTD CF'!E34</f>
        <v/>
      </c>
      <c r="G34" s="6">
        <f>'YTD CF'!F34-'YTD CF'!E34</f>
        <v/>
      </c>
      <c r="H34" s="6">
        <f>'YTD CF'!G34-'YTD CF'!F34</f>
        <v/>
      </c>
      <c r="I34" s="6">
        <f>'CASH FLOW'!D34-'YTD CF'!G34</f>
        <v/>
      </c>
      <c r="J34" s="6">
        <f>'YTD CF'!H34</f>
        <v/>
      </c>
      <c r="K34" s="6">
        <f>'YTD CF'!I34-'YTD CF'!H34</f>
        <v/>
      </c>
      <c r="L34" s="6">
        <f>'YTD CF'!J34-'YTD CF'!I34</f>
        <v/>
      </c>
      <c r="M34" s="6">
        <f>'CASH FLOW'!E34-'YTD CF'!J34</f>
        <v/>
      </c>
      <c r="N34" s="6">
        <f>'YTD CF'!K34</f>
        <v/>
      </c>
      <c r="O34" s="6">
        <f>'YTD CF'!L34-'YTD CF'!K34</f>
        <v/>
      </c>
      <c r="P34" s="6">
        <f>'YTD CF'!M34-'YTD CF'!L34</f>
        <v/>
      </c>
      <c r="Q34" s="6">
        <f>'CASH FLOW'!F34-'YTD CF'!M34</f>
        <v/>
      </c>
      <c r="R34" s="6">
        <f>'YTD CF'!N34</f>
        <v/>
      </c>
      <c r="S34" s="6">
        <f>'YTD CF'!O34-'YTD CF'!N34</f>
        <v/>
      </c>
      <c r="T34" s="6">
        <f>'YTD CF'!P34-'YTD CF'!O34</f>
        <v/>
      </c>
      <c r="U34" s="6">
        <f>'CASH FLOW'!G34-'YTD CF'!P34</f>
        <v/>
      </c>
      <c r="V34" s="6">
        <f>'YTD CF'!Q34</f>
        <v/>
      </c>
      <c r="W34" s="6">
        <f>'YTD CF'!R34-'YTD CF'!Q34</f>
        <v/>
      </c>
      <c r="X34" s="6">
        <f>'YTD CF'!S34-'YTD CF'!R34</f>
        <v/>
      </c>
      <c r="Y34" s="6">
        <f>'CASH FLOW'!H34-'YTD CF'!S34</f>
        <v/>
      </c>
    </row>
    <row r="35">
      <c r="A35" s="3" t="inlineStr">
        <is>
          <t>Collections from Note Receivable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FLOW'!C35-'YTD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FLOW'!D35-'YTD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FLOW'!E35-'YTD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FLOW'!F35-'YTD CF'!M35</f>
        <v/>
      </c>
      <c r="R35" s="4">
        <f>'YTD CF'!N35</f>
        <v/>
      </c>
      <c r="S35" s="4">
        <f>'YTD CF'!O35-'YTD CF'!N35</f>
        <v/>
      </c>
      <c r="T35" s="4">
        <f>'YTD CF'!P35-'YTD CF'!O35</f>
        <v/>
      </c>
      <c r="U35" s="4">
        <f>'CASH FLOW'!G35-'YTD CF'!P35</f>
        <v/>
      </c>
      <c r="V35" s="4">
        <f>'YTD CF'!Q35</f>
        <v/>
      </c>
      <c r="W35" s="4">
        <f>'YTD CF'!R35-'YTD CF'!Q35</f>
        <v/>
      </c>
      <c r="X35" s="4">
        <f>'YTD CF'!S35-'YTD CF'!R35</f>
        <v/>
      </c>
      <c r="Y35" s="4">
        <f>'CASH FLOW'!H35-'YTD CF'!S35</f>
        <v/>
      </c>
    </row>
    <row r="36">
      <c r="A36" s="3" t="inlineStr">
        <is>
          <t>Purchase of PP&amp;E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FLOW'!C36-'YTD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FLOW'!D36-'YTD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FLOW'!E36-'YTD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FLOW'!F36-'YTD CF'!M36</f>
        <v/>
      </c>
      <c r="R36" s="4">
        <f>'YTD CF'!N36</f>
        <v/>
      </c>
      <c r="S36" s="4">
        <f>'YTD CF'!O36-'YTD CF'!N36</f>
        <v/>
      </c>
      <c r="T36" s="4">
        <f>'YTD CF'!P36-'YTD CF'!O36</f>
        <v/>
      </c>
      <c r="U36" s="4">
        <f>'CASH FLOW'!G36-'YTD CF'!P36</f>
        <v/>
      </c>
      <c r="V36" s="4">
        <f>'YTD CF'!Q36</f>
        <v/>
      </c>
      <c r="W36" s="4">
        <f>'YTD CF'!R36-'YTD CF'!Q36</f>
        <v/>
      </c>
      <c r="X36" s="4">
        <f>'YTD CF'!S36-'YTD CF'!R36</f>
        <v/>
      </c>
      <c r="Y36" s="4">
        <f>'CASH FLOW'!H36-'YTD CF'!S36</f>
        <v/>
      </c>
    </row>
    <row r="37">
      <c r="A37" s="3" t="inlineStr">
        <is>
          <t>Purchase of Non-Marketable Equity Securities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FLOW'!C37-'YTD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FLOW'!D37-'YTD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FLOW'!E37-'YTD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FLOW'!F37-'YTD CF'!M37</f>
        <v/>
      </c>
      <c r="R37" s="4">
        <f>'YTD CF'!N37</f>
        <v/>
      </c>
      <c r="S37" s="4">
        <f>'YTD CF'!O37-'YTD CF'!N37</f>
        <v/>
      </c>
      <c r="T37" s="4">
        <f>'YTD CF'!P37-'YTD CF'!O37</f>
        <v/>
      </c>
      <c r="U37" s="4">
        <f>'CASH FLOW'!G37-'YTD CF'!P37</f>
        <v/>
      </c>
      <c r="V37" s="4">
        <f>'YTD CF'!Q37</f>
        <v/>
      </c>
      <c r="W37" s="4">
        <f>'YTD CF'!R37-'YTD CF'!Q37</f>
        <v/>
      </c>
      <c r="X37" s="4">
        <f>'YTD CF'!S37-'YTD CF'!R37</f>
        <v/>
      </c>
      <c r="Y37" s="4">
        <f>'CASH FLOW'!H37-'YTD CF'!S37</f>
        <v/>
      </c>
    </row>
    <row r="38">
      <c r="A38" s="3" t="inlineStr">
        <is>
          <t>Acquisition of Big Beverages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FLOW'!C38-'YTD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FLOW'!D38-'YTD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FLOW'!E38-'YTD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FLOW'!F38-'YTD CF'!M38</f>
        <v/>
      </c>
      <c r="R38" s="4">
        <f>'YTD CF'!N38</f>
        <v/>
      </c>
      <c r="S38" s="4">
        <f>'YTD CF'!O38-'YTD CF'!N38</f>
        <v/>
      </c>
      <c r="T38" s="4">
        <f>'YTD CF'!P38-'YTD CF'!O38</f>
        <v/>
      </c>
      <c r="U38" s="4">
        <f>'CASH FLOW'!G38-'YTD CF'!P38</f>
        <v/>
      </c>
      <c r="V38" s="4">
        <f>'YTD CF'!Q38</f>
        <v/>
      </c>
      <c r="W38" s="4">
        <f>'YTD CF'!R38-'YTD CF'!Q38</f>
        <v/>
      </c>
      <c r="X38" s="4">
        <f>'YTD CF'!S38-'YTD CF'!R38</f>
        <v/>
      </c>
      <c r="Y38" s="4">
        <f>'CASH FLOW'!H38-'YTD CF'!S38</f>
        <v/>
      </c>
    </row>
    <row r="39">
      <c r="A39" s="3" t="inlineStr">
        <is>
          <t>Acquisitions, Net of Cash Acquired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FLOW'!C39-'YTD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FLOW'!D39-'YTD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FLOW'!E39-'YTD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FLOW'!F39-'YTD CF'!M39</f>
        <v/>
      </c>
      <c r="R39" s="4">
        <f>'YTD CF'!N39</f>
        <v/>
      </c>
      <c r="S39" s="4">
        <f>'YTD CF'!O39-'YTD CF'!N39</f>
        <v/>
      </c>
      <c r="T39" s="4">
        <f>'YTD CF'!P39-'YTD CF'!O39</f>
        <v/>
      </c>
      <c r="U39" s="4">
        <f>'CASH FLOW'!G39-'YTD CF'!P39</f>
        <v/>
      </c>
      <c r="V39" s="4">
        <f>'YTD CF'!Q39</f>
        <v/>
      </c>
      <c r="W39" s="4">
        <f>'YTD CF'!R39-'YTD CF'!Q39</f>
        <v/>
      </c>
      <c r="X39" s="4">
        <f>'YTD CF'!S39-'YTD CF'!R39</f>
        <v/>
      </c>
      <c r="Y39" s="4">
        <f>'CASH FLOW'!H39-'YTD CF'!S39</f>
        <v/>
      </c>
    </row>
    <row r="40">
      <c r="A40" s="3" t="inlineStr">
        <is>
          <t>Working Capital Estimate from Pepsi (Rockstar)</t>
        </is>
      </c>
    </row>
    <row r="41">
      <c r="A41" s="3" t="inlineStr">
        <is>
          <t>Cash Flow from Investing</t>
        </is>
      </c>
      <c r="B41" s="6">
        <f>'YTD CF'!B41</f>
        <v/>
      </c>
      <c r="C41" s="6">
        <f>'YTD CF'!C41-'YTD CF'!B41</f>
        <v/>
      </c>
      <c r="D41" s="6">
        <f>'YTD CF'!D41-'YTD CF'!C41</f>
        <v/>
      </c>
      <c r="E41" s="6">
        <f>'CASH FLOW'!C41-'YTD CF'!D41</f>
        <v/>
      </c>
      <c r="F41" s="6">
        <f>'YTD CF'!E41</f>
        <v/>
      </c>
      <c r="G41" s="6">
        <f>'YTD CF'!F41-'YTD CF'!E41</f>
        <v/>
      </c>
      <c r="H41" s="6">
        <f>'YTD CF'!G41-'YTD CF'!F41</f>
        <v/>
      </c>
      <c r="I41" s="6">
        <f>'CASH FLOW'!D41-'YTD CF'!G41</f>
        <v/>
      </c>
      <c r="J41" s="6">
        <f>'YTD CF'!H41</f>
        <v/>
      </c>
      <c r="K41" s="6">
        <f>'YTD CF'!I41-'YTD CF'!H41</f>
        <v/>
      </c>
      <c r="L41" s="6">
        <f>'YTD CF'!J41-'YTD CF'!I41</f>
        <v/>
      </c>
      <c r="M41" s="6">
        <f>'CASH FLOW'!E41-'YTD CF'!J41</f>
        <v/>
      </c>
      <c r="N41" s="6">
        <f>'YTD CF'!K41</f>
        <v/>
      </c>
      <c r="O41" s="6">
        <f>'YTD CF'!L41-'YTD CF'!K41</f>
        <v/>
      </c>
      <c r="P41" s="6">
        <f>'YTD CF'!M41-'YTD CF'!L41</f>
        <v/>
      </c>
      <c r="Q41" s="6">
        <f>'CASH FLOW'!F41-'YTD CF'!M41</f>
        <v/>
      </c>
      <c r="R41" s="6">
        <f>'YTD CF'!N41</f>
        <v/>
      </c>
      <c r="S41" s="6">
        <f>'YTD CF'!O41-'YTD CF'!N41</f>
        <v/>
      </c>
      <c r="T41" s="6">
        <f>'YTD CF'!P41-'YTD CF'!O41</f>
        <v/>
      </c>
      <c r="U41" s="6">
        <f>'CASH FLOW'!G41-'YTD CF'!P41</f>
        <v/>
      </c>
      <c r="V41" s="6">
        <f>'YTD CF'!Q41</f>
        <v/>
      </c>
      <c r="W41" s="6">
        <f>'YTD CF'!R41-'YTD CF'!Q41</f>
        <v/>
      </c>
      <c r="X41" s="6">
        <f>'YTD CF'!S41-'YTD CF'!R41</f>
        <v/>
      </c>
      <c r="Y41" s="6">
        <f>'CASH FLOW'!H41-'YTD CF'!S41</f>
        <v/>
      </c>
    </row>
    <row r="42">
      <c r="A42" s="3" t="inlineStr">
        <is>
          <t>Proceeds from Related-Party Notes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FLOW'!C42-'YTD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FLOW'!D42-'YTD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FLOW'!E42-'YTD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FLOW'!F42-'YTD CF'!M42</f>
        <v/>
      </c>
      <c r="R42" s="4">
        <f>'YTD CF'!N42</f>
        <v/>
      </c>
      <c r="S42" s="4">
        <f>'YTD CF'!O42-'YTD CF'!N42</f>
        <v/>
      </c>
      <c r="T42" s="4">
        <f>'YTD CF'!P42-'YTD CF'!O42</f>
        <v/>
      </c>
      <c r="U42" s="4">
        <f>'CASH FLOW'!G42-'YTD CF'!P42</f>
        <v/>
      </c>
      <c r="V42" s="4">
        <f>'YTD CF'!Q42</f>
        <v/>
      </c>
      <c r="W42" s="4">
        <f>'YTD CF'!R42-'YTD CF'!Q42</f>
        <v/>
      </c>
      <c r="X42" s="4">
        <f>'YTD CF'!S42-'YTD CF'!R42</f>
        <v/>
      </c>
      <c r="Y42" s="4">
        <f>'CASH FLOW'!H42-'YTD CF'!S42</f>
        <v/>
      </c>
    </row>
    <row r="43">
      <c r="A43" s="3" t="inlineStr">
        <is>
          <t>Payments on Bonds Payable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FLOW'!C43-'YTD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FLOW'!D43-'YTD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FLOW'!E43-'YTD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FLOW'!F43-'YTD CF'!M43</f>
        <v/>
      </c>
      <c r="R43" s="4">
        <f>'YTD CF'!N43</f>
        <v/>
      </c>
      <c r="S43" s="4">
        <f>'YTD CF'!O43-'YTD CF'!N43</f>
        <v/>
      </c>
      <c r="T43" s="4">
        <f>'YTD CF'!P43-'YTD CF'!O43</f>
        <v/>
      </c>
      <c r="U43" s="4">
        <f>'CASH FLOW'!G43-'YTD CF'!P43</f>
        <v/>
      </c>
      <c r="V43" s="4">
        <f>'YTD CF'!Q43</f>
        <v/>
      </c>
      <c r="W43" s="4">
        <f>'YTD CF'!R43-'YTD CF'!Q43</f>
        <v/>
      </c>
      <c r="X43" s="4">
        <f>'YTD CF'!S43-'YTD CF'!R43</f>
        <v/>
      </c>
      <c r="Y43" s="4">
        <f>'CASH FLOW'!H43-'YTD CF'!S43</f>
        <v/>
      </c>
    </row>
    <row r="44">
      <c r="A44" s="3" t="inlineStr">
        <is>
          <t>Finance Lease Payments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FLOW'!C44-'YTD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FLOW'!D44-'YTD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FLOW'!E44-'YTD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FLOW'!F44-'YTD CF'!M44</f>
        <v/>
      </c>
      <c r="R44" s="4">
        <f>'YTD CF'!N44</f>
        <v/>
      </c>
      <c r="S44" s="4">
        <f>'YTD CF'!O44-'YTD CF'!N44</f>
        <v/>
      </c>
      <c r="T44" s="4">
        <f>'YTD CF'!P44-'YTD CF'!O44</f>
        <v/>
      </c>
      <c r="U44" s="4">
        <f>'CASH FLOW'!G44-'YTD CF'!P44</f>
        <v/>
      </c>
      <c r="V44" s="4">
        <f>'YTD CF'!Q44</f>
        <v/>
      </c>
      <c r="W44" s="4">
        <f>'YTD CF'!R44-'YTD CF'!Q44</f>
        <v/>
      </c>
      <c r="X44" s="4">
        <f>'YTD CF'!S44-'YTD CF'!R44</f>
        <v/>
      </c>
      <c r="Y44" s="4">
        <f>'CASH FLOW'!H44-'YTD CF'!S44</f>
        <v/>
      </c>
    </row>
    <row r="45">
      <c r="A45" s="3" t="inlineStr">
        <is>
          <t>Proceeds from Issuance of Common Stock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FLOW'!C48-'YTD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FLOW'!D48-'YTD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FLOW'!E48-'YTD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FLOW'!F48-'YTD CF'!M45</f>
        <v/>
      </c>
      <c r="R45" s="4">
        <f>'YTD CF'!N45</f>
        <v/>
      </c>
      <c r="S45" s="4">
        <f>'YTD CF'!O45-'YTD CF'!N45</f>
        <v/>
      </c>
      <c r="T45" s="4">
        <f>'YTD CF'!P45-'YTD CF'!O45</f>
        <v/>
      </c>
      <c r="U45" s="4">
        <f>'CASH FLOW'!G48-'YTD CF'!P45</f>
        <v/>
      </c>
      <c r="V45" s="4">
        <f>'YTD CF'!Q45</f>
        <v/>
      </c>
      <c r="W45" s="4">
        <f>'YTD CF'!R45-'YTD CF'!Q45</f>
        <v/>
      </c>
      <c r="X45" s="4">
        <f>'YTD CF'!S45-'YTD CF'!R45</f>
        <v/>
      </c>
      <c r="Y45" s="4">
        <f>'CASH FLOW'!H48-'YTD CF'!S45</f>
        <v/>
      </c>
    </row>
    <row r="46">
      <c r="A46" s="3" t="inlineStr">
        <is>
          <t>Proceeds from Exercise of Stock Options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FLOW'!C45-'YTD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FLOW'!D45-'YTD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FLOW'!E45-'YTD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FLOW'!F45-'YTD CF'!M46</f>
        <v/>
      </c>
      <c r="R46" s="4">
        <f>'YTD CF'!N46</f>
        <v/>
      </c>
      <c r="S46" s="4">
        <f>'YTD CF'!O46-'YTD CF'!N46</f>
        <v/>
      </c>
      <c r="T46" s="4">
        <f>'YTD CF'!P46-'YTD CF'!O46</f>
        <v/>
      </c>
      <c r="U46" s="4">
        <f>'CASH FLOW'!G45-'YTD CF'!P46</f>
        <v/>
      </c>
      <c r="V46" s="4">
        <f>'YTD CF'!Q46</f>
        <v/>
      </c>
      <c r="W46" s="4">
        <f>'YTD CF'!R46-'YTD CF'!Q46</f>
        <v/>
      </c>
      <c r="X46" s="4">
        <f>'YTD CF'!S46-'YTD CF'!R46</f>
        <v/>
      </c>
      <c r="Y46" s="4">
        <f>'CASH FLOW'!H45-'YTD CF'!S46</f>
        <v/>
      </c>
    </row>
    <row r="47">
      <c r="A47" s="3" t="inlineStr">
        <is>
          <t>Cash Paid for RSU Tax Withholding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FLOW'!C46-'YTD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FLOW'!D46-'YTD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FLOW'!E46-'YTD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FLOW'!F46-'YTD CF'!M47</f>
        <v/>
      </c>
      <c r="R47" s="4">
        <f>'YTD CF'!N47</f>
        <v/>
      </c>
      <c r="S47" s="4">
        <f>'YTD CF'!O47-'YTD CF'!N47</f>
        <v/>
      </c>
      <c r="T47" s="4">
        <f>'YTD CF'!P47-'YTD CF'!O47</f>
        <v/>
      </c>
      <c r="U47" s="4">
        <f>'CASH FLOW'!G46-'YTD CF'!P47</f>
        <v/>
      </c>
      <c r="V47" s="4">
        <f>'YTD CF'!Q47</f>
        <v/>
      </c>
      <c r="W47" s="4">
        <f>'YTD CF'!R47-'YTD CF'!Q47</f>
        <v/>
      </c>
      <c r="X47" s="4">
        <f>'YTD CF'!S47-'YTD CF'!R47</f>
        <v/>
      </c>
      <c r="Y47" s="4">
        <f>'CASH FLOW'!H46-'YTD CF'!S47</f>
        <v/>
      </c>
    </row>
    <row r="48">
      <c r="A48" s="3" t="inlineStr">
        <is>
          <t>Section 16(b) Short-Swing Profit Recovery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FLOW'!C47-'YTD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FLOW'!D47-'YTD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FLOW'!E47-'YTD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FLOW'!F47-'YTD CF'!M48</f>
        <v/>
      </c>
      <c r="R48" s="4">
        <f>'YTD CF'!N48</f>
        <v/>
      </c>
      <c r="S48" s="4">
        <f>'YTD CF'!O48-'YTD CF'!N48</f>
        <v/>
      </c>
      <c r="T48" s="4">
        <f>'YTD CF'!P48-'YTD CF'!O48</f>
        <v/>
      </c>
      <c r="U48" s="4">
        <f>'CASH FLOW'!G47-'YTD CF'!P48</f>
        <v/>
      </c>
      <c r="V48" s="4">
        <f>'YTD CF'!Q48</f>
        <v/>
      </c>
      <c r="W48" s="4">
        <f>'YTD CF'!R48-'YTD CF'!Q48</f>
        <v/>
      </c>
      <c r="X48" s="4">
        <f>'YTD CF'!S48-'YTD CF'!R48</f>
        <v/>
      </c>
      <c r="Y48" s="4">
        <f>'CASH FLOW'!H47-'YTD CF'!S48</f>
        <v/>
      </c>
    </row>
    <row r="49">
      <c r="A49" s="3" t="inlineStr">
        <is>
          <t>Proceeds from Issuance of Preferred Stock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FLOW'!C49-'YTD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FLOW'!D49-'YTD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FLOW'!E49-'YTD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FLOW'!F49-'YTD CF'!M49</f>
        <v/>
      </c>
      <c r="R49" s="4">
        <f>'YTD CF'!N49</f>
        <v/>
      </c>
      <c r="S49" s="4">
        <f>'YTD CF'!O49-'YTD CF'!N49</f>
        <v/>
      </c>
      <c r="T49" s="4">
        <f>'YTD CF'!P49-'YTD CF'!O49</f>
        <v/>
      </c>
      <c r="U49" s="4">
        <f>'CASH FLOW'!G49-'YTD CF'!P49</f>
        <v/>
      </c>
      <c r="V49" s="4">
        <f>'YTD CF'!Q49</f>
        <v/>
      </c>
      <c r="W49" s="4">
        <f>'YTD CF'!R49-'YTD CF'!Q49</f>
        <v/>
      </c>
      <c r="X49" s="4">
        <f>'YTD CF'!S49-'YTD CF'!R49</f>
        <v/>
      </c>
      <c r="Y49" s="4">
        <f>'CASH FLOW'!H49-'YTD CF'!S49</f>
        <v/>
      </c>
    </row>
    <row r="50">
      <c r="A50" s="3" t="inlineStr">
        <is>
          <t>Preferred Dividends</t>
        </is>
      </c>
      <c r="B50" s="4">
        <f>'YTD CF'!B50</f>
        <v/>
      </c>
      <c r="C50" s="4">
        <f>'YTD CF'!C50-'YTD CF'!B50</f>
        <v/>
      </c>
      <c r="D50" s="4">
        <f>'YTD CF'!D50-'YTD CF'!C50</f>
        <v/>
      </c>
      <c r="E50" s="4">
        <f>'CASH FLOW'!C50-'YTD CF'!D50</f>
        <v/>
      </c>
      <c r="F50" s="4">
        <f>'YTD CF'!E50</f>
        <v/>
      </c>
      <c r="G50" s="4">
        <f>'YTD CF'!F50-'YTD CF'!E50</f>
        <v/>
      </c>
      <c r="H50" s="4">
        <f>'YTD CF'!G50-'YTD CF'!F50</f>
        <v/>
      </c>
      <c r="I50" s="4">
        <f>'CASH FLOW'!D50-'YTD CF'!G50</f>
        <v/>
      </c>
      <c r="J50" s="4">
        <f>'YTD CF'!H50</f>
        <v/>
      </c>
      <c r="K50" s="4">
        <f>'YTD CF'!I50-'YTD CF'!H50</f>
        <v/>
      </c>
      <c r="L50" s="4">
        <f>'YTD CF'!J50-'YTD CF'!I50</f>
        <v/>
      </c>
      <c r="M50" s="4">
        <f>'CASH FLOW'!E50-'YTD CF'!J50</f>
        <v/>
      </c>
      <c r="N50" s="4">
        <f>'YTD CF'!K50</f>
        <v/>
      </c>
      <c r="O50" s="4">
        <f>'YTD CF'!L50-'YTD CF'!K50</f>
        <v/>
      </c>
      <c r="P50" s="4">
        <f>'YTD CF'!M50-'YTD CF'!L50</f>
        <v/>
      </c>
      <c r="Q50" s="4">
        <f>'CASH FLOW'!F50-'YTD CF'!M50</f>
        <v/>
      </c>
      <c r="R50" s="4">
        <f>'YTD CF'!N50</f>
        <v/>
      </c>
      <c r="S50" s="4">
        <f>'YTD CF'!O50-'YTD CF'!N50</f>
        <v/>
      </c>
      <c r="T50" s="4">
        <f>'YTD CF'!P50-'YTD CF'!O50</f>
        <v/>
      </c>
      <c r="U50" s="4">
        <f>'CASH FLOW'!G50-'YTD CF'!P50</f>
        <v/>
      </c>
      <c r="V50" s="4">
        <f>'YTD CF'!Q50</f>
        <v/>
      </c>
      <c r="W50" s="4">
        <f>'YTD CF'!R50-'YTD CF'!Q50</f>
        <v/>
      </c>
      <c r="X50" s="4">
        <f>'YTD CF'!S50-'YTD CF'!R50</f>
        <v/>
      </c>
      <c r="Y50" s="4">
        <f>'CASH FLOW'!H50-'YTD CF'!S50</f>
        <v/>
      </c>
    </row>
    <row r="51">
      <c r="A51" s="3" t="inlineStr">
        <is>
          <t>Share Repurchases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FLOW'!C51-'YTD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FLOW'!D51-'YTD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FLOW'!E51-'YTD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FLOW'!F51-'YTD CF'!M51</f>
        <v/>
      </c>
      <c r="R51" s="4">
        <f>'YTD CF'!N51</f>
        <v/>
      </c>
      <c r="S51" s="4">
        <f>'YTD CF'!O51-'YTD CF'!N51</f>
        <v/>
      </c>
      <c r="T51" s="4">
        <f>'YTD CF'!P51-'YTD CF'!O51</f>
        <v/>
      </c>
      <c r="U51" s="4">
        <f>'CASH FLOW'!G51-'YTD CF'!P51</f>
        <v/>
      </c>
      <c r="V51" s="4">
        <f>'YTD CF'!Q51</f>
        <v/>
      </c>
      <c r="W51" s="4">
        <f>'YTD CF'!R51-'YTD CF'!Q51</f>
        <v/>
      </c>
      <c r="X51" s="4">
        <f>'YTD CF'!S51-'YTD CF'!R51</f>
        <v/>
      </c>
      <c r="Y51" s="4">
        <f>'CASH FLOW'!H51-'YTD CF'!S51</f>
        <v/>
      </c>
    </row>
    <row r="52">
      <c r="A52" s="3" t="inlineStr">
        <is>
          <t>Proceeds from Issuance of Long-Term Debt</t>
        </is>
      </c>
      <c r="B52" s="4">
        <f>'YTD CF'!B52</f>
        <v/>
      </c>
      <c r="C52" s="4">
        <f>'YTD CF'!C52-'YTD CF'!B52</f>
        <v/>
      </c>
      <c r="D52" s="4">
        <f>'YTD CF'!D52-'YTD CF'!C52</f>
        <v/>
      </c>
      <c r="E52" s="4">
        <f>'CASH FLOW'!C52-'YTD CF'!D52</f>
        <v/>
      </c>
      <c r="F52" s="4">
        <f>'YTD CF'!E52</f>
        <v/>
      </c>
      <c r="G52" s="4">
        <f>'YTD CF'!F52-'YTD CF'!E52</f>
        <v/>
      </c>
      <c r="H52" s="4">
        <f>'YTD CF'!G52-'YTD CF'!F52</f>
        <v/>
      </c>
      <c r="I52" s="4">
        <f>'CASH FLOW'!D52-'YTD CF'!G52</f>
        <v/>
      </c>
      <c r="J52" s="4">
        <f>'YTD CF'!H52</f>
        <v/>
      </c>
      <c r="K52" s="4">
        <f>'YTD CF'!I52-'YTD CF'!H52</f>
        <v/>
      </c>
      <c r="L52" s="4">
        <f>'YTD CF'!J52-'YTD CF'!I52</f>
        <v/>
      </c>
      <c r="M52" s="4">
        <f>'CASH FLOW'!E52-'YTD CF'!J52</f>
        <v/>
      </c>
      <c r="N52" s="4">
        <f>'YTD CF'!K52</f>
        <v/>
      </c>
      <c r="O52" s="4">
        <f>'YTD CF'!L52-'YTD CF'!K52</f>
        <v/>
      </c>
      <c r="P52" s="4">
        <f>'YTD CF'!M52-'YTD CF'!L52</f>
        <v/>
      </c>
      <c r="Q52" s="4">
        <f>'CASH FLOW'!F52-'YTD CF'!M52</f>
        <v/>
      </c>
      <c r="R52" s="4">
        <f>'YTD CF'!N52</f>
        <v/>
      </c>
      <c r="S52" s="4">
        <f>'YTD CF'!O52-'YTD CF'!N52</f>
        <v/>
      </c>
      <c r="T52" s="4">
        <f>'YTD CF'!P52-'YTD CF'!O52</f>
        <v/>
      </c>
      <c r="U52" s="4">
        <f>'CASH FLOW'!G52-'YTD CF'!P52</f>
        <v/>
      </c>
      <c r="V52" s="4">
        <f>'YTD CF'!Q52</f>
        <v/>
      </c>
      <c r="W52" s="4">
        <f>'YTD CF'!R52-'YTD CF'!Q52</f>
        <v/>
      </c>
      <c r="X52" s="4">
        <f>'YTD CF'!S52-'YTD CF'!R52</f>
        <v/>
      </c>
      <c r="Y52" s="4">
        <f>'CASH FLOW'!H52-'YTD CF'!S52</f>
        <v/>
      </c>
    </row>
    <row r="53">
      <c r="A53" s="3" t="inlineStr">
        <is>
          <t>Repayments of Long-Term Debt</t>
        </is>
      </c>
      <c r="B53" s="4">
        <f>'YTD CF'!B53</f>
        <v/>
      </c>
      <c r="C53" s="4">
        <f>'YTD CF'!C53-'YTD CF'!B53</f>
        <v/>
      </c>
      <c r="D53" s="4">
        <f>'YTD CF'!D53-'YTD CF'!C53</f>
        <v/>
      </c>
      <c r="E53" s="4">
        <f>'CASH FLOW'!C53-'YTD CF'!D53</f>
        <v/>
      </c>
      <c r="F53" s="4">
        <f>'YTD CF'!E53</f>
        <v/>
      </c>
      <c r="G53" s="4">
        <f>'YTD CF'!F53-'YTD CF'!E53</f>
        <v/>
      </c>
      <c r="H53" s="4">
        <f>'YTD CF'!G53-'YTD CF'!F53</f>
        <v/>
      </c>
      <c r="I53" s="4">
        <f>'CASH FLOW'!D53-'YTD CF'!G53</f>
        <v/>
      </c>
      <c r="J53" s="4">
        <f>'YTD CF'!H53</f>
        <v/>
      </c>
      <c r="K53" s="4">
        <f>'YTD CF'!I53-'YTD CF'!H53</f>
        <v/>
      </c>
      <c r="L53" s="4">
        <f>'YTD CF'!J53-'YTD CF'!I53</f>
        <v/>
      </c>
      <c r="M53" s="4">
        <f>'CASH FLOW'!E53-'YTD CF'!J53</f>
        <v/>
      </c>
      <c r="N53" s="4">
        <f>'YTD CF'!K53</f>
        <v/>
      </c>
      <c r="O53" s="4">
        <f>'YTD CF'!L53-'YTD CF'!K53</f>
        <v/>
      </c>
      <c r="P53" s="4">
        <f>'YTD CF'!M53-'YTD CF'!L53</f>
        <v/>
      </c>
      <c r="Q53" s="4">
        <f>'CASH FLOW'!F53-'YTD CF'!M53</f>
        <v/>
      </c>
      <c r="R53" s="4">
        <f>'YTD CF'!N53</f>
        <v/>
      </c>
      <c r="S53" s="4">
        <f>'YTD CF'!O53-'YTD CF'!N53</f>
        <v/>
      </c>
      <c r="T53" s="4">
        <f>'YTD CF'!P53-'YTD CF'!O53</f>
        <v/>
      </c>
      <c r="U53" s="4">
        <f>'CASH FLOW'!G53-'YTD CF'!P53</f>
        <v/>
      </c>
      <c r="V53" s="4">
        <f>'YTD CF'!Q53</f>
        <v/>
      </c>
      <c r="W53" s="4">
        <f>'YTD CF'!R53-'YTD CF'!Q53</f>
        <v/>
      </c>
      <c r="X53" s="4">
        <f>'YTD CF'!S53-'YTD CF'!R53</f>
        <v/>
      </c>
      <c r="Y53" s="4">
        <f>'CASH FLOW'!H53-'YTD CF'!S53</f>
        <v/>
      </c>
    </row>
    <row r="54">
      <c r="A54" s="3" t="inlineStr">
        <is>
          <t>Debt Issuance Fees</t>
        </is>
      </c>
      <c r="B54" s="4">
        <f>'YTD CF'!B54</f>
        <v/>
      </c>
      <c r="C54" s="4">
        <f>'YTD CF'!C54-'YTD CF'!B54</f>
        <v/>
      </c>
      <c r="D54" s="4">
        <f>'YTD CF'!D54-'YTD CF'!C54</f>
        <v/>
      </c>
      <c r="E54" s="4">
        <f>'CASH FLOW'!C54-'YTD CF'!D54</f>
        <v/>
      </c>
      <c r="F54" s="4">
        <f>'YTD CF'!E54</f>
        <v/>
      </c>
      <c r="G54" s="4">
        <f>'YTD CF'!F54-'YTD CF'!E54</f>
        <v/>
      </c>
      <c r="H54" s="4">
        <f>'YTD CF'!G54-'YTD CF'!F54</f>
        <v/>
      </c>
      <c r="I54" s="4">
        <f>'CASH FLOW'!D54-'YTD CF'!G54</f>
        <v/>
      </c>
      <c r="J54" s="4">
        <f>'YTD CF'!H54</f>
        <v/>
      </c>
      <c r="K54" s="4">
        <f>'YTD CF'!I54-'YTD CF'!H54</f>
        <v/>
      </c>
      <c r="L54" s="4">
        <f>'YTD CF'!J54-'YTD CF'!I54</f>
        <v/>
      </c>
      <c r="M54" s="4">
        <f>'CASH FLOW'!E54-'YTD CF'!J54</f>
        <v/>
      </c>
      <c r="N54" s="4">
        <f>'YTD CF'!K54</f>
        <v/>
      </c>
      <c r="O54" s="4">
        <f>'YTD CF'!L54-'YTD CF'!K54</f>
        <v/>
      </c>
      <c r="P54" s="4">
        <f>'YTD CF'!M54-'YTD CF'!L54</f>
        <v/>
      </c>
      <c r="Q54" s="4">
        <f>'CASH FLOW'!F54-'YTD CF'!M54</f>
        <v/>
      </c>
      <c r="R54" s="4">
        <f>'YTD CF'!N54</f>
        <v/>
      </c>
      <c r="S54" s="4">
        <f>'YTD CF'!O54-'YTD CF'!N54</f>
        <v/>
      </c>
      <c r="T54" s="4">
        <f>'YTD CF'!P54-'YTD CF'!O54</f>
        <v/>
      </c>
      <c r="U54" s="4">
        <f>'CASH FLOW'!G54-'YTD CF'!P54</f>
        <v/>
      </c>
      <c r="V54" s="4">
        <f>'YTD CF'!Q54</f>
        <v/>
      </c>
      <c r="W54" s="4">
        <f>'YTD CF'!R54-'YTD CF'!Q54</f>
        <v/>
      </c>
      <c r="X54" s="4">
        <f>'YTD CF'!S54-'YTD CF'!R54</f>
        <v/>
      </c>
      <c r="Y54" s="4">
        <f>'CASH FLOW'!H54-'YTD CF'!S54</f>
        <v/>
      </c>
    </row>
    <row r="55">
      <c r="A55" s="3" t="inlineStr">
        <is>
          <t>Other Financing Activities</t>
        </is>
      </c>
      <c r="B55" s="4">
        <f>'YTD CF'!B55</f>
        <v/>
      </c>
      <c r="C55" s="4">
        <f>'YTD CF'!C55-'YTD CF'!B55</f>
        <v/>
      </c>
      <c r="D55" s="4">
        <f>'YTD CF'!D55-'YTD CF'!C55</f>
        <v/>
      </c>
      <c r="E55" s="4">
        <f>'CASH FLOW'!C55-'YTD CF'!D55</f>
        <v/>
      </c>
      <c r="F55" s="4">
        <f>'YTD CF'!E55</f>
        <v/>
      </c>
      <c r="G55" s="4">
        <f>'YTD CF'!F55-'YTD CF'!E55</f>
        <v/>
      </c>
      <c r="H55" s="4">
        <f>'YTD CF'!G55-'YTD CF'!F55</f>
        <v/>
      </c>
      <c r="I55" s="4">
        <f>'CASH FLOW'!D55-'YTD CF'!G55</f>
        <v/>
      </c>
      <c r="J55" s="4">
        <f>'YTD CF'!H55</f>
        <v/>
      </c>
      <c r="K55" s="4">
        <f>'YTD CF'!I55-'YTD CF'!H55</f>
        <v/>
      </c>
      <c r="L55" s="4">
        <f>'YTD CF'!J55-'YTD CF'!I55</f>
        <v/>
      </c>
      <c r="M55" s="4">
        <f>'CASH FLOW'!E55-'YTD CF'!J55</f>
        <v/>
      </c>
      <c r="N55" s="4">
        <f>'YTD CF'!K55</f>
        <v/>
      </c>
      <c r="O55" s="4">
        <f>'YTD CF'!L55-'YTD CF'!K55</f>
        <v/>
      </c>
      <c r="P55" s="4">
        <f>'YTD CF'!M55-'YTD CF'!L55</f>
        <v/>
      </c>
      <c r="Q55" s="4">
        <f>'CASH FLOW'!F55-'YTD CF'!M55</f>
        <v/>
      </c>
      <c r="R55" s="4">
        <f>'YTD CF'!N55</f>
        <v/>
      </c>
      <c r="S55" s="4">
        <f>'YTD CF'!O55-'YTD CF'!N55</f>
        <v/>
      </c>
      <c r="T55" s="4">
        <f>'YTD CF'!P55-'YTD CF'!O55</f>
        <v/>
      </c>
      <c r="U55" s="4">
        <f>'CASH FLOW'!G55-'YTD CF'!P55</f>
        <v/>
      </c>
      <c r="V55" s="4">
        <f>'YTD CF'!Q55</f>
        <v/>
      </c>
      <c r="W55" s="4">
        <f>'YTD CF'!R55-'YTD CF'!Q55</f>
        <v/>
      </c>
      <c r="X55" s="4">
        <f>'YTD CF'!S55-'YTD CF'!R55</f>
        <v/>
      </c>
      <c r="Y55" s="4">
        <f>'CASH FLOW'!H55-'YTD CF'!S55</f>
        <v/>
      </c>
    </row>
    <row r="56">
      <c r="A56" s="3" t="inlineStr">
        <is>
          <t>Cash Flow from Financing</t>
        </is>
      </c>
      <c r="B56" s="6">
        <f>'YTD CF'!B56</f>
        <v/>
      </c>
      <c r="C56" s="6">
        <f>'YTD CF'!C56-'YTD CF'!B56</f>
        <v/>
      </c>
      <c r="D56" s="6">
        <f>'YTD CF'!D56-'YTD CF'!C56</f>
        <v/>
      </c>
      <c r="E56" s="6">
        <f>'CASH FLOW'!C56-'YTD CF'!D56</f>
        <v/>
      </c>
      <c r="F56" s="6">
        <f>'YTD CF'!E56</f>
        <v/>
      </c>
      <c r="G56" s="6">
        <f>'YTD CF'!F56-'YTD CF'!E56</f>
        <v/>
      </c>
      <c r="H56" s="6">
        <f>'YTD CF'!G56-'YTD CF'!F56</f>
        <v/>
      </c>
      <c r="I56" s="6">
        <f>'CASH FLOW'!D56-'YTD CF'!G56</f>
        <v/>
      </c>
      <c r="J56" s="6">
        <f>'YTD CF'!H56</f>
        <v/>
      </c>
      <c r="K56" s="6">
        <f>'YTD CF'!I56-'YTD CF'!H56</f>
        <v/>
      </c>
      <c r="L56" s="6">
        <f>'YTD CF'!J56-'YTD CF'!I56</f>
        <v/>
      </c>
      <c r="M56" s="6">
        <f>'CASH FLOW'!E56-'YTD CF'!J56</f>
        <v/>
      </c>
      <c r="N56" s="6">
        <f>'YTD CF'!K56</f>
        <v/>
      </c>
      <c r="O56" s="6">
        <f>'YTD CF'!L56-'YTD CF'!K56</f>
        <v/>
      </c>
      <c r="P56" s="6">
        <f>'YTD CF'!M56-'YTD CF'!L56</f>
        <v/>
      </c>
      <c r="Q56" s="6">
        <f>'CASH FLOW'!F56-'YTD CF'!M56</f>
        <v/>
      </c>
      <c r="R56" s="6">
        <f>'YTD CF'!N56</f>
        <v/>
      </c>
      <c r="S56" s="6">
        <f>'YTD CF'!O56-'YTD CF'!N56</f>
        <v/>
      </c>
      <c r="T56" s="6">
        <f>'YTD CF'!P56-'YTD CF'!O56</f>
        <v/>
      </c>
      <c r="U56" s="6">
        <f>'CASH FLOW'!G56-'YTD CF'!P56</f>
        <v/>
      </c>
      <c r="V56" s="6">
        <f>'YTD CF'!Q56</f>
        <v/>
      </c>
      <c r="W56" s="6">
        <f>'YTD CF'!R56-'YTD CF'!Q56</f>
        <v/>
      </c>
      <c r="X56" s="6">
        <f>'YTD CF'!S56-'YTD CF'!R56</f>
        <v/>
      </c>
      <c r="Y56" s="6">
        <f>'CASH FLOW'!H56-'YTD CF'!S56</f>
        <v/>
      </c>
    </row>
    <row r="57">
      <c r="A57" s="3" t="inlineStr">
        <is>
          <t>FX Effect on Cash</t>
        </is>
      </c>
      <c r="B57" s="4">
        <f>'YTD CF'!B57</f>
        <v/>
      </c>
      <c r="C57" s="4">
        <f>'YTD CF'!C57-'YTD CF'!B57</f>
        <v/>
      </c>
      <c r="D57" s="4">
        <f>'YTD CF'!D57-'YTD CF'!C57</f>
        <v/>
      </c>
      <c r="E57" s="4">
        <f>'CASH FLOW'!C57-'YTD CF'!D57</f>
        <v/>
      </c>
      <c r="F57" s="4">
        <f>'YTD CF'!E57</f>
        <v/>
      </c>
      <c r="G57" s="4">
        <f>'YTD CF'!F57-'YTD CF'!E57</f>
        <v/>
      </c>
      <c r="H57" s="4">
        <f>'YTD CF'!G57-'YTD CF'!F57</f>
        <v/>
      </c>
      <c r="I57" s="4">
        <f>'CASH FLOW'!D57-'YTD CF'!G57</f>
        <v/>
      </c>
      <c r="J57" s="4">
        <f>'YTD CF'!H57</f>
        <v/>
      </c>
      <c r="K57" s="4">
        <f>'YTD CF'!I57-'YTD CF'!H57</f>
        <v/>
      </c>
      <c r="L57" s="4">
        <f>'YTD CF'!J57-'YTD CF'!I57</f>
        <v/>
      </c>
      <c r="M57" s="4">
        <f>'CASH FLOW'!E57-'YTD CF'!J57</f>
        <v/>
      </c>
      <c r="N57" s="4">
        <f>'YTD CF'!K57</f>
        <v/>
      </c>
      <c r="O57" s="4">
        <f>'YTD CF'!L57-'YTD CF'!K57</f>
        <v/>
      </c>
      <c r="P57" s="4">
        <f>'YTD CF'!M57-'YTD CF'!L57</f>
        <v/>
      </c>
      <c r="Q57" s="4">
        <f>'CASH FLOW'!F57-'YTD CF'!M57</f>
        <v/>
      </c>
      <c r="R57" s="4">
        <f>'YTD CF'!N57</f>
        <v/>
      </c>
      <c r="S57" s="4">
        <f>'YTD CF'!O57-'YTD CF'!N57</f>
        <v/>
      </c>
      <c r="T57" s="4">
        <f>'YTD CF'!P57-'YTD CF'!O57</f>
        <v/>
      </c>
      <c r="U57" s="4">
        <f>'CASH FLOW'!G57-'YTD CF'!P57</f>
        <v/>
      </c>
      <c r="V57" s="4">
        <f>'YTD CF'!Q57</f>
        <v/>
      </c>
      <c r="W57" s="4">
        <f>'YTD CF'!R57-'YTD CF'!Q57</f>
        <v/>
      </c>
      <c r="X57" s="4">
        <f>'YTD CF'!S57-'YTD CF'!R57</f>
        <v/>
      </c>
      <c r="Y57" s="4">
        <f>'CASH FLOW'!H57-'YTD CF'!S57</f>
        <v/>
      </c>
    </row>
    <row r="58">
      <c r="A58" s="3" t="inlineStr">
        <is>
          <t>Net Change in Cash</t>
        </is>
      </c>
      <c r="B58" s="6">
        <f>'YTD CF'!B58</f>
        <v/>
      </c>
      <c r="C58" s="6">
        <f>'YTD CF'!C58-'YTD CF'!B58</f>
        <v/>
      </c>
      <c r="D58" s="6">
        <f>'YTD CF'!D58-'YTD CF'!C58</f>
        <v/>
      </c>
      <c r="E58" s="6">
        <f>'CASH FLOW'!C58-'YTD CF'!D58</f>
        <v/>
      </c>
      <c r="F58" s="6">
        <f>'YTD CF'!E58</f>
        <v/>
      </c>
      <c r="G58" s="6">
        <f>'YTD CF'!F58-'YTD CF'!E58</f>
        <v/>
      </c>
      <c r="H58" s="6">
        <f>'YTD CF'!G58-'YTD CF'!F58</f>
        <v/>
      </c>
      <c r="I58" s="6">
        <f>'CASH FLOW'!D58-'YTD CF'!G58</f>
        <v/>
      </c>
      <c r="J58" s="6">
        <f>'YTD CF'!H58</f>
        <v/>
      </c>
      <c r="K58" s="6">
        <f>'YTD CF'!I58-'YTD CF'!H58</f>
        <v/>
      </c>
      <c r="L58" s="6">
        <f>'YTD CF'!J58-'YTD CF'!I58</f>
        <v/>
      </c>
      <c r="M58" s="6">
        <f>'CASH FLOW'!E58-'YTD CF'!J58</f>
        <v/>
      </c>
      <c r="N58" s="6">
        <f>'YTD CF'!K58</f>
        <v/>
      </c>
      <c r="O58" s="6">
        <f>'YTD CF'!L58-'YTD CF'!K58</f>
        <v/>
      </c>
      <c r="P58" s="6">
        <f>'YTD CF'!M58-'YTD CF'!L58</f>
        <v/>
      </c>
      <c r="Q58" s="6">
        <f>'CASH FLOW'!F58-'YTD CF'!M58</f>
        <v/>
      </c>
      <c r="R58" s="6">
        <f>'YTD CF'!N58</f>
        <v/>
      </c>
      <c r="S58" s="6">
        <f>'YTD CF'!O58-'YTD CF'!N58</f>
        <v/>
      </c>
      <c r="T58" s="6">
        <f>'YTD CF'!P58-'YTD CF'!O58</f>
        <v/>
      </c>
      <c r="U58" s="6">
        <f>'CASH FLOW'!G58-'YTD CF'!P58</f>
        <v/>
      </c>
      <c r="V58" s="6">
        <f>'YTD CF'!Q58</f>
        <v/>
      </c>
      <c r="W58" s="6">
        <f>'YTD CF'!R58-'YTD CF'!Q58</f>
        <v/>
      </c>
      <c r="X58" s="6">
        <f>'YTD CF'!S58-'YTD CF'!R58</f>
        <v/>
      </c>
      <c r="Y58" s="6">
        <f>'CASH FLOW'!H58-'YTD CF'!S58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2026-05-24T18:03:48Z</dcterms:created>
  <dcterms:modified xmlns:dcterms="http://purl.org/dc/terms/" xmlns:xsi="http://www.w3.org/2001/XMLSchema-instance" xsi:type="dcterms:W3CDTF">2026-05-24T18:03:49Z</dcterms:modified>
</cp:coreProperties>
</file>