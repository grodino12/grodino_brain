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NNL 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YTD P&amp;L" sheetId="5" state="hidden" r:id="rId5"/>
    <sheet xmlns:r="http://schemas.openxmlformats.org/officeDocument/2006/relationships" name="YTD BS" sheetId="6" state="hidden" r:id="rId6"/>
    <sheet xmlns:r="http://schemas.openxmlformats.org/officeDocument/2006/relationships" name="YTD CF" sheetId="7" state="hidden" r:id="rId7"/>
    <sheet xmlns:r="http://schemas.openxmlformats.org/officeDocument/2006/relationships" name="QTR P&amp;L" sheetId="8" state="visible" r:id="rId8"/>
    <sheet xmlns:r="http://schemas.openxmlformats.org/officeDocument/2006/relationships" name="QTR BS" sheetId="9" state="visible" r:id="rId9"/>
    <sheet xmlns:r="http://schemas.openxmlformats.org/officeDocument/2006/relationships" name="QTR CF" sheetId="10" state="visible" r:id="rId10"/>
    <sheet xmlns:r="http://schemas.openxmlformats.org/officeDocument/2006/relationships" name="IS DRIVERS" sheetId="11" state="visible" r:id="rId11"/>
    <sheet xmlns:r="http://schemas.openxmlformats.org/officeDocument/2006/relationships" name="BS DRIVERS" sheetId="12" state="visible" r:id="rId12"/>
    <sheet xmlns:r="http://schemas.openxmlformats.org/officeDocument/2006/relationships" name="CF DRIV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-&quot;"/>
    <numFmt numFmtId="165" formatCode="$#,##0_);($#,##0);&quot;$--&quot;_)"/>
    <numFmt numFmtId="166" formatCode="$#,##0.00_);($#,##0.00)"/>
    <numFmt numFmtId="167" formatCode="0.0%;(0.0%);&quot;--&quot;"/>
    <numFmt numFmtId="168" formatCode="0.0_);(0.0)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2" fillId="0" borderId="1" pivotButton="0" quotePrefix="0" xfId="0"/>
    <xf numFmtId="165" fontId="2" fillId="3" borderId="1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4" borderId="0" pivotButton="0" quotePrefix="0" xfId="0"/>
    <xf numFmtId="164" fontId="0" fillId="3" borderId="0" pivotButton="0" quotePrefix="0" xfId="0"/>
    <xf numFmtId="0" fontId="0" fillId="4" borderId="0" applyAlignment="1" pivotButton="0" quotePrefix="0" xfId="0">
      <alignment horizontal="center"/>
    </xf>
    <xf numFmtId="167" fontId="0" fillId="0" borderId="0" pivotButton="0" quotePrefix="0" xfId="0"/>
    <xf numFmtId="167" fontId="0" fillId="4" borderId="0" pivotButton="0" quotePrefix="0" xfId="0"/>
    <xf numFmtId="164" fontId="0" fillId="4" borderId="0" pivotButton="0" quotePrefix="0" xfId="0"/>
    <xf numFmtId="168" fontId="0" fillId="0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Note</t>
        </is>
      </c>
    </row>
    <row r="2">
      <c r="A2" s="3" t="inlineStr">
        <is>
          <t>Days in Quarter</t>
        </is>
      </c>
      <c r="B2" s="10" t="n">
        <v>91</v>
      </c>
      <c r="C2" t="inlineStr">
        <is>
          <t>Used by DSO/DIO/DPO ratios. Approximation; varies 89-92 by quarter.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  <c r="N1" s="2" t="inlineStr">
        <is>
          <t>FY2031E</t>
        </is>
      </c>
    </row>
    <row r="2">
      <c r="A2" s="3" t="inlineStr">
        <is>
          <t>Net Sales / Revenue</t>
        </is>
      </c>
      <c r="B2" s="4" t="n">
        <v>75146.546</v>
      </c>
      <c r="C2" s="4" t="n">
        <v>130725.777</v>
      </c>
      <c r="D2" s="4" t="n">
        <v>314271.559</v>
      </c>
      <c r="E2" s="4" t="n">
        <v>653604</v>
      </c>
      <c r="F2" s="4" t="n">
        <v>1318014</v>
      </c>
      <c r="G2" s="4" t="n">
        <v>1355630</v>
      </c>
      <c r="H2" s="4" t="n">
        <v>2515269</v>
      </c>
      <c r="I2" s="11">
        <f>'QTR P&amp;L'!AD2+'QTR P&amp;L'!AE2+'QTR P&amp;L'!AF2+'QTR P&amp;L'!AG2</f>
        <v/>
      </c>
      <c r="J2" s="11">
        <f>'QTR P&amp;L'!AH2+'QTR P&amp;L'!AI2+'QTR P&amp;L'!AJ2+'QTR P&amp;L'!AK2</f>
        <v/>
      </c>
      <c r="K2" s="11">
        <f>'QTR P&amp;L'!AL2+'QTR P&amp;L'!AM2+'QTR P&amp;L'!AN2+'QTR P&amp;L'!AO2</f>
        <v/>
      </c>
      <c r="L2" s="11">
        <f>'QTR P&amp;L'!AP2+'QTR P&amp;L'!AQ2+'QTR P&amp;L'!AR2+'QTR P&amp;L'!AS2</f>
        <v/>
      </c>
      <c r="M2" s="11">
        <f>'QTR P&amp;L'!AT2+'QTR P&amp;L'!AU2+'QTR P&amp;L'!AV2+'QTR P&amp;L'!AW2</f>
        <v/>
      </c>
      <c r="N2" s="5" t="n"/>
    </row>
    <row r="3">
      <c r="A3" s="3" t="inlineStr">
        <is>
          <t>COGS</t>
        </is>
      </c>
      <c r="B3" s="4" t="n">
        <v>-43844.733</v>
      </c>
      <c r="C3" s="4" t="n">
        <v>-69752.03200000001</v>
      </c>
      <c r="D3" s="4" t="n">
        <v>-186103.035</v>
      </c>
      <c r="E3" s="4" t="n">
        <v>-382735</v>
      </c>
      <c r="F3" s="4" t="n">
        <v>-684875</v>
      </c>
      <c r="G3" s="4" t="n">
        <v>-675423</v>
      </c>
      <c r="H3" s="4" t="n">
        <v>-1247936</v>
      </c>
      <c r="I3" s="11">
        <f>'QTR P&amp;L'!AD3+'QTR P&amp;L'!AE3+'QTR P&amp;L'!AF3+'QTR P&amp;L'!AG3</f>
        <v/>
      </c>
      <c r="J3" s="11">
        <f>'QTR P&amp;L'!AH3+'QTR P&amp;L'!AI3+'QTR P&amp;L'!AJ3+'QTR P&amp;L'!AK3</f>
        <v/>
      </c>
      <c r="K3" s="11">
        <f>'QTR P&amp;L'!AL3+'QTR P&amp;L'!AM3+'QTR P&amp;L'!AN3+'QTR P&amp;L'!AO3</f>
        <v/>
      </c>
      <c r="L3" s="11">
        <f>'QTR P&amp;L'!AP3+'QTR P&amp;L'!AQ3+'QTR P&amp;L'!AR3+'QTR P&amp;L'!AS3</f>
        <v/>
      </c>
      <c r="M3" s="11">
        <f>'QTR P&amp;L'!AT3+'QTR P&amp;L'!AU3+'QTR P&amp;L'!AV3+'QTR P&amp;L'!AW3</f>
        <v/>
      </c>
      <c r="N3" s="5" t="n"/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7">
        <f>I2+I3</f>
        <v/>
      </c>
      <c r="J4" s="7">
        <f>J2+J3</f>
        <v/>
      </c>
      <c r="K4" s="7">
        <f>K2+K3</f>
        <v/>
      </c>
      <c r="L4" s="7">
        <f>L2+L3</f>
        <v/>
      </c>
      <c r="M4" s="7">
        <f>M2+M3</f>
        <v/>
      </c>
      <c r="N4" s="7">
        <f>N2+N3</f>
        <v/>
      </c>
    </row>
    <row r="5">
      <c r="A5" s="3" t="inlineStr">
        <is>
          <t>Sales and Marketing</t>
        </is>
      </c>
      <c r="B5" s="4" t="n">
        <v>-21129.722</v>
      </c>
      <c r="C5" s="4" t="n">
        <v>-34875.339</v>
      </c>
      <c r="D5" s="4" t="n">
        <v>-74738.295</v>
      </c>
      <c r="E5" s="4" t="n">
        <v>0</v>
      </c>
      <c r="F5" s="4" t="n">
        <v>0</v>
      </c>
      <c r="G5" s="4" t="n">
        <v>0</v>
      </c>
      <c r="H5" s="4" t="n">
        <v>0</v>
      </c>
      <c r="I5" s="11">
        <f>'QTR P&amp;L'!AD5+'QTR P&amp;L'!AE5+'QTR P&amp;L'!AF5+'QTR P&amp;L'!AG5</f>
        <v/>
      </c>
      <c r="J5" s="11">
        <f>'QTR P&amp;L'!AH5+'QTR P&amp;L'!AI5+'QTR P&amp;L'!AJ5+'QTR P&amp;L'!AK5</f>
        <v/>
      </c>
      <c r="K5" s="11">
        <f>'QTR P&amp;L'!AL5+'QTR P&amp;L'!AM5+'QTR P&amp;L'!AN5+'QTR P&amp;L'!AO5</f>
        <v/>
      </c>
      <c r="L5" s="11">
        <f>'QTR P&amp;L'!AP5+'QTR P&amp;L'!AQ5+'QTR P&amp;L'!AR5+'QTR P&amp;L'!AS5</f>
        <v/>
      </c>
      <c r="M5" s="11">
        <f>'QTR P&amp;L'!AT5+'QTR P&amp;L'!AU5+'QTR P&amp;L'!AV5+'QTR P&amp;L'!AW5</f>
        <v/>
      </c>
      <c r="N5" s="5" t="n"/>
    </row>
    <row r="6">
      <c r="A6" s="3" t="inlineStr">
        <is>
          <t>General and Administrative</t>
        </is>
      </c>
      <c r="B6" s="4" t="n">
        <v>-11620.534</v>
      </c>
      <c r="C6" s="4" t="n">
        <v>-18187.406</v>
      </c>
      <c r="D6" s="4" t="n">
        <v>-57519.745</v>
      </c>
      <c r="E6" s="4" t="n">
        <v>0</v>
      </c>
      <c r="F6" s="4" t="n">
        <v>0</v>
      </c>
      <c r="G6" s="4" t="n">
        <v>0</v>
      </c>
      <c r="H6" s="4" t="n">
        <v>0</v>
      </c>
      <c r="I6" s="11">
        <f>'QTR P&amp;L'!AD6+'QTR P&amp;L'!AE6+'QTR P&amp;L'!AF6+'QTR P&amp;L'!AG6</f>
        <v/>
      </c>
      <c r="J6" s="11">
        <f>'QTR P&amp;L'!AH6+'QTR P&amp;L'!AI6+'QTR P&amp;L'!AJ6+'QTR P&amp;L'!AK6</f>
        <v/>
      </c>
      <c r="K6" s="11">
        <f>'QTR P&amp;L'!AL6+'QTR P&amp;L'!AM6+'QTR P&amp;L'!AN6+'QTR P&amp;L'!AO6</f>
        <v/>
      </c>
      <c r="L6" s="11">
        <f>'QTR P&amp;L'!AP6+'QTR P&amp;L'!AQ6+'QTR P&amp;L'!AR6+'QTR P&amp;L'!AS6</f>
        <v/>
      </c>
      <c r="M6" s="11">
        <f>'QTR P&amp;L'!AT6+'QTR P&amp;L'!AU6+'QTR P&amp;L'!AV6+'QTR P&amp;L'!AW6</f>
        <v/>
      </c>
      <c r="N6" s="5" t="n"/>
    </row>
    <row r="7">
      <c r="A7" s="3" t="inlineStr">
        <is>
          <t>Operating Expenses</t>
        </is>
      </c>
      <c r="B7" s="4" t="n">
        <v>-32750.256</v>
      </c>
      <c r="C7" s="4" t="n">
        <v>-53062.745</v>
      </c>
      <c r="D7" s="4" t="n">
        <v>-132258.04</v>
      </c>
      <c r="E7" s="4" t="n">
        <v>0</v>
      </c>
      <c r="F7" s="4" t="n">
        <v>0</v>
      </c>
      <c r="G7" s="4" t="n">
        <v>0</v>
      </c>
      <c r="H7" s="4" t="n">
        <v>0</v>
      </c>
      <c r="I7" s="11">
        <f>'QTR P&amp;L'!AD7+'QTR P&amp;L'!AE7+'QTR P&amp;L'!AF7+'QTR P&amp;L'!AG7</f>
        <v/>
      </c>
      <c r="J7" s="11">
        <f>'QTR P&amp;L'!AH7+'QTR P&amp;L'!AI7+'QTR P&amp;L'!AJ7+'QTR P&amp;L'!AK7</f>
        <v/>
      </c>
      <c r="K7" s="11">
        <f>'QTR P&amp;L'!AL7+'QTR P&amp;L'!AM7+'QTR P&amp;L'!AN7+'QTR P&amp;L'!AO7</f>
        <v/>
      </c>
      <c r="L7" s="11">
        <f>'QTR P&amp;L'!AP7+'QTR P&amp;L'!AQ7+'QTR P&amp;L'!AR7+'QTR P&amp;L'!AS7</f>
        <v/>
      </c>
      <c r="M7" s="11">
        <f>'QTR P&amp;L'!AT7+'QTR P&amp;L'!AU7+'QTR P&amp;L'!AV7+'QTR P&amp;L'!AW7</f>
        <v/>
      </c>
      <c r="N7" s="5" t="n"/>
    </row>
    <row r="8">
      <c r="A8" s="3" t="inlineStr">
        <is>
          <t>SG&amp;A</t>
        </is>
      </c>
      <c r="B8" s="4" t="n">
        <v>0</v>
      </c>
      <c r="C8" s="4" t="n">
        <v>0</v>
      </c>
      <c r="D8" s="4" t="n">
        <v>0</v>
      </c>
      <c r="E8" s="4" t="n">
        <v>-428670</v>
      </c>
      <c r="F8" s="4" t="n">
        <v>-366773</v>
      </c>
      <c r="G8" s="4" t="n">
        <v>-524479</v>
      </c>
      <c r="H8" s="4" t="n">
        <v>-798810</v>
      </c>
      <c r="I8" s="11">
        <f>'QTR P&amp;L'!AD8+'QTR P&amp;L'!AE8+'QTR P&amp;L'!AF8+'QTR P&amp;L'!AG8</f>
        <v/>
      </c>
      <c r="J8" s="11">
        <f>'QTR P&amp;L'!AH8+'QTR P&amp;L'!AI8+'QTR P&amp;L'!AJ8+'QTR P&amp;L'!AK8</f>
        <v/>
      </c>
      <c r="K8" s="11">
        <f>'QTR P&amp;L'!AL8+'QTR P&amp;L'!AM8+'QTR P&amp;L'!AN8+'QTR P&amp;L'!AO8</f>
        <v/>
      </c>
      <c r="L8" s="11">
        <f>'QTR P&amp;L'!AP8+'QTR P&amp;L'!AQ8+'QTR P&amp;L'!AR8+'QTR P&amp;L'!AS8</f>
        <v/>
      </c>
      <c r="M8" s="11">
        <f>'QTR P&amp;L'!AT8+'QTR P&amp;L'!AU8+'QTR P&amp;L'!AV8+'QTR P&amp;L'!AW8</f>
        <v/>
      </c>
      <c r="N8" s="5" t="n"/>
    </row>
    <row r="9">
      <c r="A9" s="3" t="inlineStr">
        <is>
          <t>Distributor Termination Fees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-327461</v>
      </c>
      <c r="I9" s="11">
        <f>'QTR P&amp;L'!AD9+'QTR P&amp;L'!AE9+'QTR P&amp;L'!AF9+'QTR P&amp;L'!AG9</f>
        <v/>
      </c>
      <c r="J9" s="11">
        <f>'QTR P&amp;L'!AH9+'QTR P&amp;L'!AI9+'QTR P&amp;L'!AJ9+'QTR P&amp;L'!AK9</f>
        <v/>
      </c>
      <c r="K9" s="11">
        <f>'QTR P&amp;L'!AL9+'QTR P&amp;L'!AM9+'QTR P&amp;L'!AN9+'QTR P&amp;L'!AO9</f>
        <v/>
      </c>
      <c r="L9" s="11">
        <f>'QTR P&amp;L'!AP9+'QTR P&amp;L'!AQ9+'QTR P&amp;L'!AR9+'QTR P&amp;L'!AS9</f>
        <v/>
      </c>
      <c r="M9" s="11">
        <f>'QTR P&amp;L'!AT9+'QTR P&amp;L'!AU9+'QTR P&amp;L'!AV9+'QTR P&amp;L'!AW9</f>
        <v/>
      </c>
      <c r="N9" s="5" t="n"/>
    </row>
    <row r="10">
      <c r="A10" s="3" t="inlineStr">
        <is>
          <t>Income (Loss) from Operations</t>
        </is>
      </c>
      <c r="B10" s="6">
        <f>B4+SUM(B5:B9)</f>
        <v/>
      </c>
      <c r="C10" s="6">
        <f>C4+SUM(C5:C9)</f>
        <v/>
      </c>
      <c r="D10" s="6">
        <f>D4+SUM(D5:D9)</f>
        <v/>
      </c>
      <c r="E10" s="6">
        <f>E4+SUM(E5:E9)</f>
        <v/>
      </c>
      <c r="F10" s="6">
        <f>F4+SUM(F5:F9)</f>
        <v/>
      </c>
      <c r="G10" s="6">
        <f>G4+SUM(G5:G9)</f>
        <v/>
      </c>
      <c r="H10" s="6">
        <f>H4+SUM(H5:H9)</f>
        <v/>
      </c>
      <c r="I10" s="7">
        <f>I4+SUM(I5:I9)</f>
        <v/>
      </c>
      <c r="J10" s="7">
        <f>J4+SUM(J5:J9)</f>
        <v/>
      </c>
      <c r="K10" s="7">
        <f>K4+SUM(K5:K9)</f>
        <v/>
      </c>
      <c r="L10" s="7">
        <f>L4+SUM(L5:L9)</f>
        <v/>
      </c>
      <c r="M10" s="7">
        <f>M4+SUM(M5:M9)</f>
        <v/>
      </c>
      <c r="N10" s="7">
        <f>N4+SUM(N5:N9)</f>
        <v/>
      </c>
    </row>
    <row r="11">
      <c r="A11" s="3" t="inlineStr">
        <is>
          <t>Interest Income (Expense)</t>
        </is>
      </c>
      <c r="B11" s="4" t="n">
        <v>-1011.755</v>
      </c>
      <c r="C11" s="4" t="n">
        <v>-668.4109999999999</v>
      </c>
      <c r="D11" s="4" t="n">
        <v>307.328</v>
      </c>
      <c r="E11" s="4" t="n">
        <v>5529</v>
      </c>
      <c r="F11" s="4" t="n">
        <v>26629</v>
      </c>
      <c r="G11" s="4" t="n">
        <v>39263</v>
      </c>
      <c r="H11" s="4" t="n">
        <v>-27892</v>
      </c>
      <c r="I11" s="11">
        <f>'QTR P&amp;L'!AD11+'QTR P&amp;L'!AE11+'QTR P&amp;L'!AF11+'QTR P&amp;L'!AG11</f>
        <v/>
      </c>
      <c r="J11" s="11">
        <f>'QTR P&amp;L'!AH11+'QTR P&amp;L'!AI11+'QTR P&amp;L'!AJ11+'QTR P&amp;L'!AK11</f>
        <v/>
      </c>
      <c r="K11" s="11">
        <f>'QTR P&amp;L'!AL11+'QTR P&amp;L'!AM11+'QTR P&amp;L'!AN11+'QTR P&amp;L'!AO11</f>
        <v/>
      </c>
      <c r="L11" s="11">
        <f>'QTR P&amp;L'!AP11+'QTR P&amp;L'!AQ11+'QTR P&amp;L'!AR11+'QTR P&amp;L'!AS11</f>
        <v/>
      </c>
      <c r="M11" s="11">
        <f>'QTR P&amp;L'!AT11+'QTR P&amp;L'!AU11+'QTR P&amp;L'!AV11+'QTR P&amp;L'!AW11</f>
        <v/>
      </c>
      <c r="N11" s="5" t="n"/>
    </row>
    <row r="12">
      <c r="A12" s="3" t="inlineStr">
        <is>
          <t>Foreign Currency Gain (Loss)</t>
        </is>
      </c>
      <c r="B12" s="4" t="n">
        <v>0</v>
      </c>
      <c r="C12" s="4" t="n">
        <v>1375.925</v>
      </c>
      <c r="D12" s="4" t="n">
        <v>-276.259</v>
      </c>
      <c r="E12" s="4" t="n">
        <v>-392</v>
      </c>
      <c r="F12" s="4" t="n">
        <v>-1246</v>
      </c>
      <c r="G12" s="4" t="n">
        <v>-1734</v>
      </c>
      <c r="H12" s="4" t="n">
        <v>0</v>
      </c>
      <c r="I12" s="11">
        <f>'QTR P&amp;L'!AD13+'QTR P&amp;L'!AE13+'QTR P&amp;L'!AF13+'QTR P&amp;L'!AG13</f>
        <v/>
      </c>
      <c r="J12" s="11">
        <f>'QTR P&amp;L'!AH13+'QTR P&amp;L'!AI13+'QTR P&amp;L'!AJ13+'QTR P&amp;L'!AK13</f>
        <v/>
      </c>
      <c r="K12" s="11">
        <f>'QTR P&amp;L'!AL13+'QTR P&amp;L'!AM13+'QTR P&amp;L'!AN13+'QTR P&amp;L'!AO13</f>
        <v/>
      </c>
      <c r="L12" s="11">
        <f>'QTR P&amp;L'!AP13+'QTR P&amp;L'!AQ13+'QTR P&amp;L'!AR13+'QTR P&amp;L'!AS13</f>
        <v/>
      </c>
      <c r="M12" s="11">
        <f>'QTR P&amp;L'!AT13+'QTR P&amp;L'!AU13+'QTR P&amp;L'!AV13+'QTR P&amp;L'!AW13</f>
        <v/>
      </c>
      <c r="N12" s="5" t="n"/>
    </row>
    <row r="13">
      <c r="A13" s="3" t="inlineStr">
        <is>
          <t>Other Income (Expense)</t>
        </is>
      </c>
      <c r="B13" s="4" t="n">
        <v>12431.458</v>
      </c>
      <c r="C13" s="4" t="n">
        <v>-49.1</v>
      </c>
      <c r="D13" s="4" t="n">
        <v>0</v>
      </c>
      <c r="E13" s="4" t="n">
        <v>0</v>
      </c>
      <c r="F13" s="4" t="n">
        <v>0</v>
      </c>
      <c r="G13" s="4" t="n">
        <v>1793</v>
      </c>
      <c r="H13" s="4" t="n">
        <v>11863</v>
      </c>
      <c r="I13" s="11">
        <f>'QTR P&amp;L'!AD12+'QTR P&amp;L'!AE12+'QTR P&amp;L'!AF12+'QTR P&amp;L'!AG12</f>
        <v/>
      </c>
      <c r="J13" s="11">
        <f>'QTR P&amp;L'!AH12+'QTR P&amp;L'!AI12+'QTR P&amp;L'!AJ12+'QTR P&amp;L'!AK12</f>
        <v/>
      </c>
      <c r="K13" s="11">
        <f>'QTR P&amp;L'!AL12+'QTR P&amp;L'!AM12+'QTR P&amp;L'!AN12+'QTR P&amp;L'!AO12</f>
        <v/>
      </c>
      <c r="L13" s="11">
        <f>'QTR P&amp;L'!AP12+'QTR P&amp;L'!AQ12+'QTR P&amp;L'!AR12+'QTR P&amp;L'!AS12</f>
        <v/>
      </c>
      <c r="M13" s="11">
        <f>'QTR P&amp;L'!AT12+'QTR P&amp;L'!AU12+'QTR P&amp;L'!AV12+'QTR P&amp;L'!AW12</f>
        <v/>
      </c>
      <c r="N13" s="5" t="n"/>
    </row>
    <row r="14">
      <c r="A14" s="3" t="inlineStr">
        <is>
          <t>Gain (Loss) on Lease Cancellations</t>
        </is>
      </c>
      <c r="B14" s="4" t="n">
        <v>0</v>
      </c>
      <c r="C14" s="4" t="n">
        <v>152.112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11">
        <f>'QTR P&amp;L'!AD14+'QTR P&amp;L'!AE14+'QTR P&amp;L'!AF14+'QTR P&amp;L'!AG14</f>
        <v/>
      </c>
      <c r="J14" s="11">
        <f>'QTR P&amp;L'!AH14+'QTR P&amp;L'!AI14+'QTR P&amp;L'!AJ14+'QTR P&amp;L'!AK14</f>
        <v/>
      </c>
      <c r="K14" s="11">
        <f>'QTR P&amp;L'!AL14+'QTR P&amp;L'!AM14+'QTR P&amp;L'!AN14+'QTR P&amp;L'!AO14</f>
        <v/>
      </c>
      <c r="L14" s="11">
        <f>'QTR P&amp;L'!AP14+'QTR P&amp;L'!AQ14+'QTR P&amp;L'!AR14+'QTR P&amp;L'!AS14</f>
        <v/>
      </c>
      <c r="M14" s="11">
        <f>'QTR P&amp;L'!AT14+'QTR P&amp;L'!AU14+'QTR P&amp;L'!AV14+'QTR P&amp;L'!AW14</f>
        <v/>
      </c>
      <c r="N14" s="5" t="n"/>
    </row>
    <row r="15">
      <c r="A15" s="3" t="inlineStr">
        <is>
          <t>Income Tax (Expense) Benefit</t>
        </is>
      </c>
      <c r="B15" s="4" t="n">
        <v>0</v>
      </c>
      <c r="C15" s="4" t="n">
        <v>-197.677</v>
      </c>
      <c r="D15" s="4" t="n">
        <v>7995.72</v>
      </c>
      <c r="E15" s="4" t="n">
        <v>-34618</v>
      </c>
      <c r="F15" s="4" t="n">
        <v>-64948</v>
      </c>
      <c r="G15" s="4" t="n">
        <v>-49976</v>
      </c>
      <c r="H15" s="4" t="n">
        <v>-17034</v>
      </c>
      <c r="I15" s="11">
        <f>'QTR P&amp;L'!AD15+'QTR P&amp;L'!AE15+'QTR P&amp;L'!AF15+'QTR P&amp;L'!AG15</f>
        <v/>
      </c>
      <c r="J15" s="11">
        <f>'QTR P&amp;L'!AH15+'QTR P&amp;L'!AI15+'QTR P&amp;L'!AJ15+'QTR P&amp;L'!AK15</f>
        <v/>
      </c>
      <c r="K15" s="11">
        <f>'QTR P&amp;L'!AL15+'QTR P&amp;L'!AM15+'QTR P&amp;L'!AN15+'QTR P&amp;L'!AO15</f>
        <v/>
      </c>
      <c r="L15" s="11">
        <f>'QTR P&amp;L'!AP15+'QTR P&amp;L'!AQ15+'QTR P&amp;L'!AR15+'QTR P&amp;L'!AS15</f>
        <v/>
      </c>
      <c r="M15" s="11">
        <f>'QTR P&amp;L'!AT15+'QTR P&amp;L'!AU15+'QTR P&amp;L'!AV15+'QTR P&amp;L'!AW15</f>
        <v/>
      </c>
      <c r="N15" s="5" t="n"/>
    </row>
    <row r="16">
      <c r="A16" s="3" t="inlineStr">
        <is>
          <t>Pre-Tax Income (Loss)</t>
        </is>
      </c>
      <c r="B16" s="6">
        <f>B10+SUM(B11:B15)</f>
        <v/>
      </c>
      <c r="C16" s="6">
        <f>C10+SUM(C11:C15)</f>
        <v/>
      </c>
      <c r="D16" s="6">
        <f>D10+SUM(D11:D15)</f>
        <v/>
      </c>
      <c r="E16" s="6">
        <f>E10+SUM(E11:E15)</f>
        <v/>
      </c>
      <c r="F16" s="6">
        <f>F10+SUM(F11:F15)</f>
        <v/>
      </c>
      <c r="G16" s="6">
        <f>G10+SUM(G11:G15)</f>
        <v/>
      </c>
      <c r="H16" s="6">
        <f>H10+SUM(H11:H15)</f>
        <v/>
      </c>
      <c r="I16" s="7">
        <f>I10+SUM(I11:I15)</f>
        <v/>
      </c>
      <c r="J16" s="7">
        <f>J10+SUM(J11:J15)</f>
        <v/>
      </c>
      <c r="K16" s="7">
        <f>K10+SUM(K11:K15)</f>
        <v/>
      </c>
      <c r="L16" s="7">
        <f>L10+SUM(L11:L15)</f>
        <v/>
      </c>
      <c r="M16" s="7">
        <f>M10+SUM(M11:M15)</f>
        <v/>
      </c>
      <c r="N16" s="7">
        <f>N10+SUM(N11:N15)</f>
        <v/>
      </c>
    </row>
    <row r="17">
      <c r="A17" s="3" t="inlineStr">
        <is>
          <t>Net Income (Loss)</t>
        </is>
      </c>
      <c r="B17" s="6">
        <f>B16</f>
        <v/>
      </c>
      <c r="C17" s="6">
        <f>C16</f>
        <v/>
      </c>
      <c r="D17" s="6">
        <f>D16</f>
        <v/>
      </c>
      <c r="E17" s="6">
        <f>E16</f>
        <v/>
      </c>
      <c r="F17" s="6">
        <f>F16</f>
        <v/>
      </c>
      <c r="G17" s="6">
        <f>G16</f>
        <v/>
      </c>
      <c r="H17" s="6">
        <f>H16</f>
        <v/>
      </c>
      <c r="I17" s="7">
        <f>I16</f>
        <v/>
      </c>
      <c r="J17" s="7">
        <f>J16</f>
        <v/>
      </c>
      <c r="K17" s="7">
        <f>K16</f>
        <v/>
      </c>
      <c r="L17" s="7">
        <f>L16</f>
        <v/>
      </c>
      <c r="M17" s="7">
        <f>M16</f>
        <v/>
      </c>
      <c r="N17" s="7">
        <f>N16</f>
        <v/>
      </c>
    </row>
    <row r="18">
      <c r="A18" s="3" t="inlineStr">
        <is>
          <t>Basic Earnings (Loss) per Share</t>
        </is>
      </c>
      <c r="B18" s="8" t="n">
        <v>0.16</v>
      </c>
      <c r="C18" s="8" t="n">
        <v>0.12</v>
      </c>
      <c r="D18" s="8" t="n">
        <v>0.05</v>
      </c>
      <c r="E18" s="8" t="n">
        <v>0</v>
      </c>
      <c r="F18" s="8" t="n">
        <v>0</v>
      </c>
      <c r="G18" s="8" t="n">
        <v>0</v>
      </c>
      <c r="H18" s="8" t="n">
        <v>0</v>
      </c>
      <c r="I18" s="9" t="n"/>
      <c r="J18" s="9" t="n"/>
      <c r="K18" s="9" t="n"/>
      <c r="L18" s="9" t="n"/>
      <c r="M18" s="9" t="n"/>
      <c r="N18" s="9" t="n"/>
    </row>
    <row r="19">
      <c r="A19" s="3" t="inlineStr">
        <is>
          <t>Diluted Earnings (Loss) per Share</t>
        </is>
      </c>
      <c r="B19" s="8" t="n">
        <v>0.16</v>
      </c>
      <c r="C19" s="8" t="n">
        <v>0.11</v>
      </c>
      <c r="D19" s="8" t="n">
        <v>0.05</v>
      </c>
      <c r="E19" s="8" t="n">
        <v>0</v>
      </c>
      <c r="F19" s="8" t="n">
        <v>0</v>
      </c>
      <c r="G19" s="8" t="n">
        <v>0</v>
      </c>
      <c r="H19" s="8" t="n">
        <v>0</v>
      </c>
      <c r="I19" s="9" t="n"/>
      <c r="J19" s="9" t="n"/>
      <c r="K19" s="9" t="n"/>
      <c r="L19" s="9" t="n"/>
      <c r="M19" s="9" t="n"/>
      <c r="N19" s="9" t="n"/>
    </row>
    <row r="20">
      <c r="A20" s="3" t="inlineStr">
        <is>
          <t>Weighted Average Shares Outstanding (Basic)</t>
        </is>
      </c>
      <c r="B20" s="4" t="n">
        <v>60761995</v>
      </c>
      <c r="C20" s="4" t="n">
        <v>70195085</v>
      </c>
      <c r="D20" s="4" t="n">
        <v>151469631</v>
      </c>
      <c r="E20" s="4" t="n">
        <v>0</v>
      </c>
      <c r="F20" s="4" t="n">
        <v>0</v>
      </c>
      <c r="G20" s="4" t="n">
        <v>0</v>
      </c>
      <c r="H20" s="4" t="n">
        <v>0</v>
      </c>
      <c r="I20" s="5" t="n"/>
      <c r="J20" s="5" t="n"/>
      <c r="K20" s="5" t="n"/>
      <c r="L20" s="5" t="n"/>
      <c r="M20" s="5" t="n"/>
      <c r="N20" s="5" t="n"/>
    </row>
    <row r="21">
      <c r="A21" s="3" t="inlineStr">
        <is>
          <t>Weighted Average Shares Outstanding (Diluted)</t>
        </is>
      </c>
      <c r="B21" s="4" t="n">
        <v>64183399</v>
      </c>
      <c r="C21" s="4" t="n">
        <v>74443601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5" t="n"/>
      <c r="J21" s="5" t="n"/>
      <c r="K21" s="5" t="n"/>
      <c r="L21" s="5" t="n"/>
      <c r="M21" s="5" t="n"/>
      <c r="N21" s="5" t="n"/>
    </row>
    <row r="22">
      <c r="A22" s="3" t="inlineStr">
        <is>
          <t>Preferred Dividends</t>
        </is>
      </c>
      <c r="B22" s="4" t="n">
        <v>0</v>
      </c>
      <c r="C22" s="4" t="n">
        <v>0</v>
      </c>
      <c r="D22" s="4" t="n">
        <v>0</v>
      </c>
      <c r="E22" s="4" t="n">
        <v>-11526</v>
      </c>
      <c r="F22" s="4" t="n">
        <v>-27462</v>
      </c>
      <c r="G22" s="4" t="n">
        <v>-27500</v>
      </c>
      <c r="H22" s="4" t="n">
        <v>-37608</v>
      </c>
      <c r="I22" s="11">
        <f>'QTR P&amp;L'!AD22+'QTR P&amp;L'!AE22+'QTR P&amp;L'!AF22+'QTR P&amp;L'!AG22</f>
        <v/>
      </c>
      <c r="J22" s="11">
        <f>'QTR P&amp;L'!AH22+'QTR P&amp;L'!AI22+'QTR P&amp;L'!AJ22+'QTR P&amp;L'!AK22</f>
        <v/>
      </c>
      <c r="K22" s="11">
        <f>'QTR P&amp;L'!AL22+'QTR P&amp;L'!AM22+'QTR P&amp;L'!AN22+'QTR P&amp;L'!AO22</f>
        <v/>
      </c>
      <c r="L22" s="11">
        <f>'QTR P&amp;L'!AP22+'QTR P&amp;L'!AQ22+'QTR P&amp;L'!AR22+'QTR P&amp;L'!AS22</f>
        <v/>
      </c>
      <c r="M22" s="11">
        <f>'QTR P&amp;L'!AT22+'QTR P&amp;L'!AU22+'QTR P&amp;L'!AV22+'QTR P&amp;L'!AW22</f>
        <v/>
      </c>
      <c r="N22" s="5" t="n"/>
    </row>
    <row r="23">
      <c r="A23" s="3" t="inlineStr">
        <is>
          <t>Income Allocated to Participating Preferred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-17348</v>
      </c>
      <c r="G23" s="4" t="n">
        <v>-10117</v>
      </c>
      <c r="H23" s="4" t="n">
        <v>-6554</v>
      </c>
      <c r="I23" s="11">
        <f>'QTR P&amp;L'!AD23+'QTR P&amp;L'!AE23+'QTR P&amp;L'!AF23+'QTR P&amp;L'!AG23</f>
        <v/>
      </c>
      <c r="J23" s="11">
        <f>'QTR P&amp;L'!AH23+'QTR P&amp;L'!AI23+'QTR P&amp;L'!AJ23+'QTR P&amp;L'!AK23</f>
        <v/>
      </c>
      <c r="K23" s="11">
        <f>'QTR P&amp;L'!AL23+'QTR P&amp;L'!AM23+'QTR P&amp;L'!AN23+'QTR P&amp;L'!AO23</f>
        <v/>
      </c>
      <c r="L23" s="11">
        <f>'QTR P&amp;L'!AP23+'QTR P&amp;L'!AQ23+'QTR P&amp;L'!AR23+'QTR P&amp;L'!AS23</f>
        <v/>
      </c>
      <c r="M23" s="11">
        <f>'QTR P&amp;L'!AT23+'QTR P&amp;L'!AU23+'QTR P&amp;L'!AV23+'QTR P&amp;L'!AW23</f>
        <v/>
      </c>
      <c r="N23" s="5" t="n"/>
    </row>
    <row r="24">
      <c r="A24" s="3" t="inlineStr">
        <is>
          <t>Net Income (Loss) Attributable to Common Shareholders</t>
        </is>
      </c>
      <c r="B24" s="6">
        <f>B17+B22+B23</f>
        <v/>
      </c>
      <c r="C24" s="6">
        <f>C17+C22+C23</f>
        <v/>
      </c>
      <c r="D24" s="6">
        <f>D17+D22+D23</f>
        <v/>
      </c>
      <c r="E24" s="6">
        <f>E17+E22+E23</f>
        <v/>
      </c>
      <c r="F24" s="6">
        <f>F17+F22+F23</f>
        <v/>
      </c>
      <c r="G24" s="6">
        <f>G17+G22+G23</f>
        <v/>
      </c>
      <c r="H24" s="6">
        <f>H17+H22+H23</f>
        <v/>
      </c>
      <c r="I24" s="7">
        <f>I17+I22+I23</f>
        <v/>
      </c>
      <c r="J24" s="7">
        <f>J17+J22+J23</f>
        <v/>
      </c>
      <c r="K24" s="7">
        <f>K17+K22+K23</f>
        <v/>
      </c>
      <c r="L24" s="7">
        <f>L17+L22+L23</f>
        <v/>
      </c>
      <c r="M24" s="7">
        <f>M17+M22+M23</f>
        <v/>
      </c>
      <c r="N24" s="7">
        <f>N17+N22+N23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  <c r="N1" s="2" t="inlineStr">
        <is>
          <t>FY2031E</t>
        </is>
      </c>
    </row>
    <row r="2">
      <c r="A2" s="3" t="inlineStr">
        <is>
          <t>Cash, Cash Equivalents &amp; Restricted Cash</t>
        </is>
      </c>
      <c r="B2" s="4" t="n">
        <v>23090.682</v>
      </c>
      <c r="C2" s="4" t="n">
        <v>43248.021</v>
      </c>
      <c r="D2" s="4" t="n">
        <v>16254.708</v>
      </c>
      <c r="E2" s="4" t="n">
        <v>652927</v>
      </c>
      <c r="F2" s="4" t="n">
        <v>755981</v>
      </c>
      <c r="G2" s="4" t="n">
        <v>890190</v>
      </c>
      <c r="H2" s="4" t="n">
        <v>539987</v>
      </c>
      <c r="I2" s="11">
        <f>'QTR BS'!AD2</f>
        <v/>
      </c>
      <c r="J2" s="11">
        <f>'QTR BS'!AH2</f>
        <v/>
      </c>
      <c r="K2" s="11">
        <f>'QTR BS'!AL2</f>
        <v/>
      </c>
      <c r="L2" s="11">
        <f>'QTR BS'!AP2</f>
        <v/>
      </c>
      <c r="M2" s="11">
        <f>'QTR BS'!AT2</f>
        <v/>
      </c>
      <c r="N2" s="5" t="n"/>
    </row>
    <row r="3">
      <c r="A3" s="3" t="inlineStr">
        <is>
          <t>Accounts Receivable</t>
        </is>
      </c>
      <c r="B3" s="4" t="n">
        <v>7774.618</v>
      </c>
      <c r="C3" s="4" t="n">
        <v>14986.213</v>
      </c>
      <c r="D3" s="4" t="n">
        <v>38741.049</v>
      </c>
      <c r="E3" s="4" t="n">
        <v>63311</v>
      </c>
      <c r="F3" s="4" t="n">
        <v>183703</v>
      </c>
      <c r="G3" s="4" t="n">
        <v>270342</v>
      </c>
      <c r="H3" s="4" t="n">
        <v>755499</v>
      </c>
      <c r="I3" s="11">
        <f>'QTR BS'!AD3</f>
        <v/>
      </c>
      <c r="J3" s="11">
        <f>'QTR BS'!AH3</f>
        <v/>
      </c>
      <c r="K3" s="11">
        <f>'QTR BS'!AL3</f>
        <v/>
      </c>
      <c r="L3" s="11">
        <f>'QTR BS'!AP3</f>
        <v/>
      </c>
      <c r="M3" s="11">
        <f>'QTR BS'!AT3</f>
        <v/>
      </c>
      <c r="N3" s="5" t="n"/>
    </row>
    <row r="4">
      <c r="A4" s="3" t="inlineStr">
        <is>
          <t>Note Receivable - Current</t>
        </is>
      </c>
      <c r="B4" s="4" t="n">
        <v>1181.116</v>
      </c>
      <c r="C4" s="4" t="n">
        <v>1885.887</v>
      </c>
      <c r="D4" s="4" t="n">
        <v>2587.905</v>
      </c>
      <c r="E4" s="4" t="n">
        <v>2979</v>
      </c>
      <c r="F4" s="4" t="n">
        <v>2318</v>
      </c>
      <c r="G4" s="4" t="n">
        <v>0</v>
      </c>
      <c r="H4" s="4" t="n">
        <v>0</v>
      </c>
      <c r="I4" s="11">
        <f>'QTR BS'!AD4</f>
        <v/>
      </c>
      <c r="J4" s="11">
        <f>'QTR BS'!AH4</f>
        <v/>
      </c>
      <c r="K4" s="11">
        <f>'QTR BS'!AL4</f>
        <v/>
      </c>
      <c r="L4" s="11">
        <f>'QTR BS'!AP4</f>
        <v/>
      </c>
      <c r="M4" s="11">
        <f>'QTR BS'!AT4</f>
        <v/>
      </c>
      <c r="N4" s="5" t="n"/>
    </row>
    <row r="5">
      <c r="A5" s="3" t="inlineStr">
        <is>
          <t>Inventories</t>
        </is>
      </c>
      <c r="B5" s="4" t="n">
        <v>15292.349</v>
      </c>
      <c r="C5" s="4" t="n">
        <v>18403.622</v>
      </c>
      <c r="D5" s="4" t="n">
        <v>191221.851</v>
      </c>
      <c r="E5" s="4" t="n">
        <v>173289</v>
      </c>
      <c r="F5" s="4" t="n">
        <v>229275</v>
      </c>
      <c r="G5" s="4" t="n">
        <v>131165</v>
      </c>
      <c r="H5" s="4" t="n">
        <v>337698</v>
      </c>
      <c r="I5" s="11">
        <f>'QTR BS'!AD5</f>
        <v/>
      </c>
      <c r="J5" s="11">
        <f>'QTR BS'!AH5</f>
        <v/>
      </c>
      <c r="K5" s="11">
        <f>'QTR BS'!AL5</f>
        <v/>
      </c>
      <c r="L5" s="11">
        <f>'QTR BS'!AP5</f>
        <v/>
      </c>
      <c r="M5" s="11">
        <f>'QTR BS'!AT5</f>
        <v/>
      </c>
      <c r="N5" s="5" t="n"/>
    </row>
    <row r="6">
      <c r="A6" s="3" t="inlineStr">
        <is>
          <t>Prepaid Expenses</t>
        </is>
      </c>
      <c r="B6" s="4" t="n">
        <v>4170.136</v>
      </c>
      <c r="C6" s="4" t="n">
        <v>14626.922</v>
      </c>
      <c r="D6" s="4" t="n">
        <v>13555.037</v>
      </c>
      <c r="E6" s="4" t="n">
        <v>11341</v>
      </c>
      <c r="F6" s="4" t="n">
        <v>19503</v>
      </c>
      <c r="G6" s="4" t="n">
        <v>18759</v>
      </c>
      <c r="H6" s="4" t="n">
        <v>128806</v>
      </c>
      <c r="I6" s="11">
        <f>'QTR BS'!AD6</f>
        <v/>
      </c>
      <c r="J6" s="11">
        <f>'QTR BS'!AH6</f>
        <v/>
      </c>
      <c r="K6" s="11">
        <f>'QTR BS'!AL6</f>
        <v/>
      </c>
      <c r="L6" s="11">
        <f>'QTR BS'!AP6</f>
        <v/>
      </c>
      <c r="M6" s="11">
        <f>'QTR BS'!AT6</f>
        <v/>
      </c>
      <c r="N6" s="5" t="n"/>
    </row>
    <row r="7">
      <c r="A7" s="3" t="inlineStr">
        <is>
          <t>Deferred Other Costs - Current</t>
        </is>
      </c>
      <c r="B7" s="4" t="n">
        <v>0</v>
      </c>
      <c r="C7" s="4" t="n">
        <v>0</v>
      </c>
      <c r="D7" s="4" t="n">
        <v>0</v>
      </c>
      <c r="E7" s="4" t="n">
        <v>14124</v>
      </c>
      <c r="F7" s="4" t="n">
        <v>14124</v>
      </c>
      <c r="G7" s="4" t="n">
        <v>14124</v>
      </c>
      <c r="H7" s="4" t="n">
        <v>49164</v>
      </c>
      <c r="I7" s="11">
        <f>'QTR BS'!AD7</f>
        <v/>
      </c>
      <c r="J7" s="11">
        <f>'QTR BS'!AH7</f>
        <v/>
      </c>
      <c r="K7" s="11">
        <f>'QTR BS'!AL7</f>
        <v/>
      </c>
      <c r="L7" s="11">
        <f>'QTR BS'!AP7</f>
        <v/>
      </c>
      <c r="M7" s="11">
        <f>'QTR BS'!AT7</f>
        <v/>
      </c>
      <c r="N7" s="5" t="n"/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7">
        <f>SUM(I2:I7)</f>
        <v/>
      </c>
      <c r="J8" s="7">
        <f>SUM(J2:J7)</f>
        <v/>
      </c>
      <c r="K8" s="7">
        <f>SUM(K2:K7)</f>
        <v/>
      </c>
      <c r="L8" s="7">
        <f>SUM(L2:L7)</f>
        <v/>
      </c>
      <c r="M8" s="7">
        <f>SUM(M2:M7)</f>
        <v/>
      </c>
      <c r="N8" s="7">
        <f>SUM(N2:N7)</f>
        <v/>
      </c>
    </row>
    <row r="9">
      <c r="A9" s="3" t="inlineStr">
        <is>
          <t>Note Receivable - Non-Current</t>
        </is>
      </c>
      <c r="B9" s="4" t="n">
        <v>10630.04</v>
      </c>
      <c r="C9" s="4" t="n">
        <v>9429.437</v>
      </c>
      <c r="D9" s="4" t="n">
        <v>7116.738</v>
      </c>
      <c r="E9" s="4" t="n">
        <v>3574</v>
      </c>
      <c r="F9" s="4" t="n">
        <v>0</v>
      </c>
      <c r="G9" s="4" t="n">
        <v>0</v>
      </c>
      <c r="H9" s="4" t="n">
        <v>0</v>
      </c>
      <c r="I9" s="11">
        <f>'QTR BS'!AD9</f>
        <v/>
      </c>
      <c r="J9" s="11">
        <f>'QTR BS'!AH9</f>
        <v/>
      </c>
      <c r="K9" s="11">
        <f>'QTR BS'!AL9</f>
        <v/>
      </c>
      <c r="L9" s="11">
        <f>'QTR BS'!AP9</f>
        <v/>
      </c>
      <c r="M9" s="11">
        <f>'QTR BS'!AT9</f>
        <v/>
      </c>
      <c r="N9" s="5" t="n"/>
    </row>
    <row r="10">
      <c r="A10" s="3" t="inlineStr">
        <is>
          <t>Net PP&amp;E</t>
        </is>
      </c>
      <c r="B10" s="4" t="n">
        <v>132.889</v>
      </c>
      <c r="C10" s="4" t="n">
        <v>579.377</v>
      </c>
      <c r="D10" s="4" t="n">
        <v>3180.058</v>
      </c>
      <c r="E10" s="4" t="n">
        <v>10185</v>
      </c>
      <c r="F10" s="4" t="n">
        <v>24868</v>
      </c>
      <c r="G10" s="4" t="n">
        <v>55602</v>
      </c>
      <c r="H10" s="4" t="n">
        <v>87910</v>
      </c>
      <c r="I10" s="11">
        <f>'QTR BS'!AD10</f>
        <v/>
      </c>
      <c r="J10" s="11">
        <f>'QTR BS'!AH10</f>
        <v/>
      </c>
      <c r="K10" s="11">
        <f>'QTR BS'!AL10</f>
        <v/>
      </c>
      <c r="L10" s="11">
        <f>'QTR BS'!AP10</f>
        <v/>
      </c>
      <c r="M10" s="11">
        <f>'QTR BS'!AT10</f>
        <v/>
      </c>
      <c r="N10" s="5" t="n"/>
    </row>
    <row r="11">
      <c r="A11" s="3" t="inlineStr">
        <is>
          <t>ROU Assets - Operating - Non-Current</t>
        </is>
      </c>
      <c r="B11" s="4" t="n">
        <v>395.828</v>
      </c>
      <c r="C11" s="4" t="n">
        <v>836.038</v>
      </c>
      <c r="D11" s="4" t="n">
        <v>1128.151</v>
      </c>
      <c r="E11" s="4" t="n">
        <v>972</v>
      </c>
      <c r="F11" s="4" t="n">
        <v>1957</v>
      </c>
      <c r="G11" s="4" t="n">
        <v>21606</v>
      </c>
      <c r="H11" s="4" t="n">
        <v>0</v>
      </c>
      <c r="I11" s="11">
        <f>'QTR BS'!AD11</f>
        <v/>
      </c>
      <c r="J11" s="11">
        <f>'QTR BS'!AH11</f>
        <v/>
      </c>
      <c r="K11" s="11">
        <f>'QTR BS'!AL11</f>
        <v/>
      </c>
      <c r="L11" s="11">
        <f>'QTR BS'!AP11</f>
        <v/>
      </c>
      <c r="M11" s="11">
        <f>'QTR BS'!AT11</f>
        <v/>
      </c>
      <c r="N11" s="5" t="n"/>
    </row>
    <row r="12">
      <c r="A12" s="3" t="inlineStr">
        <is>
          <t>ROU Assets - Finance - Non-Current</t>
        </is>
      </c>
      <c r="B12" s="4" t="n">
        <v>413.638</v>
      </c>
      <c r="C12" s="4" t="n">
        <v>162.119</v>
      </c>
      <c r="D12" s="4" t="n">
        <v>85.953</v>
      </c>
      <c r="E12" s="4" t="n">
        <v>208</v>
      </c>
      <c r="F12" s="4" t="n">
        <v>208</v>
      </c>
      <c r="G12" s="4" t="n">
        <v>230</v>
      </c>
      <c r="H12" s="4" t="n">
        <v>0</v>
      </c>
      <c r="I12" s="11">
        <f>'QTR BS'!AD16</f>
        <v/>
      </c>
      <c r="J12" s="11">
        <f>'QTR BS'!AH16</f>
        <v/>
      </c>
      <c r="K12" s="11">
        <f>'QTR BS'!AL16</f>
        <v/>
      </c>
      <c r="L12" s="11">
        <f>'QTR BS'!AP16</f>
        <v/>
      </c>
      <c r="M12" s="11">
        <f>'QTR BS'!AT16</f>
        <v/>
      </c>
      <c r="N12" s="5" t="n"/>
    </row>
    <row r="13">
      <c r="A13" s="3" t="inlineStr">
        <is>
          <t>Intangible Assets</t>
        </is>
      </c>
      <c r="B13" s="4" t="n">
        <v>17173</v>
      </c>
      <c r="C13" s="4" t="n">
        <v>16590.083</v>
      </c>
      <c r="D13" s="4" t="n">
        <v>16301.326</v>
      </c>
      <c r="E13" s="4" t="n">
        <v>12254</v>
      </c>
      <c r="F13" s="4" t="n">
        <v>12139</v>
      </c>
      <c r="G13" s="4" t="n">
        <v>12213</v>
      </c>
      <c r="H13" s="4" t="n">
        <v>1391915</v>
      </c>
      <c r="I13" s="11">
        <f>'QTR BS'!AD12</f>
        <v/>
      </c>
      <c r="J13" s="11">
        <f>'QTR BS'!AH12</f>
        <v/>
      </c>
      <c r="K13" s="11">
        <f>'QTR BS'!AL12</f>
        <v/>
      </c>
      <c r="L13" s="11">
        <f>'QTR BS'!AP12</f>
        <v/>
      </c>
      <c r="M13" s="11">
        <f>'QTR BS'!AT12</f>
        <v/>
      </c>
      <c r="N13" s="5" t="n"/>
    </row>
    <row r="14">
      <c r="A14" s="3" t="inlineStr">
        <is>
          <t>Goodwill</t>
        </is>
      </c>
      <c r="B14" s="4" t="n">
        <v>10023.806</v>
      </c>
      <c r="C14" s="4" t="n">
        <v>10419.321</v>
      </c>
      <c r="D14" s="4" t="n">
        <v>14526.583</v>
      </c>
      <c r="E14" s="4" t="n">
        <v>13679</v>
      </c>
      <c r="F14" s="4" t="n">
        <v>14173</v>
      </c>
      <c r="G14" s="4" t="n">
        <v>71582</v>
      </c>
      <c r="H14" s="4" t="n">
        <v>917560</v>
      </c>
      <c r="I14" s="11">
        <f>'QTR BS'!AD13</f>
        <v/>
      </c>
      <c r="J14" s="11">
        <f>'QTR BS'!AH13</f>
        <v/>
      </c>
      <c r="K14" s="11">
        <f>'QTR BS'!AL13</f>
        <v/>
      </c>
      <c r="L14" s="11">
        <f>'QTR BS'!AP13</f>
        <v/>
      </c>
      <c r="M14" s="11">
        <f>'QTR BS'!AT13</f>
        <v/>
      </c>
      <c r="N14" s="5" t="n"/>
    </row>
    <row r="15">
      <c r="A15" s="3" t="inlineStr">
        <is>
          <t>Deferred Other Costs - Non-Current</t>
        </is>
      </c>
      <c r="B15" s="4" t="n">
        <v>0</v>
      </c>
      <c r="C15" s="4" t="n">
        <v>0</v>
      </c>
      <c r="D15" s="4" t="n">
        <v>0</v>
      </c>
      <c r="E15" s="4" t="n">
        <v>262462</v>
      </c>
      <c r="F15" s="4" t="n">
        <v>248338</v>
      </c>
      <c r="G15" s="4" t="n">
        <v>234215</v>
      </c>
      <c r="H15" s="4" t="n">
        <v>771635</v>
      </c>
      <c r="I15" s="11">
        <f>'QTR BS'!AD14</f>
        <v/>
      </c>
      <c r="J15" s="11">
        <f>'QTR BS'!AH14</f>
        <v/>
      </c>
      <c r="K15" s="11">
        <f>'QTR BS'!AL14</f>
        <v/>
      </c>
      <c r="L15" s="11">
        <f>'QTR BS'!AP14</f>
        <v/>
      </c>
      <c r="M15" s="11">
        <f>'QTR BS'!AT14</f>
        <v/>
      </c>
      <c r="N15" s="5" t="n"/>
    </row>
    <row r="16">
      <c r="A16" s="3" t="inlineStr">
        <is>
          <t>Deferred Tax Assets</t>
        </is>
      </c>
      <c r="B16" s="4" t="n">
        <v>0</v>
      </c>
      <c r="C16" s="4" t="n">
        <v>0</v>
      </c>
      <c r="D16" s="4" t="n">
        <v>9019.241</v>
      </c>
      <c r="E16" s="4" t="n">
        <v>501</v>
      </c>
      <c r="F16" s="4" t="n">
        <v>29518</v>
      </c>
      <c r="G16" s="4" t="n">
        <v>38699</v>
      </c>
      <c r="H16" s="4" t="n">
        <v>96013</v>
      </c>
      <c r="I16" s="11">
        <f>'QTR BS'!AD15</f>
        <v/>
      </c>
      <c r="J16" s="11">
        <f>'QTR BS'!AH15</f>
        <v/>
      </c>
      <c r="K16" s="11">
        <f>'QTR BS'!AL15</f>
        <v/>
      </c>
      <c r="L16" s="11">
        <f>'QTR BS'!AP15</f>
        <v/>
      </c>
      <c r="M16" s="11">
        <f>'QTR BS'!AT15</f>
        <v/>
      </c>
      <c r="N16" s="5" t="n"/>
    </row>
    <row r="17">
      <c r="A17" s="3" t="inlineStr">
        <is>
          <t>Other Non-Current Assets</t>
        </is>
      </c>
      <c r="B17" s="4" t="n">
        <v>104.134</v>
      </c>
      <c r="C17" s="4" t="n">
        <v>122.733</v>
      </c>
      <c r="D17" s="4" t="n">
        <v>299.828</v>
      </c>
      <c r="E17" s="4" t="n">
        <v>263</v>
      </c>
      <c r="F17" s="4" t="n">
        <v>291</v>
      </c>
      <c r="G17" s="4" t="n">
        <v>8154</v>
      </c>
      <c r="H17" s="4" t="n">
        <v>43434</v>
      </c>
      <c r="I17" s="11">
        <f>'QTR BS'!AD17</f>
        <v/>
      </c>
      <c r="J17" s="11">
        <f>'QTR BS'!AH17</f>
        <v/>
      </c>
      <c r="K17" s="11">
        <f>'QTR BS'!AL17</f>
        <v/>
      </c>
      <c r="L17" s="11">
        <f>'QTR BS'!AP17</f>
        <v/>
      </c>
      <c r="M17" s="11">
        <f>'QTR BS'!AT17</f>
        <v/>
      </c>
      <c r="N17" s="5" t="n"/>
    </row>
    <row r="18">
      <c r="A18" s="3" t="inlineStr">
        <is>
          <t>Total Assets</t>
        </is>
      </c>
      <c r="B18" s="6">
        <f>B8+SUM(B9:B17)</f>
        <v/>
      </c>
      <c r="C18" s="6">
        <f>C8+SUM(C9:C17)</f>
        <v/>
      </c>
      <c r="D18" s="6">
        <f>D8+SUM(D9:D17)</f>
        <v/>
      </c>
      <c r="E18" s="6">
        <f>E8+SUM(E9:E17)</f>
        <v/>
      </c>
      <c r="F18" s="6">
        <f>F8+SUM(F9:F17)</f>
        <v/>
      </c>
      <c r="G18" s="6">
        <f>G8+SUM(G9:G17)</f>
        <v/>
      </c>
      <c r="H18" s="6">
        <f>H8+SUM(H9:H17)</f>
        <v/>
      </c>
      <c r="I18" s="7">
        <f>I8+SUM(I9:I17)</f>
        <v/>
      </c>
      <c r="J18" s="7">
        <f>J8+SUM(J9:J17)</f>
        <v/>
      </c>
      <c r="K18" s="7">
        <f>K8+SUM(K9:K17)</f>
        <v/>
      </c>
      <c r="L18" s="7">
        <f>L8+SUM(L9:L17)</f>
        <v/>
      </c>
      <c r="M18" s="7">
        <f>M8+SUM(M9:M17)</f>
        <v/>
      </c>
      <c r="N18" s="7">
        <f>N8+SUM(N9:N17)</f>
        <v/>
      </c>
    </row>
    <row r="19">
      <c r="A19" s="3" t="inlineStr">
        <is>
          <t>Accounts Payable</t>
        </is>
      </c>
      <c r="B19" s="4" t="n">
        <v>17292.647</v>
      </c>
      <c r="C19" s="4" t="n">
        <v>25412.753</v>
      </c>
      <c r="D19" s="4" t="n">
        <v>91478.61199999999</v>
      </c>
      <c r="E19" s="4" t="n">
        <v>36248</v>
      </c>
      <c r="F19" s="4" t="n">
        <v>42840</v>
      </c>
      <c r="G19" s="4" t="n">
        <v>41287</v>
      </c>
      <c r="H19" s="4" t="n">
        <v>137930</v>
      </c>
      <c r="I19" s="11">
        <f>'QTR BS'!AD19</f>
        <v/>
      </c>
      <c r="J19" s="11">
        <f>'QTR BS'!AH19</f>
        <v/>
      </c>
      <c r="K19" s="11">
        <f>'QTR BS'!AL19</f>
        <v/>
      </c>
      <c r="L19" s="11">
        <f>'QTR BS'!AP19</f>
        <v/>
      </c>
      <c r="M19" s="11">
        <f>'QTR BS'!AT19</f>
        <v/>
      </c>
      <c r="N19" s="5" t="n"/>
    </row>
    <row r="20">
      <c r="A20" s="3" t="inlineStr">
        <is>
          <t>Accrued Expenses</t>
        </is>
      </c>
      <c r="B20" s="4" t="n">
        <v>0</v>
      </c>
      <c r="C20" s="4" t="n">
        <v>0</v>
      </c>
      <c r="D20" s="4" t="n">
        <v>0</v>
      </c>
      <c r="E20" s="4" t="n">
        <v>69899</v>
      </c>
      <c r="F20" s="4" t="n">
        <v>62120</v>
      </c>
      <c r="G20" s="4" t="n">
        <v>148780</v>
      </c>
      <c r="H20" s="4" t="n">
        <v>230721</v>
      </c>
      <c r="I20" s="11">
        <f>'QTR BS'!AD20</f>
        <v/>
      </c>
      <c r="J20" s="11">
        <f>'QTR BS'!AH20</f>
        <v/>
      </c>
      <c r="K20" s="11">
        <f>'QTR BS'!AL20</f>
        <v/>
      </c>
      <c r="L20" s="11">
        <f>'QTR BS'!AP20</f>
        <v/>
      </c>
      <c r="M20" s="11">
        <f>'QTR BS'!AT20</f>
        <v/>
      </c>
      <c r="N20" s="5" t="n"/>
    </row>
    <row r="21">
      <c r="A21" s="3" t="inlineStr">
        <is>
          <t>Income Taxes Payable</t>
        </is>
      </c>
      <c r="B21" s="4" t="n">
        <v>0</v>
      </c>
      <c r="C21" s="4" t="n">
        <v>0</v>
      </c>
      <c r="D21" s="4" t="n">
        <v>0</v>
      </c>
      <c r="E21" s="4" t="n">
        <v>1193</v>
      </c>
      <c r="F21" s="4" t="n">
        <v>50424</v>
      </c>
      <c r="G21" s="4" t="n">
        <v>10834</v>
      </c>
      <c r="H21" s="4" t="n">
        <v>49612</v>
      </c>
      <c r="I21" s="11">
        <f>'QTR BS'!AD21</f>
        <v/>
      </c>
      <c r="J21" s="11">
        <f>'QTR BS'!AH21</f>
        <v/>
      </c>
      <c r="K21" s="11">
        <f>'QTR BS'!AL21</f>
        <v/>
      </c>
      <c r="L21" s="11">
        <f>'QTR BS'!AP21</f>
        <v/>
      </c>
      <c r="M21" s="11">
        <f>'QTR BS'!AT21</f>
        <v/>
      </c>
      <c r="N21" s="5" t="n"/>
    </row>
    <row r="22">
      <c r="A22" s="3" t="inlineStr">
        <is>
          <t>Accrued Distributor Termination Fees</t>
        </is>
      </c>
      <c r="B22" s="4" t="n">
        <v>0</v>
      </c>
      <c r="C22" s="4" t="n">
        <v>0</v>
      </c>
      <c r="D22" s="4" t="n">
        <v>0</v>
      </c>
      <c r="E22" s="4" t="n">
        <v>3986</v>
      </c>
      <c r="F22" s="4" t="n">
        <v>0</v>
      </c>
      <c r="G22" s="4" t="n">
        <v>0</v>
      </c>
      <c r="H22" s="4" t="n">
        <v>264088</v>
      </c>
      <c r="I22" s="11">
        <f>'QTR BS'!AD22</f>
        <v/>
      </c>
      <c r="J22" s="11">
        <f>'QTR BS'!AH22</f>
        <v/>
      </c>
      <c r="K22" s="11">
        <f>'QTR BS'!AL22</f>
        <v/>
      </c>
      <c r="L22" s="11">
        <f>'QTR BS'!AP22</f>
        <v/>
      </c>
      <c r="M22" s="11">
        <f>'QTR BS'!AT22</f>
        <v/>
      </c>
      <c r="N22" s="5" t="n"/>
    </row>
    <row r="23">
      <c r="A23" s="3" t="inlineStr">
        <is>
          <t>Accrued Promotional Allowance</t>
        </is>
      </c>
      <c r="B23" s="4" t="n">
        <v>0</v>
      </c>
      <c r="C23" s="4" t="n">
        <v>0</v>
      </c>
      <c r="D23" s="4" t="n">
        <v>0</v>
      </c>
      <c r="E23" s="4" t="n">
        <v>35977</v>
      </c>
      <c r="F23" s="4" t="n">
        <v>99787</v>
      </c>
      <c r="G23" s="4" t="n">
        <v>135948</v>
      </c>
      <c r="H23" s="4" t="n">
        <v>307922</v>
      </c>
      <c r="I23" s="11">
        <f>'QTR BS'!AD23</f>
        <v/>
      </c>
      <c r="J23" s="11">
        <f>'QTR BS'!AH23</f>
        <v/>
      </c>
      <c r="K23" s="11">
        <f>'QTR BS'!AL23</f>
        <v/>
      </c>
      <c r="L23" s="11">
        <f>'QTR BS'!AP23</f>
        <v/>
      </c>
      <c r="M23" s="11">
        <f>'QTR BS'!AT23</f>
        <v/>
      </c>
      <c r="N23" s="5" t="n"/>
    </row>
    <row r="24">
      <c r="A24" s="3" t="inlineStr">
        <is>
          <t>Lease Liability - Operating - Current</t>
        </is>
      </c>
      <c r="B24" s="4" t="n">
        <v>294.916</v>
      </c>
      <c r="C24" s="4" t="n">
        <v>321.283</v>
      </c>
      <c r="D24" s="4" t="n">
        <v>511.764</v>
      </c>
      <c r="E24" s="4" t="n">
        <v>661</v>
      </c>
      <c r="F24" s="4" t="n">
        <v>980</v>
      </c>
      <c r="G24" s="4" t="n">
        <v>3265</v>
      </c>
      <c r="H24" s="4" t="n">
        <v>0</v>
      </c>
      <c r="I24" s="11">
        <f>'QTR BS'!AD24</f>
        <v/>
      </c>
      <c r="J24" s="11">
        <f>'QTR BS'!AH24</f>
        <v/>
      </c>
      <c r="K24" s="11">
        <f>'QTR BS'!AL24</f>
        <v/>
      </c>
      <c r="L24" s="11">
        <f>'QTR BS'!AP24</f>
        <v/>
      </c>
      <c r="M24" s="11">
        <f>'QTR BS'!AT24</f>
        <v/>
      </c>
      <c r="N24" s="5" t="n"/>
    </row>
    <row r="25">
      <c r="A25" s="3" t="inlineStr">
        <is>
          <t>Lease Liability - Finance - Current</t>
        </is>
      </c>
      <c r="B25" s="4" t="n">
        <v>354.158</v>
      </c>
      <c r="C25" s="4" t="n">
        <v>205.824</v>
      </c>
      <c r="D25" s="4" t="n">
        <v>157.046</v>
      </c>
      <c r="E25" s="4" t="n">
        <v>70</v>
      </c>
      <c r="F25" s="4" t="n">
        <v>59</v>
      </c>
      <c r="G25" s="4" t="n">
        <v>100</v>
      </c>
      <c r="H25" s="4" t="n">
        <v>0</v>
      </c>
      <c r="I25" s="11">
        <f>'QTR BS'!AD26</f>
        <v/>
      </c>
      <c r="J25" s="11">
        <f>'QTR BS'!AH26</f>
        <v/>
      </c>
      <c r="K25" s="11">
        <f>'QTR BS'!AL26</f>
        <v/>
      </c>
      <c r="L25" s="11">
        <f>'QTR BS'!AP26</f>
        <v/>
      </c>
      <c r="M25" s="11">
        <f>'QTR BS'!AT26</f>
        <v/>
      </c>
      <c r="N25" s="5" t="n"/>
    </row>
    <row r="26">
      <c r="A26" s="3" t="inlineStr">
        <is>
          <t>Bonds Payable, Net</t>
        </is>
      </c>
      <c r="B26" s="4" t="n">
        <v>8634.279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11">
        <f>'QTR BS'!AD25</f>
        <v/>
      </c>
      <c r="J26" s="11">
        <f>'QTR BS'!AH25</f>
        <v/>
      </c>
      <c r="K26" s="11">
        <f>'QTR BS'!AL25</f>
        <v/>
      </c>
      <c r="L26" s="11">
        <f>'QTR BS'!AP25</f>
        <v/>
      </c>
      <c r="M26" s="11">
        <f>'QTR BS'!AT25</f>
        <v/>
      </c>
      <c r="N26" s="5" t="n"/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25000</v>
      </c>
      <c r="I27" s="11">
        <f>'QTR BS'!AD27</f>
        <v/>
      </c>
      <c r="J27" s="11">
        <f>'QTR BS'!AH27</f>
        <v/>
      </c>
      <c r="K27" s="11">
        <f>'QTR BS'!AL27</f>
        <v/>
      </c>
      <c r="L27" s="11">
        <f>'QTR BS'!AP27</f>
        <v/>
      </c>
      <c r="M27" s="11">
        <f>'QTR BS'!AT27</f>
        <v/>
      </c>
      <c r="N27" s="5" t="n"/>
    </row>
    <row r="28">
      <c r="A28" s="3" t="inlineStr">
        <is>
          <t>Deferred Revenue - Current</t>
        </is>
      </c>
      <c r="B28" s="4" t="n">
        <v>0</v>
      </c>
      <c r="C28" s="4" t="n">
        <v>0</v>
      </c>
      <c r="D28" s="4" t="n">
        <v>0</v>
      </c>
      <c r="E28" s="4" t="n">
        <v>9675</v>
      </c>
      <c r="F28" s="4" t="n">
        <v>9513</v>
      </c>
      <c r="G28" s="4" t="n">
        <v>9513</v>
      </c>
      <c r="H28" s="4" t="n">
        <v>26988</v>
      </c>
      <c r="I28" s="11">
        <f>'QTR BS'!AD28</f>
        <v/>
      </c>
      <c r="J28" s="11">
        <f>'QTR BS'!AH28</f>
        <v/>
      </c>
      <c r="K28" s="11">
        <f>'QTR BS'!AL28</f>
        <v/>
      </c>
      <c r="L28" s="11">
        <f>'QTR BS'!AP28</f>
        <v/>
      </c>
      <c r="M28" s="11">
        <f>'QTR BS'!AT28</f>
        <v/>
      </c>
      <c r="N28" s="5" t="n"/>
    </row>
    <row r="29">
      <c r="A29" s="3" t="inlineStr">
        <is>
          <t>Other Current Liabilities</t>
        </is>
      </c>
      <c r="B29" s="4" t="n">
        <v>107.399</v>
      </c>
      <c r="C29" s="4" t="n">
        <v>425.232</v>
      </c>
      <c r="D29" s="4" t="n">
        <v>976.072</v>
      </c>
      <c r="E29" s="4" t="n">
        <v>3586</v>
      </c>
      <c r="F29" s="4" t="n">
        <v>10890</v>
      </c>
      <c r="G29" s="4" t="n">
        <v>15808</v>
      </c>
      <c r="H29" s="4" t="n">
        <v>36465</v>
      </c>
      <c r="I29" s="11">
        <f>'QTR BS'!AD29</f>
        <v/>
      </c>
      <c r="J29" s="11">
        <f>'QTR BS'!AH29</f>
        <v/>
      </c>
      <c r="K29" s="11">
        <f>'QTR BS'!AL29</f>
        <v/>
      </c>
      <c r="L29" s="11">
        <f>'QTR BS'!AP29</f>
        <v/>
      </c>
      <c r="M29" s="11">
        <f>'QTR BS'!AT29</f>
        <v/>
      </c>
      <c r="N29" s="5" t="n"/>
    </row>
    <row r="30">
      <c r="A30" s="3" t="inlineStr">
        <is>
          <t>Total Current Liabilities</t>
        </is>
      </c>
      <c r="B30" s="6">
        <f>SUM(B19:B29)</f>
        <v/>
      </c>
      <c r="C30" s="6">
        <f>SUM(C19:C29)</f>
        <v/>
      </c>
      <c r="D30" s="6">
        <f>SUM(D19:D29)</f>
        <v/>
      </c>
      <c r="E30" s="6">
        <f>SUM(E19:E29)</f>
        <v/>
      </c>
      <c r="F30" s="6">
        <f>SUM(F19:F29)</f>
        <v/>
      </c>
      <c r="G30" s="6">
        <f>SUM(G19:G29)</f>
        <v/>
      </c>
      <c r="H30" s="6">
        <f>SUM(H19:H29)</f>
        <v/>
      </c>
      <c r="I30" s="7">
        <f>SUM(I19:I29)</f>
        <v/>
      </c>
      <c r="J30" s="7">
        <f>SUM(J19:J29)</f>
        <v/>
      </c>
      <c r="K30" s="7">
        <f>SUM(K19:K29)</f>
        <v/>
      </c>
      <c r="L30" s="7">
        <f>SUM(L19:L29)</f>
        <v/>
      </c>
      <c r="M30" s="7">
        <f>SUM(M19:M29)</f>
        <v/>
      </c>
      <c r="N30" s="7">
        <f>SUM(N19:N29)</f>
        <v/>
      </c>
    </row>
    <row r="31">
      <c r="A31" s="3" t="inlineStr">
        <is>
          <t>Lease Liability - Operating - Non-Current</t>
        </is>
      </c>
      <c r="B31" s="4" t="n">
        <v>107.311</v>
      </c>
      <c r="C31" s="4" t="n">
        <v>514.948</v>
      </c>
      <c r="D31" s="4" t="n">
        <v>657.9349999999999</v>
      </c>
      <c r="E31" s="4" t="n">
        <v>326</v>
      </c>
      <c r="F31" s="4" t="n">
        <v>955</v>
      </c>
      <c r="G31" s="4" t="n">
        <v>16674</v>
      </c>
      <c r="H31" s="4" t="n">
        <v>0</v>
      </c>
      <c r="I31" s="11">
        <f>'QTR BS'!AD31</f>
        <v/>
      </c>
      <c r="J31" s="11">
        <f>'QTR BS'!AH31</f>
        <v/>
      </c>
      <c r="K31" s="11">
        <f>'QTR BS'!AL31</f>
        <v/>
      </c>
      <c r="L31" s="11">
        <f>'QTR BS'!AP31</f>
        <v/>
      </c>
      <c r="M31" s="11">
        <f>'QTR BS'!AT31</f>
        <v/>
      </c>
      <c r="N31" s="5" t="n"/>
    </row>
    <row r="32">
      <c r="A32" s="3" t="inlineStr">
        <is>
          <t>Lease Liability - Finance - Non-Current</t>
        </is>
      </c>
      <c r="B32" s="4" t="n">
        <v>132.537</v>
      </c>
      <c r="C32" s="4" t="n">
        <v>82.29000000000001</v>
      </c>
      <c r="D32" s="4" t="n">
        <v>45.408</v>
      </c>
      <c r="E32" s="4" t="n">
        <v>162</v>
      </c>
      <c r="F32" s="4" t="n">
        <v>193</v>
      </c>
      <c r="G32" s="4" t="n">
        <v>211</v>
      </c>
      <c r="H32" s="4" t="n">
        <v>0</v>
      </c>
      <c r="I32" s="11">
        <f>'QTR BS'!AD32</f>
        <v/>
      </c>
      <c r="J32" s="11">
        <f>'QTR BS'!AH32</f>
        <v/>
      </c>
      <c r="K32" s="11">
        <f>'QTR BS'!AL32</f>
        <v/>
      </c>
      <c r="L32" s="11">
        <f>'QTR BS'!AP32</f>
        <v/>
      </c>
      <c r="M32" s="11">
        <f>'QTR BS'!AT32</f>
        <v/>
      </c>
      <c r="N32" s="5" t="n"/>
    </row>
    <row r="33">
      <c r="A33" s="3" t="inlineStr">
        <is>
          <t>Deferred Tax Liability</t>
        </is>
      </c>
      <c r="B33" s="4" t="n">
        <v>0</v>
      </c>
      <c r="C33" s="4" t="n">
        <v>0</v>
      </c>
      <c r="D33" s="4" t="n">
        <v>3146.394</v>
      </c>
      <c r="E33" s="4" t="n">
        <v>15919</v>
      </c>
      <c r="F33" s="4" t="n">
        <v>2880</v>
      </c>
      <c r="G33" s="4" t="n">
        <v>2330</v>
      </c>
      <c r="H33" s="4" t="n">
        <v>0</v>
      </c>
      <c r="I33" s="11">
        <f>'QTR BS'!AD33</f>
        <v/>
      </c>
      <c r="J33" s="11">
        <f>'QTR BS'!AH33</f>
        <v/>
      </c>
      <c r="K33" s="11">
        <f>'QTR BS'!AL33</f>
        <v/>
      </c>
      <c r="L33" s="11">
        <f>'QTR BS'!AP33</f>
        <v/>
      </c>
      <c r="M33" s="11">
        <f>'QTR BS'!AT33</f>
        <v/>
      </c>
      <c r="N33" s="5" t="n"/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669926</v>
      </c>
      <c r="I34" s="11">
        <f>'QTR BS'!AD34</f>
        <v/>
      </c>
      <c r="J34" s="11">
        <f>'QTR BS'!AH34</f>
        <v/>
      </c>
      <c r="K34" s="11">
        <f>'QTR BS'!AL34</f>
        <v/>
      </c>
      <c r="L34" s="11">
        <f>'QTR BS'!AP34</f>
        <v/>
      </c>
      <c r="M34" s="11">
        <f>'QTR BS'!AT34</f>
        <v/>
      </c>
      <c r="N34" s="5" t="n"/>
    </row>
    <row r="35">
      <c r="A35" s="3" t="inlineStr">
        <is>
          <t>Deferred Revenue - Non-Current</t>
        </is>
      </c>
      <c r="B35" s="4" t="n">
        <v>0</v>
      </c>
      <c r="C35" s="4" t="n">
        <v>0</v>
      </c>
      <c r="D35" s="4" t="n">
        <v>0</v>
      </c>
      <c r="E35" s="4" t="n">
        <v>179788</v>
      </c>
      <c r="F35" s="4" t="n">
        <v>167227</v>
      </c>
      <c r="G35" s="4" t="n">
        <v>157714</v>
      </c>
      <c r="H35" s="4" t="n">
        <v>401155</v>
      </c>
      <c r="I35" s="11">
        <f>'QTR BS'!AD35</f>
        <v/>
      </c>
      <c r="J35" s="11">
        <f>'QTR BS'!AH35</f>
        <v/>
      </c>
      <c r="K35" s="11">
        <f>'QTR BS'!AL35</f>
        <v/>
      </c>
      <c r="L35" s="11">
        <f>'QTR BS'!AP35</f>
        <v/>
      </c>
      <c r="M35" s="11">
        <f>'QTR BS'!AT35</f>
        <v/>
      </c>
      <c r="N35" s="5" t="n"/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28372</v>
      </c>
      <c r="I36" s="11">
        <f>'QTR BS'!AD36</f>
        <v/>
      </c>
      <c r="J36" s="11">
        <f>'QTR BS'!AH36</f>
        <v/>
      </c>
      <c r="K36" s="11">
        <f>'QTR BS'!AL36</f>
        <v/>
      </c>
      <c r="L36" s="11">
        <f>'QTR BS'!AP36</f>
        <v/>
      </c>
      <c r="M36" s="11">
        <f>'QTR BS'!AT36</f>
        <v/>
      </c>
      <c r="N36" s="5" t="n"/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7">
        <f>I30+SUM(I31:I36)</f>
        <v/>
      </c>
      <c r="J37" s="7">
        <f>J30+SUM(J31:J36)</f>
        <v/>
      </c>
      <c r="K37" s="7">
        <f>K30+SUM(K31:K36)</f>
        <v/>
      </c>
      <c r="L37" s="7">
        <f>L30+SUM(L31:L36)</f>
        <v/>
      </c>
      <c r="M37" s="7">
        <f>M30+SUM(M31:M36)</f>
        <v/>
      </c>
      <c r="N37" s="7">
        <f>N30+SUM(N31:N36)</f>
        <v/>
      </c>
    </row>
    <row r="38">
      <c r="A38" s="3" t="inlineStr">
        <is>
          <t>Convertible Preferred Stock</t>
        </is>
      </c>
      <c r="B38" s="4" t="n">
        <v>0</v>
      </c>
      <c r="C38" s="4" t="n">
        <v>0</v>
      </c>
      <c r="D38" s="4" t="n">
        <v>0</v>
      </c>
      <c r="E38" s="4" t="n">
        <v>824488</v>
      </c>
      <c r="F38" s="4" t="n">
        <v>824488</v>
      </c>
      <c r="G38" s="4" t="n">
        <v>824488</v>
      </c>
      <c r="H38" s="4" t="n">
        <v>1759975</v>
      </c>
      <c r="I38" s="11">
        <f>'QTR BS'!AD38</f>
        <v/>
      </c>
      <c r="J38" s="11">
        <f>'QTR BS'!AH38</f>
        <v/>
      </c>
      <c r="K38" s="11">
        <f>'QTR BS'!AL38</f>
        <v/>
      </c>
      <c r="L38" s="11">
        <f>'QTR BS'!AP38</f>
        <v/>
      </c>
      <c r="M38" s="11">
        <f>'QTR BS'!AT38</f>
        <v/>
      </c>
      <c r="N38" s="5" t="n"/>
    </row>
    <row r="39">
      <c r="A39" s="3" t="inlineStr">
        <is>
          <t>Common Stock</t>
        </is>
      </c>
      <c r="B39" s="4" t="n">
        <v>68.94199999999999</v>
      </c>
      <c r="C39" s="4" t="n">
        <v>72.26300000000001</v>
      </c>
      <c r="D39" s="4" t="n">
        <v>74.90900000000001</v>
      </c>
      <c r="E39" s="4" t="n">
        <v>76</v>
      </c>
      <c r="F39" s="4" t="n">
        <v>77</v>
      </c>
      <c r="G39" s="4" t="n">
        <v>79</v>
      </c>
      <c r="H39" s="4" t="n">
        <v>101</v>
      </c>
      <c r="I39" s="11">
        <f>'QTR BS'!AD39</f>
        <v/>
      </c>
      <c r="J39" s="11">
        <f>'QTR BS'!AH39</f>
        <v/>
      </c>
      <c r="K39" s="11">
        <f>'QTR BS'!AL39</f>
        <v/>
      </c>
      <c r="L39" s="11">
        <f>'QTR BS'!AP39</f>
        <v/>
      </c>
      <c r="M39" s="11">
        <f>'QTR BS'!AT39</f>
        <v/>
      </c>
      <c r="N39" s="5" t="n"/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-48226</v>
      </c>
      <c r="I40" s="11">
        <f>'QTR BS'!AD40</f>
        <v/>
      </c>
      <c r="J40" s="11">
        <f>'QTR BS'!AH40</f>
        <v/>
      </c>
      <c r="K40" s="11">
        <f>'QTR BS'!AL40</f>
        <v/>
      </c>
      <c r="L40" s="11">
        <f>'QTR BS'!AP40</f>
        <v/>
      </c>
      <c r="M40" s="11">
        <f>'QTR BS'!AT40</f>
        <v/>
      </c>
      <c r="N40" s="5" t="n"/>
    </row>
    <row r="41">
      <c r="A41" s="3" t="inlineStr">
        <is>
          <t>Additional Paid-in Capital</t>
        </is>
      </c>
      <c r="B41" s="4" t="n">
        <v>127552.998</v>
      </c>
      <c r="C41" s="4" t="n">
        <v>159884.154</v>
      </c>
      <c r="D41" s="4" t="n">
        <v>267846.196</v>
      </c>
      <c r="E41" s="4" t="n">
        <v>280668</v>
      </c>
      <c r="F41" s="4" t="n">
        <v>276717</v>
      </c>
      <c r="G41" s="4" t="n">
        <v>297579</v>
      </c>
      <c r="H41" s="4" t="n">
        <v>1050518</v>
      </c>
      <c r="I41" s="11">
        <f>'QTR BS'!AD41</f>
        <v/>
      </c>
      <c r="J41" s="11">
        <f>'QTR BS'!AH41</f>
        <v/>
      </c>
      <c r="K41" s="11">
        <f>'QTR BS'!AL41</f>
        <v/>
      </c>
      <c r="L41" s="11">
        <f>'QTR BS'!AP41</f>
        <v/>
      </c>
      <c r="M41" s="11">
        <f>'QTR BS'!AT41</f>
        <v/>
      </c>
      <c r="N41" s="5" t="n"/>
    </row>
    <row r="42">
      <c r="A42" s="3" t="inlineStr">
        <is>
          <t>Accumulated Other Comprehensive Income (Loss)</t>
        </is>
      </c>
      <c r="B42" s="4" t="n">
        <v>-753.52</v>
      </c>
      <c r="C42" s="4" t="n">
        <v>-202.142</v>
      </c>
      <c r="D42" s="4" t="n">
        <v>613.651</v>
      </c>
      <c r="E42" s="4" t="n">
        <v>-1881</v>
      </c>
      <c r="F42" s="4" t="n">
        <v>-701</v>
      </c>
      <c r="G42" s="4" t="n">
        <v>-3250</v>
      </c>
      <c r="H42" s="4" t="n">
        <v>3162</v>
      </c>
      <c r="I42" s="11">
        <f>'QTR BS'!AD42</f>
        <v/>
      </c>
      <c r="J42" s="11">
        <f>'QTR BS'!AH42</f>
        <v/>
      </c>
      <c r="K42" s="11">
        <f>'QTR BS'!AL42</f>
        <v/>
      </c>
      <c r="L42" s="11">
        <f>'QTR BS'!AP42</f>
        <v/>
      </c>
      <c r="M42" s="11">
        <f>'QTR BS'!AT42</f>
        <v/>
      </c>
      <c r="N42" s="5" t="n"/>
    </row>
    <row r="43">
      <c r="A43" s="3" t="inlineStr">
        <is>
          <t>Retained Earnings (Accumulated Deficit)</t>
        </is>
      </c>
      <c r="B43" s="4" t="n">
        <v>-63409.431</v>
      </c>
      <c r="C43" s="4" t="n">
        <v>-55426.832</v>
      </c>
      <c r="D43" s="4" t="n">
        <v>-51489.559</v>
      </c>
      <c r="E43" s="4" t="n">
        <v>-238772</v>
      </c>
      <c r="F43" s="4" t="n">
        <v>-12053</v>
      </c>
      <c r="G43" s="4" t="n">
        <v>105521</v>
      </c>
      <c r="H43" s="4" t="n">
        <v>175912</v>
      </c>
      <c r="I43" s="11">
        <f>'QTR BS'!AD43</f>
        <v/>
      </c>
      <c r="J43" s="11">
        <f>'QTR BS'!AH43</f>
        <v/>
      </c>
      <c r="K43" s="11">
        <f>'QTR BS'!AL43</f>
        <v/>
      </c>
      <c r="L43" s="11">
        <f>'QTR BS'!AP43</f>
        <v/>
      </c>
      <c r="M43" s="11">
        <f>'QTR BS'!AT43</f>
        <v/>
      </c>
      <c r="N43" s="5" t="n"/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6">
        <f>SUM(F38:F43)</f>
        <v/>
      </c>
      <c r="G44" s="6">
        <f>SUM(G38:G43)</f>
        <v/>
      </c>
      <c r="H44" s="6">
        <f>SUM(H38:H43)</f>
        <v/>
      </c>
      <c r="I44" s="7">
        <f>SUM(I38:I43)</f>
        <v/>
      </c>
      <c r="J44" s="7">
        <f>SUM(J38:J43)</f>
        <v/>
      </c>
      <c r="K44" s="7">
        <f>SUM(K38:K43)</f>
        <v/>
      </c>
      <c r="L44" s="7">
        <f>SUM(L38:L43)</f>
        <v/>
      </c>
      <c r="M44" s="7">
        <f>SUM(M38:M43)</f>
        <v/>
      </c>
      <c r="N44" s="7">
        <f>SUM(N38:N43)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6">
        <f>F37+F44</f>
        <v/>
      </c>
      <c r="G45" s="6">
        <f>G37+G44</f>
        <v/>
      </c>
      <c r="H45" s="6">
        <f>H37+H44</f>
        <v/>
      </c>
      <c r="I45" s="7">
        <f>I37+I44</f>
        <v/>
      </c>
      <c r="J45" s="7">
        <f>J37+J44</f>
        <v/>
      </c>
      <c r="K45" s="7">
        <f>K37+K44</f>
        <v/>
      </c>
      <c r="L45" s="7">
        <f>L37+L44</f>
        <v/>
      </c>
      <c r="M45" s="7">
        <f>M37+M44</f>
        <v/>
      </c>
      <c r="N45" s="7">
        <f>N37+N44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/>
      <c r="B1" s="2" t="inlineStr">
        <is>
          <t>FY2019</t>
        </is>
      </c>
      <c r="C1" s="2" t="inlineStr">
        <is>
          <t>FY2020</t>
        </is>
      </c>
      <c r="D1" s="2" t="inlineStr">
        <is>
          <t>FY2021</t>
        </is>
      </c>
      <c r="E1" s="2" t="inlineStr">
        <is>
          <t>FY2022</t>
        </is>
      </c>
      <c r="F1" s="2" t="inlineStr">
        <is>
          <t>FY2023</t>
        </is>
      </c>
      <c r="G1" s="2" t="inlineStr">
        <is>
          <t>FY2024</t>
        </is>
      </c>
      <c r="H1" s="2" t="inlineStr">
        <is>
          <t>FY2025</t>
        </is>
      </c>
      <c r="I1" s="2" t="inlineStr">
        <is>
          <t>FY2026E</t>
        </is>
      </c>
      <c r="J1" s="2" t="inlineStr">
        <is>
          <t>FY2027E</t>
        </is>
      </c>
      <c r="K1" s="2" t="inlineStr">
        <is>
          <t>FY2028E</t>
        </is>
      </c>
      <c r="L1" s="2" t="inlineStr">
        <is>
          <t>FY2029E</t>
        </is>
      </c>
      <c r="M1" s="2" t="inlineStr">
        <is>
          <t>FY2030E</t>
        </is>
      </c>
      <c r="N1" s="2" t="inlineStr">
        <is>
          <t>FY2031E</t>
        </is>
      </c>
    </row>
    <row r="2">
      <c r="A2" s="3" t="inlineStr">
        <is>
          <t>Net Income (Loss)</t>
        </is>
      </c>
      <c r="B2" s="4" t="n">
        <v>9971.26</v>
      </c>
      <c r="C2" s="4" t="n">
        <v>8523.849</v>
      </c>
      <c r="D2" s="4" t="n">
        <v>3937</v>
      </c>
      <c r="E2" s="4" t="n">
        <v>-187282</v>
      </c>
      <c r="F2" s="4" t="n">
        <v>226801</v>
      </c>
      <c r="G2" s="4" t="n">
        <v>145074</v>
      </c>
      <c r="H2" s="4" t="n">
        <v>107999</v>
      </c>
      <c r="I2" s="11">
        <f>'QTR CF'!Z2+'QTR CF'!AA2+'QTR CF'!AB2+'QTR CF'!AC2</f>
        <v/>
      </c>
      <c r="J2" s="11">
        <f>'QTR CF'!AD2+'QTR CF'!AE2+'QTR CF'!AF2+'QTR CF'!AG2</f>
        <v/>
      </c>
      <c r="K2" s="11">
        <f>'QTR CF'!AH2+'QTR CF'!AI2+'QTR CF'!AJ2+'QTR CF'!AK2</f>
        <v/>
      </c>
      <c r="L2" s="11">
        <f>'QTR CF'!AL2+'QTR CF'!AM2+'QTR CF'!AN2+'QTR CF'!AO2</f>
        <v/>
      </c>
      <c r="M2" s="11">
        <f>'QTR CF'!AP2+'QTR CF'!AQ2+'QTR CF'!AR2+'QTR CF'!AS2</f>
        <v/>
      </c>
      <c r="N2" s="5" t="n"/>
    </row>
    <row r="3">
      <c r="A3" s="3" t="inlineStr">
        <is>
          <t>Depreciation</t>
        </is>
      </c>
      <c r="B3" s="4" t="n">
        <v>66.93899999999999</v>
      </c>
      <c r="C3" s="4" t="n">
        <v>127.263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11">
        <f>'QTR CF'!Z3+'QTR CF'!AA3+'QTR CF'!AB3+'QTR CF'!AC3</f>
        <v/>
      </c>
      <c r="J3" s="11">
        <f>'QTR CF'!AD3+'QTR CF'!AE3+'QTR CF'!AF3+'QTR CF'!AG3</f>
        <v/>
      </c>
      <c r="K3" s="11">
        <f>'QTR CF'!AH3+'QTR CF'!AI3+'QTR CF'!AJ3+'QTR CF'!AK3</f>
        <v/>
      </c>
      <c r="L3" s="11">
        <f>'QTR CF'!AL3+'QTR CF'!AM3+'QTR CF'!AN3+'QTR CF'!AO3</f>
        <v/>
      </c>
      <c r="M3" s="11">
        <f>'QTR CF'!AP3+'QTR CF'!AQ3+'QTR CF'!AR3+'QTR CF'!AS3</f>
        <v/>
      </c>
      <c r="N3" s="5" t="n"/>
    </row>
    <row r="4">
      <c r="A4" s="3" t="inlineStr">
        <is>
          <t>Amortization</t>
        </is>
      </c>
      <c r="B4" s="4" t="n">
        <v>826.474</v>
      </c>
      <c r="C4" s="4" t="n">
        <v>1484.303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11">
        <f>'QTR CF'!Z4+'QTR CF'!AA4+'QTR CF'!AB4+'QTR CF'!AC4</f>
        <v/>
      </c>
      <c r="J4" s="11">
        <f>'QTR CF'!AD4+'QTR CF'!AE4+'QTR CF'!AF4+'QTR CF'!AG4</f>
        <v/>
      </c>
      <c r="K4" s="11">
        <f>'QTR CF'!AH4+'QTR CF'!AI4+'QTR CF'!AJ4+'QTR CF'!AK4</f>
        <v/>
      </c>
      <c r="L4" s="11">
        <f>'QTR CF'!AL4+'QTR CF'!AM4+'QTR CF'!AN4+'QTR CF'!AO4</f>
        <v/>
      </c>
      <c r="M4" s="11">
        <f>'QTR CF'!AP4+'QTR CF'!AQ4+'QTR CF'!AR4+'QTR CF'!AS4</f>
        <v/>
      </c>
      <c r="N4" s="5" t="n"/>
    </row>
    <row r="5">
      <c r="A5" s="3" t="inlineStr">
        <is>
          <t>Depreciation &amp; Amortization</t>
        </is>
      </c>
      <c r="B5" s="4" t="n">
        <v>0</v>
      </c>
      <c r="C5" s="4" t="n">
        <v>0</v>
      </c>
      <c r="D5" s="4" t="n">
        <v>1264</v>
      </c>
      <c r="E5" s="4" t="n">
        <v>1917</v>
      </c>
      <c r="F5" s="4" t="n">
        <v>3226</v>
      </c>
      <c r="G5" s="4" t="n">
        <v>7274</v>
      </c>
      <c r="H5" s="4" t="n">
        <v>29451</v>
      </c>
      <c r="I5" s="11">
        <f>'QTR CF'!Z6+'QTR CF'!AA6+'QTR CF'!AB6+'QTR CF'!AC6</f>
        <v/>
      </c>
      <c r="J5" s="11">
        <f>'QTR CF'!AD6+'QTR CF'!AE6+'QTR CF'!AF6+'QTR CF'!AG6</f>
        <v/>
      </c>
      <c r="K5" s="11">
        <f>'QTR CF'!AH6+'QTR CF'!AI6+'QTR CF'!AJ6+'QTR CF'!AK6</f>
        <v/>
      </c>
      <c r="L5" s="11">
        <f>'QTR CF'!AL6+'QTR CF'!AM6+'QTR CF'!AN6+'QTR CF'!AO6</f>
        <v/>
      </c>
      <c r="M5" s="11">
        <f>'QTR CF'!AP6+'QTR CF'!AQ6+'QTR CF'!AR6+'QTR CF'!AS6</f>
        <v/>
      </c>
      <c r="N5" s="5" t="n"/>
    </row>
    <row r="6">
      <c r="A6" s="3" t="inlineStr">
        <is>
          <t>Impairment of Intangibles</t>
        </is>
      </c>
      <c r="B6" s="4" t="n">
        <v>0</v>
      </c>
      <c r="C6" s="4" t="n">
        <v>0</v>
      </c>
      <c r="D6" s="4" t="n">
        <v>0</v>
      </c>
      <c r="E6" s="4" t="n">
        <v>2379</v>
      </c>
      <c r="F6" s="4" t="n">
        <v>0</v>
      </c>
      <c r="G6" s="4" t="n">
        <v>0</v>
      </c>
      <c r="H6" s="4" t="n">
        <v>0</v>
      </c>
      <c r="I6" s="11">
        <f>'QTR CF'!Z5+'QTR CF'!AA5+'QTR CF'!AB5+'QTR CF'!AC5</f>
        <v/>
      </c>
      <c r="J6" s="11">
        <f>'QTR CF'!AD5+'QTR CF'!AE5+'QTR CF'!AF5+'QTR CF'!AG5</f>
        <v/>
      </c>
      <c r="K6" s="11">
        <f>'QTR CF'!AH5+'QTR CF'!AI5+'QTR CF'!AJ5+'QTR CF'!AK5</f>
        <v/>
      </c>
      <c r="L6" s="11">
        <f>'QTR CF'!AL5+'QTR CF'!AM5+'QTR CF'!AN5+'QTR CF'!AO5</f>
        <v/>
      </c>
      <c r="M6" s="11">
        <f>'QTR CF'!AP5+'QTR CF'!AQ5+'QTR CF'!AR5+'QTR CF'!AS5</f>
        <v/>
      </c>
      <c r="N6" s="5" t="n"/>
    </row>
    <row r="7">
      <c r="A7" s="3" t="inlineStr">
        <is>
          <t>Allowance for Credit Losses</t>
        </is>
      </c>
      <c r="B7" s="4" t="n">
        <v>109.393</v>
      </c>
      <c r="C7" s="4" t="n">
        <v>257.177</v>
      </c>
      <c r="D7" s="4" t="n">
        <v>1494</v>
      </c>
      <c r="E7" s="4" t="n">
        <v>2352</v>
      </c>
      <c r="F7" s="4" t="n">
        <v>2128</v>
      </c>
      <c r="G7" s="4" t="n">
        <v>3294</v>
      </c>
      <c r="H7" s="4" t="n">
        <v>10600</v>
      </c>
      <c r="I7" s="11">
        <f>'QTR CF'!Z7+'QTR CF'!AA7+'QTR CF'!AB7+'QTR CF'!AC7</f>
        <v/>
      </c>
      <c r="J7" s="11">
        <f>'QTR CF'!AD7+'QTR CF'!AE7+'QTR CF'!AF7+'QTR CF'!AG7</f>
        <v/>
      </c>
      <c r="K7" s="11">
        <f>'QTR CF'!AH7+'QTR CF'!AI7+'QTR CF'!AJ7+'QTR CF'!AK7</f>
        <v/>
      </c>
      <c r="L7" s="11">
        <f>'QTR CF'!AL7+'QTR CF'!AM7+'QTR CF'!AN7+'QTR CF'!AO7</f>
        <v/>
      </c>
      <c r="M7" s="11">
        <f>'QTR CF'!AP7+'QTR CF'!AQ7+'QTR CF'!AR7+'QTR CF'!AS7</f>
        <v/>
      </c>
      <c r="N7" s="5" t="n"/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0</v>
      </c>
      <c r="E8" s="4" t="n">
        <v>5885</v>
      </c>
      <c r="F8" s="4" t="n">
        <v>14124</v>
      </c>
      <c r="G8" s="4" t="n">
        <v>14124</v>
      </c>
      <c r="H8" s="4" t="n">
        <v>26326</v>
      </c>
      <c r="I8" s="11">
        <f>'QTR CF'!Z8+'QTR CF'!AA8+'QTR CF'!AB8+'QTR CF'!AC8</f>
        <v/>
      </c>
      <c r="J8" s="11">
        <f>'QTR CF'!AD8+'QTR CF'!AE8+'QTR CF'!AF8+'QTR CF'!AG8</f>
        <v/>
      </c>
      <c r="K8" s="11">
        <f>'QTR CF'!AH8+'QTR CF'!AI8+'QTR CF'!AJ8+'QTR CF'!AK8</f>
        <v/>
      </c>
      <c r="L8" s="11">
        <f>'QTR CF'!AL8+'QTR CF'!AM8+'QTR CF'!AN8+'QTR CF'!AO8</f>
        <v/>
      </c>
      <c r="M8" s="11">
        <f>'QTR CF'!AP8+'QTR CF'!AQ8+'QTR CF'!AR8+'QTR CF'!AS8</f>
        <v/>
      </c>
      <c r="N8" s="5" t="n"/>
    </row>
    <row r="9">
      <c r="A9" s="3" t="inlineStr">
        <is>
          <t>Inventory Write-Down</t>
        </is>
      </c>
      <c r="B9" s="4" t="n">
        <v>331.985</v>
      </c>
      <c r="C9" s="4" t="n">
        <v>747.5069999999999</v>
      </c>
      <c r="D9" s="4" t="n">
        <v>2355</v>
      </c>
      <c r="E9" s="4" t="n">
        <v>6131</v>
      </c>
      <c r="F9" s="4" t="n">
        <v>7312</v>
      </c>
      <c r="G9" s="4" t="n">
        <v>19086</v>
      </c>
      <c r="H9" s="4" t="n">
        <v>29190</v>
      </c>
      <c r="I9" s="11">
        <f>'QTR CF'!Z9+'QTR CF'!AA9+'QTR CF'!AB9+'QTR CF'!AC9</f>
        <v/>
      </c>
      <c r="J9" s="11">
        <f>'QTR CF'!AD9+'QTR CF'!AE9+'QTR CF'!AF9+'QTR CF'!AG9</f>
        <v/>
      </c>
      <c r="K9" s="11">
        <f>'QTR CF'!AH9+'QTR CF'!AI9+'QTR CF'!AJ9+'QTR CF'!AK9</f>
        <v/>
      </c>
      <c r="L9" s="11">
        <f>'QTR CF'!AL9+'QTR CF'!AM9+'QTR CF'!AN9+'QTR CF'!AO9</f>
        <v/>
      </c>
      <c r="M9" s="11">
        <f>'QTR CF'!AP9+'QTR CF'!AQ9+'QTR CF'!AR9+'QTR CF'!AS9</f>
        <v/>
      </c>
      <c r="N9" s="5" t="n"/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198</v>
      </c>
      <c r="G10" s="4" t="n">
        <v>173</v>
      </c>
      <c r="H10" s="4" t="n">
        <v>0</v>
      </c>
      <c r="I10" s="11">
        <f>'QTR CF'!Z10+'QTR CF'!AA10+'QTR CF'!AB10+'QTR CF'!AC10</f>
        <v/>
      </c>
      <c r="J10" s="11">
        <f>'QTR CF'!AD10+'QTR CF'!AE10+'QTR CF'!AF10+'QTR CF'!AG10</f>
        <v/>
      </c>
      <c r="K10" s="11">
        <f>'QTR CF'!AH10+'QTR CF'!AI10+'QTR CF'!AJ10+'QTR CF'!AK10</f>
        <v/>
      </c>
      <c r="L10" s="11">
        <f>'QTR CF'!AL10+'QTR CF'!AM10+'QTR CF'!AN10+'QTR CF'!AO10</f>
        <v/>
      </c>
      <c r="M10" s="11">
        <f>'QTR CF'!AP10+'QTR CF'!AQ10+'QTR CF'!AR10+'QTR CF'!AS10</f>
        <v/>
      </c>
      <c r="N10" s="5" t="n"/>
    </row>
    <row r="11">
      <c r="A11" s="3" t="inlineStr">
        <is>
          <t>Stock-Based Compensation</t>
        </is>
      </c>
      <c r="B11" s="4" t="n">
        <v>4831.75</v>
      </c>
      <c r="C11" s="4" t="n">
        <v>6340</v>
      </c>
      <c r="D11" s="4" t="n">
        <v>36475</v>
      </c>
      <c r="E11" s="4" t="n">
        <v>20665</v>
      </c>
      <c r="F11" s="4" t="n">
        <v>21226</v>
      </c>
      <c r="G11" s="4" t="n">
        <v>19591</v>
      </c>
      <c r="H11" s="4" t="n">
        <v>28050</v>
      </c>
      <c r="I11" s="11">
        <f>'QTR CF'!Z11+'QTR CF'!AA11+'QTR CF'!AB11+'QTR CF'!AC11</f>
        <v/>
      </c>
      <c r="J11" s="11">
        <f>'QTR CF'!AD11+'QTR CF'!AE11+'QTR CF'!AF11+'QTR CF'!AG11</f>
        <v/>
      </c>
      <c r="K11" s="11">
        <f>'QTR CF'!AH11+'QTR CF'!AI11+'QTR CF'!AJ11+'QTR CF'!AK11</f>
        <v/>
      </c>
      <c r="L11" s="11">
        <f>'QTR CF'!AL11+'QTR CF'!AM11+'QTR CF'!AN11+'QTR CF'!AO11</f>
        <v/>
      </c>
      <c r="M11" s="11">
        <f>'QTR CF'!AP11+'QTR CF'!AQ11+'QTR CF'!AR11+'QTR CF'!AS11</f>
        <v/>
      </c>
      <c r="N11" s="5" t="n"/>
    </row>
    <row r="12">
      <c r="A12" s="3" t="inlineStr">
        <is>
          <t>Gain on China Transaction</t>
        </is>
      </c>
      <c r="B12" s="4" t="n">
        <v>-12461.037</v>
      </c>
      <c r="C12" s="4" t="n">
        <v>-322.936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11">
        <f>'QTR CF'!Z12+'QTR CF'!AA12+'QTR CF'!AB12+'QTR CF'!AC12</f>
        <v/>
      </c>
      <c r="J12" s="11">
        <f>'QTR CF'!AD12+'QTR CF'!AE12+'QTR CF'!AF12+'QTR CF'!AG12</f>
        <v/>
      </c>
      <c r="K12" s="11">
        <f>'QTR CF'!AH12+'QTR CF'!AI12+'QTR CF'!AJ12+'QTR CF'!AK12</f>
        <v/>
      </c>
      <c r="L12" s="11">
        <f>'QTR CF'!AL12+'QTR CF'!AM12+'QTR CF'!AN12+'QTR CF'!AO12</f>
        <v/>
      </c>
      <c r="M12" s="11">
        <f>'QTR CF'!AP12+'QTR CF'!AQ12+'QTR CF'!AR12+'QTR CF'!AS12</f>
        <v/>
      </c>
      <c r="N12" s="5" t="n"/>
    </row>
    <row r="13">
      <c r="A13" s="3" t="inlineStr">
        <is>
          <t>(Benefit) Provision for Deferred Income Taxes</t>
        </is>
      </c>
      <c r="B13" s="4" t="n">
        <v>0</v>
      </c>
      <c r="C13" s="4" t="n">
        <v>0</v>
      </c>
      <c r="D13" s="4" t="n">
        <v>-9201</v>
      </c>
      <c r="E13" s="4" t="n">
        <v>20244</v>
      </c>
      <c r="F13" s="4" t="n">
        <v>-42055</v>
      </c>
      <c r="G13" s="4" t="n">
        <v>-9730</v>
      </c>
      <c r="H13" s="4" t="n">
        <v>-57336</v>
      </c>
      <c r="I13" s="11">
        <f>'QTR CF'!Z14+'QTR CF'!AA14+'QTR CF'!AB14+'QTR CF'!AC14</f>
        <v/>
      </c>
      <c r="J13" s="11">
        <f>'QTR CF'!AD14+'QTR CF'!AE14+'QTR CF'!AF14+'QTR CF'!AG14</f>
        <v/>
      </c>
      <c r="K13" s="11">
        <f>'QTR CF'!AH14+'QTR CF'!AI14+'QTR CF'!AJ14+'QTR CF'!AK14</f>
        <v/>
      </c>
      <c r="L13" s="11">
        <f>'QTR CF'!AL14+'QTR CF'!AM14+'QTR CF'!AN14+'QTR CF'!AO14</f>
        <v/>
      </c>
      <c r="M13" s="11">
        <f>'QTR CF'!AP14+'QTR CF'!AQ14+'QTR CF'!AR14+'QTR CF'!AS14</f>
        <v/>
      </c>
      <c r="N13" s="5" t="n"/>
    </row>
    <row r="14">
      <c r="A14" s="3" t="inlineStr">
        <is>
          <t>Foreign Currency Gain (Loss)</t>
        </is>
      </c>
      <c r="B14" s="4" t="n">
        <v>0</v>
      </c>
      <c r="C14" s="4" t="n">
        <v>0</v>
      </c>
      <c r="D14" s="4" t="n">
        <v>880</v>
      </c>
      <c r="E14" s="4" t="n">
        <v>483</v>
      </c>
      <c r="F14" s="4" t="n">
        <v>1246</v>
      </c>
      <c r="G14" s="4" t="n">
        <v>1734</v>
      </c>
      <c r="H14" s="4" t="n">
        <v>0</v>
      </c>
      <c r="I14" s="11">
        <f>'QTR CF'!Z15+'QTR CF'!AA15+'QTR CF'!AB15+'QTR CF'!AC15</f>
        <v/>
      </c>
      <c r="J14" s="11">
        <f>'QTR CF'!AD15+'QTR CF'!AE15+'QTR CF'!AF15+'QTR CF'!AG15</f>
        <v/>
      </c>
      <c r="K14" s="11">
        <f>'QTR CF'!AH15+'QTR CF'!AI15+'QTR CF'!AJ15+'QTR CF'!AK15</f>
        <v/>
      </c>
      <c r="L14" s="11">
        <f>'QTR CF'!AL15+'QTR CF'!AM15+'QTR CF'!AN15+'QTR CF'!AO15</f>
        <v/>
      </c>
      <c r="M14" s="11">
        <f>'QTR CF'!AP15+'QTR CF'!AQ15+'QTR CF'!AR15+'QTR CF'!AS15</f>
        <v/>
      </c>
      <c r="N14" s="5" t="n"/>
    </row>
    <row r="15">
      <c r="A15" s="3" t="inlineStr">
        <is>
          <t>Gain (Loss) on Lease Cancellations</t>
        </is>
      </c>
      <c r="B15" s="4" t="n">
        <v>0</v>
      </c>
      <c r="C15" s="4" t="n">
        <v>-152.112</v>
      </c>
      <c r="D15" s="4" t="n">
        <v>-28</v>
      </c>
      <c r="E15" s="4" t="n">
        <v>0</v>
      </c>
      <c r="F15" s="4" t="n">
        <v>0</v>
      </c>
      <c r="G15" s="4" t="n">
        <v>0</v>
      </c>
      <c r="H15" s="4" t="n">
        <v>0</v>
      </c>
      <c r="I15" s="11">
        <f>'QTR CF'!Z13+'QTR CF'!AA13+'QTR CF'!AB13+'QTR CF'!AC13</f>
        <v/>
      </c>
      <c r="J15" s="11">
        <f>'QTR CF'!AD13+'QTR CF'!AE13+'QTR CF'!AF13+'QTR CF'!AG13</f>
        <v/>
      </c>
      <c r="K15" s="11">
        <f>'QTR CF'!AH13+'QTR CF'!AI13+'QTR CF'!AJ13+'QTR CF'!AK13</f>
        <v/>
      </c>
      <c r="L15" s="11">
        <f>'QTR CF'!AL13+'QTR CF'!AM13+'QTR CF'!AN13+'QTR CF'!AO13</f>
        <v/>
      </c>
      <c r="M15" s="11">
        <f>'QTR CF'!AP13+'QTR CF'!AQ13+'QTR CF'!AR13+'QTR CF'!AS13</f>
        <v/>
      </c>
      <c r="N15" s="5" t="n"/>
    </row>
    <row r="16">
      <c r="A16" s="3" t="inlineStr">
        <is>
          <t>Change in Fair Value of Contingent Consideration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13800</v>
      </c>
      <c r="I16" s="11">
        <f>'QTR CF'!Z16+'QTR CF'!AA16+'QTR CF'!AB16+'QTR CF'!AC16</f>
        <v/>
      </c>
      <c r="J16" s="11">
        <f>'QTR CF'!AD16+'QTR CF'!AE16+'QTR CF'!AF16+'QTR CF'!AG16</f>
        <v/>
      </c>
      <c r="K16" s="11">
        <f>'QTR CF'!AH16+'QTR CF'!AI16+'QTR CF'!AJ16+'QTR CF'!AK16</f>
        <v/>
      </c>
      <c r="L16" s="11">
        <f>'QTR CF'!AL16+'QTR CF'!AM16+'QTR CF'!AN16+'QTR CF'!AO16</f>
        <v/>
      </c>
      <c r="M16" s="11">
        <f>'QTR CF'!AP16+'QTR CF'!AQ16+'QTR CF'!AR16+'QTR CF'!AS16</f>
        <v/>
      </c>
      <c r="N16" s="5" t="n"/>
    </row>
    <row r="17">
      <c r="A17" s="3" t="inlineStr">
        <is>
          <t>Gain (Loss) on Extinguishment of Debt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6003</v>
      </c>
      <c r="I17" s="11">
        <f>'QTR CF'!Z17+'QTR CF'!AA17+'QTR CF'!AB17+'QTR CF'!AC17</f>
        <v/>
      </c>
      <c r="J17" s="11">
        <f>'QTR CF'!AD17+'QTR CF'!AE17+'QTR CF'!AF17+'QTR CF'!AG17</f>
        <v/>
      </c>
      <c r="K17" s="11">
        <f>'QTR CF'!AH17+'QTR CF'!AI17+'QTR CF'!AJ17+'QTR CF'!AK17</f>
        <v/>
      </c>
      <c r="L17" s="11">
        <f>'QTR CF'!AL17+'QTR CF'!AM17+'QTR CF'!AN17+'QTR CF'!AO17</f>
        <v/>
      </c>
      <c r="M17" s="11">
        <f>'QTR CF'!AP17+'QTR CF'!AQ17+'QTR CF'!AR17+'QTR CF'!AS17</f>
        <v/>
      </c>
      <c r="N17" s="5" t="n"/>
    </row>
    <row r="18">
      <c r="A18" s="3" t="inlineStr">
        <is>
          <t>Other Operating Items</t>
        </is>
      </c>
      <c r="B18" s="4" t="n">
        <v>0</v>
      </c>
      <c r="C18" s="4" t="n">
        <v>0</v>
      </c>
      <c r="D18" s="4" t="n">
        <v>0</v>
      </c>
      <c r="E18" s="4" t="n">
        <v>37</v>
      </c>
      <c r="F18" s="4" t="n">
        <v>-28</v>
      </c>
      <c r="G18" s="4" t="n">
        <v>-324</v>
      </c>
      <c r="H18" s="4" t="n">
        <v>-1687</v>
      </c>
      <c r="I18" s="11">
        <f>'QTR CF'!Z18+'QTR CF'!AA18+'QTR CF'!AB18+'QTR CF'!AC18</f>
        <v/>
      </c>
      <c r="J18" s="11">
        <f>'QTR CF'!AD18+'QTR CF'!AE18+'QTR CF'!AF18+'QTR CF'!AG18</f>
        <v/>
      </c>
      <c r="K18" s="11">
        <f>'QTR CF'!AH18+'QTR CF'!AI18+'QTR CF'!AJ18+'QTR CF'!AK18</f>
        <v/>
      </c>
      <c r="L18" s="11">
        <f>'QTR CF'!AL18+'QTR CF'!AM18+'QTR CF'!AN18+'QTR CF'!AO18</f>
        <v/>
      </c>
      <c r="M18" s="11">
        <f>'QTR CF'!AP18+'QTR CF'!AQ18+'QTR CF'!AR18+'QTR CF'!AS18</f>
        <v/>
      </c>
      <c r="N18" s="5" t="n"/>
    </row>
    <row r="19">
      <c r="A19" s="3" t="inlineStr">
        <is>
          <t>Accounts Receivable</t>
        </is>
      </c>
      <c r="B19" s="4" t="n">
        <v>-1432.98</v>
      </c>
      <c r="C19" s="4" t="n">
        <v>-7468.772</v>
      </c>
      <c r="D19" s="4" t="n">
        <v>-25249</v>
      </c>
      <c r="E19" s="4" t="n">
        <v>-26369</v>
      </c>
      <c r="F19" s="4" t="n">
        <v>-121558</v>
      </c>
      <c r="G19" s="4" t="n">
        <v>-89665</v>
      </c>
      <c r="H19" s="4" t="n">
        <v>-412091</v>
      </c>
      <c r="I19" s="11">
        <f>'QTR CF'!Z19+'QTR CF'!AA19+'QTR CF'!AB19+'QTR CF'!AC19</f>
        <v/>
      </c>
      <c r="J19" s="11">
        <f>'QTR CF'!AD19+'QTR CF'!AE19+'QTR CF'!AF19+'QTR CF'!AG19</f>
        <v/>
      </c>
      <c r="K19" s="11">
        <f>'QTR CF'!AH19+'QTR CF'!AI19+'QTR CF'!AJ19+'QTR CF'!AK19</f>
        <v/>
      </c>
      <c r="L19" s="11">
        <f>'QTR CF'!AL19+'QTR CF'!AM19+'QTR CF'!AN19+'QTR CF'!AO19</f>
        <v/>
      </c>
      <c r="M19" s="11">
        <f>'QTR CF'!AP19+'QTR CF'!AQ19+'QTR CF'!AR19+'QTR CF'!AS19</f>
        <v/>
      </c>
      <c r="N19" s="5" t="n"/>
    </row>
    <row r="20">
      <c r="A20" s="3" t="inlineStr">
        <is>
          <t>Note Receivable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2318</v>
      </c>
      <c r="H20" s="4" t="n">
        <v>0</v>
      </c>
      <c r="I20" s="11">
        <f>'QTR CF'!Z20+'QTR CF'!AA20+'QTR CF'!AB20+'QTR CF'!AC20</f>
        <v/>
      </c>
      <c r="J20" s="11">
        <f>'QTR CF'!AD20+'QTR CF'!AE20+'QTR CF'!AF20+'QTR CF'!AG20</f>
        <v/>
      </c>
      <c r="K20" s="11">
        <f>'QTR CF'!AH20+'QTR CF'!AI20+'QTR CF'!AJ20+'QTR CF'!AK20</f>
        <v/>
      </c>
      <c r="L20" s="11">
        <f>'QTR CF'!AL20+'QTR CF'!AM20+'QTR CF'!AN20+'QTR CF'!AO20</f>
        <v/>
      </c>
      <c r="M20" s="11">
        <f>'QTR CF'!AP20+'QTR CF'!AQ20+'QTR CF'!AR20+'QTR CF'!AS20</f>
        <v/>
      </c>
      <c r="N20" s="5" t="n"/>
    </row>
    <row r="21">
      <c r="A21" s="3" t="inlineStr">
        <is>
          <t>Inventories</t>
        </is>
      </c>
      <c r="B21" s="4" t="n">
        <v>-2239.254</v>
      </c>
      <c r="C21" s="4" t="n">
        <v>-3858.78</v>
      </c>
      <c r="D21" s="4" t="n">
        <v>-175174</v>
      </c>
      <c r="E21" s="4" t="n">
        <v>11802</v>
      </c>
      <c r="F21" s="4" t="n">
        <v>-63299</v>
      </c>
      <c r="G21" s="4" t="n">
        <v>77190</v>
      </c>
      <c r="H21" s="4" t="n">
        <v>-129777</v>
      </c>
      <c r="I21" s="11">
        <f>'QTR CF'!Z21+'QTR CF'!AA21+'QTR CF'!AB21+'QTR CF'!AC21</f>
        <v/>
      </c>
      <c r="J21" s="11">
        <f>'QTR CF'!AD21+'QTR CF'!AE21+'QTR CF'!AF21+'QTR CF'!AG21</f>
        <v/>
      </c>
      <c r="K21" s="11">
        <f>'QTR CF'!AH21+'QTR CF'!AI21+'QTR CF'!AJ21+'QTR CF'!AK21</f>
        <v/>
      </c>
      <c r="L21" s="11">
        <f>'QTR CF'!AL21+'QTR CF'!AM21+'QTR CF'!AN21+'QTR CF'!AO21</f>
        <v/>
      </c>
      <c r="M21" s="11">
        <f>'QTR CF'!AP21+'QTR CF'!AQ21+'QTR CF'!AR21+'QTR CF'!AS21</f>
        <v/>
      </c>
      <c r="N21" s="5" t="n"/>
    </row>
    <row r="22">
      <c r="A22" s="3" t="inlineStr">
        <is>
          <t>Prepaid Expenses</t>
        </is>
      </c>
      <c r="B22" s="4" t="n">
        <v>-805.571</v>
      </c>
      <c r="C22" s="4" t="n">
        <v>-10456.787</v>
      </c>
      <c r="D22" s="4" t="n">
        <v>1072</v>
      </c>
      <c r="E22" s="4" t="n">
        <v>2214</v>
      </c>
      <c r="F22" s="4" t="n">
        <v>-7980</v>
      </c>
      <c r="G22" s="4" t="n">
        <v>1074</v>
      </c>
      <c r="H22" s="4" t="n">
        <v>-108321</v>
      </c>
      <c r="I22" s="11">
        <f>'QTR CF'!Z22+'QTR CF'!AA22+'QTR CF'!AB22+'QTR CF'!AC22</f>
        <v/>
      </c>
      <c r="J22" s="11">
        <f>'QTR CF'!AD22+'QTR CF'!AE22+'QTR CF'!AF22+'QTR CF'!AG22</f>
        <v/>
      </c>
      <c r="K22" s="11">
        <f>'QTR CF'!AH22+'QTR CF'!AI22+'QTR CF'!AJ22+'QTR CF'!AK22</f>
        <v/>
      </c>
      <c r="L22" s="11">
        <f>'QTR CF'!AL22+'QTR CF'!AM22+'QTR CF'!AN22+'QTR CF'!AO22</f>
        <v/>
      </c>
      <c r="M22" s="11">
        <f>'QTR CF'!AP22+'QTR CF'!AQ22+'QTR CF'!AR22+'QTR CF'!AS22</f>
        <v/>
      </c>
      <c r="N22" s="5" t="n"/>
    </row>
    <row r="23">
      <c r="A23" s="3" t="inlineStr">
        <is>
          <t>Change in A/P and Accrued (legacy)</t>
        </is>
      </c>
      <c r="B23" s="4" t="n">
        <v>2624.892</v>
      </c>
      <c r="C23" s="4" t="n">
        <v>8120.106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11">
        <f>'QTR CF'!Z23+'QTR CF'!AA23+'QTR CF'!AB23+'QTR CF'!AC23</f>
        <v/>
      </c>
      <c r="J23" s="11">
        <f>'QTR CF'!AD23+'QTR CF'!AE23+'QTR CF'!AF23+'QTR CF'!AG23</f>
        <v/>
      </c>
      <c r="K23" s="11">
        <f>'QTR CF'!AH23+'QTR CF'!AI23+'QTR CF'!AJ23+'QTR CF'!AK23</f>
        <v/>
      </c>
      <c r="L23" s="11">
        <f>'QTR CF'!AL23+'QTR CF'!AM23+'QTR CF'!AN23+'QTR CF'!AO23</f>
        <v/>
      </c>
      <c r="M23" s="11">
        <f>'QTR CF'!AP23+'QTR CF'!AQ23+'QTR CF'!AR23+'QTR CF'!AS23</f>
        <v/>
      </c>
      <c r="N23" s="5" t="n"/>
    </row>
    <row r="24">
      <c r="A24" s="3" t="inlineStr">
        <is>
          <t>Other Non-Current Assets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-4862</v>
      </c>
      <c r="H24" s="4" t="n">
        <v>2857</v>
      </c>
      <c r="I24" s="11">
        <f>'QTR CF'!Z24+'QTR CF'!AA24+'QTR CF'!AB24+'QTR CF'!AC24</f>
        <v/>
      </c>
      <c r="J24" s="11">
        <f>'QTR CF'!AD24+'QTR CF'!AE24+'QTR CF'!AF24+'QTR CF'!AG24</f>
        <v/>
      </c>
      <c r="K24" s="11">
        <f>'QTR CF'!AH24+'QTR CF'!AI24+'QTR CF'!AJ24+'QTR CF'!AK24</f>
        <v/>
      </c>
      <c r="L24" s="11">
        <f>'QTR CF'!AL24+'QTR CF'!AM24+'QTR CF'!AN24+'QTR CF'!AO24</f>
        <v/>
      </c>
      <c r="M24" s="11">
        <f>'QTR CF'!AP24+'QTR CF'!AQ24+'QTR CF'!AR24+'QTR CF'!AS24</f>
        <v/>
      </c>
      <c r="N24" s="5" t="n"/>
    </row>
    <row r="25">
      <c r="A25" s="3" t="inlineStr">
        <is>
          <t>Accounts Payable</t>
        </is>
      </c>
      <c r="B25" s="4" t="n">
        <v>0</v>
      </c>
      <c r="C25" s="4" t="n">
        <v>0</v>
      </c>
      <c r="D25" s="4" t="n">
        <v>23966</v>
      </c>
      <c r="E25" s="4" t="n">
        <v>428</v>
      </c>
      <c r="F25" s="4" t="n">
        <v>5249</v>
      </c>
      <c r="G25" s="4" t="n">
        <v>-1170</v>
      </c>
      <c r="H25" s="4" t="n">
        <v>51252</v>
      </c>
      <c r="I25" s="11">
        <f>'QTR CF'!Z25+'QTR CF'!AA25+'QTR CF'!AB25+'QTR CF'!AC25</f>
        <v/>
      </c>
      <c r="J25" s="11">
        <f>'QTR CF'!AD25+'QTR CF'!AE25+'QTR CF'!AF25+'QTR CF'!AG25</f>
        <v/>
      </c>
      <c r="K25" s="11">
        <f>'QTR CF'!AH25+'QTR CF'!AI25+'QTR CF'!AJ25+'QTR CF'!AK25</f>
        <v/>
      </c>
      <c r="L25" s="11">
        <f>'QTR CF'!AL25+'QTR CF'!AM25+'QTR CF'!AN25+'QTR CF'!AO25</f>
        <v/>
      </c>
      <c r="M25" s="11">
        <f>'QTR CF'!AP25+'QTR CF'!AQ25+'QTR CF'!AR25+'QTR CF'!AS25</f>
        <v/>
      </c>
      <c r="N25" s="5" t="n"/>
    </row>
    <row r="26">
      <c r="A26" s="3" t="inlineStr">
        <is>
          <t>Accrued Expenses</t>
        </is>
      </c>
      <c r="B26" s="4" t="n">
        <v>0</v>
      </c>
      <c r="C26" s="4" t="n">
        <v>0</v>
      </c>
      <c r="D26" s="4" t="n">
        <v>26484</v>
      </c>
      <c r="E26" s="4" t="n">
        <v>34644</v>
      </c>
      <c r="F26" s="4" t="n">
        <v>-8025</v>
      </c>
      <c r="G26" s="4" t="n">
        <v>85398</v>
      </c>
      <c r="H26" s="4" t="n">
        <v>45618</v>
      </c>
      <c r="I26" s="11">
        <f>'QTR CF'!Z26+'QTR CF'!AA26+'QTR CF'!AB26+'QTR CF'!AC26</f>
        <v/>
      </c>
      <c r="J26" s="11">
        <f>'QTR CF'!AD26+'QTR CF'!AE26+'QTR CF'!AF26+'QTR CF'!AG26</f>
        <v/>
      </c>
      <c r="K26" s="11">
        <f>'QTR CF'!AH26+'QTR CF'!AI26+'QTR CF'!AJ26+'QTR CF'!AK26</f>
        <v/>
      </c>
      <c r="L26" s="11">
        <f>'QTR CF'!AL26+'QTR CF'!AM26+'QTR CF'!AN26+'QTR CF'!AO26</f>
        <v/>
      </c>
      <c r="M26" s="11">
        <f>'QTR CF'!AP26+'QTR CF'!AQ26+'QTR CF'!AR26+'QTR CF'!AS26</f>
        <v/>
      </c>
      <c r="N26" s="5" t="n"/>
    </row>
    <row r="27">
      <c r="A27" s="3" t="inlineStr">
        <is>
          <t>Change in Income Taxes</t>
        </is>
      </c>
      <c r="B27" s="4" t="n">
        <v>0</v>
      </c>
      <c r="C27" s="4" t="n">
        <v>0</v>
      </c>
      <c r="D27" s="4" t="n">
        <v>1357</v>
      </c>
      <c r="E27" s="4" t="n">
        <v>-164</v>
      </c>
      <c r="F27" s="4" t="n">
        <v>48102</v>
      </c>
      <c r="G27" s="4" t="n">
        <v>-39536</v>
      </c>
      <c r="H27" s="4" t="n">
        <v>38750</v>
      </c>
      <c r="I27" s="11">
        <f>'QTR CF'!Z27+'QTR CF'!AA27+'QTR CF'!AB27+'QTR CF'!AC27</f>
        <v/>
      </c>
      <c r="J27" s="11">
        <f>'QTR CF'!AD27+'QTR CF'!AE27+'QTR CF'!AF27+'QTR CF'!AG27</f>
        <v/>
      </c>
      <c r="K27" s="11">
        <f>'QTR CF'!AH27+'QTR CF'!AI27+'QTR CF'!AJ27+'QTR CF'!AK27</f>
        <v/>
      </c>
      <c r="L27" s="11">
        <f>'QTR CF'!AL27+'QTR CF'!AM27+'QTR CF'!AN27+'QTR CF'!AO27</f>
        <v/>
      </c>
      <c r="M27" s="11">
        <f>'QTR CF'!AP27+'QTR CF'!AQ27+'QTR CF'!AR27+'QTR CF'!AS27</f>
        <v/>
      </c>
      <c r="N27" s="5" t="n"/>
    </row>
    <row r="28">
      <c r="A28" s="3" t="inlineStr">
        <is>
          <t>Accrued Promotional Allowance</t>
        </is>
      </c>
      <c r="B28" s="4" t="n">
        <v>0</v>
      </c>
      <c r="C28" s="4" t="n">
        <v>0</v>
      </c>
      <c r="D28" s="4" t="n">
        <v>13379</v>
      </c>
      <c r="E28" s="4" t="n">
        <v>16940</v>
      </c>
      <c r="F28" s="4" t="n">
        <v>63810</v>
      </c>
      <c r="G28" s="4" t="n">
        <v>36161</v>
      </c>
      <c r="H28" s="4" t="n">
        <v>153635</v>
      </c>
      <c r="I28" s="11">
        <f>'QTR CF'!Z28+'QTR CF'!AA28+'QTR CF'!AB28+'QTR CF'!AC28</f>
        <v/>
      </c>
      <c r="J28" s="11">
        <f>'QTR CF'!AD28+'QTR CF'!AE28+'QTR CF'!AF28+'QTR CF'!AG28</f>
        <v/>
      </c>
      <c r="K28" s="11">
        <f>'QTR CF'!AH28+'QTR CF'!AI28+'QTR CF'!AJ28+'QTR CF'!AK28</f>
        <v/>
      </c>
      <c r="L28" s="11">
        <f>'QTR CF'!AL28+'QTR CF'!AM28+'QTR CF'!AN28+'QTR CF'!AO28</f>
        <v/>
      </c>
      <c r="M28" s="11">
        <f>'QTR CF'!AP28+'QTR CF'!AQ28+'QTR CF'!AR28+'QTR CF'!AS28</f>
        <v/>
      </c>
      <c r="N28" s="5" t="n"/>
    </row>
    <row r="29">
      <c r="A29" s="3" t="inlineStr">
        <is>
          <t>Accrued Distributor Termination</t>
        </is>
      </c>
      <c r="B29" s="4" t="n">
        <v>0</v>
      </c>
      <c r="C29" s="4" t="n">
        <v>0</v>
      </c>
      <c r="D29" s="4" t="n">
        <v>0</v>
      </c>
      <c r="E29" s="4" t="n">
        <v>3986</v>
      </c>
      <c r="F29" s="4" t="n">
        <v>-3739</v>
      </c>
      <c r="G29" s="4" t="n">
        <v>-248</v>
      </c>
      <c r="H29" s="4" t="n">
        <v>257595</v>
      </c>
      <c r="I29" s="11">
        <f>'QTR CF'!Z29+'QTR CF'!AA29+'QTR CF'!AB29+'QTR CF'!AC29</f>
        <v/>
      </c>
      <c r="J29" s="11">
        <f>'QTR CF'!AD29+'QTR CF'!AE29+'QTR CF'!AF29+'QTR CF'!AG29</f>
        <v/>
      </c>
      <c r="K29" s="11">
        <f>'QTR CF'!AH29+'QTR CF'!AI29+'QTR CF'!AJ29+'QTR CF'!AK29</f>
        <v/>
      </c>
      <c r="L29" s="11">
        <f>'QTR CF'!AL29+'QTR CF'!AM29+'QTR CF'!AN29+'QTR CF'!AO29</f>
        <v/>
      </c>
      <c r="M29" s="11">
        <f>'QTR CF'!AP29+'QTR CF'!AQ29+'QTR CF'!AR29+'QTR CF'!AS29</f>
        <v/>
      </c>
      <c r="N29" s="5" t="n"/>
    </row>
    <row r="30">
      <c r="A30" s="3" t="inlineStr">
        <is>
          <t>Other Current Liabilities</t>
        </is>
      </c>
      <c r="B30" s="4" t="n">
        <v>-895.806</v>
      </c>
      <c r="C30" s="4" t="n">
        <v>-96.28100000000001</v>
      </c>
      <c r="D30" s="4" t="n">
        <v>374</v>
      </c>
      <c r="E30" s="4" t="n">
        <v>2610</v>
      </c>
      <c r="F30" s="4" t="n">
        <v>7305</v>
      </c>
      <c r="G30" s="4" t="n">
        <v>4920</v>
      </c>
      <c r="H30" s="4" t="n">
        <v>9937</v>
      </c>
      <c r="I30" s="11">
        <f>'QTR CF'!Z30+'QTR CF'!AA30+'QTR CF'!AB30+'QTR CF'!AC30</f>
        <v/>
      </c>
      <c r="J30" s="11">
        <f>'QTR CF'!AD30+'QTR CF'!AE30+'QTR CF'!AF30+'QTR CF'!AG30</f>
        <v/>
      </c>
      <c r="K30" s="11">
        <f>'QTR CF'!AH30+'QTR CF'!AI30+'QTR CF'!AJ30+'QTR CF'!AK30</f>
        <v/>
      </c>
      <c r="L30" s="11">
        <f>'QTR CF'!AL30+'QTR CF'!AM30+'QTR CF'!AN30+'QTR CF'!AO30</f>
        <v/>
      </c>
      <c r="M30" s="11">
        <f>'QTR CF'!AP30+'QTR CF'!AQ30+'QTR CF'!AR30+'QTR CF'!AS30</f>
        <v/>
      </c>
      <c r="N30" s="5" t="n"/>
    </row>
    <row r="31">
      <c r="A31" s="3" t="inlineStr">
        <is>
          <t>ROU &amp; Lease Liability, Net</t>
        </is>
      </c>
      <c r="B31" s="4" t="n">
        <v>105.943</v>
      </c>
      <c r="C31" s="4" t="n">
        <v>150.547</v>
      </c>
      <c r="D31" s="4" t="n">
        <v>29</v>
      </c>
      <c r="E31" s="4" t="n">
        <v>-183</v>
      </c>
      <c r="F31" s="4" t="n">
        <v>-102</v>
      </c>
      <c r="G31" s="4" t="n">
        <v>535</v>
      </c>
      <c r="H31" s="4" t="n">
        <v>0</v>
      </c>
      <c r="I31" s="11">
        <f>'QTR CF'!Z31+'QTR CF'!AA31+'QTR CF'!AB31+'QTR CF'!AC31</f>
        <v/>
      </c>
      <c r="J31" s="11">
        <f>'QTR CF'!AD31+'QTR CF'!AE31+'QTR CF'!AF31+'QTR CF'!AG31</f>
        <v/>
      </c>
      <c r="K31" s="11">
        <f>'QTR CF'!AH31+'QTR CF'!AI31+'QTR CF'!AJ31+'QTR CF'!AK31</f>
        <v/>
      </c>
      <c r="L31" s="11">
        <f>'QTR CF'!AL31+'QTR CF'!AM31+'QTR CF'!AN31+'QTR CF'!AO31</f>
        <v/>
      </c>
      <c r="M31" s="11">
        <f>'QTR CF'!AP31+'QTR CF'!AQ31+'QTR CF'!AR31+'QTR CF'!AS31</f>
        <v/>
      </c>
      <c r="N31" s="5" t="n"/>
    </row>
    <row r="32">
      <c r="A32" s="3" t="inlineStr">
        <is>
          <t>Deferred Revenue</t>
        </is>
      </c>
      <c r="B32" s="4" t="n">
        <v>0</v>
      </c>
      <c r="C32" s="4" t="n">
        <v>0</v>
      </c>
      <c r="D32" s="4" t="n">
        <v>0</v>
      </c>
      <c r="E32" s="4" t="n">
        <v>189463</v>
      </c>
      <c r="F32" s="4" t="n">
        <v>-12723</v>
      </c>
      <c r="G32" s="4" t="n">
        <v>-9513</v>
      </c>
      <c r="H32" s="4" t="n">
        <v>255110</v>
      </c>
      <c r="I32" s="11">
        <f>'QTR CF'!Z32+'QTR CF'!AA32+'QTR CF'!AB32+'QTR CF'!AC32</f>
        <v/>
      </c>
      <c r="J32" s="11">
        <f>'QTR CF'!AD32+'QTR CF'!AE32+'QTR CF'!AF32+'QTR CF'!AG32</f>
        <v/>
      </c>
      <c r="K32" s="11">
        <f>'QTR CF'!AH32+'QTR CF'!AI32+'QTR CF'!AJ32+'QTR CF'!AK32</f>
        <v/>
      </c>
      <c r="L32" s="11">
        <f>'QTR CF'!AL32+'QTR CF'!AM32+'QTR CF'!AN32+'QTR CF'!AO32</f>
        <v/>
      </c>
      <c r="M32" s="11">
        <f>'QTR CF'!AP32+'QTR CF'!AQ32+'QTR CF'!AR32+'QTR CF'!AS32</f>
        <v/>
      </c>
      <c r="N32" s="5" t="n"/>
    </row>
    <row r="33">
      <c r="A33" s="3" t="inlineStr">
        <is>
          <t>Net Change in Other Working Capital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2481</v>
      </c>
      <c r="I33" s="11">
        <f>'QTR CF'!Z33+'QTR CF'!AA33+'QTR CF'!AB33+'QTR CF'!AC33</f>
        <v/>
      </c>
      <c r="J33" s="11">
        <f>'QTR CF'!AD33+'QTR CF'!AE33+'QTR CF'!AF33+'QTR CF'!AG33</f>
        <v/>
      </c>
      <c r="K33" s="11">
        <f>'QTR CF'!AH33+'QTR CF'!AI33+'QTR CF'!AJ33+'QTR CF'!AK33</f>
        <v/>
      </c>
      <c r="L33" s="11">
        <f>'QTR CF'!AL33+'QTR CF'!AM33+'QTR CF'!AN33+'QTR CF'!AO33</f>
        <v/>
      </c>
      <c r="M33" s="11">
        <f>'QTR CF'!AP33+'QTR CF'!AQ33+'QTR CF'!AR33+'QTR CF'!AS33</f>
        <v/>
      </c>
      <c r="N33" s="5" t="n"/>
    </row>
    <row r="34">
      <c r="A34" s="3" t="inlineStr">
        <is>
          <t>Cash Flow from Operations</t>
        </is>
      </c>
      <c r="B34" s="6">
        <f>SUM(B2:B33)</f>
        <v/>
      </c>
      <c r="C34" s="6">
        <f>SUM(C2:C33)</f>
        <v/>
      </c>
      <c r="D34" s="6">
        <f>SUM(D2:D33)</f>
        <v/>
      </c>
      <c r="E34" s="6">
        <f>SUM(E2:E33)</f>
        <v/>
      </c>
      <c r="F34" s="6">
        <f>SUM(F2:F33)</f>
        <v/>
      </c>
      <c r="G34" s="6">
        <f>SUM(G2:G33)</f>
        <v/>
      </c>
      <c r="H34" s="6">
        <f>SUM(H2:H33)</f>
        <v/>
      </c>
      <c r="I34" s="7">
        <f>SUM(I2:I33)</f>
        <v/>
      </c>
      <c r="J34" s="7">
        <f>SUM(J2:J33)</f>
        <v/>
      </c>
      <c r="K34" s="7">
        <f>SUM(K2:K33)</f>
        <v/>
      </c>
      <c r="L34" s="7">
        <f>SUM(L2:L33)</f>
        <v/>
      </c>
      <c r="M34" s="7">
        <f>SUM(M2:M33)</f>
        <v/>
      </c>
      <c r="N34" s="7">
        <f>SUM(N2:N33)</f>
        <v/>
      </c>
    </row>
    <row r="35">
      <c r="A35" s="3" t="inlineStr">
        <is>
          <t>Collections from Note Receivable</t>
        </is>
      </c>
      <c r="B35" s="4" t="n">
        <v>0</v>
      </c>
      <c r="C35" s="4" t="n">
        <v>1331.011</v>
      </c>
      <c r="D35" s="4" t="n">
        <v>1886</v>
      </c>
      <c r="E35" s="4" t="n">
        <v>2592</v>
      </c>
      <c r="F35" s="4" t="n">
        <v>3233</v>
      </c>
      <c r="G35" s="4" t="n">
        <v>0</v>
      </c>
      <c r="H35" s="4" t="n">
        <v>0</v>
      </c>
      <c r="I35" s="11">
        <f>'QTR CF'!Z35+'QTR CF'!AA35+'QTR CF'!AB35+'QTR CF'!AC35</f>
        <v/>
      </c>
      <c r="J35" s="11">
        <f>'QTR CF'!AD35+'QTR CF'!AE35+'QTR CF'!AF35+'QTR CF'!AG35</f>
        <v/>
      </c>
      <c r="K35" s="11">
        <f>'QTR CF'!AH35+'QTR CF'!AI35+'QTR CF'!AJ35+'QTR CF'!AK35</f>
        <v/>
      </c>
      <c r="L35" s="11">
        <f>'QTR CF'!AL35+'QTR CF'!AM35+'QTR CF'!AN35+'QTR CF'!AO35</f>
        <v/>
      </c>
      <c r="M35" s="11">
        <f>'QTR CF'!AP35+'QTR CF'!AQ35+'QTR CF'!AR35+'QTR CF'!AS35</f>
        <v/>
      </c>
      <c r="N35" s="5" t="n"/>
    </row>
    <row r="36">
      <c r="A36" s="3" t="inlineStr">
        <is>
          <t>Purchase of PP&amp;E</t>
        </is>
      </c>
      <c r="B36" s="4" t="n">
        <v>-77.974</v>
      </c>
      <c r="C36" s="4" t="n">
        <v>-573.751</v>
      </c>
      <c r="D36" s="4" t="n">
        <v>-3150</v>
      </c>
      <c r="E36" s="4" t="n">
        <v>-8264</v>
      </c>
      <c r="F36" s="4" t="n">
        <v>-17433</v>
      </c>
      <c r="G36" s="4" t="n">
        <v>-23390</v>
      </c>
      <c r="H36" s="4" t="n">
        <v>-36067</v>
      </c>
      <c r="I36" s="11">
        <f>'QTR CF'!Z36+'QTR CF'!AA36+'QTR CF'!AB36+'QTR CF'!AC36</f>
        <v/>
      </c>
      <c r="J36" s="11">
        <f>'QTR CF'!AD36+'QTR CF'!AE36+'QTR CF'!AF36+'QTR CF'!AG36</f>
        <v/>
      </c>
      <c r="K36" s="11">
        <f>'QTR CF'!AH36+'QTR CF'!AI36+'QTR CF'!AJ36+'QTR CF'!AK36</f>
        <v/>
      </c>
      <c r="L36" s="11">
        <f>'QTR CF'!AL36+'QTR CF'!AM36+'QTR CF'!AN36+'QTR CF'!AO36</f>
        <v/>
      </c>
      <c r="M36" s="11">
        <f>'QTR CF'!AP36+'QTR CF'!AQ36+'QTR CF'!AR36+'QTR CF'!AS36</f>
        <v/>
      </c>
      <c r="N36" s="5" t="n"/>
    </row>
    <row r="37">
      <c r="A37" s="3" t="inlineStr">
        <is>
          <t>Purchase of Non-Marketable Equity Securities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-3000</v>
      </c>
      <c r="H37" s="4" t="n">
        <v>-10000</v>
      </c>
      <c r="I37" s="11">
        <f>'QTR CF'!Z37+'QTR CF'!AA37+'QTR CF'!AB37+'QTR CF'!AC37</f>
        <v/>
      </c>
      <c r="J37" s="11">
        <f>'QTR CF'!AD37+'QTR CF'!AE37+'QTR CF'!AF37+'QTR CF'!AG37</f>
        <v/>
      </c>
      <c r="K37" s="11">
        <f>'QTR CF'!AH37+'QTR CF'!AI37+'QTR CF'!AJ37+'QTR CF'!AK37</f>
        <v/>
      </c>
      <c r="L37" s="11">
        <f>'QTR CF'!AL37+'QTR CF'!AM37+'QTR CF'!AN37+'QTR CF'!AO37</f>
        <v/>
      </c>
      <c r="M37" s="11">
        <f>'QTR CF'!AP37+'QTR CF'!AQ37+'QTR CF'!AR37+'QTR CF'!AS37</f>
        <v/>
      </c>
      <c r="N37" s="5" t="n"/>
    </row>
    <row r="38">
      <c r="A38" s="3" t="inlineStr">
        <is>
          <t>Acquisition of Big Beverages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-75336</v>
      </c>
      <c r="H38" s="4" t="n">
        <v>0</v>
      </c>
      <c r="I38" s="11">
        <f>'QTR CF'!Z38+'QTR CF'!AA38+'QTR CF'!AB38+'QTR CF'!AC38</f>
        <v/>
      </c>
      <c r="J38" s="11">
        <f>'QTR CF'!AD38+'QTR CF'!AE38+'QTR CF'!AF38+'QTR CF'!AG38</f>
        <v/>
      </c>
      <c r="K38" s="11">
        <f>'QTR CF'!AH38+'QTR CF'!AI38+'QTR CF'!AJ38+'QTR CF'!AK38</f>
        <v/>
      </c>
      <c r="L38" s="11">
        <f>'QTR CF'!AL38+'QTR CF'!AM38+'QTR CF'!AN38+'QTR CF'!AO38</f>
        <v/>
      </c>
      <c r="M38" s="11">
        <f>'QTR CF'!AP38+'QTR CF'!AQ38+'QTR CF'!AR38+'QTR CF'!AS38</f>
        <v/>
      </c>
      <c r="N38" s="5" t="n"/>
    </row>
    <row r="39">
      <c r="A39" s="3" t="inlineStr">
        <is>
          <t>Acquisitions, Net of Cash Acquired</t>
        </is>
      </c>
      <c r="B39" s="4" t="n">
        <v>-14188.056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-1278769</v>
      </c>
      <c r="I39" s="11">
        <f>'QTR CF'!Z39+'QTR CF'!AA39+'QTR CF'!AB39+'QTR CF'!AC39</f>
        <v/>
      </c>
      <c r="J39" s="11">
        <f>'QTR CF'!AD39+'QTR CF'!AE39+'QTR CF'!AF39+'QTR CF'!AG39</f>
        <v/>
      </c>
      <c r="K39" s="11">
        <f>'QTR CF'!AH39+'QTR CF'!AI39+'QTR CF'!AJ39+'QTR CF'!AK39</f>
        <v/>
      </c>
      <c r="L39" s="11">
        <f>'QTR CF'!AL39+'QTR CF'!AM39+'QTR CF'!AN39+'QTR CF'!AO39</f>
        <v/>
      </c>
      <c r="M39" s="11">
        <f>'QTR CF'!AP39+'QTR CF'!AQ39+'QTR CF'!AR39+'QTR CF'!AS39</f>
        <v/>
      </c>
      <c r="N39" s="5" t="n"/>
    </row>
    <row r="40">
      <c r="A40" s="3" t="inlineStr">
        <is>
          <t>Working Capital Estimate from Pepsi (Rockstar)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29156</v>
      </c>
      <c r="I40" s="11">
        <f>'QTR CF'!Z40+'QTR CF'!AA40+'QTR CF'!AB40+'QTR CF'!AC40</f>
        <v/>
      </c>
      <c r="J40" s="11">
        <f>'QTR CF'!AD40+'QTR CF'!AE40+'QTR CF'!AF40+'QTR CF'!AG40</f>
        <v/>
      </c>
      <c r="K40" s="11">
        <f>'QTR CF'!AH40+'QTR CF'!AI40+'QTR CF'!AJ40+'QTR CF'!AK40</f>
        <v/>
      </c>
      <c r="L40" s="11">
        <f>'QTR CF'!AL40+'QTR CF'!AM40+'QTR CF'!AN40+'QTR CF'!AO40</f>
        <v/>
      </c>
      <c r="M40" s="11">
        <f>'QTR CF'!AP40+'QTR CF'!AQ40+'QTR CF'!AR40+'QTR CF'!AS40</f>
        <v/>
      </c>
      <c r="N40" s="5" t="n"/>
    </row>
    <row r="41">
      <c r="A41" s="3" t="inlineStr">
        <is>
          <t>Cash Flow from Investing</t>
        </is>
      </c>
      <c r="B41" s="6">
        <f>SUM(B35:B40)</f>
        <v/>
      </c>
      <c r="C41" s="6">
        <f>SUM(C35:C40)</f>
        <v/>
      </c>
      <c r="D41" s="6">
        <f>SUM(D35:D40)</f>
        <v/>
      </c>
      <c r="E41" s="6">
        <f>SUM(E35:E40)</f>
        <v/>
      </c>
      <c r="F41" s="6">
        <f>SUM(F35:F40)</f>
        <v/>
      </c>
      <c r="G41" s="6">
        <f>SUM(G35:G40)</f>
        <v/>
      </c>
      <c r="H41" s="6">
        <f>SUM(H35:H40)</f>
        <v/>
      </c>
      <c r="I41" s="7">
        <f>SUM(I35:I40)</f>
        <v/>
      </c>
      <c r="J41" s="7">
        <f>SUM(J35:J40)</f>
        <v/>
      </c>
      <c r="K41" s="7">
        <f>SUM(K35:K40)</f>
        <v/>
      </c>
      <c r="L41" s="7">
        <f>SUM(L35:L40)</f>
        <v/>
      </c>
      <c r="M41" s="7">
        <f>SUM(M35:M40)</f>
        <v/>
      </c>
      <c r="N41" s="7">
        <f>SUM(N35:N40)</f>
        <v/>
      </c>
    </row>
    <row r="42">
      <c r="A42" s="3" t="inlineStr">
        <is>
          <t>Proceeds from Related-Party Notes</t>
        </is>
      </c>
      <c r="B42" s="4" t="n">
        <v>1500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11">
        <f>'QTR CF'!Z42+'QTR CF'!AA42+'QTR CF'!AB42+'QTR CF'!AC42</f>
        <v/>
      </c>
      <c r="J42" s="11">
        <f>'QTR CF'!AD42+'QTR CF'!AE42+'QTR CF'!AF42+'QTR CF'!AG42</f>
        <v/>
      </c>
      <c r="K42" s="11">
        <f>'QTR CF'!AH42+'QTR CF'!AI42+'QTR CF'!AJ42+'QTR CF'!AK42</f>
        <v/>
      </c>
      <c r="L42" s="11">
        <f>'QTR CF'!AL42+'QTR CF'!AM42+'QTR CF'!AN42+'QTR CF'!AO42</f>
        <v/>
      </c>
      <c r="M42" s="11">
        <f>'QTR CF'!AP42+'QTR CF'!AQ42+'QTR CF'!AR42+'QTR CF'!AS42</f>
        <v/>
      </c>
      <c r="N42" s="5" t="n"/>
    </row>
    <row r="43">
      <c r="A43" s="3" t="inlineStr">
        <is>
          <t>Payments on Bonds Payable</t>
        </is>
      </c>
      <c r="B43" s="4" t="n">
        <v>0</v>
      </c>
      <c r="C43" s="4" t="n">
        <v>-9601.531000000001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11">
        <f>'QTR CF'!Z43+'QTR CF'!AA43+'QTR CF'!AB43+'QTR CF'!AC43</f>
        <v/>
      </c>
      <c r="J43" s="11">
        <f>'QTR CF'!AD43+'QTR CF'!AE43+'QTR CF'!AF43+'QTR CF'!AG43</f>
        <v/>
      </c>
      <c r="K43" s="11">
        <f>'QTR CF'!AH43+'QTR CF'!AI43+'QTR CF'!AJ43+'QTR CF'!AK43</f>
        <v/>
      </c>
      <c r="L43" s="11">
        <f>'QTR CF'!AL43+'QTR CF'!AM43+'QTR CF'!AN43+'QTR CF'!AO43</f>
        <v/>
      </c>
      <c r="M43" s="11">
        <f>'QTR CF'!AP43+'QTR CF'!AQ43+'QTR CF'!AR43+'QTR CF'!AS43</f>
        <v/>
      </c>
      <c r="N43" s="5" t="n"/>
    </row>
    <row r="44">
      <c r="A44" s="3" t="inlineStr">
        <is>
          <t>Finance Lease Payments</t>
        </is>
      </c>
      <c r="B44" s="4" t="n">
        <v>-26.486</v>
      </c>
      <c r="C44" s="4" t="n">
        <v>-280.208</v>
      </c>
      <c r="D44" s="4" t="n">
        <v>-94</v>
      </c>
      <c r="E44" s="4" t="n">
        <v>-63</v>
      </c>
      <c r="F44" s="4" t="n">
        <v>-44</v>
      </c>
      <c r="G44" s="4" t="n">
        <v>-61</v>
      </c>
      <c r="H44" s="4" t="n">
        <v>0</v>
      </c>
      <c r="I44" s="11">
        <f>'QTR CF'!Z44+'QTR CF'!AA44+'QTR CF'!AB44+'QTR CF'!AC44</f>
        <v/>
      </c>
      <c r="J44" s="11">
        <f>'QTR CF'!AD44+'QTR CF'!AE44+'QTR CF'!AF44+'QTR CF'!AG44</f>
        <v/>
      </c>
      <c r="K44" s="11">
        <f>'QTR CF'!AH44+'QTR CF'!AI44+'QTR CF'!AJ44+'QTR CF'!AK44</f>
        <v/>
      </c>
      <c r="L44" s="11">
        <f>'QTR CF'!AL44+'QTR CF'!AM44+'QTR CF'!AN44+'QTR CF'!AO44</f>
        <v/>
      </c>
      <c r="M44" s="11">
        <f>'QTR CF'!AP44+'QTR CF'!AQ44+'QTR CF'!AR44+'QTR CF'!AS44</f>
        <v/>
      </c>
      <c r="N44" s="5" t="n"/>
    </row>
    <row r="45">
      <c r="A45" s="3" t="inlineStr">
        <is>
          <t>Proceeds from Exercise of Stock Options</t>
        </is>
      </c>
      <c r="B45" s="4" t="n">
        <v>224.083</v>
      </c>
      <c r="C45" s="4" t="n">
        <v>4126.791</v>
      </c>
      <c r="D45" s="4" t="n">
        <v>3720</v>
      </c>
      <c r="E45" s="4" t="n">
        <v>3683</v>
      </c>
      <c r="F45" s="4" t="n">
        <v>2285</v>
      </c>
      <c r="G45" s="4" t="n">
        <v>3856</v>
      </c>
      <c r="H45" s="4" t="n">
        <v>0</v>
      </c>
      <c r="I45" s="11">
        <f>'QTR CF'!Z46+'QTR CF'!AA46+'QTR CF'!AB46+'QTR CF'!AC46</f>
        <v/>
      </c>
      <c r="J45" s="11">
        <f>'QTR CF'!AD46+'QTR CF'!AE46+'QTR CF'!AF46+'QTR CF'!AG46</f>
        <v/>
      </c>
      <c r="K45" s="11">
        <f>'QTR CF'!AH46+'QTR CF'!AI46+'QTR CF'!AJ46+'QTR CF'!AK46</f>
        <v/>
      </c>
      <c r="L45" s="11">
        <f>'QTR CF'!AL46+'QTR CF'!AM46+'QTR CF'!AN46+'QTR CF'!AO46</f>
        <v/>
      </c>
      <c r="M45" s="11">
        <f>'QTR CF'!AP46+'QTR CF'!AQ46+'QTR CF'!AR46+'QTR CF'!AS46</f>
        <v/>
      </c>
      <c r="N45" s="5" t="n"/>
    </row>
    <row r="46">
      <c r="A46" s="3" t="inlineStr">
        <is>
          <t>Cash Paid for RSU Tax Withholding</t>
        </is>
      </c>
      <c r="B46" s="4" t="n">
        <v>0</v>
      </c>
      <c r="C46" s="4" t="n">
        <v>-656.6799999999999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11">
        <f>'QTR CF'!Z47+'QTR CF'!AA47+'QTR CF'!AB47+'QTR CF'!AC47</f>
        <v/>
      </c>
      <c r="J46" s="11">
        <f>'QTR CF'!AD47+'QTR CF'!AE47+'QTR CF'!AF47+'QTR CF'!AG47</f>
        <v/>
      </c>
      <c r="K46" s="11">
        <f>'QTR CF'!AH47+'QTR CF'!AI47+'QTR CF'!AJ47+'QTR CF'!AK47</f>
        <v/>
      </c>
      <c r="L46" s="11">
        <f>'QTR CF'!AL47+'QTR CF'!AM47+'QTR CF'!AN47+'QTR CF'!AO47</f>
        <v/>
      </c>
      <c r="M46" s="11">
        <f>'QTR CF'!AP47+'QTR CF'!AQ47+'QTR CF'!AR47+'QTR CF'!AS47</f>
        <v/>
      </c>
      <c r="N46" s="5" t="n"/>
    </row>
    <row r="47">
      <c r="A47" s="3" t="inlineStr">
        <is>
          <t>Section 16(b) Short-Swing Profit Recovery</t>
        </is>
      </c>
      <c r="B47" s="4" t="n">
        <v>0</v>
      </c>
      <c r="C47" s="4" t="n">
        <v>90.8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11">
        <f>'QTR CF'!Z48+'QTR CF'!AA48+'QTR CF'!AB48+'QTR CF'!AC48</f>
        <v/>
      </c>
      <c r="J47" s="11">
        <f>'QTR CF'!AD48+'QTR CF'!AE48+'QTR CF'!AF48+'QTR CF'!AG48</f>
        <v/>
      </c>
      <c r="K47" s="11">
        <f>'QTR CF'!AH48+'QTR CF'!AI48+'QTR CF'!AJ48+'QTR CF'!AK48</f>
        <v/>
      </c>
      <c r="L47" s="11">
        <f>'QTR CF'!AL48+'QTR CF'!AM48+'QTR CF'!AN48+'QTR CF'!AO48</f>
        <v/>
      </c>
      <c r="M47" s="11">
        <f>'QTR CF'!AP48+'QTR CF'!AQ48+'QTR CF'!AR48+'QTR CF'!AS48</f>
        <v/>
      </c>
      <c r="N47" s="5" t="n"/>
    </row>
    <row r="48">
      <c r="A48" s="3" t="inlineStr">
        <is>
          <t>Proceeds from Issuance of Common Stock</t>
        </is>
      </c>
      <c r="B48" s="4" t="n">
        <v>26955.437</v>
      </c>
      <c r="C48" s="4" t="n">
        <v>21892.316</v>
      </c>
      <c r="D48" s="4" t="n">
        <v>67769</v>
      </c>
      <c r="E48" s="4" t="n">
        <v>0</v>
      </c>
      <c r="F48" s="4" t="n">
        <v>0</v>
      </c>
      <c r="G48" s="4" t="n">
        <v>0</v>
      </c>
      <c r="H48" s="4" t="n">
        <v>0</v>
      </c>
      <c r="I48" s="11">
        <f>'QTR CF'!Z45+'QTR CF'!AA45+'QTR CF'!AB45+'QTR CF'!AC45</f>
        <v/>
      </c>
      <c r="J48" s="11">
        <f>'QTR CF'!AD45+'QTR CF'!AE45+'QTR CF'!AF45+'QTR CF'!AG45</f>
        <v/>
      </c>
      <c r="K48" s="11">
        <f>'QTR CF'!AH45+'QTR CF'!AI45+'QTR CF'!AJ45+'QTR CF'!AK45</f>
        <v/>
      </c>
      <c r="L48" s="11">
        <f>'QTR CF'!AL45+'QTR CF'!AM45+'QTR CF'!AN45+'QTR CF'!AO45</f>
        <v/>
      </c>
      <c r="M48" s="11">
        <f>'QTR CF'!AP45+'QTR CF'!AQ45+'QTR CF'!AR45+'QTR CF'!AS45</f>
        <v/>
      </c>
      <c r="N48" s="5" t="n"/>
    </row>
    <row r="49">
      <c r="A49" s="3" t="inlineStr">
        <is>
          <t>Proceeds from Issuance of Preferred Stock</t>
        </is>
      </c>
      <c r="B49" s="4" t="n">
        <v>0</v>
      </c>
      <c r="C49" s="4" t="n">
        <v>0</v>
      </c>
      <c r="D49" s="4" t="n">
        <v>0</v>
      </c>
      <c r="E49" s="4" t="n">
        <v>542018</v>
      </c>
      <c r="F49" s="4" t="n">
        <v>0</v>
      </c>
      <c r="G49" s="4" t="n">
        <v>0</v>
      </c>
      <c r="H49" s="4" t="n">
        <v>0</v>
      </c>
      <c r="I49" s="11">
        <f>'QTR CF'!Z49+'QTR CF'!AA49+'QTR CF'!AB49+'QTR CF'!AC49</f>
        <v/>
      </c>
      <c r="J49" s="11">
        <f>'QTR CF'!AD49+'QTR CF'!AE49+'QTR CF'!AF49+'QTR CF'!AG49</f>
        <v/>
      </c>
      <c r="K49" s="11">
        <f>'QTR CF'!AH49+'QTR CF'!AI49+'QTR CF'!AJ49+'QTR CF'!AK49</f>
        <v/>
      </c>
      <c r="L49" s="11">
        <f>'QTR CF'!AL49+'QTR CF'!AM49+'QTR CF'!AN49+'QTR CF'!AO49</f>
        <v/>
      </c>
      <c r="M49" s="11">
        <f>'QTR CF'!AP49+'QTR CF'!AQ49+'QTR CF'!AR49+'QTR CF'!AS49</f>
        <v/>
      </c>
      <c r="N49" s="5" t="n"/>
    </row>
    <row r="50">
      <c r="A50" s="3" t="inlineStr">
        <is>
          <t>Preferred Dividends</t>
        </is>
      </c>
      <c r="B50" s="4" t="n">
        <v>0</v>
      </c>
      <c r="C50" s="4" t="n">
        <v>0</v>
      </c>
      <c r="D50" s="4" t="n">
        <v>0</v>
      </c>
      <c r="E50" s="4" t="n">
        <v>-11526</v>
      </c>
      <c r="F50" s="4" t="n">
        <v>-27462</v>
      </c>
      <c r="G50" s="4" t="n">
        <v>-27500</v>
      </c>
      <c r="H50" s="4" t="n">
        <v>-37608</v>
      </c>
      <c r="I50" s="11">
        <f>'QTR CF'!Z50+'QTR CF'!AA50+'QTR CF'!AB50+'QTR CF'!AC50</f>
        <v/>
      </c>
      <c r="J50" s="11">
        <f>'QTR CF'!AD50+'QTR CF'!AE50+'QTR CF'!AF50+'QTR CF'!AG50</f>
        <v/>
      </c>
      <c r="K50" s="11">
        <f>'QTR CF'!AH50+'QTR CF'!AI50+'QTR CF'!AJ50+'QTR CF'!AK50</f>
        <v/>
      </c>
      <c r="L50" s="11">
        <f>'QTR CF'!AL50+'QTR CF'!AM50+'QTR CF'!AN50+'QTR CF'!AO50</f>
        <v/>
      </c>
      <c r="M50" s="11">
        <f>'QTR CF'!AP50+'QTR CF'!AQ50+'QTR CF'!AR50+'QTR CF'!AS50</f>
        <v/>
      </c>
      <c r="N50" s="5" t="n"/>
    </row>
    <row r="51">
      <c r="A51" s="3" t="inlineStr">
        <is>
          <t>Share Repurchases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-2261</v>
      </c>
      <c r="H51" s="4" t="n">
        <v>-45504</v>
      </c>
      <c r="I51" s="11">
        <f>'QTR CF'!Z51+'QTR CF'!AA51+'QTR CF'!AB51+'QTR CF'!AC51</f>
        <v/>
      </c>
      <c r="J51" s="11">
        <f>'QTR CF'!AD51+'QTR CF'!AE51+'QTR CF'!AF51+'QTR CF'!AG51</f>
        <v/>
      </c>
      <c r="K51" s="11">
        <f>'QTR CF'!AH51+'QTR CF'!AI51+'QTR CF'!AJ51+'QTR CF'!AK51</f>
        <v/>
      </c>
      <c r="L51" s="11">
        <f>'QTR CF'!AL51+'QTR CF'!AM51+'QTR CF'!AN51+'QTR CF'!AO51</f>
        <v/>
      </c>
      <c r="M51" s="11">
        <f>'QTR CF'!AP51+'QTR CF'!AQ51+'QTR CF'!AR51+'QTR CF'!AS51</f>
        <v/>
      </c>
      <c r="N51" s="5" t="n"/>
    </row>
    <row r="52">
      <c r="A52" s="3" t="inlineStr">
        <is>
          <t>Proceeds from Issuance of Long-Term Debt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900000</v>
      </c>
      <c r="I52" s="11">
        <f>'QTR CF'!Z52+'QTR CF'!AA52+'QTR CF'!AB52+'QTR CF'!AC52</f>
        <v/>
      </c>
      <c r="J52" s="11">
        <f>'QTR CF'!AD52+'QTR CF'!AE52+'QTR CF'!AF52+'QTR CF'!AG52</f>
        <v/>
      </c>
      <c r="K52" s="11">
        <f>'QTR CF'!AH52+'QTR CF'!AI52+'QTR CF'!AJ52+'QTR CF'!AK52</f>
        <v/>
      </c>
      <c r="L52" s="11">
        <f>'QTR CF'!AL52+'QTR CF'!AM52+'QTR CF'!AN52+'QTR CF'!AO52</f>
        <v/>
      </c>
      <c r="M52" s="11">
        <f>'QTR CF'!AP52+'QTR CF'!AQ52+'QTR CF'!AR52+'QTR CF'!AS52</f>
        <v/>
      </c>
      <c r="N52" s="5" t="n"/>
    </row>
    <row r="53">
      <c r="A53" s="3" t="inlineStr">
        <is>
          <t>Repayments of Long-Term Debt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-201750</v>
      </c>
      <c r="I53" s="11">
        <f>'QTR CF'!Z53+'QTR CF'!AA53+'QTR CF'!AB53+'QTR CF'!AC53</f>
        <v/>
      </c>
      <c r="J53" s="11">
        <f>'QTR CF'!AD53+'QTR CF'!AE53+'QTR CF'!AF53+'QTR CF'!AG53</f>
        <v/>
      </c>
      <c r="K53" s="11">
        <f>'QTR CF'!AH53+'QTR CF'!AI53+'QTR CF'!AJ53+'QTR CF'!AK53</f>
        <v/>
      </c>
      <c r="L53" s="11">
        <f>'QTR CF'!AL53+'QTR CF'!AM53+'QTR CF'!AN53+'QTR CF'!AO53</f>
        <v/>
      </c>
      <c r="M53" s="11">
        <f>'QTR CF'!AP53+'QTR CF'!AQ53+'QTR CF'!AR53+'QTR CF'!AS53</f>
        <v/>
      </c>
      <c r="N53" s="5" t="n"/>
    </row>
    <row r="54">
      <c r="A54" s="3" t="inlineStr">
        <is>
          <t>Debt Issuance Fees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-32367</v>
      </c>
      <c r="I54" s="11">
        <f>'QTR CF'!Z54+'QTR CF'!AA54+'QTR CF'!AB54+'QTR CF'!AC54</f>
        <v/>
      </c>
      <c r="J54" s="11">
        <f>'QTR CF'!AD54+'QTR CF'!AE54+'QTR CF'!AF54+'QTR CF'!AG54</f>
        <v/>
      </c>
      <c r="K54" s="11">
        <f>'QTR CF'!AH54+'QTR CF'!AI54+'QTR CF'!AJ54+'QTR CF'!AK54</f>
        <v/>
      </c>
      <c r="L54" s="11">
        <f>'QTR CF'!AL54+'QTR CF'!AM54+'QTR CF'!AN54+'QTR CF'!AO54</f>
        <v/>
      </c>
      <c r="M54" s="11">
        <f>'QTR CF'!AP54+'QTR CF'!AQ54+'QTR CF'!AR54+'QTR CF'!AS54</f>
        <v/>
      </c>
      <c r="N54" s="5" t="n"/>
    </row>
    <row r="55">
      <c r="A55" s="3" t="inlineStr">
        <is>
          <t>Other Financing Activities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-7</v>
      </c>
      <c r="I55" s="11">
        <f>'QTR CF'!Z55+'QTR CF'!AA55+'QTR CF'!AB55+'QTR CF'!AC55</f>
        <v/>
      </c>
      <c r="J55" s="11">
        <f>'QTR CF'!AD55+'QTR CF'!AE55+'QTR CF'!AF55+'QTR CF'!AG55</f>
        <v/>
      </c>
      <c r="K55" s="11">
        <f>'QTR CF'!AH55+'QTR CF'!AI55+'QTR CF'!AJ55+'QTR CF'!AK55</f>
        <v/>
      </c>
      <c r="L55" s="11">
        <f>'QTR CF'!AL55+'QTR CF'!AM55+'QTR CF'!AN55+'QTR CF'!AO55</f>
        <v/>
      </c>
      <c r="M55" s="11">
        <f>'QTR CF'!AP55+'QTR CF'!AQ55+'QTR CF'!AR55+'QTR CF'!AS55</f>
        <v/>
      </c>
      <c r="N55" s="5" t="n"/>
    </row>
    <row r="56">
      <c r="A56" s="3" t="inlineStr">
        <is>
          <t>Cash Flow from Financing</t>
        </is>
      </c>
      <c r="B56" s="6">
        <f>SUM(B42:B55)</f>
        <v/>
      </c>
      <c r="C56" s="6">
        <f>SUM(C42:C55)</f>
        <v/>
      </c>
      <c r="D56" s="6">
        <f>SUM(D42:D55)</f>
        <v/>
      </c>
      <c r="E56" s="6">
        <f>SUM(E42:E55)</f>
        <v/>
      </c>
      <c r="F56" s="6">
        <f>SUM(F42:F55)</f>
        <v/>
      </c>
      <c r="G56" s="6">
        <f>SUM(G42:G55)</f>
        <v/>
      </c>
      <c r="H56" s="6">
        <f>SUM(H42:H55)</f>
        <v/>
      </c>
      <c r="I56" s="7">
        <f>SUM(I42:I55)</f>
        <v/>
      </c>
      <c r="J56" s="7">
        <f>SUM(J42:J55)</f>
        <v/>
      </c>
      <c r="K56" s="7">
        <f>SUM(K42:K55)</f>
        <v/>
      </c>
      <c r="L56" s="7">
        <f>SUM(L42:L55)</f>
        <v/>
      </c>
      <c r="M56" s="7">
        <f>SUM(M42:M55)</f>
        <v/>
      </c>
      <c r="N56" s="7">
        <f>SUM(N42:N55)</f>
        <v/>
      </c>
    </row>
    <row r="57">
      <c r="A57" s="3" t="inlineStr">
        <is>
          <t>FX Effect on Cash</t>
        </is>
      </c>
      <c r="B57" s="4" t="n">
        <v>-73.491</v>
      </c>
      <c r="C57" s="4" t="n">
        <v>433.507</v>
      </c>
      <c r="D57" s="4" t="n">
        <v>-538</v>
      </c>
      <c r="E57" s="4" t="n">
        <v>50</v>
      </c>
      <c r="F57" s="4" t="n">
        <v>1257</v>
      </c>
      <c r="G57" s="4" t="n">
        <v>-997</v>
      </c>
      <c r="H57" s="4" t="n">
        <v>3271</v>
      </c>
      <c r="I57" s="11">
        <f>'QTR CF'!Z57+'QTR CF'!AA57+'QTR CF'!AB57+'QTR CF'!AC57</f>
        <v/>
      </c>
      <c r="J57" s="11">
        <f>'QTR CF'!AD57+'QTR CF'!AE57+'QTR CF'!AF57+'QTR CF'!AG57</f>
        <v/>
      </c>
      <c r="K57" s="11">
        <f>'QTR CF'!AH57+'QTR CF'!AI57+'QTR CF'!AJ57+'QTR CF'!AK57</f>
        <v/>
      </c>
      <c r="L57" s="11">
        <f>'QTR CF'!AL57+'QTR CF'!AM57+'QTR CF'!AN57+'QTR CF'!AO57</f>
        <v/>
      </c>
      <c r="M57" s="11">
        <f>'QTR CF'!AP57+'QTR CF'!AQ57+'QTR CF'!AR57+'QTR CF'!AS57</f>
        <v/>
      </c>
      <c r="N57" s="5" t="n"/>
    </row>
    <row r="58">
      <c r="A58" s="3" t="inlineStr">
        <is>
          <t>Net Change in Cash</t>
        </is>
      </c>
      <c r="B58" s="6">
        <f>B34+B41+B56+B57</f>
        <v/>
      </c>
      <c r="C58" s="6">
        <f>C34+C41+C56+C57</f>
        <v/>
      </c>
      <c r="D58" s="6">
        <f>D34+D41+D56+D57</f>
        <v/>
      </c>
      <c r="E58" s="6">
        <f>E34+E41+E56+E57</f>
        <v/>
      </c>
      <c r="F58" s="6">
        <f>F34+F41+F56+F57</f>
        <v/>
      </c>
      <c r="G58" s="6">
        <f>G34+G41+G56+G57</f>
        <v/>
      </c>
      <c r="H58" s="6">
        <f>H34+H41+H56+H57</f>
        <v/>
      </c>
      <c r="I58" s="7">
        <f>I34+I41+I56+I57</f>
        <v/>
      </c>
      <c r="J58" s="7">
        <f>J34+J41+J56+J57</f>
        <v/>
      </c>
      <c r="K58" s="7">
        <f>K34+K41+K56+K57</f>
        <v/>
      </c>
      <c r="L58" s="7">
        <f>L34+L41+L56+L57</f>
        <v/>
      </c>
      <c r="M58" s="7">
        <f>M34+M41+M56+M57</f>
        <v/>
      </c>
      <c r="N58" s="7">
        <f>N34+N41+N56+N57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/>
      <c r="B1" s="2" t="inlineStr">
        <is>
          <t>Q1 FY2019</t>
        </is>
      </c>
      <c r="C1" s="2" t="inlineStr">
        <is>
          <t>Q2 FY2019</t>
        </is>
      </c>
      <c r="D1" s="2" t="inlineStr">
        <is>
          <t>Q3 FY2019</t>
        </is>
      </c>
      <c r="E1" s="2" t="inlineStr">
        <is>
          <t>Q1 FY2020</t>
        </is>
      </c>
      <c r="F1" s="2" t="inlineStr">
        <is>
          <t>Q2 FY2020</t>
        </is>
      </c>
      <c r="G1" s="2" t="inlineStr">
        <is>
          <t>Q3 FY2020</t>
        </is>
      </c>
      <c r="H1" s="2" t="inlineStr">
        <is>
          <t>Q1 FY2021</t>
        </is>
      </c>
      <c r="I1" s="2" t="inlineStr">
        <is>
          <t>Q2 FY2021</t>
        </is>
      </c>
      <c r="J1" s="2" t="inlineStr">
        <is>
          <t>Q3 FY2021</t>
        </is>
      </c>
      <c r="K1" s="2" t="inlineStr">
        <is>
          <t>Q1 FY2022</t>
        </is>
      </c>
      <c r="L1" s="2" t="inlineStr">
        <is>
          <t>Q2 FY2022</t>
        </is>
      </c>
      <c r="M1" s="2" t="inlineStr">
        <is>
          <t>Q3 FY2022</t>
        </is>
      </c>
      <c r="N1" s="2" t="inlineStr">
        <is>
          <t>Q1 FY2023</t>
        </is>
      </c>
      <c r="O1" s="2" t="inlineStr">
        <is>
          <t>Q2 FY2023</t>
        </is>
      </c>
      <c r="P1" s="2" t="inlineStr">
        <is>
          <t>Q3 FY2023</t>
        </is>
      </c>
      <c r="Q1" s="2" t="inlineStr">
        <is>
          <t>Q1 FY2024</t>
        </is>
      </c>
      <c r="R1" s="2" t="inlineStr">
        <is>
          <t>Q2 FY2024</t>
        </is>
      </c>
      <c r="S1" s="2" t="inlineStr">
        <is>
          <t>Q3 FY2024</t>
        </is>
      </c>
      <c r="T1" s="2" t="inlineStr">
        <is>
          <t>Q1 FY2025</t>
        </is>
      </c>
      <c r="U1" s="2" t="inlineStr">
        <is>
          <t>Q2 FY2025</t>
        </is>
      </c>
      <c r="V1" s="2" t="inlineStr">
        <is>
          <t>Q3 FY2025</t>
        </is>
      </c>
    </row>
    <row r="2">
      <c r="A2" s="3" t="inlineStr">
        <is>
          <t>Net Sales / Revenue</t>
        </is>
      </c>
      <c r="B2" s="4" t="n">
        <v>14485.65</v>
      </c>
      <c r="C2" s="4" t="n">
        <v>30607.579</v>
      </c>
      <c r="D2" s="4" t="n">
        <v>51031.426</v>
      </c>
      <c r="E2" s="4" t="n">
        <v>28184.889</v>
      </c>
      <c r="F2" s="4" t="n">
        <v>58222.116</v>
      </c>
      <c r="G2" s="4" t="n">
        <v>95061.265</v>
      </c>
      <c r="H2" s="4" t="n">
        <v>50034.879</v>
      </c>
      <c r="I2" s="4" t="n">
        <v>115108.202</v>
      </c>
      <c r="J2" s="4" t="n">
        <v>210017.302</v>
      </c>
      <c r="K2" s="4" t="n">
        <v>133388</v>
      </c>
      <c r="L2" s="4" t="n">
        <v>287408</v>
      </c>
      <c r="M2" s="4" t="n">
        <v>475640</v>
      </c>
      <c r="N2" s="4" t="n">
        <v>259939</v>
      </c>
      <c r="O2" s="4" t="n">
        <v>585822</v>
      </c>
      <c r="P2" s="4" t="n">
        <v>970579</v>
      </c>
      <c r="Q2" s="4" t="n">
        <v>355708</v>
      </c>
      <c r="R2" s="4" t="n">
        <v>757685</v>
      </c>
      <c r="S2" s="4" t="n">
        <v>1023433</v>
      </c>
      <c r="T2" s="4" t="n">
        <v>329276</v>
      </c>
      <c r="U2" s="4" t="n">
        <v>1068535</v>
      </c>
      <c r="V2" s="4" t="n">
        <v>1793641</v>
      </c>
    </row>
    <row r="3">
      <c r="A3" s="3" t="inlineStr">
        <is>
          <t>COGS</t>
        </is>
      </c>
      <c r="B3" s="4" t="n">
        <v>-8764.592000000001</v>
      </c>
      <c r="C3" s="4" t="n">
        <v>-18020.49</v>
      </c>
      <c r="D3" s="4" t="n">
        <v>-29821.968</v>
      </c>
      <c r="E3" s="4" t="n">
        <v>-15182.706</v>
      </c>
      <c r="F3" s="4" t="n">
        <v>-32207.118</v>
      </c>
      <c r="G3" s="4" t="n">
        <v>-51512.534</v>
      </c>
      <c r="H3" s="4" t="n">
        <v>-29455.784</v>
      </c>
      <c r="I3" s="4" t="n">
        <v>-66279.738</v>
      </c>
      <c r="J3" s="4" t="n">
        <v>-123495.466</v>
      </c>
      <c r="K3" s="4" t="n">
        <v>-79494</v>
      </c>
      <c r="L3" s="4" t="n">
        <v>-174195</v>
      </c>
      <c r="M3" s="4" t="n">
        <v>-283778</v>
      </c>
      <c r="N3" s="4" t="n">
        <v>-146121</v>
      </c>
      <c r="O3" s="4" t="n">
        <v>-313010</v>
      </c>
      <c r="P3" s="4" t="n">
        <v>-503685</v>
      </c>
      <c r="Q3" s="4" t="n">
        <v>-173501</v>
      </c>
      <c r="R3" s="4" t="n">
        <v>-366380</v>
      </c>
      <c r="S3" s="4" t="n">
        <v>-509899</v>
      </c>
      <c r="T3" s="4" t="n">
        <v>-156903</v>
      </c>
      <c r="U3" s="4" t="n">
        <v>-515311</v>
      </c>
      <c r="V3" s="4" t="n">
        <v>-868138</v>
      </c>
    </row>
    <row r="4">
      <c r="A4" s="3" t="inlineStr">
        <is>
          <t>Gross Profit (Loss)</t>
        </is>
      </c>
      <c r="B4" s="6">
        <f>B2+B3</f>
        <v/>
      </c>
      <c r="C4" s="6">
        <f>C2+C3</f>
        <v/>
      </c>
      <c r="D4" s="6">
        <f>D2+D3</f>
        <v/>
      </c>
      <c r="E4" s="6">
        <f>E2+E3</f>
        <v/>
      </c>
      <c r="F4" s="6">
        <f>F2+F3</f>
        <v/>
      </c>
      <c r="G4" s="6">
        <f>G2+G3</f>
        <v/>
      </c>
      <c r="H4" s="6">
        <f>H2+H3</f>
        <v/>
      </c>
      <c r="I4" s="6">
        <f>I2+I3</f>
        <v/>
      </c>
      <c r="J4" s="6">
        <f>J2+J3</f>
        <v/>
      </c>
      <c r="K4" s="6">
        <f>K2+K3</f>
        <v/>
      </c>
      <c r="L4" s="6">
        <f>L2+L3</f>
        <v/>
      </c>
      <c r="M4" s="6">
        <f>M2+M3</f>
        <v/>
      </c>
      <c r="N4" s="6">
        <f>N2+N3</f>
        <v/>
      </c>
      <c r="O4" s="6">
        <f>O2+O3</f>
        <v/>
      </c>
      <c r="P4" s="6">
        <f>P2+P3</f>
        <v/>
      </c>
      <c r="Q4" s="6">
        <f>Q2+Q3</f>
        <v/>
      </c>
      <c r="R4" s="6">
        <f>R2+R3</f>
        <v/>
      </c>
      <c r="S4" s="6">
        <f>S2+S3</f>
        <v/>
      </c>
      <c r="T4" s="6">
        <f>T2+T3</f>
        <v/>
      </c>
      <c r="U4" s="6">
        <f>U2+U3</f>
        <v/>
      </c>
      <c r="V4" s="6">
        <f>V2+V3</f>
        <v/>
      </c>
    </row>
    <row r="5">
      <c r="A5" s="3" t="inlineStr">
        <is>
          <t>Sales and Marketing</t>
        </is>
      </c>
      <c r="B5" s="4" t="n">
        <v>-3601.003</v>
      </c>
      <c r="C5" s="4" t="n">
        <v>-9162.941999999999</v>
      </c>
      <c r="D5" s="4" t="n">
        <v>-14086.91</v>
      </c>
      <c r="E5" s="4" t="n">
        <v>-7506.047</v>
      </c>
      <c r="F5" s="4" t="n">
        <v>-15372.918</v>
      </c>
      <c r="G5" s="4" t="n">
        <v>-23640.914</v>
      </c>
      <c r="H5" s="4" t="n">
        <v>-11959.053</v>
      </c>
      <c r="I5" s="4" t="n">
        <v>-27490.041</v>
      </c>
      <c r="J5" s="4" t="n">
        <v>-50111.103</v>
      </c>
      <c r="K5" s="4" t="n">
        <v>-31597</v>
      </c>
      <c r="L5" s="4" t="n">
        <v>-64072</v>
      </c>
      <c r="M5" s="4" t="n">
        <v>-262782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6">
      <c r="A6" s="3" t="inlineStr">
        <is>
          <t>General and Administrative</t>
        </is>
      </c>
      <c r="B6" s="4" t="n">
        <v>-2622.102</v>
      </c>
      <c r="C6" s="4" t="n">
        <v>-5054.848</v>
      </c>
      <c r="D6" s="4" t="n">
        <v>-7249.378</v>
      </c>
      <c r="E6" s="4" t="n">
        <v>-4247.853</v>
      </c>
      <c r="F6" s="4" t="n">
        <v>-7902.571</v>
      </c>
      <c r="G6" s="4" t="n">
        <v>-12460.009</v>
      </c>
      <c r="H6" s="4" t="n">
        <v>-7806.666</v>
      </c>
      <c r="I6" s="4" t="n">
        <v>-16926.198</v>
      </c>
      <c r="J6" s="4" t="n">
        <v>-28066.228</v>
      </c>
      <c r="K6" s="4" t="n">
        <v>-12181</v>
      </c>
      <c r="L6" s="4" t="n">
        <v>-26595</v>
      </c>
      <c r="M6" s="4" t="n">
        <v>-54135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</row>
    <row r="7">
      <c r="A7" s="3" t="inlineStr">
        <is>
          <t>Operating Expenses</t>
        </is>
      </c>
      <c r="B7" s="4" t="n">
        <v>-6223.105</v>
      </c>
      <c r="C7" s="4" t="n">
        <v>-14217.79</v>
      </c>
      <c r="D7" s="4" t="n">
        <v>-21336.288</v>
      </c>
      <c r="E7" s="4" t="n">
        <v>-11753.9</v>
      </c>
      <c r="F7" s="4" t="n">
        <v>-23275.489</v>
      </c>
      <c r="G7" s="4" t="n">
        <v>-36100.923</v>
      </c>
      <c r="H7" s="4" t="n">
        <v>-19765.719</v>
      </c>
      <c r="I7" s="4" t="n">
        <v>-44416.239</v>
      </c>
      <c r="J7" s="4" t="n">
        <v>-78177.33100000001</v>
      </c>
      <c r="K7" s="4" t="n">
        <v>-43778</v>
      </c>
      <c r="L7" s="4" t="n">
        <v>-90667</v>
      </c>
      <c r="M7" s="4" t="n">
        <v>-316917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</row>
    <row r="8">
      <c r="A8" s="3" t="inlineStr">
        <is>
          <t>SG&amp;A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-68905</v>
      </c>
      <c r="O8" s="4" t="n">
        <v>-163086</v>
      </c>
      <c r="P8" s="4" t="n">
        <v>-259471</v>
      </c>
      <c r="Q8" s="4" t="n">
        <v>-99017</v>
      </c>
      <c r="R8" s="4" t="n">
        <v>-213867</v>
      </c>
      <c r="S8" s="4" t="n">
        <v>-339310</v>
      </c>
      <c r="T8" s="4" t="n">
        <v>-120342</v>
      </c>
      <c r="U8" s="4" t="n">
        <v>-358228</v>
      </c>
      <c r="V8" s="4" t="n">
        <v>-563799</v>
      </c>
    </row>
    <row r="9">
      <c r="A9" s="3" t="inlineStr">
        <is>
          <t>Distributor Termination Fees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-246707</v>
      </c>
    </row>
    <row r="10">
      <c r="A10" s="3" t="inlineStr">
        <is>
          <t>Income (Loss) from Operations</t>
        </is>
      </c>
      <c r="B10" s="6">
        <f>B4+SUM(B5:B9)</f>
        <v/>
      </c>
      <c r="C10" s="6">
        <f>C4+SUM(C5:C9)</f>
        <v/>
      </c>
      <c r="D10" s="6">
        <f>D4+SUM(D5:D9)</f>
        <v/>
      </c>
      <c r="E10" s="6">
        <f>E4+SUM(E5:E9)</f>
        <v/>
      </c>
      <c r="F10" s="6">
        <f>F4+SUM(F5:F9)</f>
        <v/>
      </c>
      <c r="G10" s="6">
        <f>G4+SUM(G5:G9)</f>
        <v/>
      </c>
      <c r="H10" s="6">
        <f>H4+SUM(H5:H9)</f>
        <v/>
      </c>
      <c r="I10" s="6">
        <f>I4+SUM(I5:I9)</f>
        <v/>
      </c>
      <c r="J10" s="6">
        <f>J4+SUM(J5:J9)</f>
        <v/>
      </c>
      <c r="K10" s="6">
        <f>K4+SUM(K5:K9)</f>
        <v/>
      </c>
      <c r="L10" s="6">
        <f>L4+SUM(L5:L9)</f>
        <v/>
      </c>
      <c r="M10" s="6">
        <f>M4+SUM(M5:M9)</f>
        <v/>
      </c>
      <c r="N10" s="6">
        <f>N4+SUM(N5:N9)</f>
        <v/>
      </c>
      <c r="O10" s="6">
        <f>O4+SUM(O5:O9)</f>
        <v/>
      </c>
      <c r="P10" s="6">
        <f>P4+SUM(P5:P9)</f>
        <v/>
      </c>
      <c r="Q10" s="6">
        <f>Q4+SUM(Q5:Q9)</f>
        <v/>
      </c>
      <c r="R10" s="6">
        <f>R4+SUM(R5:R9)</f>
        <v/>
      </c>
      <c r="S10" s="6">
        <f>S4+SUM(S5:S9)</f>
        <v/>
      </c>
      <c r="T10" s="6">
        <f>T4+SUM(T5:T9)</f>
        <v/>
      </c>
      <c r="U10" s="6">
        <f>U4+SUM(U5:U9)</f>
        <v/>
      </c>
      <c r="V10" s="6">
        <f>V4+SUM(V5:V9)</f>
        <v/>
      </c>
    </row>
    <row r="11">
      <c r="A11" s="3" t="inlineStr">
        <is>
          <t>Interest Income (Expense)</t>
        </is>
      </c>
      <c r="B11" s="4" t="n">
        <v>-114.572</v>
      </c>
      <c r="C11" s="4" t="n">
        <v>-238.809</v>
      </c>
      <c r="D11" s="4" t="n">
        <v>-779.749</v>
      </c>
      <c r="E11" s="4" t="n">
        <v>-341.718</v>
      </c>
      <c r="F11" s="4" t="n">
        <v>-394.85</v>
      </c>
      <c r="G11" s="4" t="n">
        <v>-642.249</v>
      </c>
      <c r="H11" s="4" t="n">
        <v>84.925</v>
      </c>
      <c r="I11" s="4" t="n">
        <v>160.141</v>
      </c>
      <c r="J11" s="4" t="n">
        <v>232.09</v>
      </c>
      <c r="K11" s="4" t="n">
        <v>76</v>
      </c>
      <c r="L11" s="4" t="n">
        <v>129</v>
      </c>
      <c r="M11" s="4" t="n">
        <v>1579</v>
      </c>
      <c r="N11" s="4" t="n">
        <v>4969</v>
      </c>
      <c r="O11" s="4" t="n">
        <v>10542</v>
      </c>
      <c r="P11" s="4" t="n">
        <v>17767</v>
      </c>
      <c r="Q11" s="4" t="n">
        <v>9640</v>
      </c>
      <c r="R11" s="4" t="n">
        <v>20287</v>
      </c>
      <c r="S11" s="4" t="n">
        <v>31399</v>
      </c>
      <c r="T11" s="4" t="n">
        <v>7846</v>
      </c>
      <c r="U11" s="4" t="n">
        <v>-6196</v>
      </c>
      <c r="V11" s="4" t="n">
        <v>-19592</v>
      </c>
    </row>
    <row r="12">
      <c r="A12" s="3" t="inlineStr">
        <is>
          <t>Other Income (Expense)</t>
        </is>
      </c>
      <c r="B12" s="4" t="n">
        <v>12273.213</v>
      </c>
      <c r="C12" s="4" t="n">
        <v>12052.809</v>
      </c>
      <c r="D12" s="4" t="n">
        <v>12050.921</v>
      </c>
      <c r="E12" s="4" t="n">
        <v>-282.591</v>
      </c>
      <c r="F12" s="4" t="n">
        <v>-511.491</v>
      </c>
      <c r="G12" s="4" t="n">
        <v>-361.705</v>
      </c>
      <c r="H12" s="4" t="n">
        <v>-11.621</v>
      </c>
      <c r="I12" s="4" t="n">
        <v>97.038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1116</v>
      </c>
      <c r="U12" s="4" t="n">
        <v>1658</v>
      </c>
      <c r="V12" s="4" t="n">
        <v>7022</v>
      </c>
    </row>
    <row r="13">
      <c r="A13" s="3" t="inlineStr">
        <is>
          <t>Foreign Currency Gain (Loss)</t>
        </is>
      </c>
      <c r="B13" s="4" t="n">
        <v>260.665</v>
      </c>
      <c r="C13" s="4" t="n">
        <v>0</v>
      </c>
      <c r="D13" s="4" t="n">
        <v>0</v>
      </c>
      <c r="E13" s="4" t="n">
        <v>-192.413</v>
      </c>
      <c r="F13" s="4" t="n">
        <v>-119.105</v>
      </c>
      <c r="G13" s="4" t="n">
        <v>262.022</v>
      </c>
      <c r="H13" s="4" t="n">
        <v>-301.256</v>
      </c>
      <c r="I13" s="4" t="n">
        <v>-123.636</v>
      </c>
      <c r="J13" s="4" t="n">
        <v>-451.217</v>
      </c>
      <c r="K13" s="4" t="n">
        <v>-162</v>
      </c>
      <c r="L13" s="4" t="n">
        <v>-676</v>
      </c>
      <c r="M13" s="4" t="n">
        <v>-930</v>
      </c>
      <c r="N13" s="4" t="n">
        <v>-118</v>
      </c>
      <c r="O13" s="4" t="n">
        <v>-1049</v>
      </c>
      <c r="P13" s="4" t="n">
        <v>-1226</v>
      </c>
      <c r="Q13" s="4" t="n">
        <v>-369</v>
      </c>
      <c r="R13" s="4" t="n">
        <v>-633</v>
      </c>
      <c r="S13" s="4" t="n">
        <v>-356</v>
      </c>
      <c r="T13" s="4" t="n">
        <v>0</v>
      </c>
      <c r="U13" s="4" t="n">
        <v>0</v>
      </c>
      <c r="V13" s="4" t="n">
        <v>0</v>
      </c>
    </row>
    <row r="14">
      <c r="A14" s="3" t="inlineStr">
        <is>
          <t>Gain (Loss) on Lease Cancellations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152.112</v>
      </c>
      <c r="G14" s="4" t="n">
        <v>152.112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</row>
    <row r="15">
      <c r="A15" s="3" t="inlineStr">
        <is>
          <t>Income Tax (Expense) Benefit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-833.819</v>
      </c>
      <c r="K15" s="4" t="n">
        <v>-3351</v>
      </c>
      <c r="L15" s="4" t="n">
        <v>-6161</v>
      </c>
      <c r="M15" s="4" t="n">
        <v>-41653</v>
      </c>
      <c r="N15" s="4" t="n">
        <v>-8537</v>
      </c>
      <c r="O15" s="4" t="n">
        <v>-26483</v>
      </c>
      <c r="P15" s="4" t="n">
        <v>-47279</v>
      </c>
      <c r="Q15" s="4" t="n">
        <v>-14650</v>
      </c>
      <c r="R15" s="4" t="n">
        <v>-39498</v>
      </c>
      <c r="S15" s="4" t="n">
        <v>-41317</v>
      </c>
      <c r="T15" s="4" t="n">
        <v>-16574</v>
      </c>
      <c r="U15" s="4" t="n">
        <v>-46184</v>
      </c>
      <c r="V15" s="4" t="n">
        <v>-19167</v>
      </c>
    </row>
    <row r="16">
      <c r="A16" s="3" t="inlineStr">
        <is>
          <t>Pre-Tax Income (Loss)</t>
        </is>
      </c>
      <c r="B16" s="6">
        <f>B10+SUM(B11:B15)</f>
        <v/>
      </c>
      <c r="C16" s="6">
        <f>C10+SUM(C11:C15)</f>
        <v/>
      </c>
      <c r="D16" s="6">
        <f>D10+SUM(D11:D15)</f>
        <v/>
      </c>
      <c r="E16" s="6">
        <f>E10+SUM(E11:E15)</f>
        <v/>
      </c>
      <c r="F16" s="6">
        <f>F10+SUM(F11:F15)</f>
        <v/>
      </c>
      <c r="G16" s="6">
        <f>G10+SUM(G11:G15)</f>
        <v/>
      </c>
      <c r="H16" s="6">
        <f>H10+SUM(H11:H15)</f>
        <v/>
      </c>
      <c r="I16" s="6">
        <f>I10+SUM(I11:I15)</f>
        <v/>
      </c>
      <c r="J16" s="6">
        <f>J10+SUM(J11:J15)</f>
        <v/>
      </c>
      <c r="K16" s="6">
        <f>K10+SUM(K11:K15)</f>
        <v/>
      </c>
      <c r="L16" s="6">
        <f>L10+SUM(L11:L15)</f>
        <v/>
      </c>
      <c r="M16" s="6">
        <f>M10+SUM(M11:M15)</f>
        <v/>
      </c>
      <c r="N16" s="6">
        <f>N10+SUM(N11:N15)</f>
        <v/>
      </c>
      <c r="O16" s="6">
        <f>O10+SUM(O11:O15)</f>
        <v/>
      </c>
      <c r="P16" s="6">
        <f>P10+SUM(P11:P15)</f>
        <v/>
      </c>
      <c r="Q16" s="6">
        <f>Q10+SUM(Q11:Q15)</f>
        <v/>
      </c>
      <c r="R16" s="6">
        <f>R10+SUM(R11:R15)</f>
        <v/>
      </c>
      <c r="S16" s="6">
        <f>S10+SUM(S11:S15)</f>
        <v/>
      </c>
      <c r="T16" s="6">
        <f>T10+SUM(T11:T15)</f>
        <v/>
      </c>
      <c r="U16" s="6">
        <f>U10+SUM(U11:U15)</f>
        <v/>
      </c>
      <c r="V16" s="6">
        <f>V10+SUM(V11:V15)</f>
        <v/>
      </c>
    </row>
    <row r="17">
      <c r="A17" s="3" t="inlineStr">
        <is>
          <t>Net Income (Loss)</t>
        </is>
      </c>
      <c r="B17" s="6">
        <f>B16</f>
        <v/>
      </c>
      <c r="C17" s="6">
        <f>C16</f>
        <v/>
      </c>
      <c r="D17" s="6">
        <f>D16</f>
        <v/>
      </c>
      <c r="E17" s="6">
        <f>E16</f>
        <v/>
      </c>
      <c r="F17" s="6">
        <f>F16</f>
        <v/>
      </c>
      <c r="G17" s="6">
        <f>G16</f>
        <v/>
      </c>
      <c r="H17" s="6">
        <f>H16</f>
        <v/>
      </c>
      <c r="I17" s="6">
        <f>I16</f>
        <v/>
      </c>
      <c r="J17" s="6">
        <f>J16</f>
        <v/>
      </c>
      <c r="K17" s="6">
        <f>K16</f>
        <v/>
      </c>
      <c r="L17" s="6">
        <f>L16</f>
        <v/>
      </c>
      <c r="M17" s="6">
        <f>M16</f>
        <v/>
      </c>
      <c r="N17" s="6">
        <f>N16</f>
        <v/>
      </c>
      <c r="O17" s="6">
        <f>O16</f>
        <v/>
      </c>
      <c r="P17" s="6">
        <f>P16</f>
        <v/>
      </c>
      <c r="Q17" s="6">
        <f>Q16</f>
        <v/>
      </c>
      <c r="R17" s="6">
        <f>R16</f>
        <v/>
      </c>
      <c r="S17" s="6">
        <f>S16</f>
        <v/>
      </c>
      <c r="T17" s="6">
        <f>T16</f>
        <v/>
      </c>
      <c r="U17" s="6">
        <f>U16</f>
        <v/>
      </c>
      <c r="V17" s="6">
        <f>V16</f>
        <v/>
      </c>
    </row>
    <row r="18">
      <c r="A18" s="3" t="inlineStr">
        <is>
          <t>Basic Earnings (Loss) per Share</t>
        </is>
      </c>
      <c r="B18" s="8" t="n">
        <v>0.2</v>
      </c>
      <c r="C18" s="8" t="n">
        <v>0.18</v>
      </c>
      <c r="D18" s="8" t="n">
        <v>0.19</v>
      </c>
      <c r="E18" s="8" t="n">
        <v>0.01</v>
      </c>
      <c r="F18" s="8" t="n">
        <v>0.03</v>
      </c>
      <c r="G18" s="8" t="n">
        <v>0.1</v>
      </c>
      <c r="H18" s="8" t="n">
        <v>0.01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</row>
    <row r="19">
      <c r="A19" s="3" t="inlineStr">
        <is>
          <t>Diluted Earnings (Loss) per Share</t>
        </is>
      </c>
      <c r="B19" s="8" t="n">
        <v>0.19</v>
      </c>
      <c r="C19" s="8" t="n">
        <v>0.17</v>
      </c>
      <c r="D19" s="8" t="n">
        <v>0.2</v>
      </c>
      <c r="E19" s="8" t="n">
        <v>0.01</v>
      </c>
      <c r="F19" s="8" t="n">
        <v>0.03</v>
      </c>
      <c r="G19" s="8" t="n">
        <v>0.09</v>
      </c>
      <c r="H19" s="8" t="n">
        <v>0.01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</row>
    <row r="20">
      <c r="A20" s="3" t="inlineStr">
        <is>
          <t>Weighted Average Shares Outstanding (Basic)</t>
        </is>
      </c>
      <c r="B20" s="4" t="n">
        <v>57155445</v>
      </c>
      <c r="C20" s="4" t="n">
        <v>57267622</v>
      </c>
      <c r="D20" s="4" t="n">
        <v>58023685</v>
      </c>
      <c r="E20" s="4" t="n">
        <v>69284307</v>
      </c>
      <c r="F20" s="4" t="n">
        <v>69444655</v>
      </c>
      <c r="G20" s="4" t="n">
        <v>70184071</v>
      </c>
      <c r="H20" s="4" t="n">
        <v>72516396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</row>
    <row r="21">
      <c r="A21" s="3" t="inlineStr">
        <is>
          <t>Weighted Average Shares Outstanding (Diluted)</t>
        </is>
      </c>
      <c r="B21" s="4" t="n">
        <v>61687409</v>
      </c>
      <c r="C21" s="4" t="n">
        <v>61817621</v>
      </c>
      <c r="D21" s="4" t="n">
        <v>62050032</v>
      </c>
      <c r="E21" s="4" t="n">
        <v>70339416</v>
      </c>
      <c r="F21" s="4" t="n">
        <v>71073534</v>
      </c>
      <c r="G21" s="4" t="n">
        <v>73524209</v>
      </c>
      <c r="H21" s="4" t="n">
        <v>76925484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</row>
    <row r="22">
      <c r="A22" s="3" t="inlineStr">
        <is>
          <t>Preferred Dividends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-4596</v>
      </c>
      <c r="N22" s="4" t="n">
        <v>-6781</v>
      </c>
      <c r="O22" s="4" t="n">
        <v>-13637</v>
      </c>
      <c r="P22" s="4" t="n">
        <v>-20512</v>
      </c>
      <c r="Q22" s="4" t="n">
        <v>-6837</v>
      </c>
      <c r="R22" s="4" t="n">
        <v>-13675</v>
      </c>
      <c r="S22" s="4" t="n">
        <v>-20588</v>
      </c>
      <c r="T22" s="4" t="n">
        <v>-6781</v>
      </c>
      <c r="U22" s="4" t="n">
        <v>-13632</v>
      </c>
      <c r="V22" s="4" t="n">
        <v>-23289</v>
      </c>
    </row>
    <row r="23">
      <c r="A23" s="3" t="inlineStr">
        <is>
          <t>Income Allocated to Participating Preferred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>-6727</v>
      </c>
      <c r="P23" s="4" t="n">
        <v>-13263</v>
      </c>
      <c r="Q23" s="4" t="n">
        <v>-6128</v>
      </c>
      <c r="R23" s="4" t="n">
        <v>-12417</v>
      </c>
      <c r="S23" s="4" t="n">
        <v>-12357</v>
      </c>
      <c r="T23" s="4" t="n">
        <v>-3219</v>
      </c>
      <c r="U23" s="4" t="n">
        <v>-10703</v>
      </c>
      <c r="V23" s="4" t="n">
        <v>-5272</v>
      </c>
    </row>
    <row r="24">
      <c r="A24" s="3" t="inlineStr">
        <is>
          <t>Net Income (Loss) Attributable to Common Shareholders</t>
        </is>
      </c>
      <c r="B24" s="6">
        <f>B17+B22+B23</f>
        <v/>
      </c>
      <c r="C24" s="6">
        <f>C17+C22+C23</f>
        <v/>
      </c>
      <c r="D24" s="6">
        <f>D17+D22+D23</f>
        <v/>
      </c>
      <c r="E24" s="6">
        <f>E17+E22+E23</f>
        <v/>
      </c>
      <c r="F24" s="6">
        <f>F17+F22+F23</f>
        <v/>
      </c>
      <c r="G24" s="6">
        <f>G17+G22+G23</f>
        <v/>
      </c>
      <c r="H24" s="6">
        <f>H17+H22+H23</f>
        <v/>
      </c>
      <c r="I24" s="6">
        <f>I17+I22+I23</f>
        <v/>
      </c>
      <c r="J24" s="6">
        <f>J17+J22+J23</f>
        <v/>
      </c>
      <c r="K24" s="6">
        <f>K17+K22+K23</f>
        <v/>
      </c>
      <c r="L24" s="6">
        <f>L17+L22+L23</f>
        <v/>
      </c>
      <c r="M24" s="6">
        <f>M17+M22+M23</f>
        <v/>
      </c>
      <c r="N24" s="6">
        <f>N17+N22+N23</f>
        <v/>
      </c>
      <c r="O24" s="6">
        <f>O17+O22+O23</f>
        <v/>
      </c>
      <c r="P24" s="6">
        <f>P17+P22+P23</f>
        <v/>
      </c>
      <c r="Q24" s="6">
        <f>Q17+Q22+Q23</f>
        <v/>
      </c>
      <c r="R24" s="6">
        <f>R17+R22+R23</f>
        <v/>
      </c>
      <c r="S24" s="6">
        <f>S17+S22+S23</f>
        <v/>
      </c>
      <c r="T24" s="6">
        <f>T17+T22+T23</f>
        <v/>
      </c>
      <c r="U24" s="6">
        <f>U17+U22+U23</f>
        <v/>
      </c>
      <c r="V24" s="6">
        <f>V17+V22+V23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/>
      <c r="B1" s="2" t="inlineStr">
        <is>
          <t>Q4 FY2019</t>
        </is>
      </c>
      <c r="C1" s="2" t="inlineStr">
        <is>
          <t>Q1 FY2020</t>
        </is>
      </c>
      <c r="D1" s="2" t="inlineStr">
        <is>
          <t>Q2 FY2020</t>
        </is>
      </c>
      <c r="E1" s="2" t="inlineStr">
        <is>
          <t>Q3 FY2020</t>
        </is>
      </c>
      <c r="F1" s="2" t="inlineStr">
        <is>
          <t>Q4 FY2020</t>
        </is>
      </c>
      <c r="G1" s="2" t="inlineStr">
        <is>
          <t>Q1 FY2021</t>
        </is>
      </c>
      <c r="H1" s="2" t="inlineStr">
        <is>
          <t>Q2 FY2021</t>
        </is>
      </c>
      <c r="I1" s="2" t="inlineStr">
        <is>
          <t>Q3 FY2021</t>
        </is>
      </c>
      <c r="J1" s="2" t="inlineStr">
        <is>
          <t>Q4 FY2021</t>
        </is>
      </c>
      <c r="K1" s="2" t="inlineStr">
        <is>
          <t>Q1 FY2022</t>
        </is>
      </c>
      <c r="L1" s="2" t="inlineStr">
        <is>
          <t>Q2 FY2022</t>
        </is>
      </c>
      <c r="M1" s="2" t="inlineStr">
        <is>
          <t>Q3 FY2022</t>
        </is>
      </c>
      <c r="N1" s="2" t="inlineStr">
        <is>
          <t>Q4 FY2022</t>
        </is>
      </c>
      <c r="O1" s="2" t="inlineStr">
        <is>
          <t>Q1 FY2023</t>
        </is>
      </c>
      <c r="P1" s="2" t="inlineStr">
        <is>
          <t>Q2 FY2023</t>
        </is>
      </c>
      <c r="Q1" s="2" t="inlineStr">
        <is>
          <t>Q3 FY2023</t>
        </is>
      </c>
      <c r="R1" s="2" t="inlineStr">
        <is>
          <t>Q4 FY2023</t>
        </is>
      </c>
      <c r="S1" s="2" t="inlineStr">
        <is>
          <t>Q1 FY2024</t>
        </is>
      </c>
      <c r="T1" s="2" t="inlineStr">
        <is>
          <t>Q2 FY2024</t>
        </is>
      </c>
      <c r="U1" s="2" t="inlineStr">
        <is>
          <t>Q3 FY2024</t>
        </is>
      </c>
      <c r="V1" s="2" t="inlineStr">
        <is>
          <t>Q4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</row>
    <row r="2">
      <c r="A2" s="3" t="inlineStr">
        <is>
          <t>Cash, Cash Equivalents &amp; Restricted Cash</t>
        </is>
      </c>
      <c r="B2" s="4" t="n">
        <v>23090.682</v>
      </c>
      <c r="C2" s="4" t="n">
        <v>19094.101</v>
      </c>
      <c r="D2" s="4" t="n">
        <v>20110.815</v>
      </c>
      <c r="E2" s="4" t="n">
        <v>52158.098</v>
      </c>
      <c r="F2" s="4" t="n">
        <v>43248.021</v>
      </c>
      <c r="G2" s="4" t="n">
        <v>31634.675</v>
      </c>
      <c r="H2" s="4" t="n">
        <v>83789.981</v>
      </c>
      <c r="I2" s="4" t="n">
        <v>61377.202</v>
      </c>
      <c r="J2" s="4" t="n">
        <v>16255</v>
      </c>
      <c r="K2" s="4" t="n">
        <v>25532</v>
      </c>
      <c r="L2" s="4" t="n">
        <v>60031</v>
      </c>
      <c r="M2" s="4" t="n">
        <v>726972</v>
      </c>
      <c r="N2" s="4" t="n">
        <v>652927</v>
      </c>
      <c r="O2" s="4" t="n">
        <v>633581</v>
      </c>
      <c r="P2" s="4" t="n">
        <v>681054</v>
      </c>
      <c r="Q2" s="4" t="n">
        <v>760022</v>
      </c>
      <c r="R2" s="4" t="n">
        <v>755981</v>
      </c>
      <c r="S2" s="4" t="n">
        <v>879498</v>
      </c>
      <c r="T2" s="4" t="n">
        <v>903210</v>
      </c>
      <c r="U2" s="4" t="n">
        <v>903748</v>
      </c>
      <c r="V2" s="4" t="n">
        <v>890190</v>
      </c>
      <c r="W2" s="4" t="n">
        <v>977285</v>
      </c>
      <c r="X2" s="4" t="n">
        <v>615233</v>
      </c>
      <c r="Y2" s="4" t="n">
        <v>932463</v>
      </c>
    </row>
    <row r="3">
      <c r="A3" s="3" t="inlineStr">
        <is>
          <t>Accounts Receivable</t>
        </is>
      </c>
      <c r="B3" s="4" t="n">
        <v>7774.618</v>
      </c>
      <c r="C3" s="4" t="n">
        <v>10699.811</v>
      </c>
      <c r="D3" s="4" t="n">
        <v>12221.985</v>
      </c>
      <c r="E3" s="4" t="n">
        <v>16561.371</v>
      </c>
      <c r="F3" s="4" t="n">
        <v>14986.213</v>
      </c>
      <c r="G3" s="4" t="n">
        <v>23997.68</v>
      </c>
      <c r="H3" s="4" t="n">
        <v>32398.823</v>
      </c>
      <c r="I3" s="4" t="n">
        <v>43500.578</v>
      </c>
      <c r="J3" s="4" t="n">
        <v>38741</v>
      </c>
      <c r="K3" s="4" t="n">
        <v>72707</v>
      </c>
      <c r="L3" s="4" t="n">
        <v>66195</v>
      </c>
      <c r="M3" s="4" t="n">
        <v>117003</v>
      </c>
      <c r="N3" s="4" t="n">
        <v>63311</v>
      </c>
      <c r="O3" s="4" t="n">
        <v>172032</v>
      </c>
      <c r="P3" s="4" t="n">
        <v>197811</v>
      </c>
      <c r="Q3" s="4" t="n">
        <v>215243</v>
      </c>
      <c r="R3" s="4" t="n">
        <v>183703</v>
      </c>
      <c r="S3" s="4" t="n">
        <v>200117</v>
      </c>
      <c r="T3" s="4" t="n">
        <v>262920</v>
      </c>
      <c r="U3" s="4" t="n">
        <v>208774</v>
      </c>
      <c r="V3" s="4" t="n">
        <v>270342</v>
      </c>
      <c r="W3" s="4" t="n">
        <v>256424</v>
      </c>
      <c r="X3" s="4" t="n">
        <v>490389</v>
      </c>
      <c r="Y3" s="4" t="n">
        <v>513682</v>
      </c>
    </row>
    <row r="4">
      <c r="A4" s="3" t="inlineStr">
        <is>
          <t>Note Receivable - Current</t>
        </is>
      </c>
      <c r="B4" s="4" t="n">
        <v>1181.116</v>
      </c>
      <c r="C4" s="4" t="n">
        <v>1157.754</v>
      </c>
      <c r="D4" s="4" t="n">
        <v>1742.841</v>
      </c>
      <c r="E4" s="4" t="n">
        <v>1810.773</v>
      </c>
      <c r="F4" s="4" t="n">
        <v>1885.887</v>
      </c>
      <c r="G4" s="4" t="n">
        <v>2509.412</v>
      </c>
      <c r="H4" s="4" t="n">
        <v>2545.745</v>
      </c>
      <c r="I4" s="4" t="n">
        <v>2543.225</v>
      </c>
      <c r="J4" s="4" t="n">
        <v>2588</v>
      </c>
      <c r="K4" s="4" t="n">
        <v>5833</v>
      </c>
      <c r="L4" s="4" t="n">
        <v>3066</v>
      </c>
      <c r="M4" s="4" t="n">
        <v>2888</v>
      </c>
      <c r="N4" s="4" t="n">
        <v>2979</v>
      </c>
      <c r="O4" s="4" t="n">
        <v>3587</v>
      </c>
      <c r="P4" s="4" t="n">
        <v>3323</v>
      </c>
      <c r="Q4" s="4" t="n">
        <v>3309</v>
      </c>
      <c r="R4" s="4" t="n">
        <v>2318</v>
      </c>
      <c r="S4" s="4" t="n">
        <v>2259</v>
      </c>
      <c r="T4" s="4" t="n">
        <v>1166</v>
      </c>
      <c r="U4" s="4" t="n">
        <v>1025</v>
      </c>
      <c r="V4" s="4" t="n">
        <v>0</v>
      </c>
      <c r="W4" s="4" t="n">
        <v>0</v>
      </c>
      <c r="X4" s="4" t="n">
        <v>0</v>
      </c>
      <c r="Y4" s="4" t="n">
        <v>0</v>
      </c>
    </row>
    <row r="5">
      <c r="A5" s="3" t="inlineStr">
        <is>
          <t>Inventories</t>
        </is>
      </c>
      <c r="B5" s="4" t="n">
        <v>15292.349</v>
      </c>
      <c r="C5" s="4" t="n">
        <v>21038.367</v>
      </c>
      <c r="D5" s="4" t="n">
        <v>23512.418</v>
      </c>
      <c r="E5" s="4" t="n">
        <v>15679.192</v>
      </c>
      <c r="F5" s="4" t="n">
        <v>18403.622</v>
      </c>
      <c r="G5" s="4" t="n">
        <v>36891.859</v>
      </c>
      <c r="H5" s="4" t="n">
        <v>63826.596</v>
      </c>
      <c r="I5" s="4" t="n">
        <v>122311.445</v>
      </c>
      <c r="J5" s="4" t="n">
        <v>191222</v>
      </c>
      <c r="K5" s="4" t="n">
        <v>184094</v>
      </c>
      <c r="L5" s="4" t="n">
        <v>162138</v>
      </c>
      <c r="M5" s="4" t="n">
        <v>153933</v>
      </c>
      <c r="N5" s="4" t="n">
        <v>173289</v>
      </c>
      <c r="O5" s="4" t="n">
        <v>154280</v>
      </c>
      <c r="P5" s="4" t="n">
        <v>152545</v>
      </c>
      <c r="Q5" s="4" t="n">
        <v>198704</v>
      </c>
      <c r="R5" s="4" t="n">
        <v>229275</v>
      </c>
      <c r="S5" s="4" t="n">
        <v>197504</v>
      </c>
      <c r="T5" s="4" t="n">
        <v>180669</v>
      </c>
      <c r="U5" s="4" t="n">
        <v>197572</v>
      </c>
      <c r="V5" s="4" t="n">
        <v>131165</v>
      </c>
      <c r="W5" s="4" t="n">
        <v>141159</v>
      </c>
      <c r="X5" s="4" t="n">
        <v>230046</v>
      </c>
      <c r="Y5" s="4" t="n">
        <v>282514</v>
      </c>
    </row>
    <row r="6">
      <c r="A6" s="3" t="inlineStr">
        <is>
          <t>Prepaid Expenses</t>
        </is>
      </c>
      <c r="B6" s="4" t="n">
        <v>4170.136</v>
      </c>
      <c r="C6" s="4" t="n">
        <v>4671.721</v>
      </c>
      <c r="D6" s="4" t="n">
        <v>4312.554</v>
      </c>
      <c r="E6" s="4" t="n">
        <v>4731.887</v>
      </c>
      <c r="F6" s="4" t="n">
        <v>14626.922</v>
      </c>
      <c r="G6" s="4" t="n">
        <v>17183.929</v>
      </c>
      <c r="H6" s="4" t="n">
        <v>22744.642</v>
      </c>
      <c r="I6" s="4" t="n">
        <v>22829.51</v>
      </c>
      <c r="J6" s="4" t="n">
        <v>13555</v>
      </c>
      <c r="K6" s="4" t="n">
        <v>10042</v>
      </c>
      <c r="L6" s="4" t="n">
        <v>12298</v>
      </c>
      <c r="M6" s="4" t="n">
        <v>12096</v>
      </c>
      <c r="N6" s="4" t="n">
        <v>11341</v>
      </c>
      <c r="O6" s="4" t="n">
        <v>15507</v>
      </c>
      <c r="P6" s="4" t="n">
        <v>23398</v>
      </c>
      <c r="Q6" s="4" t="n">
        <v>23747</v>
      </c>
      <c r="R6" s="4" t="n">
        <v>19503</v>
      </c>
      <c r="S6" s="4" t="n">
        <v>21523</v>
      </c>
      <c r="T6" s="4" t="n">
        <v>22900</v>
      </c>
      <c r="U6" s="4" t="n">
        <v>38227</v>
      </c>
      <c r="V6" s="4" t="n">
        <v>18759</v>
      </c>
      <c r="W6" s="4" t="n">
        <v>22464</v>
      </c>
      <c r="X6" s="4" t="n">
        <v>41420</v>
      </c>
      <c r="Y6" s="4" t="n">
        <v>163395</v>
      </c>
    </row>
    <row r="7">
      <c r="A7" s="3" t="inlineStr">
        <is>
          <t>Deferred Other Costs - Current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14124</v>
      </c>
      <c r="N7" s="4" t="n">
        <v>14124</v>
      </c>
      <c r="O7" s="4" t="n">
        <v>14124</v>
      </c>
      <c r="P7" s="4" t="n">
        <v>14124</v>
      </c>
      <c r="Q7" s="4" t="n">
        <v>14124</v>
      </c>
      <c r="R7" s="4" t="n">
        <v>14124</v>
      </c>
      <c r="S7" s="4" t="n">
        <v>14124</v>
      </c>
      <c r="T7" s="4" t="n">
        <v>14124</v>
      </c>
      <c r="U7" s="4" t="n">
        <v>14124</v>
      </c>
      <c r="V7" s="4" t="n">
        <v>14124</v>
      </c>
      <c r="W7" s="4" t="n">
        <v>14124</v>
      </c>
      <c r="X7" s="4" t="n">
        <v>14124</v>
      </c>
      <c r="Y7" s="4" t="n">
        <v>49520</v>
      </c>
    </row>
    <row r="8">
      <c r="A8" s="3" t="inlineStr">
        <is>
          <t>Total Current Assets</t>
        </is>
      </c>
      <c r="B8" s="6">
        <f>SUM(B2:B7)</f>
        <v/>
      </c>
      <c r="C8" s="6">
        <f>SUM(C2:C7)</f>
        <v/>
      </c>
      <c r="D8" s="6">
        <f>SUM(D2:D7)</f>
        <v/>
      </c>
      <c r="E8" s="6">
        <f>SUM(E2:E7)</f>
        <v/>
      </c>
      <c r="F8" s="6">
        <f>SUM(F2:F7)</f>
        <v/>
      </c>
      <c r="G8" s="6">
        <f>SUM(G2:G7)</f>
        <v/>
      </c>
      <c r="H8" s="6">
        <f>SUM(H2:H7)</f>
        <v/>
      </c>
      <c r="I8" s="6">
        <f>SUM(I2:I7)</f>
        <v/>
      </c>
      <c r="J8" s="6">
        <f>SUM(J2:J7)</f>
        <v/>
      </c>
      <c r="K8" s="6">
        <f>SUM(K2:K7)</f>
        <v/>
      </c>
      <c r="L8" s="6">
        <f>SUM(L2:L7)</f>
        <v/>
      </c>
      <c r="M8" s="6">
        <f>SUM(M2:M7)</f>
        <v/>
      </c>
      <c r="N8" s="6">
        <f>SUM(N2:N7)</f>
        <v/>
      </c>
      <c r="O8" s="6">
        <f>SUM(O2:O7)</f>
        <v/>
      </c>
      <c r="P8" s="6">
        <f>SUM(P2:P7)</f>
        <v/>
      </c>
      <c r="Q8" s="6">
        <f>SUM(Q2:Q7)</f>
        <v/>
      </c>
      <c r="R8" s="6">
        <f>SUM(R2:R7)</f>
        <v/>
      </c>
      <c r="S8" s="6">
        <f>SUM(S2:S7)</f>
        <v/>
      </c>
      <c r="T8" s="6">
        <f>SUM(T2:T7)</f>
        <v/>
      </c>
      <c r="U8" s="6">
        <f>SUM(U2:U7)</f>
        <v/>
      </c>
      <c r="V8" s="6">
        <f>SUM(V2:V7)</f>
        <v/>
      </c>
      <c r="W8" s="6">
        <f>SUM(W2:W7)</f>
        <v/>
      </c>
      <c r="X8" s="6">
        <f>SUM(X2:X7)</f>
        <v/>
      </c>
      <c r="Y8" s="6">
        <f>SUM(Y2:Y7)</f>
        <v/>
      </c>
    </row>
    <row r="9">
      <c r="A9" s="3" t="inlineStr">
        <is>
          <t>Note Receivable - Non-Current</t>
        </is>
      </c>
      <c r="B9" s="4" t="n">
        <v>10630.041</v>
      </c>
      <c r="C9" s="4" t="n">
        <v>10416.12</v>
      </c>
      <c r="D9" s="4" t="n">
        <v>8714.205</v>
      </c>
      <c r="E9" s="4" t="n">
        <v>9053.866</v>
      </c>
      <c r="F9" s="4" t="n">
        <v>9429.437</v>
      </c>
      <c r="G9" s="4" t="n">
        <v>6900.882</v>
      </c>
      <c r="H9" s="4" t="n">
        <v>7000.8</v>
      </c>
      <c r="I9" s="4" t="n">
        <v>6993.869</v>
      </c>
      <c r="J9" s="4" t="n">
        <v>7117</v>
      </c>
      <c r="K9" s="4" t="n">
        <v>3888</v>
      </c>
      <c r="L9" s="4" t="n">
        <v>3679</v>
      </c>
      <c r="M9" s="4" t="n">
        <v>3465</v>
      </c>
      <c r="N9" s="4" t="n">
        <v>3574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</row>
    <row r="10">
      <c r="A10" s="3" t="inlineStr">
        <is>
          <t>Net PP&amp;E</t>
        </is>
      </c>
      <c r="B10" s="4" t="n">
        <v>132.889</v>
      </c>
      <c r="C10" s="4" t="n">
        <v>115.324</v>
      </c>
      <c r="D10" s="4" t="n">
        <v>398.315</v>
      </c>
      <c r="E10" s="4" t="n">
        <v>467.38</v>
      </c>
      <c r="F10" s="4" t="n">
        <v>579.377</v>
      </c>
      <c r="G10" s="4" t="n">
        <v>1169.022</v>
      </c>
      <c r="H10" s="4" t="n">
        <v>1617.002</v>
      </c>
      <c r="I10" s="4" t="n">
        <v>2454.914</v>
      </c>
      <c r="J10" s="4" t="n">
        <v>3180</v>
      </c>
      <c r="K10" s="4" t="n">
        <v>3702</v>
      </c>
      <c r="L10" s="4" t="n">
        <v>5135</v>
      </c>
      <c r="M10" s="4" t="n">
        <v>5782</v>
      </c>
      <c r="N10" s="4" t="n">
        <v>10185</v>
      </c>
      <c r="O10" s="4" t="n">
        <v>12054</v>
      </c>
      <c r="P10" s="4" t="n">
        <v>15892</v>
      </c>
      <c r="Q10" s="4" t="n">
        <v>21061</v>
      </c>
      <c r="R10" s="4" t="n">
        <v>24868</v>
      </c>
      <c r="S10" s="4" t="n">
        <v>28350</v>
      </c>
      <c r="T10" s="4" t="n">
        <v>36282</v>
      </c>
      <c r="U10" s="4" t="n">
        <v>38370</v>
      </c>
      <c r="V10" s="4" t="n">
        <v>55602</v>
      </c>
      <c r="W10" s="4" t="n">
        <v>58698</v>
      </c>
      <c r="X10" s="4" t="n">
        <v>72516</v>
      </c>
      <c r="Y10" s="4" t="n">
        <v>80925</v>
      </c>
    </row>
    <row r="11">
      <c r="A11" s="3" t="inlineStr">
        <is>
          <t>ROU Assets - Operating - Non-Current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836.038</v>
      </c>
      <c r="G11" s="4" t="n">
        <v>791.9690000000001</v>
      </c>
      <c r="H11" s="4" t="n">
        <v>704.857</v>
      </c>
      <c r="I11" s="4" t="n">
        <v>888.9109999999999</v>
      </c>
      <c r="J11" s="4" t="n">
        <v>1128</v>
      </c>
      <c r="K11" s="4" t="n">
        <v>1141</v>
      </c>
      <c r="L11" s="4" t="n">
        <v>954</v>
      </c>
      <c r="M11" s="4" t="n">
        <v>1105</v>
      </c>
      <c r="N11" s="4" t="n">
        <v>972</v>
      </c>
      <c r="O11" s="4" t="n">
        <v>931</v>
      </c>
      <c r="P11" s="4" t="n">
        <v>756</v>
      </c>
      <c r="Q11" s="4" t="n">
        <v>1152</v>
      </c>
      <c r="R11" s="4" t="n">
        <v>1957</v>
      </c>
      <c r="S11" s="4" t="n">
        <v>1688</v>
      </c>
      <c r="T11" s="4" t="n">
        <v>1507</v>
      </c>
      <c r="U11" s="4" t="n">
        <v>5506</v>
      </c>
      <c r="V11" s="4" t="n">
        <v>21606</v>
      </c>
      <c r="W11" s="4" t="n">
        <v>20866</v>
      </c>
      <c r="X11" s="4" t="n">
        <v>0</v>
      </c>
      <c r="Y11" s="4" t="n">
        <v>0</v>
      </c>
    </row>
    <row r="12">
      <c r="A12" s="3" t="inlineStr">
        <is>
          <t>Intangible Assets</t>
        </is>
      </c>
      <c r="B12" s="4" t="n">
        <v>17173</v>
      </c>
      <c r="C12" s="4" t="n">
        <v>17029.472</v>
      </c>
      <c r="D12" s="4" t="n">
        <v>16888.97</v>
      </c>
      <c r="E12" s="4" t="n">
        <v>16740.838</v>
      </c>
      <c r="F12" s="4" t="n">
        <v>16590.083</v>
      </c>
      <c r="G12" s="4" t="n">
        <v>16439.197</v>
      </c>
      <c r="H12" s="4" t="n">
        <v>16287.537</v>
      </c>
      <c r="I12" s="4" t="n">
        <v>16811.762</v>
      </c>
      <c r="J12" s="4" t="n">
        <v>16301</v>
      </c>
      <c r="K12" s="4" t="n">
        <v>15838</v>
      </c>
      <c r="L12" s="4" t="n">
        <v>14689</v>
      </c>
      <c r="M12" s="4" t="n">
        <v>11322</v>
      </c>
      <c r="N12" s="4" t="n">
        <v>12254</v>
      </c>
      <c r="O12" s="4" t="n">
        <v>12359</v>
      </c>
      <c r="P12" s="4" t="n">
        <v>12211</v>
      </c>
      <c r="Q12" s="4" t="n">
        <v>11772</v>
      </c>
      <c r="R12" s="4" t="n">
        <v>12139</v>
      </c>
      <c r="S12" s="4" t="n">
        <v>11741</v>
      </c>
      <c r="T12" s="4" t="n">
        <v>11491</v>
      </c>
      <c r="U12" s="4" t="n">
        <v>11877</v>
      </c>
      <c r="V12" s="4" t="n">
        <v>12213</v>
      </c>
      <c r="W12" s="4" t="n">
        <v>12444</v>
      </c>
      <c r="X12" s="4" t="n">
        <v>1222115</v>
      </c>
      <c r="Y12" s="4" t="n">
        <v>1397819</v>
      </c>
    </row>
    <row r="13">
      <c r="A13" s="3" t="inlineStr">
        <is>
          <t>Goodwill</t>
        </is>
      </c>
      <c r="B13" s="4" t="n">
        <v>10023.806</v>
      </c>
      <c r="C13" s="4" t="n">
        <v>10023.806</v>
      </c>
      <c r="D13" s="4" t="n">
        <v>10419.321</v>
      </c>
      <c r="E13" s="4" t="n">
        <v>10419.321</v>
      </c>
      <c r="F13" s="4" t="n">
        <v>10419.321</v>
      </c>
      <c r="G13" s="4" t="n">
        <v>10419.321</v>
      </c>
      <c r="H13" s="4" t="n">
        <v>10419.321</v>
      </c>
      <c r="I13" s="4" t="n">
        <v>14851.635</v>
      </c>
      <c r="J13" s="4" t="n">
        <v>14527</v>
      </c>
      <c r="K13" s="4" t="n">
        <v>14238</v>
      </c>
      <c r="L13" s="4" t="n">
        <v>13323</v>
      </c>
      <c r="M13" s="4" t="n">
        <v>12502</v>
      </c>
      <c r="N13" s="4" t="n">
        <v>13679</v>
      </c>
      <c r="O13" s="4" t="n">
        <v>13949</v>
      </c>
      <c r="P13" s="4" t="n">
        <v>13937</v>
      </c>
      <c r="Q13" s="4" t="n">
        <v>13588</v>
      </c>
      <c r="R13" s="4" t="n">
        <v>14173</v>
      </c>
      <c r="S13" s="4" t="n">
        <v>13866</v>
      </c>
      <c r="T13" s="4" t="n">
        <v>13730</v>
      </c>
      <c r="U13" s="4" t="n">
        <v>14360</v>
      </c>
      <c r="V13" s="4" t="n">
        <v>71582</v>
      </c>
      <c r="W13" s="4" t="n">
        <v>72128</v>
      </c>
      <c r="X13" s="4" t="n">
        <v>802234</v>
      </c>
      <c r="Y13" s="4" t="n">
        <v>914957</v>
      </c>
    </row>
    <row r="14">
      <c r="A14" s="3" t="inlineStr">
        <is>
          <t>Deferred Other Costs - Non-Current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265993</v>
      </c>
      <c r="N14" s="4" t="n">
        <v>262462</v>
      </c>
      <c r="O14" s="4" t="n">
        <v>258931</v>
      </c>
      <c r="P14" s="4" t="n">
        <v>255400</v>
      </c>
      <c r="Q14" s="4" t="n">
        <v>251869</v>
      </c>
      <c r="R14" s="4" t="n">
        <v>248338</v>
      </c>
      <c r="S14" s="4" t="n">
        <v>244807</v>
      </c>
      <c r="T14" s="4" t="n">
        <v>241276</v>
      </c>
      <c r="U14" s="4" t="n">
        <v>237746</v>
      </c>
      <c r="V14" s="4" t="n">
        <v>234215</v>
      </c>
      <c r="W14" s="4" t="n">
        <v>230684</v>
      </c>
      <c r="X14" s="4" t="n">
        <v>227153</v>
      </c>
      <c r="Y14" s="4" t="n">
        <v>784214</v>
      </c>
    </row>
    <row r="15">
      <c r="A15" s="3" t="inlineStr">
        <is>
          <t>Deferred Tax Assets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9019</v>
      </c>
      <c r="K15" s="4" t="n">
        <v>6396</v>
      </c>
      <c r="L15" s="4" t="n">
        <v>7686</v>
      </c>
      <c r="M15" s="4" t="n">
        <v>0</v>
      </c>
      <c r="N15" s="4" t="n">
        <v>501</v>
      </c>
      <c r="O15" s="4" t="n">
        <v>482</v>
      </c>
      <c r="P15" s="4" t="n">
        <v>28373</v>
      </c>
      <c r="Q15" s="4" t="n">
        <v>30614</v>
      </c>
      <c r="R15" s="4" t="n">
        <v>29518</v>
      </c>
      <c r="S15" s="4" t="n">
        <v>22437</v>
      </c>
      <c r="T15" s="4" t="n">
        <v>22727</v>
      </c>
      <c r="U15" s="4" t="n">
        <v>24186</v>
      </c>
      <c r="V15" s="4" t="n">
        <v>38699</v>
      </c>
      <c r="W15" s="4" t="n">
        <v>38525</v>
      </c>
      <c r="X15" s="4" t="n">
        <v>43158</v>
      </c>
      <c r="Y15" s="4" t="n">
        <v>110410</v>
      </c>
    </row>
    <row r="16">
      <c r="A16" s="3" t="inlineStr">
        <is>
          <t>ROU Assets - Finance - Non-Current</t>
        </is>
      </c>
      <c r="B16" s="4" t="n">
        <v>809.466</v>
      </c>
      <c r="C16" s="4" t="n">
        <v>626.12</v>
      </c>
      <c r="D16" s="4" t="n">
        <v>524.15</v>
      </c>
      <c r="E16" s="4" t="n">
        <v>415.595</v>
      </c>
      <c r="F16" s="4" t="n">
        <v>162.119</v>
      </c>
      <c r="G16" s="4" t="n">
        <v>129.625</v>
      </c>
      <c r="H16" s="4" t="n">
        <v>100.365</v>
      </c>
      <c r="I16" s="4" t="n">
        <v>106.675</v>
      </c>
      <c r="J16" s="4" t="n">
        <v>86</v>
      </c>
      <c r="K16" s="4" t="n">
        <v>220</v>
      </c>
      <c r="L16" s="4" t="n">
        <v>180</v>
      </c>
      <c r="M16" s="4" t="n">
        <v>222</v>
      </c>
      <c r="N16" s="4" t="n">
        <v>208</v>
      </c>
      <c r="O16" s="4" t="n">
        <v>191</v>
      </c>
      <c r="P16" s="4" t="n">
        <v>171</v>
      </c>
      <c r="Q16" s="4" t="n">
        <v>148</v>
      </c>
      <c r="R16" s="4" t="n">
        <v>208</v>
      </c>
      <c r="S16" s="4" t="n">
        <v>263</v>
      </c>
      <c r="T16" s="4" t="n">
        <v>233</v>
      </c>
      <c r="U16" s="4" t="n">
        <v>214</v>
      </c>
      <c r="V16" s="4" t="n">
        <v>0</v>
      </c>
      <c r="W16" s="4" t="n">
        <v>0</v>
      </c>
      <c r="X16" s="4" t="n">
        <v>0</v>
      </c>
      <c r="Y16" s="4" t="n">
        <v>0</v>
      </c>
    </row>
    <row r="17">
      <c r="A17" s="3" t="inlineStr">
        <is>
          <t>Other Non-Current Assets</t>
        </is>
      </c>
      <c r="B17" s="4" t="n">
        <v>104.134</v>
      </c>
      <c r="C17" s="4" t="n">
        <v>55.358</v>
      </c>
      <c r="D17" s="4" t="n">
        <v>53.523</v>
      </c>
      <c r="E17" s="4" t="n">
        <v>60.875</v>
      </c>
      <c r="F17" s="4" t="n">
        <v>122.733</v>
      </c>
      <c r="G17" s="4" t="n">
        <v>110.1</v>
      </c>
      <c r="H17" s="4" t="n">
        <v>112.456</v>
      </c>
      <c r="I17" s="4" t="n">
        <v>308.449</v>
      </c>
      <c r="J17" s="4" t="n">
        <v>300</v>
      </c>
      <c r="K17" s="4" t="n">
        <v>293</v>
      </c>
      <c r="L17" s="4" t="n">
        <v>264</v>
      </c>
      <c r="M17" s="4" t="n">
        <v>242</v>
      </c>
      <c r="N17" s="4" t="n">
        <v>263</v>
      </c>
      <c r="O17" s="4" t="n">
        <v>263</v>
      </c>
      <c r="P17" s="4" t="n">
        <v>254</v>
      </c>
      <c r="Q17" s="4" t="n">
        <v>265</v>
      </c>
      <c r="R17" s="4" t="n">
        <v>291</v>
      </c>
      <c r="S17" s="4" t="n">
        <v>7963</v>
      </c>
      <c r="T17" s="4" t="n">
        <v>6653</v>
      </c>
      <c r="U17" s="4" t="n">
        <v>8594</v>
      </c>
      <c r="V17" s="4" t="n">
        <v>8384</v>
      </c>
      <c r="W17" s="4" t="n">
        <v>14717</v>
      </c>
      <c r="X17" s="4" t="n">
        <v>36755</v>
      </c>
      <c r="Y17" s="4" t="n">
        <v>35809</v>
      </c>
    </row>
    <row r="18">
      <c r="A18" s="3" t="inlineStr">
        <is>
          <t>Total Assets</t>
        </is>
      </c>
      <c r="B18" s="6">
        <f>B8+SUM(B9:B17)</f>
        <v/>
      </c>
      <c r="C18" s="6">
        <f>C8+SUM(C9:C17)</f>
        <v/>
      </c>
      <c r="D18" s="6">
        <f>D8+SUM(D9:D17)</f>
        <v/>
      </c>
      <c r="E18" s="6">
        <f>E8+SUM(E9:E17)</f>
        <v/>
      </c>
      <c r="F18" s="6">
        <f>F8+SUM(F9:F17)</f>
        <v/>
      </c>
      <c r="G18" s="6">
        <f>G8+SUM(G9:G17)</f>
        <v/>
      </c>
      <c r="H18" s="6">
        <f>H8+SUM(H9:H17)</f>
        <v/>
      </c>
      <c r="I18" s="6">
        <f>I8+SUM(I9:I17)</f>
        <v/>
      </c>
      <c r="J18" s="6">
        <f>J8+SUM(J9:J17)</f>
        <v/>
      </c>
      <c r="K18" s="6">
        <f>K8+SUM(K9:K17)</f>
        <v/>
      </c>
      <c r="L18" s="6">
        <f>L8+SUM(L9:L17)</f>
        <v/>
      </c>
      <c r="M18" s="6">
        <f>M8+SUM(M9:M17)</f>
        <v/>
      </c>
      <c r="N18" s="6">
        <f>N8+SUM(N9:N17)</f>
        <v/>
      </c>
      <c r="O18" s="6">
        <f>O8+SUM(O9:O17)</f>
        <v/>
      </c>
      <c r="P18" s="6">
        <f>P8+SUM(P9:P17)</f>
        <v/>
      </c>
      <c r="Q18" s="6">
        <f>Q8+SUM(Q9:Q17)</f>
        <v/>
      </c>
      <c r="R18" s="6">
        <f>R8+SUM(R9:R17)</f>
        <v/>
      </c>
      <c r="S18" s="6">
        <f>S8+SUM(S9:S17)</f>
        <v/>
      </c>
      <c r="T18" s="6">
        <f>T8+SUM(T9:T17)</f>
        <v/>
      </c>
      <c r="U18" s="6">
        <f>U8+SUM(U9:U17)</f>
        <v/>
      </c>
      <c r="V18" s="6">
        <f>V8+SUM(V9:V17)</f>
        <v/>
      </c>
      <c r="W18" s="6">
        <f>W8+SUM(W9:W17)</f>
        <v/>
      </c>
      <c r="X18" s="6">
        <f>X8+SUM(X9:X17)</f>
        <v/>
      </c>
      <c r="Y18" s="6">
        <f>Y8+SUM(Y9:Y17)</f>
        <v/>
      </c>
    </row>
    <row r="19">
      <c r="A19" s="3" t="inlineStr">
        <is>
          <t>Accounts Payable</t>
        </is>
      </c>
      <c r="B19" s="4" t="n">
        <v>17292.647</v>
      </c>
      <c r="C19" s="4" t="n">
        <v>19885.182</v>
      </c>
      <c r="D19" s="4" t="n">
        <v>20149.301</v>
      </c>
      <c r="E19" s="4" t="n">
        <v>18117.611</v>
      </c>
      <c r="F19" s="4" t="n">
        <v>25412.753</v>
      </c>
      <c r="G19" s="4" t="n">
        <v>37525.39</v>
      </c>
      <c r="H19" s="4" t="n">
        <v>52992.075</v>
      </c>
      <c r="I19" s="4" t="n">
        <v>91931.59299999999</v>
      </c>
      <c r="J19" s="4" t="n">
        <v>91479</v>
      </c>
      <c r="K19" s="4" t="n">
        <v>109307</v>
      </c>
      <c r="L19" s="4" t="n">
        <v>102416</v>
      </c>
      <c r="M19" s="4" t="n">
        <v>143947</v>
      </c>
      <c r="N19" s="4" t="n">
        <v>107340</v>
      </c>
      <c r="O19" s="4" t="n">
        <v>107112</v>
      </c>
      <c r="P19" s="4" t="n">
        <v>94313</v>
      </c>
      <c r="Q19" s="4" t="n">
        <v>121088</v>
      </c>
      <c r="R19" s="4" t="n">
        <v>42840</v>
      </c>
      <c r="S19" s="4" t="n">
        <v>40196</v>
      </c>
      <c r="T19" s="4" t="n">
        <v>47423</v>
      </c>
      <c r="U19" s="4" t="n">
        <v>30938</v>
      </c>
      <c r="V19" s="4" t="n">
        <v>41287</v>
      </c>
      <c r="W19" s="4" t="n">
        <v>61052</v>
      </c>
      <c r="X19" s="4" t="n">
        <v>120962</v>
      </c>
      <c r="Y19" s="4" t="n">
        <v>97794</v>
      </c>
    </row>
    <row r="20">
      <c r="A20" s="3" t="inlineStr">
        <is>
          <t>Accrued Expenses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62120</v>
      </c>
      <c r="S20" s="4" t="n">
        <v>63871</v>
      </c>
      <c r="T20" s="4" t="n">
        <v>79633</v>
      </c>
      <c r="U20" s="4" t="n">
        <v>73024</v>
      </c>
      <c r="V20" s="4" t="n">
        <v>148780</v>
      </c>
      <c r="W20" s="4" t="n">
        <v>152046</v>
      </c>
      <c r="X20" s="4" t="n">
        <v>225859</v>
      </c>
      <c r="Y20" s="4" t="n">
        <v>311768</v>
      </c>
    </row>
    <row r="21">
      <c r="A21" s="3" t="inlineStr">
        <is>
          <t>Income Taxes Payable</t>
        </is>
      </c>
      <c r="B21" s="4" t="n">
        <v>0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58798</v>
      </c>
      <c r="Q21" s="4" t="n">
        <v>58855</v>
      </c>
      <c r="R21" s="4" t="n">
        <v>50424</v>
      </c>
      <c r="S21" s="4" t="n">
        <v>58619</v>
      </c>
      <c r="T21" s="4" t="n">
        <v>5374</v>
      </c>
      <c r="U21" s="4" t="n">
        <v>739</v>
      </c>
      <c r="V21" s="4" t="n">
        <v>10834</v>
      </c>
      <c r="W21" s="4" t="n">
        <v>26206</v>
      </c>
      <c r="X21" s="4" t="n">
        <v>21765</v>
      </c>
      <c r="Y21" s="4" t="n">
        <v>49590</v>
      </c>
    </row>
    <row r="22">
      <c r="A22" s="3" t="inlineStr">
        <is>
          <t>Accrued Distributor Termination Fees</t>
        </is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115551</v>
      </c>
      <c r="N22" s="4" t="n">
        <v>3986</v>
      </c>
      <c r="O22" s="4" t="n">
        <v>1063</v>
      </c>
      <c r="P22" s="4" t="n">
        <v>0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252953</v>
      </c>
    </row>
    <row r="23">
      <c r="A23" s="3" t="inlineStr">
        <is>
          <t>Accrued Promotional Allowance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35977</v>
      </c>
      <c r="O23" s="4" t="n">
        <v>68225</v>
      </c>
      <c r="P23" s="4" t="n">
        <v>98933</v>
      </c>
      <c r="Q23" s="4" t="n">
        <v>136557</v>
      </c>
      <c r="R23" s="4" t="n">
        <v>99787</v>
      </c>
      <c r="S23" s="4" t="n">
        <v>129201</v>
      </c>
      <c r="T23" s="4" t="n">
        <v>156479</v>
      </c>
      <c r="U23" s="4" t="n">
        <v>158810</v>
      </c>
      <c r="V23" s="4" t="n">
        <v>135948</v>
      </c>
      <c r="W23" s="4" t="n">
        <v>151327</v>
      </c>
      <c r="X23" s="4" t="n">
        <v>200169</v>
      </c>
      <c r="Y23" s="4" t="n">
        <v>234068</v>
      </c>
    </row>
    <row r="24">
      <c r="A24" s="3" t="inlineStr">
        <is>
          <t>Lease Liability - Operating - Current</t>
        </is>
      </c>
      <c r="B24" s="4" t="n">
        <v>649.074</v>
      </c>
      <c r="C24" s="4" t="n">
        <v>587.6900000000001</v>
      </c>
      <c r="D24" s="4" t="n">
        <v>411.946</v>
      </c>
      <c r="E24" s="4" t="n">
        <v>397.931</v>
      </c>
      <c r="F24" s="4" t="n">
        <v>321.283</v>
      </c>
      <c r="G24" s="4" t="n">
        <v>337.626</v>
      </c>
      <c r="H24" s="4" t="n">
        <v>318.142</v>
      </c>
      <c r="I24" s="4" t="n">
        <v>376.602</v>
      </c>
      <c r="J24" s="4" t="n">
        <v>512</v>
      </c>
      <c r="K24" s="4" t="n">
        <v>569</v>
      </c>
      <c r="L24" s="4" t="n">
        <v>556</v>
      </c>
      <c r="M24" s="4" t="n">
        <v>663</v>
      </c>
      <c r="N24" s="4" t="n">
        <v>661</v>
      </c>
      <c r="O24" s="4" t="n">
        <v>605</v>
      </c>
      <c r="P24" s="4" t="n">
        <v>505</v>
      </c>
      <c r="Q24" s="4" t="n">
        <v>628</v>
      </c>
      <c r="R24" s="4" t="n">
        <v>980</v>
      </c>
      <c r="S24" s="4" t="n">
        <v>821</v>
      </c>
      <c r="T24" s="4" t="n">
        <v>729</v>
      </c>
      <c r="U24" s="4" t="n">
        <v>1358</v>
      </c>
      <c r="V24" s="4" t="n">
        <v>3265</v>
      </c>
      <c r="W24" s="4" t="n">
        <v>3550</v>
      </c>
      <c r="X24" s="4" t="n">
        <v>0</v>
      </c>
      <c r="Y24" s="4" t="n">
        <v>0</v>
      </c>
    </row>
    <row r="25">
      <c r="A25" s="3" t="inlineStr">
        <is>
          <t>Bonds Payable, Net</t>
        </is>
      </c>
      <c r="B25" s="4" t="n">
        <v>8634.279</v>
      </c>
      <c r="C25" s="4" t="n">
        <v>8599.75</v>
      </c>
      <c r="D25" s="4" t="n">
        <v>8953.266</v>
      </c>
      <c r="E25" s="4" t="n">
        <v>9540.007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</row>
    <row r="26">
      <c r="A26" s="3" t="inlineStr">
        <is>
          <t>Lease Liability - Finance - Current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205.824</v>
      </c>
      <c r="G26" s="4" t="n">
        <v>192.649</v>
      </c>
      <c r="H26" s="4" t="n">
        <v>191.753</v>
      </c>
      <c r="I26" s="4" t="n">
        <v>155.508</v>
      </c>
      <c r="J26" s="4" t="n">
        <v>157</v>
      </c>
      <c r="K26" s="4" t="n">
        <v>141</v>
      </c>
      <c r="L26" s="4" t="n">
        <v>101</v>
      </c>
      <c r="M26" s="4" t="n">
        <v>95</v>
      </c>
      <c r="N26" s="4" t="n">
        <v>70</v>
      </c>
      <c r="O26" s="4" t="n">
        <v>69</v>
      </c>
      <c r="P26" s="4" t="n">
        <v>67</v>
      </c>
      <c r="Q26" s="4" t="n">
        <v>63</v>
      </c>
      <c r="R26" s="4" t="n">
        <v>59</v>
      </c>
      <c r="S26" s="4" t="n">
        <v>61</v>
      </c>
      <c r="T26" s="4" t="n">
        <v>61</v>
      </c>
      <c r="U26" s="4" t="n">
        <v>99</v>
      </c>
      <c r="V26" s="4" t="n">
        <v>0</v>
      </c>
      <c r="W26" s="4" t="n">
        <v>0</v>
      </c>
      <c r="X26" s="4" t="n">
        <v>0</v>
      </c>
      <c r="Y26" s="4" t="n">
        <v>0</v>
      </c>
    </row>
    <row r="27">
      <c r="A27" s="3" t="inlineStr">
        <is>
          <t>Contingent Consideration - Current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25000</v>
      </c>
      <c r="Y27" s="4" t="n">
        <v>25000</v>
      </c>
    </row>
    <row r="28">
      <c r="A28" s="3" t="inlineStr">
        <is>
          <t>Deferred Revenue - Current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7770</v>
      </c>
      <c r="N28" s="4" t="n">
        <v>9675</v>
      </c>
      <c r="O28" s="4" t="n">
        <v>9563</v>
      </c>
      <c r="P28" s="4" t="n">
        <v>9500</v>
      </c>
      <c r="Q28" s="4" t="n">
        <v>9500</v>
      </c>
      <c r="R28" s="4" t="n">
        <v>9513</v>
      </c>
      <c r="S28" s="4" t="n">
        <v>9513</v>
      </c>
      <c r="T28" s="4" t="n">
        <v>9513</v>
      </c>
      <c r="U28" s="4" t="n">
        <v>9513</v>
      </c>
      <c r="V28" s="4" t="n">
        <v>9513</v>
      </c>
      <c r="W28" s="4" t="n">
        <v>9513</v>
      </c>
      <c r="X28" s="4" t="n">
        <v>16071</v>
      </c>
      <c r="Y28" s="4" t="n">
        <v>25557</v>
      </c>
    </row>
    <row r="29">
      <c r="A29" s="3" t="inlineStr">
        <is>
          <t>Other Current Liabilities</t>
        </is>
      </c>
      <c r="B29" s="4" t="n">
        <v>107.399</v>
      </c>
      <c r="C29" s="4" t="n">
        <v>160.646</v>
      </c>
      <c r="D29" s="4" t="n">
        <v>561.617</v>
      </c>
      <c r="E29" s="4" t="n">
        <v>716.678</v>
      </c>
      <c r="F29" s="4" t="n">
        <v>425.232</v>
      </c>
      <c r="G29" s="4" t="n">
        <v>586.954</v>
      </c>
      <c r="H29" s="4" t="n">
        <v>754.907</v>
      </c>
      <c r="I29" s="4" t="n">
        <v>957.627</v>
      </c>
      <c r="J29" s="4" t="n">
        <v>976</v>
      </c>
      <c r="K29" s="4" t="n">
        <v>1734</v>
      </c>
      <c r="L29" s="4" t="n">
        <v>2761</v>
      </c>
      <c r="M29" s="4" t="n">
        <v>3267</v>
      </c>
      <c r="N29" s="4" t="n">
        <v>3586</v>
      </c>
      <c r="O29" s="4" t="n">
        <v>5094</v>
      </c>
      <c r="P29" s="4" t="n">
        <v>7109</v>
      </c>
      <c r="Q29" s="4" t="n">
        <v>8826</v>
      </c>
      <c r="R29" s="4" t="n">
        <v>10890</v>
      </c>
      <c r="S29" s="4" t="n">
        <v>12987</v>
      </c>
      <c r="T29" s="4" t="n">
        <v>13772</v>
      </c>
      <c r="U29" s="4" t="n">
        <v>14979</v>
      </c>
      <c r="V29" s="4" t="n">
        <v>15908</v>
      </c>
      <c r="W29" s="4" t="n">
        <v>14160</v>
      </c>
      <c r="X29" s="4" t="n">
        <v>49949</v>
      </c>
      <c r="Y29" s="4" t="n">
        <v>32258</v>
      </c>
    </row>
    <row r="30">
      <c r="A30" s="3" t="inlineStr">
        <is>
          <t>Total Current Liabilities</t>
        </is>
      </c>
      <c r="B30" s="6">
        <f>SUM(B19:B29)</f>
        <v/>
      </c>
      <c r="C30" s="6">
        <f>SUM(C19:C29)</f>
        <v/>
      </c>
      <c r="D30" s="6">
        <f>SUM(D19:D29)</f>
        <v/>
      </c>
      <c r="E30" s="6">
        <f>SUM(E19:E29)</f>
        <v/>
      </c>
      <c r="F30" s="6">
        <f>SUM(F19:F29)</f>
        <v/>
      </c>
      <c r="G30" s="6">
        <f>SUM(G19:G29)</f>
        <v/>
      </c>
      <c r="H30" s="6">
        <f>SUM(H19:H29)</f>
        <v/>
      </c>
      <c r="I30" s="6">
        <f>SUM(I19:I29)</f>
        <v/>
      </c>
      <c r="J30" s="6">
        <f>SUM(J19:J29)</f>
        <v/>
      </c>
      <c r="K30" s="6">
        <f>SUM(K19:K29)</f>
        <v/>
      </c>
      <c r="L30" s="6">
        <f>SUM(L19:L29)</f>
        <v/>
      </c>
      <c r="M30" s="6">
        <f>SUM(M19:M29)</f>
        <v/>
      </c>
      <c r="N30" s="6">
        <f>SUM(N19:N29)</f>
        <v/>
      </c>
      <c r="O30" s="6">
        <f>SUM(O19:O29)</f>
        <v/>
      </c>
      <c r="P30" s="6">
        <f>SUM(P19:P29)</f>
        <v/>
      </c>
      <c r="Q30" s="6">
        <f>SUM(Q19:Q29)</f>
        <v/>
      </c>
      <c r="R30" s="6">
        <f>SUM(R19:R29)</f>
        <v/>
      </c>
      <c r="S30" s="6">
        <f>SUM(S19:S29)</f>
        <v/>
      </c>
      <c r="T30" s="6">
        <f>SUM(T19:T29)</f>
        <v/>
      </c>
      <c r="U30" s="6">
        <f>SUM(U19:U29)</f>
        <v/>
      </c>
      <c r="V30" s="6">
        <f>SUM(V19:V29)</f>
        <v/>
      </c>
      <c r="W30" s="6">
        <f>SUM(W19:W29)</f>
        <v/>
      </c>
      <c r="X30" s="6">
        <f>SUM(X19:X29)</f>
        <v/>
      </c>
      <c r="Y30" s="6">
        <f>SUM(Y19:Y29)</f>
        <v/>
      </c>
    </row>
    <row r="31">
      <c r="A31" s="3" t="inlineStr">
        <is>
          <t>Lease Liability - Operating - Non-Current</t>
        </is>
      </c>
      <c r="B31" s="4" t="n">
        <v>239.848</v>
      </c>
      <c r="C31" s="4" t="n">
        <v>188.789</v>
      </c>
      <c r="D31" s="4" t="n">
        <v>203.101</v>
      </c>
      <c r="E31" s="4" t="n">
        <v>124.978</v>
      </c>
      <c r="F31" s="4" t="n">
        <v>514.948</v>
      </c>
      <c r="G31" s="4" t="n">
        <v>436.631</v>
      </c>
      <c r="H31" s="4" t="n">
        <v>391.157</v>
      </c>
      <c r="I31" s="4" t="n">
        <v>550.547</v>
      </c>
      <c r="J31" s="4" t="n">
        <v>658</v>
      </c>
      <c r="K31" s="4" t="n">
        <v>597</v>
      </c>
      <c r="L31" s="4" t="n">
        <v>420</v>
      </c>
      <c r="M31" s="4" t="n">
        <v>462</v>
      </c>
      <c r="N31" s="4" t="n">
        <v>326</v>
      </c>
      <c r="O31" s="4" t="n">
        <v>336</v>
      </c>
      <c r="P31" s="4" t="n">
        <v>249</v>
      </c>
      <c r="Q31" s="4" t="n">
        <v>512</v>
      </c>
      <c r="R31" s="4" t="n">
        <v>955</v>
      </c>
      <c r="S31" s="4" t="n">
        <v>850</v>
      </c>
      <c r="T31" s="4" t="n">
        <v>762</v>
      </c>
      <c r="U31" s="4" t="n">
        <v>4193</v>
      </c>
      <c r="V31" s="4" t="n">
        <v>16674</v>
      </c>
      <c r="W31" s="4" t="n">
        <v>16152</v>
      </c>
      <c r="X31" s="4" t="n">
        <v>0</v>
      </c>
      <c r="Y31" s="4" t="n">
        <v>0</v>
      </c>
    </row>
    <row r="32">
      <c r="A32" s="3" t="inlineStr">
        <is>
          <t>Lease Liability - Finance - Non-Current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82.29000000000001</v>
      </c>
      <c r="G32" s="4" t="n">
        <v>87.152</v>
      </c>
      <c r="H32" s="4" t="n">
        <v>60.731</v>
      </c>
      <c r="I32" s="4" t="n">
        <v>88.649</v>
      </c>
      <c r="J32" s="4" t="n">
        <v>45</v>
      </c>
      <c r="K32" s="4" t="n">
        <v>138</v>
      </c>
      <c r="L32" s="4" t="n">
        <v>138</v>
      </c>
      <c r="M32" s="4" t="n">
        <v>167</v>
      </c>
      <c r="N32" s="4" t="n">
        <v>162</v>
      </c>
      <c r="O32" s="4" t="n">
        <v>156</v>
      </c>
      <c r="P32" s="4" t="n">
        <v>147</v>
      </c>
      <c r="Q32" s="4" t="n">
        <v>135</v>
      </c>
      <c r="R32" s="4" t="n">
        <v>193</v>
      </c>
      <c r="S32" s="4" t="n">
        <v>245</v>
      </c>
      <c r="T32" s="4" t="n">
        <v>228</v>
      </c>
      <c r="U32" s="4" t="n">
        <v>189</v>
      </c>
      <c r="V32" s="4" t="n">
        <v>0</v>
      </c>
      <c r="W32" s="4" t="n">
        <v>0</v>
      </c>
      <c r="X32" s="4" t="n">
        <v>0</v>
      </c>
      <c r="Y32" s="4" t="n">
        <v>0</v>
      </c>
    </row>
    <row r="33">
      <c r="A33" s="3" t="inlineStr">
        <is>
          <t>Deferred Tax Liability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3497.24</v>
      </c>
      <c r="J33" s="4" t="n">
        <v>3146</v>
      </c>
      <c r="K33" s="4" t="n">
        <v>3084</v>
      </c>
      <c r="L33" s="4" t="n">
        <v>2886</v>
      </c>
      <c r="M33" s="4" t="n">
        <v>25457</v>
      </c>
      <c r="N33" s="4" t="n">
        <v>15919</v>
      </c>
      <c r="O33" s="4" t="n">
        <v>19250</v>
      </c>
      <c r="P33" s="4" t="n">
        <v>2333</v>
      </c>
      <c r="Q33" s="4" t="n">
        <v>2249</v>
      </c>
      <c r="R33" s="4" t="n">
        <v>2880</v>
      </c>
      <c r="S33" s="4" t="n">
        <v>2248</v>
      </c>
      <c r="T33" s="4" t="n">
        <v>2201</v>
      </c>
      <c r="U33" s="4" t="n">
        <v>2275</v>
      </c>
      <c r="V33" s="4" t="n">
        <v>0</v>
      </c>
      <c r="W33" s="4" t="n">
        <v>0</v>
      </c>
      <c r="X33" s="4" t="n">
        <v>0</v>
      </c>
      <c r="Y33" s="4" t="n">
        <v>0</v>
      </c>
    </row>
    <row r="34">
      <c r="A34" s="3" t="inlineStr">
        <is>
          <t>Long-Term Debt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862917</v>
      </c>
      <c r="Y34" s="4" t="n">
        <v>861472</v>
      </c>
    </row>
    <row r="35">
      <c r="A35" s="3" t="inlineStr">
        <is>
          <t>Deferred Revenue - Non-Current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146333</v>
      </c>
      <c r="N35" s="4" t="n">
        <v>179788</v>
      </c>
      <c r="O35" s="4" t="n">
        <v>175275</v>
      </c>
      <c r="P35" s="4" t="n">
        <v>171745</v>
      </c>
      <c r="Q35" s="4" t="n">
        <v>169370</v>
      </c>
      <c r="R35" s="4" t="n">
        <v>167227</v>
      </c>
      <c r="S35" s="4" t="n">
        <v>164849</v>
      </c>
      <c r="T35" s="4" t="n">
        <v>162471</v>
      </c>
      <c r="U35" s="4" t="n">
        <v>160092</v>
      </c>
      <c r="V35" s="4" t="n">
        <v>157714</v>
      </c>
      <c r="W35" s="4" t="n">
        <v>155336</v>
      </c>
      <c r="X35" s="4" t="n">
        <v>156135</v>
      </c>
      <c r="Y35" s="4" t="n">
        <v>387432</v>
      </c>
    </row>
    <row r="36">
      <c r="A36" s="3" t="inlineStr">
        <is>
          <t>Other Non-Current Liabilities</t>
        </is>
      </c>
      <c r="B36" s="4" t="n">
        <v>0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22.198</v>
      </c>
      <c r="J36" s="4" t="n">
        <v>0</v>
      </c>
      <c r="K36" s="4" t="n">
        <v>0</v>
      </c>
      <c r="L36" s="4" t="n">
        <v>487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2541</v>
      </c>
      <c r="W36" s="4" t="n">
        <v>2574</v>
      </c>
      <c r="X36" s="4" t="n">
        <v>25002</v>
      </c>
      <c r="Y36" s="4" t="n">
        <v>24431</v>
      </c>
    </row>
    <row r="37">
      <c r="A37" s="3" t="inlineStr">
        <is>
          <t>Total Liabilities</t>
        </is>
      </c>
      <c r="B37" s="6">
        <f>B30+SUM(B31:B36)</f>
        <v/>
      </c>
      <c r="C37" s="6">
        <f>C30+SUM(C31:C36)</f>
        <v/>
      </c>
      <c r="D37" s="6">
        <f>D30+SUM(D31:D36)</f>
        <v/>
      </c>
      <c r="E37" s="6">
        <f>E30+SUM(E31:E36)</f>
        <v/>
      </c>
      <c r="F37" s="6">
        <f>F30+SUM(F31:F36)</f>
        <v/>
      </c>
      <c r="G37" s="6">
        <f>G30+SUM(G31:G36)</f>
        <v/>
      </c>
      <c r="H37" s="6">
        <f>H30+SUM(H31:H36)</f>
        <v/>
      </c>
      <c r="I37" s="6">
        <f>I30+SUM(I31:I36)</f>
        <v/>
      </c>
      <c r="J37" s="6">
        <f>J30+SUM(J31:J36)</f>
        <v/>
      </c>
      <c r="K37" s="6">
        <f>K30+SUM(K31:K36)</f>
        <v/>
      </c>
      <c r="L37" s="6">
        <f>L30+SUM(L31:L36)</f>
        <v/>
      </c>
      <c r="M37" s="6">
        <f>M30+SUM(M31:M36)</f>
        <v/>
      </c>
      <c r="N37" s="6">
        <f>N30+SUM(N31:N36)</f>
        <v/>
      </c>
      <c r="O37" s="6">
        <f>O30+SUM(O31:O36)</f>
        <v/>
      </c>
      <c r="P37" s="6">
        <f>P30+SUM(P31:P36)</f>
        <v/>
      </c>
      <c r="Q37" s="6">
        <f>Q30+SUM(Q31:Q36)</f>
        <v/>
      </c>
      <c r="R37" s="6">
        <f>R30+SUM(R31:R36)</f>
        <v/>
      </c>
      <c r="S37" s="6">
        <f>S30+SUM(S31:S36)</f>
        <v/>
      </c>
      <c r="T37" s="6">
        <f>T30+SUM(T31:T36)</f>
        <v/>
      </c>
      <c r="U37" s="6">
        <f>U30+SUM(U31:U36)</f>
        <v/>
      </c>
      <c r="V37" s="6">
        <f>V30+SUM(V31:V36)</f>
        <v/>
      </c>
      <c r="W37" s="6">
        <f>W30+SUM(W31:W36)</f>
        <v/>
      </c>
      <c r="X37" s="6">
        <f>X30+SUM(X31:X36)</f>
        <v/>
      </c>
      <c r="Y37" s="6">
        <f>Y30+SUM(Y31:Y36)</f>
        <v/>
      </c>
    </row>
    <row r="38">
      <c r="A38" s="3" t="inlineStr">
        <is>
          <t>Convertible Preferred Stock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824488</v>
      </c>
      <c r="N38" s="4" t="n">
        <v>824488</v>
      </c>
      <c r="O38" s="4" t="n">
        <v>824488</v>
      </c>
      <c r="P38" s="4" t="n">
        <v>824488</v>
      </c>
      <c r="Q38" s="4" t="n">
        <v>824488</v>
      </c>
      <c r="R38" s="4" t="n">
        <v>824488</v>
      </c>
      <c r="S38" s="4" t="n">
        <v>824488</v>
      </c>
      <c r="T38" s="4" t="n">
        <v>824488</v>
      </c>
      <c r="U38" s="4" t="n">
        <v>824488</v>
      </c>
      <c r="V38" s="4" t="n">
        <v>824488</v>
      </c>
      <c r="W38" s="4" t="n">
        <v>824488</v>
      </c>
      <c r="X38" s="4" t="n">
        <v>824488</v>
      </c>
      <c r="Y38" s="4" t="n">
        <v>1760275</v>
      </c>
    </row>
    <row r="39">
      <c r="A39" s="3" t="inlineStr">
        <is>
          <t>Common Stock</t>
        </is>
      </c>
      <c r="B39" s="4" t="n">
        <v>68.94199999999999</v>
      </c>
      <c r="C39" s="4" t="n">
        <v>69.28</v>
      </c>
      <c r="D39" s="4" t="n">
        <v>69.563</v>
      </c>
      <c r="E39" s="4" t="n">
        <v>71.652</v>
      </c>
      <c r="F39" s="4" t="n">
        <v>72.26300000000001</v>
      </c>
      <c r="G39" s="4" t="n">
        <v>72.586</v>
      </c>
      <c r="H39" s="4" t="n">
        <v>74.471</v>
      </c>
      <c r="I39" s="4" t="n">
        <v>74.746</v>
      </c>
      <c r="J39" s="4" t="n">
        <v>75</v>
      </c>
      <c r="K39" s="4" t="n">
        <v>75</v>
      </c>
      <c r="L39" s="4" t="n">
        <v>76</v>
      </c>
      <c r="M39" s="4" t="n">
        <v>76</v>
      </c>
      <c r="N39" s="4" t="n">
        <v>76</v>
      </c>
      <c r="O39" s="4" t="n">
        <v>77</v>
      </c>
      <c r="P39" s="4" t="n">
        <v>77</v>
      </c>
      <c r="Q39" s="4" t="n">
        <v>77</v>
      </c>
      <c r="R39" s="4" t="n">
        <v>77</v>
      </c>
      <c r="S39" s="4" t="n">
        <v>78</v>
      </c>
      <c r="T39" s="4" t="n">
        <v>78</v>
      </c>
      <c r="U39" s="4" t="n">
        <v>79</v>
      </c>
      <c r="V39" s="4" t="n">
        <v>79</v>
      </c>
      <c r="W39" s="4" t="n">
        <v>79</v>
      </c>
      <c r="X39" s="4" t="n">
        <v>101</v>
      </c>
      <c r="Y39" s="4" t="n">
        <v>101</v>
      </c>
    </row>
    <row r="40">
      <c r="A40" s="3" t="inlineStr">
        <is>
          <t>Treasury Stock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</row>
    <row r="41">
      <c r="A41" s="3" t="inlineStr">
        <is>
          <t>Additional Paid-in Capital</t>
        </is>
      </c>
      <c r="B41" s="4" t="n">
        <v>127552.998</v>
      </c>
      <c r="C41" s="4" t="n">
        <v>129168.007</v>
      </c>
      <c r="D41" s="4" t="n">
        <v>130832.04</v>
      </c>
      <c r="E41" s="4" t="n">
        <v>156548.446</v>
      </c>
      <c r="F41" s="4" t="n">
        <v>159884.154</v>
      </c>
      <c r="G41" s="4" t="n">
        <v>164174.742</v>
      </c>
      <c r="H41" s="4" t="n">
        <v>237763.609</v>
      </c>
      <c r="I41" s="4" t="n">
        <v>244293.71</v>
      </c>
      <c r="J41" s="4" t="n">
        <v>267847</v>
      </c>
      <c r="K41" s="4" t="n">
        <v>272967</v>
      </c>
      <c r="L41" s="4" t="n">
        <v>277623</v>
      </c>
      <c r="M41" s="4" t="n">
        <v>281133</v>
      </c>
      <c r="N41" s="4" t="n">
        <v>280668</v>
      </c>
      <c r="O41" s="4" t="n">
        <v>279872</v>
      </c>
      <c r="P41" s="4" t="n">
        <v>278980</v>
      </c>
      <c r="Q41" s="4" t="n">
        <v>277980</v>
      </c>
      <c r="R41" s="4" t="n">
        <v>276717</v>
      </c>
      <c r="S41" s="4" t="n">
        <v>281247</v>
      </c>
      <c r="T41" s="4" t="n">
        <v>286173</v>
      </c>
      <c r="U41" s="4" t="n">
        <v>292576</v>
      </c>
      <c r="V41" s="4" t="n">
        <v>297579</v>
      </c>
      <c r="W41" s="4" t="n">
        <v>300877</v>
      </c>
      <c r="X41" s="4" t="n">
        <v>1028384</v>
      </c>
      <c r="Y41" s="4" t="n">
        <v>1035021</v>
      </c>
    </row>
    <row r="42">
      <c r="A42" s="3" t="inlineStr">
        <is>
          <t>Accumulated Other Comprehensive Income (Loss)</t>
        </is>
      </c>
      <c r="B42" s="4" t="n">
        <v>-753.52</v>
      </c>
      <c r="C42" s="4" t="n">
        <v>-868.01</v>
      </c>
      <c r="D42" s="4" t="n">
        <v>-976.691</v>
      </c>
      <c r="E42" s="4" t="n">
        <v>-866.664</v>
      </c>
      <c r="F42" s="4" t="n">
        <v>-202.142</v>
      </c>
      <c r="G42" s="4" t="n">
        <v>-394.651</v>
      </c>
      <c r="H42" s="4" t="n">
        <v>-117.656</v>
      </c>
      <c r="I42" s="4" t="n">
        <v>1165.027</v>
      </c>
      <c r="J42" s="4" t="n">
        <v>614</v>
      </c>
      <c r="K42" s="4" t="n">
        <v>123</v>
      </c>
      <c r="L42" s="4" t="n">
        <v>-2173</v>
      </c>
      <c r="M42" s="4" t="n">
        <v>-4211</v>
      </c>
      <c r="N42" s="4" t="n">
        <v>-1881</v>
      </c>
      <c r="O42" s="4" t="n">
        <v>-1287</v>
      </c>
      <c r="P42" s="4" t="n">
        <v>-1877</v>
      </c>
      <c r="Q42" s="4" t="n">
        <v>-2541</v>
      </c>
      <c r="R42" s="4" t="n">
        <v>-701</v>
      </c>
      <c r="S42" s="4" t="n">
        <v>-2055</v>
      </c>
      <c r="T42" s="4" t="n">
        <v>-2363</v>
      </c>
      <c r="U42" s="4" t="n">
        <v>-338</v>
      </c>
      <c r="V42" s="4" t="n">
        <v>-3250</v>
      </c>
      <c r="W42" s="4" t="n">
        <v>-1001</v>
      </c>
      <c r="X42" s="4" t="n">
        <v>2178</v>
      </c>
      <c r="Y42" s="4" t="n">
        <v>2508</v>
      </c>
    </row>
    <row r="43">
      <c r="A43" s="3" t="inlineStr">
        <is>
          <t>Retained Earnings (Accumulated Deficit)</t>
        </is>
      </c>
      <c r="B43" s="4" t="n">
        <v>-63409.431</v>
      </c>
      <c r="C43" s="4" t="n">
        <v>-62863.38</v>
      </c>
      <c r="D43" s="4" t="n">
        <v>-61305.046</v>
      </c>
      <c r="E43" s="4" t="n">
        <v>-56551.443</v>
      </c>
      <c r="F43" s="4" t="n">
        <v>-55426.832</v>
      </c>
      <c r="G43" s="4" t="n">
        <v>-54841.408</v>
      </c>
      <c r="H43" s="4" t="n">
        <v>-50881.064</v>
      </c>
      <c r="I43" s="4" t="n">
        <v>-48135.273</v>
      </c>
      <c r="J43" s="4" t="n">
        <v>-51490</v>
      </c>
      <c r="K43" s="4" t="n">
        <v>-44811</v>
      </c>
      <c r="L43" s="4" t="n">
        <v>-35653</v>
      </c>
      <c r="M43" s="4" t="n">
        <v>-217549</v>
      </c>
      <c r="N43" s="4" t="n">
        <v>-238772</v>
      </c>
      <c r="O43" s="4" t="n">
        <v>-197627</v>
      </c>
      <c r="P43" s="4" t="n">
        <v>-146118</v>
      </c>
      <c r="Q43" s="4" t="n">
        <v>-62169</v>
      </c>
      <c r="R43" s="4" t="n">
        <v>-12053</v>
      </c>
      <c r="S43" s="4" t="n">
        <v>58921</v>
      </c>
      <c r="T43" s="4" t="n">
        <v>131866</v>
      </c>
      <c r="U43" s="4" t="n">
        <v>131309</v>
      </c>
      <c r="V43" s="4" t="n">
        <v>105521</v>
      </c>
      <c r="W43" s="4" t="n">
        <v>143159</v>
      </c>
      <c r="X43" s="4" t="n">
        <v>236163</v>
      </c>
      <c r="Y43" s="4" t="n">
        <v>165480</v>
      </c>
    </row>
    <row r="44">
      <c r="A44" s="3" t="inlineStr">
        <is>
          <t>Total Stockholders' Equity</t>
        </is>
      </c>
      <c r="B44" s="6">
        <f>SUM(B38:B43)</f>
        <v/>
      </c>
      <c r="C44" s="6">
        <f>SUM(C38:C43)</f>
        <v/>
      </c>
      <c r="D44" s="6">
        <f>SUM(D38:D43)</f>
        <v/>
      </c>
      <c r="E44" s="6">
        <f>SUM(E38:E43)</f>
        <v/>
      </c>
      <c r="F44" s="6">
        <f>SUM(F38:F43)</f>
        <v/>
      </c>
      <c r="G44" s="6">
        <f>SUM(G38:G43)</f>
        <v/>
      </c>
      <c r="H44" s="6">
        <f>SUM(H38:H43)</f>
        <v/>
      </c>
      <c r="I44" s="6">
        <f>SUM(I38:I43)</f>
        <v/>
      </c>
      <c r="J44" s="6">
        <f>SUM(J38:J43)</f>
        <v/>
      </c>
      <c r="K44" s="6">
        <f>SUM(K38:K43)</f>
        <v/>
      </c>
      <c r="L44" s="6">
        <f>SUM(L38:L43)</f>
        <v/>
      </c>
      <c r="M44" s="6">
        <f>SUM(M38:M43)</f>
        <v/>
      </c>
      <c r="N44" s="6">
        <f>SUM(N38:N43)</f>
        <v/>
      </c>
      <c r="O44" s="6">
        <f>SUM(O38:O43)</f>
        <v/>
      </c>
      <c r="P44" s="6">
        <f>SUM(P38:P43)</f>
        <v/>
      </c>
      <c r="Q44" s="6">
        <f>SUM(Q38:Q43)</f>
        <v/>
      </c>
      <c r="R44" s="6">
        <f>SUM(R38:R43)</f>
        <v/>
      </c>
      <c r="S44" s="6">
        <f>SUM(S38:S43)</f>
        <v/>
      </c>
      <c r="T44" s="6">
        <f>SUM(T38:T43)</f>
        <v/>
      </c>
      <c r="U44" s="6">
        <f>SUM(U38:U43)</f>
        <v/>
      </c>
      <c r="V44" s="6">
        <f>SUM(V38:V43)</f>
        <v/>
      </c>
      <c r="W44" s="6">
        <f>SUM(W38:W43)</f>
        <v/>
      </c>
      <c r="X44" s="6">
        <f>SUM(X38:X43)</f>
        <v/>
      </c>
      <c r="Y44" s="6">
        <f>SUM(Y38:Y43)</f>
        <v/>
      </c>
    </row>
    <row r="45">
      <c r="A45" s="3" t="inlineStr">
        <is>
          <t>Total Liabilities, Mezzanine &amp; Stockholders' Equity</t>
        </is>
      </c>
      <c r="B45" s="6">
        <f>B37+B44</f>
        <v/>
      </c>
      <c r="C45" s="6">
        <f>C37+C44</f>
        <v/>
      </c>
      <c r="D45" s="6">
        <f>D37+D44</f>
        <v/>
      </c>
      <c r="E45" s="6">
        <f>E37+E44</f>
        <v/>
      </c>
      <c r="F45" s="6">
        <f>F37+F44</f>
        <v/>
      </c>
      <c r="G45" s="6">
        <f>G37+G44</f>
        <v/>
      </c>
      <c r="H45" s="6">
        <f>H37+H44</f>
        <v/>
      </c>
      <c r="I45" s="6">
        <f>I37+I44</f>
        <v/>
      </c>
      <c r="J45" s="6">
        <f>J37+J44</f>
        <v/>
      </c>
      <c r="K45" s="6">
        <f>K37+K44</f>
        <v/>
      </c>
      <c r="L45" s="6">
        <f>L37+L44</f>
        <v/>
      </c>
      <c r="M45" s="6">
        <f>M37+M44</f>
        <v/>
      </c>
      <c r="N45" s="6">
        <f>N37+N44</f>
        <v/>
      </c>
      <c r="O45" s="6">
        <f>O37+O44</f>
        <v/>
      </c>
      <c r="P45" s="6">
        <f>P37+P44</f>
        <v/>
      </c>
      <c r="Q45" s="6">
        <f>Q37+Q44</f>
        <v/>
      </c>
      <c r="R45" s="6">
        <f>R37+R44</f>
        <v/>
      </c>
      <c r="S45" s="6">
        <f>S37+S44</f>
        <v/>
      </c>
      <c r="T45" s="6">
        <f>T37+T44</f>
        <v/>
      </c>
      <c r="U45" s="6">
        <f>U37+U44</f>
        <v/>
      </c>
      <c r="V45" s="6">
        <f>V37+V44</f>
        <v/>
      </c>
      <c r="W45" s="6">
        <f>W37+W44</f>
        <v/>
      </c>
      <c r="X45" s="6">
        <f>X37+X44</f>
        <v/>
      </c>
      <c r="Y45" s="6">
        <f>Y37+Y44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Q1 FY2021</t>
        </is>
      </c>
      <c r="F1" s="2" t="inlineStr">
        <is>
          <t>Q2 FY2021</t>
        </is>
      </c>
      <c r="G1" s="2" t="inlineStr">
        <is>
          <t>Q3 FY2021</t>
        </is>
      </c>
      <c r="H1" s="2" t="inlineStr">
        <is>
          <t>Q1 FY2022</t>
        </is>
      </c>
      <c r="I1" s="2" t="inlineStr">
        <is>
          <t>Q2 FY2022</t>
        </is>
      </c>
      <c r="J1" s="2" t="inlineStr">
        <is>
          <t>Q3 FY2022</t>
        </is>
      </c>
      <c r="K1" s="2" t="inlineStr">
        <is>
          <t>Q1 FY2023</t>
        </is>
      </c>
      <c r="L1" s="2" t="inlineStr">
        <is>
          <t>Q2 FY2023</t>
        </is>
      </c>
      <c r="M1" s="2" t="inlineStr">
        <is>
          <t>Q3 FY2023</t>
        </is>
      </c>
      <c r="N1" s="2" t="inlineStr">
        <is>
          <t>Q1 FY2024</t>
        </is>
      </c>
      <c r="O1" s="2" t="inlineStr">
        <is>
          <t>Q2 FY2024</t>
        </is>
      </c>
      <c r="P1" s="2" t="inlineStr">
        <is>
          <t>Q3 FY2024</t>
        </is>
      </c>
      <c r="Q1" s="2" t="inlineStr">
        <is>
          <t>Q1 FY2025</t>
        </is>
      </c>
      <c r="R1" s="2" t="inlineStr">
        <is>
          <t>Q2 FY2025</t>
        </is>
      </c>
      <c r="S1" s="2" t="inlineStr">
        <is>
          <t>Q3 FY2025</t>
        </is>
      </c>
    </row>
    <row r="2">
      <c r="A2" s="3" t="inlineStr">
        <is>
          <t>Net Income (Loss)</t>
        </is>
      </c>
      <c r="B2" s="4" t="n">
        <v>546.051</v>
      </c>
      <c r="C2" s="4" t="n">
        <v>2104.385</v>
      </c>
      <c r="D2" s="4" t="n">
        <v>6857.988</v>
      </c>
      <c r="E2" s="4" t="n">
        <v>585.424</v>
      </c>
      <c r="F2" s="4" t="n">
        <v>4545.768</v>
      </c>
      <c r="G2" s="4" t="n">
        <v>7291.559</v>
      </c>
      <c r="H2" s="4" t="n">
        <v>6679</v>
      </c>
      <c r="I2" s="4" t="n">
        <v>15838</v>
      </c>
      <c r="J2" s="4" t="n">
        <v>-166059</v>
      </c>
      <c r="K2" s="4" t="n">
        <v>41227</v>
      </c>
      <c r="L2" s="4" t="n">
        <v>92736</v>
      </c>
      <c r="M2" s="4" t="n">
        <v>176685</v>
      </c>
      <c r="N2" s="4" t="n">
        <v>77811</v>
      </c>
      <c r="O2" s="4" t="n">
        <v>157594</v>
      </c>
      <c r="P2" s="4" t="n">
        <v>163950</v>
      </c>
      <c r="Q2" s="4" t="n">
        <v>44419</v>
      </c>
      <c r="R2" s="4" t="n">
        <v>144274</v>
      </c>
      <c r="S2" s="4" t="n">
        <v>83260</v>
      </c>
    </row>
    <row r="3">
      <c r="A3" s="3" t="inlineStr">
        <is>
          <t>Depreciation</t>
        </is>
      </c>
      <c r="B3" s="4" t="n">
        <v>124.939</v>
      </c>
      <c r="C3" s="4" t="n">
        <v>50.351</v>
      </c>
      <c r="D3" s="4" t="n">
        <v>82.18000000000001</v>
      </c>
      <c r="E3" s="4" t="n">
        <v>108.198</v>
      </c>
      <c r="F3" s="4" t="n">
        <v>178.425</v>
      </c>
      <c r="G3" s="4" t="n">
        <v>519.765</v>
      </c>
      <c r="H3" s="4" t="n">
        <v>245</v>
      </c>
      <c r="I3" s="4" t="n">
        <v>556</v>
      </c>
      <c r="J3" s="4" t="n">
        <v>952</v>
      </c>
      <c r="K3" s="4" t="n">
        <v>404</v>
      </c>
      <c r="L3" s="4" t="n">
        <v>953</v>
      </c>
      <c r="M3" s="4" t="n">
        <v>1676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inlineStr">
        <is>
          <t>Amortization</t>
        </is>
      </c>
      <c r="B4" s="4" t="n">
        <v>309.597</v>
      </c>
      <c r="C4" s="4" t="n">
        <v>851.045</v>
      </c>
      <c r="D4" s="4" t="n">
        <v>1224.684</v>
      </c>
      <c r="E4" s="4" t="n">
        <v>187.67</v>
      </c>
      <c r="F4" s="4" t="n">
        <v>375.141</v>
      </c>
      <c r="G4" s="4" t="n">
        <v>550.8</v>
      </c>
      <c r="H4" s="4" t="n">
        <v>141</v>
      </c>
      <c r="I4" s="4" t="n">
        <v>275</v>
      </c>
      <c r="J4" s="4" t="n">
        <v>402</v>
      </c>
      <c r="K4" s="4" t="n">
        <v>145</v>
      </c>
      <c r="L4" s="4" t="n">
        <v>294</v>
      </c>
      <c r="M4" s="4" t="n">
        <v>445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inlineStr">
        <is>
          <t>Impairment of Intangibles</t>
        </is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2379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inlineStr">
        <is>
          <t>Depreciation &amp; Amortization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1229</v>
      </c>
      <c r="O6" s="4" t="n">
        <v>2648</v>
      </c>
      <c r="P6" s="4" t="n">
        <v>4888</v>
      </c>
      <c r="Q6" s="4" t="n">
        <v>2611</v>
      </c>
      <c r="R6" s="4" t="n">
        <v>11730</v>
      </c>
      <c r="S6" s="4" t="n">
        <v>20516</v>
      </c>
    </row>
    <row r="7">
      <c r="A7" s="3" t="inlineStr">
        <is>
          <t>Allowance for Credit Losses</t>
        </is>
      </c>
      <c r="B7" s="4" t="n">
        <v>221.222</v>
      </c>
      <c r="C7" s="4" t="n">
        <v>221.182</v>
      </c>
      <c r="D7" s="4" t="n">
        <v>244.685</v>
      </c>
      <c r="E7" s="4" t="n">
        <v>223.034</v>
      </c>
      <c r="F7" s="4" t="n">
        <v>854.606</v>
      </c>
      <c r="G7" s="4" t="n">
        <v>-207.261</v>
      </c>
      <c r="H7" s="4" t="n">
        <v>455</v>
      </c>
      <c r="I7" s="4" t="n">
        <v>466</v>
      </c>
      <c r="J7" s="4" t="n">
        <v>705</v>
      </c>
      <c r="K7" s="4" t="n">
        <v>837</v>
      </c>
      <c r="L7" s="4" t="n">
        <v>1088</v>
      </c>
      <c r="M7" s="4" t="n">
        <v>1880</v>
      </c>
      <c r="N7" s="4" t="n">
        <v>2250</v>
      </c>
      <c r="O7" s="4" t="n">
        <v>4072</v>
      </c>
      <c r="P7" s="4" t="n">
        <v>4279</v>
      </c>
      <c r="Q7" s="4" t="n">
        <v>2077</v>
      </c>
      <c r="R7" s="4" t="n">
        <v>5529</v>
      </c>
      <c r="S7" s="4" t="n">
        <v>3226</v>
      </c>
    </row>
    <row r="8">
      <c r="A8" s="3" t="inlineStr">
        <is>
          <t>Amortization of Deferred Other Costs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2354</v>
      </c>
      <c r="K8" s="4" t="n">
        <v>3531</v>
      </c>
      <c r="L8" s="4" t="n">
        <v>7062</v>
      </c>
      <c r="M8" s="4" t="n">
        <v>10593</v>
      </c>
      <c r="N8" s="4" t="n">
        <v>3531</v>
      </c>
      <c r="O8" s="4" t="n">
        <v>7062</v>
      </c>
      <c r="P8" s="4" t="n">
        <v>10593</v>
      </c>
      <c r="Q8" s="4" t="n">
        <v>3531</v>
      </c>
      <c r="R8" s="4" t="n">
        <v>7062</v>
      </c>
      <c r="S8" s="4" t="n">
        <v>13391</v>
      </c>
    </row>
    <row r="9">
      <c r="A9" s="3" t="inlineStr">
        <is>
          <t>Inventory Write-Down</t>
        </is>
      </c>
      <c r="B9" s="4" t="n">
        <v>-270.71</v>
      </c>
      <c r="C9" s="4" t="n">
        <v>-137.37</v>
      </c>
      <c r="D9" s="4" t="n">
        <v>211.822</v>
      </c>
      <c r="E9" s="4" t="n">
        <v>753.9349999999999</v>
      </c>
      <c r="F9" s="4" t="n">
        <v>1260.076</v>
      </c>
      <c r="G9" s="4" t="n">
        <v>12.234</v>
      </c>
      <c r="H9" s="4" t="n">
        <v>2596</v>
      </c>
      <c r="I9" s="4" t="n">
        <v>331</v>
      </c>
      <c r="J9" s="4" t="n">
        <v>1078</v>
      </c>
      <c r="K9" s="4" t="n">
        <v>1672</v>
      </c>
      <c r="L9" s="4" t="n">
        <v>-3888</v>
      </c>
      <c r="M9" s="4" t="n">
        <v>2677</v>
      </c>
      <c r="N9" s="4" t="n">
        <v>2386</v>
      </c>
      <c r="O9" s="4" t="n">
        <v>11554</v>
      </c>
      <c r="P9" s="4" t="n">
        <v>17118</v>
      </c>
      <c r="Q9" s="4" t="n">
        <v>5337</v>
      </c>
      <c r="R9" s="4" t="n">
        <v>15262</v>
      </c>
      <c r="S9" s="4" t="n">
        <v>22313</v>
      </c>
    </row>
    <row r="10">
      <c r="A10" s="3" t="inlineStr">
        <is>
          <t>Gain (Loss) on Disposal of PP&amp;E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191</v>
      </c>
      <c r="M10" s="4" t="n">
        <v>195</v>
      </c>
      <c r="N10" s="4" t="n">
        <v>-8</v>
      </c>
      <c r="O10" s="4" t="n">
        <v>31</v>
      </c>
      <c r="P10" s="4" t="n">
        <v>126</v>
      </c>
      <c r="Q10" s="4" t="n">
        <v>0</v>
      </c>
      <c r="R10" s="4" t="n">
        <v>0</v>
      </c>
      <c r="S10" s="4" t="n">
        <v>0</v>
      </c>
    </row>
    <row r="11">
      <c r="A11" s="3" t="inlineStr">
        <is>
          <t>Stock-Based Compensation</t>
        </is>
      </c>
      <c r="B11" s="4" t="n">
        <v>1400</v>
      </c>
      <c r="C11" s="4" t="n">
        <v>2574.999</v>
      </c>
      <c r="D11" s="4" t="n">
        <v>4718.699</v>
      </c>
      <c r="E11" s="4" t="n">
        <v>3575.001</v>
      </c>
      <c r="F11" s="4" t="n">
        <v>7597.26</v>
      </c>
      <c r="G11" s="4" t="n">
        <v>13400.581</v>
      </c>
      <c r="H11" s="4" t="n">
        <v>4310</v>
      </c>
      <c r="I11" s="4" t="n">
        <v>8517</v>
      </c>
      <c r="J11" s="4" t="n">
        <v>14780</v>
      </c>
      <c r="K11" s="4" t="n">
        <v>5507</v>
      </c>
      <c r="L11" s="4" t="n">
        <v>11242</v>
      </c>
      <c r="M11" s="4" t="n">
        <v>16221</v>
      </c>
      <c r="N11" s="4" t="n">
        <v>3563</v>
      </c>
      <c r="O11" s="4" t="n">
        <v>8309</v>
      </c>
      <c r="P11" s="4" t="n">
        <v>13685</v>
      </c>
      <c r="Q11" s="4" t="n">
        <v>5029</v>
      </c>
      <c r="R11" s="4" t="n">
        <v>11463</v>
      </c>
      <c r="S11" s="4" t="n">
        <v>18847</v>
      </c>
    </row>
    <row r="12">
      <c r="A12" s="3" t="inlineStr">
        <is>
          <t>Gain on China Transaction</t>
        </is>
      </c>
      <c r="B12" s="4" t="n">
        <v>144.403</v>
      </c>
      <c r="C12" s="4" t="n">
        <v>23.1</v>
      </c>
      <c r="D12" s="4" t="n">
        <v>-384.493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inlineStr">
        <is>
          <t>Gain (Loss) on Lease Cancellations</t>
        </is>
      </c>
      <c r="B13" s="4" t="n">
        <v>0</v>
      </c>
      <c r="C13" s="4" t="n">
        <v>-152.112</v>
      </c>
      <c r="D13" s="4" t="n">
        <v>-152.112</v>
      </c>
      <c r="E13" s="4" t="n">
        <v>0</v>
      </c>
      <c r="F13" s="4" t="n">
        <v>0</v>
      </c>
      <c r="G13" s="4" t="n">
        <v>-14.669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inlineStr">
        <is>
          <t>(Benefit) Provision for Deferred Income Taxes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-182.156</v>
      </c>
      <c r="H14" s="4" t="n">
        <v>2561</v>
      </c>
      <c r="I14" s="4" t="n">
        <v>1072</v>
      </c>
      <c r="J14" s="4" t="n">
        <v>31329</v>
      </c>
      <c r="K14" s="4" t="n">
        <v>2873</v>
      </c>
      <c r="L14" s="4" t="n">
        <v>-41044</v>
      </c>
      <c r="M14" s="4" t="n">
        <v>-44303</v>
      </c>
      <c r="N14" s="4" t="n">
        <v>6450</v>
      </c>
      <c r="O14" s="4" t="n">
        <v>6112</v>
      </c>
      <c r="P14" s="4" t="n">
        <v>4727</v>
      </c>
      <c r="Q14" s="4" t="n">
        <v>269</v>
      </c>
      <c r="R14" s="4" t="n">
        <v>-4161</v>
      </c>
      <c r="S14" s="4" t="n">
        <v>-71408</v>
      </c>
    </row>
    <row r="15">
      <c r="A15" s="3" t="inlineStr">
        <is>
          <t>Foreign Currency Gain (Loss)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-76.765</v>
      </c>
      <c r="H15" s="4" t="n">
        <v>85</v>
      </c>
      <c r="I15" s="4" t="n">
        <v>602</v>
      </c>
      <c r="J15" s="4" t="n">
        <v>1007</v>
      </c>
      <c r="K15" s="4" t="n">
        <v>69</v>
      </c>
      <c r="L15" s="4" t="n">
        <v>206</v>
      </c>
      <c r="M15" s="4" t="n">
        <v>258</v>
      </c>
      <c r="N15" s="4" t="n">
        <v>369</v>
      </c>
      <c r="O15" s="4" t="n">
        <v>633</v>
      </c>
      <c r="P15" s="4" t="n">
        <v>356</v>
      </c>
      <c r="Q15" s="4" t="n">
        <v>0</v>
      </c>
      <c r="R15" s="4" t="n">
        <v>0</v>
      </c>
      <c r="S15" s="4" t="n">
        <v>0</v>
      </c>
    </row>
    <row r="16">
      <c r="A16" s="3" t="inlineStr">
        <is>
          <t>Change in Fair Value of Contingent Consideration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13800</v>
      </c>
      <c r="S16" s="4" t="n">
        <v>13800</v>
      </c>
    </row>
    <row r="17">
      <c r="A17" s="3" t="inlineStr">
        <is>
          <t>Gain (Loss) on Extinguishment of Debt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inlineStr">
        <is>
          <t>Other Operating Items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-185.716</v>
      </c>
      <c r="H18" s="4" t="n">
        <v>0</v>
      </c>
      <c r="I18" s="4" t="n">
        <v>0</v>
      </c>
      <c r="J18" s="4" t="n">
        <v>56</v>
      </c>
      <c r="K18" s="4" t="n">
        <v>-4</v>
      </c>
      <c r="L18" s="4" t="n">
        <v>8</v>
      </c>
      <c r="M18" s="4" t="n">
        <v>-2</v>
      </c>
      <c r="N18" s="4" t="n">
        <v>-7672</v>
      </c>
      <c r="O18" s="4" t="n">
        <v>0</v>
      </c>
      <c r="P18" s="4" t="n">
        <v>0</v>
      </c>
      <c r="Q18" s="4" t="n">
        <v>-1014</v>
      </c>
      <c r="R18" s="4" t="n">
        <v>-257</v>
      </c>
      <c r="S18" s="4" t="n">
        <v>1964</v>
      </c>
    </row>
    <row r="19">
      <c r="A19" s="3" t="inlineStr">
        <is>
          <t>Accounts Receivable</t>
        </is>
      </c>
      <c r="B19" s="4" t="n">
        <v>-3146.415</v>
      </c>
      <c r="C19" s="4" t="n">
        <v>-4668.549</v>
      </c>
      <c r="D19" s="4" t="n">
        <v>-9031.438</v>
      </c>
      <c r="E19" s="4" t="n">
        <v>-9234.501</v>
      </c>
      <c r="F19" s="4" t="n">
        <v>-18267.216</v>
      </c>
      <c r="G19" s="4" t="n">
        <v>-28307.104</v>
      </c>
      <c r="H19" s="4" t="n">
        <v>-34420</v>
      </c>
      <c r="I19" s="4" t="n">
        <v>-27920</v>
      </c>
      <c r="J19" s="4" t="n">
        <v>-78967</v>
      </c>
      <c r="K19" s="4" t="n">
        <v>-109639</v>
      </c>
      <c r="L19" s="4" t="n">
        <v>-135600</v>
      </c>
      <c r="M19" s="4" t="n">
        <v>-153271</v>
      </c>
      <c r="N19" s="4" t="n">
        <v>-18664</v>
      </c>
      <c r="O19" s="4" t="n">
        <v>-82213</v>
      </c>
      <c r="P19" s="4" t="n">
        <v>-26529</v>
      </c>
      <c r="Q19" s="4" t="n">
        <v>11841</v>
      </c>
      <c r="R19" s="4" t="n">
        <v>-143153</v>
      </c>
      <c r="S19" s="4" t="n">
        <v>-164133</v>
      </c>
    </row>
    <row r="20">
      <c r="A20" s="3" t="inlineStr">
        <is>
          <t>Note Receivable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inlineStr">
        <is>
          <t>Inventories</t>
        </is>
      </c>
      <c r="B21" s="4" t="n">
        <v>-5475.308</v>
      </c>
      <c r="C21" s="4" t="n">
        <v>-8082.699</v>
      </c>
      <c r="D21" s="4" t="n">
        <v>-598.665</v>
      </c>
      <c r="E21" s="4" t="n">
        <v>-19242.172</v>
      </c>
      <c r="F21" s="4" t="n">
        <v>-46683.05</v>
      </c>
      <c r="G21" s="4" t="n">
        <v>-103920.057</v>
      </c>
      <c r="H21" s="4" t="n">
        <v>4531</v>
      </c>
      <c r="I21" s="4" t="n">
        <v>28753</v>
      </c>
      <c r="J21" s="4" t="n">
        <v>36211</v>
      </c>
      <c r="K21" s="4" t="n">
        <v>17338</v>
      </c>
      <c r="L21" s="4" t="n">
        <v>24632</v>
      </c>
      <c r="M21" s="4" t="n">
        <v>-28092</v>
      </c>
      <c r="N21" s="4" t="n">
        <v>29386</v>
      </c>
      <c r="O21" s="4" t="n">
        <v>37052</v>
      </c>
      <c r="P21" s="4" t="n">
        <v>14585</v>
      </c>
      <c r="Q21" s="4" t="n">
        <v>4794</v>
      </c>
      <c r="R21" s="4" t="n">
        <v>23039</v>
      </c>
      <c r="S21" s="4" t="n">
        <v>31132</v>
      </c>
    </row>
    <row r="22">
      <c r="A22" s="3" t="inlineStr">
        <is>
          <t>Prepaid Expenses</t>
        </is>
      </c>
      <c r="B22" s="4" t="n">
        <v>-501.586</v>
      </c>
      <c r="C22" s="4" t="n">
        <v>-142.419</v>
      </c>
      <c r="D22" s="4" t="n">
        <v>-561.752</v>
      </c>
      <c r="E22" s="4" t="n">
        <v>-2557.007</v>
      </c>
      <c r="F22" s="4" t="n">
        <v>-8117.719</v>
      </c>
      <c r="G22" s="4" t="n">
        <v>-8202.588</v>
      </c>
      <c r="H22" s="4" t="n">
        <v>3513</v>
      </c>
      <c r="I22" s="4" t="n">
        <v>1257</v>
      </c>
      <c r="J22" s="4" t="n">
        <v>1459</v>
      </c>
      <c r="K22" s="4" t="n">
        <v>-4166</v>
      </c>
      <c r="L22" s="4" t="n">
        <v>-12058</v>
      </c>
      <c r="M22" s="4" t="n">
        <v>-12406</v>
      </c>
      <c r="N22" s="4" t="n">
        <v>-2076</v>
      </c>
      <c r="O22" s="4" t="n">
        <v>-3469</v>
      </c>
      <c r="P22" s="4" t="n">
        <v>-20261</v>
      </c>
      <c r="Q22" s="4" t="n">
        <v>-3687</v>
      </c>
      <c r="R22" s="4" t="n">
        <v>-20645</v>
      </c>
      <c r="S22" s="4" t="n">
        <v>-142920</v>
      </c>
    </row>
    <row r="23">
      <c r="A23" s="3" t="inlineStr">
        <is>
          <t>Change in A/P and Accrued (legacy)</t>
        </is>
      </c>
      <c r="B23" s="4" t="n">
        <v>2729.7</v>
      </c>
      <c r="C23" s="4" t="n">
        <v>2856.654</v>
      </c>
      <c r="D23" s="4" t="n">
        <v>824.9640000000001</v>
      </c>
      <c r="E23" s="4" t="n">
        <v>12112.637</v>
      </c>
      <c r="F23" s="4" t="n">
        <v>27579.323</v>
      </c>
      <c r="G23" s="4" t="n">
        <v>66694.568</v>
      </c>
      <c r="H23" s="4" t="n">
        <v>17742</v>
      </c>
      <c r="I23" s="4" t="n">
        <v>10336</v>
      </c>
      <c r="J23" s="4" t="n">
        <v>51462</v>
      </c>
      <c r="K23" s="4" t="n">
        <v>182</v>
      </c>
      <c r="L23" s="4" t="n">
        <v>-12491</v>
      </c>
      <c r="M23" s="4" t="n">
        <v>14652</v>
      </c>
      <c r="N23" s="4" t="n">
        <v>0</v>
      </c>
      <c r="O23" s="4" t="n">
        <v>0</v>
      </c>
      <c r="P23" s="4" t="n">
        <v>0</v>
      </c>
      <c r="Q23" s="4" t="n">
        <v>0</v>
      </c>
      <c r="R23" s="4" t="n">
        <v>0</v>
      </c>
      <c r="S23" s="4" t="n">
        <v>0</v>
      </c>
    </row>
    <row r="24">
      <c r="A24" s="3" t="inlineStr">
        <is>
          <t>Other Non-Current Assets</t>
        </is>
      </c>
      <c r="B24" s="4" t="n">
        <v>0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-6362</v>
      </c>
      <c r="P24" s="4" t="n">
        <v>-5303</v>
      </c>
      <c r="Q24" s="4" t="n">
        <v>-1700</v>
      </c>
      <c r="R24" s="4" t="n">
        <v>742</v>
      </c>
      <c r="S24" s="4" t="n">
        <v>1511</v>
      </c>
    </row>
    <row r="25">
      <c r="A25" s="3" t="inlineStr">
        <is>
          <t>Accounts Payable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-3013</v>
      </c>
      <c r="O25" s="4" t="n">
        <v>3950</v>
      </c>
      <c r="P25" s="4" t="n">
        <v>-12259</v>
      </c>
      <c r="Q25" s="4" t="n">
        <v>11679</v>
      </c>
      <c r="R25" s="4" t="n">
        <v>20789</v>
      </c>
      <c r="S25" s="4" t="n">
        <v>4081</v>
      </c>
    </row>
    <row r="26">
      <c r="A26" s="3" t="inlineStr">
        <is>
          <t>Accrued Expenses</t>
        </is>
      </c>
      <c r="B26" s="4" t="n">
        <v>0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1998</v>
      </c>
      <c r="O26" s="4" t="n">
        <v>17760</v>
      </c>
      <c r="P26" s="4" t="n">
        <v>11151</v>
      </c>
      <c r="Q26" s="4" t="n">
        <v>-8673</v>
      </c>
      <c r="R26" s="4" t="n">
        <v>-7013</v>
      </c>
      <c r="S26" s="4" t="n">
        <v>32961</v>
      </c>
    </row>
    <row r="27">
      <c r="A27" s="3" t="inlineStr">
        <is>
          <t>Change in Income Taxes</t>
        </is>
      </c>
      <c r="B27" s="4" t="n">
        <v>0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57605</v>
      </c>
      <c r="M27" s="4" t="n">
        <v>57662</v>
      </c>
      <c r="N27" s="4" t="n">
        <v>8250</v>
      </c>
      <c r="O27" s="4" t="n">
        <v>-44978</v>
      </c>
      <c r="P27" s="4" t="n">
        <v>-49631</v>
      </c>
      <c r="Q27" s="4" t="n">
        <v>15353</v>
      </c>
      <c r="R27" s="4" t="n">
        <v>10928</v>
      </c>
      <c r="S27" s="4" t="n">
        <v>38742</v>
      </c>
    </row>
    <row r="28">
      <c r="A28" s="3" t="inlineStr">
        <is>
          <t>Accrued Promotional Allowance</t>
        </is>
      </c>
      <c r="B28" s="4" t="n">
        <v>0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32248</v>
      </c>
      <c r="L28" s="4" t="n">
        <v>62995</v>
      </c>
      <c r="M28" s="4" t="n">
        <v>100580</v>
      </c>
      <c r="N28" s="4" t="n">
        <v>29414</v>
      </c>
      <c r="O28" s="4" t="n">
        <v>56692</v>
      </c>
      <c r="P28" s="4" t="n">
        <v>59023</v>
      </c>
      <c r="Q28" s="4" t="n">
        <v>15379</v>
      </c>
      <c r="R28" s="4" t="n">
        <v>64221</v>
      </c>
      <c r="S28" s="4" t="n">
        <v>83276</v>
      </c>
    </row>
    <row r="29">
      <c r="A29" s="3" t="inlineStr">
        <is>
          <t>Accrued Distributor Termination</t>
        </is>
      </c>
      <c r="B29" s="4" t="n">
        <v>0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115551</v>
      </c>
      <c r="K29" s="4" t="n">
        <v>-2923</v>
      </c>
      <c r="L29" s="4" t="n">
        <v>-3986</v>
      </c>
      <c r="M29" s="4" t="n">
        <v>-3986</v>
      </c>
      <c r="N29" s="4" t="n">
        <v>-248</v>
      </c>
      <c r="O29" s="4" t="n">
        <v>-248</v>
      </c>
      <c r="P29" s="4" t="n">
        <v>-248</v>
      </c>
      <c r="Q29" s="4" t="n">
        <v>0</v>
      </c>
      <c r="R29" s="4" t="n">
        <v>0</v>
      </c>
      <c r="S29" s="4" t="n">
        <v>252953</v>
      </c>
    </row>
    <row r="30">
      <c r="A30" s="3" t="inlineStr">
        <is>
          <t>Other Current Liabilities</t>
        </is>
      </c>
      <c r="B30" s="4" t="n">
        <v>102.743</v>
      </c>
      <c r="C30" s="4" t="n">
        <v>109.313</v>
      </c>
      <c r="D30" s="4" t="n">
        <v>257.023</v>
      </c>
      <c r="E30" s="4" t="n">
        <v>174.355</v>
      </c>
      <c r="F30" s="4" t="n">
        <v>339.952</v>
      </c>
      <c r="G30" s="4" t="n">
        <v>0</v>
      </c>
      <c r="H30" s="4" t="n">
        <v>765</v>
      </c>
      <c r="I30" s="4" t="n">
        <v>1820</v>
      </c>
      <c r="J30" s="4" t="n">
        <v>2291</v>
      </c>
      <c r="K30" s="4" t="n">
        <v>1508</v>
      </c>
      <c r="L30" s="4" t="n">
        <v>3523</v>
      </c>
      <c r="M30" s="4" t="n">
        <v>5239</v>
      </c>
      <c r="N30" s="4" t="n">
        <v>2094</v>
      </c>
      <c r="O30" s="4" t="n">
        <v>2884</v>
      </c>
      <c r="P30" s="4" t="n">
        <v>4094</v>
      </c>
      <c r="Q30" s="4" t="n">
        <v>-1648</v>
      </c>
      <c r="R30" s="4" t="n">
        <v>1999</v>
      </c>
      <c r="S30" s="4" t="n">
        <v>3691</v>
      </c>
    </row>
    <row r="31">
      <c r="A31" s="3" t="inlineStr">
        <is>
          <t>ROU &amp; Lease Liability, Net</t>
        </is>
      </c>
      <c r="B31" s="4" t="n">
        <v>-2.18</v>
      </c>
      <c r="C31" s="4" t="n">
        <v>146.042</v>
      </c>
      <c r="D31" s="4" t="n">
        <v>149.925</v>
      </c>
      <c r="E31" s="4" t="n">
        <v>-4.575</v>
      </c>
      <c r="F31" s="4" t="n">
        <v>7.97</v>
      </c>
      <c r="G31" s="4" t="n">
        <v>30.465</v>
      </c>
      <c r="H31" s="4" t="n">
        <v>-78</v>
      </c>
      <c r="I31" s="4" t="n">
        <v>-95</v>
      </c>
      <c r="J31" s="4" t="n">
        <v>-126</v>
      </c>
      <c r="K31" s="4" t="n">
        <v>-15</v>
      </c>
      <c r="L31" s="4" t="n">
        <v>-38</v>
      </c>
      <c r="M31" s="4" t="n">
        <v>-64</v>
      </c>
      <c r="N31" s="4" t="n">
        <v>-23</v>
      </c>
      <c r="O31" s="4" t="n">
        <v>-34</v>
      </c>
      <c r="P31" s="4" t="n">
        <v>17</v>
      </c>
      <c r="Q31" s="4" t="n">
        <v>0</v>
      </c>
      <c r="R31" s="4" t="n">
        <v>0</v>
      </c>
      <c r="S31" s="4" t="n">
        <v>0</v>
      </c>
    </row>
    <row r="32">
      <c r="A32" s="3" t="inlineStr">
        <is>
          <t>Deferred Revenue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154103</v>
      </c>
      <c r="K32" s="4" t="n">
        <v>-4625</v>
      </c>
      <c r="L32" s="4" t="n">
        <v>-8219</v>
      </c>
      <c r="M32" s="4" t="n">
        <v>-10593</v>
      </c>
      <c r="N32" s="4" t="n">
        <v>-2378</v>
      </c>
      <c r="O32" s="4" t="n">
        <v>-4757</v>
      </c>
      <c r="P32" s="4" t="n">
        <v>-7135</v>
      </c>
      <c r="Q32" s="4" t="n">
        <v>-2378</v>
      </c>
      <c r="R32" s="4" t="n">
        <v>-7320</v>
      </c>
      <c r="S32" s="4" t="n">
        <v>233463</v>
      </c>
    </row>
    <row r="33">
      <c r="A33" s="3" t="inlineStr">
        <is>
          <t>Net Change in Other Working Capital</t>
        </is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532.395</v>
      </c>
      <c r="H33" s="4" t="n">
        <v>0</v>
      </c>
      <c r="I33" s="4" t="n">
        <v>488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148</v>
      </c>
      <c r="R33" s="4" t="n">
        <v>-1210</v>
      </c>
      <c r="S33" s="4" t="n">
        <v>-1786</v>
      </c>
    </row>
    <row r="34">
      <c r="A34" s="3" t="inlineStr">
        <is>
          <t>Cash Flow from Operations</t>
        </is>
      </c>
      <c r="B34" s="6">
        <f>SUM(B2:B33)</f>
        <v/>
      </c>
      <c r="C34" s="6">
        <f>SUM(C2:C33)</f>
        <v/>
      </c>
      <c r="D34" s="6">
        <f>SUM(D2:D33)</f>
        <v/>
      </c>
      <c r="E34" s="6">
        <f>SUM(E2:E33)</f>
        <v/>
      </c>
      <c r="F34" s="6">
        <f>SUM(F2:F33)</f>
        <v/>
      </c>
      <c r="G34" s="6">
        <f>SUM(G2:G33)</f>
        <v/>
      </c>
      <c r="H34" s="6">
        <f>SUM(H2:H33)</f>
        <v/>
      </c>
      <c r="I34" s="6">
        <f>SUM(I2:I33)</f>
        <v/>
      </c>
      <c r="J34" s="6">
        <f>SUM(J2:J33)</f>
        <v/>
      </c>
      <c r="K34" s="6">
        <f>SUM(K2:K33)</f>
        <v/>
      </c>
      <c r="L34" s="6">
        <f>SUM(L2:L33)</f>
        <v/>
      </c>
      <c r="M34" s="6">
        <f>SUM(M2:M33)</f>
        <v/>
      </c>
      <c r="N34" s="6">
        <f>SUM(N2:N33)</f>
        <v/>
      </c>
      <c r="O34" s="6">
        <f>SUM(O2:O33)</f>
        <v/>
      </c>
      <c r="P34" s="6">
        <f>SUM(P2:P33)</f>
        <v/>
      </c>
      <c r="Q34" s="6">
        <f>SUM(Q2:Q33)</f>
        <v/>
      </c>
      <c r="R34" s="6">
        <f>SUM(R2:R33)</f>
        <v/>
      </c>
      <c r="S34" s="6">
        <f>SUM(S2:S33)</f>
        <v/>
      </c>
    </row>
    <row r="35">
      <c r="A35" s="3" t="inlineStr">
        <is>
          <t>Collections from Note Receivable</t>
        </is>
      </c>
      <c r="B35" s="4" t="n">
        <v>0</v>
      </c>
      <c r="C35" s="4" t="n">
        <v>1331.011</v>
      </c>
      <c r="D35" s="4" t="n">
        <v>1331.011</v>
      </c>
      <c r="E35" s="4" t="n">
        <v>1876.273</v>
      </c>
      <c r="F35" s="4" t="n">
        <v>1876.273</v>
      </c>
      <c r="G35" s="4" t="n">
        <v>1885.724</v>
      </c>
      <c r="H35" s="4" t="n">
        <v>0</v>
      </c>
      <c r="I35" s="4" t="n">
        <v>2592</v>
      </c>
      <c r="J35" s="4" t="n">
        <v>2592</v>
      </c>
      <c r="K35" s="4" t="n">
        <v>3233</v>
      </c>
      <c r="L35" s="4" t="n">
        <v>3233</v>
      </c>
      <c r="M35" s="4" t="n">
        <v>3233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s="3" t="inlineStr">
        <is>
          <t>Purchase of PP&amp;E</t>
        </is>
      </c>
      <c r="B36" s="4" t="n">
        <v>-107.372</v>
      </c>
      <c r="C36" s="4" t="n">
        <v>-315.777</v>
      </c>
      <c r="D36" s="4" t="n">
        <v>-416.671</v>
      </c>
      <c r="E36" s="4" t="n">
        <v>-697.843</v>
      </c>
      <c r="F36" s="4" t="n">
        <v>-1216.05</v>
      </c>
      <c r="G36" s="4" t="n">
        <v>-2395.302</v>
      </c>
      <c r="H36" s="4" t="n">
        <v>-742</v>
      </c>
      <c r="I36" s="4" t="n">
        <v>-2456</v>
      </c>
      <c r="J36" s="4" t="n">
        <v>-3477</v>
      </c>
      <c r="K36" s="4" t="n">
        <v>-2253</v>
      </c>
      <c r="L36" s="4" t="n">
        <v>-6810</v>
      </c>
      <c r="M36" s="4" t="n">
        <v>-12687</v>
      </c>
      <c r="N36" s="4" t="n">
        <v>-4525</v>
      </c>
      <c r="O36" s="4" t="n">
        <v>-13739</v>
      </c>
      <c r="P36" s="4" t="n">
        <v>-17983</v>
      </c>
      <c r="Q36" s="4" t="n">
        <v>-6944</v>
      </c>
      <c r="R36" s="4" t="n">
        <v>-15194</v>
      </c>
      <c r="S36" s="4" t="n">
        <v>-25539</v>
      </c>
    </row>
    <row r="37">
      <c r="A37" s="3" t="inlineStr">
        <is>
          <t>Purchase of Non-Marketable Equity Securities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-3000</v>
      </c>
      <c r="Q37" s="4" t="n">
        <v>0</v>
      </c>
      <c r="R37" s="4" t="n">
        <v>-5000</v>
      </c>
      <c r="S37" s="4" t="n">
        <v>-5000</v>
      </c>
    </row>
    <row r="38">
      <c r="A38" s="3" t="inlineStr">
        <is>
          <t>Acquisition of Big Beverages</t>
        </is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</row>
    <row r="39">
      <c r="A39" s="3" t="inlineStr">
        <is>
          <t>Acquisitions, Net of Cash Acquired</t>
        </is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-1256351</v>
      </c>
      <c r="S39" s="4" t="n">
        <v>-1278769</v>
      </c>
    </row>
    <row r="40">
      <c r="A40" s="3" t="inlineStr">
        <is>
          <t>Working Capital Estimate from Pepsi (Rockstar)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30617</v>
      </c>
    </row>
    <row r="41">
      <c r="A41" s="3" t="inlineStr">
        <is>
          <t>Cash Flow from Investing</t>
        </is>
      </c>
      <c r="B41" s="6">
        <f>SUM(B35:B40)</f>
        <v/>
      </c>
      <c r="C41" s="6">
        <f>SUM(C35:C40)</f>
        <v/>
      </c>
      <c r="D41" s="6">
        <f>SUM(D35:D40)</f>
        <v/>
      </c>
      <c r="E41" s="6">
        <f>SUM(E35:E40)</f>
        <v/>
      </c>
      <c r="F41" s="6">
        <f>SUM(F35:F40)</f>
        <v/>
      </c>
      <c r="G41" s="6">
        <f>SUM(G35:G40)</f>
        <v/>
      </c>
      <c r="H41" s="6">
        <f>SUM(H35:H40)</f>
        <v/>
      </c>
      <c r="I41" s="6">
        <f>SUM(I35:I40)</f>
        <v/>
      </c>
      <c r="J41" s="6">
        <f>SUM(J35:J40)</f>
        <v/>
      </c>
      <c r="K41" s="6">
        <f>SUM(K35:K40)</f>
        <v/>
      </c>
      <c r="L41" s="6">
        <f>SUM(L35:L40)</f>
        <v/>
      </c>
      <c r="M41" s="6">
        <f>SUM(M35:M40)</f>
        <v/>
      </c>
      <c r="N41" s="6">
        <f>SUM(N35:N40)</f>
        <v/>
      </c>
      <c r="O41" s="6">
        <f>SUM(O35:O40)</f>
        <v/>
      </c>
      <c r="P41" s="6">
        <f>SUM(P35:P40)</f>
        <v/>
      </c>
      <c r="Q41" s="6">
        <f>SUM(Q35:Q40)</f>
        <v/>
      </c>
      <c r="R41" s="6">
        <f>SUM(R35:R40)</f>
        <v/>
      </c>
      <c r="S41" s="6">
        <f>SUM(S35:S40)</f>
        <v/>
      </c>
    </row>
    <row r="42">
      <c r="A42" s="3" t="inlineStr">
        <is>
          <t>Proceeds from Related-Party Notes</t>
        </is>
      </c>
      <c r="B42" s="4" t="n">
        <v>0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</row>
    <row r="43">
      <c r="A43" s="3" t="inlineStr">
        <is>
          <t>Payments on Bonds Payable</t>
        </is>
      </c>
      <c r="B43" s="4" t="n">
        <v>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</row>
    <row r="44">
      <c r="A44" s="3" t="inlineStr">
        <is>
          <t>Finance Lease Payments</t>
        </is>
      </c>
      <c r="B44" s="4" t="n">
        <v>-64.08199999999999</v>
      </c>
      <c r="C44" s="4" t="n">
        <v>-222.052</v>
      </c>
      <c r="D44" s="4" t="n">
        <v>-259.231</v>
      </c>
      <c r="E44" s="4" t="n">
        <v>-25.149</v>
      </c>
      <c r="F44" s="4" t="n">
        <v>-49.592</v>
      </c>
      <c r="G44" s="4" t="n">
        <v>-72.386</v>
      </c>
      <c r="H44" s="4" t="n">
        <v>-20</v>
      </c>
      <c r="I44" s="4" t="n">
        <v>-37</v>
      </c>
      <c r="J44" s="4" t="n">
        <v>-49</v>
      </c>
      <c r="K44" s="4" t="n">
        <v>-11</v>
      </c>
      <c r="L44" s="4" t="n">
        <v>-22</v>
      </c>
      <c r="M44" s="4" t="n">
        <v>-33</v>
      </c>
      <c r="N44" s="4" t="n">
        <v>-15</v>
      </c>
      <c r="O44" s="4" t="n">
        <v>-30</v>
      </c>
      <c r="P44" s="4" t="n">
        <v>-46</v>
      </c>
      <c r="Q44" s="4" t="n">
        <v>0</v>
      </c>
      <c r="R44" s="4" t="n">
        <v>0</v>
      </c>
      <c r="S44" s="4" t="n">
        <v>0</v>
      </c>
    </row>
    <row r="45">
      <c r="A45" s="3" t="inlineStr">
        <is>
          <t>Proceeds from Issuance of Common Stock</t>
        </is>
      </c>
      <c r="B45" s="4" t="n">
        <v>0</v>
      </c>
      <c r="C45" s="4" t="n">
        <v>0</v>
      </c>
      <c r="D45" s="4" t="n">
        <v>21983.116</v>
      </c>
      <c r="E45" s="4" t="n">
        <v>0</v>
      </c>
      <c r="F45" s="4" t="n">
        <v>67769.386</v>
      </c>
      <c r="G45" s="4" t="n">
        <v>67769.386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0</v>
      </c>
      <c r="R45" s="4" t="n">
        <v>0</v>
      </c>
      <c r="S45" s="4" t="n">
        <v>0</v>
      </c>
    </row>
    <row r="46">
      <c r="A46" s="3" t="inlineStr">
        <is>
          <t>Proceeds from Exercise of Stock Options</t>
        </is>
      </c>
      <c r="B46" s="4" t="n">
        <v>215.347</v>
      </c>
      <c r="C46" s="4" t="n">
        <v>704.664</v>
      </c>
      <c r="D46" s="4" t="n">
        <v>2296.343</v>
      </c>
      <c r="E46" s="4" t="n">
        <v>715.91</v>
      </c>
      <c r="F46" s="4" t="n">
        <v>2515.017</v>
      </c>
      <c r="G46" s="4" t="n">
        <v>3242.073</v>
      </c>
      <c r="H46" s="4" t="n">
        <v>810</v>
      </c>
      <c r="I46" s="4" t="n">
        <v>1260</v>
      </c>
      <c r="J46" s="4" t="n">
        <v>3104</v>
      </c>
      <c r="K46" s="4" t="n">
        <v>478</v>
      </c>
      <c r="L46" s="4" t="n">
        <v>707</v>
      </c>
      <c r="M46" s="4" t="n">
        <v>1603</v>
      </c>
      <c r="N46" s="4" t="n">
        <v>967</v>
      </c>
      <c r="O46" s="4" t="n">
        <v>1147</v>
      </c>
      <c r="P46" s="4" t="n">
        <v>3832</v>
      </c>
      <c r="Q46" s="4" t="n">
        <v>0</v>
      </c>
      <c r="R46" s="4" t="n">
        <v>0</v>
      </c>
      <c r="S46" s="4" t="n">
        <v>0</v>
      </c>
    </row>
    <row r="47">
      <c r="A47" s="3" t="inlineStr">
        <is>
          <t>Cash Paid for RSU Tax Withholding</t>
        </is>
      </c>
      <c r="B47" s="4" t="n">
        <v>0</v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0</v>
      </c>
      <c r="S47" s="4" t="n">
        <v>0</v>
      </c>
    </row>
    <row r="48">
      <c r="A48" s="3" t="inlineStr">
        <is>
          <t>Section 16(b) Short-Swing Profit Recovery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</row>
    <row r="49">
      <c r="A49" s="3" t="inlineStr">
        <is>
          <t>Proceeds from Issuance of Preferred Stock</t>
        </is>
      </c>
      <c r="B49" s="4" t="n">
        <v>0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542018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</row>
    <row r="50">
      <c r="A50" s="3" t="inlineStr">
        <is>
          <t>Preferred Dividends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-4596</v>
      </c>
      <c r="K50" s="4" t="n">
        <v>-6781</v>
      </c>
      <c r="L50" s="4" t="n">
        <v>-13637</v>
      </c>
      <c r="M50" s="4" t="n">
        <v>-20512</v>
      </c>
      <c r="N50" s="4" t="n">
        <v>-6837</v>
      </c>
      <c r="O50" s="4" t="n">
        <v>-13675</v>
      </c>
      <c r="P50" s="4" t="n">
        <v>-20588</v>
      </c>
      <c r="Q50" s="4" t="n">
        <v>-6781</v>
      </c>
      <c r="R50" s="4" t="n">
        <v>-13632</v>
      </c>
      <c r="S50" s="4" t="n">
        <v>-23301</v>
      </c>
    </row>
    <row r="51">
      <c r="A51" s="3" t="inlineStr">
        <is>
          <t>Share Repurchases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-1658</v>
      </c>
      <c r="Q51" s="4" t="n">
        <v>-1932</v>
      </c>
      <c r="R51" s="4" t="n">
        <v>-2811</v>
      </c>
      <c r="S51" s="4" t="n">
        <v>-3259</v>
      </c>
    </row>
    <row r="52">
      <c r="A52" s="3" t="inlineStr">
        <is>
          <t>Proceeds from Issuance of Long-Term Debt</t>
        </is>
      </c>
      <c r="B52" s="4" t="n">
        <v>0</v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900000</v>
      </c>
      <c r="S52" s="4" t="n">
        <v>900000</v>
      </c>
    </row>
    <row r="53">
      <c r="A53" s="3" t="inlineStr">
        <is>
          <t>Repayments of Long-Term Debt</t>
        </is>
      </c>
      <c r="B53" s="4" t="n">
        <v>0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-2250</v>
      </c>
    </row>
    <row r="54">
      <c r="A54" s="3" t="inlineStr">
        <is>
          <t>Debt Issuance Fees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-2195</v>
      </c>
      <c r="R54" s="4" t="n">
        <v>-31581</v>
      </c>
      <c r="S54" s="4" t="n">
        <v>-31581</v>
      </c>
    </row>
    <row r="55">
      <c r="A55" s="3" t="inlineStr">
        <is>
          <t>Other Financing Activities</t>
        </is>
      </c>
      <c r="B55" s="4" t="n">
        <v>0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321</v>
      </c>
      <c r="R55" s="4" t="n">
        <v>319</v>
      </c>
      <c r="S55" s="4" t="n">
        <v>301</v>
      </c>
    </row>
    <row r="56">
      <c r="A56" s="3" t="inlineStr">
        <is>
          <t>Cash Flow from Financing</t>
        </is>
      </c>
      <c r="B56" s="6">
        <f>SUM(B42:B55)</f>
        <v/>
      </c>
      <c r="C56" s="6">
        <f>SUM(C42:C55)</f>
        <v/>
      </c>
      <c r="D56" s="6">
        <f>SUM(D42:D55)</f>
        <v/>
      </c>
      <c r="E56" s="6">
        <f>SUM(E42:E55)</f>
        <v/>
      </c>
      <c r="F56" s="6">
        <f>SUM(F42:F55)</f>
        <v/>
      </c>
      <c r="G56" s="6">
        <f>SUM(G42:G55)</f>
        <v/>
      </c>
      <c r="H56" s="6">
        <f>SUM(H42:H55)</f>
        <v/>
      </c>
      <c r="I56" s="6">
        <f>SUM(I42:I55)</f>
        <v/>
      </c>
      <c r="J56" s="6">
        <f>SUM(J42:J55)</f>
        <v/>
      </c>
      <c r="K56" s="6">
        <f>SUM(K42:K55)</f>
        <v/>
      </c>
      <c r="L56" s="6">
        <f>SUM(L42:L55)</f>
        <v/>
      </c>
      <c r="M56" s="6">
        <f>SUM(M42:M55)</f>
        <v/>
      </c>
      <c r="N56" s="6">
        <f>SUM(N42:N55)</f>
        <v/>
      </c>
      <c r="O56" s="6">
        <f>SUM(O42:O55)</f>
        <v/>
      </c>
      <c r="P56" s="6">
        <f>SUM(P42:P55)</f>
        <v/>
      </c>
      <c r="Q56" s="6">
        <f>SUM(Q42:Q55)</f>
        <v/>
      </c>
      <c r="R56" s="6">
        <f>SUM(R42:R55)</f>
        <v/>
      </c>
      <c r="S56" s="6">
        <f>SUM(S42:S55)</f>
        <v/>
      </c>
    </row>
    <row r="57">
      <c r="A57" s="3" t="inlineStr">
        <is>
          <t>FX Effect on Cash</t>
        </is>
      </c>
      <c r="B57" s="4" t="n">
        <v>-222.93</v>
      </c>
      <c r="C57" s="4" t="n">
        <v>-231.635</v>
      </c>
      <c r="D57" s="4" t="n">
        <v>289.338</v>
      </c>
      <c r="E57" s="4" t="n">
        <v>-164.536</v>
      </c>
      <c r="F57" s="4" t="n">
        <v>-23.61</v>
      </c>
      <c r="G57" s="4" t="n">
        <v>-236.365</v>
      </c>
      <c r="H57" s="4" t="n">
        <v>104</v>
      </c>
      <c r="I57" s="4" t="n">
        <v>121</v>
      </c>
      <c r="J57" s="4" t="n">
        <v>158</v>
      </c>
      <c r="K57" s="4" t="n">
        <v>-181</v>
      </c>
      <c r="L57" s="4" t="n">
        <v>-555</v>
      </c>
      <c r="M57" s="4" t="n">
        <v>-555</v>
      </c>
      <c r="N57" s="4" t="n">
        <v>-722</v>
      </c>
      <c r="O57" s="4" t="n">
        <v>-766</v>
      </c>
      <c r="P57" s="4" t="n">
        <v>-16</v>
      </c>
      <c r="Q57" s="4" t="n">
        <v>1259</v>
      </c>
      <c r="R57" s="4" t="n">
        <v>2214</v>
      </c>
      <c r="S57" s="4" t="n">
        <v>2174</v>
      </c>
    </row>
    <row r="58">
      <c r="A58" s="3" t="inlineStr">
        <is>
          <t>Net Change in Cash</t>
        </is>
      </c>
      <c r="B58" s="6">
        <f>B34+B41+B56+B57</f>
        <v/>
      </c>
      <c r="C58" s="6">
        <f>C34+C41+C56+C57</f>
        <v/>
      </c>
      <c r="D58" s="6">
        <f>D34+D41+D56+D57</f>
        <v/>
      </c>
      <c r="E58" s="6">
        <f>E34+E41+E56+E57</f>
        <v/>
      </c>
      <c r="F58" s="6">
        <f>F34+F41+F56+F57</f>
        <v/>
      </c>
      <c r="G58" s="6">
        <f>G34+G41+G56+G57</f>
        <v/>
      </c>
      <c r="H58" s="6">
        <f>H34+H41+H56+H57</f>
        <v/>
      </c>
      <c r="I58" s="6">
        <f>I34+I41+I56+I57</f>
        <v/>
      </c>
      <c r="J58" s="6">
        <f>J34+J41+J56+J57</f>
        <v/>
      </c>
      <c r="K58" s="6">
        <f>K34+K41+K56+K57</f>
        <v/>
      </c>
      <c r="L58" s="6">
        <f>L34+L41+L56+L57</f>
        <v/>
      </c>
      <c r="M58" s="6">
        <f>M34+M41+M56+M57</f>
        <v/>
      </c>
      <c r="N58" s="6">
        <f>N34+N41+N56+N57</f>
        <v/>
      </c>
      <c r="O58" s="6">
        <f>O34+O41+O56+O57</f>
        <v/>
      </c>
      <c r="P58" s="6">
        <f>P34+P41+P56+P57</f>
        <v/>
      </c>
      <c r="Q58" s="6">
        <f>Q34+Q41+Q56+Q57</f>
        <v/>
      </c>
      <c r="R58" s="6">
        <f>R34+R41+R56+R57</f>
        <v/>
      </c>
      <c r="S58" s="6">
        <f>S34+S41+S56+S57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</cols>
  <sheetData>
    <row r="1">
      <c r="A1" s="1" t="inlineStr"/>
      <c r="B1" s="2" t="inlineStr">
        <is>
          <t>Q1 FY2019</t>
        </is>
      </c>
      <c r="C1" s="2" t="inlineStr">
        <is>
          <t>Q2 FY2019</t>
        </is>
      </c>
      <c r="D1" s="2" t="inlineStr">
        <is>
          <t>Q3 FY2019</t>
        </is>
      </c>
      <c r="E1" s="2" t="inlineStr">
        <is>
          <t>Q4 FY2019</t>
        </is>
      </c>
      <c r="F1" s="2" t="inlineStr">
        <is>
          <t>Q1 FY2020</t>
        </is>
      </c>
      <c r="G1" s="2" t="inlineStr">
        <is>
          <t>Q2 FY2020</t>
        </is>
      </c>
      <c r="H1" s="2" t="inlineStr">
        <is>
          <t>Q3 FY2020</t>
        </is>
      </c>
      <c r="I1" s="2" t="inlineStr">
        <is>
          <t>Q4 FY2020</t>
        </is>
      </c>
      <c r="J1" s="2" t="inlineStr">
        <is>
          <t>Q1 FY2021</t>
        </is>
      </c>
      <c r="K1" s="2" t="inlineStr">
        <is>
          <t>Q2 FY2021</t>
        </is>
      </c>
      <c r="L1" s="2" t="inlineStr">
        <is>
          <t>Q3 FY2021</t>
        </is>
      </c>
      <c r="M1" s="2" t="inlineStr">
        <is>
          <t>Q4 FY2021</t>
        </is>
      </c>
      <c r="N1" s="2" t="inlineStr">
        <is>
          <t>Q1 FY2022</t>
        </is>
      </c>
      <c r="O1" s="2" t="inlineStr">
        <is>
          <t>Q2 FY2022</t>
        </is>
      </c>
      <c r="P1" s="2" t="inlineStr">
        <is>
          <t>Q3 FY2022</t>
        </is>
      </c>
      <c r="Q1" s="2" t="inlineStr">
        <is>
          <t>Q4 FY2022</t>
        </is>
      </c>
      <c r="R1" s="2" t="inlineStr">
        <is>
          <t>Q1 FY2023</t>
        </is>
      </c>
      <c r="S1" s="2" t="inlineStr">
        <is>
          <t>Q2 FY2023</t>
        </is>
      </c>
      <c r="T1" s="2" t="inlineStr">
        <is>
          <t>Q3 FY2023</t>
        </is>
      </c>
      <c r="U1" s="2" t="inlineStr">
        <is>
          <t>Q4 FY2023</t>
        </is>
      </c>
      <c r="V1" s="2" t="inlineStr">
        <is>
          <t>Q1 FY2024</t>
        </is>
      </c>
      <c r="W1" s="2" t="inlineStr">
        <is>
          <t>Q2 FY2024</t>
        </is>
      </c>
      <c r="X1" s="2" t="inlineStr">
        <is>
          <t>Q3 FY2024</t>
        </is>
      </c>
      <c r="Y1" s="2" t="inlineStr">
        <is>
          <t>Q4 FY2024</t>
        </is>
      </c>
      <c r="Z1" s="2" t="inlineStr">
        <is>
          <t>Q1 FY2025</t>
        </is>
      </c>
      <c r="AA1" s="2" t="inlineStr">
        <is>
          <t>Q2 FY2025</t>
        </is>
      </c>
      <c r="AB1" s="2" t="inlineStr">
        <is>
          <t>Q3 FY2025</t>
        </is>
      </c>
      <c r="AC1" s="2" t="inlineStr">
        <is>
          <t>Q4 FY2025</t>
        </is>
      </c>
      <c r="AD1" s="2" t="inlineStr">
        <is>
          <t>Q1 FY2026E</t>
        </is>
      </c>
      <c r="AE1" s="2" t="inlineStr">
        <is>
          <t>Q2 FY2026E</t>
        </is>
      </c>
      <c r="AF1" s="2" t="inlineStr">
        <is>
          <t>Q3 FY2026E</t>
        </is>
      </c>
      <c r="AG1" s="2" t="inlineStr">
        <is>
          <t>Q4 FY2026E</t>
        </is>
      </c>
      <c r="AH1" s="2" t="inlineStr">
        <is>
          <t>Q1 FY2027E</t>
        </is>
      </c>
      <c r="AI1" s="2" t="inlineStr">
        <is>
          <t>Q2 FY2027E</t>
        </is>
      </c>
      <c r="AJ1" s="2" t="inlineStr">
        <is>
          <t>Q3 FY2027E</t>
        </is>
      </c>
      <c r="AK1" s="2" t="inlineStr">
        <is>
          <t>Q4 FY2027E</t>
        </is>
      </c>
      <c r="AL1" s="2" t="inlineStr">
        <is>
          <t>Q1 FY2028E</t>
        </is>
      </c>
      <c r="AM1" s="2" t="inlineStr">
        <is>
          <t>Q2 FY2028E</t>
        </is>
      </c>
      <c r="AN1" s="2" t="inlineStr">
        <is>
          <t>Q3 FY2028E</t>
        </is>
      </c>
      <c r="AO1" s="2" t="inlineStr">
        <is>
          <t>Q4 FY2028E</t>
        </is>
      </c>
      <c r="AP1" s="2" t="inlineStr">
        <is>
          <t>Q1 FY2029E</t>
        </is>
      </c>
      <c r="AQ1" s="2" t="inlineStr">
        <is>
          <t>Q2 FY2029E</t>
        </is>
      </c>
      <c r="AR1" s="2" t="inlineStr">
        <is>
          <t>Q3 FY2029E</t>
        </is>
      </c>
      <c r="AS1" s="2" t="inlineStr">
        <is>
          <t>Q4 FY2029E</t>
        </is>
      </c>
      <c r="AT1" s="2" t="inlineStr">
        <is>
          <t>Q1 FY2030E</t>
        </is>
      </c>
      <c r="AU1" s="2" t="inlineStr">
        <is>
          <t>Q2 FY2030E</t>
        </is>
      </c>
      <c r="AV1" s="2" t="inlineStr">
        <is>
          <t>Q3 FY2030E</t>
        </is>
      </c>
      <c r="AW1" s="2" t="inlineStr">
        <is>
          <t>Q4 FY2030E</t>
        </is>
      </c>
    </row>
    <row r="2">
      <c r="A2" s="3" t="inlineStr">
        <is>
          <t>Net Sales / Revenue</t>
        </is>
      </c>
      <c r="B2" s="4">
        <f>'YTD P&amp;L'!B2</f>
        <v/>
      </c>
      <c r="C2" s="4">
        <f>'YTD P&amp;L'!C2-'YTD P&amp;L'!B2</f>
        <v/>
      </c>
      <c r="D2" s="4">
        <f>'YTD P&amp;L'!D2-'YTD P&amp;L'!C2</f>
        <v/>
      </c>
      <c r="E2" s="4">
        <f>'ANNL P&amp;L'!B2-'YTD P&amp;L'!D2</f>
        <v/>
      </c>
      <c r="F2" s="4">
        <f>'YTD P&amp;L'!E2</f>
        <v/>
      </c>
      <c r="G2" s="4">
        <f>'YTD P&amp;L'!F2-'YTD P&amp;L'!E2</f>
        <v/>
      </c>
      <c r="H2" s="4">
        <f>'YTD P&amp;L'!G2-'YTD P&amp;L'!F2</f>
        <v/>
      </c>
      <c r="I2" s="4">
        <f>'ANNL P&amp;L'!C2-'YTD P&amp;L'!G2</f>
        <v/>
      </c>
      <c r="J2" s="4">
        <f>'YTD P&amp;L'!H2</f>
        <v/>
      </c>
      <c r="K2" s="4">
        <f>'YTD P&amp;L'!I2-'YTD P&amp;L'!H2</f>
        <v/>
      </c>
      <c r="L2" s="4">
        <f>'YTD P&amp;L'!J2-'YTD P&amp;L'!I2</f>
        <v/>
      </c>
      <c r="M2" s="4">
        <f>'ANNL P&amp;L'!D2-'YTD P&amp;L'!J2</f>
        <v/>
      </c>
      <c r="N2" s="4">
        <f>'YTD P&amp;L'!K2</f>
        <v/>
      </c>
      <c r="O2" s="4">
        <f>'YTD P&amp;L'!L2-'YTD P&amp;L'!K2</f>
        <v/>
      </c>
      <c r="P2" s="4">
        <f>'YTD P&amp;L'!M2-'YTD P&amp;L'!L2</f>
        <v/>
      </c>
      <c r="Q2" s="4">
        <f>'ANNL P&amp;L'!E2-'YTD P&amp;L'!M2</f>
        <v/>
      </c>
      <c r="R2" s="4">
        <f>'YTD P&amp;L'!N2</f>
        <v/>
      </c>
      <c r="S2" s="4">
        <f>'YTD P&amp;L'!O2-'YTD P&amp;L'!N2</f>
        <v/>
      </c>
      <c r="T2" s="4">
        <f>'YTD P&amp;L'!P2-'YTD P&amp;L'!O2</f>
        <v/>
      </c>
      <c r="U2" s="4">
        <f>'ANNL P&amp;L'!F2-'YTD P&amp;L'!P2</f>
        <v/>
      </c>
      <c r="V2" s="4">
        <f>'YTD P&amp;L'!Q2</f>
        <v/>
      </c>
      <c r="W2" s="4">
        <f>'YTD P&amp;L'!R2-'YTD P&amp;L'!Q2</f>
        <v/>
      </c>
      <c r="X2" s="4">
        <f>'YTD P&amp;L'!S2-'YTD P&amp;L'!R2</f>
        <v/>
      </c>
      <c r="Y2" s="4">
        <f>'ANNL P&amp;L'!G2-'YTD P&amp;L'!S2</f>
        <v/>
      </c>
      <c r="Z2" s="4">
        <f>'YTD P&amp;L'!T2</f>
        <v/>
      </c>
      <c r="AA2" s="4">
        <f>'YTD P&amp;L'!U2-'YTD P&amp;L'!T2</f>
        <v/>
      </c>
      <c r="AB2" s="4">
        <f>'YTD P&amp;L'!V2-'YTD P&amp;L'!U2</f>
        <v/>
      </c>
      <c r="AC2" s="4">
        <f>'ANNL P&amp;L'!H2-'YTD P&amp;L'!V2</f>
        <v/>
      </c>
      <c r="AD2" s="11">
        <f>IF('IS DRIVERS'!$B2="QoQ",'QTR P&amp;L'!AC2,'QTR P&amp;L'!Z2)*(1+'IS DRIVERS'!AE2)</f>
        <v/>
      </c>
      <c r="AE2" s="11">
        <f>IF('IS DRIVERS'!$B2="QoQ",'QTR P&amp;L'!AD2,'QTR P&amp;L'!AA2)*(1+'IS DRIVERS'!AF2)</f>
        <v/>
      </c>
      <c r="AF2" s="11">
        <f>IF('IS DRIVERS'!$B2="QoQ",'QTR P&amp;L'!AE2,'QTR P&amp;L'!AB2)*(1+'IS DRIVERS'!AG2)</f>
        <v/>
      </c>
      <c r="AG2" s="11">
        <f>IF('IS DRIVERS'!$B2="QoQ",'QTR P&amp;L'!AF2,'QTR P&amp;L'!AC2)*(1+'IS DRIVERS'!AH2)</f>
        <v/>
      </c>
      <c r="AH2" s="11">
        <f>IF('IS DRIVERS'!$B2="QoQ",'QTR P&amp;L'!AG2,'QTR P&amp;L'!AD2)*(1+'IS DRIVERS'!AI2)</f>
        <v/>
      </c>
      <c r="AI2" s="11">
        <f>IF('IS DRIVERS'!$B2="QoQ",'QTR P&amp;L'!AH2,'QTR P&amp;L'!AE2)*(1+'IS DRIVERS'!AJ2)</f>
        <v/>
      </c>
      <c r="AJ2" s="11">
        <f>IF('IS DRIVERS'!$B2="QoQ",'QTR P&amp;L'!AI2,'QTR P&amp;L'!AF2)*(1+'IS DRIVERS'!AK2)</f>
        <v/>
      </c>
      <c r="AK2" s="11">
        <f>IF('IS DRIVERS'!$B2="QoQ",'QTR P&amp;L'!AJ2,'QTR P&amp;L'!AG2)*(1+'IS DRIVERS'!AL2)</f>
        <v/>
      </c>
      <c r="AL2" s="11">
        <f>IF('IS DRIVERS'!$B2="QoQ",'QTR P&amp;L'!AK2,'QTR P&amp;L'!AH2)*(1+'IS DRIVERS'!AM2)</f>
        <v/>
      </c>
      <c r="AM2" s="11">
        <f>IF('IS DRIVERS'!$B2="QoQ",'QTR P&amp;L'!AL2,'QTR P&amp;L'!AI2)*(1+'IS DRIVERS'!AN2)</f>
        <v/>
      </c>
      <c r="AN2" s="11">
        <f>IF('IS DRIVERS'!$B2="QoQ",'QTR P&amp;L'!AM2,'QTR P&amp;L'!AJ2)*(1+'IS DRIVERS'!AO2)</f>
        <v/>
      </c>
      <c r="AO2" s="11">
        <f>IF('IS DRIVERS'!$B2="QoQ",'QTR P&amp;L'!AN2,'QTR P&amp;L'!AK2)*(1+'IS DRIVERS'!AP2)</f>
        <v/>
      </c>
      <c r="AP2" s="11">
        <f>IF('IS DRIVERS'!$B2="QoQ",'QTR P&amp;L'!AO2,'QTR P&amp;L'!AL2)*(1+'IS DRIVERS'!AQ2)</f>
        <v/>
      </c>
      <c r="AQ2" s="11">
        <f>IF('IS DRIVERS'!$B2="QoQ",'QTR P&amp;L'!AP2,'QTR P&amp;L'!AM2)*(1+'IS DRIVERS'!AR2)</f>
        <v/>
      </c>
      <c r="AR2" s="11">
        <f>IF('IS DRIVERS'!$B2="QoQ",'QTR P&amp;L'!AQ2,'QTR P&amp;L'!AN2)*(1+'IS DRIVERS'!AS2)</f>
        <v/>
      </c>
      <c r="AS2" s="11">
        <f>IF('IS DRIVERS'!$B2="QoQ",'QTR P&amp;L'!AR2,'QTR P&amp;L'!AO2)*(1+'IS DRIVERS'!AT2)</f>
        <v/>
      </c>
      <c r="AT2" s="11">
        <f>IF('IS DRIVERS'!$B2="QoQ",'QTR P&amp;L'!AS2,'QTR P&amp;L'!AP2)*(1+'IS DRIVERS'!AU2)</f>
        <v/>
      </c>
      <c r="AU2" s="11">
        <f>IF('IS DRIVERS'!$B2="QoQ",'QTR P&amp;L'!AT2,'QTR P&amp;L'!AQ2)*(1+'IS DRIVERS'!AV2)</f>
        <v/>
      </c>
      <c r="AV2" s="11">
        <f>IF('IS DRIVERS'!$B2="QoQ",'QTR P&amp;L'!AU2,'QTR P&amp;L'!AR2)*(1+'IS DRIVERS'!AW2)</f>
        <v/>
      </c>
      <c r="AW2" s="11">
        <f>IF('IS DRIVERS'!$B2="QoQ",'QTR P&amp;L'!AV2,'QTR P&amp;L'!AS2)*(1+'IS DRIVERS'!AX2)</f>
        <v/>
      </c>
    </row>
    <row r="3">
      <c r="A3" s="3" t="inlineStr">
        <is>
          <t>COGS</t>
        </is>
      </c>
      <c r="B3" s="4">
        <f>'YTD P&amp;L'!B3</f>
        <v/>
      </c>
      <c r="C3" s="4">
        <f>'YTD P&amp;L'!C3-'YTD P&amp;L'!B3</f>
        <v/>
      </c>
      <c r="D3" s="4">
        <f>'YTD P&amp;L'!D3-'YTD P&amp;L'!C3</f>
        <v/>
      </c>
      <c r="E3" s="4">
        <f>'ANNL P&amp;L'!B3-'YTD P&amp;L'!D3</f>
        <v/>
      </c>
      <c r="F3" s="4">
        <f>'YTD P&amp;L'!E3</f>
        <v/>
      </c>
      <c r="G3" s="4">
        <f>'YTD P&amp;L'!F3-'YTD P&amp;L'!E3</f>
        <v/>
      </c>
      <c r="H3" s="4">
        <f>'YTD P&amp;L'!G3-'YTD P&amp;L'!F3</f>
        <v/>
      </c>
      <c r="I3" s="4">
        <f>'ANNL P&amp;L'!C3-'YTD P&amp;L'!G3</f>
        <v/>
      </c>
      <c r="J3" s="4">
        <f>'YTD P&amp;L'!H3</f>
        <v/>
      </c>
      <c r="K3" s="4">
        <f>'YTD P&amp;L'!I3-'YTD P&amp;L'!H3</f>
        <v/>
      </c>
      <c r="L3" s="4">
        <f>'YTD P&amp;L'!J3-'YTD P&amp;L'!I3</f>
        <v/>
      </c>
      <c r="M3" s="4">
        <f>'ANNL P&amp;L'!D3-'YTD P&amp;L'!J3</f>
        <v/>
      </c>
      <c r="N3" s="4">
        <f>'YTD P&amp;L'!K3</f>
        <v/>
      </c>
      <c r="O3" s="4">
        <f>'YTD P&amp;L'!L3-'YTD P&amp;L'!K3</f>
        <v/>
      </c>
      <c r="P3" s="4">
        <f>'YTD P&amp;L'!M3-'YTD P&amp;L'!L3</f>
        <v/>
      </c>
      <c r="Q3" s="4">
        <f>'ANNL P&amp;L'!E3-'YTD P&amp;L'!M3</f>
        <v/>
      </c>
      <c r="R3" s="4">
        <f>'YTD P&amp;L'!N3</f>
        <v/>
      </c>
      <c r="S3" s="4">
        <f>'YTD P&amp;L'!O3-'YTD P&amp;L'!N3</f>
        <v/>
      </c>
      <c r="T3" s="4">
        <f>'YTD P&amp;L'!P3-'YTD P&amp;L'!O3</f>
        <v/>
      </c>
      <c r="U3" s="4">
        <f>'ANNL P&amp;L'!F3-'YTD P&amp;L'!P3</f>
        <v/>
      </c>
      <c r="V3" s="4">
        <f>'YTD P&amp;L'!Q3</f>
        <v/>
      </c>
      <c r="W3" s="4">
        <f>'YTD P&amp;L'!R3-'YTD P&amp;L'!Q3</f>
        <v/>
      </c>
      <c r="X3" s="4">
        <f>'YTD P&amp;L'!S3-'YTD P&amp;L'!R3</f>
        <v/>
      </c>
      <c r="Y3" s="4">
        <f>'ANNL P&amp;L'!G3-'YTD P&amp;L'!S3</f>
        <v/>
      </c>
      <c r="Z3" s="4">
        <f>'YTD P&amp;L'!T3</f>
        <v/>
      </c>
      <c r="AA3" s="4">
        <f>'YTD P&amp;L'!U3-'YTD P&amp;L'!T3</f>
        <v/>
      </c>
      <c r="AB3" s="4">
        <f>'YTD P&amp;L'!V3-'YTD P&amp;L'!U3</f>
        <v/>
      </c>
      <c r="AC3" s="4">
        <f>'ANNL P&amp;L'!H3-'YTD P&amp;L'!V3</f>
        <v/>
      </c>
      <c r="AD3" s="11">
        <f>'QTR P&amp;L'!AD2*'IS DRIVERS'!AE3</f>
        <v/>
      </c>
      <c r="AE3" s="11">
        <f>'QTR P&amp;L'!AE2*'IS DRIVERS'!AF3</f>
        <v/>
      </c>
      <c r="AF3" s="11">
        <f>'QTR P&amp;L'!AF2*'IS DRIVERS'!AG3</f>
        <v/>
      </c>
      <c r="AG3" s="11">
        <f>'QTR P&amp;L'!AG2*'IS DRIVERS'!AH3</f>
        <v/>
      </c>
      <c r="AH3" s="11">
        <f>'QTR P&amp;L'!AH2*'IS DRIVERS'!AI3</f>
        <v/>
      </c>
      <c r="AI3" s="11">
        <f>'QTR P&amp;L'!AI2*'IS DRIVERS'!AJ3</f>
        <v/>
      </c>
      <c r="AJ3" s="11">
        <f>'QTR P&amp;L'!AJ2*'IS DRIVERS'!AK3</f>
        <v/>
      </c>
      <c r="AK3" s="11">
        <f>'QTR P&amp;L'!AK2*'IS DRIVERS'!AL3</f>
        <v/>
      </c>
      <c r="AL3" s="11">
        <f>'QTR P&amp;L'!AL2*'IS DRIVERS'!AM3</f>
        <v/>
      </c>
      <c r="AM3" s="11">
        <f>'QTR P&amp;L'!AM2*'IS DRIVERS'!AN3</f>
        <v/>
      </c>
      <c r="AN3" s="11">
        <f>'QTR P&amp;L'!AN2*'IS DRIVERS'!AO3</f>
        <v/>
      </c>
      <c r="AO3" s="11">
        <f>'QTR P&amp;L'!AO2*'IS DRIVERS'!AP3</f>
        <v/>
      </c>
      <c r="AP3" s="11">
        <f>'QTR P&amp;L'!AP2*'IS DRIVERS'!AQ3</f>
        <v/>
      </c>
      <c r="AQ3" s="11">
        <f>'QTR P&amp;L'!AQ2*'IS DRIVERS'!AR3</f>
        <v/>
      </c>
      <c r="AR3" s="11">
        <f>'QTR P&amp;L'!AR2*'IS DRIVERS'!AS3</f>
        <v/>
      </c>
      <c r="AS3" s="11">
        <f>'QTR P&amp;L'!AS2*'IS DRIVERS'!AT3</f>
        <v/>
      </c>
      <c r="AT3" s="11">
        <f>'QTR P&amp;L'!AT2*'IS DRIVERS'!AU3</f>
        <v/>
      </c>
      <c r="AU3" s="11">
        <f>'QTR P&amp;L'!AU2*'IS DRIVERS'!AV3</f>
        <v/>
      </c>
      <c r="AV3" s="11">
        <f>'QTR P&amp;L'!AV2*'IS DRIVERS'!AW3</f>
        <v/>
      </c>
      <c r="AW3" s="11">
        <f>'QTR P&amp;L'!AW2*'IS DRIVERS'!AX3</f>
        <v/>
      </c>
    </row>
    <row r="4">
      <c r="A4" s="3" t="inlineStr">
        <is>
          <t>Gross Profit (Loss)</t>
        </is>
      </c>
      <c r="B4" s="6">
        <f>'YTD P&amp;L'!B4</f>
        <v/>
      </c>
      <c r="C4" s="6">
        <f>'YTD P&amp;L'!C4-'YTD P&amp;L'!B4</f>
        <v/>
      </c>
      <c r="D4" s="6">
        <f>'YTD P&amp;L'!D4-'YTD P&amp;L'!C4</f>
        <v/>
      </c>
      <c r="E4" s="6">
        <f>'ANNL P&amp;L'!B4-'YTD P&amp;L'!D4</f>
        <v/>
      </c>
      <c r="F4" s="6">
        <f>'YTD P&amp;L'!E4</f>
        <v/>
      </c>
      <c r="G4" s="6">
        <f>'YTD P&amp;L'!F4-'YTD P&amp;L'!E4</f>
        <v/>
      </c>
      <c r="H4" s="6">
        <f>'YTD P&amp;L'!G4-'YTD P&amp;L'!F4</f>
        <v/>
      </c>
      <c r="I4" s="6">
        <f>'ANNL P&amp;L'!C4-'YTD P&amp;L'!G4</f>
        <v/>
      </c>
      <c r="J4" s="6">
        <f>'YTD P&amp;L'!H4</f>
        <v/>
      </c>
      <c r="K4" s="6">
        <f>'YTD P&amp;L'!I4-'YTD P&amp;L'!H4</f>
        <v/>
      </c>
      <c r="L4" s="6">
        <f>'YTD P&amp;L'!J4-'YTD P&amp;L'!I4</f>
        <v/>
      </c>
      <c r="M4" s="6">
        <f>'ANNL P&amp;L'!D4-'YTD P&amp;L'!J4</f>
        <v/>
      </c>
      <c r="N4" s="6">
        <f>'YTD P&amp;L'!K4</f>
        <v/>
      </c>
      <c r="O4" s="6">
        <f>'YTD P&amp;L'!L4-'YTD P&amp;L'!K4</f>
        <v/>
      </c>
      <c r="P4" s="6">
        <f>'YTD P&amp;L'!M4-'YTD P&amp;L'!L4</f>
        <v/>
      </c>
      <c r="Q4" s="6">
        <f>'ANNL P&amp;L'!E4-'YTD P&amp;L'!M4</f>
        <v/>
      </c>
      <c r="R4" s="6">
        <f>'YTD P&amp;L'!N4</f>
        <v/>
      </c>
      <c r="S4" s="6">
        <f>'YTD P&amp;L'!O4-'YTD P&amp;L'!N4</f>
        <v/>
      </c>
      <c r="T4" s="6">
        <f>'YTD P&amp;L'!P4-'YTD P&amp;L'!O4</f>
        <v/>
      </c>
      <c r="U4" s="6">
        <f>'ANNL P&amp;L'!F4-'YTD P&amp;L'!P4</f>
        <v/>
      </c>
      <c r="V4" s="6">
        <f>'YTD P&amp;L'!Q4</f>
        <v/>
      </c>
      <c r="W4" s="6">
        <f>'YTD P&amp;L'!R4-'YTD P&amp;L'!Q4</f>
        <v/>
      </c>
      <c r="X4" s="6">
        <f>'YTD P&amp;L'!S4-'YTD P&amp;L'!R4</f>
        <v/>
      </c>
      <c r="Y4" s="6">
        <f>'ANNL P&amp;L'!G4-'YTD P&amp;L'!S4</f>
        <v/>
      </c>
      <c r="Z4" s="6">
        <f>'YTD P&amp;L'!T4</f>
        <v/>
      </c>
      <c r="AA4" s="6">
        <f>'YTD P&amp;L'!U4-'YTD P&amp;L'!T4</f>
        <v/>
      </c>
      <c r="AB4" s="6">
        <f>'YTD P&amp;L'!V4-'YTD P&amp;L'!U4</f>
        <v/>
      </c>
      <c r="AC4" s="6">
        <f>'ANNL P&amp;L'!H4-'YTD P&amp;L'!V4</f>
        <v/>
      </c>
      <c r="AD4" s="7">
        <f>AD2+AD3</f>
        <v/>
      </c>
      <c r="AE4" s="7">
        <f>AE2+AE3</f>
        <v/>
      </c>
      <c r="AF4" s="7">
        <f>AF2+AF3</f>
        <v/>
      </c>
      <c r="AG4" s="7">
        <f>AG2+AG3</f>
        <v/>
      </c>
      <c r="AH4" s="7">
        <f>AH2+AH3</f>
        <v/>
      </c>
      <c r="AI4" s="7">
        <f>AI2+AI3</f>
        <v/>
      </c>
      <c r="AJ4" s="7">
        <f>AJ2+AJ3</f>
        <v/>
      </c>
      <c r="AK4" s="7">
        <f>AK2+AK3</f>
        <v/>
      </c>
      <c r="AL4" s="7">
        <f>AL2+AL3</f>
        <v/>
      </c>
      <c r="AM4" s="7">
        <f>AM2+AM3</f>
        <v/>
      </c>
      <c r="AN4" s="7">
        <f>AN2+AN3</f>
        <v/>
      </c>
      <c r="AO4" s="7">
        <f>AO2+AO3</f>
        <v/>
      </c>
      <c r="AP4" s="7">
        <f>AP2+AP3</f>
        <v/>
      </c>
      <c r="AQ4" s="7">
        <f>AQ2+AQ3</f>
        <v/>
      </c>
      <c r="AR4" s="7">
        <f>AR2+AR3</f>
        <v/>
      </c>
      <c r="AS4" s="7">
        <f>AS2+AS3</f>
        <v/>
      </c>
      <c r="AT4" s="7">
        <f>AT2+AT3</f>
        <v/>
      </c>
      <c r="AU4" s="7">
        <f>AU2+AU3</f>
        <v/>
      </c>
      <c r="AV4" s="7">
        <f>AV2+AV3</f>
        <v/>
      </c>
      <c r="AW4" s="7">
        <f>AW2+AW3</f>
        <v/>
      </c>
    </row>
    <row r="5">
      <c r="A5" s="3" t="inlineStr">
        <is>
          <t>Sales and Marketing</t>
        </is>
      </c>
      <c r="B5" s="4">
        <f>'YTD P&amp;L'!B5</f>
        <v/>
      </c>
      <c r="C5" s="4">
        <f>'YTD P&amp;L'!C5-'YTD P&amp;L'!B5</f>
        <v/>
      </c>
      <c r="D5" s="4">
        <f>'YTD P&amp;L'!D5-'YTD P&amp;L'!C5</f>
        <v/>
      </c>
      <c r="E5" s="4">
        <f>'ANNL P&amp;L'!B5-'YTD P&amp;L'!D5</f>
        <v/>
      </c>
      <c r="F5" s="4">
        <f>'YTD P&amp;L'!E5</f>
        <v/>
      </c>
      <c r="G5" s="4">
        <f>'YTD P&amp;L'!F5-'YTD P&amp;L'!E5</f>
        <v/>
      </c>
      <c r="H5" s="4">
        <f>'YTD P&amp;L'!G5-'YTD P&amp;L'!F5</f>
        <v/>
      </c>
      <c r="I5" s="4">
        <f>'ANNL P&amp;L'!C5-'YTD P&amp;L'!G5</f>
        <v/>
      </c>
      <c r="J5" s="4">
        <f>'YTD P&amp;L'!H5</f>
        <v/>
      </c>
      <c r="K5" s="4">
        <f>'YTD P&amp;L'!I5-'YTD P&amp;L'!H5</f>
        <v/>
      </c>
      <c r="L5" s="4">
        <f>'YTD P&amp;L'!J5-'YTD P&amp;L'!I5</f>
        <v/>
      </c>
      <c r="M5" s="4">
        <f>'ANNL P&amp;L'!D5-'YTD P&amp;L'!J5</f>
        <v/>
      </c>
      <c r="N5" s="4">
        <f>'YTD P&amp;L'!K5</f>
        <v/>
      </c>
      <c r="O5" s="4">
        <f>'YTD P&amp;L'!L5-'YTD P&amp;L'!K5</f>
        <v/>
      </c>
      <c r="P5" s="4">
        <f>'YTD P&amp;L'!M5-'YTD P&amp;L'!L5</f>
        <v/>
      </c>
      <c r="Q5" s="4">
        <f>'ANNL P&amp;L'!E5-'YTD P&amp;L'!M5</f>
        <v/>
      </c>
      <c r="R5" s="4">
        <f>'YTD P&amp;L'!N5</f>
        <v/>
      </c>
      <c r="S5" s="4">
        <f>'YTD P&amp;L'!O5-'YTD P&amp;L'!N5</f>
        <v/>
      </c>
      <c r="T5" s="4">
        <f>'YTD P&amp;L'!P5-'YTD P&amp;L'!O5</f>
        <v/>
      </c>
      <c r="U5" s="4">
        <f>'ANNL P&amp;L'!F5-'YTD P&amp;L'!P5</f>
        <v/>
      </c>
      <c r="V5" s="4">
        <f>'YTD P&amp;L'!Q5</f>
        <v/>
      </c>
      <c r="W5" s="4">
        <f>'YTD P&amp;L'!R5-'YTD P&amp;L'!Q5</f>
        <v/>
      </c>
      <c r="X5" s="4">
        <f>'YTD P&amp;L'!S5-'YTD P&amp;L'!R5</f>
        <v/>
      </c>
      <c r="Y5" s="4">
        <f>'ANNL P&amp;L'!G5-'YTD P&amp;L'!S5</f>
        <v/>
      </c>
      <c r="Z5" s="4">
        <f>'YTD P&amp;L'!T5</f>
        <v/>
      </c>
      <c r="AA5" s="4">
        <f>'YTD P&amp;L'!U5-'YTD P&amp;L'!T5</f>
        <v/>
      </c>
      <c r="AB5" s="4">
        <f>'YTD P&amp;L'!V5-'YTD P&amp;L'!U5</f>
        <v/>
      </c>
      <c r="AC5" s="4">
        <f>'ANNL P&amp;L'!H5-'YTD P&amp;L'!V5</f>
        <v/>
      </c>
      <c r="AD5" s="11">
        <f>'QTR P&amp;L'!AD2*'IS DRIVERS'!AE4</f>
        <v/>
      </c>
      <c r="AE5" s="11">
        <f>'QTR P&amp;L'!AE2*'IS DRIVERS'!AF4</f>
        <v/>
      </c>
      <c r="AF5" s="11">
        <f>'QTR P&amp;L'!AF2*'IS DRIVERS'!AG4</f>
        <v/>
      </c>
      <c r="AG5" s="11">
        <f>'QTR P&amp;L'!AG2*'IS DRIVERS'!AH4</f>
        <v/>
      </c>
      <c r="AH5" s="11">
        <f>'QTR P&amp;L'!AH2*'IS DRIVERS'!AI4</f>
        <v/>
      </c>
      <c r="AI5" s="11">
        <f>'QTR P&amp;L'!AI2*'IS DRIVERS'!AJ4</f>
        <v/>
      </c>
      <c r="AJ5" s="11">
        <f>'QTR P&amp;L'!AJ2*'IS DRIVERS'!AK4</f>
        <v/>
      </c>
      <c r="AK5" s="11">
        <f>'QTR P&amp;L'!AK2*'IS DRIVERS'!AL4</f>
        <v/>
      </c>
      <c r="AL5" s="11">
        <f>'QTR P&amp;L'!AL2*'IS DRIVERS'!AM4</f>
        <v/>
      </c>
      <c r="AM5" s="11">
        <f>'QTR P&amp;L'!AM2*'IS DRIVERS'!AN4</f>
        <v/>
      </c>
      <c r="AN5" s="11">
        <f>'QTR P&amp;L'!AN2*'IS DRIVERS'!AO4</f>
        <v/>
      </c>
      <c r="AO5" s="11">
        <f>'QTR P&amp;L'!AO2*'IS DRIVERS'!AP4</f>
        <v/>
      </c>
      <c r="AP5" s="11">
        <f>'QTR P&amp;L'!AP2*'IS DRIVERS'!AQ4</f>
        <v/>
      </c>
      <c r="AQ5" s="11">
        <f>'QTR P&amp;L'!AQ2*'IS DRIVERS'!AR4</f>
        <v/>
      </c>
      <c r="AR5" s="11">
        <f>'QTR P&amp;L'!AR2*'IS DRIVERS'!AS4</f>
        <v/>
      </c>
      <c r="AS5" s="11">
        <f>'QTR P&amp;L'!AS2*'IS DRIVERS'!AT4</f>
        <v/>
      </c>
      <c r="AT5" s="11">
        <f>'QTR P&amp;L'!AT2*'IS DRIVERS'!AU4</f>
        <v/>
      </c>
      <c r="AU5" s="11">
        <f>'QTR P&amp;L'!AU2*'IS DRIVERS'!AV4</f>
        <v/>
      </c>
      <c r="AV5" s="11">
        <f>'QTR P&amp;L'!AV2*'IS DRIVERS'!AW4</f>
        <v/>
      </c>
      <c r="AW5" s="11">
        <f>'QTR P&amp;L'!AW2*'IS DRIVERS'!AX4</f>
        <v/>
      </c>
    </row>
    <row r="6">
      <c r="A6" s="3" t="inlineStr">
        <is>
          <t>General and Administrative</t>
        </is>
      </c>
      <c r="B6" s="4">
        <f>'YTD P&amp;L'!B6</f>
        <v/>
      </c>
      <c r="C6" s="4">
        <f>'YTD P&amp;L'!C6-'YTD P&amp;L'!B6</f>
        <v/>
      </c>
      <c r="D6" s="4">
        <f>'YTD P&amp;L'!D6-'YTD P&amp;L'!C6</f>
        <v/>
      </c>
      <c r="E6" s="4">
        <f>'ANNL P&amp;L'!B6-'YTD P&amp;L'!D6</f>
        <v/>
      </c>
      <c r="F6" s="4">
        <f>'YTD P&amp;L'!E6</f>
        <v/>
      </c>
      <c r="G6" s="4">
        <f>'YTD P&amp;L'!F6-'YTD P&amp;L'!E6</f>
        <v/>
      </c>
      <c r="H6" s="4">
        <f>'YTD P&amp;L'!G6-'YTD P&amp;L'!F6</f>
        <v/>
      </c>
      <c r="I6" s="4">
        <f>'ANNL P&amp;L'!C6-'YTD P&amp;L'!G6</f>
        <v/>
      </c>
      <c r="J6" s="4">
        <f>'YTD P&amp;L'!H6</f>
        <v/>
      </c>
      <c r="K6" s="4">
        <f>'YTD P&amp;L'!I6-'YTD P&amp;L'!H6</f>
        <v/>
      </c>
      <c r="L6" s="4">
        <f>'YTD P&amp;L'!J6-'YTD P&amp;L'!I6</f>
        <v/>
      </c>
      <c r="M6" s="4">
        <f>'ANNL P&amp;L'!D6-'YTD P&amp;L'!J6</f>
        <v/>
      </c>
      <c r="N6" s="4">
        <f>'YTD P&amp;L'!K6</f>
        <v/>
      </c>
      <c r="O6" s="4">
        <f>'YTD P&amp;L'!L6-'YTD P&amp;L'!K6</f>
        <v/>
      </c>
      <c r="P6" s="4">
        <f>'YTD P&amp;L'!M6-'YTD P&amp;L'!L6</f>
        <v/>
      </c>
      <c r="Q6" s="4">
        <f>'ANNL P&amp;L'!E6-'YTD P&amp;L'!M6</f>
        <v/>
      </c>
      <c r="R6" s="4">
        <f>'YTD P&amp;L'!N6</f>
        <v/>
      </c>
      <c r="S6" s="4">
        <f>'YTD P&amp;L'!O6-'YTD P&amp;L'!N6</f>
        <v/>
      </c>
      <c r="T6" s="4">
        <f>'YTD P&amp;L'!P6-'YTD P&amp;L'!O6</f>
        <v/>
      </c>
      <c r="U6" s="4">
        <f>'ANNL P&amp;L'!F6-'YTD P&amp;L'!P6</f>
        <v/>
      </c>
      <c r="V6" s="4">
        <f>'YTD P&amp;L'!Q6</f>
        <v/>
      </c>
      <c r="W6" s="4">
        <f>'YTD P&amp;L'!R6-'YTD P&amp;L'!Q6</f>
        <v/>
      </c>
      <c r="X6" s="4">
        <f>'YTD P&amp;L'!S6-'YTD P&amp;L'!R6</f>
        <v/>
      </c>
      <c r="Y6" s="4">
        <f>'ANNL P&amp;L'!G6-'YTD P&amp;L'!S6</f>
        <v/>
      </c>
      <c r="Z6" s="4">
        <f>'YTD P&amp;L'!T6</f>
        <v/>
      </c>
      <c r="AA6" s="4">
        <f>'YTD P&amp;L'!U6-'YTD P&amp;L'!T6</f>
        <v/>
      </c>
      <c r="AB6" s="4">
        <f>'YTD P&amp;L'!V6-'YTD P&amp;L'!U6</f>
        <v/>
      </c>
      <c r="AC6" s="4">
        <f>'ANNL P&amp;L'!H6-'YTD P&amp;L'!V6</f>
        <v/>
      </c>
      <c r="AD6" s="11">
        <f>'QTR P&amp;L'!AD2*'IS DRIVERS'!AE5</f>
        <v/>
      </c>
      <c r="AE6" s="11">
        <f>'QTR P&amp;L'!AE2*'IS DRIVERS'!AF5</f>
        <v/>
      </c>
      <c r="AF6" s="11">
        <f>'QTR P&amp;L'!AF2*'IS DRIVERS'!AG5</f>
        <v/>
      </c>
      <c r="AG6" s="11">
        <f>'QTR P&amp;L'!AG2*'IS DRIVERS'!AH5</f>
        <v/>
      </c>
      <c r="AH6" s="11">
        <f>'QTR P&amp;L'!AH2*'IS DRIVERS'!AI5</f>
        <v/>
      </c>
      <c r="AI6" s="11">
        <f>'QTR P&amp;L'!AI2*'IS DRIVERS'!AJ5</f>
        <v/>
      </c>
      <c r="AJ6" s="11">
        <f>'QTR P&amp;L'!AJ2*'IS DRIVERS'!AK5</f>
        <v/>
      </c>
      <c r="AK6" s="11">
        <f>'QTR P&amp;L'!AK2*'IS DRIVERS'!AL5</f>
        <v/>
      </c>
      <c r="AL6" s="11">
        <f>'QTR P&amp;L'!AL2*'IS DRIVERS'!AM5</f>
        <v/>
      </c>
      <c r="AM6" s="11">
        <f>'QTR P&amp;L'!AM2*'IS DRIVERS'!AN5</f>
        <v/>
      </c>
      <c r="AN6" s="11">
        <f>'QTR P&amp;L'!AN2*'IS DRIVERS'!AO5</f>
        <v/>
      </c>
      <c r="AO6" s="11">
        <f>'QTR P&amp;L'!AO2*'IS DRIVERS'!AP5</f>
        <v/>
      </c>
      <c r="AP6" s="11">
        <f>'QTR P&amp;L'!AP2*'IS DRIVERS'!AQ5</f>
        <v/>
      </c>
      <c r="AQ6" s="11">
        <f>'QTR P&amp;L'!AQ2*'IS DRIVERS'!AR5</f>
        <v/>
      </c>
      <c r="AR6" s="11">
        <f>'QTR P&amp;L'!AR2*'IS DRIVERS'!AS5</f>
        <v/>
      </c>
      <c r="AS6" s="11">
        <f>'QTR P&amp;L'!AS2*'IS DRIVERS'!AT5</f>
        <v/>
      </c>
      <c r="AT6" s="11">
        <f>'QTR P&amp;L'!AT2*'IS DRIVERS'!AU5</f>
        <v/>
      </c>
      <c r="AU6" s="11">
        <f>'QTR P&amp;L'!AU2*'IS DRIVERS'!AV5</f>
        <v/>
      </c>
      <c r="AV6" s="11">
        <f>'QTR P&amp;L'!AV2*'IS DRIVERS'!AW5</f>
        <v/>
      </c>
      <c r="AW6" s="11">
        <f>'QTR P&amp;L'!AW2*'IS DRIVERS'!AX5</f>
        <v/>
      </c>
    </row>
    <row r="7">
      <c r="A7" s="3" t="inlineStr">
        <is>
          <t>Operating Expenses</t>
        </is>
      </c>
      <c r="B7" s="4">
        <f>'YTD P&amp;L'!B7</f>
        <v/>
      </c>
      <c r="C7" s="4">
        <f>'YTD P&amp;L'!C7-'YTD P&amp;L'!B7</f>
        <v/>
      </c>
      <c r="D7" s="4">
        <f>'YTD P&amp;L'!D7-'YTD P&amp;L'!C7</f>
        <v/>
      </c>
      <c r="E7" s="4">
        <f>'ANNL P&amp;L'!B7-'YTD P&amp;L'!D7</f>
        <v/>
      </c>
      <c r="F7" s="4">
        <f>'YTD P&amp;L'!E7</f>
        <v/>
      </c>
      <c r="G7" s="4">
        <f>'YTD P&amp;L'!F7-'YTD P&amp;L'!E7</f>
        <v/>
      </c>
      <c r="H7" s="4">
        <f>'YTD P&amp;L'!G7-'YTD P&amp;L'!F7</f>
        <v/>
      </c>
      <c r="I7" s="4">
        <f>'ANNL P&amp;L'!C7-'YTD P&amp;L'!G7</f>
        <v/>
      </c>
      <c r="J7" s="4">
        <f>'YTD P&amp;L'!H7</f>
        <v/>
      </c>
      <c r="K7" s="4">
        <f>'YTD P&amp;L'!I7-'YTD P&amp;L'!H7</f>
        <v/>
      </c>
      <c r="L7" s="4">
        <f>'YTD P&amp;L'!J7-'YTD P&amp;L'!I7</f>
        <v/>
      </c>
      <c r="M7" s="4">
        <f>'ANNL P&amp;L'!D7-'YTD P&amp;L'!J7</f>
        <v/>
      </c>
      <c r="N7" s="4">
        <f>'YTD P&amp;L'!K7</f>
        <v/>
      </c>
      <c r="O7" s="4">
        <f>'YTD P&amp;L'!L7-'YTD P&amp;L'!K7</f>
        <v/>
      </c>
      <c r="P7" s="4">
        <f>'YTD P&amp;L'!M7-'YTD P&amp;L'!L7</f>
        <v/>
      </c>
      <c r="Q7" s="4">
        <f>'ANNL P&amp;L'!E7-'YTD P&amp;L'!M7</f>
        <v/>
      </c>
      <c r="R7" s="4">
        <f>'YTD P&amp;L'!N7</f>
        <v/>
      </c>
      <c r="S7" s="4">
        <f>'YTD P&amp;L'!O7-'YTD P&amp;L'!N7</f>
        <v/>
      </c>
      <c r="T7" s="4">
        <f>'YTD P&amp;L'!P7-'YTD P&amp;L'!O7</f>
        <v/>
      </c>
      <c r="U7" s="4">
        <f>'ANNL P&amp;L'!F7-'YTD P&amp;L'!P7</f>
        <v/>
      </c>
      <c r="V7" s="4">
        <f>'YTD P&amp;L'!Q7</f>
        <v/>
      </c>
      <c r="W7" s="4">
        <f>'YTD P&amp;L'!R7-'YTD P&amp;L'!Q7</f>
        <v/>
      </c>
      <c r="X7" s="4">
        <f>'YTD P&amp;L'!S7-'YTD P&amp;L'!R7</f>
        <v/>
      </c>
      <c r="Y7" s="4">
        <f>'ANNL P&amp;L'!G7-'YTD P&amp;L'!S7</f>
        <v/>
      </c>
      <c r="Z7" s="4">
        <f>'YTD P&amp;L'!T7</f>
        <v/>
      </c>
      <c r="AA7" s="4">
        <f>'YTD P&amp;L'!U7-'YTD P&amp;L'!T7</f>
        <v/>
      </c>
      <c r="AB7" s="4">
        <f>'YTD P&amp;L'!V7-'YTD P&amp;L'!U7</f>
        <v/>
      </c>
      <c r="AC7" s="4">
        <f>'ANNL P&amp;L'!H7-'YTD P&amp;L'!V7</f>
        <v/>
      </c>
      <c r="AD7" s="11">
        <f>'QTR P&amp;L'!AD2*'IS DRIVERS'!AE6</f>
        <v/>
      </c>
      <c r="AE7" s="11">
        <f>'QTR P&amp;L'!AE2*'IS DRIVERS'!AF6</f>
        <v/>
      </c>
      <c r="AF7" s="11">
        <f>'QTR P&amp;L'!AF2*'IS DRIVERS'!AG6</f>
        <v/>
      </c>
      <c r="AG7" s="11">
        <f>'QTR P&amp;L'!AG2*'IS DRIVERS'!AH6</f>
        <v/>
      </c>
      <c r="AH7" s="11">
        <f>'QTR P&amp;L'!AH2*'IS DRIVERS'!AI6</f>
        <v/>
      </c>
      <c r="AI7" s="11">
        <f>'QTR P&amp;L'!AI2*'IS DRIVERS'!AJ6</f>
        <v/>
      </c>
      <c r="AJ7" s="11">
        <f>'QTR P&amp;L'!AJ2*'IS DRIVERS'!AK6</f>
        <v/>
      </c>
      <c r="AK7" s="11">
        <f>'QTR P&amp;L'!AK2*'IS DRIVERS'!AL6</f>
        <v/>
      </c>
      <c r="AL7" s="11">
        <f>'QTR P&amp;L'!AL2*'IS DRIVERS'!AM6</f>
        <v/>
      </c>
      <c r="AM7" s="11">
        <f>'QTR P&amp;L'!AM2*'IS DRIVERS'!AN6</f>
        <v/>
      </c>
      <c r="AN7" s="11">
        <f>'QTR P&amp;L'!AN2*'IS DRIVERS'!AO6</f>
        <v/>
      </c>
      <c r="AO7" s="11">
        <f>'QTR P&amp;L'!AO2*'IS DRIVERS'!AP6</f>
        <v/>
      </c>
      <c r="AP7" s="11">
        <f>'QTR P&amp;L'!AP2*'IS DRIVERS'!AQ6</f>
        <v/>
      </c>
      <c r="AQ7" s="11">
        <f>'QTR P&amp;L'!AQ2*'IS DRIVERS'!AR6</f>
        <v/>
      </c>
      <c r="AR7" s="11">
        <f>'QTR P&amp;L'!AR2*'IS DRIVERS'!AS6</f>
        <v/>
      </c>
      <c r="AS7" s="11">
        <f>'QTR P&amp;L'!AS2*'IS DRIVERS'!AT6</f>
        <v/>
      </c>
      <c r="AT7" s="11">
        <f>'QTR P&amp;L'!AT2*'IS DRIVERS'!AU6</f>
        <v/>
      </c>
      <c r="AU7" s="11">
        <f>'QTR P&amp;L'!AU2*'IS DRIVERS'!AV6</f>
        <v/>
      </c>
      <c r="AV7" s="11">
        <f>'QTR P&amp;L'!AV2*'IS DRIVERS'!AW6</f>
        <v/>
      </c>
      <c r="AW7" s="11">
        <f>'QTR P&amp;L'!AW2*'IS DRIVERS'!AX6</f>
        <v/>
      </c>
    </row>
    <row r="8">
      <c r="A8" s="3" t="inlineStr">
        <is>
          <t>SG&amp;A</t>
        </is>
      </c>
      <c r="B8" s="4">
        <f>'YTD P&amp;L'!B8</f>
        <v/>
      </c>
      <c r="C8" s="4">
        <f>'YTD P&amp;L'!C8-'YTD P&amp;L'!B8</f>
        <v/>
      </c>
      <c r="D8" s="4">
        <f>'YTD P&amp;L'!D8-'YTD P&amp;L'!C8</f>
        <v/>
      </c>
      <c r="E8" s="4">
        <f>'ANNL P&amp;L'!B8-'YTD P&amp;L'!D8</f>
        <v/>
      </c>
      <c r="F8" s="4">
        <f>'YTD P&amp;L'!E8</f>
        <v/>
      </c>
      <c r="G8" s="4">
        <f>'YTD P&amp;L'!F8-'YTD P&amp;L'!E8</f>
        <v/>
      </c>
      <c r="H8" s="4">
        <f>'YTD P&amp;L'!G8-'YTD P&amp;L'!F8</f>
        <v/>
      </c>
      <c r="I8" s="4">
        <f>'ANNL P&amp;L'!C8-'YTD P&amp;L'!G8</f>
        <v/>
      </c>
      <c r="J8" s="4">
        <f>'YTD P&amp;L'!H8</f>
        <v/>
      </c>
      <c r="K8" s="4">
        <f>'YTD P&amp;L'!I8-'YTD P&amp;L'!H8</f>
        <v/>
      </c>
      <c r="L8" s="4">
        <f>'YTD P&amp;L'!J8-'YTD P&amp;L'!I8</f>
        <v/>
      </c>
      <c r="M8" s="4">
        <f>'ANNL P&amp;L'!D8-'YTD P&amp;L'!J8</f>
        <v/>
      </c>
      <c r="N8" s="4">
        <f>'YTD P&amp;L'!K8</f>
        <v/>
      </c>
      <c r="O8" s="4">
        <f>'YTD P&amp;L'!L8-'YTD P&amp;L'!K8</f>
        <v/>
      </c>
      <c r="P8" s="4">
        <f>'YTD P&amp;L'!M8-'YTD P&amp;L'!L8</f>
        <v/>
      </c>
      <c r="Q8" s="4">
        <f>'ANNL P&amp;L'!E8-'YTD P&amp;L'!M8</f>
        <v/>
      </c>
      <c r="R8" s="4">
        <f>'YTD P&amp;L'!N8</f>
        <v/>
      </c>
      <c r="S8" s="4">
        <f>'YTD P&amp;L'!O8-'YTD P&amp;L'!N8</f>
        <v/>
      </c>
      <c r="T8" s="4">
        <f>'YTD P&amp;L'!P8-'YTD P&amp;L'!O8</f>
        <v/>
      </c>
      <c r="U8" s="4">
        <f>'ANNL P&amp;L'!F8-'YTD P&amp;L'!P8</f>
        <v/>
      </c>
      <c r="V8" s="4">
        <f>'YTD P&amp;L'!Q8</f>
        <v/>
      </c>
      <c r="W8" s="4">
        <f>'YTD P&amp;L'!R8-'YTD P&amp;L'!Q8</f>
        <v/>
      </c>
      <c r="X8" s="4">
        <f>'YTD P&amp;L'!S8-'YTD P&amp;L'!R8</f>
        <v/>
      </c>
      <c r="Y8" s="4">
        <f>'ANNL P&amp;L'!G8-'YTD P&amp;L'!S8</f>
        <v/>
      </c>
      <c r="Z8" s="4">
        <f>'YTD P&amp;L'!T8</f>
        <v/>
      </c>
      <c r="AA8" s="4">
        <f>'YTD P&amp;L'!U8-'YTD P&amp;L'!T8</f>
        <v/>
      </c>
      <c r="AB8" s="4">
        <f>'YTD P&amp;L'!V8-'YTD P&amp;L'!U8</f>
        <v/>
      </c>
      <c r="AC8" s="4">
        <f>'ANNL P&amp;L'!H8-'YTD P&amp;L'!V8</f>
        <v/>
      </c>
      <c r="AD8" s="11">
        <f>'QTR P&amp;L'!AD2*'IS DRIVERS'!AE7</f>
        <v/>
      </c>
      <c r="AE8" s="11">
        <f>'QTR P&amp;L'!AE2*'IS DRIVERS'!AF7</f>
        <v/>
      </c>
      <c r="AF8" s="11">
        <f>'QTR P&amp;L'!AF2*'IS DRIVERS'!AG7</f>
        <v/>
      </c>
      <c r="AG8" s="11">
        <f>'QTR P&amp;L'!AG2*'IS DRIVERS'!AH7</f>
        <v/>
      </c>
      <c r="AH8" s="11">
        <f>'QTR P&amp;L'!AH2*'IS DRIVERS'!AI7</f>
        <v/>
      </c>
      <c r="AI8" s="11">
        <f>'QTR P&amp;L'!AI2*'IS DRIVERS'!AJ7</f>
        <v/>
      </c>
      <c r="AJ8" s="11">
        <f>'QTR P&amp;L'!AJ2*'IS DRIVERS'!AK7</f>
        <v/>
      </c>
      <c r="AK8" s="11">
        <f>'QTR P&amp;L'!AK2*'IS DRIVERS'!AL7</f>
        <v/>
      </c>
      <c r="AL8" s="11">
        <f>'QTR P&amp;L'!AL2*'IS DRIVERS'!AM7</f>
        <v/>
      </c>
      <c r="AM8" s="11">
        <f>'QTR P&amp;L'!AM2*'IS DRIVERS'!AN7</f>
        <v/>
      </c>
      <c r="AN8" s="11">
        <f>'QTR P&amp;L'!AN2*'IS DRIVERS'!AO7</f>
        <v/>
      </c>
      <c r="AO8" s="11">
        <f>'QTR P&amp;L'!AO2*'IS DRIVERS'!AP7</f>
        <v/>
      </c>
      <c r="AP8" s="11">
        <f>'QTR P&amp;L'!AP2*'IS DRIVERS'!AQ7</f>
        <v/>
      </c>
      <c r="AQ8" s="11">
        <f>'QTR P&amp;L'!AQ2*'IS DRIVERS'!AR7</f>
        <v/>
      </c>
      <c r="AR8" s="11">
        <f>'QTR P&amp;L'!AR2*'IS DRIVERS'!AS7</f>
        <v/>
      </c>
      <c r="AS8" s="11">
        <f>'QTR P&amp;L'!AS2*'IS DRIVERS'!AT7</f>
        <v/>
      </c>
      <c r="AT8" s="11">
        <f>'QTR P&amp;L'!AT2*'IS DRIVERS'!AU7</f>
        <v/>
      </c>
      <c r="AU8" s="11">
        <f>'QTR P&amp;L'!AU2*'IS DRIVERS'!AV7</f>
        <v/>
      </c>
      <c r="AV8" s="11">
        <f>'QTR P&amp;L'!AV2*'IS DRIVERS'!AW7</f>
        <v/>
      </c>
      <c r="AW8" s="11">
        <f>'QTR P&amp;L'!AW2*'IS DRIVERS'!AX7</f>
        <v/>
      </c>
    </row>
    <row r="9">
      <c r="A9" s="3" t="inlineStr">
        <is>
          <t>Distributor Termination Fees</t>
        </is>
      </c>
      <c r="B9" s="4">
        <f>'YTD P&amp;L'!B9</f>
        <v/>
      </c>
      <c r="C9" s="4">
        <f>'YTD P&amp;L'!C9-'YTD P&amp;L'!B9</f>
        <v/>
      </c>
      <c r="D9" s="4">
        <f>'YTD P&amp;L'!D9-'YTD P&amp;L'!C9</f>
        <v/>
      </c>
      <c r="E9" s="4">
        <f>'ANNL P&amp;L'!B9-'YTD P&amp;L'!D9</f>
        <v/>
      </c>
      <c r="F9" s="4">
        <f>'YTD P&amp;L'!E9</f>
        <v/>
      </c>
      <c r="G9" s="4">
        <f>'YTD P&amp;L'!F9-'YTD P&amp;L'!E9</f>
        <v/>
      </c>
      <c r="H9" s="4">
        <f>'YTD P&amp;L'!G9-'YTD P&amp;L'!F9</f>
        <v/>
      </c>
      <c r="I9" s="4">
        <f>'ANNL P&amp;L'!C9-'YTD P&amp;L'!G9</f>
        <v/>
      </c>
      <c r="J9" s="4">
        <f>'YTD P&amp;L'!H9</f>
        <v/>
      </c>
      <c r="K9" s="4">
        <f>'YTD P&amp;L'!I9-'YTD P&amp;L'!H9</f>
        <v/>
      </c>
      <c r="L9" s="4">
        <f>'YTD P&amp;L'!J9-'YTD P&amp;L'!I9</f>
        <v/>
      </c>
      <c r="M9" s="4">
        <f>'ANNL P&amp;L'!D9-'YTD P&amp;L'!J9</f>
        <v/>
      </c>
      <c r="N9" s="4">
        <f>'YTD P&amp;L'!K9</f>
        <v/>
      </c>
      <c r="O9" s="4">
        <f>'YTD P&amp;L'!L9-'YTD P&amp;L'!K9</f>
        <v/>
      </c>
      <c r="P9" s="4">
        <f>'YTD P&amp;L'!M9-'YTD P&amp;L'!L9</f>
        <v/>
      </c>
      <c r="Q9" s="4">
        <f>'ANNL P&amp;L'!E9-'YTD P&amp;L'!M9</f>
        <v/>
      </c>
      <c r="R9" s="4">
        <f>'YTD P&amp;L'!N9</f>
        <v/>
      </c>
      <c r="S9" s="4">
        <f>'YTD P&amp;L'!O9-'YTD P&amp;L'!N9</f>
        <v/>
      </c>
      <c r="T9" s="4">
        <f>'YTD P&amp;L'!P9-'YTD P&amp;L'!O9</f>
        <v/>
      </c>
      <c r="U9" s="4">
        <f>'ANNL P&amp;L'!F9-'YTD P&amp;L'!P9</f>
        <v/>
      </c>
      <c r="V9" s="4">
        <f>'YTD P&amp;L'!Q9</f>
        <v/>
      </c>
      <c r="W9" s="4">
        <f>'YTD P&amp;L'!R9-'YTD P&amp;L'!Q9</f>
        <v/>
      </c>
      <c r="X9" s="4">
        <f>'YTD P&amp;L'!S9-'YTD P&amp;L'!R9</f>
        <v/>
      </c>
      <c r="Y9" s="4">
        <f>'ANNL P&amp;L'!G9-'YTD P&amp;L'!S9</f>
        <v/>
      </c>
      <c r="Z9" s="4">
        <f>'YTD P&amp;L'!T9</f>
        <v/>
      </c>
      <c r="AA9" s="4">
        <f>'YTD P&amp;L'!U9-'YTD P&amp;L'!T9</f>
        <v/>
      </c>
      <c r="AB9" s="4">
        <f>'YTD P&amp;L'!V9-'YTD P&amp;L'!U9</f>
        <v/>
      </c>
      <c r="AC9" s="4">
        <f>'ANNL P&amp;L'!H9-'YTD P&amp;L'!V9</f>
        <v/>
      </c>
      <c r="AD9" s="11">
        <f>'IS DRIVERS'!AE8</f>
        <v/>
      </c>
      <c r="AE9" s="11">
        <f>'IS DRIVERS'!AF8</f>
        <v/>
      </c>
      <c r="AF9" s="11">
        <f>'IS DRIVERS'!AG8</f>
        <v/>
      </c>
      <c r="AG9" s="11">
        <f>'IS DRIVERS'!AH8</f>
        <v/>
      </c>
      <c r="AH9" s="11">
        <f>'IS DRIVERS'!AI8</f>
        <v/>
      </c>
      <c r="AI9" s="11">
        <f>'IS DRIVERS'!AJ8</f>
        <v/>
      </c>
      <c r="AJ9" s="11">
        <f>'IS DRIVERS'!AK8</f>
        <v/>
      </c>
      <c r="AK9" s="11">
        <f>'IS DRIVERS'!AL8</f>
        <v/>
      </c>
      <c r="AL9" s="11">
        <f>'IS DRIVERS'!AM8</f>
        <v/>
      </c>
      <c r="AM9" s="11">
        <f>'IS DRIVERS'!AN8</f>
        <v/>
      </c>
      <c r="AN9" s="11">
        <f>'IS DRIVERS'!AO8</f>
        <v/>
      </c>
      <c r="AO9" s="11">
        <f>'IS DRIVERS'!AP8</f>
        <v/>
      </c>
      <c r="AP9" s="11">
        <f>'IS DRIVERS'!AQ8</f>
        <v/>
      </c>
      <c r="AQ9" s="11">
        <f>'IS DRIVERS'!AR8</f>
        <v/>
      </c>
      <c r="AR9" s="11">
        <f>'IS DRIVERS'!AS8</f>
        <v/>
      </c>
      <c r="AS9" s="11">
        <f>'IS DRIVERS'!AT8</f>
        <v/>
      </c>
      <c r="AT9" s="11">
        <f>'IS DRIVERS'!AU8</f>
        <v/>
      </c>
      <c r="AU9" s="11">
        <f>'IS DRIVERS'!AV8</f>
        <v/>
      </c>
      <c r="AV9" s="11">
        <f>'IS DRIVERS'!AW8</f>
        <v/>
      </c>
      <c r="AW9" s="11">
        <f>'IS DRIVERS'!AX8</f>
        <v/>
      </c>
    </row>
    <row r="10">
      <c r="A10" s="3" t="inlineStr">
        <is>
          <t>Income (Loss) from Operations</t>
        </is>
      </c>
      <c r="B10" s="6">
        <f>'YTD P&amp;L'!B10</f>
        <v/>
      </c>
      <c r="C10" s="6">
        <f>'YTD P&amp;L'!C10-'YTD P&amp;L'!B10</f>
        <v/>
      </c>
      <c r="D10" s="6">
        <f>'YTD P&amp;L'!D10-'YTD P&amp;L'!C10</f>
        <v/>
      </c>
      <c r="E10" s="6">
        <f>'ANNL P&amp;L'!B10-'YTD P&amp;L'!D10</f>
        <v/>
      </c>
      <c r="F10" s="6">
        <f>'YTD P&amp;L'!E10</f>
        <v/>
      </c>
      <c r="G10" s="6">
        <f>'YTD P&amp;L'!F10-'YTD P&amp;L'!E10</f>
        <v/>
      </c>
      <c r="H10" s="6">
        <f>'YTD P&amp;L'!G10-'YTD P&amp;L'!F10</f>
        <v/>
      </c>
      <c r="I10" s="6">
        <f>'ANNL P&amp;L'!C10-'YTD P&amp;L'!G10</f>
        <v/>
      </c>
      <c r="J10" s="6">
        <f>'YTD P&amp;L'!H10</f>
        <v/>
      </c>
      <c r="K10" s="6">
        <f>'YTD P&amp;L'!I10-'YTD P&amp;L'!H10</f>
        <v/>
      </c>
      <c r="L10" s="6">
        <f>'YTD P&amp;L'!J10-'YTD P&amp;L'!I10</f>
        <v/>
      </c>
      <c r="M10" s="6">
        <f>'ANNL P&amp;L'!D10-'YTD P&amp;L'!J10</f>
        <v/>
      </c>
      <c r="N10" s="6">
        <f>'YTD P&amp;L'!K10</f>
        <v/>
      </c>
      <c r="O10" s="6">
        <f>'YTD P&amp;L'!L10-'YTD P&amp;L'!K10</f>
        <v/>
      </c>
      <c r="P10" s="6">
        <f>'YTD P&amp;L'!M10-'YTD P&amp;L'!L10</f>
        <v/>
      </c>
      <c r="Q10" s="6">
        <f>'ANNL P&amp;L'!E10-'YTD P&amp;L'!M10</f>
        <v/>
      </c>
      <c r="R10" s="6">
        <f>'YTD P&amp;L'!N10</f>
        <v/>
      </c>
      <c r="S10" s="6">
        <f>'YTD P&amp;L'!O10-'YTD P&amp;L'!N10</f>
        <v/>
      </c>
      <c r="T10" s="6">
        <f>'YTD P&amp;L'!P10-'YTD P&amp;L'!O10</f>
        <v/>
      </c>
      <c r="U10" s="6">
        <f>'ANNL P&amp;L'!F10-'YTD P&amp;L'!P10</f>
        <v/>
      </c>
      <c r="V10" s="6">
        <f>'YTD P&amp;L'!Q10</f>
        <v/>
      </c>
      <c r="W10" s="6">
        <f>'YTD P&amp;L'!R10-'YTD P&amp;L'!Q10</f>
        <v/>
      </c>
      <c r="X10" s="6">
        <f>'YTD P&amp;L'!S10-'YTD P&amp;L'!R10</f>
        <v/>
      </c>
      <c r="Y10" s="6">
        <f>'ANNL P&amp;L'!G10-'YTD P&amp;L'!S10</f>
        <v/>
      </c>
      <c r="Z10" s="6">
        <f>'YTD P&amp;L'!T10</f>
        <v/>
      </c>
      <c r="AA10" s="6">
        <f>'YTD P&amp;L'!U10-'YTD P&amp;L'!T10</f>
        <v/>
      </c>
      <c r="AB10" s="6">
        <f>'YTD P&amp;L'!V10-'YTD P&amp;L'!U10</f>
        <v/>
      </c>
      <c r="AC10" s="6">
        <f>'ANNL P&amp;L'!H10-'YTD P&amp;L'!V10</f>
        <v/>
      </c>
      <c r="AD10" s="7">
        <f>AD4+SUM(AD5:AD9)</f>
        <v/>
      </c>
      <c r="AE10" s="7">
        <f>AE4+SUM(AE5:AE9)</f>
        <v/>
      </c>
      <c r="AF10" s="7">
        <f>AF4+SUM(AF5:AF9)</f>
        <v/>
      </c>
      <c r="AG10" s="7">
        <f>AG4+SUM(AG5:AG9)</f>
        <v/>
      </c>
      <c r="AH10" s="7">
        <f>AH4+SUM(AH5:AH9)</f>
        <v/>
      </c>
      <c r="AI10" s="7">
        <f>AI4+SUM(AI5:AI9)</f>
        <v/>
      </c>
      <c r="AJ10" s="7">
        <f>AJ4+SUM(AJ5:AJ9)</f>
        <v/>
      </c>
      <c r="AK10" s="7">
        <f>AK4+SUM(AK5:AK9)</f>
        <v/>
      </c>
      <c r="AL10" s="7">
        <f>AL4+SUM(AL5:AL9)</f>
        <v/>
      </c>
      <c r="AM10" s="7">
        <f>AM4+SUM(AM5:AM9)</f>
        <v/>
      </c>
      <c r="AN10" s="7">
        <f>AN4+SUM(AN5:AN9)</f>
        <v/>
      </c>
      <c r="AO10" s="7">
        <f>AO4+SUM(AO5:AO9)</f>
        <v/>
      </c>
      <c r="AP10" s="7">
        <f>AP4+SUM(AP5:AP9)</f>
        <v/>
      </c>
      <c r="AQ10" s="7">
        <f>AQ4+SUM(AQ5:AQ9)</f>
        <v/>
      </c>
      <c r="AR10" s="7">
        <f>AR4+SUM(AR5:AR9)</f>
        <v/>
      </c>
      <c r="AS10" s="7">
        <f>AS4+SUM(AS5:AS9)</f>
        <v/>
      </c>
      <c r="AT10" s="7">
        <f>AT4+SUM(AT5:AT9)</f>
        <v/>
      </c>
      <c r="AU10" s="7">
        <f>AU4+SUM(AU5:AU9)</f>
        <v/>
      </c>
      <c r="AV10" s="7">
        <f>AV4+SUM(AV5:AV9)</f>
        <v/>
      </c>
      <c r="AW10" s="7">
        <f>AW4+SUM(AW5:AW9)</f>
        <v/>
      </c>
    </row>
    <row r="11">
      <c r="A11" s="3" t="inlineStr">
        <is>
          <t>Interest Income (Expense)</t>
        </is>
      </c>
      <c r="B11" s="4">
        <f>'YTD P&amp;L'!B11</f>
        <v/>
      </c>
      <c r="C11" s="4">
        <f>'YTD P&amp;L'!C11-'YTD P&amp;L'!B11</f>
        <v/>
      </c>
      <c r="D11" s="4">
        <f>'YTD P&amp;L'!D11-'YTD P&amp;L'!C11</f>
        <v/>
      </c>
      <c r="E11" s="4">
        <f>'ANNL P&amp;L'!B11-'YTD P&amp;L'!D11</f>
        <v/>
      </c>
      <c r="F11" s="4">
        <f>'YTD P&amp;L'!E11</f>
        <v/>
      </c>
      <c r="G11" s="4">
        <f>'YTD P&amp;L'!F11-'YTD P&amp;L'!E11</f>
        <v/>
      </c>
      <c r="H11" s="4">
        <f>'YTD P&amp;L'!G11-'YTD P&amp;L'!F11</f>
        <v/>
      </c>
      <c r="I11" s="4">
        <f>'ANNL P&amp;L'!C11-'YTD P&amp;L'!G11</f>
        <v/>
      </c>
      <c r="J11" s="4">
        <f>'YTD P&amp;L'!H11</f>
        <v/>
      </c>
      <c r="K11" s="4">
        <f>'YTD P&amp;L'!I11-'YTD P&amp;L'!H11</f>
        <v/>
      </c>
      <c r="L11" s="4">
        <f>'YTD P&amp;L'!J11-'YTD P&amp;L'!I11</f>
        <v/>
      </c>
      <c r="M11" s="4">
        <f>'ANNL P&amp;L'!D11-'YTD P&amp;L'!J11</f>
        <v/>
      </c>
      <c r="N11" s="4">
        <f>'YTD P&amp;L'!K11</f>
        <v/>
      </c>
      <c r="O11" s="4">
        <f>'YTD P&amp;L'!L11-'YTD P&amp;L'!K11</f>
        <v/>
      </c>
      <c r="P11" s="4">
        <f>'YTD P&amp;L'!M11-'YTD P&amp;L'!L11</f>
        <v/>
      </c>
      <c r="Q11" s="4">
        <f>'ANNL P&amp;L'!E11-'YTD P&amp;L'!M11</f>
        <v/>
      </c>
      <c r="R11" s="4">
        <f>'YTD P&amp;L'!N11</f>
        <v/>
      </c>
      <c r="S11" s="4">
        <f>'YTD P&amp;L'!O11-'YTD P&amp;L'!N11</f>
        <v/>
      </c>
      <c r="T11" s="4">
        <f>'YTD P&amp;L'!P11-'YTD P&amp;L'!O11</f>
        <v/>
      </c>
      <c r="U11" s="4">
        <f>'ANNL P&amp;L'!F11-'YTD P&amp;L'!P11</f>
        <v/>
      </c>
      <c r="V11" s="4">
        <f>'YTD P&amp;L'!Q11</f>
        <v/>
      </c>
      <c r="W11" s="4">
        <f>'YTD P&amp;L'!R11-'YTD P&amp;L'!Q11</f>
        <v/>
      </c>
      <c r="X11" s="4">
        <f>'YTD P&amp;L'!S11-'YTD P&amp;L'!R11</f>
        <v/>
      </c>
      <c r="Y11" s="4">
        <f>'ANNL P&amp;L'!G11-'YTD P&amp;L'!S11</f>
        <v/>
      </c>
      <c r="Z11" s="4">
        <f>'YTD P&amp;L'!T11</f>
        <v/>
      </c>
      <c r="AA11" s="4">
        <f>'YTD P&amp;L'!U11-'YTD P&amp;L'!T11</f>
        <v/>
      </c>
      <c r="AB11" s="4">
        <f>'YTD P&amp;L'!V11-'YTD P&amp;L'!U11</f>
        <v/>
      </c>
      <c r="AC11" s="4">
        <f>'ANNL P&amp;L'!H11-'YTD P&amp;L'!V11</f>
        <v/>
      </c>
      <c r="AD11" s="11">
        <f>'IS DRIVERS'!AE9</f>
        <v/>
      </c>
      <c r="AE11" s="11">
        <f>'IS DRIVERS'!AF9</f>
        <v/>
      </c>
      <c r="AF11" s="11">
        <f>'IS DRIVERS'!AG9</f>
        <v/>
      </c>
      <c r="AG11" s="11">
        <f>'IS DRIVERS'!AH9</f>
        <v/>
      </c>
      <c r="AH11" s="11">
        <f>'IS DRIVERS'!AI9</f>
        <v/>
      </c>
      <c r="AI11" s="11">
        <f>'IS DRIVERS'!AJ9</f>
        <v/>
      </c>
      <c r="AJ11" s="11">
        <f>'IS DRIVERS'!AK9</f>
        <v/>
      </c>
      <c r="AK11" s="11">
        <f>'IS DRIVERS'!AL9</f>
        <v/>
      </c>
      <c r="AL11" s="11">
        <f>'IS DRIVERS'!AM9</f>
        <v/>
      </c>
      <c r="AM11" s="11">
        <f>'IS DRIVERS'!AN9</f>
        <v/>
      </c>
      <c r="AN11" s="11">
        <f>'IS DRIVERS'!AO9</f>
        <v/>
      </c>
      <c r="AO11" s="11">
        <f>'IS DRIVERS'!AP9</f>
        <v/>
      </c>
      <c r="AP11" s="11">
        <f>'IS DRIVERS'!AQ9</f>
        <v/>
      </c>
      <c r="AQ11" s="11">
        <f>'IS DRIVERS'!AR9</f>
        <v/>
      </c>
      <c r="AR11" s="11">
        <f>'IS DRIVERS'!AS9</f>
        <v/>
      </c>
      <c r="AS11" s="11">
        <f>'IS DRIVERS'!AT9</f>
        <v/>
      </c>
      <c r="AT11" s="11">
        <f>'IS DRIVERS'!AU9</f>
        <v/>
      </c>
      <c r="AU11" s="11">
        <f>'IS DRIVERS'!AV9</f>
        <v/>
      </c>
      <c r="AV11" s="11">
        <f>'IS DRIVERS'!AW9</f>
        <v/>
      </c>
      <c r="AW11" s="11">
        <f>'IS DRIVERS'!AX9</f>
        <v/>
      </c>
    </row>
    <row r="12">
      <c r="A12" s="3" t="inlineStr">
        <is>
          <t>Other Income (Expense)</t>
        </is>
      </c>
      <c r="B12" s="4">
        <f>'YTD P&amp;L'!B12</f>
        <v/>
      </c>
      <c r="C12" s="4">
        <f>'YTD P&amp;L'!C12-'YTD P&amp;L'!B12</f>
        <v/>
      </c>
      <c r="D12" s="4">
        <f>'YTD P&amp;L'!D12-'YTD P&amp;L'!C12</f>
        <v/>
      </c>
      <c r="E12" s="4">
        <f>'ANNL P&amp;L'!B13-'YTD P&amp;L'!D12</f>
        <v/>
      </c>
      <c r="F12" s="4">
        <f>'YTD P&amp;L'!E12</f>
        <v/>
      </c>
      <c r="G12" s="4">
        <f>'YTD P&amp;L'!F12-'YTD P&amp;L'!E12</f>
        <v/>
      </c>
      <c r="H12" s="4">
        <f>'YTD P&amp;L'!G12-'YTD P&amp;L'!F12</f>
        <v/>
      </c>
      <c r="I12" s="4">
        <f>'ANNL P&amp;L'!C13-'YTD P&amp;L'!G12</f>
        <v/>
      </c>
      <c r="J12" s="4">
        <f>'YTD P&amp;L'!H12</f>
        <v/>
      </c>
      <c r="K12" s="4">
        <f>'YTD P&amp;L'!I12-'YTD P&amp;L'!H12</f>
        <v/>
      </c>
      <c r="L12" s="4">
        <f>'YTD P&amp;L'!J12-'YTD P&amp;L'!I12</f>
        <v/>
      </c>
      <c r="M12" s="4">
        <f>'ANNL P&amp;L'!D13-'YTD P&amp;L'!J12</f>
        <v/>
      </c>
      <c r="N12" s="4">
        <f>'YTD P&amp;L'!K12</f>
        <v/>
      </c>
      <c r="O12" s="4">
        <f>'YTD P&amp;L'!L12-'YTD P&amp;L'!K12</f>
        <v/>
      </c>
      <c r="P12" s="4">
        <f>'YTD P&amp;L'!M12-'YTD P&amp;L'!L12</f>
        <v/>
      </c>
      <c r="Q12" s="4">
        <f>'ANNL P&amp;L'!E13-'YTD P&amp;L'!M12</f>
        <v/>
      </c>
      <c r="R12" s="4">
        <f>'YTD P&amp;L'!N12</f>
        <v/>
      </c>
      <c r="S12" s="4">
        <f>'YTD P&amp;L'!O12-'YTD P&amp;L'!N12</f>
        <v/>
      </c>
      <c r="T12" s="4">
        <f>'YTD P&amp;L'!P12-'YTD P&amp;L'!O12</f>
        <v/>
      </c>
      <c r="U12" s="4">
        <f>'ANNL P&amp;L'!F13-'YTD P&amp;L'!P12</f>
        <v/>
      </c>
      <c r="V12" s="4">
        <f>'YTD P&amp;L'!Q12</f>
        <v/>
      </c>
      <c r="W12" s="4">
        <f>'YTD P&amp;L'!R12-'YTD P&amp;L'!Q12</f>
        <v/>
      </c>
      <c r="X12" s="4">
        <f>'YTD P&amp;L'!S12-'YTD P&amp;L'!R12</f>
        <v/>
      </c>
      <c r="Y12" s="4">
        <f>'ANNL P&amp;L'!G13-'YTD P&amp;L'!S12</f>
        <v/>
      </c>
      <c r="Z12" s="4">
        <f>'YTD P&amp;L'!T12</f>
        <v/>
      </c>
      <c r="AA12" s="4">
        <f>'YTD P&amp;L'!U12-'YTD P&amp;L'!T12</f>
        <v/>
      </c>
      <c r="AB12" s="4">
        <f>'YTD P&amp;L'!V12-'YTD P&amp;L'!U12</f>
        <v/>
      </c>
      <c r="AC12" s="4">
        <f>'ANNL P&amp;L'!H13-'YTD P&amp;L'!V12</f>
        <v/>
      </c>
      <c r="AD12" s="11">
        <f>'IS DRIVERS'!AE10</f>
        <v/>
      </c>
      <c r="AE12" s="11">
        <f>'IS DRIVERS'!AF10</f>
        <v/>
      </c>
      <c r="AF12" s="11">
        <f>'IS DRIVERS'!AG10</f>
        <v/>
      </c>
      <c r="AG12" s="11">
        <f>'IS DRIVERS'!AH10</f>
        <v/>
      </c>
      <c r="AH12" s="11">
        <f>'IS DRIVERS'!AI10</f>
        <v/>
      </c>
      <c r="AI12" s="11">
        <f>'IS DRIVERS'!AJ10</f>
        <v/>
      </c>
      <c r="AJ12" s="11">
        <f>'IS DRIVERS'!AK10</f>
        <v/>
      </c>
      <c r="AK12" s="11">
        <f>'IS DRIVERS'!AL10</f>
        <v/>
      </c>
      <c r="AL12" s="11">
        <f>'IS DRIVERS'!AM10</f>
        <v/>
      </c>
      <c r="AM12" s="11">
        <f>'IS DRIVERS'!AN10</f>
        <v/>
      </c>
      <c r="AN12" s="11">
        <f>'IS DRIVERS'!AO10</f>
        <v/>
      </c>
      <c r="AO12" s="11">
        <f>'IS DRIVERS'!AP10</f>
        <v/>
      </c>
      <c r="AP12" s="11">
        <f>'IS DRIVERS'!AQ10</f>
        <v/>
      </c>
      <c r="AQ12" s="11">
        <f>'IS DRIVERS'!AR10</f>
        <v/>
      </c>
      <c r="AR12" s="11">
        <f>'IS DRIVERS'!AS10</f>
        <v/>
      </c>
      <c r="AS12" s="11">
        <f>'IS DRIVERS'!AT10</f>
        <v/>
      </c>
      <c r="AT12" s="11">
        <f>'IS DRIVERS'!AU10</f>
        <v/>
      </c>
      <c r="AU12" s="11">
        <f>'IS DRIVERS'!AV10</f>
        <v/>
      </c>
      <c r="AV12" s="11">
        <f>'IS DRIVERS'!AW10</f>
        <v/>
      </c>
      <c r="AW12" s="11">
        <f>'IS DRIVERS'!AX10</f>
        <v/>
      </c>
    </row>
    <row r="13">
      <c r="A13" s="3" t="inlineStr">
        <is>
          <t>Foreign Currency Gain (Loss)</t>
        </is>
      </c>
      <c r="B13" s="4">
        <f>'YTD P&amp;L'!B13</f>
        <v/>
      </c>
      <c r="C13" s="4">
        <f>'YTD P&amp;L'!C13-'YTD P&amp;L'!B13</f>
        <v/>
      </c>
      <c r="D13" s="4">
        <f>'YTD P&amp;L'!D13-'YTD P&amp;L'!C13</f>
        <v/>
      </c>
      <c r="E13" s="4">
        <f>'ANNL P&amp;L'!B12-'YTD P&amp;L'!D13</f>
        <v/>
      </c>
      <c r="F13" s="4">
        <f>'YTD P&amp;L'!E13</f>
        <v/>
      </c>
      <c r="G13" s="4">
        <f>'YTD P&amp;L'!F13-'YTD P&amp;L'!E13</f>
        <v/>
      </c>
      <c r="H13" s="4">
        <f>'YTD P&amp;L'!G13-'YTD P&amp;L'!F13</f>
        <v/>
      </c>
      <c r="I13" s="4">
        <f>'ANNL P&amp;L'!C12-'YTD P&amp;L'!G13</f>
        <v/>
      </c>
      <c r="J13" s="4">
        <f>'YTD P&amp;L'!H13</f>
        <v/>
      </c>
      <c r="K13" s="4">
        <f>'YTD P&amp;L'!I13-'YTD P&amp;L'!H13</f>
        <v/>
      </c>
      <c r="L13" s="4">
        <f>'YTD P&amp;L'!J13-'YTD P&amp;L'!I13</f>
        <v/>
      </c>
      <c r="M13" s="4">
        <f>'ANNL P&amp;L'!D12-'YTD P&amp;L'!J13</f>
        <v/>
      </c>
      <c r="N13" s="4">
        <f>'YTD P&amp;L'!K13</f>
        <v/>
      </c>
      <c r="O13" s="4">
        <f>'YTD P&amp;L'!L13-'YTD P&amp;L'!K13</f>
        <v/>
      </c>
      <c r="P13" s="4">
        <f>'YTD P&amp;L'!M13-'YTD P&amp;L'!L13</f>
        <v/>
      </c>
      <c r="Q13" s="4">
        <f>'ANNL P&amp;L'!E12-'YTD P&amp;L'!M13</f>
        <v/>
      </c>
      <c r="R13" s="4">
        <f>'YTD P&amp;L'!N13</f>
        <v/>
      </c>
      <c r="S13" s="4">
        <f>'YTD P&amp;L'!O13-'YTD P&amp;L'!N13</f>
        <v/>
      </c>
      <c r="T13" s="4">
        <f>'YTD P&amp;L'!P13-'YTD P&amp;L'!O13</f>
        <v/>
      </c>
      <c r="U13" s="4">
        <f>'ANNL P&amp;L'!F12-'YTD P&amp;L'!P13</f>
        <v/>
      </c>
      <c r="V13" s="4">
        <f>'YTD P&amp;L'!Q13</f>
        <v/>
      </c>
      <c r="W13" s="4">
        <f>'YTD P&amp;L'!R13-'YTD P&amp;L'!Q13</f>
        <v/>
      </c>
      <c r="X13" s="4">
        <f>'YTD P&amp;L'!S13-'YTD P&amp;L'!R13</f>
        <v/>
      </c>
      <c r="Y13" s="4">
        <f>'ANNL P&amp;L'!G12-'YTD P&amp;L'!S13</f>
        <v/>
      </c>
      <c r="Z13" s="4">
        <f>'YTD P&amp;L'!T13</f>
        <v/>
      </c>
      <c r="AA13" s="4">
        <f>'YTD P&amp;L'!U13-'YTD P&amp;L'!T13</f>
        <v/>
      </c>
      <c r="AB13" s="4">
        <f>'YTD P&amp;L'!V13-'YTD P&amp;L'!U13</f>
        <v/>
      </c>
      <c r="AC13" s="4">
        <f>'ANNL P&amp;L'!H12-'YTD P&amp;L'!V13</f>
        <v/>
      </c>
      <c r="AD13" s="11">
        <f>'IS DRIVERS'!AE11</f>
        <v/>
      </c>
      <c r="AE13" s="11">
        <f>'IS DRIVERS'!AF11</f>
        <v/>
      </c>
      <c r="AF13" s="11">
        <f>'IS DRIVERS'!AG11</f>
        <v/>
      </c>
      <c r="AG13" s="11">
        <f>'IS DRIVERS'!AH11</f>
        <v/>
      </c>
      <c r="AH13" s="11">
        <f>'IS DRIVERS'!AI11</f>
        <v/>
      </c>
      <c r="AI13" s="11">
        <f>'IS DRIVERS'!AJ11</f>
        <v/>
      </c>
      <c r="AJ13" s="11">
        <f>'IS DRIVERS'!AK11</f>
        <v/>
      </c>
      <c r="AK13" s="11">
        <f>'IS DRIVERS'!AL11</f>
        <v/>
      </c>
      <c r="AL13" s="11">
        <f>'IS DRIVERS'!AM11</f>
        <v/>
      </c>
      <c r="AM13" s="11">
        <f>'IS DRIVERS'!AN11</f>
        <v/>
      </c>
      <c r="AN13" s="11">
        <f>'IS DRIVERS'!AO11</f>
        <v/>
      </c>
      <c r="AO13" s="11">
        <f>'IS DRIVERS'!AP11</f>
        <v/>
      </c>
      <c r="AP13" s="11">
        <f>'IS DRIVERS'!AQ11</f>
        <v/>
      </c>
      <c r="AQ13" s="11">
        <f>'IS DRIVERS'!AR11</f>
        <v/>
      </c>
      <c r="AR13" s="11">
        <f>'IS DRIVERS'!AS11</f>
        <v/>
      </c>
      <c r="AS13" s="11">
        <f>'IS DRIVERS'!AT11</f>
        <v/>
      </c>
      <c r="AT13" s="11">
        <f>'IS DRIVERS'!AU11</f>
        <v/>
      </c>
      <c r="AU13" s="11">
        <f>'IS DRIVERS'!AV11</f>
        <v/>
      </c>
      <c r="AV13" s="11">
        <f>'IS DRIVERS'!AW11</f>
        <v/>
      </c>
      <c r="AW13" s="11">
        <f>'IS DRIVERS'!AX11</f>
        <v/>
      </c>
    </row>
    <row r="14">
      <c r="A14" s="3" t="inlineStr">
        <is>
          <t>Gain (Loss) on Lease Cancellations</t>
        </is>
      </c>
      <c r="B14" s="4">
        <f>'YTD P&amp;L'!B14</f>
        <v/>
      </c>
      <c r="C14" s="4">
        <f>'YTD P&amp;L'!C14-'YTD P&amp;L'!B14</f>
        <v/>
      </c>
      <c r="D14" s="4">
        <f>'YTD P&amp;L'!D14-'YTD P&amp;L'!C14</f>
        <v/>
      </c>
      <c r="E14" s="4">
        <f>'ANNL P&amp;L'!B14-'YTD P&amp;L'!D14</f>
        <v/>
      </c>
      <c r="F14" s="4">
        <f>'YTD P&amp;L'!E14</f>
        <v/>
      </c>
      <c r="G14" s="4">
        <f>'YTD P&amp;L'!F14-'YTD P&amp;L'!E14</f>
        <v/>
      </c>
      <c r="H14" s="4">
        <f>'YTD P&amp;L'!G14-'YTD P&amp;L'!F14</f>
        <v/>
      </c>
      <c r="I14" s="4">
        <f>'ANNL P&amp;L'!C14-'YTD P&amp;L'!G14</f>
        <v/>
      </c>
      <c r="J14" s="4">
        <f>'YTD P&amp;L'!H14</f>
        <v/>
      </c>
      <c r="K14" s="4">
        <f>'YTD P&amp;L'!I14-'YTD P&amp;L'!H14</f>
        <v/>
      </c>
      <c r="L14" s="4">
        <f>'YTD P&amp;L'!J14-'YTD P&amp;L'!I14</f>
        <v/>
      </c>
      <c r="M14" s="4">
        <f>'ANNL P&amp;L'!D14-'YTD P&amp;L'!J14</f>
        <v/>
      </c>
      <c r="N14" s="4">
        <f>'YTD P&amp;L'!K14</f>
        <v/>
      </c>
      <c r="O14" s="4">
        <f>'YTD P&amp;L'!L14-'YTD P&amp;L'!K14</f>
        <v/>
      </c>
      <c r="P14" s="4">
        <f>'YTD P&amp;L'!M14-'YTD P&amp;L'!L14</f>
        <v/>
      </c>
      <c r="Q14" s="4">
        <f>'ANNL P&amp;L'!E14-'YTD P&amp;L'!M14</f>
        <v/>
      </c>
      <c r="R14" s="4">
        <f>'YTD P&amp;L'!N14</f>
        <v/>
      </c>
      <c r="S14" s="4">
        <f>'YTD P&amp;L'!O14-'YTD P&amp;L'!N14</f>
        <v/>
      </c>
      <c r="T14" s="4">
        <f>'YTD P&amp;L'!P14-'YTD P&amp;L'!O14</f>
        <v/>
      </c>
      <c r="U14" s="4">
        <f>'ANNL P&amp;L'!F14-'YTD P&amp;L'!P14</f>
        <v/>
      </c>
      <c r="V14" s="4">
        <f>'YTD P&amp;L'!Q14</f>
        <v/>
      </c>
      <c r="W14" s="4">
        <f>'YTD P&amp;L'!R14-'YTD P&amp;L'!Q14</f>
        <v/>
      </c>
      <c r="X14" s="4">
        <f>'YTD P&amp;L'!S14-'YTD P&amp;L'!R14</f>
        <v/>
      </c>
      <c r="Y14" s="4">
        <f>'ANNL P&amp;L'!G14-'YTD P&amp;L'!S14</f>
        <v/>
      </c>
      <c r="Z14" s="4">
        <f>'YTD P&amp;L'!T14</f>
        <v/>
      </c>
      <c r="AA14" s="4">
        <f>'YTD P&amp;L'!U14-'YTD P&amp;L'!T14</f>
        <v/>
      </c>
      <c r="AB14" s="4">
        <f>'YTD P&amp;L'!V14-'YTD P&amp;L'!U14</f>
        <v/>
      </c>
      <c r="AC14" s="4">
        <f>'ANNL P&amp;L'!H14-'YTD P&amp;L'!V14</f>
        <v/>
      </c>
      <c r="AD14" s="11">
        <f>'IS DRIVERS'!AE12</f>
        <v/>
      </c>
      <c r="AE14" s="11">
        <f>'IS DRIVERS'!AF12</f>
        <v/>
      </c>
      <c r="AF14" s="11">
        <f>'IS DRIVERS'!AG12</f>
        <v/>
      </c>
      <c r="AG14" s="11">
        <f>'IS DRIVERS'!AH12</f>
        <v/>
      </c>
      <c r="AH14" s="11">
        <f>'IS DRIVERS'!AI12</f>
        <v/>
      </c>
      <c r="AI14" s="11">
        <f>'IS DRIVERS'!AJ12</f>
        <v/>
      </c>
      <c r="AJ14" s="11">
        <f>'IS DRIVERS'!AK12</f>
        <v/>
      </c>
      <c r="AK14" s="11">
        <f>'IS DRIVERS'!AL12</f>
        <v/>
      </c>
      <c r="AL14" s="11">
        <f>'IS DRIVERS'!AM12</f>
        <v/>
      </c>
      <c r="AM14" s="11">
        <f>'IS DRIVERS'!AN12</f>
        <v/>
      </c>
      <c r="AN14" s="11">
        <f>'IS DRIVERS'!AO12</f>
        <v/>
      </c>
      <c r="AO14" s="11">
        <f>'IS DRIVERS'!AP12</f>
        <v/>
      </c>
      <c r="AP14" s="11">
        <f>'IS DRIVERS'!AQ12</f>
        <v/>
      </c>
      <c r="AQ14" s="11">
        <f>'IS DRIVERS'!AR12</f>
        <v/>
      </c>
      <c r="AR14" s="11">
        <f>'IS DRIVERS'!AS12</f>
        <v/>
      </c>
      <c r="AS14" s="11">
        <f>'IS DRIVERS'!AT12</f>
        <v/>
      </c>
      <c r="AT14" s="11">
        <f>'IS DRIVERS'!AU12</f>
        <v/>
      </c>
      <c r="AU14" s="11">
        <f>'IS DRIVERS'!AV12</f>
        <v/>
      </c>
      <c r="AV14" s="11">
        <f>'IS DRIVERS'!AW12</f>
        <v/>
      </c>
      <c r="AW14" s="11">
        <f>'IS DRIVERS'!AX12</f>
        <v/>
      </c>
    </row>
    <row r="15">
      <c r="A15" s="3" t="inlineStr">
        <is>
          <t>Income Tax (Expense) Benefit</t>
        </is>
      </c>
      <c r="B15" s="4">
        <f>'YTD P&amp;L'!B15</f>
        <v/>
      </c>
      <c r="C15" s="4">
        <f>'YTD P&amp;L'!C15-'YTD P&amp;L'!B15</f>
        <v/>
      </c>
      <c r="D15" s="4">
        <f>'YTD P&amp;L'!D15-'YTD P&amp;L'!C15</f>
        <v/>
      </c>
      <c r="E15" s="4">
        <f>'ANNL P&amp;L'!B15-'YTD P&amp;L'!D15</f>
        <v/>
      </c>
      <c r="F15" s="4">
        <f>'YTD P&amp;L'!E15</f>
        <v/>
      </c>
      <c r="G15" s="4">
        <f>'YTD P&amp;L'!F15-'YTD P&amp;L'!E15</f>
        <v/>
      </c>
      <c r="H15" s="4">
        <f>'YTD P&amp;L'!G15-'YTD P&amp;L'!F15</f>
        <v/>
      </c>
      <c r="I15" s="4">
        <f>'ANNL P&amp;L'!C15-'YTD P&amp;L'!G15</f>
        <v/>
      </c>
      <c r="J15" s="4">
        <f>'YTD P&amp;L'!H15</f>
        <v/>
      </c>
      <c r="K15" s="4">
        <f>'YTD P&amp;L'!I15-'YTD P&amp;L'!H15</f>
        <v/>
      </c>
      <c r="L15" s="4">
        <f>'YTD P&amp;L'!J15-'YTD P&amp;L'!I15</f>
        <v/>
      </c>
      <c r="M15" s="4">
        <f>'ANNL P&amp;L'!D15-'YTD P&amp;L'!J15</f>
        <v/>
      </c>
      <c r="N15" s="4">
        <f>'YTD P&amp;L'!K15</f>
        <v/>
      </c>
      <c r="O15" s="4">
        <f>'YTD P&amp;L'!L15-'YTD P&amp;L'!K15</f>
        <v/>
      </c>
      <c r="P15" s="4">
        <f>'YTD P&amp;L'!M15-'YTD P&amp;L'!L15</f>
        <v/>
      </c>
      <c r="Q15" s="4">
        <f>'ANNL P&amp;L'!E15-'YTD P&amp;L'!M15</f>
        <v/>
      </c>
      <c r="R15" s="4">
        <f>'YTD P&amp;L'!N15</f>
        <v/>
      </c>
      <c r="S15" s="4">
        <f>'YTD P&amp;L'!O15-'YTD P&amp;L'!N15</f>
        <v/>
      </c>
      <c r="T15" s="4">
        <f>'YTD P&amp;L'!P15-'YTD P&amp;L'!O15</f>
        <v/>
      </c>
      <c r="U15" s="4">
        <f>'ANNL P&amp;L'!F15-'YTD P&amp;L'!P15</f>
        <v/>
      </c>
      <c r="V15" s="4">
        <f>'YTD P&amp;L'!Q15</f>
        <v/>
      </c>
      <c r="W15" s="4">
        <f>'YTD P&amp;L'!R15-'YTD P&amp;L'!Q15</f>
        <v/>
      </c>
      <c r="X15" s="4">
        <f>'YTD P&amp;L'!S15-'YTD P&amp;L'!R15</f>
        <v/>
      </c>
      <c r="Y15" s="4">
        <f>'ANNL P&amp;L'!G15-'YTD P&amp;L'!S15</f>
        <v/>
      </c>
      <c r="Z15" s="4">
        <f>'YTD P&amp;L'!T15</f>
        <v/>
      </c>
      <c r="AA15" s="4">
        <f>'YTD P&amp;L'!U15-'YTD P&amp;L'!T15</f>
        <v/>
      </c>
      <c r="AB15" s="4">
        <f>'YTD P&amp;L'!V15-'YTD P&amp;L'!U15</f>
        <v/>
      </c>
      <c r="AC15" s="4">
        <f>'ANNL P&amp;L'!H15-'YTD P&amp;L'!V15</f>
        <v/>
      </c>
      <c r="AD15" s="11">
        <f>'IS DRIVERS'!AE13</f>
        <v/>
      </c>
      <c r="AE15" s="11">
        <f>'IS DRIVERS'!AF13</f>
        <v/>
      </c>
      <c r="AF15" s="11">
        <f>'IS DRIVERS'!AG13</f>
        <v/>
      </c>
      <c r="AG15" s="11">
        <f>'IS DRIVERS'!AH13</f>
        <v/>
      </c>
      <c r="AH15" s="11">
        <f>'IS DRIVERS'!AI13</f>
        <v/>
      </c>
      <c r="AI15" s="11">
        <f>'IS DRIVERS'!AJ13</f>
        <v/>
      </c>
      <c r="AJ15" s="11">
        <f>'IS DRIVERS'!AK13</f>
        <v/>
      </c>
      <c r="AK15" s="11">
        <f>'IS DRIVERS'!AL13</f>
        <v/>
      </c>
      <c r="AL15" s="11">
        <f>'IS DRIVERS'!AM13</f>
        <v/>
      </c>
      <c r="AM15" s="11">
        <f>'IS DRIVERS'!AN13</f>
        <v/>
      </c>
      <c r="AN15" s="11">
        <f>'IS DRIVERS'!AO13</f>
        <v/>
      </c>
      <c r="AO15" s="11">
        <f>'IS DRIVERS'!AP13</f>
        <v/>
      </c>
      <c r="AP15" s="11">
        <f>'IS DRIVERS'!AQ13</f>
        <v/>
      </c>
      <c r="AQ15" s="11">
        <f>'IS DRIVERS'!AR13</f>
        <v/>
      </c>
      <c r="AR15" s="11">
        <f>'IS DRIVERS'!AS13</f>
        <v/>
      </c>
      <c r="AS15" s="11">
        <f>'IS DRIVERS'!AT13</f>
        <v/>
      </c>
      <c r="AT15" s="11">
        <f>'IS DRIVERS'!AU13</f>
        <v/>
      </c>
      <c r="AU15" s="11">
        <f>'IS DRIVERS'!AV13</f>
        <v/>
      </c>
      <c r="AV15" s="11">
        <f>'IS DRIVERS'!AW13</f>
        <v/>
      </c>
      <c r="AW15" s="11">
        <f>'IS DRIVERS'!AX13</f>
        <v/>
      </c>
    </row>
    <row r="16">
      <c r="A16" s="3" t="inlineStr">
        <is>
          <t>Pre-Tax Income (Loss)</t>
        </is>
      </c>
      <c r="B16" s="6">
        <f>'YTD P&amp;L'!B16</f>
        <v/>
      </c>
      <c r="C16" s="6">
        <f>'YTD P&amp;L'!C16-'YTD P&amp;L'!B16</f>
        <v/>
      </c>
      <c r="D16" s="6">
        <f>'YTD P&amp;L'!D16-'YTD P&amp;L'!C16</f>
        <v/>
      </c>
      <c r="E16" s="6">
        <f>'ANNL P&amp;L'!B16-'YTD P&amp;L'!D16</f>
        <v/>
      </c>
      <c r="F16" s="6">
        <f>'YTD P&amp;L'!E16</f>
        <v/>
      </c>
      <c r="G16" s="6">
        <f>'YTD P&amp;L'!F16-'YTD P&amp;L'!E16</f>
        <v/>
      </c>
      <c r="H16" s="6">
        <f>'YTD P&amp;L'!G16-'YTD P&amp;L'!F16</f>
        <v/>
      </c>
      <c r="I16" s="6">
        <f>'ANNL P&amp;L'!C16-'YTD P&amp;L'!G16</f>
        <v/>
      </c>
      <c r="J16" s="6">
        <f>'YTD P&amp;L'!H16</f>
        <v/>
      </c>
      <c r="K16" s="6">
        <f>'YTD P&amp;L'!I16-'YTD P&amp;L'!H16</f>
        <v/>
      </c>
      <c r="L16" s="6">
        <f>'YTD P&amp;L'!J16-'YTD P&amp;L'!I16</f>
        <v/>
      </c>
      <c r="M16" s="6">
        <f>'ANNL P&amp;L'!D16-'YTD P&amp;L'!J16</f>
        <v/>
      </c>
      <c r="N16" s="6">
        <f>'YTD P&amp;L'!K16</f>
        <v/>
      </c>
      <c r="O16" s="6">
        <f>'YTD P&amp;L'!L16-'YTD P&amp;L'!K16</f>
        <v/>
      </c>
      <c r="P16" s="6">
        <f>'YTD P&amp;L'!M16-'YTD P&amp;L'!L16</f>
        <v/>
      </c>
      <c r="Q16" s="6">
        <f>'ANNL P&amp;L'!E16-'YTD P&amp;L'!M16</f>
        <v/>
      </c>
      <c r="R16" s="6">
        <f>'YTD P&amp;L'!N16</f>
        <v/>
      </c>
      <c r="S16" s="6">
        <f>'YTD P&amp;L'!O16-'YTD P&amp;L'!N16</f>
        <v/>
      </c>
      <c r="T16" s="6">
        <f>'YTD P&amp;L'!P16-'YTD P&amp;L'!O16</f>
        <v/>
      </c>
      <c r="U16" s="6">
        <f>'ANNL P&amp;L'!F16-'YTD P&amp;L'!P16</f>
        <v/>
      </c>
      <c r="V16" s="6">
        <f>'YTD P&amp;L'!Q16</f>
        <v/>
      </c>
      <c r="W16" s="6">
        <f>'YTD P&amp;L'!R16-'YTD P&amp;L'!Q16</f>
        <v/>
      </c>
      <c r="X16" s="6">
        <f>'YTD P&amp;L'!S16-'YTD P&amp;L'!R16</f>
        <v/>
      </c>
      <c r="Y16" s="6">
        <f>'ANNL P&amp;L'!G16-'YTD P&amp;L'!S16</f>
        <v/>
      </c>
      <c r="Z16" s="6">
        <f>'YTD P&amp;L'!T16</f>
        <v/>
      </c>
      <c r="AA16" s="6">
        <f>'YTD P&amp;L'!U16-'YTD P&amp;L'!T16</f>
        <v/>
      </c>
      <c r="AB16" s="6">
        <f>'YTD P&amp;L'!V16-'YTD P&amp;L'!U16</f>
        <v/>
      </c>
      <c r="AC16" s="6">
        <f>'ANNL P&amp;L'!H16-'YTD P&amp;L'!V16</f>
        <v/>
      </c>
      <c r="AD16" s="7">
        <f>AD10+SUM(AD11:AD15)</f>
        <v/>
      </c>
      <c r="AE16" s="7">
        <f>AE10+SUM(AE11:AE15)</f>
        <v/>
      </c>
      <c r="AF16" s="7">
        <f>AF10+SUM(AF11:AF15)</f>
        <v/>
      </c>
      <c r="AG16" s="7">
        <f>AG10+SUM(AG11:AG15)</f>
        <v/>
      </c>
      <c r="AH16" s="7">
        <f>AH10+SUM(AH11:AH15)</f>
        <v/>
      </c>
      <c r="AI16" s="7">
        <f>AI10+SUM(AI11:AI15)</f>
        <v/>
      </c>
      <c r="AJ16" s="7">
        <f>AJ10+SUM(AJ11:AJ15)</f>
        <v/>
      </c>
      <c r="AK16" s="7">
        <f>AK10+SUM(AK11:AK15)</f>
        <v/>
      </c>
      <c r="AL16" s="7">
        <f>AL10+SUM(AL11:AL15)</f>
        <v/>
      </c>
      <c r="AM16" s="7">
        <f>AM10+SUM(AM11:AM15)</f>
        <v/>
      </c>
      <c r="AN16" s="7">
        <f>AN10+SUM(AN11:AN15)</f>
        <v/>
      </c>
      <c r="AO16" s="7">
        <f>AO10+SUM(AO11:AO15)</f>
        <v/>
      </c>
      <c r="AP16" s="7">
        <f>AP10+SUM(AP11:AP15)</f>
        <v/>
      </c>
      <c r="AQ16" s="7">
        <f>AQ10+SUM(AQ11:AQ15)</f>
        <v/>
      </c>
      <c r="AR16" s="7">
        <f>AR10+SUM(AR11:AR15)</f>
        <v/>
      </c>
      <c r="AS16" s="7">
        <f>AS10+SUM(AS11:AS15)</f>
        <v/>
      </c>
      <c r="AT16" s="7">
        <f>AT10+SUM(AT11:AT15)</f>
        <v/>
      </c>
      <c r="AU16" s="7">
        <f>AU10+SUM(AU11:AU15)</f>
        <v/>
      </c>
      <c r="AV16" s="7">
        <f>AV10+SUM(AV11:AV15)</f>
        <v/>
      </c>
      <c r="AW16" s="7">
        <f>AW10+SUM(AW11:AW15)</f>
        <v/>
      </c>
    </row>
    <row r="17">
      <c r="A17" s="3" t="inlineStr">
        <is>
          <t>Net Income (Loss)</t>
        </is>
      </c>
      <c r="B17" s="6">
        <f>'YTD P&amp;L'!B17</f>
        <v/>
      </c>
      <c r="C17" s="6">
        <f>'YTD P&amp;L'!C17-'YTD P&amp;L'!B17</f>
        <v/>
      </c>
      <c r="D17" s="6">
        <f>'YTD P&amp;L'!D17-'YTD P&amp;L'!C17</f>
        <v/>
      </c>
      <c r="E17" s="6">
        <f>'ANNL P&amp;L'!B17-'YTD P&amp;L'!D17</f>
        <v/>
      </c>
      <c r="F17" s="6">
        <f>'YTD P&amp;L'!E17</f>
        <v/>
      </c>
      <c r="G17" s="6">
        <f>'YTD P&amp;L'!F17-'YTD P&amp;L'!E17</f>
        <v/>
      </c>
      <c r="H17" s="6">
        <f>'YTD P&amp;L'!G17-'YTD P&amp;L'!F17</f>
        <v/>
      </c>
      <c r="I17" s="6">
        <f>'ANNL P&amp;L'!C17-'YTD P&amp;L'!G17</f>
        <v/>
      </c>
      <c r="J17" s="6">
        <f>'YTD P&amp;L'!H17</f>
        <v/>
      </c>
      <c r="K17" s="6">
        <f>'YTD P&amp;L'!I17-'YTD P&amp;L'!H17</f>
        <v/>
      </c>
      <c r="L17" s="6">
        <f>'YTD P&amp;L'!J17-'YTD P&amp;L'!I17</f>
        <v/>
      </c>
      <c r="M17" s="6">
        <f>'ANNL P&amp;L'!D17-'YTD P&amp;L'!J17</f>
        <v/>
      </c>
      <c r="N17" s="6">
        <f>'YTD P&amp;L'!K17</f>
        <v/>
      </c>
      <c r="O17" s="6">
        <f>'YTD P&amp;L'!L17-'YTD P&amp;L'!K17</f>
        <v/>
      </c>
      <c r="P17" s="6">
        <f>'YTD P&amp;L'!M17-'YTD P&amp;L'!L17</f>
        <v/>
      </c>
      <c r="Q17" s="6">
        <f>'ANNL P&amp;L'!E17-'YTD P&amp;L'!M17</f>
        <v/>
      </c>
      <c r="R17" s="6">
        <f>'YTD P&amp;L'!N17</f>
        <v/>
      </c>
      <c r="S17" s="6">
        <f>'YTD P&amp;L'!O17-'YTD P&amp;L'!N17</f>
        <v/>
      </c>
      <c r="T17" s="6">
        <f>'YTD P&amp;L'!P17-'YTD P&amp;L'!O17</f>
        <v/>
      </c>
      <c r="U17" s="6">
        <f>'ANNL P&amp;L'!F17-'YTD P&amp;L'!P17</f>
        <v/>
      </c>
      <c r="V17" s="6">
        <f>'YTD P&amp;L'!Q17</f>
        <v/>
      </c>
      <c r="W17" s="6">
        <f>'YTD P&amp;L'!R17-'YTD P&amp;L'!Q17</f>
        <v/>
      </c>
      <c r="X17" s="6">
        <f>'YTD P&amp;L'!S17-'YTD P&amp;L'!R17</f>
        <v/>
      </c>
      <c r="Y17" s="6">
        <f>'ANNL P&amp;L'!G17-'YTD P&amp;L'!S17</f>
        <v/>
      </c>
      <c r="Z17" s="6">
        <f>'YTD P&amp;L'!T17</f>
        <v/>
      </c>
      <c r="AA17" s="6">
        <f>'YTD P&amp;L'!U17-'YTD P&amp;L'!T17</f>
        <v/>
      </c>
      <c r="AB17" s="6">
        <f>'YTD P&amp;L'!V17-'YTD P&amp;L'!U17</f>
        <v/>
      </c>
      <c r="AC17" s="6">
        <f>'ANNL P&amp;L'!H17-'YTD P&amp;L'!V17</f>
        <v/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</row>
    <row r="18">
      <c r="A18" s="3" t="inlineStr">
        <is>
          <t>Basic Earnings (Loss) per Share</t>
        </is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</row>
    <row r="19">
      <c r="A19" s="3" t="inlineStr">
        <is>
          <t>Diluted Earnings (Loss) per Share</t>
        </is>
      </c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</row>
    <row r="20">
      <c r="A20" s="3" t="inlineStr">
        <is>
          <t>Weighted Average Shares Outstanding (Basic)</t>
        </is>
      </c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</row>
    <row r="21">
      <c r="A21" s="3" t="inlineStr">
        <is>
          <t>Weighted Average Shares Outstanding (Diluted)</t>
        </is>
      </c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</row>
    <row r="22">
      <c r="A22" s="3" t="inlineStr">
        <is>
          <t>Preferred Dividends</t>
        </is>
      </c>
      <c r="B22" s="4">
        <f>'YTD P&amp;L'!B22</f>
        <v/>
      </c>
      <c r="C22" s="4">
        <f>'YTD P&amp;L'!C22-'YTD P&amp;L'!B22</f>
        <v/>
      </c>
      <c r="D22" s="4">
        <f>'YTD P&amp;L'!D22-'YTD P&amp;L'!C22</f>
        <v/>
      </c>
      <c r="E22" s="4">
        <f>'ANNL P&amp;L'!B22-'YTD P&amp;L'!D22</f>
        <v/>
      </c>
      <c r="F22" s="4">
        <f>'YTD P&amp;L'!E22</f>
        <v/>
      </c>
      <c r="G22" s="4">
        <f>'YTD P&amp;L'!F22-'YTD P&amp;L'!E22</f>
        <v/>
      </c>
      <c r="H22" s="4">
        <f>'YTD P&amp;L'!G22-'YTD P&amp;L'!F22</f>
        <v/>
      </c>
      <c r="I22" s="4">
        <f>'ANNL P&amp;L'!C22-'YTD P&amp;L'!G22</f>
        <v/>
      </c>
      <c r="J22" s="4">
        <f>'YTD P&amp;L'!H22</f>
        <v/>
      </c>
      <c r="K22" s="4">
        <f>'YTD P&amp;L'!I22-'YTD P&amp;L'!H22</f>
        <v/>
      </c>
      <c r="L22" s="4">
        <f>'YTD P&amp;L'!J22-'YTD P&amp;L'!I22</f>
        <v/>
      </c>
      <c r="M22" s="4">
        <f>'ANNL P&amp;L'!D22-'YTD P&amp;L'!J22</f>
        <v/>
      </c>
      <c r="N22" s="4">
        <f>'YTD P&amp;L'!K22</f>
        <v/>
      </c>
      <c r="O22" s="4">
        <f>'YTD P&amp;L'!L22-'YTD P&amp;L'!K22</f>
        <v/>
      </c>
      <c r="P22" s="4">
        <f>'YTD P&amp;L'!M22-'YTD P&amp;L'!L22</f>
        <v/>
      </c>
      <c r="Q22" s="4">
        <f>'ANNL P&amp;L'!E22-'YTD P&amp;L'!M22</f>
        <v/>
      </c>
      <c r="R22" s="4">
        <f>'YTD P&amp;L'!N22</f>
        <v/>
      </c>
      <c r="S22" s="4">
        <f>'YTD P&amp;L'!O22-'YTD P&amp;L'!N22</f>
        <v/>
      </c>
      <c r="T22" s="4">
        <f>'YTD P&amp;L'!P22-'YTD P&amp;L'!O22</f>
        <v/>
      </c>
      <c r="U22" s="4">
        <f>'ANNL P&amp;L'!F22-'YTD P&amp;L'!P22</f>
        <v/>
      </c>
      <c r="V22" s="4">
        <f>'YTD P&amp;L'!Q22</f>
        <v/>
      </c>
      <c r="W22" s="4">
        <f>'YTD P&amp;L'!R22-'YTD P&amp;L'!Q22</f>
        <v/>
      </c>
      <c r="X22" s="4">
        <f>'YTD P&amp;L'!S22-'YTD P&amp;L'!R22</f>
        <v/>
      </c>
      <c r="Y22" s="4">
        <f>'ANNL P&amp;L'!G22-'YTD P&amp;L'!S22</f>
        <v/>
      </c>
      <c r="Z22" s="4">
        <f>'YTD P&amp;L'!T22</f>
        <v/>
      </c>
      <c r="AA22" s="4">
        <f>'YTD P&amp;L'!U22-'YTD P&amp;L'!T22</f>
        <v/>
      </c>
      <c r="AB22" s="4">
        <f>'YTD P&amp;L'!V22-'YTD P&amp;L'!U22</f>
        <v/>
      </c>
      <c r="AC22" s="4">
        <f>'ANNL P&amp;L'!H22-'YTD P&amp;L'!V22</f>
        <v/>
      </c>
      <c r="AD22" s="11">
        <f>'IS DRIVERS'!AE14</f>
        <v/>
      </c>
      <c r="AE22" s="11">
        <f>'IS DRIVERS'!AF14</f>
        <v/>
      </c>
      <c r="AF22" s="11">
        <f>'IS DRIVERS'!AG14</f>
        <v/>
      </c>
      <c r="AG22" s="11">
        <f>'IS DRIVERS'!AH14</f>
        <v/>
      </c>
      <c r="AH22" s="11">
        <f>'IS DRIVERS'!AI14</f>
        <v/>
      </c>
      <c r="AI22" s="11">
        <f>'IS DRIVERS'!AJ14</f>
        <v/>
      </c>
      <c r="AJ22" s="11">
        <f>'IS DRIVERS'!AK14</f>
        <v/>
      </c>
      <c r="AK22" s="11">
        <f>'IS DRIVERS'!AL14</f>
        <v/>
      </c>
      <c r="AL22" s="11">
        <f>'IS DRIVERS'!AM14</f>
        <v/>
      </c>
      <c r="AM22" s="11">
        <f>'IS DRIVERS'!AN14</f>
        <v/>
      </c>
      <c r="AN22" s="11">
        <f>'IS DRIVERS'!AO14</f>
        <v/>
      </c>
      <c r="AO22" s="11">
        <f>'IS DRIVERS'!AP14</f>
        <v/>
      </c>
      <c r="AP22" s="11">
        <f>'IS DRIVERS'!AQ14</f>
        <v/>
      </c>
      <c r="AQ22" s="11">
        <f>'IS DRIVERS'!AR14</f>
        <v/>
      </c>
      <c r="AR22" s="11">
        <f>'IS DRIVERS'!AS14</f>
        <v/>
      </c>
      <c r="AS22" s="11">
        <f>'IS DRIVERS'!AT14</f>
        <v/>
      </c>
      <c r="AT22" s="11">
        <f>'IS DRIVERS'!AU14</f>
        <v/>
      </c>
      <c r="AU22" s="11">
        <f>'IS DRIVERS'!AV14</f>
        <v/>
      </c>
      <c r="AV22" s="11">
        <f>'IS DRIVERS'!AW14</f>
        <v/>
      </c>
      <c r="AW22" s="11">
        <f>'IS DRIVERS'!AX14</f>
        <v/>
      </c>
    </row>
    <row r="23">
      <c r="A23" s="3" t="inlineStr">
        <is>
          <t>Income Allocated to Participating Preferred</t>
        </is>
      </c>
      <c r="B23" s="4">
        <f>'YTD P&amp;L'!B23</f>
        <v/>
      </c>
      <c r="C23" s="4">
        <f>'YTD P&amp;L'!C23-'YTD P&amp;L'!B23</f>
        <v/>
      </c>
      <c r="D23" s="4">
        <f>'YTD P&amp;L'!D23-'YTD P&amp;L'!C23</f>
        <v/>
      </c>
      <c r="E23" s="4">
        <f>'ANNL P&amp;L'!B23-'YTD P&amp;L'!D23</f>
        <v/>
      </c>
      <c r="F23" s="4">
        <f>'YTD P&amp;L'!E23</f>
        <v/>
      </c>
      <c r="G23" s="4">
        <f>'YTD P&amp;L'!F23-'YTD P&amp;L'!E23</f>
        <v/>
      </c>
      <c r="H23" s="4">
        <f>'YTD P&amp;L'!G23-'YTD P&amp;L'!F23</f>
        <v/>
      </c>
      <c r="I23" s="4">
        <f>'ANNL P&amp;L'!C23-'YTD P&amp;L'!G23</f>
        <v/>
      </c>
      <c r="J23" s="4">
        <f>'YTD P&amp;L'!H23</f>
        <v/>
      </c>
      <c r="K23" s="4">
        <f>'YTD P&amp;L'!I23-'YTD P&amp;L'!H23</f>
        <v/>
      </c>
      <c r="L23" s="4">
        <f>'YTD P&amp;L'!J23-'YTD P&amp;L'!I23</f>
        <v/>
      </c>
      <c r="M23" s="4">
        <f>'ANNL P&amp;L'!D23-'YTD P&amp;L'!J23</f>
        <v/>
      </c>
      <c r="N23" s="4">
        <f>'YTD P&amp;L'!K23</f>
        <v/>
      </c>
      <c r="O23" s="4">
        <f>'YTD P&amp;L'!L23-'YTD P&amp;L'!K23</f>
        <v/>
      </c>
      <c r="P23" s="4">
        <f>'YTD P&amp;L'!M23-'YTD P&amp;L'!L23</f>
        <v/>
      </c>
      <c r="Q23" s="4">
        <f>'ANNL P&amp;L'!E23-'YTD P&amp;L'!M23</f>
        <v/>
      </c>
      <c r="R23" s="4">
        <f>'YTD P&amp;L'!N23</f>
        <v/>
      </c>
      <c r="S23" s="4">
        <f>'YTD P&amp;L'!O23-'YTD P&amp;L'!N23</f>
        <v/>
      </c>
      <c r="T23" s="4">
        <f>'YTD P&amp;L'!P23-'YTD P&amp;L'!O23</f>
        <v/>
      </c>
      <c r="U23" s="4">
        <f>'ANNL P&amp;L'!F23-'YTD P&amp;L'!P23</f>
        <v/>
      </c>
      <c r="V23" s="4">
        <f>'YTD P&amp;L'!Q23</f>
        <v/>
      </c>
      <c r="W23" s="4">
        <f>'YTD P&amp;L'!R23-'YTD P&amp;L'!Q23</f>
        <v/>
      </c>
      <c r="X23" s="4">
        <f>'YTD P&amp;L'!S23-'YTD P&amp;L'!R23</f>
        <v/>
      </c>
      <c r="Y23" s="4">
        <f>'ANNL P&amp;L'!G23-'YTD P&amp;L'!S23</f>
        <v/>
      </c>
      <c r="Z23" s="4">
        <f>'YTD P&amp;L'!T23</f>
        <v/>
      </c>
      <c r="AA23" s="4">
        <f>'YTD P&amp;L'!U23-'YTD P&amp;L'!T23</f>
        <v/>
      </c>
      <c r="AB23" s="4">
        <f>'YTD P&amp;L'!V23-'YTD P&amp;L'!U23</f>
        <v/>
      </c>
      <c r="AC23" s="4">
        <f>'ANNL P&amp;L'!H23-'YTD P&amp;L'!V23</f>
        <v/>
      </c>
      <c r="AD23" s="11">
        <f>'IS DRIVERS'!AE15</f>
        <v/>
      </c>
      <c r="AE23" s="11">
        <f>'IS DRIVERS'!AF15</f>
        <v/>
      </c>
      <c r="AF23" s="11">
        <f>'IS DRIVERS'!AG15</f>
        <v/>
      </c>
      <c r="AG23" s="11">
        <f>'IS DRIVERS'!AH15</f>
        <v/>
      </c>
      <c r="AH23" s="11">
        <f>'IS DRIVERS'!AI15</f>
        <v/>
      </c>
      <c r="AI23" s="11">
        <f>'IS DRIVERS'!AJ15</f>
        <v/>
      </c>
      <c r="AJ23" s="11">
        <f>'IS DRIVERS'!AK15</f>
        <v/>
      </c>
      <c r="AK23" s="11">
        <f>'IS DRIVERS'!AL15</f>
        <v/>
      </c>
      <c r="AL23" s="11">
        <f>'IS DRIVERS'!AM15</f>
        <v/>
      </c>
      <c r="AM23" s="11">
        <f>'IS DRIVERS'!AN15</f>
        <v/>
      </c>
      <c r="AN23" s="11">
        <f>'IS DRIVERS'!AO15</f>
        <v/>
      </c>
      <c r="AO23" s="11">
        <f>'IS DRIVERS'!AP15</f>
        <v/>
      </c>
      <c r="AP23" s="11">
        <f>'IS DRIVERS'!AQ15</f>
        <v/>
      </c>
      <c r="AQ23" s="11">
        <f>'IS DRIVERS'!AR15</f>
        <v/>
      </c>
      <c r="AR23" s="11">
        <f>'IS DRIVERS'!AS15</f>
        <v/>
      </c>
      <c r="AS23" s="11">
        <f>'IS DRIVERS'!AT15</f>
        <v/>
      </c>
      <c r="AT23" s="11">
        <f>'IS DRIVERS'!AU15</f>
        <v/>
      </c>
      <c r="AU23" s="11">
        <f>'IS DRIVERS'!AV15</f>
        <v/>
      </c>
      <c r="AV23" s="11">
        <f>'IS DRIVERS'!AW15</f>
        <v/>
      </c>
      <c r="AW23" s="11">
        <f>'IS DRIVERS'!AX15</f>
        <v/>
      </c>
    </row>
    <row r="24">
      <c r="A24" s="3" t="inlineStr">
        <is>
          <t>Net Income (Loss) Attributable to Common Shareholders</t>
        </is>
      </c>
      <c r="B24" s="6">
        <f>'YTD P&amp;L'!B24</f>
        <v/>
      </c>
      <c r="C24" s="6">
        <f>'YTD P&amp;L'!C24-'YTD P&amp;L'!B24</f>
        <v/>
      </c>
      <c r="D24" s="6">
        <f>'YTD P&amp;L'!D24-'YTD P&amp;L'!C24</f>
        <v/>
      </c>
      <c r="E24" s="6">
        <f>'ANNL P&amp;L'!B24-'YTD P&amp;L'!D24</f>
        <v/>
      </c>
      <c r="F24" s="6">
        <f>'YTD P&amp;L'!E24</f>
        <v/>
      </c>
      <c r="G24" s="6">
        <f>'YTD P&amp;L'!F24-'YTD P&amp;L'!E24</f>
        <v/>
      </c>
      <c r="H24" s="6">
        <f>'YTD P&amp;L'!G24-'YTD P&amp;L'!F24</f>
        <v/>
      </c>
      <c r="I24" s="6">
        <f>'ANNL P&amp;L'!C24-'YTD P&amp;L'!G24</f>
        <v/>
      </c>
      <c r="J24" s="6">
        <f>'YTD P&amp;L'!H24</f>
        <v/>
      </c>
      <c r="K24" s="6">
        <f>'YTD P&amp;L'!I24-'YTD P&amp;L'!H24</f>
        <v/>
      </c>
      <c r="L24" s="6">
        <f>'YTD P&amp;L'!J24-'YTD P&amp;L'!I24</f>
        <v/>
      </c>
      <c r="M24" s="6">
        <f>'ANNL P&amp;L'!D24-'YTD P&amp;L'!J24</f>
        <v/>
      </c>
      <c r="N24" s="6">
        <f>'YTD P&amp;L'!K24</f>
        <v/>
      </c>
      <c r="O24" s="6">
        <f>'YTD P&amp;L'!L24-'YTD P&amp;L'!K24</f>
        <v/>
      </c>
      <c r="P24" s="6">
        <f>'YTD P&amp;L'!M24-'YTD P&amp;L'!L24</f>
        <v/>
      </c>
      <c r="Q24" s="6">
        <f>'ANNL P&amp;L'!E24-'YTD P&amp;L'!M24</f>
        <v/>
      </c>
      <c r="R24" s="6">
        <f>'YTD P&amp;L'!N24</f>
        <v/>
      </c>
      <c r="S24" s="6">
        <f>'YTD P&amp;L'!O24-'YTD P&amp;L'!N24</f>
        <v/>
      </c>
      <c r="T24" s="6">
        <f>'YTD P&amp;L'!P24-'YTD P&amp;L'!O24</f>
        <v/>
      </c>
      <c r="U24" s="6">
        <f>'ANNL P&amp;L'!F24-'YTD P&amp;L'!P24</f>
        <v/>
      </c>
      <c r="V24" s="6">
        <f>'YTD P&amp;L'!Q24</f>
        <v/>
      </c>
      <c r="W24" s="6">
        <f>'YTD P&amp;L'!R24-'YTD P&amp;L'!Q24</f>
        <v/>
      </c>
      <c r="X24" s="6">
        <f>'YTD P&amp;L'!S24-'YTD P&amp;L'!R24</f>
        <v/>
      </c>
      <c r="Y24" s="6">
        <f>'ANNL P&amp;L'!G24-'YTD P&amp;L'!S24</f>
        <v/>
      </c>
      <c r="Z24" s="6">
        <f>'YTD P&amp;L'!T24</f>
        <v/>
      </c>
      <c r="AA24" s="6">
        <f>'YTD P&amp;L'!U24-'YTD P&amp;L'!T24</f>
        <v/>
      </c>
      <c r="AB24" s="6">
        <f>'YTD P&amp;L'!V24-'YTD P&amp;L'!U24</f>
        <v/>
      </c>
      <c r="AC24" s="6">
        <f>'ANNL P&amp;L'!H24-'YTD P&amp;L'!V24</f>
        <v/>
      </c>
      <c r="AD24" s="7">
        <f>AD17+AD22+AD23</f>
        <v/>
      </c>
      <c r="AE24" s="7">
        <f>AE17+AE22+AE23</f>
        <v/>
      </c>
      <c r="AF24" s="7">
        <f>AF17+AF22+AF23</f>
        <v/>
      </c>
      <c r="AG24" s="7">
        <f>AG17+AG22+AG23</f>
        <v/>
      </c>
      <c r="AH24" s="7">
        <f>AH17+AH22+AH23</f>
        <v/>
      </c>
      <c r="AI24" s="7">
        <f>AI17+AI22+AI23</f>
        <v/>
      </c>
      <c r="AJ24" s="7">
        <f>AJ17+AJ22+AJ23</f>
        <v/>
      </c>
      <c r="AK24" s="7">
        <f>AK17+AK22+AK23</f>
        <v/>
      </c>
      <c r="AL24" s="7">
        <f>AL17+AL22+AL23</f>
        <v/>
      </c>
      <c r="AM24" s="7">
        <f>AM17+AM22+AM23</f>
        <v/>
      </c>
      <c r="AN24" s="7">
        <f>AN17+AN22+AN23</f>
        <v/>
      </c>
      <c r="AO24" s="7">
        <f>AO17+AO22+AO23</f>
        <v/>
      </c>
      <c r="AP24" s="7">
        <f>AP17+AP22+AP23</f>
        <v/>
      </c>
      <c r="AQ24" s="7">
        <f>AQ17+AQ22+AQ23</f>
        <v/>
      </c>
      <c r="AR24" s="7">
        <f>AR17+AR22+AR23</f>
        <v/>
      </c>
      <c r="AS24" s="7">
        <f>AS17+AS22+AS23</f>
        <v/>
      </c>
      <c r="AT24" s="7">
        <f>AT17+AT22+AT23</f>
        <v/>
      </c>
      <c r="AU24" s="7">
        <f>AU17+AU22+AU23</f>
        <v/>
      </c>
      <c r="AV24" s="7">
        <f>AV17+AV22+AV23</f>
        <v/>
      </c>
      <c r="AW24" s="7">
        <f>AW17+AW22+AW23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1" t="inlineStr"/>
      <c r="B1" s="2" t="inlineStr">
        <is>
          <t>Q4 FY2019</t>
        </is>
      </c>
      <c r="C1" s="2" t="inlineStr">
        <is>
          <t>Q1 FY2020</t>
        </is>
      </c>
      <c r="D1" s="2" t="inlineStr">
        <is>
          <t>Q2 FY2020</t>
        </is>
      </c>
      <c r="E1" s="2" t="inlineStr">
        <is>
          <t>Q3 FY2020</t>
        </is>
      </c>
      <c r="F1" s="2" t="inlineStr">
        <is>
          <t>Q4 FY2020</t>
        </is>
      </c>
      <c r="G1" s="2" t="inlineStr">
        <is>
          <t>Q1 FY2021</t>
        </is>
      </c>
      <c r="H1" s="2" t="inlineStr">
        <is>
          <t>Q2 FY2021</t>
        </is>
      </c>
      <c r="I1" s="2" t="inlineStr">
        <is>
          <t>Q3 FY2021</t>
        </is>
      </c>
      <c r="J1" s="2" t="inlineStr">
        <is>
          <t>Q4 FY2021</t>
        </is>
      </c>
      <c r="K1" s="2" t="inlineStr">
        <is>
          <t>Q1 FY2022</t>
        </is>
      </c>
      <c r="L1" s="2" t="inlineStr">
        <is>
          <t>Q2 FY2022</t>
        </is>
      </c>
      <c r="M1" s="2" t="inlineStr">
        <is>
          <t>Q3 FY2022</t>
        </is>
      </c>
      <c r="N1" s="2" t="inlineStr">
        <is>
          <t>Q4 FY2022</t>
        </is>
      </c>
      <c r="O1" s="2" t="inlineStr">
        <is>
          <t>Q1 FY2023</t>
        </is>
      </c>
      <c r="P1" s="2" t="inlineStr">
        <is>
          <t>Q2 FY2023</t>
        </is>
      </c>
      <c r="Q1" s="2" t="inlineStr">
        <is>
          <t>Q3 FY2023</t>
        </is>
      </c>
      <c r="R1" s="2" t="inlineStr">
        <is>
          <t>Q4 FY2023</t>
        </is>
      </c>
      <c r="S1" s="2" t="inlineStr">
        <is>
          <t>Q1 FY2024</t>
        </is>
      </c>
      <c r="T1" s="2" t="inlineStr">
        <is>
          <t>Q2 FY2024</t>
        </is>
      </c>
      <c r="U1" s="2" t="inlineStr">
        <is>
          <t>Q3 FY2024</t>
        </is>
      </c>
      <c r="V1" s="2" t="inlineStr">
        <is>
          <t>Q4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  <c r="Z1" s="2" t="inlineStr">
        <is>
          <t>Q4 FY2025</t>
        </is>
      </c>
      <c r="AA1" s="2" t="inlineStr">
        <is>
          <t>Q1 FY2026E</t>
        </is>
      </c>
      <c r="AB1" s="2" t="inlineStr">
        <is>
          <t>Q2 FY2026E</t>
        </is>
      </c>
      <c r="AC1" s="2" t="inlineStr">
        <is>
          <t>Q3 FY2026E</t>
        </is>
      </c>
      <c r="AD1" s="2" t="inlineStr">
        <is>
          <t>Q4 FY2026E</t>
        </is>
      </c>
      <c r="AE1" s="2" t="inlineStr">
        <is>
          <t>Q1 FY2027E</t>
        </is>
      </c>
      <c r="AF1" s="2" t="inlineStr">
        <is>
          <t>Q2 FY2027E</t>
        </is>
      </c>
      <c r="AG1" s="2" t="inlineStr">
        <is>
          <t>Q3 FY2027E</t>
        </is>
      </c>
      <c r="AH1" s="2" t="inlineStr">
        <is>
          <t>Q4 FY2027E</t>
        </is>
      </c>
      <c r="AI1" s="2" t="inlineStr">
        <is>
          <t>Q1 FY2028E</t>
        </is>
      </c>
      <c r="AJ1" s="2" t="inlineStr">
        <is>
          <t>Q2 FY2028E</t>
        </is>
      </c>
      <c r="AK1" s="2" t="inlineStr">
        <is>
          <t>Q3 FY2028E</t>
        </is>
      </c>
      <c r="AL1" s="2" t="inlineStr">
        <is>
          <t>Q4 FY2028E</t>
        </is>
      </c>
      <c r="AM1" s="2" t="inlineStr">
        <is>
          <t>Q1 FY2029E</t>
        </is>
      </c>
      <c r="AN1" s="2" t="inlineStr">
        <is>
          <t>Q2 FY2029E</t>
        </is>
      </c>
      <c r="AO1" s="2" t="inlineStr">
        <is>
          <t>Q3 FY2029E</t>
        </is>
      </c>
      <c r="AP1" s="2" t="inlineStr">
        <is>
          <t>Q4 FY2029E</t>
        </is>
      </c>
      <c r="AQ1" s="2" t="inlineStr">
        <is>
          <t>Q1 FY2030E</t>
        </is>
      </c>
      <c r="AR1" s="2" t="inlineStr">
        <is>
          <t>Q2 FY2030E</t>
        </is>
      </c>
      <c r="AS1" s="2" t="inlineStr">
        <is>
          <t>Q3 FY2030E</t>
        </is>
      </c>
      <c r="AT1" s="2" t="inlineStr">
        <is>
          <t>Q4 FY2030E</t>
        </is>
      </c>
    </row>
    <row r="2">
      <c r="A2" s="3" t="inlineStr">
        <is>
          <t>Cash, Cash Equivalents &amp; Restricted Cash</t>
        </is>
      </c>
      <c r="B2" s="4">
        <f>'BALANCE SHEET'!B2</f>
        <v/>
      </c>
      <c r="C2" s="4">
        <f>'YTD BS'!C2</f>
        <v/>
      </c>
      <c r="D2" s="4">
        <f>'YTD BS'!D2</f>
        <v/>
      </c>
      <c r="E2" s="4">
        <f>'YTD BS'!E2</f>
        <v/>
      </c>
      <c r="F2" s="4">
        <f>'BALANCE SHEET'!C2</f>
        <v/>
      </c>
      <c r="G2" s="4">
        <f>'YTD BS'!G2</f>
        <v/>
      </c>
      <c r="H2" s="4">
        <f>'YTD BS'!H2</f>
        <v/>
      </c>
      <c r="I2" s="4">
        <f>'YTD BS'!I2</f>
        <v/>
      </c>
      <c r="J2" s="4">
        <f>'BALANCE SHEET'!D2</f>
        <v/>
      </c>
      <c r="K2" s="4">
        <f>'YTD BS'!K2</f>
        <v/>
      </c>
      <c r="L2" s="4">
        <f>'YTD BS'!L2</f>
        <v/>
      </c>
      <c r="M2" s="4">
        <f>'YTD BS'!M2</f>
        <v/>
      </c>
      <c r="N2" s="4">
        <f>'BALANCE SHEET'!E2</f>
        <v/>
      </c>
      <c r="O2" s="4">
        <f>'YTD BS'!O2</f>
        <v/>
      </c>
      <c r="P2" s="4">
        <f>'YTD BS'!P2</f>
        <v/>
      </c>
      <c r="Q2" s="4">
        <f>'YTD BS'!Q2</f>
        <v/>
      </c>
      <c r="R2" s="4">
        <f>'BALANCE SHEET'!F2</f>
        <v/>
      </c>
      <c r="S2" s="4">
        <f>'YTD BS'!S2</f>
        <v/>
      </c>
      <c r="T2" s="4">
        <f>'YTD BS'!T2</f>
        <v/>
      </c>
      <c r="U2" s="4">
        <f>'YTD BS'!U2</f>
        <v/>
      </c>
      <c r="V2" s="4">
        <f>'BALANCE SHEET'!G2</f>
        <v/>
      </c>
      <c r="W2" s="4">
        <f>'YTD BS'!W2</f>
        <v/>
      </c>
      <c r="X2" s="4">
        <f>'YTD BS'!X2</f>
        <v/>
      </c>
      <c r="Y2" s="4">
        <f>'YTD BS'!Y2</f>
        <v/>
      </c>
      <c r="Z2" s="4">
        <f>'BALANCE SHEET'!H2</f>
        <v/>
      </c>
      <c r="AA2" s="11">
        <f>'BS DRIVERS'!AA2</f>
        <v/>
      </c>
      <c r="AB2" s="11">
        <f>'BS DRIVERS'!AB2</f>
        <v/>
      </c>
      <c r="AC2" s="11">
        <f>'BS DRIVERS'!AC2</f>
        <v/>
      </c>
      <c r="AD2" s="11">
        <f>'BS DRIVERS'!AD2</f>
        <v/>
      </c>
      <c r="AE2" s="11">
        <f>'BS DRIVERS'!AE2</f>
        <v/>
      </c>
      <c r="AF2" s="11">
        <f>'BS DRIVERS'!AF2</f>
        <v/>
      </c>
      <c r="AG2" s="11">
        <f>'BS DRIVERS'!AG2</f>
        <v/>
      </c>
      <c r="AH2" s="11">
        <f>'BS DRIVERS'!AH2</f>
        <v/>
      </c>
      <c r="AI2" s="11">
        <f>'BS DRIVERS'!AI2</f>
        <v/>
      </c>
      <c r="AJ2" s="11">
        <f>'BS DRIVERS'!AJ2</f>
        <v/>
      </c>
      <c r="AK2" s="11">
        <f>'BS DRIVERS'!AK2</f>
        <v/>
      </c>
      <c r="AL2" s="11">
        <f>'BS DRIVERS'!AL2</f>
        <v/>
      </c>
      <c r="AM2" s="11">
        <f>'BS DRIVERS'!AM2</f>
        <v/>
      </c>
      <c r="AN2" s="11">
        <f>'BS DRIVERS'!AN2</f>
        <v/>
      </c>
      <c r="AO2" s="11">
        <f>'BS DRIVERS'!AO2</f>
        <v/>
      </c>
      <c r="AP2" s="11">
        <f>'BS DRIVERS'!AP2</f>
        <v/>
      </c>
      <c r="AQ2" s="11">
        <f>'BS DRIVERS'!AQ2</f>
        <v/>
      </c>
      <c r="AR2" s="11">
        <f>'BS DRIVERS'!AR2</f>
        <v/>
      </c>
      <c r="AS2" s="11">
        <f>'BS DRIVERS'!AS2</f>
        <v/>
      </c>
      <c r="AT2" s="11">
        <f>'BS DRIVERS'!AT2</f>
        <v/>
      </c>
    </row>
    <row r="3">
      <c r="A3" s="3" t="inlineStr">
        <is>
          <t>Accounts Receivable</t>
        </is>
      </c>
      <c r="B3" s="4">
        <f>'BALANCE SHEET'!B3</f>
        <v/>
      </c>
      <c r="C3" s="4">
        <f>'YTD BS'!C3</f>
        <v/>
      </c>
      <c r="D3" s="4">
        <f>'YTD BS'!D3</f>
        <v/>
      </c>
      <c r="E3" s="4">
        <f>'YTD BS'!E3</f>
        <v/>
      </c>
      <c r="F3" s="4">
        <f>'BALANCE SHEET'!C3</f>
        <v/>
      </c>
      <c r="G3" s="4">
        <f>'YTD BS'!G3</f>
        <v/>
      </c>
      <c r="H3" s="4">
        <f>'YTD BS'!H3</f>
        <v/>
      </c>
      <c r="I3" s="4">
        <f>'YTD BS'!I3</f>
        <v/>
      </c>
      <c r="J3" s="4">
        <f>'BALANCE SHEET'!D3</f>
        <v/>
      </c>
      <c r="K3" s="4">
        <f>'YTD BS'!K3</f>
        <v/>
      </c>
      <c r="L3" s="4">
        <f>'YTD BS'!L3</f>
        <v/>
      </c>
      <c r="M3" s="4">
        <f>'YTD BS'!M3</f>
        <v/>
      </c>
      <c r="N3" s="4">
        <f>'BALANCE SHEET'!E3</f>
        <v/>
      </c>
      <c r="O3" s="4">
        <f>'YTD BS'!O3</f>
        <v/>
      </c>
      <c r="P3" s="4">
        <f>'YTD BS'!P3</f>
        <v/>
      </c>
      <c r="Q3" s="4">
        <f>'YTD BS'!Q3</f>
        <v/>
      </c>
      <c r="R3" s="4">
        <f>'BALANCE SHEET'!F3</f>
        <v/>
      </c>
      <c r="S3" s="4">
        <f>'YTD BS'!S3</f>
        <v/>
      </c>
      <c r="T3" s="4">
        <f>'YTD BS'!T3</f>
        <v/>
      </c>
      <c r="U3" s="4">
        <f>'YTD BS'!U3</f>
        <v/>
      </c>
      <c r="V3" s="4">
        <f>'BALANCE SHEET'!G3</f>
        <v/>
      </c>
      <c r="W3" s="4">
        <f>'YTD BS'!W3</f>
        <v/>
      </c>
      <c r="X3" s="4">
        <f>'YTD BS'!X3</f>
        <v/>
      </c>
      <c r="Y3" s="4">
        <f>'YTD BS'!Y3</f>
        <v/>
      </c>
      <c r="Z3" s="4">
        <f>'BALANCE SHEET'!H3</f>
        <v/>
      </c>
      <c r="AA3" s="11">
        <f>'QTR P&amp;L'!AD2*'BS DRIVERS'!AA3/ASSUMPTIONS!$B$2</f>
        <v/>
      </c>
      <c r="AB3" s="11">
        <f>'QTR P&amp;L'!AE2*'BS DRIVERS'!AB3/ASSUMPTIONS!$B$2</f>
        <v/>
      </c>
      <c r="AC3" s="11">
        <f>'QTR P&amp;L'!AF2*'BS DRIVERS'!AC3/ASSUMPTIONS!$B$2</f>
        <v/>
      </c>
      <c r="AD3" s="11">
        <f>'QTR P&amp;L'!AG2*'BS DRIVERS'!AD3/ASSUMPTIONS!$B$2</f>
        <v/>
      </c>
      <c r="AE3" s="11">
        <f>'QTR P&amp;L'!AH2*'BS DRIVERS'!AE3/ASSUMPTIONS!$B$2</f>
        <v/>
      </c>
      <c r="AF3" s="11">
        <f>'QTR P&amp;L'!AI2*'BS DRIVERS'!AF3/ASSUMPTIONS!$B$2</f>
        <v/>
      </c>
      <c r="AG3" s="11">
        <f>'QTR P&amp;L'!AJ2*'BS DRIVERS'!AG3/ASSUMPTIONS!$B$2</f>
        <v/>
      </c>
      <c r="AH3" s="11">
        <f>'QTR P&amp;L'!AK2*'BS DRIVERS'!AH3/ASSUMPTIONS!$B$2</f>
        <v/>
      </c>
      <c r="AI3" s="11">
        <f>'QTR P&amp;L'!AL2*'BS DRIVERS'!AI3/ASSUMPTIONS!$B$2</f>
        <v/>
      </c>
      <c r="AJ3" s="11">
        <f>'QTR P&amp;L'!AM2*'BS DRIVERS'!AJ3/ASSUMPTIONS!$B$2</f>
        <v/>
      </c>
      <c r="AK3" s="11">
        <f>'QTR P&amp;L'!AN2*'BS DRIVERS'!AK3/ASSUMPTIONS!$B$2</f>
        <v/>
      </c>
      <c r="AL3" s="11">
        <f>'QTR P&amp;L'!AO2*'BS DRIVERS'!AL3/ASSUMPTIONS!$B$2</f>
        <v/>
      </c>
      <c r="AM3" s="11">
        <f>'QTR P&amp;L'!AP2*'BS DRIVERS'!AM3/ASSUMPTIONS!$B$2</f>
        <v/>
      </c>
      <c r="AN3" s="11">
        <f>'QTR P&amp;L'!AQ2*'BS DRIVERS'!AN3/ASSUMPTIONS!$B$2</f>
        <v/>
      </c>
      <c r="AO3" s="11">
        <f>'QTR P&amp;L'!AR2*'BS DRIVERS'!AO3/ASSUMPTIONS!$B$2</f>
        <v/>
      </c>
      <c r="AP3" s="11">
        <f>'QTR P&amp;L'!AS2*'BS DRIVERS'!AP3/ASSUMPTIONS!$B$2</f>
        <v/>
      </c>
      <c r="AQ3" s="11">
        <f>'QTR P&amp;L'!AT2*'BS DRIVERS'!AQ3/ASSUMPTIONS!$B$2</f>
        <v/>
      </c>
      <c r="AR3" s="11">
        <f>'QTR P&amp;L'!AU2*'BS DRIVERS'!AR3/ASSUMPTIONS!$B$2</f>
        <v/>
      </c>
      <c r="AS3" s="11">
        <f>'QTR P&amp;L'!AV2*'BS DRIVERS'!AS3/ASSUMPTIONS!$B$2</f>
        <v/>
      </c>
      <c r="AT3" s="11">
        <f>'QTR P&amp;L'!AW2*'BS DRIVERS'!AT3/ASSUMPTIONS!$B$2</f>
        <v/>
      </c>
    </row>
    <row r="4">
      <c r="A4" s="3" t="inlineStr">
        <is>
          <t>Note Receivable - Current</t>
        </is>
      </c>
      <c r="B4" s="4">
        <f>'BALANCE SHEET'!B4</f>
        <v/>
      </c>
      <c r="C4" s="4">
        <f>'YTD BS'!C4</f>
        <v/>
      </c>
      <c r="D4" s="4">
        <f>'YTD BS'!D4</f>
        <v/>
      </c>
      <c r="E4" s="4">
        <f>'YTD BS'!E4</f>
        <v/>
      </c>
      <c r="F4" s="4">
        <f>'BALANCE SHEET'!C4</f>
        <v/>
      </c>
      <c r="G4" s="4">
        <f>'YTD BS'!G4</f>
        <v/>
      </c>
      <c r="H4" s="4">
        <f>'YTD BS'!H4</f>
        <v/>
      </c>
      <c r="I4" s="4">
        <f>'YTD BS'!I4</f>
        <v/>
      </c>
      <c r="J4" s="4">
        <f>'BALANCE SHEET'!D4</f>
        <v/>
      </c>
      <c r="K4" s="4">
        <f>'YTD BS'!K4</f>
        <v/>
      </c>
      <c r="L4" s="4">
        <f>'YTD BS'!L4</f>
        <v/>
      </c>
      <c r="M4" s="4">
        <f>'YTD BS'!M4</f>
        <v/>
      </c>
      <c r="N4" s="4">
        <f>'BALANCE SHEET'!E4</f>
        <v/>
      </c>
      <c r="O4" s="4">
        <f>'YTD BS'!O4</f>
        <v/>
      </c>
      <c r="P4" s="4">
        <f>'YTD BS'!P4</f>
        <v/>
      </c>
      <c r="Q4" s="4">
        <f>'YTD BS'!Q4</f>
        <v/>
      </c>
      <c r="R4" s="4">
        <f>'BALANCE SHEET'!F4</f>
        <v/>
      </c>
      <c r="S4" s="4">
        <f>'YTD BS'!S4</f>
        <v/>
      </c>
      <c r="T4" s="4">
        <f>'YTD BS'!T4</f>
        <v/>
      </c>
      <c r="U4" s="4">
        <f>'YTD BS'!U4</f>
        <v/>
      </c>
      <c r="V4" s="4">
        <f>'BALANCE SHEET'!G4</f>
        <v/>
      </c>
      <c r="W4" s="4">
        <f>'YTD BS'!W4</f>
        <v/>
      </c>
      <c r="X4" s="4">
        <f>'YTD BS'!X4</f>
        <v/>
      </c>
      <c r="Y4" s="4">
        <f>'YTD BS'!Y4</f>
        <v/>
      </c>
      <c r="Z4" s="4">
        <f>'BALANCE SHEET'!H4</f>
        <v/>
      </c>
      <c r="AA4" s="11">
        <f>'QTR P&amp;L'!AD2*'BS DRIVERS'!AA4/ASSUMPTIONS!$B$2</f>
        <v/>
      </c>
      <c r="AB4" s="11">
        <f>'QTR P&amp;L'!AE2*'BS DRIVERS'!AB4/ASSUMPTIONS!$B$2</f>
        <v/>
      </c>
      <c r="AC4" s="11">
        <f>'QTR P&amp;L'!AF2*'BS DRIVERS'!AC4/ASSUMPTIONS!$B$2</f>
        <v/>
      </c>
      <c r="AD4" s="11">
        <f>'QTR P&amp;L'!AG2*'BS DRIVERS'!AD4/ASSUMPTIONS!$B$2</f>
        <v/>
      </c>
      <c r="AE4" s="11">
        <f>'QTR P&amp;L'!AH2*'BS DRIVERS'!AE4/ASSUMPTIONS!$B$2</f>
        <v/>
      </c>
      <c r="AF4" s="11">
        <f>'QTR P&amp;L'!AI2*'BS DRIVERS'!AF4/ASSUMPTIONS!$B$2</f>
        <v/>
      </c>
      <c r="AG4" s="11">
        <f>'QTR P&amp;L'!AJ2*'BS DRIVERS'!AG4/ASSUMPTIONS!$B$2</f>
        <v/>
      </c>
      <c r="AH4" s="11">
        <f>'QTR P&amp;L'!AK2*'BS DRIVERS'!AH4/ASSUMPTIONS!$B$2</f>
        <v/>
      </c>
      <c r="AI4" s="11">
        <f>'QTR P&amp;L'!AL2*'BS DRIVERS'!AI4/ASSUMPTIONS!$B$2</f>
        <v/>
      </c>
      <c r="AJ4" s="11">
        <f>'QTR P&amp;L'!AM2*'BS DRIVERS'!AJ4/ASSUMPTIONS!$B$2</f>
        <v/>
      </c>
      <c r="AK4" s="11">
        <f>'QTR P&amp;L'!AN2*'BS DRIVERS'!AK4/ASSUMPTIONS!$B$2</f>
        <v/>
      </c>
      <c r="AL4" s="11">
        <f>'QTR P&amp;L'!AO2*'BS DRIVERS'!AL4/ASSUMPTIONS!$B$2</f>
        <v/>
      </c>
      <c r="AM4" s="11">
        <f>'QTR P&amp;L'!AP2*'BS DRIVERS'!AM4/ASSUMPTIONS!$B$2</f>
        <v/>
      </c>
      <c r="AN4" s="11">
        <f>'QTR P&amp;L'!AQ2*'BS DRIVERS'!AN4/ASSUMPTIONS!$B$2</f>
        <v/>
      </c>
      <c r="AO4" s="11">
        <f>'QTR P&amp;L'!AR2*'BS DRIVERS'!AO4/ASSUMPTIONS!$B$2</f>
        <v/>
      </c>
      <c r="AP4" s="11">
        <f>'QTR P&amp;L'!AS2*'BS DRIVERS'!AP4/ASSUMPTIONS!$B$2</f>
        <v/>
      </c>
      <c r="AQ4" s="11">
        <f>'QTR P&amp;L'!AT2*'BS DRIVERS'!AQ4/ASSUMPTIONS!$B$2</f>
        <v/>
      </c>
      <c r="AR4" s="11">
        <f>'QTR P&amp;L'!AU2*'BS DRIVERS'!AR4/ASSUMPTIONS!$B$2</f>
        <v/>
      </c>
      <c r="AS4" s="11">
        <f>'QTR P&amp;L'!AV2*'BS DRIVERS'!AS4/ASSUMPTIONS!$B$2</f>
        <v/>
      </c>
      <c r="AT4" s="11">
        <f>'QTR P&amp;L'!AW2*'BS DRIVERS'!AT4/ASSUMPTIONS!$B$2</f>
        <v/>
      </c>
    </row>
    <row r="5">
      <c r="A5" s="3" t="inlineStr">
        <is>
          <t>Inventories</t>
        </is>
      </c>
      <c r="B5" s="4">
        <f>'BALANCE SHEET'!B5</f>
        <v/>
      </c>
      <c r="C5" s="4">
        <f>'YTD BS'!C5</f>
        <v/>
      </c>
      <c r="D5" s="4">
        <f>'YTD BS'!D5</f>
        <v/>
      </c>
      <c r="E5" s="4">
        <f>'YTD BS'!E5</f>
        <v/>
      </c>
      <c r="F5" s="4">
        <f>'BALANCE SHEET'!C5</f>
        <v/>
      </c>
      <c r="G5" s="4">
        <f>'YTD BS'!G5</f>
        <v/>
      </c>
      <c r="H5" s="4">
        <f>'YTD BS'!H5</f>
        <v/>
      </c>
      <c r="I5" s="4">
        <f>'YTD BS'!I5</f>
        <v/>
      </c>
      <c r="J5" s="4">
        <f>'BALANCE SHEET'!D5</f>
        <v/>
      </c>
      <c r="K5" s="4">
        <f>'YTD BS'!K5</f>
        <v/>
      </c>
      <c r="L5" s="4">
        <f>'YTD BS'!L5</f>
        <v/>
      </c>
      <c r="M5" s="4">
        <f>'YTD BS'!M5</f>
        <v/>
      </c>
      <c r="N5" s="4">
        <f>'BALANCE SHEET'!E5</f>
        <v/>
      </c>
      <c r="O5" s="4">
        <f>'YTD BS'!O5</f>
        <v/>
      </c>
      <c r="P5" s="4">
        <f>'YTD BS'!P5</f>
        <v/>
      </c>
      <c r="Q5" s="4">
        <f>'YTD BS'!Q5</f>
        <v/>
      </c>
      <c r="R5" s="4">
        <f>'BALANCE SHEET'!F5</f>
        <v/>
      </c>
      <c r="S5" s="4">
        <f>'YTD BS'!S5</f>
        <v/>
      </c>
      <c r="T5" s="4">
        <f>'YTD BS'!T5</f>
        <v/>
      </c>
      <c r="U5" s="4">
        <f>'YTD BS'!U5</f>
        <v/>
      </c>
      <c r="V5" s="4">
        <f>'BALANCE SHEET'!G5</f>
        <v/>
      </c>
      <c r="W5" s="4">
        <f>'YTD BS'!W5</f>
        <v/>
      </c>
      <c r="X5" s="4">
        <f>'YTD BS'!X5</f>
        <v/>
      </c>
      <c r="Y5" s="4">
        <f>'YTD BS'!Y5</f>
        <v/>
      </c>
      <c r="Z5" s="4">
        <f>'BALANCE SHEET'!H5</f>
        <v/>
      </c>
      <c r="AA5" s="11">
        <f>'QTR P&amp;L'!AD3*'BS DRIVERS'!AA5/ASSUMPTIONS!$B$2</f>
        <v/>
      </c>
      <c r="AB5" s="11">
        <f>'QTR P&amp;L'!AE3*'BS DRIVERS'!AB5/ASSUMPTIONS!$B$2</f>
        <v/>
      </c>
      <c r="AC5" s="11">
        <f>'QTR P&amp;L'!AF3*'BS DRIVERS'!AC5/ASSUMPTIONS!$B$2</f>
        <v/>
      </c>
      <c r="AD5" s="11">
        <f>'QTR P&amp;L'!AG3*'BS DRIVERS'!AD5/ASSUMPTIONS!$B$2</f>
        <v/>
      </c>
      <c r="AE5" s="11">
        <f>'QTR P&amp;L'!AH3*'BS DRIVERS'!AE5/ASSUMPTIONS!$B$2</f>
        <v/>
      </c>
      <c r="AF5" s="11">
        <f>'QTR P&amp;L'!AI3*'BS DRIVERS'!AF5/ASSUMPTIONS!$B$2</f>
        <v/>
      </c>
      <c r="AG5" s="11">
        <f>'QTR P&amp;L'!AJ3*'BS DRIVERS'!AG5/ASSUMPTIONS!$B$2</f>
        <v/>
      </c>
      <c r="AH5" s="11">
        <f>'QTR P&amp;L'!AK3*'BS DRIVERS'!AH5/ASSUMPTIONS!$B$2</f>
        <v/>
      </c>
      <c r="AI5" s="11">
        <f>'QTR P&amp;L'!AL3*'BS DRIVERS'!AI5/ASSUMPTIONS!$B$2</f>
        <v/>
      </c>
      <c r="AJ5" s="11">
        <f>'QTR P&amp;L'!AM3*'BS DRIVERS'!AJ5/ASSUMPTIONS!$B$2</f>
        <v/>
      </c>
      <c r="AK5" s="11">
        <f>'QTR P&amp;L'!AN3*'BS DRIVERS'!AK5/ASSUMPTIONS!$B$2</f>
        <v/>
      </c>
      <c r="AL5" s="11">
        <f>'QTR P&amp;L'!AO3*'BS DRIVERS'!AL5/ASSUMPTIONS!$B$2</f>
        <v/>
      </c>
      <c r="AM5" s="11">
        <f>'QTR P&amp;L'!AP3*'BS DRIVERS'!AM5/ASSUMPTIONS!$B$2</f>
        <v/>
      </c>
      <c r="AN5" s="11">
        <f>'QTR P&amp;L'!AQ3*'BS DRIVERS'!AN5/ASSUMPTIONS!$B$2</f>
        <v/>
      </c>
      <c r="AO5" s="11">
        <f>'QTR P&amp;L'!AR3*'BS DRIVERS'!AO5/ASSUMPTIONS!$B$2</f>
        <v/>
      </c>
      <c r="AP5" s="11">
        <f>'QTR P&amp;L'!AS3*'BS DRIVERS'!AP5/ASSUMPTIONS!$B$2</f>
        <v/>
      </c>
      <c r="AQ5" s="11">
        <f>'QTR P&amp;L'!AT3*'BS DRIVERS'!AQ5/ASSUMPTIONS!$B$2</f>
        <v/>
      </c>
      <c r="AR5" s="11">
        <f>'QTR P&amp;L'!AU3*'BS DRIVERS'!AR5/ASSUMPTIONS!$B$2</f>
        <v/>
      </c>
      <c r="AS5" s="11">
        <f>'QTR P&amp;L'!AV3*'BS DRIVERS'!AS5/ASSUMPTIONS!$B$2</f>
        <v/>
      </c>
      <c r="AT5" s="11">
        <f>'QTR P&amp;L'!AW3*'BS DRIVERS'!AT5/ASSUMPTIONS!$B$2</f>
        <v/>
      </c>
    </row>
    <row r="6">
      <c r="A6" s="3" t="inlineStr">
        <is>
          <t>Prepaid Expenses</t>
        </is>
      </c>
      <c r="B6" s="4">
        <f>'BALANCE SHEET'!B6</f>
        <v/>
      </c>
      <c r="C6" s="4">
        <f>'YTD BS'!C6</f>
        <v/>
      </c>
      <c r="D6" s="4">
        <f>'YTD BS'!D6</f>
        <v/>
      </c>
      <c r="E6" s="4">
        <f>'YTD BS'!E6</f>
        <v/>
      </c>
      <c r="F6" s="4">
        <f>'BALANCE SHEET'!C6</f>
        <v/>
      </c>
      <c r="G6" s="4">
        <f>'YTD BS'!G6</f>
        <v/>
      </c>
      <c r="H6" s="4">
        <f>'YTD BS'!H6</f>
        <v/>
      </c>
      <c r="I6" s="4">
        <f>'YTD BS'!I6</f>
        <v/>
      </c>
      <c r="J6" s="4">
        <f>'BALANCE SHEET'!D6</f>
        <v/>
      </c>
      <c r="K6" s="4">
        <f>'YTD BS'!K6</f>
        <v/>
      </c>
      <c r="L6" s="4">
        <f>'YTD BS'!L6</f>
        <v/>
      </c>
      <c r="M6" s="4">
        <f>'YTD BS'!M6</f>
        <v/>
      </c>
      <c r="N6" s="4">
        <f>'BALANCE SHEET'!E6</f>
        <v/>
      </c>
      <c r="O6" s="4">
        <f>'YTD BS'!O6</f>
        <v/>
      </c>
      <c r="P6" s="4">
        <f>'YTD BS'!P6</f>
        <v/>
      </c>
      <c r="Q6" s="4">
        <f>'YTD BS'!Q6</f>
        <v/>
      </c>
      <c r="R6" s="4">
        <f>'BALANCE SHEET'!F6</f>
        <v/>
      </c>
      <c r="S6" s="4">
        <f>'YTD BS'!S6</f>
        <v/>
      </c>
      <c r="T6" s="4">
        <f>'YTD BS'!T6</f>
        <v/>
      </c>
      <c r="U6" s="4">
        <f>'YTD BS'!U6</f>
        <v/>
      </c>
      <c r="V6" s="4">
        <f>'BALANCE SHEET'!G6</f>
        <v/>
      </c>
      <c r="W6" s="4">
        <f>'YTD BS'!W6</f>
        <v/>
      </c>
      <c r="X6" s="4">
        <f>'YTD BS'!X6</f>
        <v/>
      </c>
      <c r="Y6" s="4">
        <f>'YTD BS'!Y6</f>
        <v/>
      </c>
      <c r="Z6" s="4">
        <f>'BALANCE SHEET'!H6</f>
        <v/>
      </c>
      <c r="AA6" s="11">
        <f>'QTR P&amp;L'!AD2*'BS DRIVERS'!AA6</f>
        <v/>
      </c>
      <c r="AB6" s="11">
        <f>'QTR P&amp;L'!AE2*'BS DRIVERS'!AB6</f>
        <v/>
      </c>
      <c r="AC6" s="11">
        <f>'QTR P&amp;L'!AF2*'BS DRIVERS'!AC6</f>
        <v/>
      </c>
      <c r="AD6" s="11">
        <f>'QTR P&amp;L'!AG2*'BS DRIVERS'!AD6</f>
        <v/>
      </c>
      <c r="AE6" s="11">
        <f>'QTR P&amp;L'!AH2*'BS DRIVERS'!AE6</f>
        <v/>
      </c>
      <c r="AF6" s="11">
        <f>'QTR P&amp;L'!AI2*'BS DRIVERS'!AF6</f>
        <v/>
      </c>
      <c r="AG6" s="11">
        <f>'QTR P&amp;L'!AJ2*'BS DRIVERS'!AG6</f>
        <v/>
      </c>
      <c r="AH6" s="11">
        <f>'QTR P&amp;L'!AK2*'BS DRIVERS'!AH6</f>
        <v/>
      </c>
      <c r="AI6" s="11">
        <f>'QTR P&amp;L'!AL2*'BS DRIVERS'!AI6</f>
        <v/>
      </c>
      <c r="AJ6" s="11">
        <f>'QTR P&amp;L'!AM2*'BS DRIVERS'!AJ6</f>
        <v/>
      </c>
      <c r="AK6" s="11">
        <f>'QTR P&amp;L'!AN2*'BS DRIVERS'!AK6</f>
        <v/>
      </c>
      <c r="AL6" s="11">
        <f>'QTR P&amp;L'!AO2*'BS DRIVERS'!AL6</f>
        <v/>
      </c>
      <c r="AM6" s="11">
        <f>'QTR P&amp;L'!AP2*'BS DRIVERS'!AM6</f>
        <v/>
      </c>
      <c r="AN6" s="11">
        <f>'QTR P&amp;L'!AQ2*'BS DRIVERS'!AN6</f>
        <v/>
      </c>
      <c r="AO6" s="11">
        <f>'QTR P&amp;L'!AR2*'BS DRIVERS'!AO6</f>
        <v/>
      </c>
      <c r="AP6" s="11">
        <f>'QTR P&amp;L'!AS2*'BS DRIVERS'!AP6</f>
        <v/>
      </c>
      <c r="AQ6" s="11">
        <f>'QTR P&amp;L'!AT2*'BS DRIVERS'!AQ6</f>
        <v/>
      </c>
      <c r="AR6" s="11">
        <f>'QTR P&amp;L'!AU2*'BS DRIVERS'!AR6</f>
        <v/>
      </c>
      <c r="AS6" s="11">
        <f>'QTR P&amp;L'!AV2*'BS DRIVERS'!AS6</f>
        <v/>
      </c>
      <c r="AT6" s="11">
        <f>'QTR P&amp;L'!AW2*'BS DRIVERS'!AT6</f>
        <v/>
      </c>
    </row>
    <row r="7">
      <c r="A7" s="3" t="inlineStr">
        <is>
          <t>Deferred Other Costs - Current</t>
        </is>
      </c>
      <c r="B7" s="4">
        <f>'BALANCE SHEET'!B7</f>
        <v/>
      </c>
      <c r="C7" s="4">
        <f>'YTD BS'!C7</f>
        <v/>
      </c>
      <c r="D7" s="4">
        <f>'YTD BS'!D7</f>
        <v/>
      </c>
      <c r="E7" s="4">
        <f>'YTD BS'!E7</f>
        <v/>
      </c>
      <c r="F7" s="4">
        <f>'BALANCE SHEET'!C7</f>
        <v/>
      </c>
      <c r="G7" s="4">
        <f>'YTD BS'!G7</f>
        <v/>
      </c>
      <c r="H7" s="4">
        <f>'YTD BS'!H7</f>
        <v/>
      </c>
      <c r="I7" s="4">
        <f>'YTD BS'!I7</f>
        <v/>
      </c>
      <c r="J7" s="4">
        <f>'BALANCE SHEET'!D7</f>
        <v/>
      </c>
      <c r="K7" s="4">
        <f>'YTD BS'!K7</f>
        <v/>
      </c>
      <c r="L7" s="4">
        <f>'YTD BS'!L7</f>
        <v/>
      </c>
      <c r="M7" s="4">
        <f>'YTD BS'!M7</f>
        <v/>
      </c>
      <c r="N7" s="4">
        <f>'BALANCE SHEET'!E7</f>
        <v/>
      </c>
      <c r="O7" s="4">
        <f>'YTD BS'!O7</f>
        <v/>
      </c>
      <c r="P7" s="4">
        <f>'YTD BS'!P7</f>
        <v/>
      </c>
      <c r="Q7" s="4">
        <f>'YTD BS'!Q7</f>
        <v/>
      </c>
      <c r="R7" s="4">
        <f>'BALANCE SHEET'!F7</f>
        <v/>
      </c>
      <c r="S7" s="4">
        <f>'YTD BS'!S7</f>
        <v/>
      </c>
      <c r="T7" s="4">
        <f>'YTD BS'!T7</f>
        <v/>
      </c>
      <c r="U7" s="4">
        <f>'YTD BS'!U7</f>
        <v/>
      </c>
      <c r="V7" s="4">
        <f>'BALANCE SHEET'!G7</f>
        <v/>
      </c>
      <c r="W7" s="4">
        <f>'YTD BS'!W7</f>
        <v/>
      </c>
      <c r="X7" s="4">
        <f>'YTD BS'!X7</f>
        <v/>
      </c>
      <c r="Y7" s="4">
        <f>'YTD BS'!Y7</f>
        <v/>
      </c>
      <c r="Z7" s="4">
        <f>'BALANCE SHEET'!H7</f>
        <v/>
      </c>
      <c r="AA7" s="11">
        <f>'QTR P&amp;L'!AD2*'BS DRIVERS'!AA7</f>
        <v/>
      </c>
      <c r="AB7" s="11">
        <f>'QTR P&amp;L'!AE2*'BS DRIVERS'!AB7</f>
        <v/>
      </c>
      <c r="AC7" s="11">
        <f>'QTR P&amp;L'!AF2*'BS DRIVERS'!AC7</f>
        <v/>
      </c>
      <c r="AD7" s="11">
        <f>'QTR P&amp;L'!AG2*'BS DRIVERS'!AD7</f>
        <v/>
      </c>
      <c r="AE7" s="11">
        <f>'QTR P&amp;L'!AH2*'BS DRIVERS'!AE7</f>
        <v/>
      </c>
      <c r="AF7" s="11">
        <f>'QTR P&amp;L'!AI2*'BS DRIVERS'!AF7</f>
        <v/>
      </c>
      <c r="AG7" s="11">
        <f>'QTR P&amp;L'!AJ2*'BS DRIVERS'!AG7</f>
        <v/>
      </c>
      <c r="AH7" s="11">
        <f>'QTR P&amp;L'!AK2*'BS DRIVERS'!AH7</f>
        <v/>
      </c>
      <c r="AI7" s="11">
        <f>'QTR P&amp;L'!AL2*'BS DRIVERS'!AI7</f>
        <v/>
      </c>
      <c r="AJ7" s="11">
        <f>'QTR P&amp;L'!AM2*'BS DRIVERS'!AJ7</f>
        <v/>
      </c>
      <c r="AK7" s="11">
        <f>'QTR P&amp;L'!AN2*'BS DRIVERS'!AK7</f>
        <v/>
      </c>
      <c r="AL7" s="11">
        <f>'QTR P&amp;L'!AO2*'BS DRIVERS'!AL7</f>
        <v/>
      </c>
      <c r="AM7" s="11">
        <f>'QTR P&amp;L'!AP2*'BS DRIVERS'!AM7</f>
        <v/>
      </c>
      <c r="AN7" s="11">
        <f>'QTR P&amp;L'!AQ2*'BS DRIVERS'!AN7</f>
        <v/>
      </c>
      <c r="AO7" s="11">
        <f>'QTR P&amp;L'!AR2*'BS DRIVERS'!AO7</f>
        <v/>
      </c>
      <c r="AP7" s="11">
        <f>'QTR P&amp;L'!AS2*'BS DRIVERS'!AP7</f>
        <v/>
      </c>
      <c r="AQ7" s="11">
        <f>'QTR P&amp;L'!AT2*'BS DRIVERS'!AQ7</f>
        <v/>
      </c>
      <c r="AR7" s="11">
        <f>'QTR P&amp;L'!AU2*'BS DRIVERS'!AR7</f>
        <v/>
      </c>
      <c r="AS7" s="11">
        <f>'QTR P&amp;L'!AV2*'BS DRIVERS'!AS7</f>
        <v/>
      </c>
      <c r="AT7" s="11">
        <f>'QTR P&amp;L'!AW2*'BS DRIVERS'!AT7</f>
        <v/>
      </c>
    </row>
    <row r="8">
      <c r="A8" s="3" t="inlineStr">
        <is>
          <t>Total Current Assets</t>
        </is>
      </c>
      <c r="B8" s="6">
        <f>'BALANCE SHEET'!B8</f>
        <v/>
      </c>
      <c r="C8" s="6">
        <f>'YTD BS'!C8</f>
        <v/>
      </c>
      <c r="D8" s="6">
        <f>'YTD BS'!D8</f>
        <v/>
      </c>
      <c r="E8" s="6">
        <f>'YTD BS'!E8</f>
        <v/>
      </c>
      <c r="F8" s="6">
        <f>'BALANCE SHEET'!C8</f>
        <v/>
      </c>
      <c r="G8" s="6">
        <f>'YTD BS'!G8</f>
        <v/>
      </c>
      <c r="H8" s="6">
        <f>'YTD BS'!H8</f>
        <v/>
      </c>
      <c r="I8" s="6">
        <f>'YTD BS'!I8</f>
        <v/>
      </c>
      <c r="J8" s="6">
        <f>'BALANCE SHEET'!D8</f>
        <v/>
      </c>
      <c r="K8" s="6">
        <f>'YTD BS'!K8</f>
        <v/>
      </c>
      <c r="L8" s="6">
        <f>'YTD BS'!L8</f>
        <v/>
      </c>
      <c r="M8" s="6">
        <f>'YTD BS'!M8</f>
        <v/>
      </c>
      <c r="N8" s="6">
        <f>'BALANCE SHEET'!E8</f>
        <v/>
      </c>
      <c r="O8" s="6">
        <f>'YTD BS'!O8</f>
        <v/>
      </c>
      <c r="P8" s="6">
        <f>'YTD BS'!P8</f>
        <v/>
      </c>
      <c r="Q8" s="6">
        <f>'YTD BS'!Q8</f>
        <v/>
      </c>
      <c r="R8" s="6">
        <f>'BALANCE SHEET'!F8</f>
        <v/>
      </c>
      <c r="S8" s="6">
        <f>'YTD BS'!S8</f>
        <v/>
      </c>
      <c r="T8" s="6">
        <f>'YTD BS'!T8</f>
        <v/>
      </c>
      <c r="U8" s="6">
        <f>'YTD BS'!U8</f>
        <v/>
      </c>
      <c r="V8" s="6">
        <f>'BALANCE SHEET'!G8</f>
        <v/>
      </c>
      <c r="W8" s="6">
        <f>'YTD BS'!W8</f>
        <v/>
      </c>
      <c r="X8" s="6">
        <f>'YTD BS'!X8</f>
        <v/>
      </c>
      <c r="Y8" s="6">
        <f>'YTD BS'!Y8</f>
        <v/>
      </c>
      <c r="Z8" s="6">
        <f>'BALANCE SHEET'!H8</f>
        <v/>
      </c>
      <c r="AA8" s="7">
        <f>SUM(AA2:AA7)</f>
        <v/>
      </c>
      <c r="AB8" s="7">
        <f>SUM(AB2:AB7)</f>
        <v/>
      </c>
      <c r="AC8" s="7">
        <f>SUM(AC2:AC7)</f>
        <v/>
      </c>
      <c r="AD8" s="7">
        <f>SUM(AD2:AD7)</f>
        <v/>
      </c>
      <c r="AE8" s="7">
        <f>SUM(AE2:AE7)</f>
        <v/>
      </c>
      <c r="AF8" s="7">
        <f>SUM(AF2:AF7)</f>
        <v/>
      </c>
      <c r="AG8" s="7">
        <f>SUM(AG2:AG7)</f>
        <v/>
      </c>
      <c r="AH8" s="7">
        <f>SUM(AH2:AH7)</f>
        <v/>
      </c>
      <c r="AI8" s="7">
        <f>SUM(AI2:AI7)</f>
        <v/>
      </c>
      <c r="AJ8" s="7">
        <f>SUM(AJ2:AJ7)</f>
        <v/>
      </c>
      <c r="AK8" s="7">
        <f>SUM(AK2:AK7)</f>
        <v/>
      </c>
      <c r="AL8" s="7">
        <f>SUM(AL2:AL7)</f>
        <v/>
      </c>
      <c r="AM8" s="7">
        <f>SUM(AM2:AM7)</f>
        <v/>
      </c>
      <c r="AN8" s="7">
        <f>SUM(AN2:AN7)</f>
        <v/>
      </c>
      <c r="AO8" s="7">
        <f>SUM(AO2:AO7)</f>
        <v/>
      </c>
      <c r="AP8" s="7">
        <f>SUM(AP2:AP7)</f>
        <v/>
      </c>
      <c r="AQ8" s="7">
        <f>SUM(AQ2:AQ7)</f>
        <v/>
      </c>
      <c r="AR8" s="7">
        <f>SUM(AR2:AR7)</f>
        <v/>
      </c>
      <c r="AS8" s="7">
        <f>SUM(AS2:AS7)</f>
        <v/>
      </c>
      <c r="AT8" s="7">
        <f>SUM(AT2:AT7)</f>
        <v/>
      </c>
    </row>
    <row r="9">
      <c r="A9" s="3" t="inlineStr">
        <is>
          <t>Note Receivable - Non-Current</t>
        </is>
      </c>
      <c r="B9" s="4">
        <f>'BALANCE SHEET'!B9</f>
        <v/>
      </c>
      <c r="C9" s="4">
        <f>'YTD BS'!C9</f>
        <v/>
      </c>
      <c r="D9" s="4">
        <f>'YTD BS'!D9</f>
        <v/>
      </c>
      <c r="E9" s="4">
        <f>'YTD BS'!E9</f>
        <v/>
      </c>
      <c r="F9" s="4">
        <f>'BALANCE SHEET'!C9</f>
        <v/>
      </c>
      <c r="G9" s="4">
        <f>'YTD BS'!G9</f>
        <v/>
      </c>
      <c r="H9" s="4">
        <f>'YTD BS'!H9</f>
        <v/>
      </c>
      <c r="I9" s="4">
        <f>'YTD BS'!I9</f>
        <v/>
      </c>
      <c r="J9" s="4">
        <f>'BALANCE SHEET'!D9</f>
        <v/>
      </c>
      <c r="K9" s="4">
        <f>'YTD BS'!K9</f>
        <v/>
      </c>
      <c r="L9" s="4">
        <f>'YTD BS'!L9</f>
        <v/>
      </c>
      <c r="M9" s="4">
        <f>'YTD BS'!M9</f>
        <v/>
      </c>
      <c r="N9" s="4">
        <f>'BALANCE SHEET'!E9</f>
        <v/>
      </c>
      <c r="O9" s="4">
        <f>'YTD BS'!O9</f>
        <v/>
      </c>
      <c r="P9" s="4">
        <f>'YTD BS'!P9</f>
        <v/>
      </c>
      <c r="Q9" s="4">
        <f>'YTD BS'!Q9</f>
        <v/>
      </c>
      <c r="R9" s="4">
        <f>'BALANCE SHEET'!F9</f>
        <v/>
      </c>
      <c r="S9" s="4">
        <f>'YTD BS'!S9</f>
        <v/>
      </c>
      <c r="T9" s="4">
        <f>'YTD BS'!T9</f>
        <v/>
      </c>
      <c r="U9" s="4">
        <f>'YTD BS'!U9</f>
        <v/>
      </c>
      <c r="V9" s="4">
        <f>'BALANCE SHEET'!G9</f>
        <v/>
      </c>
      <c r="W9" s="4">
        <f>'YTD BS'!W9</f>
        <v/>
      </c>
      <c r="X9" s="4">
        <f>'YTD BS'!X9</f>
        <v/>
      </c>
      <c r="Y9" s="4">
        <f>'YTD BS'!Y9</f>
        <v/>
      </c>
      <c r="Z9" s="4">
        <f>'BALANCE SHEET'!H9</f>
        <v/>
      </c>
      <c r="AA9" s="11">
        <f>'QTR P&amp;L'!AD2*'BS DRIVERS'!AA8</f>
        <v/>
      </c>
      <c r="AB9" s="11">
        <f>'QTR P&amp;L'!AE2*'BS DRIVERS'!AB8</f>
        <v/>
      </c>
      <c r="AC9" s="11">
        <f>'QTR P&amp;L'!AF2*'BS DRIVERS'!AC8</f>
        <v/>
      </c>
      <c r="AD9" s="11">
        <f>'QTR P&amp;L'!AG2*'BS DRIVERS'!AD8</f>
        <v/>
      </c>
      <c r="AE9" s="11">
        <f>'QTR P&amp;L'!AH2*'BS DRIVERS'!AE8</f>
        <v/>
      </c>
      <c r="AF9" s="11">
        <f>'QTR P&amp;L'!AI2*'BS DRIVERS'!AF8</f>
        <v/>
      </c>
      <c r="AG9" s="11">
        <f>'QTR P&amp;L'!AJ2*'BS DRIVERS'!AG8</f>
        <v/>
      </c>
      <c r="AH9" s="11">
        <f>'QTR P&amp;L'!AK2*'BS DRIVERS'!AH8</f>
        <v/>
      </c>
      <c r="AI9" s="11">
        <f>'QTR P&amp;L'!AL2*'BS DRIVERS'!AI8</f>
        <v/>
      </c>
      <c r="AJ9" s="11">
        <f>'QTR P&amp;L'!AM2*'BS DRIVERS'!AJ8</f>
        <v/>
      </c>
      <c r="AK9" s="11">
        <f>'QTR P&amp;L'!AN2*'BS DRIVERS'!AK8</f>
        <v/>
      </c>
      <c r="AL9" s="11">
        <f>'QTR P&amp;L'!AO2*'BS DRIVERS'!AL8</f>
        <v/>
      </c>
      <c r="AM9" s="11">
        <f>'QTR P&amp;L'!AP2*'BS DRIVERS'!AM8</f>
        <v/>
      </c>
      <c r="AN9" s="11">
        <f>'QTR P&amp;L'!AQ2*'BS DRIVERS'!AN8</f>
        <v/>
      </c>
      <c r="AO9" s="11">
        <f>'QTR P&amp;L'!AR2*'BS DRIVERS'!AO8</f>
        <v/>
      </c>
      <c r="AP9" s="11">
        <f>'QTR P&amp;L'!AS2*'BS DRIVERS'!AP8</f>
        <v/>
      </c>
      <c r="AQ9" s="11">
        <f>'QTR P&amp;L'!AT2*'BS DRIVERS'!AQ8</f>
        <v/>
      </c>
      <c r="AR9" s="11">
        <f>'QTR P&amp;L'!AU2*'BS DRIVERS'!AR8</f>
        <v/>
      </c>
      <c r="AS9" s="11">
        <f>'QTR P&amp;L'!AV2*'BS DRIVERS'!AS8</f>
        <v/>
      </c>
      <c r="AT9" s="11">
        <f>'QTR P&amp;L'!AW2*'BS DRIVERS'!AT8</f>
        <v/>
      </c>
    </row>
    <row r="10">
      <c r="A10" s="3" t="inlineStr">
        <is>
          <t>Net PP&amp;E</t>
        </is>
      </c>
      <c r="B10" s="4">
        <f>'BALANCE SHEET'!B10</f>
        <v/>
      </c>
      <c r="C10" s="4">
        <f>'YTD BS'!C10</f>
        <v/>
      </c>
      <c r="D10" s="4">
        <f>'YTD BS'!D10</f>
        <v/>
      </c>
      <c r="E10" s="4">
        <f>'YTD BS'!E10</f>
        <v/>
      </c>
      <c r="F10" s="4">
        <f>'BALANCE SHEET'!C10</f>
        <v/>
      </c>
      <c r="G10" s="4">
        <f>'YTD BS'!G10</f>
        <v/>
      </c>
      <c r="H10" s="4">
        <f>'YTD BS'!H10</f>
        <v/>
      </c>
      <c r="I10" s="4">
        <f>'YTD BS'!I10</f>
        <v/>
      </c>
      <c r="J10" s="4">
        <f>'BALANCE SHEET'!D10</f>
        <v/>
      </c>
      <c r="K10" s="4">
        <f>'YTD BS'!K10</f>
        <v/>
      </c>
      <c r="L10" s="4">
        <f>'YTD BS'!L10</f>
        <v/>
      </c>
      <c r="M10" s="4">
        <f>'YTD BS'!M10</f>
        <v/>
      </c>
      <c r="N10" s="4">
        <f>'BALANCE SHEET'!E10</f>
        <v/>
      </c>
      <c r="O10" s="4">
        <f>'YTD BS'!O10</f>
        <v/>
      </c>
      <c r="P10" s="4">
        <f>'YTD BS'!P10</f>
        <v/>
      </c>
      <c r="Q10" s="4">
        <f>'YTD BS'!Q10</f>
        <v/>
      </c>
      <c r="R10" s="4">
        <f>'BALANCE SHEET'!F10</f>
        <v/>
      </c>
      <c r="S10" s="4">
        <f>'YTD BS'!S10</f>
        <v/>
      </c>
      <c r="T10" s="4">
        <f>'YTD BS'!T10</f>
        <v/>
      </c>
      <c r="U10" s="4">
        <f>'YTD BS'!U10</f>
        <v/>
      </c>
      <c r="V10" s="4">
        <f>'BALANCE SHEET'!G10</f>
        <v/>
      </c>
      <c r="W10" s="4">
        <f>'YTD BS'!W10</f>
        <v/>
      </c>
      <c r="X10" s="4">
        <f>'YTD BS'!X10</f>
        <v/>
      </c>
      <c r="Y10" s="4">
        <f>'YTD BS'!Y10</f>
        <v/>
      </c>
      <c r="Z10" s="4">
        <f>'BALANCE SHEET'!H10</f>
        <v/>
      </c>
      <c r="AA10" s="11">
        <f>'BS DRIVERS'!AA9</f>
        <v/>
      </c>
      <c r="AB10" s="11">
        <f>'BS DRIVERS'!AB9</f>
        <v/>
      </c>
      <c r="AC10" s="11">
        <f>'BS DRIVERS'!AC9</f>
        <v/>
      </c>
      <c r="AD10" s="11">
        <f>'BS DRIVERS'!AD9</f>
        <v/>
      </c>
      <c r="AE10" s="11">
        <f>'BS DRIVERS'!AE9</f>
        <v/>
      </c>
      <c r="AF10" s="11">
        <f>'BS DRIVERS'!AF9</f>
        <v/>
      </c>
      <c r="AG10" s="11">
        <f>'BS DRIVERS'!AG9</f>
        <v/>
      </c>
      <c r="AH10" s="11">
        <f>'BS DRIVERS'!AH9</f>
        <v/>
      </c>
      <c r="AI10" s="11">
        <f>'BS DRIVERS'!AI9</f>
        <v/>
      </c>
      <c r="AJ10" s="11">
        <f>'BS DRIVERS'!AJ9</f>
        <v/>
      </c>
      <c r="AK10" s="11">
        <f>'BS DRIVERS'!AK9</f>
        <v/>
      </c>
      <c r="AL10" s="11">
        <f>'BS DRIVERS'!AL9</f>
        <v/>
      </c>
      <c r="AM10" s="11">
        <f>'BS DRIVERS'!AM9</f>
        <v/>
      </c>
      <c r="AN10" s="11">
        <f>'BS DRIVERS'!AN9</f>
        <v/>
      </c>
      <c r="AO10" s="11">
        <f>'BS DRIVERS'!AO9</f>
        <v/>
      </c>
      <c r="AP10" s="11">
        <f>'BS DRIVERS'!AP9</f>
        <v/>
      </c>
      <c r="AQ10" s="11">
        <f>'BS DRIVERS'!AQ9</f>
        <v/>
      </c>
      <c r="AR10" s="11">
        <f>'BS DRIVERS'!AR9</f>
        <v/>
      </c>
      <c r="AS10" s="11">
        <f>'BS DRIVERS'!AS9</f>
        <v/>
      </c>
      <c r="AT10" s="11">
        <f>'BS DRIVERS'!AT9</f>
        <v/>
      </c>
    </row>
    <row r="11">
      <c r="A11" s="3" t="inlineStr">
        <is>
          <t>ROU Assets - Operating - Non-Current</t>
        </is>
      </c>
      <c r="B11" s="4">
        <f>'BALANCE SHEET'!B11</f>
        <v/>
      </c>
      <c r="C11" s="4">
        <f>'YTD BS'!C11</f>
        <v/>
      </c>
      <c r="D11" s="4">
        <f>'YTD BS'!D11</f>
        <v/>
      </c>
      <c r="E11" s="4">
        <f>'YTD BS'!E11</f>
        <v/>
      </c>
      <c r="F11" s="4">
        <f>'BALANCE SHEET'!C11</f>
        <v/>
      </c>
      <c r="G11" s="4">
        <f>'YTD BS'!G11</f>
        <v/>
      </c>
      <c r="H11" s="4">
        <f>'YTD BS'!H11</f>
        <v/>
      </c>
      <c r="I11" s="4">
        <f>'YTD BS'!I11</f>
        <v/>
      </c>
      <c r="J11" s="4">
        <f>'BALANCE SHEET'!D11</f>
        <v/>
      </c>
      <c r="K11" s="4">
        <f>'YTD BS'!K11</f>
        <v/>
      </c>
      <c r="L11" s="4">
        <f>'YTD BS'!L11</f>
        <v/>
      </c>
      <c r="M11" s="4">
        <f>'YTD BS'!M11</f>
        <v/>
      </c>
      <c r="N11" s="4">
        <f>'BALANCE SHEET'!E11</f>
        <v/>
      </c>
      <c r="O11" s="4">
        <f>'YTD BS'!O11</f>
        <v/>
      </c>
      <c r="P11" s="4">
        <f>'YTD BS'!P11</f>
        <v/>
      </c>
      <c r="Q11" s="4">
        <f>'YTD BS'!Q11</f>
        <v/>
      </c>
      <c r="R11" s="4">
        <f>'BALANCE SHEET'!F11</f>
        <v/>
      </c>
      <c r="S11" s="4">
        <f>'YTD BS'!S11</f>
        <v/>
      </c>
      <c r="T11" s="4">
        <f>'YTD BS'!T11</f>
        <v/>
      </c>
      <c r="U11" s="4">
        <f>'YTD BS'!U11</f>
        <v/>
      </c>
      <c r="V11" s="4">
        <f>'BALANCE SHEET'!G11</f>
        <v/>
      </c>
      <c r="W11" s="4">
        <f>'YTD BS'!W11</f>
        <v/>
      </c>
      <c r="X11" s="4">
        <f>'YTD BS'!X11</f>
        <v/>
      </c>
      <c r="Y11" s="4">
        <f>'YTD BS'!Y11</f>
        <v/>
      </c>
      <c r="Z11" s="4">
        <f>'BALANCE SHEET'!H11</f>
        <v/>
      </c>
      <c r="AA11" s="11">
        <f>'QTR P&amp;L'!AD2*'BS DRIVERS'!AA10</f>
        <v/>
      </c>
      <c r="AB11" s="11">
        <f>'QTR P&amp;L'!AE2*'BS DRIVERS'!AB10</f>
        <v/>
      </c>
      <c r="AC11" s="11">
        <f>'QTR P&amp;L'!AF2*'BS DRIVERS'!AC10</f>
        <v/>
      </c>
      <c r="AD11" s="11">
        <f>'QTR P&amp;L'!AG2*'BS DRIVERS'!AD10</f>
        <v/>
      </c>
      <c r="AE11" s="11">
        <f>'QTR P&amp;L'!AH2*'BS DRIVERS'!AE10</f>
        <v/>
      </c>
      <c r="AF11" s="11">
        <f>'QTR P&amp;L'!AI2*'BS DRIVERS'!AF10</f>
        <v/>
      </c>
      <c r="AG11" s="11">
        <f>'QTR P&amp;L'!AJ2*'BS DRIVERS'!AG10</f>
        <v/>
      </c>
      <c r="AH11" s="11">
        <f>'QTR P&amp;L'!AK2*'BS DRIVERS'!AH10</f>
        <v/>
      </c>
      <c r="AI11" s="11">
        <f>'QTR P&amp;L'!AL2*'BS DRIVERS'!AI10</f>
        <v/>
      </c>
      <c r="AJ11" s="11">
        <f>'QTR P&amp;L'!AM2*'BS DRIVERS'!AJ10</f>
        <v/>
      </c>
      <c r="AK11" s="11">
        <f>'QTR P&amp;L'!AN2*'BS DRIVERS'!AK10</f>
        <v/>
      </c>
      <c r="AL11" s="11">
        <f>'QTR P&amp;L'!AO2*'BS DRIVERS'!AL10</f>
        <v/>
      </c>
      <c r="AM11" s="11">
        <f>'QTR P&amp;L'!AP2*'BS DRIVERS'!AM10</f>
        <v/>
      </c>
      <c r="AN11" s="11">
        <f>'QTR P&amp;L'!AQ2*'BS DRIVERS'!AN10</f>
        <v/>
      </c>
      <c r="AO11" s="11">
        <f>'QTR P&amp;L'!AR2*'BS DRIVERS'!AO10</f>
        <v/>
      </c>
      <c r="AP11" s="11">
        <f>'QTR P&amp;L'!AS2*'BS DRIVERS'!AP10</f>
        <v/>
      </c>
      <c r="AQ11" s="11">
        <f>'QTR P&amp;L'!AT2*'BS DRIVERS'!AQ10</f>
        <v/>
      </c>
      <c r="AR11" s="11">
        <f>'QTR P&amp;L'!AU2*'BS DRIVERS'!AR10</f>
        <v/>
      </c>
      <c r="AS11" s="11">
        <f>'QTR P&amp;L'!AV2*'BS DRIVERS'!AS10</f>
        <v/>
      </c>
      <c r="AT11" s="11">
        <f>'QTR P&amp;L'!AW2*'BS DRIVERS'!AT10</f>
        <v/>
      </c>
    </row>
    <row r="12">
      <c r="A12" s="3" t="inlineStr">
        <is>
          <t>Intangible Assets</t>
        </is>
      </c>
      <c r="B12" s="4">
        <f>'BALANCE SHEET'!B13</f>
        <v/>
      </c>
      <c r="C12" s="4">
        <f>'YTD BS'!C12</f>
        <v/>
      </c>
      <c r="D12" s="4">
        <f>'YTD BS'!D12</f>
        <v/>
      </c>
      <c r="E12" s="4">
        <f>'YTD BS'!E12</f>
        <v/>
      </c>
      <c r="F12" s="4">
        <f>'BALANCE SHEET'!C13</f>
        <v/>
      </c>
      <c r="G12" s="4">
        <f>'YTD BS'!G12</f>
        <v/>
      </c>
      <c r="H12" s="4">
        <f>'YTD BS'!H12</f>
        <v/>
      </c>
      <c r="I12" s="4">
        <f>'YTD BS'!I12</f>
        <v/>
      </c>
      <c r="J12" s="4">
        <f>'BALANCE SHEET'!D13</f>
        <v/>
      </c>
      <c r="K12" s="4">
        <f>'YTD BS'!K12</f>
        <v/>
      </c>
      <c r="L12" s="4">
        <f>'YTD BS'!L12</f>
        <v/>
      </c>
      <c r="M12" s="4">
        <f>'YTD BS'!M12</f>
        <v/>
      </c>
      <c r="N12" s="4">
        <f>'BALANCE SHEET'!E13</f>
        <v/>
      </c>
      <c r="O12" s="4">
        <f>'YTD BS'!O12</f>
        <v/>
      </c>
      <c r="P12" s="4">
        <f>'YTD BS'!P12</f>
        <v/>
      </c>
      <c r="Q12" s="4">
        <f>'YTD BS'!Q12</f>
        <v/>
      </c>
      <c r="R12" s="4">
        <f>'BALANCE SHEET'!F13</f>
        <v/>
      </c>
      <c r="S12" s="4">
        <f>'YTD BS'!S12</f>
        <v/>
      </c>
      <c r="T12" s="4">
        <f>'YTD BS'!T12</f>
        <v/>
      </c>
      <c r="U12" s="4">
        <f>'YTD BS'!U12</f>
        <v/>
      </c>
      <c r="V12" s="4">
        <f>'BALANCE SHEET'!G13</f>
        <v/>
      </c>
      <c r="W12" s="4">
        <f>'YTD BS'!W12</f>
        <v/>
      </c>
      <c r="X12" s="4">
        <f>'YTD BS'!X12</f>
        <v/>
      </c>
      <c r="Y12" s="4">
        <f>'YTD BS'!Y12</f>
        <v/>
      </c>
      <c r="Z12" s="4">
        <f>'BALANCE SHEET'!H13</f>
        <v/>
      </c>
      <c r="AA12" s="11">
        <f>'BS DRIVERS'!AA11</f>
        <v/>
      </c>
      <c r="AB12" s="11">
        <f>'BS DRIVERS'!AB11</f>
        <v/>
      </c>
      <c r="AC12" s="11">
        <f>'BS DRIVERS'!AC11</f>
        <v/>
      </c>
      <c r="AD12" s="11">
        <f>'BS DRIVERS'!AD11</f>
        <v/>
      </c>
      <c r="AE12" s="11">
        <f>'BS DRIVERS'!AE11</f>
        <v/>
      </c>
      <c r="AF12" s="11">
        <f>'BS DRIVERS'!AF11</f>
        <v/>
      </c>
      <c r="AG12" s="11">
        <f>'BS DRIVERS'!AG11</f>
        <v/>
      </c>
      <c r="AH12" s="11">
        <f>'BS DRIVERS'!AH11</f>
        <v/>
      </c>
      <c r="AI12" s="11">
        <f>'BS DRIVERS'!AI11</f>
        <v/>
      </c>
      <c r="AJ12" s="11">
        <f>'BS DRIVERS'!AJ11</f>
        <v/>
      </c>
      <c r="AK12" s="11">
        <f>'BS DRIVERS'!AK11</f>
        <v/>
      </c>
      <c r="AL12" s="11">
        <f>'BS DRIVERS'!AL11</f>
        <v/>
      </c>
      <c r="AM12" s="11">
        <f>'BS DRIVERS'!AM11</f>
        <v/>
      </c>
      <c r="AN12" s="11">
        <f>'BS DRIVERS'!AN11</f>
        <v/>
      </c>
      <c r="AO12" s="11">
        <f>'BS DRIVERS'!AO11</f>
        <v/>
      </c>
      <c r="AP12" s="11">
        <f>'BS DRIVERS'!AP11</f>
        <v/>
      </c>
      <c r="AQ12" s="11">
        <f>'BS DRIVERS'!AQ11</f>
        <v/>
      </c>
      <c r="AR12" s="11">
        <f>'BS DRIVERS'!AR11</f>
        <v/>
      </c>
      <c r="AS12" s="11">
        <f>'BS DRIVERS'!AS11</f>
        <v/>
      </c>
      <c r="AT12" s="11">
        <f>'BS DRIVERS'!AT11</f>
        <v/>
      </c>
    </row>
    <row r="13">
      <c r="A13" s="3" t="inlineStr">
        <is>
          <t>Goodwill</t>
        </is>
      </c>
      <c r="B13" s="4">
        <f>'BALANCE SHEET'!B14</f>
        <v/>
      </c>
      <c r="C13" s="4">
        <f>'YTD BS'!C13</f>
        <v/>
      </c>
      <c r="D13" s="4">
        <f>'YTD BS'!D13</f>
        <v/>
      </c>
      <c r="E13" s="4">
        <f>'YTD BS'!E13</f>
        <v/>
      </c>
      <c r="F13" s="4">
        <f>'BALANCE SHEET'!C14</f>
        <v/>
      </c>
      <c r="G13" s="4">
        <f>'YTD BS'!G13</f>
        <v/>
      </c>
      <c r="H13" s="4">
        <f>'YTD BS'!H13</f>
        <v/>
      </c>
      <c r="I13" s="4">
        <f>'YTD BS'!I13</f>
        <v/>
      </c>
      <c r="J13" s="4">
        <f>'BALANCE SHEET'!D14</f>
        <v/>
      </c>
      <c r="K13" s="4">
        <f>'YTD BS'!K13</f>
        <v/>
      </c>
      <c r="L13" s="4">
        <f>'YTD BS'!L13</f>
        <v/>
      </c>
      <c r="M13" s="4">
        <f>'YTD BS'!M13</f>
        <v/>
      </c>
      <c r="N13" s="4">
        <f>'BALANCE SHEET'!E14</f>
        <v/>
      </c>
      <c r="O13" s="4">
        <f>'YTD BS'!O13</f>
        <v/>
      </c>
      <c r="P13" s="4">
        <f>'YTD BS'!P13</f>
        <v/>
      </c>
      <c r="Q13" s="4">
        <f>'YTD BS'!Q13</f>
        <v/>
      </c>
      <c r="R13" s="4">
        <f>'BALANCE SHEET'!F14</f>
        <v/>
      </c>
      <c r="S13" s="4">
        <f>'YTD BS'!S13</f>
        <v/>
      </c>
      <c r="T13" s="4">
        <f>'YTD BS'!T13</f>
        <v/>
      </c>
      <c r="U13" s="4">
        <f>'YTD BS'!U13</f>
        <v/>
      </c>
      <c r="V13" s="4">
        <f>'BALANCE SHEET'!G14</f>
        <v/>
      </c>
      <c r="W13" s="4">
        <f>'YTD BS'!W13</f>
        <v/>
      </c>
      <c r="X13" s="4">
        <f>'YTD BS'!X13</f>
        <v/>
      </c>
      <c r="Y13" s="4">
        <f>'YTD BS'!Y13</f>
        <v/>
      </c>
      <c r="Z13" s="4">
        <f>'BALANCE SHEET'!H14</f>
        <v/>
      </c>
      <c r="AA13" s="11">
        <f>'BS DRIVERS'!AA12</f>
        <v/>
      </c>
      <c r="AB13" s="11">
        <f>'BS DRIVERS'!AB12</f>
        <v/>
      </c>
      <c r="AC13" s="11">
        <f>'BS DRIVERS'!AC12</f>
        <v/>
      </c>
      <c r="AD13" s="11">
        <f>'BS DRIVERS'!AD12</f>
        <v/>
      </c>
      <c r="AE13" s="11">
        <f>'BS DRIVERS'!AE12</f>
        <v/>
      </c>
      <c r="AF13" s="11">
        <f>'BS DRIVERS'!AF12</f>
        <v/>
      </c>
      <c r="AG13" s="11">
        <f>'BS DRIVERS'!AG12</f>
        <v/>
      </c>
      <c r="AH13" s="11">
        <f>'BS DRIVERS'!AH12</f>
        <v/>
      </c>
      <c r="AI13" s="11">
        <f>'BS DRIVERS'!AI12</f>
        <v/>
      </c>
      <c r="AJ13" s="11">
        <f>'BS DRIVERS'!AJ12</f>
        <v/>
      </c>
      <c r="AK13" s="11">
        <f>'BS DRIVERS'!AK12</f>
        <v/>
      </c>
      <c r="AL13" s="11">
        <f>'BS DRIVERS'!AL12</f>
        <v/>
      </c>
      <c r="AM13" s="11">
        <f>'BS DRIVERS'!AM12</f>
        <v/>
      </c>
      <c r="AN13" s="11">
        <f>'BS DRIVERS'!AN12</f>
        <v/>
      </c>
      <c r="AO13" s="11">
        <f>'BS DRIVERS'!AO12</f>
        <v/>
      </c>
      <c r="AP13" s="11">
        <f>'BS DRIVERS'!AP12</f>
        <v/>
      </c>
      <c r="AQ13" s="11">
        <f>'BS DRIVERS'!AQ12</f>
        <v/>
      </c>
      <c r="AR13" s="11">
        <f>'BS DRIVERS'!AR12</f>
        <v/>
      </c>
      <c r="AS13" s="11">
        <f>'BS DRIVERS'!AS12</f>
        <v/>
      </c>
      <c r="AT13" s="11">
        <f>'BS DRIVERS'!AT12</f>
        <v/>
      </c>
    </row>
    <row r="14">
      <c r="A14" s="3" t="inlineStr">
        <is>
          <t>Deferred Other Costs - Non-Current</t>
        </is>
      </c>
      <c r="B14" s="4">
        <f>'BALANCE SHEET'!B15</f>
        <v/>
      </c>
      <c r="C14" s="4">
        <f>'YTD BS'!C14</f>
        <v/>
      </c>
      <c r="D14" s="4">
        <f>'YTD BS'!D14</f>
        <v/>
      </c>
      <c r="E14" s="4">
        <f>'YTD BS'!E14</f>
        <v/>
      </c>
      <c r="F14" s="4">
        <f>'BALANCE SHEET'!C15</f>
        <v/>
      </c>
      <c r="G14" s="4">
        <f>'YTD BS'!G14</f>
        <v/>
      </c>
      <c r="H14" s="4">
        <f>'YTD BS'!H14</f>
        <v/>
      </c>
      <c r="I14" s="4">
        <f>'YTD BS'!I14</f>
        <v/>
      </c>
      <c r="J14" s="4">
        <f>'BALANCE SHEET'!D15</f>
        <v/>
      </c>
      <c r="K14" s="4">
        <f>'YTD BS'!K14</f>
        <v/>
      </c>
      <c r="L14" s="4">
        <f>'YTD BS'!L14</f>
        <v/>
      </c>
      <c r="M14" s="4">
        <f>'YTD BS'!M14</f>
        <v/>
      </c>
      <c r="N14" s="4">
        <f>'BALANCE SHEET'!E15</f>
        <v/>
      </c>
      <c r="O14" s="4">
        <f>'YTD BS'!O14</f>
        <v/>
      </c>
      <c r="P14" s="4">
        <f>'YTD BS'!P14</f>
        <v/>
      </c>
      <c r="Q14" s="4">
        <f>'YTD BS'!Q14</f>
        <v/>
      </c>
      <c r="R14" s="4">
        <f>'BALANCE SHEET'!F15</f>
        <v/>
      </c>
      <c r="S14" s="4">
        <f>'YTD BS'!S14</f>
        <v/>
      </c>
      <c r="T14" s="4">
        <f>'YTD BS'!T14</f>
        <v/>
      </c>
      <c r="U14" s="4">
        <f>'YTD BS'!U14</f>
        <v/>
      </c>
      <c r="V14" s="4">
        <f>'BALANCE SHEET'!G15</f>
        <v/>
      </c>
      <c r="W14" s="4">
        <f>'YTD BS'!W14</f>
        <v/>
      </c>
      <c r="X14" s="4">
        <f>'YTD BS'!X14</f>
        <v/>
      </c>
      <c r="Y14" s="4">
        <f>'YTD BS'!Y14</f>
        <v/>
      </c>
      <c r="Z14" s="4">
        <f>'BALANCE SHEET'!H15</f>
        <v/>
      </c>
      <c r="AA14" s="11">
        <f>'QTR P&amp;L'!AD2*'BS DRIVERS'!AA13</f>
        <v/>
      </c>
      <c r="AB14" s="11">
        <f>'QTR P&amp;L'!AE2*'BS DRIVERS'!AB13</f>
        <v/>
      </c>
      <c r="AC14" s="11">
        <f>'QTR P&amp;L'!AF2*'BS DRIVERS'!AC13</f>
        <v/>
      </c>
      <c r="AD14" s="11">
        <f>'QTR P&amp;L'!AG2*'BS DRIVERS'!AD13</f>
        <v/>
      </c>
      <c r="AE14" s="11">
        <f>'QTR P&amp;L'!AH2*'BS DRIVERS'!AE13</f>
        <v/>
      </c>
      <c r="AF14" s="11">
        <f>'QTR P&amp;L'!AI2*'BS DRIVERS'!AF13</f>
        <v/>
      </c>
      <c r="AG14" s="11">
        <f>'QTR P&amp;L'!AJ2*'BS DRIVERS'!AG13</f>
        <v/>
      </c>
      <c r="AH14" s="11">
        <f>'QTR P&amp;L'!AK2*'BS DRIVERS'!AH13</f>
        <v/>
      </c>
      <c r="AI14" s="11">
        <f>'QTR P&amp;L'!AL2*'BS DRIVERS'!AI13</f>
        <v/>
      </c>
      <c r="AJ14" s="11">
        <f>'QTR P&amp;L'!AM2*'BS DRIVERS'!AJ13</f>
        <v/>
      </c>
      <c r="AK14" s="11">
        <f>'QTR P&amp;L'!AN2*'BS DRIVERS'!AK13</f>
        <v/>
      </c>
      <c r="AL14" s="11">
        <f>'QTR P&amp;L'!AO2*'BS DRIVERS'!AL13</f>
        <v/>
      </c>
      <c r="AM14" s="11">
        <f>'QTR P&amp;L'!AP2*'BS DRIVERS'!AM13</f>
        <v/>
      </c>
      <c r="AN14" s="11">
        <f>'QTR P&amp;L'!AQ2*'BS DRIVERS'!AN13</f>
        <v/>
      </c>
      <c r="AO14" s="11">
        <f>'QTR P&amp;L'!AR2*'BS DRIVERS'!AO13</f>
        <v/>
      </c>
      <c r="AP14" s="11">
        <f>'QTR P&amp;L'!AS2*'BS DRIVERS'!AP13</f>
        <v/>
      </c>
      <c r="AQ14" s="11">
        <f>'QTR P&amp;L'!AT2*'BS DRIVERS'!AQ13</f>
        <v/>
      </c>
      <c r="AR14" s="11">
        <f>'QTR P&amp;L'!AU2*'BS DRIVERS'!AR13</f>
        <v/>
      </c>
      <c r="AS14" s="11">
        <f>'QTR P&amp;L'!AV2*'BS DRIVERS'!AS13</f>
        <v/>
      </c>
      <c r="AT14" s="11">
        <f>'QTR P&amp;L'!AW2*'BS DRIVERS'!AT13</f>
        <v/>
      </c>
    </row>
    <row r="15">
      <c r="A15" s="3" t="inlineStr">
        <is>
          <t>Deferred Tax Assets</t>
        </is>
      </c>
      <c r="B15" s="4">
        <f>'BALANCE SHEET'!B16</f>
        <v/>
      </c>
      <c r="C15" s="4">
        <f>'YTD BS'!C15</f>
        <v/>
      </c>
      <c r="D15" s="4">
        <f>'YTD BS'!D15</f>
        <v/>
      </c>
      <c r="E15" s="4">
        <f>'YTD BS'!E15</f>
        <v/>
      </c>
      <c r="F15" s="4">
        <f>'BALANCE SHEET'!C16</f>
        <v/>
      </c>
      <c r="G15" s="4">
        <f>'YTD BS'!G15</f>
        <v/>
      </c>
      <c r="H15" s="4">
        <f>'YTD BS'!H15</f>
        <v/>
      </c>
      <c r="I15" s="4">
        <f>'YTD BS'!I15</f>
        <v/>
      </c>
      <c r="J15" s="4">
        <f>'BALANCE SHEET'!D16</f>
        <v/>
      </c>
      <c r="K15" s="4">
        <f>'YTD BS'!K15</f>
        <v/>
      </c>
      <c r="L15" s="4">
        <f>'YTD BS'!L15</f>
        <v/>
      </c>
      <c r="M15" s="4">
        <f>'YTD BS'!M15</f>
        <v/>
      </c>
      <c r="N15" s="4">
        <f>'BALANCE SHEET'!E16</f>
        <v/>
      </c>
      <c r="O15" s="4">
        <f>'YTD BS'!O15</f>
        <v/>
      </c>
      <c r="P15" s="4">
        <f>'YTD BS'!P15</f>
        <v/>
      </c>
      <c r="Q15" s="4">
        <f>'YTD BS'!Q15</f>
        <v/>
      </c>
      <c r="R15" s="4">
        <f>'BALANCE SHEET'!F16</f>
        <v/>
      </c>
      <c r="S15" s="4">
        <f>'YTD BS'!S15</f>
        <v/>
      </c>
      <c r="T15" s="4">
        <f>'YTD BS'!T15</f>
        <v/>
      </c>
      <c r="U15" s="4">
        <f>'YTD BS'!U15</f>
        <v/>
      </c>
      <c r="V15" s="4">
        <f>'BALANCE SHEET'!G16</f>
        <v/>
      </c>
      <c r="W15" s="4">
        <f>'YTD BS'!W15</f>
        <v/>
      </c>
      <c r="X15" s="4">
        <f>'YTD BS'!X15</f>
        <v/>
      </c>
      <c r="Y15" s="4">
        <f>'YTD BS'!Y15</f>
        <v/>
      </c>
      <c r="Z15" s="4">
        <f>'BALANCE SHEET'!H16</f>
        <v/>
      </c>
      <c r="AA15" s="11">
        <f>'BS DRIVERS'!AA14</f>
        <v/>
      </c>
      <c r="AB15" s="11">
        <f>'BS DRIVERS'!AB14</f>
        <v/>
      </c>
      <c r="AC15" s="11">
        <f>'BS DRIVERS'!AC14</f>
        <v/>
      </c>
      <c r="AD15" s="11">
        <f>'BS DRIVERS'!AD14</f>
        <v/>
      </c>
      <c r="AE15" s="11">
        <f>'BS DRIVERS'!AE14</f>
        <v/>
      </c>
      <c r="AF15" s="11">
        <f>'BS DRIVERS'!AF14</f>
        <v/>
      </c>
      <c r="AG15" s="11">
        <f>'BS DRIVERS'!AG14</f>
        <v/>
      </c>
      <c r="AH15" s="11">
        <f>'BS DRIVERS'!AH14</f>
        <v/>
      </c>
      <c r="AI15" s="11">
        <f>'BS DRIVERS'!AI14</f>
        <v/>
      </c>
      <c r="AJ15" s="11">
        <f>'BS DRIVERS'!AJ14</f>
        <v/>
      </c>
      <c r="AK15" s="11">
        <f>'BS DRIVERS'!AK14</f>
        <v/>
      </c>
      <c r="AL15" s="11">
        <f>'BS DRIVERS'!AL14</f>
        <v/>
      </c>
      <c r="AM15" s="11">
        <f>'BS DRIVERS'!AM14</f>
        <v/>
      </c>
      <c r="AN15" s="11">
        <f>'BS DRIVERS'!AN14</f>
        <v/>
      </c>
      <c r="AO15" s="11">
        <f>'BS DRIVERS'!AO14</f>
        <v/>
      </c>
      <c r="AP15" s="11">
        <f>'BS DRIVERS'!AP14</f>
        <v/>
      </c>
      <c r="AQ15" s="11">
        <f>'BS DRIVERS'!AQ14</f>
        <v/>
      </c>
      <c r="AR15" s="11">
        <f>'BS DRIVERS'!AR14</f>
        <v/>
      </c>
      <c r="AS15" s="11">
        <f>'BS DRIVERS'!AS14</f>
        <v/>
      </c>
      <c r="AT15" s="11">
        <f>'BS DRIVERS'!AT14</f>
        <v/>
      </c>
    </row>
    <row r="16">
      <c r="A16" s="3" t="inlineStr">
        <is>
          <t>ROU Assets - Finance - Non-Current</t>
        </is>
      </c>
      <c r="B16" s="4">
        <f>'BALANCE SHEET'!B12</f>
        <v/>
      </c>
      <c r="C16" s="4">
        <f>'YTD BS'!C16</f>
        <v/>
      </c>
      <c r="D16" s="4">
        <f>'YTD BS'!D16</f>
        <v/>
      </c>
      <c r="E16" s="4">
        <f>'YTD BS'!E16</f>
        <v/>
      </c>
      <c r="F16" s="4">
        <f>'BALANCE SHEET'!C12</f>
        <v/>
      </c>
      <c r="G16" s="4">
        <f>'YTD BS'!G16</f>
        <v/>
      </c>
      <c r="H16" s="4">
        <f>'YTD BS'!H16</f>
        <v/>
      </c>
      <c r="I16" s="4">
        <f>'YTD BS'!I16</f>
        <v/>
      </c>
      <c r="J16" s="4">
        <f>'BALANCE SHEET'!D12</f>
        <v/>
      </c>
      <c r="K16" s="4">
        <f>'YTD BS'!K16</f>
        <v/>
      </c>
      <c r="L16" s="4">
        <f>'YTD BS'!L16</f>
        <v/>
      </c>
      <c r="M16" s="4">
        <f>'YTD BS'!M16</f>
        <v/>
      </c>
      <c r="N16" s="4">
        <f>'BALANCE SHEET'!E12</f>
        <v/>
      </c>
      <c r="O16" s="4">
        <f>'YTD BS'!O16</f>
        <v/>
      </c>
      <c r="P16" s="4">
        <f>'YTD BS'!P16</f>
        <v/>
      </c>
      <c r="Q16" s="4">
        <f>'YTD BS'!Q16</f>
        <v/>
      </c>
      <c r="R16" s="4">
        <f>'BALANCE SHEET'!F12</f>
        <v/>
      </c>
      <c r="S16" s="4">
        <f>'YTD BS'!S16</f>
        <v/>
      </c>
      <c r="T16" s="4">
        <f>'YTD BS'!T16</f>
        <v/>
      </c>
      <c r="U16" s="4">
        <f>'YTD BS'!U16</f>
        <v/>
      </c>
      <c r="V16" s="4">
        <f>'BALANCE SHEET'!G12</f>
        <v/>
      </c>
      <c r="W16" s="4">
        <f>'YTD BS'!W16</f>
        <v/>
      </c>
      <c r="X16" s="4">
        <f>'YTD BS'!X16</f>
        <v/>
      </c>
      <c r="Y16" s="4">
        <f>'YTD BS'!Y16</f>
        <v/>
      </c>
      <c r="Z16" s="4">
        <f>'BALANCE SHEET'!H12</f>
        <v/>
      </c>
      <c r="AA16" s="11">
        <f>'QTR P&amp;L'!AD2*'BS DRIVERS'!AA15</f>
        <v/>
      </c>
      <c r="AB16" s="11">
        <f>'QTR P&amp;L'!AE2*'BS DRIVERS'!AB15</f>
        <v/>
      </c>
      <c r="AC16" s="11">
        <f>'QTR P&amp;L'!AF2*'BS DRIVERS'!AC15</f>
        <v/>
      </c>
      <c r="AD16" s="11">
        <f>'QTR P&amp;L'!AG2*'BS DRIVERS'!AD15</f>
        <v/>
      </c>
      <c r="AE16" s="11">
        <f>'QTR P&amp;L'!AH2*'BS DRIVERS'!AE15</f>
        <v/>
      </c>
      <c r="AF16" s="11">
        <f>'QTR P&amp;L'!AI2*'BS DRIVERS'!AF15</f>
        <v/>
      </c>
      <c r="AG16" s="11">
        <f>'QTR P&amp;L'!AJ2*'BS DRIVERS'!AG15</f>
        <v/>
      </c>
      <c r="AH16" s="11">
        <f>'QTR P&amp;L'!AK2*'BS DRIVERS'!AH15</f>
        <v/>
      </c>
      <c r="AI16" s="11">
        <f>'QTR P&amp;L'!AL2*'BS DRIVERS'!AI15</f>
        <v/>
      </c>
      <c r="AJ16" s="11">
        <f>'QTR P&amp;L'!AM2*'BS DRIVERS'!AJ15</f>
        <v/>
      </c>
      <c r="AK16" s="11">
        <f>'QTR P&amp;L'!AN2*'BS DRIVERS'!AK15</f>
        <v/>
      </c>
      <c r="AL16" s="11">
        <f>'QTR P&amp;L'!AO2*'BS DRIVERS'!AL15</f>
        <v/>
      </c>
      <c r="AM16" s="11">
        <f>'QTR P&amp;L'!AP2*'BS DRIVERS'!AM15</f>
        <v/>
      </c>
      <c r="AN16" s="11">
        <f>'QTR P&amp;L'!AQ2*'BS DRIVERS'!AN15</f>
        <v/>
      </c>
      <c r="AO16" s="11">
        <f>'QTR P&amp;L'!AR2*'BS DRIVERS'!AO15</f>
        <v/>
      </c>
      <c r="AP16" s="11">
        <f>'QTR P&amp;L'!AS2*'BS DRIVERS'!AP15</f>
        <v/>
      </c>
      <c r="AQ16" s="11">
        <f>'QTR P&amp;L'!AT2*'BS DRIVERS'!AQ15</f>
        <v/>
      </c>
      <c r="AR16" s="11">
        <f>'QTR P&amp;L'!AU2*'BS DRIVERS'!AR15</f>
        <v/>
      </c>
      <c r="AS16" s="11">
        <f>'QTR P&amp;L'!AV2*'BS DRIVERS'!AS15</f>
        <v/>
      </c>
      <c r="AT16" s="11">
        <f>'QTR P&amp;L'!AW2*'BS DRIVERS'!AT15</f>
        <v/>
      </c>
    </row>
    <row r="17">
      <c r="A17" s="3" t="inlineStr">
        <is>
          <t>Other Non-Current Assets</t>
        </is>
      </c>
      <c r="B17" s="4">
        <f>'BALANCE SHEET'!B17</f>
        <v/>
      </c>
      <c r="C17" s="4">
        <f>'YTD BS'!C17</f>
        <v/>
      </c>
      <c r="D17" s="4">
        <f>'YTD BS'!D17</f>
        <v/>
      </c>
      <c r="E17" s="4">
        <f>'YTD BS'!E17</f>
        <v/>
      </c>
      <c r="F17" s="4">
        <f>'BALANCE SHEET'!C17</f>
        <v/>
      </c>
      <c r="G17" s="4">
        <f>'YTD BS'!G17</f>
        <v/>
      </c>
      <c r="H17" s="4">
        <f>'YTD BS'!H17</f>
        <v/>
      </c>
      <c r="I17" s="4">
        <f>'YTD BS'!I17</f>
        <v/>
      </c>
      <c r="J17" s="4">
        <f>'BALANCE SHEET'!D17</f>
        <v/>
      </c>
      <c r="K17" s="4">
        <f>'YTD BS'!K17</f>
        <v/>
      </c>
      <c r="L17" s="4">
        <f>'YTD BS'!L17</f>
        <v/>
      </c>
      <c r="M17" s="4">
        <f>'YTD BS'!M17</f>
        <v/>
      </c>
      <c r="N17" s="4">
        <f>'BALANCE SHEET'!E17</f>
        <v/>
      </c>
      <c r="O17" s="4">
        <f>'YTD BS'!O17</f>
        <v/>
      </c>
      <c r="P17" s="4">
        <f>'YTD BS'!P17</f>
        <v/>
      </c>
      <c r="Q17" s="4">
        <f>'YTD BS'!Q17</f>
        <v/>
      </c>
      <c r="R17" s="4">
        <f>'BALANCE SHEET'!F17</f>
        <v/>
      </c>
      <c r="S17" s="4">
        <f>'YTD BS'!S17</f>
        <v/>
      </c>
      <c r="T17" s="4">
        <f>'YTD BS'!T17</f>
        <v/>
      </c>
      <c r="U17" s="4">
        <f>'YTD BS'!U17</f>
        <v/>
      </c>
      <c r="V17" s="4">
        <f>'BALANCE SHEET'!G17</f>
        <v/>
      </c>
      <c r="W17" s="4">
        <f>'YTD BS'!W17</f>
        <v/>
      </c>
      <c r="X17" s="4">
        <f>'YTD BS'!X17</f>
        <v/>
      </c>
      <c r="Y17" s="4">
        <f>'YTD BS'!Y17</f>
        <v/>
      </c>
      <c r="Z17" s="4">
        <f>'BALANCE SHEET'!H17</f>
        <v/>
      </c>
      <c r="AA17" s="11">
        <f>'QTR P&amp;L'!AD2*'BS DRIVERS'!AA16</f>
        <v/>
      </c>
      <c r="AB17" s="11">
        <f>'QTR P&amp;L'!AE2*'BS DRIVERS'!AB16</f>
        <v/>
      </c>
      <c r="AC17" s="11">
        <f>'QTR P&amp;L'!AF2*'BS DRIVERS'!AC16</f>
        <v/>
      </c>
      <c r="AD17" s="11">
        <f>'QTR P&amp;L'!AG2*'BS DRIVERS'!AD16</f>
        <v/>
      </c>
      <c r="AE17" s="11">
        <f>'QTR P&amp;L'!AH2*'BS DRIVERS'!AE16</f>
        <v/>
      </c>
      <c r="AF17" s="11">
        <f>'QTR P&amp;L'!AI2*'BS DRIVERS'!AF16</f>
        <v/>
      </c>
      <c r="AG17" s="11">
        <f>'QTR P&amp;L'!AJ2*'BS DRIVERS'!AG16</f>
        <v/>
      </c>
      <c r="AH17" s="11">
        <f>'QTR P&amp;L'!AK2*'BS DRIVERS'!AH16</f>
        <v/>
      </c>
      <c r="AI17" s="11">
        <f>'QTR P&amp;L'!AL2*'BS DRIVERS'!AI16</f>
        <v/>
      </c>
      <c r="AJ17" s="11">
        <f>'QTR P&amp;L'!AM2*'BS DRIVERS'!AJ16</f>
        <v/>
      </c>
      <c r="AK17" s="11">
        <f>'QTR P&amp;L'!AN2*'BS DRIVERS'!AK16</f>
        <v/>
      </c>
      <c r="AL17" s="11">
        <f>'QTR P&amp;L'!AO2*'BS DRIVERS'!AL16</f>
        <v/>
      </c>
      <c r="AM17" s="11">
        <f>'QTR P&amp;L'!AP2*'BS DRIVERS'!AM16</f>
        <v/>
      </c>
      <c r="AN17" s="11">
        <f>'QTR P&amp;L'!AQ2*'BS DRIVERS'!AN16</f>
        <v/>
      </c>
      <c r="AO17" s="11">
        <f>'QTR P&amp;L'!AR2*'BS DRIVERS'!AO16</f>
        <v/>
      </c>
      <c r="AP17" s="11">
        <f>'QTR P&amp;L'!AS2*'BS DRIVERS'!AP16</f>
        <v/>
      </c>
      <c r="AQ17" s="11">
        <f>'QTR P&amp;L'!AT2*'BS DRIVERS'!AQ16</f>
        <v/>
      </c>
      <c r="AR17" s="11">
        <f>'QTR P&amp;L'!AU2*'BS DRIVERS'!AR16</f>
        <v/>
      </c>
      <c r="AS17" s="11">
        <f>'QTR P&amp;L'!AV2*'BS DRIVERS'!AS16</f>
        <v/>
      </c>
      <c r="AT17" s="11">
        <f>'QTR P&amp;L'!AW2*'BS DRIVERS'!AT16</f>
        <v/>
      </c>
    </row>
    <row r="18">
      <c r="A18" s="3" t="inlineStr">
        <is>
          <t>Total Assets</t>
        </is>
      </c>
      <c r="B18" s="6">
        <f>'BALANCE SHEET'!B18</f>
        <v/>
      </c>
      <c r="C18" s="6">
        <f>'YTD BS'!C18</f>
        <v/>
      </c>
      <c r="D18" s="6">
        <f>'YTD BS'!D18</f>
        <v/>
      </c>
      <c r="E18" s="6">
        <f>'YTD BS'!E18</f>
        <v/>
      </c>
      <c r="F18" s="6">
        <f>'BALANCE SHEET'!C18</f>
        <v/>
      </c>
      <c r="G18" s="6">
        <f>'YTD BS'!G18</f>
        <v/>
      </c>
      <c r="H18" s="6">
        <f>'YTD BS'!H18</f>
        <v/>
      </c>
      <c r="I18" s="6">
        <f>'YTD BS'!I18</f>
        <v/>
      </c>
      <c r="J18" s="6">
        <f>'BALANCE SHEET'!D18</f>
        <v/>
      </c>
      <c r="K18" s="6">
        <f>'YTD BS'!K18</f>
        <v/>
      </c>
      <c r="L18" s="6">
        <f>'YTD BS'!L18</f>
        <v/>
      </c>
      <c r="M18" s="6">
        <f>'YTD BS'!M18</f>
        <v/>
      </c>
      <c r="N18" s="6">
        <f>'BALANCE SHEET'!E18</f>
        <v/>
      </c>
      <c r="O18" s="6">
        <f>'YTD BS'!O18</f>
        <v/>
      </c>
      <c r="P18" s="6">
        <f>'YTD BS'!P18</f>
        <v/>
      </c>
      <c r="Q18" s="6">
        <f>'YTD BS'!Q18</f>
        <v/>
      </c>
      <c r="R18" s="6">
        <f>'BALANCE SHEET'!F18</f>
        <v/>
      </c>
      <c r="S18" s="6">
        <f>'YTD BS'!S18</f>
        <v/>
      </c>
      <c r="T18" s="6">
        <f>'YTD BS'!T18</f>
        <v/>
      </c>
      <c r="U18" s="6">
        <f>'YTD BS'!U18</f>
        <v/>
      </c>
      <c r="V18" s="6">
        <f>'BALANCE SHEET'!G18</f>
        <v/>
      </c>
      <c r="W18" s="6">
        <f>'YTD BS'!W18</f>
        <v/>
      </c>
      <c r="X18" s="6">
        <f>'YTD BS'!X18</f>
        <v/>
      </c>
      <c r="Y18" s="6">
        <f>'YTD BS'!Y18</f>
        <v/>
      </c>
      <c r="Z18" s="6">
        <f>'BALANCE SHEET'!H18</f>
        <v/>
      </c>
      <c r="AA18" s="7">
        <f>AA8+SUM(AA9:AA17)</f>
        <v/>
      </c>
      <c r="AB18" s="7">
        <f>AB8+SUM(AB9:AB17)</f>
        <v/>
      </c>
      <c r="AC18" s="7">
        <f>AC8+SUM(AC9:AC17)</f>
        <v/>
      </c>
      <c r="AD18" s="7">
        <f>AD8+SUM(AD9:AD17)</f>
        <v/>
      </c>
      <c r="AE18" s="7">
        <f>AE8+SUM(AE9:AE17)</f>
        <v/>
      </c>
      <c r="AF18" s="7">
        <f>AF8+SUM(AF9:AF17)</f>
        <v/>
      </c>
      <c r="AG18" s="7">
        <f>AG8+SUM(AG9:AG17)</f>
        <v/>
      </c>
      <c r="AH18" s="7">
        <f>AH8+SUM(AH9:AH17)</f>
        <v/>
      </c>
      <c r="AI18" s="7">
        <f>AI8+SUM(AI9:AI17)</f>
        <v/>
      </c>
      <c r="AJ18" s="7">
        <f>AJ8+SUM(AJ9:AJ17)</f>
        <v/>
      </c>
      <c r="AK18" s="7">
        <f>AK8+SUM(AK9:AK17)</f>
        <v/>
      </c>
      <c r="AL18" s="7">
        <f>AL8+SUM(AL9:AL17)</f>
        <v/>
      </c>
      <c r="AM18" s="7">
        <f>AM8+SUM(AM9:AM17)</f>
        <v/>
      </c>
      <c r="AN18" s="7">
        <f>AN8+SUM(AN9:AN17)</f>
        <v/>
      </c>
      <c r="AO18" s="7">
        <f>AO8+SUM(AO9:AO17)</f>
        <v/>
      </c>
      <c r="AP18" s="7">
        <f>AP8+SUM(AP9:AP17)</f>
        <v/>
      </c>
      <c r="AQ18" s="7">
        <f>AQ8+SUM(AQ9:AQ17)</f>
        <v/>
      </c>
      <c r="AR18" s="7">
        <f>AR8+SUM(AR9:AR17)</f>
        <v/>
      </c>
      <c r="AS18" s="7">
        <f>AS8+SUM(AS9:AS17)</f>
        <v/>
      </c>
      <c r="AT18" s="7">
        <f>AT8+SUM(AT9:AT17)</f>
        <v/>
      </c>
    </row>
    <row r="19">
      <c r="A19" s="3" t="inlineStr">
        <is>
          <t>Accounts Payable</t>
        </is>
      </c>
      <c r="B19" s="4">
        <f>'BALANCE SHEET'!B19</f>
        <v/>
      </c>
      <c r="C19" s="4">
        <f>'YTD BS'!C19</f>
        <v/>
      </c>
      <c r="D19" s="4">
        <f>'YTD BS'!D19</f>
        <v/>
      </c>
      <c r="E19" s="4">
        <f>'YTD BS'!E19</f>
        <v/>
      </c>
      <c r="F19" s="4">
        <f>'BALANCE SHEET'!C19</f>
        <v/>
      </c>
      <c r="G19" s="4">
        <f>'YTD BS'!G19</f>
        <v/>
      </c>
      <c r="H19" s="4">
        <f>'YTD BS'!H19</f>
        <v/>
      </c>
      <c r="I19" s="4">
        <f>'YTD BS'!I19</f>
        <v/>
      </c>
      <c r="J19" s="4">
        <f>'BALANCE SHEET'!D19</f>
        <v/>
      </c>
      <c r="K19" s="4">
        <f>'YTD BS'!K19</f>
        <v/>
      </c>
      <c r="L19" s="4">
        <f>'YTD BS'!L19</f>
        <v/>
      </c>
      <c r="M19" s="4">
        <f>'YTD BS'!M19</f>
        <v/>
      </c>
      <c r="N19" s="4">
        <f>'BALANCE SHEET'!E19</f>
        <v/>
      </c>
      <c r="O19" s="4">
        <f>'YTD BS'!O19</f>
        <v/>
      </c>
      <c r="P19" s="4">
        <f>'YTD BS'!P19</f>
        <v/>
      </c>
      <c r="Q19" s="4">
        <f>'YTD BS'!Q19</f>
        <v/>
      </c>
      <c r="R19" s="4">
        <f>'BALANCE SHEET'!F19</f>
        <v/>
      </c>
      <c r="S19" s="4">
        <f>'YTD BS'!S19</f>
        <v/>
      </c>
      <c r="T19" s="4">
        <f>'YTD BS'!T19</f>
        <v/>
      </c>
      <c r="U19" s="4">
        <f>'YTD BS'!U19</f>
        <v/>
      </c>
      <c r="V19" s="4">
        <f>'BALANCE SHEET'!G19</f>
        <v/>
      </c>
      <c r="W19" s="4">
        <f>'YTD BS'!W19</f>
        <v/>
      </c>
      <c r="X19" s="4">
        <f>'YTD BS'!X19</f>
        <v/>
      </c>
      <c r="Y19" s="4">
        <f>'YTD BS'!Y19</f>
        <v/>
      </c>
      <c r="Z19" s="4">
        <f>'BALANCE SHEET'!H19</f>
        <v/>
      </c>
      <c r="AA19" s="11">
        <f>'QTR P&amp;L'!AD3*'BS DRIVERS'!AA17/ASSUMPTIONS!$B$2</f>
        <v/>
      </c>
      <c r="AB19" s="11">
        <f>'QTR P&amp;L'!AE3*'BS DRIVERS'!AB17/ASSUMPTIONS!$B$2</f>
        <v/>
      </c>
      <c r="AC19" s="11">
        <f>'QTR P&amp;L'!AF3*'BS DRIVERS'!AC17/ASSUMPTIONS!$B$2</f>
        <v/>
      </c>
      <c r="AD19" s="11">
        <f>'QTR P&amp;L'!AG3*'BS DRIVERS'!AD17/ASSUMPTIONS!$B$2</f>
        <v/>
      </c>
      <c r="AE19" s="11">
        <f>'QTR P&amp;L'!AH3*'BS DRIVERS'!AE17/ASSUMPTIONS!$B$2</f>
        <v/>
      </c>
      <c r="AF19" s="11">
        <f>'QTR P&amp;L'!AI3*'BS DRIVERS'!AF17/ASSUMPTIONS!$B$2</f>
        <v/>
      </c>
      <c r="AG19" s="11">
        <f>'QTR P&amp;L'!AJ3*'BS DRIVERS'!AG17/ASSUMPTIONS!$B$2</f>
        <v/>
      </c>
      <c r="AH19" s="11">
        <f>'QTR P&amp;L'!AK3*'BS DRIVERS'!AH17/ASSUMPTIONS!$B$2</f>
        <v/>
      </c>
      <c r="AI19" s="11">
        <f>'QTR P&amp;L'!AL3*'BS DRIVERS'!AI17/ASSUMPTIONS!$B$2</f>
        <v/>
      </c>
      <c r="AJ19" s="11">
        <f>'QTR P&amp;L'!AM3*'BS DRIVERS'!AJ17/ASSUMPTIONS!$B$2</f>
        <v/>
      </c>
      <c r="AK19" s="11">
        <f>'QTR P&amp;L'!AN3*'BS DRIVERS'!AK17/ASSUMPTIONS!$B$2</f>
        <v/>
      </c>
      <c r="AL19" s="11">
        <f>'QTR P&amp;L'!AO3*'BS DRIVERS'!AL17/ASSUMPTIONS!$B$2</f>
        <v/>
      </c>
      <c r="AM19" s="11">
        <f>'QTR P&amp;L'!AP3*'BS DRIVERS'!AM17/ASSUMPTIONS!$B$2</f>
        <v/>
      </c>
      <c r="AN19" s="11">
        <f>'QTR P&amp;L'!AQ3*'BS DRIVERS'!AN17/ASSUMPTIONS!$B$2</f>
        <v/>
      </c>
      <c r="AO19" s="11">
        <f>'QTR P&amp;L'!AR3*'BS DRIVERS'!AO17/ASSUMPTIONS!$B$2</f>
        <v/>
      </c>
      <c r="AP19" s="11">
        <f>'QTR P&amp;L'!AS3*'BS DRIVERS'!AP17/ASSUMPTIONS!$B$2</f>
        <v/>
      </c>
      <c r="AQ19" s="11">
        <f>'QTR P&amp;L'!AT3*'BS DRIVERS'!AQ17/ASSUMPTIONS!$B$2</f>
        <v/>
      </c>
      <c r="AR19" s="11">
        <f>'QTR P&amp;L'!AU3*'BS DRIVERS'!AR17/ASSUMPTIONS!$B$2</f>
        <v/>
      </c>
      <c r="AS19" s="11">
        <f>'QTR P&amp;L'!AV3*'BS DRIVERS'!AS17/ASSUMPTIONS!$B$2</f>
        <v/>
      </c>
      <c r="AT19" s="11">
        <f>'QTR P&amp;L'!AW3*'BS DRIVERS'!AT17/ASSUMPTIONS!$B$2</f>
        <v/>
      </c>
    </row>
    <row r="20">
      <c r="A20" s="3" t="inlineStr">
        <is>
          <t>Accrued Expenses</t>
        </is>
      </c>
      <c r="B20" s="4">
        <f>'BALANCE SHEET'!B20</f>
        <v/>
      </c>
      <c r="C20" s="4">
        <f>'YTD BS'!C20</f>
        <v/>
      </c>
      <c r="D20" s="4">
        <f>'YTD BS'!D20</f>
        <v/>
      </c>
      <c r="E20" s="4">
        <f>'YTD BS'!E20</f>
        <v/>
      </c>
      <c r="F20" s="4">
        <f>'BALANCE SHEET'!C20</f>
        <v/>
      </c>
      <c r="G20" s="4">
        <f>'YTD BS'!G20</f>
        <v/>
      </c>
      <c r="H20" s="4">
        <f>'YTD BS'!H20</f>
        <v/>
      </c>
      <c r="I20" s="4">
        <f>'YTD BS'!I20</f>
        <v/>
      </c>
      <c r="J20" s="4">
        <f>'BALANCE SHEET'!D20</f>
        <v/>
      </c>
      <c r="K20" s="4">
        <f>'YTD BS'!K20</f>
        <v/>
      </c>
      <c r="L20" s="4">
        <f>'YTD BS'!L20</f>
        <v/>
      </c>
      <c r="M20" s="4">
        <f>'YTD BS'!M20</f>
        <v/>
      </c>
      <c r="N20" s="4">
        <f>'BALANCE SHEET'!E20</f>
        <v/>
      </c>
      <c r="O20" s="4">
        <f>'YTD BS'!O20</f>
        <v/>
      </c>
      <c r="P20" s="4">
        <f>'YTD BS'!P20</f>
        <v/>
      </c>
      <c r="Q20" s="4">
        <f>'YTD BS'!Q20</f>
        <v/>
      </c>
      <c r="R20" s="4">
        <f>'BALANCE SHEET'!F20</f>
        <v/>
      </c>
      <c r="S20" s="4">
        <f>'YTD BS'!S20</f>
        <v/>
      </c>
      <c r="T20" s="4">
        <f>'YTD BS'!T20</f>
        <v/>
      </c>
      <c r="U20" s="4">
        <f>'YTD BS'!U20</f>
        <v/>
      </c>
      <c r="V20" s="4">
        <f>'BALANCE SHEET'!G20</f>
        <v/>
      </c>
      <c r="W20" s="4">
        <f>'YTD BS'!W20</f>
        <v/>
      </c>
      <c r="X20" s="4">
        <f>'YTD BS'!X20</f>
        <v/>
      </c>
      <c r="Y20" s="4">
        <f>'YTD BS'!Y20</f>
        <v/>
      </c>
      <c r="Z20" s="4">
        <f>'BALANCE SHEET'!H20</f>
        <v/>
      </c>
      <c r="AA20" s="11">
        <f>'QTR P&amp;L'!AD2*'BS DRIVERS'!AA18</f>
        <v/>
      </c>
      <c r="AB20" s="11">
        <f>'QTR P&amp;L'!AE2*'BS DRIVERS'!AB18</f>
        <v/>
      </c>
      <c r="AC20" s="11">
        <f>'QTR P&amp;L'!AF2*'BS DRIVERS'!AC18</f>
        <v/>
      </c>
      <c r="AD20" s="11">
        <f>'QTR P&amp;L'!AG2*'BS DRIVERS'!AD18</f>
        <v/>
      </c>
      <c r="AE20" s="11">
        <f>'QTR P&amp;L'!AH2*'BS DRIVERS'!AE18</f>
        <v/>
      </c>
      <c r="AF20" s="11">
        <f>'QTR P&amp;L'!AI2*'BS DRIVERS'!AF18</f>
        <v/>
      </c>
      <c r="AG20" s="11">
        <f>'QTR P&amp;L'!AJ2*'BS DRIVERS'!AG18</f>
        <v/>
      </c>
      <c r="AH20" s="11">
        <f>'QTR P&amp;L'!AK2*'BS DRIVERS'!AH18</f>
        <v/>
      </c>
      <c r="AI20" s="11">
        <f>'QTR P&amp;L'!AL2*'BS DRIVERS'!AI18</f>
        <v/>
      </c>
      <c r="AJ20" s="11">
        <f>'QTR P&amp;L'!AM2*'BS DRIVERS'!AJ18</f>
        <v/>
      </c>
      <c r="AK20" s="11">
        <f>'QTR P&amp;L'!AN2*'BS DRIVERS'!AK18</f>
        <v/>
      </c>
      <c r="AL20" s="11">
        <f>'QTR P&amp;L'!AO2*'BS DRIVERS'!AL18</f>
        <v/>
      </c>
      <c r="AM20" s="11">
        <f>'QTR P&amp;L'!AP2*'BS DRIVERS'!AM18</f>
        <v/>
      </c>
      <c r="AN20" s="11">
        <f>'QTR P&amp;L'!AQ2*'BS DRIVERS'!AN18</f>
        <v/>
      </c>
      <c r="AO20" s="11">
        <f>'QTR P&amp;L'!AR2*'BS DRIVERS'!AO18</f>
        <v/>
      </c>
      <c r="AP20" s="11">
        <f>'QTR P&amp;L'!AS2*'BS DRIVERS'!AP18</f>
        <v/>
      </c>
      <c r="AQ20" s="11">
        <f>'QTR P&amp;L'!AT2*'BS DRIVERS'!AQ18</f>
        <v/>
      </c>
      <c r="AR20" s="11">
        <f>'QTR P&amp;L'!AU2*'BS DRIVERS'!AR18</f>
        <v/>
      </c>
      <c r="AS20" s="11">
        <f>'QTR P&amp;L'!AV2*'BS DRIVERS'!AS18</f>
        <v/>
      </c>
      <c r="AT20" s="11">
        <f>'QTR P&amp;L'!AW2*'BS DRIVERS'!AT18</f>
        <v/>
      </c>
    </row>
    <row r="21">
      <c r="A21" s="3" t="inlineStr">
        <is>
          <t>Income Taxes Payable</t>
        </is>
      </c>
      <c r="B21" s="4">
        <f>'BALANCE SHEET'!B21</f>
        <v/>
      </c>
      <c r="C21" s="4">
        <f>'YTD BS'!C21</f>
        <v/>
      </c>
      <c r="D21" s="4">
        <f>'YTD BS'!D21</f>
        <v/>
      </c>
      <c r="E21" s="4">
        <f>'YTD BS'!E21</f>
        <v/>
      </c>
      <c r="F21" s="4">
        <f>'BALANCE SHEET'!C21</f>
        <v/>
      </c>
      <c r="G21" s="4">
        <f>'YTD BS'!G21</f>
        <v/>
      </c>
      <c r="H21" s="4">
        <f>'YTD BS'!H21</f>
        <v/>
      </c>
      <c r="I21" s="4">
        <f>'YTD BS'!I21</f>
        <v/>
      </c>
      <c r="J21" s="4">
        <f>'BALANCE SHEET'!D21</f>
        <v/>
      </c>
      <c r="K21" s="4">
        <f>'YTD BS'!K21</f>
        <v/>
      </c>
      <c r="L21" s="4">
        <f>'YTD BS'!L21</f>
        <v/>
      </c>
      <c r="M21" s="4">
        <f>'YTD BS'!M21</f>
        <v/>
      </c>
      <c r="N21" s="4">
        <f>'BALANCE SHEET'!E21</f>
        <v/>
      </c>
      <c r="O21" s="4">
        <f>'YTD BS'!O21</f>
        <v/>
      </c>
      <c r="P21" s="4">
        <f>'YTD BS'!P21</f>
        <v/>
      </c>
      <c r="Q21" s="4">
        <f>'YTD BS'!Q21</f>
        <v/>
      </c>
      <c r="R21" s="4">
        <f>'BALANCE SHEET'!F21</f>
        <v/>
      </c>
      <c r="S21" s="4">
        <f>'YTD BS'!S21</f>
        <v/>
      </c>
      <c r="T21" s="4">
        <f>'YTD BS'!T21</f>
        <v/>
      </c>
      <c r="U21" s="4">
        <f>'YTD BS'!U21</f>
        <v/>
      </c>
      <c r="V21" s="4">
        <f>'BALANCE SHEET'!G21</f>
        <v/>
      </c>
      <c r="W21" s="4">
        <f>'YTD BS'!W21</f>
        <v/>
      </c>
      <c r="X21" s="4">
        <f>'YTD BS'!X21</f>
        <v/>
      </c>
      <c r="Y21" s="4">
        <f>'YTD BS'!Y21</f>
        <v/>
      </c>
      <c r="Z21" s="4">
        <f>'BALANCE SHEET'!H21</f>
        <v/>
      </c>
      <c r="AA21" s="11">
        <f>'QTR P&amp;L'!AD2*'BS DRIVERS'!AA19</f>
        <v/>
      </c>
      <c r="AB21" s="11">
        <f>'QTR P&amp;L'!AE2*'BS DRIVERS'!AB19</f>
        <v/>
      </c>
      <c r="AC21" s="11">
        <f>'QTR P&amp;L'!AF2*'BS DRIVERS'!AC19</f>
        <v/>
      </c>
      <c r="AD21" s="11">
        <f>'QTR P&amp;L'!AG2*'BS DRIVERS'!AD19</f>
        <v/>
      </c>
      <c r="AE21" s="11">
        <f>'QTR P&amp;L'!AH2*'BS DRIVERS'!AE19</f>
        <v/>
      </c>
      <c r="AF21" s="11">
        <f>'QTR P&amp;L'!AI2*'BS DRIVERS'!AF19</f>
        <v/>
      </c>
      <c r="AG21" s="11">
        <f>'QTR P&amp;L'!AJ2*'BS DRIVERS'!AG19</f>
        <v/>
      </c>
      <c r="AH21" s="11">
        <f>'QTR P&amp;L'!AK2*'BS DRIVERS'!AH19</f>
        <v/>
      </c>
      <c r="AI21" s="11">
        <f>'QTR P&amp;L'!AL2*'BS DRIVERS'!AI19</f>
        <v/>
      </c>
      <c r="AJ21" s="11">
        <f>'QTR P&amp;L'!AM2*'BS DRIVERS'!AJ19</f>
        <v/>
      </c>
      <c r="AK21" s="11">
        <f>'QTR P&amp;L'!AN2*'BS DRIVERS'!AK19</f>
        <v/>
      </c>
      <c r="AL21" s="11">
        <f>'QTR P&amp;L'!AO2*'BS DRIVERS'!AL19</f>
        <v/>
      </c>
      <c r="AM21" s="11">
        <f>'QTR P&amp;L'!AP2*'BS DRIVERS'!AM19</f>
        <v/>
      </c>
      <c r="AN21" s="11">
        <f>'QTR P&amp;L'!AQ2*'BS DRIVERS'!AN19</f>
        <v/>
      </c>
      <c r="AO21" s="11">
        <f>'QTR P&amp;L'!AR2*'BS DRIVERS'!AO19</f>
        <v/>
      </c>
      <c r="AP21" s="11">
        <f>'QTR P&amp;L'!AS2*'BS DRIVERS'!AP19</f>
        <v/>
      </c>
      <c r="AQ21" s="11">
        <f>'QTR P&amp;L'!AT2*'BS DRIVERS'!AQ19</f>
        <v/>
      </c>
      <c r="AR21" s="11">
        <f>'QTR P&amp;L'!AU2*'BS DRIVERS'!AR19</f>
        <v/>
      </c>
      <c r="AS21" s="11">
        <f>'QTR P&amp;L'!AV2*'BS DRIVERS'!AS19</f>
        <v/>
      </c>
      <c r="AT21" s="11">
        <f>'QTR P&amp;L'!AW2*'BS DRIVERS'!AT19</f>
        <v/>
      </c>
    </row>
    <row r="22">
      <c r="A22" s="3" t="inlineStr">
        <is>
          <t>Accrued Distributor Termination Fees</t>
        </is>
      </c>
      <c r="B22" s="4">
        <f>'BALANCE SHEET'!B22</f>
        <v/>
      </c>
      <c r="C22" s="4">
        <f>'YTD BS'!C22</f>
        <v/>
      </c>
      <c r="D22" s="4">
        <f>'YTD BS'!D22</f>
        <v/>
      </c>
      <c r="E22" s="4">
        <f>'YTD BS'!E22</f>
        <v/>
      </c>
      <c r="F22" s="4">
        <f>'BALANCE SHEET'!C22</f>
        <v/>
      </c>
      <c r="G22" s="4">
        <f>'YTD BS'!G22</f>
        <v/>
      </c>
      <c r="H22" s="4">
        <f>'YTD BS'!H22</f>
        <v/>
      </c>
      <c r="I22" s="4">
        <f>'YTD BS'!I22</f>
        <v/>
      </c>
      <c r="J22" s="4">
        <f>'BALANCE SHEET'!D22</f>
        <v/>
      </c>
      <c r="K22" s="4">
        <f>'YTD BS'!K22</f>
        <v/>
      </c>
      <c r="L22" s="4">
        <f>'YTD BS'!L22</f>
        <v/>
      </c>
      <c r="M22" s="4">
        <f>'YTD BS'!M22</f>
        <v/>
      </c>
      <c r="N22" s="4">
        <f>'BALANCE SHEET'!E22</f>
        <v/>
      </c>
      <c r="O22" s="4">
        <f>'YTD BS'!O22</f>
        <v/>
      </c>
      <c r="P22" s="4">
        <f>'YTD BS'!P22</f>
        <v/>
      </c>
      <c r="Q22" s="4">
        <f>'YTD BS'!Q22</f>
        <v/>
      </c>
      <c r="R22" s="4">
        <f>'BALANCE SHEET'!F22</f>
        <v/>
      </c>
      <c r="S22" s="4">
        <f>'YTD BS'!S22</f>
        <v/>
      </c>
      <c r="T22" s="4">
        <f>'YTD BS'!T22</f>
        <v/>
      </c>
      <c r="U22" s="4">
        <f>'YTD BS'!U22</f>
        <v/>
      </c>
      <c r="V22" s="4">
        <f>'BALANCE SHEET'!G22</f>
        <v/>
      </c>
      <c r="W22" s="4">
        <f>'YTD BS'!W22</f>
        <v/>
      </c>
      <c r="X22" s="4">
        <f>'YTD BS'!X22</f>
        <v/>
      </c>
      <c r="Y22" s="4">
        <f>'YTD BS'!Y22</f>
        <v/>
      </c>
      <c r="Z22" s="4">
        <f>'BALANCE SHEET'!H22</f>
        <v/>
      </c>
      <c r="AA22" s="11">
        <f>'BS DRIVERS'!AA20</f>
        <v/>
      </c>
      <c r="AB22" s="11">
        <f>'BS DRIVERS'!AB20</f>
        <v/>
      </c>
      <c r="AC22" s="11">
        <f>'BS DRIVERS'!AC20</f>
        <v/>
      </c>
      <c r="AD22" s="11">
        <f>'BS DRIVERS'!AD20</f>
        <v/>
      </c>
      <c r="AE22" s="11">
        <f>'BS DRIVERS'!AE20</f>
        <v/>
      </c>
      <c r="AF22" s="11">
        <f>'BS DRIVERS'!AF20</f>
        <v/>
      </c>
      <c r="AG22" s="11">
        <f>'BS DRIVERS'!AG20</f>
        <v/>
      </c>
      <c r="AH22" s="11">
        <f>'BS DRIVERS'!AH20</f>
        <v/>
      </c>
      <c r="AI22" s="11">
        <f>'BS DRIVERS'!AI20</f>
        <v/>
      </c>
      <c r="AJ22" s="11">
        <f>'BS DRIVERS'!AJ20</f>
        <v/>
      </c>
      <c r="AK22" s="11">
        <f>'BS DRIVERS'!AK20</f>
        <v/>
      </c>
      <c r="AL22" s="11">
        <f>'BS DRIVERS'!AL20</f>
        <v/>
      </c>
      <c r="AM22" s="11">
        <f>'BS DRIVERS'!AM20</f>
        <v/>
      </c>
      <c r="AN22" s="11">
        <f>'BS DRIVERS'!AN20</f>
        <v/>
      </c>
      <c r="AO22" s="11">
        <f>'BS DRIVERS'!AO20</f>
        <v/>
      </c>
      <c r="AP22" s="11">
        <f>'BS DRIVERS'!AP20</f>
        <v/>
      </c>
      <c r="AQ22" s="11">
        <f>'BS DRIVERS'!AQ20</f>
        <v/>
      </c>
      <c r="AR22" s="11">
        <f>'BS DRIVERS'!AR20</f>
        <v/>
      </c>
      <c r="AS22" s="11">
        <f>'BS DRIVERS'!AS20</f>
        <v/>
      </c>
      <c r="AT22" s="11">
        <f>'BS DRIVERS'!AT20</f>
        <v/>
      </c>
    </row>
    <row r="23">
      <c r="A23" s="3" t="inlineStr">
        <is>
          <t>Accrued Promotional Allowance</t>
        </is>
      </c>
      <c r="B23" s="4">
        <f>'BALANCE SHEET'!B23</f>
        <v/>
      </c>
      <c r="C23" s="4">
        <f>'YTD BS'!C23</f>
        <v/>
      </c>
      <c r="D23" s="4">
        <f>'YTD BS'!D23</f>
        <v/>
      </c>
      <c r="E23" s="4">
        <f>'YTD BS'!E23</f>
        <v/>
      </c>
      <c r="F23" s="4">
        <f>'BALANCE SHEET'!C23</f>
        <v/>
      </c>
      <c r="G23" s="4">
        <f>'YTD BS'!G23</f>
        <v/>
      </c>
      <c r="H23" s="4">
        <f>'YTD BS'!H23</f>
        <v/>
      </c>
      <c r="I23" s="4">
        <f>'YTD BS'!I23</f>
        <v/>
      </c>
      <c r="J23" s="4">
        <f>'BALANCE SHEET'!D23</f>
        <v/>
      </c>
      <c r="K23" s="4">
        <f>'YTD BS'!K23</f>
        <v/>
      </c>
      <c r="L23" s="4">
        <f>'YTD BS'!L23</f>
        <v/>
      </c>
      <c r="M23" s="4">
        <f>'YTD BS'!M23</f>
        <v/>
      </c>
      <c r="N23" s="4">
        <f>'BALANCE SHEET'!E23</f>
        <v/>
      </c>
      <c r="O23" s="4">
        <f>'YTD BS'!O23</f>
        <v/>
      </c>
      <c r="P23" s="4">
        <f>'YTD BS'!P23</f>
        <v/>
      </c>
      <c r="Q23" s="4">
        <f>'YTD BS'!Q23</f>
        <v/>
      </c>
      <c r="R23" s="4">
        <f>'BALANCE SHEET'!F23</f>
        <v/>
      </c>
      <c r="S23" s="4">
        <f>'YTD BS'!S23</f>
        <v/>
      </c>
      <c r="T23" s="4">
        <f>'YTD BS'!T23</f>
        <v/>
      </c>
      <c r="U23" s="4">
        <f>'YTD BS'!U23</f>
        <v/>
      </c>
      <c r="V23" s="4">
        <f>'BALANCE SHEET'!G23</f>
        <v/>
      </c>
      <c r="W23" s="4">
        <f>'YTD BS'!W23</f>
        <v/>
      </c>
      <c r="X23" s="4">
        <f>'YTD BS'!X23</f>
        <v/>
      </c>
      <c r="Y23" s="4">
        <f>'YTD BS'!Y23</f>
        <v/>
      </c>
      <c r="Z23" s="4">
        <f>'BALANCE SHEET'!H23</f>
        <v/>
      </c>
      <c r="AA23" s="11">
        <f>'QTR P&amp;L'!AD2*'BS DRIVERS'!AA21</f>
        <v/>
      </c>
      <c r="AB23" s="11">
        <f>'QTR P&amp;L'!AE2*'BS DRIVERS'!AB21</f>
        <v/>
      </c>
      <c r="AC23" s="11">
        <f>'QTR P&amp;L'!AF2*'BS DRIVERS'!AC21</f>
        <v/>
      </c>
      <c r="AD23" s="11">
        <f>'QTR P&amp;L'!AG2*'BS DRIVERS'!AD21</f>
        <v/>
      </c>
      <c r="AE23" s="11">
        <f>'QTR P&amp;L'!AH2*'BS DRIVERS'!AE21</f>
        <v/>
      </c>
      <c r="AF23" s="11">
        <f>'QTR P&amp;L'!AI2*'BS DRIVERS'!AF21</f>
        <v/>
      </c>
      <c r="AG23" s="11">
        <f>'QTR P&amp;L'!AJ2*'BS DRIVERS'!AG21</f>
        <v/>
      </c>
      <c r="AH23" s="11">
        <f>'QTR P&amp;L'!AK2*'BS DRIVERS'!AH21</f>
        <v/>
      </c>
      <c r="AI23" s="11">
        <f>'QTR P&amp;L'!AL2*'BS DRIVERS'!AI21</f>
        <v/>
      </c>
      <c r="AJ23" s="11">
        <f>'QTR P&amp;L'!AM2*'BS DRIVERS'!AJ21</f>
        <v/>
      </c>
      <c r="AK23" s="11">
        <f>'QTR P&amp;L'!AN2*'BS DRIVERS'!AK21</f>
        <v/>
      </c>
      <c r="AL23" s="11">
        <f>'QTR P&amp;L'!AO2*'BS DRIVERS'!AL21</f>
        <v/>
      </c>
      <c r="AM23" s="11">
        <f>'QTR P&amp;L'!AP2*'BS DRIVERS'!AM21</f>
        <v/>
      </c>
      <c r="AN23" s="11">
        <f>'QTR P&amp;L'!AQ2*'BS DRIVERS'!AN21</f>
        <v/>
      </c>
      <c r="AO23" s="11">
        <f>'QTR P&amp;L'!AR2*'BS DRIVERS'!AO21</f>
        <v/>
      </c>
      <c r="AP23" s="11">
        <f>'QTR P&amp;L'!AS2*'BS DRIVERS'!AP21</f>
        <v/>
      </c>
      <c r="AQ23" s="11">
        <f>'QTR P&amp;L'!AT2*'BS DRIVERS'!AQ21</f>
        <v/>
      </c>
      <c r="AR23" s="11">
        <f>'QTR P&amp;L'!AU2*'BS DRIVERS'!AR21</f>
        <v/>
      </c>
      <c r="AS23" s="11">
        <f>'QTR P&amp;L'!AV2*'BS DRIVERS'!AS21</f>
        <v/>
      </c>
      <c r="AT23" s="11">
        <f>'QTR P&amp;L'!AW2*'BS DRIVERS'!AT21</f>
        <v/>
      </c>
    </row>
    <row r="24">
      <c r="A24" s="3" t="inlineStr">
        <is>
          <t>Lease Liability - Operating - Current</t>
        </is>
      </c>
      <c r="B24" s="4">
        <f>'BALANCE SHEET'!B24</f>
        <v/>
      </c>
      <c r="C24" s="4">
        <f>'YTD BS'!C24</f>
        <v/>
      </c>
      <c r="D24" s="4">
        <f>'YTD BS'!D24</f>
        <v/>
      </c>
      <c r="E24" s="4">
        <f>'YTD BS'!E24</f>
        <v/>
      </c>
      <c r="F24" s="4">
        <f>'BALANCE SHEET'!C24</f>
        <v/>
      </c>
      <c r="G24" s="4">
        <f>'YTD BS'!G24</f>
        <v/>
      </c>
      <c r="H24" s="4">
        <f>'YTD BS'!H24</f>
        <v/>
      </c>
      <c r="I24" s="4">
        <f>'YTD BS'!I24</f>
        <v/>
      </c>
      <c r="J24" s="4">
        <f>'BALANCE SHEET'!D24</f>
        <v/>
      </c>
      <c r="K24" s="4">
        <f>'YTD BS'!K24</f>
        <v/>
      </c>
      <c r="L24" s="4">
        <f>'YTD BS'!L24</f>
        <v/>
      </c>
      <c r="M24" s="4">
        <f>'YTD BS'!M24</f>
        <v/>
      </c>
      <c r="N24" s="4">
        <f>'BALANCE SHEET'!E24</f>
        <v/>
      </c>
      <c r="O24" s="4">
        <f>'YTD BS'!O24</f>
        <v/>
      </c>
      <c r="P24" s="4">
        <f>'YTD BS'!P24</f>
        <v/>
      </c>
      <c r="Q24" s="4">
        <f>'YTD BS'!Q24</f>
        <v/>
      </c>
      <c r="R24" s="4">
        <f>'BALANCE SHEET'!F24</f>
        <v/>
      </c>
      <c r="S24" s="4">
        <f>'YTD BS'!S24</f>
        <v/>
      </c>
      <c r="T24" s="4">
        <f>'YTD BS'!T24</f>
        <v/>
      </c>
      <c r="U24" s="4">
        <f>'YTD BS'!U24</f>
        <v/>
      </c>
      <c r="V24" s="4">
        <f>'BALANCE SHEET'!G24</f>
        <v/>
      </c>
      <c r="W24" s="4">
        <f>'YTD BS'!W24</f>
        <v/>
      </c>
      <c r="X24" s="4">
        <f>'YTD BS'!X24</f>
        <v/>
      </c>
      <c r="Y24" s="4">
        <f>'YTD BS'!Y24</f>
        <v/>
      </c>
      <c r="Z24" s="4">
        <f>'BALANCE SHEET'!H24</f>
        <v/>
      </c>
      <c r="AA24" s="11">
        <f>'QTR P&amp;L'!AD2*'BS DRIVERS'!AA22</f>
        <v/>
      </c>
      <c r="AB24" s="11">
        <f>'QTR P&amp;L'!AE2*'BS DRIVERS'!AB22</f>
        <v/>
      </c>
      <c r="AC24" s="11">
        <f>'QTR P&amp;L'!AF2*'BS DRIVERS'!AC22</f>
        <v/>
      </c>
      <c r="AD24" s="11">
        <f>'QTR P&amp;L'!AG2*'BS DRIVERS'!AD22</f>
        <v/>
      </c>
      <c r="AE24" s="11">
        <f>'QTR P&amp;L'!AH2*'BS DRIVERS'!AE22</f>
        <v/>
      </c>
      <c r="AF24" s="11">
        <f>'QTR P&amp;L'!AI2*'BS DRIVERS'!AF22</f>
        <v/>
      </c>
      <c r="AG24" s="11">
        <f>'QTR P&amp;L'!AJ2*'BS DRIVERS'!AG22</f>
        <v/>
      </c>
      <c r="AH24" s="11">
        <f>'QTR P&amp;L'!AK2*'BS DRIVERS'!AH22</f>
        <v/>
      </c>
      <c r="AI24" s="11">
        <f>'QTR P&amp;L'!AL2*'BS DRIVERS'!AI22</f>
        <v/>
      </c>
      <c r="AJ24" s="11">
        <f>'QTR P&amp;L'!AM2*'BS DRIVERS'!AJ22</f>
        <v/>
      </c>
      <c r="AK24" s="11">
        <f>'QTR P&amp;L'!AN2*'BS DRIVERS'!AK22</f>
        <v/>
      </c>
      <c r="AL24" s="11">
        <f>'QTR P&amp;L'!AO2*'BS DRIVERS'!AL22</f>
        <v/>
      </c>
      <c r="AM24" s="11">
        <f>'QTR P&amp;L'!AP2*'BS DRIVERS'!AM22</f>
        <v/>
      </c>
      <c r="AN24" s="11">
        <f>'QTR P&amp;L'!AQ2*'BS DRIVERS'!AN22</f>
        <v/>
      </c>
      <c r="AO24" s="11">
        <f>'QTR P&amp;L'!AR2*'BS DRIVERS'!AO22</f>
        <v/>
      </c>
      <c r="AP24" s="11">
        <f>'QTR P&amp;L'!AS2*'BS DRIVERS'!AP22</f>
        <v/>
      </c>
      <c r="AQ24" s="11">
        <f>'QTR P&amp;L'!AT2*'BS DRIVERS'!AQ22</f>
        <v/>
      </c>
      <c r="AR24" s="11">
        <f>'QTR P&amp;L'!AU2*'BS DRIVERS'!AR22</f>
        <v/>
      </c>
      <c r="AS24" s="11">
        <f>'QTR P&amp;L'!AV2*'BS DRIVERS'!AS22</f>
        <v/>
      </c>
      <c r="AT24" s="11">
        <f>'QTR P&amp;L'!AW2*'BS DRIVERS'!AT22</f>
        <v/>
      </c>
    </row>
    <row r="25">
      <c r="A25" s="3" t="inlineStr">
        <is>
          <t>Bonds Payable, Net</t>
        </is>
      </c>
      <c r="B25" s="4">
        <f>'BALANCE SHEET'!B26</f>
        <v/>
      </c>
      <c r="C25" s="4">
        <f>'YTD BS'!C25</f>
        <v/>
      </c>
      <c r="D25" s="4">
        <f>'YTD BS'!D25</f>
        <v/>
      </c>
      <c r="E25" s="4">
        <f>'YTD BS'!E25</f>
        <v/>
      </c>
      <c r="F25" s="4">
        <f>'BALANCE SHEET'!C26</f>
        <v/>
      </c>
      <c r="G25" s="4">
        <f>'YTD BS'!G25</f>
        <v/>
      </c>
      <c r="H25" s="4">
        <f>'YTD BS'!H25</f>
        <v/>
      </c>
      <c r="I25" s="4">
        <f>'YTD BS'!I25</f>
        <v/>
      </c>
      <c r="J25" s="4">
        <f>'BALANCE SHEET'!D26</f>
        <v/>
      </c>
      <c r="K25" s="4">
        <f>'YTD BS'!K25</f>
        <v/>
      </c>
      <c r="L25" s="4">
        <f>'YTD BS'!L25</f>
        <v/>
      </c>
      <c r="M25" s="4">
        <f>'YTD BS'!M25</f>
        <v/>
      </c>
      <c r="N25" s="4">
        <f>'BALANCE SHEET'!E26</f>
        <v/>
      </c>
      <c r="O25" s="4">
        <f>'YTD BS'!O25</f>
        <v/>
      </c>
      <c r="P25" s="4">
        <f>'YTD BS'!P25</f>
        <v/>
      </c>
      <c r="Q25" s="4">
        <f>'YTD BS'!Q25</f>
        <v/>
      </c>
      <c r="R25" s="4">
        <f>'BALANCE SHEET'!F26</f>
        <v/>
      </c>
      <c r="S25" s="4">
        <f>'YTD BS'!S25</f>
        <v/>
      </c>
      <c r="T25" s="4">
        <f>'YTD BS'!T25</f>
        <v/>
      </c>
      <c r="U25" s="4">
        <f>'YTD BS'!U25</f>
        <v/>
      </c>
      <c r="V25" s="4">
        <f>'BALANCE SHEET'!G26</f>
        <v/>
      </c>
      <c r="W25" s="4">
        <f>'YTD BS'!W25</f>
        <v/>
      </c>
      <c r="X25" s="4">
        <f>'YTD BS'!X25</f>
        <v/>
      </c>
      <c r="Y25" s="4">
        <f>'YTD BS'!Y25</f>
        <v/>
      </c>
      <c r="Z25" s="4">
        <f>'BALANCE SHEET'!H26</f>
        <v/>
      </c>
      <c r="AA25" s="11">
        <f>'BS DRIVERS'!AA23</f>
        <v/>
      </c>
      <c r="AB25" s="11">
        <f>'BS DRIVERS'!AB23</f>
        <v/>
      </c>
      <c r="AC25" s="11">
        <f>'BS DRIVERS'!AC23</f>
        <v/>
      </c>
      <c r="AD25" s="11">
        <f>'BS DRIVERS'!AD23</f>
        <v/>
      </c>
      <c r="AE25" s="11">
        <f>'BS DRIVERS'!AE23</f>
        <v/>
      </c>
      <c r="AF25" s="11">
        <f>'BS DRIVERS'!AF23</f>
        <v/>
      </c>
      <c r="AG25" s="11">
        <f>'BS DRIVERS'!AG23</f>
        <v/>
      </c>
      <c r="AH25" s="11">
        <f>'BS DRIVERS'!AH23</f>
        <v/>
      </c>
      <c r="AI25" s="11">
        <f>'BS DRIVERS'!AI23</f>
        <v/>
      </c>
      <c r="AJ25" s="11">
        <f>'BS DRIVERS'!AJ23</f>
        <v/>
      </c>
      <c r="AK25" s="11">
        <f>'BS DRIVERS'!AK23</f>
        <v/>
      </c>
      <c r="AL25" s="11">
        <f>'BS DRIVERS'!AL23</f>
        <v/>
      </c>
      <c r="AM25" s="11">
        <f>'BS DRIVERS'!AM23</f>
        <v/>
      </c>
      <c r="AN25" s="11">
        <f>'BS DRIVERS'!AN23</f>
        <v/>
      </c>
      <c r="AO25" s="11">
        <f>'BS DRIVERS'!AO23</f>
        <v/>
      </c>
      <c r="AP25" s="11">
        <f>'BS DRIVERS'!AP23</f>
        <v/>
      </c>
      <c r="AQ25" s="11">
        <f>'BS DRIVERS'!AQ23</f>
        <v/>
      </c>
      <c r="AR25" s="11">
        <f>'BS DRIVERS'!AR23</f>
        <v/>
      </c>
      <c r="AS25" s="11">
        <f>'BS DRIVERS'!AS23</f>
        <v/>
      </c>
      <c r="AT25" s="11">
        <f>'BS DRIVERS'!AT23</f>
        <v/>
      </c>
    </row>
    <row r="26">
      <c r="A26" s="3" t="inlineStr">
        <is>
          <t>Lease Liability - Finance - Current</t>
        </is>
      </c>
      <c r="B26" s="4">
        <f>'BALANCE SHEET'!B25</f>
        <v/>
      </c>
      <c r="C26" s="4">
        <f>'YTD BS'!C26</f>
        <v/>
      </c>
      <c r="D26" s="4">
        <f>'YTD BS'!D26</f>
        <v/>
      </c>
      <c r="E26" s="4">
        <f>'YTD BS'!E26</f>
        <v/>
      </c>
      <c r="F26" s="4">
        <f>'BALANCE SHEET'!C25</f>
        <v/>
      </c>
      <c r="G26" s="4">
        <f>'YTD BS'!G26</f>
        <v/>
      </c>
      <c r="H26" s="4">
        <f>'YTD BS'!H26</f>
        <v/>
      </c>
      <c r="I26" s="4">
        <f>'YTD BS'!I26</f>
        <v/>
      </c>
      <c r="J26" s="4">
        <f>'BALANCE SHEET'!D25</f>
        <v/>
      </c>
      <c r="K26" s="4">
        <f>'YTD BS'!K26</f>
        <v/>
      </c>
      <c r="L26" s="4">
        <f>'YTD BS'!L26</f>
        <v/>
      </c>
      <c r="M26" s="4">
        <f>'YTD BS'!M26</f>
        <v/>
      </c>
      <c r="N26" s="4">
        <f>'BALANCE SHEET'!E25</f>
        <v/>
      </c>
      <c r="O26" s="4">
        <f>'YTD BS'!O26</f>
        <v/>
      </c>
      <c r="P26" s="4">
        <f>'YTD BS'!P26</f>
        <v/>
      </c>
      <c r="Q26" s="4">
        <f>'YTD BS'!Q26</f>
        <v/>
      </c>
      <c r="R26" s="4">
        <f>'BALANCE SHEET'!F25</f>
        <v/>
      </c>
      <c r="S26" s="4">
        <f>'YTD BS'!S26</f>
        <v/>
      </c>
      <c r="T26" s="4">
        <f>'YTD BS'!T26</f>
        <v/>
      </c>
      <c r="U26" s="4">
        <f>'YTD BS'!U26</f>
        <v/>
      </c>
      <c r="V26" s="4">
        <f>'BALANCE SHEET'!G25</f>
        <v/>
      </c>
      <c r="W26" s="4">
        <f>'YTD BS'!W26</f>
        <v/>
      </c>
      <c r="X26" s="4">
        <f>'YTD BS'!X26</f>
        <v/>
      </c>
      <c r="Y26" s="4">
        <f>'YTD BS'!Y26</f>
        <v/>
      </c>
      <c r="Z26" s="4">
        <f>'BALANCE SHEET'!H25</f>
        <v/>
      </c>
      <c r="AA26" s="11">
        <f>'QTR P&amp;L'!AD2*'BS DRIVERS'!AA24</f>
        <v/>
      </c>
      <c r="AB26" s="11">
        <f>'QTR P&amp;L'!AE2*'BS DRIVERS'!AB24</f>
        <v/>
      </c>
      <c r="AC26" s="11">
        <f>'QTR P&amp;L'!AF2*'BS DRIVERS'!AC24</f>
        <v/>
      </c>
      <c r="AD26" s="11">
        <f>'QTR P&amp;L'!AG2*'BS DRIVERS'!AD24</f>
        <v/>
      </c>
      <c r="AE26" s="11">
        <f>'QTR P&amp;L'!AH2*'BS DRIVERS'!AE24</f>
        <v/>
      </c>
      <c r="AF26" s="11">
        <f>'QTR P&amp;L'!AI2*'BS DRIVERS'!AF24</f>
        <v/>
      </c>
      <c r="AG26" s="11">
        <f>'QTR P&amp;L'!AJ2*'BS DRIVERS'!AG24</f>
        <v/>
      </c>
      <c r="AH26" s="11">
        <f>'QTR P&amp;L'!AK2*'BS DRIVERS'!AH24</f>
        <v/>
      </c>
      <c r="AI26" s="11">
        <f>'QTR P&amp;L'!AL2*'BS DRIVERS'!AI24</f>
        <v/>
      </c>
      <c r="AJ26" s="11">
        <f>'QTR P&amp;L'!AM2*'BS DRIVERS'!AJ24</f>
        <v/>
      </c>
      <c r="AK26" s="11">
        <f>'QTR P&amp;L'!AN2*'BS DRIVERS'!AK24</f>
        <v/>
      </c>
      <c r="AL26" s="11">
        <f>'QTR P&amp;L'!AO2*'BS DRIVERS'!AL24</f>
        <v/>
      </c>
      <c r="AM26" s="11">
        <f>'QTR P&amp;L'!AP2*'BS DRIVERS'!AM24</f>
        <v/>
      </c>
      <c r="AN26" s="11">
        <f>'QTR P&amp;L'!AQ2*'BS DRIVERS'!AN24</f>
        <v/>
      </c>
      <c r="AO26" s="11">
        <f>'QTR P&amp;L'!AR2*'BS DRIVERS'!AO24</f>
        <v/>
      </c>
      <c r="AP26" s="11">
        <f>'QTR P&amp;L'!AS2*'BS DRIVERS'!AP24</f>
        <v/>
      </c>
      <c r="AQ26" s="11">
        <f>'QTR P&amp;L'!AT2*'BS DRIVERS'!AQ24</f>
        <v/>
      </c>
      <c r="AR26" s="11">
        <f>'QTR P&amp;L'!AU2*'BS DRIVERS'!AR24</f>
        <v/>
      </c>
      <c r="AS26" s="11">
        <f>'QTR P&amp;L'!AV2*'BS DRIVERS'!AS24</f>
        <v/>
      </c>
      <c r="AT26" s="11">
        <f>'QTR P&amp;L'!AW2*'BS DRIVERS'!AT24</f>
        <v/>
      </c>
    </row>
    <row r="27">
      <c r="A27" s="3" t="inlineStr">
        <is>
          <t>Contingent Consideration - Current</t>
        </is>
      </c>
      <c r="B27" s="4">
        <f>'BALANCE SHEET'!B27</f>
        <v/>
      </c>
      <c r="C27" s="4">
        <f>'YTD BS'!C27</f>
        <v/>
      </c>
      <c r="D27" s="4">
        <f>'YTD BS'!D27</f>
        <v/>
      </c>
      <c r="E27" s="4">
        <f>'YTD BS'!E27</f>
        <v/>
      </c>
      <c r="F27" s="4">
        <f>'BALANCE SHEET'!C27</f>
        <v/>
      </c>
      <c r="G27" s="4">
        <f>'YTD BS'!G27</f>
        <v/>
      </c>
      <c r="H27" s="4">
        <f>'YTD BS'!H27</f>
        <v/>
      </c>
      <c r="I27" s="4">
        <f>'YTD BS'!I27</f>
        <v/>
      </c>
      <c r="J27" s="4">
        <f>'BALANCE SHEET'!D27</f>
        <v/>
      </c>
      <c r="K27" s="4">
        <f>'YTD BS'!K27</f>
        <v/>
      </c>
      <c r="L27" s="4">
        <f>'YTD BS'!L27</f>
        <v/>
      </c>
      <c r="M27" s="4">
        <f>'YTD BS'!M27</f>
        <v/>
      </c>
      <c r="N27" s="4">
        <f>'BALANCE SHEET'!E27</f>
        <v/>
      </c>
      <c r="O27" s="4">
        <f>'YTD BS'!O27</f>
        <v/>
      </c>
      <c r="P27" s="4">
        <f>'YTD BS'!P27</f>
        <v/>
      </c>
      <c r="Q27" s="4">
        <f>'YTD BS'!Q27</f>
        <v/>
      </c>
      <c r="R27" s="4">
        <f>'BALANCE SHEET'!F27</f>
        <v/>
      </c>
      <c r="S27" s="4">
        <f>'YTD BS'!S27</f>
        <v/>
      </c>
      <c r="T27" s="4">
        <f>'YTD BS'!T27</f>
        <v/>
      </c>
      <c r="U27" s="4">
        <f>'YTD BS'!U27</f>
        <v/>
      </c>
      <c r="V27" s="4">
        <f>'BALANCE SHEET'!G27</f>
        <v/>
      </c>
      <c r="W27" s="4">
        <f>'YTD BS'!W27</f>
        <v/>
      </c>
      <c r="X27" s="4">
        <f>'YTD BS'!X27</f>
        <v/>
      </c>
      <c r="Y27" s="4">
        <f>'YTD BS'!Y27</f>
        <v/>
      </c>
      <c r="Z27" s="4">
        <f>'BALANCE SHEET'!H27</f>
        <v/>
      </c>
      <c r="AA27" s="11">
        <f>'QTR P&amp;L'!AD2*'BS DRIVERS'!AA25</f>
        <v/>
      </c>
      <c r="AB27" s="11">
        <f>'QTR P&amp;L'!AE2*'BS DRIVERS'!AB25</f>
        <v/>
      </c>
      <c r="AC27" s="11">
        <f>'QTR P&amp;L'!AF2*'BS DRIVERS'!AC25</f>
        <v/>
      </c>
      <c r="AD27" s="11">
        <f>'QTR P&amp;L'!AG2*'BS DRIVERS'!AD25</f>
        <v/>
      </c>
      <c r="AE27" s="11">
        <f>'QTR P&amp;L'!AH2*'BS DRIVERS'!AE25</f>
        <v/>
      </c>
      <c r="AF27" s="11">
        <f>'QTR P&amp;L'!AI2*'BS DRIVERS'!AF25</f>
        <v/>
      </c>
      <c r="AG27" s="11">
        <f>'QTR P&amp;L'!AJ2*'BS DRIVERS'!AG25</f>
        <v/>
      </c>
      <c r="AH27" s="11">
        <f>'QTR P&amp;L'!AK2*'BS DRIVERS'!AH25</f>
        <v/>
      </c>
      <c r="AI27" s="11">
        <f>'QTR P&amp;L'!AL2*'BS DRIVERS'!AI25</f>
        <v/>
      </c>
      <c r="AJ27" s="11">
        <f>'QTR P&amp;L'!AM2*'BS DRIVERS'!AJ25</f>
        <v/>
      </c>
      <c r="AK27" s="11">
        <f>'QTR P&amp;L'!AN2*'BS DRIVERS'!AK25</f>
        <v/>
      </c>
      <c r="AL27" s="11">
        <f>'QTR P&amp;L'!AO2*'BS DRIVERS'!AL25</f>
        <v/>
      </c>
      <c r="AM27" s="11">
        <f>'QTR P&amp;L'!AP2*'BS DRIVERS'!AM25</f>
        <v/>
      </c>
      <c r="AN27" s="11">
        <f>'QTR P&amp;L'!AQ2*'BS DRIVERS'!AN25</f>
        <v/>
      </c>
      <c r="AO27" s="11">
        <f>'QTR P&amp;L'!AR2*'BS DRIVERS'!AO25</f>
        <v/>
      </c>
      <c r="AP27" s="11">
        <f>'QTR P&amp;L'!AS2*'BS DRIVERS'!AP25</f>
        <v/>
      </c>
      <c r="AQ27" s="11">
        <f>'QTR P&amp;L'!AT2*'BS DRIVERS'!AQ25</f>
        <v/>
      </c>
      <c r="AR27" s="11">
        <f>'QTR P&amp;L'!AU2*'BS DRIVERS'!AR25</f>
        <v/>
      </c>
      <c r="AS27" s="11">
        <f>'QTR P&amp;L'!AV2*'BS DRIVERS'!AS25</f>
        <v/>
      </c>
      <c r="AT27" s="11">
        <f>'QTR P&amp;L'!AW2*'BS DRIVERS'!AT25</f>
        <v/>
      </c>
    </row>
    <row r="28">
      <c r="A28" s="3" t="inlineStr">
        <is>
          <t>Deferred Revenue - Current</t>
        </is>
      </c>
      <c r="B28" s="4">
        <f>'BALANCE SHEET'!B28</f>
        <v/>
      </c>
      <c r="C28" s="4">
        <f>'YTD BS'!C28</f>
        <v/>
      </c>
      <c r="D28" s="4">
        <f>'YTD BS'!D28</f>
        <v/>
      </c>
      <c r="E28" s="4">
        <f>'YTD BS'!E28</f>
        <v/>
      </c>
      <c r="F28" s="4">
        <f>'BALANCE SHEET'!C28</f>
        <v/>
      </c>
      <c r="G28" s="4">
        <f>'YTD BS'!G28</f>
        <v/>
      </c>
      <c r="H28" s="4">
        <f>'YTD BS'!H28</f>
        <v/>
      </c>
      <c r="I28" s="4">
        <f>'YTD BS'!I28</f>
        <v/>
      </c>
      <c r="J28" s="4">
        <f>'BALANCE SHEET'!D28</f>
        <v/>
      </c>
      <c r="K28" s="4">
        <f>'YTD BS'!K28</f>
        <v/>
      </c>
      <c r="L28" s="4">
        <f>'YTD BS'!L28</f>
        <v/>
      </c>
      <c r="M28" s="4">
        <f>'YTD BS'!M28</f>
        <v/>
      </c>
      <c r="N28" s="4">
        <f>'BALANCE SHEET'!E28</f>
        <v/>
      </c>
      <c r="O28" s="4">
        <f>'YTD BS'!O28</f>
        <v/>
      </c>
      <c r="P28" s="4">
        <f>'YTD BS'!P28</f>
        <v/>
      </c>
      <c r="Q28" s="4">
        <f>'YTD BS'!Q28</f>
        <v/>
      </c>
      <c r="R28" s="4">
        <f>'BALANCE SHEET'!F28</f>
        <v/>
      </c>
      <c r="S28" s="4">
        <f>'YTD BS'!S28</f>
        <v/>
      </c>
      <c r="T28" s="4">
        <f>'YTD BS'!T28</f>
        <v/>
      </c>
      <c r="U28" s="4">
        <f>'YTD BS'!U28</f>
        <v/>
      </c>
      <c r="V28" s="4">
        <f>'BALANCE SHEET'!G28</f>
        <v/>
      </c>
      <c r="W28" s="4">
        <f>'YTD BS'!W28</f>
        <v/>
      </c>
      <c r="X28" s="4">
        <f>'YTD BS'!X28</f>
        <v/>
      </c>
      <c r="Y28" s="4">
        <f>'YTD BS'!Y28</f>
        <v/>
      </c>
      <c r="Z28" s="4">
        <f>'BALANCE SHEET'!H28</f>
        <v/>
      </c>
      <c r="AA28" s="11">
        <f>'QTR P&amp;L'!AD2*'BS DRIVERS'!AA26</f>
        <v/>
      </c>
      <c r="AB28" s="11">
        <f>'QTR P&amp;L'!AE2*'BS DRIVERS'!AB26</f>
        <v/>
      </c>
      <c r="AC28" s="11">
        <f>'QTR P&amp;L'!AF2*'BS DRIVERS'!AC26</f>
        <v/>
      </c>
      <c r="AD28" s="11">
        <f>'QTR P&amp;L'!AG2*'BS DRIVERS'!AD26</f>
        <v/>
      </c>
      <c r="AE28" s="11">
        <f>'QTR P&amp;L'!AH2*'BS DRIVERS'!AE26</f>
        <v/>
      </c>
      <c r="AF28" s="11">
        <f>'QTR P&amp;L'!AI2*'BS DRIVERS'!AF26</f>
        <v/>
      </c>
      <c r="AG28" s="11">
        <f>'QTR P&amp;L'!AJ2*'BS DRIVERS'!AG26</f>
        <v/>
      </c>
      <c r="AH28" s="11">
        <f>'QTR P&amp;L'!AK2*'BS DRIVERS'!AH26</f>
        <v/>
      </c>
      <c r="AI28" s="11">
        <f>'QTR P&amp;L'!AL2*'BS DRIVERS'!AI26</f>
        <v/>
      </c>
      <c r="AJ28" s="11">
        <f>'QTR P&amp;L'!AM2*'BS DRIVERS'!AJ26</f>
        <v/>
      </c>
      <c r="AK28" s="11">
        <f>'QTR P&amp;L'!AN2*'BS DRIVERS'!AK26</f>
        <v/>
      </c>
      <c r="AL28" s="11">
        <f>'QTR P&amp;L'!AO2*'BS DRIVERS'!AL26</f>
        <v/>
      </c>
      <c r="AM28" s="11">
        <f>'QTR P&amp;L'!AP2*'BS DRIVERS'!AM26</f>
        <v/>
      </c>
      <c r="AN28" s="11">
        <f>'QTR P&amp;L'!AQ2*'BS DRIVERS'!AN26</f>
        <v/>
      </c>
      <c r="AO28" s="11">
        <f>'QTR P&amp;L'!AR2*'BS DRIVERS'!AO26</f>
        <v/>
      </c>
      <c r="AP28" s="11">
        <f>'QTR P&amp;L'!AS2*'BS DRIVERS'!AP26</f>
        <v/>
      </c>
      <c r="AQ28" s="11">
        <f>'QTR P&amp;L'!AT2*'BS DRIVERS'!AQ26</f>
        <v/>
      </c>
      <c r="AR28" s="11">
        <f>'QTR P&amp;L'!AU2*'BS DRIVERS'!AR26</f>
        <v/>
      </c>
      <c r="AS28" s="11">
        <f>'QTR P&amp;L'!AV2*'BS DRIVERS'!AS26</f>
        <v/>
      </c>
      <c r="AT28" s="11">
        <f>'QTR P&amp;L'!AW2*'BS DRIVERS'!AT26</f>
        <v/>
      </c>
    </row>
    <row r="29">
      <c r="A29" s="3" t="inlineStr">
        <is>
          <t>Other Current Liabilities</t>
        </is>
      </c>
      <c r="B29" s="4">
        <f>'BALANCE SHEET'!B29</f>
        <v/>
      </c>
      <c r="C29" s="4">
        <f>'YTD BS'!C29</f>
        <v/>
      </c>
      <c r="D29" s="4">
        <f>'YTD BS'!D29</f>
        <v/>
      </c>
      <c r="E29" s="4">
        <f>'YTD BS'!E29</f>
        <v/>
      </c>
      <c r="F29" s="4">
        <f>'BALANCE SHEET'!C29</f>
        <v/>
      </c>
      <c r="G29" s="4">
        <f>'YTD BS'!G29</f>
        <v/>
      </c>
      <c r="H29" s="4">
        <f>'YTD BS'!H29</f>
        <v/>
      </c>
      <c r="I29" s="4">
        <f>'YTD BS'!I29</f>
        <v/>
      </c>
      <c r="J29" s="4">
        <f>'BALANCE SHEET'!D29</f>
        <v/>
      </c>
      <c r="K29" s="4">
        <f>'YTD BS'!K29</f>
        <v/>
      </c>
      <c r="L29" s="4">
        <f>'YTD BS'!L29</f>
        <v/>
      </c>
      <c r="M29" s="4">
        <f>'YTD BS'!M29</f>
        <v/>
      </c>
      <c r="N29" s="4">
        <f>'BALANCE SHEET'!E29</f>
        <v/>
      </c>
      <c r="O29" s="4">
        <f>'YTD BS'!O29</f>
        <v/>
      </c>
      <c r="P29" s="4">
        <f>'YTD BS'!P29</f>
        <v/>
      </c>
      <c r="Q29" s="4">
        <f>'YTD BS'!Q29</f>
        <v/>
      </c>
      <c r="R29" s="4">
        <f>'BALANCE SHEET'!F29</f>
        <v/>
      </c>
      <c r="S29" s="4">
        <f>'YTD BS'!S29</f>
        <v/>
      </c>
      <c r="T29" s="4">
        <f>'YTD BS'!T29</f>
        <v/>
      </c>
      <c r="U29" s="4">
        <f>'YTD BS'!U29</f>
        <v/>
      </c>
      <c r="V29" s="4">
        <f>'BALANCE SHEET'!G29</f>
        <v/>
      </c>
      <c r="W29" s="4">
        <f>'YTD BS'!W29</f>
        <v/>
      </c>
      <c r="X29" s="4">
        <f>'YTD BS'!X29</f>
        <v/>
      </c>
      <c r="Y29" s="4">
        <f>'YTD BS'!Y29</f>
        <v/>
      </c>
      <c r="Z29" s="4">
        <f>'BALANCE SHEET'!H29</f>
        <v/>
      </c>
      <c r="AA29" s="11">
        <f>'QTR P&amp;L'!AD2*'BS DRIVERS'!AA27</f>
        <v/>
      </c>
      <c r="AB29" s="11">
        <f>'QTR P&amp;L'!AE2*'BS DRIVERS'!AB27</f>
        <v/>
      </c>
      <c r="AC29" s="11">
        <f>'QTR P&amp;L'!AF2*'BS DRIVERS'!AC27</f>
        <v/>
      </c>
      <c r="AD29" s="11">
        <f>'QTR P&amp;L'!AG2*'BS DRIVERS'!AD27</f>
        <v/>
      </c>
      <c r="AE29" s="11">
        <f>'QTR P&amp;L'!AH2*'BS DRIVERS'!AE27</f>
        <v/>
      </c>
      <c r="AF29" s="11">
        <f>'QTR P&amp;L'!AI2*'BS DRIVERS'!AF27</f>
        <v/>
      </c>
      <c r="AG29" s="11">
        <f>'QTR P&amp;L'!AJ2*'BS DRIVERS'!AG27</f>
        <v/>
      </c>
      <c r="AH29" s="11">
        <f>'QTR P&amp;L'!AK2*'BS DRIVERS'!AH27</f>
        <v/>
      </c>
      <c r="AI29" s="11">
        <f>'QTR P&amp;L'!AL2*'BS DRIVERS'!AI27</f>
        <v/>
      </c>
      <c r="AJ29" s="11">
        <f>'QTR P&amp;L'!AM2*'BS DRIVERS'!AJ27</f>
        <v/>
      </c>
      <c r="AK29" s="11">
        <f>'QTR P&amp;L'!AN2*'BS DRIVERS'!AK27</f>
        <v/>
      </c>
      <c r="AL29" s="11">
        <f>'QTR P&amp;L'!AO2*'BS DRIVERS'!AL27</f>
        <v/>
      </c>
      <c r="AM29" s="11">
        <f>'QTR P&amp;L'!AP2*'BS DRIVERS'!AM27</f>
        <v/>
      </c>
      <c r="AN29" s="11">
        <f>'QTR P&amp;L'!AQ2*'BS DRIVERS'!AN27</f>
        <v/>
      </c>
      <c r="AO29" s="11">
        <f>'QTR P&amp;L'!AR2*'BS DRIVERS'!AO27</f>
        <v/>
      </c>
      <c r="AP29" s="11">
        <f>'QTR P&amp;L'!AS2*'BS DRIVERS'!AP27</f>
        <v/>
      </c>
      <c r="AQ29" s="11">
        <f>'QTR P&amp;L'!AT2*'BS DRIVERS'!AQ27</f>
        <v/>
      </c>
      <c r="AR29" s="11">
        <f>'QTR P&amp;L'!AU2*'BS DRIVERS'!AR27</f>
        <v/>
      </c>
      <c r="AS29" s="11">
        <f>'QTR P&amp;L'!AV2*'BS DRIVERS'!AS27</f>
        <v/>
      </c>
      <c r="AT29" s="11">
        <f>'QTR P&amp;L'!AW2*'BS DRIVERS'!AT27</f>
        <v/>
      </c>
    </row>
    <row r="30">
      <c r="A30" s="3" t="inlineStr">
        <is>
          <t>Total Current Liabilities</t>
        </is>
      </c>
      <c r="B30" s="6">
        <f>'BALANCE SHEET'!B30</f>
        <v/>
      </c>
      <c r="C30" s="6">
        <f>'YTD BS'!C30</f>
        <v/>
      </c>
      <c r="D30" s="6">
        <f>'YTD BS'!D30</f>
        <v/>
      </c>
      <c r="E30" s="6">
        <f>'YTD BS'!E30</f>
        <v/>
      </c>
      <c r="F30" s="6">
        <f>'BALANCE SHEET'!C30</f>
        <v/>
      </c>
      <c r="G30" s="6">
        <f>'YTD BS'!G30</f>
        <v/>
      </c>
      <c r="H30" s="6">
        <f>'YTD BS'!H30</f>
        <v/>
      </c>
      <c r="I30" s="6">
        <f>'YTD BS'!I30</f>
        <v/>
      </c>
      <c r="J30" s="6">
        <f>'BALANCE SHEET'!D30</f>
        <v/>
      </c>
      <c r="K30" s="6">
        <f>'YTD BS'!K30</f>
        <v/>
      </c>
      <c r="L30" s="6">
        <f>'YTD BS'!L30</f>
        <v/>
      </c>
      <c r="M30" s="6">
        <f>'YTD BS'!M30</f>
        <v/>
      </c>
      <c r="N30" s="6">
        <f>'BALANCE SHEET'!E30</f>
        <v/>
      </c>
      <c r="O30" s="6">
        <f>'YTD BS'!O30</f>
        <v/>
      </c>
      <c r="P30" s="6">
        <f>'YTD BS'!P30</f>
        <v/>
      </c>
      <c r="Q30" s="6">
        <f>'YTD BS'!Q30</f>
        <v/>
      </c>
      <c r="R30" s="6">
        <f>'BALANCE SHEET'!F30</f>
        <v/>
      </c>
      <c r="S30" s="6">
        <f>'YTD BS'!S30</f>
        <v/>
      </c>
      <c r="T30" s="6">
        <f>'YTD BS'!T30</f>
        <v/>
      </c>
      <c r="U30" s="6">
        <f>'YTD BS'!U30</f>
        <v/>
      </c>
      <c r="V30" s="6">
        <f>'BALANCE SHEET'!G30</f>
        <v/>
      </c>
      <c r="W30" s="6">
        <f>'YTD BS'!W30</f>
        <v/>
      </c>
      <c r="X30" s="6">
        <f>'YTD BS'!X30</f>
        <v/>
      </c>
      <c r="Y30" s="6">
        <f>'YTD BS'!Y30</f>
        <v/>
      </c>
      <c r="Z30" s="6">
        <f>'BALANCE SHEET'!H30</f>
        <v/>
      </c>
      <c r="AA30" s="7">
        <f>SUM(AA19:AA29)</f>
        <v/>
      </c>
      <c r="AB30" s="7">
        <f>SUM(AB19:AB29)</f>
        <v/>
      </c>
      <c r="AC30" s="7">
        <f>SUM(AC19:AC29)</f>
        <v/>
      </c>
      <c r="AD30" s="7">
        <f>SUM(AD19:AD29)</f>
        <v/>
      </c>
      <c r="AE30" s="7">
        <f>SUM(AE19:AE29)</f>
        <v/>
      </c>
      <c r="AF30" s="7">
        <f>SUM(AF19:AF29)</f>
        <v/>
      </c>
      <c r="AG30" s="7">
        <f>SUM(AG19:AG29)</f>
        <v/>
      </c>
      <c r="AH30" s="7">
        <f>SUM(AH19:AH29)</f>
        <v/>
      </c>
      <c r="AI30" s="7">
        <f>SUM(AI19:AI29)</f>
        <v/>
      </c>
      <c r="AJ30" s="7">
        <f>SUM(AJ19:AJ29)</f>
        <v/>
      </c>
      <c r="AK30" s="7">
        <f>SUM(AK19:AK29)</f>
        <v/>
      </c>
      <c r="AL30" s="7">
        <f>SUM(AL19:AL29)</f>
        <v/>
      </c>
      <c r="AM30" s="7">
        <f>SUM(AM19:AM29)</f>
        <v/>
      </c>
      <c r="AN30" s="7">
        <f>SUM(AN19:AN29)</f>
        <v/>
      </c>
      <c r="AO30" s="7">
        <f>SUM(AO19:AO29)</f>
        <v/>
      </c>
      <c r="AP30" s="7">
        <f>SUM(AP19:AP29)</f>
        <v/>
      </c>
      <c r="AQ30" s="7">
        <f>SUM(AQ19:AQ29)</f>
        <v/>
      </c>
      <c r="AR30" s="7">
        <f>SUM(AR19:AR29)</f>
        <v/>
      </c>
      <c r="AS30" s="7">
        <f>SUM(AS19:AS29)</f>
        <v/>
      </c>
      <c r="AT30" s="7">
        <f>SUM(AT19:AT29)</f>
        <v/>
      </c>
    </row>
    <row r="31">
      <c r="A31" s="3" t="inlineStr">
        <is>
          <t>Lease Liability - Operating - Non-Current</t>
        </is>
      </c>
      <c r="B31" s="4">
        <f>'BALANCE SHEET'!B31</f>
        <v/>
      </c>
      <c r="C31" s="4">
        <f>'YTD BS'!C31</f>
        <v/>
      </c>
      <c r="D31" s="4">
        <f>'YTD BS'!D31</f>
        <v/>
      </c>
      <c r="E31" s="4">
        <f>'YTD BS'!E31</f>
        <v/>
      </c>
      <c r="F31" s="4">
        <f>'BALANCE SHEET'!C31</f>
        <v/>
      </c>
      <c r="G31" s="4">
        <f>'YTD BS'!G31</f>
        <v/>
      </c>
      <c r="H31" s="4">
        <f>'YTD BS'!H31</f>
        <v/>
      </c>
      <c r="I31" s="4">
        <f>'YTD BS'!I31</f>
        <v/>
      </c>
      <c r="J31" s="4">
        <f>'BALANCE SHEET'!D31</f>
        <v/>
      </c>
      <c r="K31" s="4">
        <f>'YTD BS'!K31</f>
        <v/>
      </c>
      <c r="L31" s="4">
        <f>'YTD BS'!L31</f>
        <v/>
      </c>
      <c r="M31" s="4">
        <f>'YTD BS'!M31</f>
        <v/>
      </c>
      <c r="N31" s="4">
        <f>'BALANCE SHEET'!E31</f>
        <v/>
      </c>
      <c r="O31" s="4">
        <f>'YTD BS'!O31</f>
        <v/>
      </c>
      <c r="P31" s="4">
        <f>'YTD BS'!P31</f>
        <v/>
      </c>
      <c r="Q31" s="4">
        <f>'YTD BS'!Q31</f>
        <v/>
      </c>
      <c r="R31" s="4">
        <f>'BALANCE SHEET'!F31</f>
        <v/>
      </c>
      <c r="S31" s="4">
        <f>'YTD BS'!S31</f>
        <v/>
      </c>
      <c r="T31" s="4">
        <f>'YTD BS'!T31</f>
        <v/>
      </c>
      <c r="U31" s="4">
        <f>'YTD BS'!U31</f>
        <v/>
      </c>
      <c r="V31" s="4">
        <f>'BALANCE SHEET'!G31</f>
        <v/>
      </c>
      <c r="W31" s="4">
        <f>'YTD BS'!W31</f>
        <v/>
      </c>
      <c r="X31" s="4">
        <f>'YTD BS'!X31</f>
        <v/>
      </c>
      <c r="Y31" s="4">
        <f>'YTD BS'!Y31</f>
        <v/>
      </c>
      <c r="Z31" s="4">
        <f>'BALANCE SHEET'!H31</f>
        <v/>
      </c>
      <c r="AA31" s="11">
        <f>'QTR P&amp;L'!AD2*'BS DRIVERS'!AA28</f>
        <v/>
      </c>
      <c r="AB31" s="11">
        <f>'QTR P&amp;L'!AE2*'BS DRIVERS'!AB28</f>
        <v/>
      </c>
      <c r="AC31" s="11">
        <f>'QTR P&amp;L'!AF2*'BS DRIVERS'!AC28</f>
        <v/>
      </c>
      <c r="AD31" s="11">
        <f>'QTR P&amp;L'!AG2*'BS DRIVERS'!AD28</f>
        <v/>
      </c>
      <c r="AE31" s="11">
        <f>'QTR P&amp;L'!AH2*'BS DRIVERS'!AE28</f>
        <v/>
      </c>
      <c r="AF31" s="11">
        <f>'QTR P&amp;L'!AI2*'BS DRIVERS'!AF28</f>
        <v/>
      </c>
      <c r="AG31" s="11">
        <f>'QTR P&amp;L'!AJ2*'BS DRIVERS'!AG28</f>
        <v/>
      </c>
      <c r="AH31" s="11">
        <f>'QTR P&amp;L'!AK2*'BS DRIVERS'!AH28</f>
        <v/>
      </c>
      <c r="AI31" s="11">
        <f>'QTR P&amp;L'!AL2*'BS DRIVERS'!AI28</f>
        <v/>
      </c>
      <c r="AJ31" s="11">
        <f>'QTR P&amp;L'!AM2*'BS DRIVERS'!AJ28</f>
        <v/>
      </c>
      <c r="AK31" s="11">
        <f>'QTR P&amp;L'!AN2*'BS DRIVERS'!AK28</f>
        <v/>
      </c>
      <c r="AL31" s="11">
        <f>'QTR P&amp;L'!AO2*'BS DRIVERS'!AL28</f>
        <v/>
      </c>
      <c r="AM31" s="11">
        <f>'QTR P&amp;L'!AP2*'BS DRIVERS'!AM28</f>
        <v/>
      </c>
      <c r="AN31" s="11">
        <f>'QTR P&amp;L'!AQ2*'BS DRIVERS'!AN28</f>
        <v/>
      </c>
      <c r="AO31" s="11">
        <f>'QTR P&amp;L'!AR2*'BS DRIVERS'!AO28</f>
        <v/>
      </c>
      <c r="AP31" s="11">
        <f>'QTR P&amp;L'!AS2*'BS DRIVERS'!AP28</f>
        <v/>
      </c>
      <c r="AQ31" s="11">
        <f>'QTR P&amp;L'!AT2*'BS DRIVERS'!AQ28</f>
        <v/>
      </c>
      <c r="AR31" s="11">
        <f>'QTR P&amp;L'!AU2*'BS DRIVERS'!AR28</f>
        <v/>
      </c>
      <c r="AS31" s="11">
        <f>'QTR P&amp;L'!AV2*'BS DRIVERS'!AS28</f>
        <v/>
      </c>
      <c r="AT31" s="11">
        <f>'QTR P&amp;L'!AW2*'BS DRIVERS'!AT28</f>
        <v/>
      </c>
    </row>
    <row r="32">
      <c r="A32" s="3" t="inlineStr">
        <is>
          <t>Lease Liability - Finance - Non-Current</t>
        </is>
      </c>
      <c r="B32" s="4">
        <f>'BALANCE SHEET'!B32</f>
        <v/>
      </c>
      <c r="C32" s="4">
        <f>'YTD BS'!C32</f>
        <v/>
      </c>
      <c r="D32" s="4">
        <f>'YTD BS'!D32</f>
        <v/>
      </c>
      <c r="E32" s="4">
        <f>'YTD BS'!E32</f>
        <v/>
      </c>
      <c r="F32" s="4">
        <f>'BALANCE SHEET'!C32</f>
        <v/>
      </c>
      <c r="G32" s="4">
        <f>'YTD BS'!G32</f>
        <v/>
      </c>
      <c r="H32" s="4">
        <f>'YTD BS'!H32</f>
        <v/>
      </c>
      <c r="I32" s="4">
        <f>'YTD BS'!I32</f>
        <v/>
      </c>
      <c r="J32" s="4">
        <f>'BALANCE SHEET'!D32</f>
        <v/>
      </c>
      <c r="K32" s="4">
        <f>'YTD BS'!K32</f>
        <v/>
      </c>
      <c r="L32" s="4">
        <f>'YTD BS'!L32</f>
        <v/>
      </c>
      <c r="M32" s="4">
        <f>'YTD BS'!M32</f>
        <v/>
      </c>
      <c r="N32" s="4">
        <f>'BALANCE SHEET'!E32</f>
        <v/>
      </c>
      <c r="O32" s="4">
        <f>'YTD BS'!O32</f>
        <v/>
      </c>
      <c r="P32" s="4">
        <f>'YTD BS'!P32</f>
        <v/>
      </c>
      <c r="Q32" s="4">
        <f>'YTD BS'!Q32</f>
        <v/>
      </c>
      <c r="R32" s="4">
        <f>'BALANCE SHEET'!F32</f>
        <v/>
      </c>
      <c r="S32" s="4">
        <f>'YTD BS'!S32</f>
        <v/>
      </c>
      <c r="T32" s="4">
        <f>'YTD BS'!T32</f>
        <v/>
      </c>
      <c r="U32" s="4">
        <f>'YTD BS'!U32</f>
        <v/>
      </c>
      <c r="V32" s="4">
        <f>'BALANCE SHEET'!G32</f>
        <v/>
      </c>
      <c r="W32" s="4">
        <f>'YTD BS'!W32</f>
        <v/>
      </c>
      <c r="X32" s="4">
        <f>'YTD BS'!X32</f>
        <v/>
      </c>
      <c r="Y32" s="4">
        <f>'YTD BS'!Y32</f>
        <v/>
      </c>
      <c r="Z32" s="4">
        <f>'BALANCE SHEET'!H32</f>
        <v/>
      </c>
      <c r="AA32" s="11">
        <f>'QTR P&amp;L'!AD2*'BS DRIVERS'!AA29</f>
        <v/>
      </c>
      <c r="AB32" s="11">
        <f>'QTR P&amp;L'!AE2*'BS DRIVERS'!AB29</f>
        <v/>
      </c>
      <c r="AC32" s="11">
        <f>'QTR P&amp;L'!AF2*'BS DRIVERS'!AC29</f>
        <v/>
      </c>
      <c r="AD32" s="11">
        <f>'QTR P&amp;L'!AG2*'BS DRIVERS'!AD29</f>
        <v/>
      </c>
      <c r="AE32" s="11">
        <f>'QTR P&amp;L'!AH2*'BS DRIVERS'!AE29</f>
        <v/>
      </c>
      <c r="AF32" s="11">
        <f>'QTR P&amp;L'!AI2*'BS DRIVERS'!AF29</f>
        <v/>
      </c>
      <c r="AG32" s="11">
        <f>'QTR P&amp;L'!AJ2*'BS DRIVERS'!AG29</f>
        <v/>
      </c>
      <c r="AH32" s="11">
        <f>'QTR P&amp;L'!AK2*'BS DRIVERS'!AH29</f>
        <v/>
      </c>
      <c r="AI32" s="11">
        <f>'QTR P&amp;L'!AL2*'BS DRIVERS'!AI29</f>
        <v/>
      </c>
      <c r="AJ32" s="11">
        <f>'QTR P&amp;L'!AM2*'BS DRIVERS'!AJ29</f>
        <v/>
      </c>
      <c r="AK32" s="11">
        <f>'QTR P&amp;L'!AN2*'BS DRIVERS'!AK29</f>
        <v/>
      </c>
      <c r="AL32" s="11">
        <f>'QTR P&amp;L'!AO2*'BS DRIVERS'!AL29</f>
        <v/>
      </c>
      <c r="AM32" s="11">
        <f>'QTR P&amp;L'!AP2*'BS DRIVERS'!AM29</f>
        <v/>
      </c>
      <c r="AN32" s="11">
        <f>'QTR P&amp;L'!AQ2*'BS DRIVERS'!AN29</f>
        <v/>
      </c>
      <c r="AO32" s="11">
        <f>'QTR P&amp;L'!AR2*'BS DRIVERS'!AO29</f>
        <v/>
      </c>
      <c r="AP32" s="11">
        <f>'QTR P&amp;L'!AS2*'BS DRIVERS'!AP29</f>
        <v/>
      </c>
      <c r="AQ32" s="11">
        <f>'QTR P&amp;L'!AT2*'BS DRIVERS'!AQ29</f>
        <v/>
      </c>
      <c r="AR32" s="11">
        <f>'QTR P&amp;L'!AU2*'BS DRIVERS'!AR29</f>
        <v/>
      </c>
      <c r="AS32" s="11">
        <f>'QTR P&amp;L'!AV2*'BS DRIVERS'!AS29</f>
        <v/>
      </c>
      <c r="AT32" s="11">
        <f>'QTR P&amp;L'!AW2*'BS DRIVERS'!AT29</f>
        <v/>
      </c>
    </row>
    <row r="33">
      <c r="A33" s="3" t="inlineStr">
        <is>
          <t>Deferred Tax Liability</t>
        </is>
      </c>
      <c r="B33" s="4">
        <f>'BALANCE SHEET'!B33</f>
        <v/>
      </c>
      <c r="C33" s="4">
        <f>'YTD BS'!C33</f>
        <v/>
      </c>
      <c r="D33" s="4">
        <f>'YTD BS'!D33</f>
        <v/>
      </c>
      <c r="E33" s="4">
        <f>'YTD BS'!E33</f>
        <v/>
      </c>
      <c r="F33" s="4">
        <f>'BALANCE SHEET'!C33</f>
        <v/>
      </c>
      <c r="G33" s="4">
        <f>'YTD BS'!G33</f>
        <v/>
      </c>
      <c r="H33" s="4">
        <f>'YTD BS'!H33</f>
        <v/>
      </c>
      <c r="I33" s="4">
        <f>'YTD BS'!I33</f>
        <v/>
      </c>
      <c r="J33" s="4">
        <f>'BALANCE SHEET'!D33</f>
        <v/>
      </c>
      <c r="K33" s="4">
        <f>'YTD BS'!K33</f>
        <v/>
      </c>
      <c r="L33" s="4">
        <f>'YTD BS'!L33</f>
        <v/>
      </c>
      <c r="M33" s="4">
        <f>'YTD BS'!M33</f>
        <v/>
      </c>
      <c r="N33" s="4">
        <f>'BALANCE SHEET'!E33</f>
        <v/>
      </c>
      <c r="O33" s="4">
        <f>'YTD BS'!O33</f>
        <v/>
      </c>
      <c r="P33" s="4">
        <f>'YTD BS'!P33</f>
        <v/>
      </c>
      <c r="Q33" s="4">
        <f>'YTD BS'!Q33</f>
        <v/>
      </c>
      <c r="R33" s="4">
        <f>'BALANCE SHEET'!F33</f>
        <v/>
      </c>
      <c r="S33" s="4">
        <f>'YTD BS'!S33</f>
        <v/>
      </c>
      <c r="T33" s="4">
        <f>'YTD BS'!T33</f>
        <v/>
      </c>
      <c r="U33" s="4">
        <f>'YTD BS'!U33</f>
        <v/>
      </c>
      <c r="V33" s="4">
        <f>'BALANCE SHEET'!G33</f>
        <v/>
      </c>
      <c r="W33" s="4">
        <f>'YTD BS'!W33</f>
        <v/>
      </c>
      <c r="X33" s="4">
        <f>'YTD BS'!X33</f>
        <v/>
      </c>
      <c r="Y33" s="4">
        <f>'YTD BS'!Y33</f>
        <v/>
      </c>
      <c r="Z33" s="4">
        <f>'BALANCE SHEET'!H33</f>
        <v/>
      </c>
      <c r="AA33" s="11">
        <f>'BS DRIVERS'!AA30</f>
        <v/>
      </c>
      <c r="AB33" s="11">
        <f>'BS DRIVERS'!AB30</f>
        <v/>
      </c>
      <c r="AC33" s="11">
        <f>'BS DRIVERS'!AC30</f>
        <v/>
      </c>
      <c r="AD33" s="11">
        <f>'BS DRIVERS'!AD30</f>
        <v/>
      </c>
      <c r="AE33" s="11">
        <f>'BS DRIVERS'!AE30</f>
        <v/>
      </c>
      <c r="AF33" s="11">
        <f>'BS DRIVERS'!AF30</f>
        <v/>
      </c>
      <c r="AG33" s="11">
        <f>'BS DRIVERS'!AG30</f>
        <v/>
      </c>
      <c r="AH33" s="11">
        <f>'BS DRIVERS'!AH30</f>
        <v/>
      </c>
      <c r="AI33" s="11">
        <f>'BS DRIVERS'!AI30</f>
        <v/>
      </c>
      <c r="AJ33" s="11">
        <f>'BS DRIVERS'!AJ30</f>
        <v/>
      </c>
      <c r="AK33" s="11">
        <f>'BS DRIVERS'!AK30</f>
        <v/>
      </c>
      <c r="AL33" s="11">
        <f>'BS DRIVERS'!AL30</f>
        <v/>
      </c>
      <c r="AM33" s="11">
        <f>'BS DRIVERS'!AM30</f>
        <v/>
      </c>
      <c r="AN33" s="11">
        <f>'BS DRIVERS'!AN30</f>
        <v/>
      </c>
      <c r="AO33" s="11">
        <f>'BS DRIVERS'!AO30</f>
        <v/>
      </c>
      <c r="AP33" s="11">
        <f>'BS DRIVERS'!AP30</f>
        <v/>
      </c>
      <c r="AQ33" s="11">
        <f>'BS DRIVERS'!AQ30</f>
        <v/>
      </c>
      <c r="AR33" s="11">
        <f>'BS DRIVERS'!AR30</f>
        <v/>
      </c>
      <c r="AS33" s="11">
        <f>'BS DRIVERS'!AS30</f>
        <v/>
      </c>
      <c r="AT33" s="11">
        <f>'BS DRIVERS'!AT30</f>
        <v/>
      </c>
    </row>
    <row r="34">
      <c r="A34" s="3" t="inlineStr">
        <is>
          <t>Long-Term Debt</t>
        </is>
      </c>
      <c r="B34" s="4">
        <f>'BALANCE SHEET'!B34</f>
        <v/>
      </c>
      <c r="C34" s="4">
        <f>'YTD BS'!C34</f>
        <v/>
      </c>
      <c r="D34" s="4">
        <f>'YTD BS'!D34</f>
        <v/>
      </c>
      <c r="E34" s="4">
        <f>'YTD BS'!E34</f>
        <v/>
      </c>
      <c r="F34" s="4">
        <f>'BALANCE SHEET'!C34</f>
        <v/>
      </c>
      <c r="G34" s="4">
        <f>'YTD BS'!G34</f>
        <v/>
      </c>
      <c r="H34" s="4">
        <f>'YTD BS'!H34</f>
        <v/>
      </c>
      <c r="I34" s="4">
        <f>'YTD BS'!I34</f>
        <v/>
      </c>
      <c r="J34" s="4">
        <f>'BALANCE SHEET'!D34</f>
        <v/>
      </c>
      <c r="K34" s="4">
        <f>'YTD BS'!K34</f>
        <v/>
      </c>
      <c r="L34" s="4">
        <f>'YTD BS'!L34</f>
        <v/>
      </c>
      <c r="M34" s="4">
        <f>'YTD BS'!M34</f>
        <v/>
      </c>
      <c r="N34" s="4">
        <f>'BALANCE SHEET'!E34</f>
        <v/>
      </c>
      <c r="O34" s="4">
        <f>'YTD BS'!O34</f>
        <v/>
      </c>
      <c r="P34" s="4">
        <f>'YTD BS'!P34</f>
        <v/>
      </c>
      <c r="Q34" s="4">
        <f>'YTD BS'!Q34</f>
        <v/>
      </c>
      <c r="R34" s="4">
        <f>'BALANCE SHEET'!F34</f>
        <v/>
      </c>
      <c r="S34" s="4">
        <f>'YTD BS'!S34</f>
        <v/>
      </c>
      <c r="T34" s="4">
        <f>'YTD BS'!T34</f>
        <v/>
      </c>
      <c r="U34" s="4">
        <f>'YTD BS'!U34</f>
        <v/>
      </c>
      <c r="V34" s="4">
        <f>'BALANCE SHEET'!G34</f>
        <v/>
      </c>
      <c r="W34" s="4">
        <f>'YTD BS'!W34</f>
        <v/>
      </c>
      <c r="X34" s="4">
        <f>'YTD BS'!X34</f>
        <v/>
      </c>
      <c r="Y34" s="4">
        <f>'YTD BS'!Y34</f>
        <v/>
      </c>
      <c r="Z34" s="4">
        <f>'BALANCE SHEET'!H34</f>
        <v/>
      </c>
      <c r="AA34" s="11">
        <f>'BS DRIVERS'!AA31</f>
        <v/>
      </c>
      <c r="AB34" s="11">
        <f>'BS DRIVERS'!AB31</f>
        <v/>
      </c>
      <c r="AC34" s="11">
        <f>'BS DRIVERS'!AC31</f>
        <v/>
      </c>
      <c r="AD34" s="11">
        <f>'BS DRIVERS'!AD31</f>
        <v/>
      </c>
      <c r="AE34" s="11">
        <f>'BS DRIVERS'!AE31</f>
        <v/>
      </c>
      <c r="AF34" s="11">
        <f>'BS DRIVERS'!AF31</f>
        <v/>
      </c>
      <c r="AG34" s="11">
        <f>'BS DRIVERS'!AG31</f>
        <v/>
      </c>
      <c r="AH34" s="11">
        <f>'BS DRIVERS'!AH31</f>
        <v/>
      </c>
      <c r="AI34" s="11">
        <f>'BS DRIVERS'!AI31</f>
        <v/>
      </c>
      <c r="AJ34" s="11">
        <f>'BS DRIVERS'!AJ31</f>
        <v/>
      </c>
      <c r="AK34" s="11">
        <f>'BS DRIVERS'!AK31</f>
        <v/>
      </c>
      <c r="AL34" s="11">
        <f>'BS DRIVERS'!AL31</f>
        <v/>
      </c>
      <c r="AM34" s="11">
        <f>'BS DRIVERS'!AM31</f>
        <v/>
      </c>
      <c r="AN34" s="11">
        <f>'BS DRIVERS'!AN31</f>
        <v/>
      </c>
      <c r="AO34" s="11">
        <f>'BS DRIVERS'!AO31</f>
        <v/>
      </c>
      <c r="AP34" s="11">
        <f>'BS DRIVERS'!AP31</f>
        <v/>
      </c>
      <c r="AQ34" s="11">
        <f>'BS DRIVERS'!AQ31</f>
        <v/>
      </c>
      <c r="AR34" s="11">
        <f>'BS DRIVERS'!AR31</f>
        <v/>
      </c>
      <c r="AS34" s="11">
        <f>'BS DRIVERS'!AS31</f>
        <v/>
      </c>
      <c r="AT34" s="11">
        <f>'BS DRIVERS'!AT31</f>
        <v/>
      </c>
    </row>
    <row r="35">
      <c r="A35" s="3" t="inlineStr">
        <is>
          <t>Deferred Revenue - Non-Current</t>
        </is>
      </c>
      <c r="B35" s="4">
        <f>'BALANCE SHEET'!B35</f>
        <v/>
      </c>
      <c r="C35" s="4">
        <f>'YTD BS'!C35</f>
        <v/>
      </c>
      <c r="D35" s="4">
        <f>'YTD BS'!D35</f>
        <v/>
      </c>
      <c r="E35" s="4">
        <f>'YTD BS'!E35</f>
        <v/>
      </c>
      <c r="F35" s="4">
        <f>'BALANCE SHEET'!C35</f>
        <v/>
      </c>
      <c r="G35" s="4">
        <f>'YTD BS'!G35</f>
        <v/>
      </c>
      <c r="H35" s="4">
        <f>'YTD BS'!H35</f>
        <v/>
      </c>
      <c r="I35" s="4">
        <f>'YTD BS'!I35</f>
        <v/>
      </c>
      <c r="J35" s="4">
        <f>'BALANCE SHEET'!D35</f>
        <v/>
      </c>
      <c r="K35" s="4">
        <f>'YTD BS'!K35</f>
        <v/>
      </c>
      <c r="L35" s="4">
        <f>'YTD BS'!L35</f>
        <v/>
      </c>
      <c r="M35" s="4">
        <f>'YTD BS'!M35</f>
        <v/>
      </c>
      <c r="N35" s="4">
        <f>'BALANCE SHEET'!E35</f>
        <v/>
      </c>
      <c r="O35" s="4">
        <f>'YTD BS'!O35</f>
        <v/>
      </c>
      <c r="P35" s="4">
        <f>'YTD BS'!P35</f>
        <v/>
      </c>
      <c r="Q35" s="4">
        <f>'YTD BS'!Q35</f>
        <v/>
      </c>
      <c r="R35" s="4">
        <f>'BALANCE SHEET'!F35</f>
        <v/>
      </c>
      <c r="S35" s="4">
        <f>'YTD BS'!S35</f>
        <v/>
      </c>
      <c r="T35" s="4">
        <f>'YTD BS'!T35</f>
        <v/>
      </c>
      <c r="U35" s="4">
        <f>'YTD BS'!U35</f>
        <v/>
      </c>
      <c r="V35" s="4">
        <f>'BALANCE SHEET'!G35</f>
        <v/>
      </c>
      <c r="W35" s="4">
        <f>'YTD BS'!W35</f>
        <v/>
      </c>
      <c r="X35" s="4">
        <f>'YTD BS'!X35</f>
        <v/>
      </c>
      <c r="Y35" s="4">
        <f>'YTD BS'!Y35</f>
        <v/>
      </c>
      <c r="Z35" s="4">
        <f>'BALANCE SHEET'!H35</f>
        <v/>
      </c>
      <c r="AA35" s="11">
        <f>'QTR P&amp;L'!AD2*'BS DRIVERS'!AA32</f>
        <v/>
      </c>
      <c r="AB35" s="11">
        <f>'QTR P&amp;L'!AE2*'BS DRIVERS'!AB32</f>
        <v/>
      </c>
      <c r="AC35" s="11">
        <f>'QTR P&amp;L'!AF2*'BS DRIVERS'!AC32</f>
        <v/>
      </c>
      <c r="AD35" s="11">
        <f>'QTR P&amp;L'!AG2*'BS DRIVERS'!AD32</f>
        <v/>
      </c>
      <c r="AE35" s="11">
        <f>'QTR P&amp;L'!AH2*'BS DRIVERS'!AE32</f>
        <v/>
      </c>
      <c r="AF35" s="11">
        <f>'QTR P&amp;L'!AI2*'BS DRIVERS'!AF32</f>
        <v/>
      </c>
      <c r="AG35" s="11">
        <f>'QTR P&amp;L'!AJ2*'BS DRIVERS'!AG32</f>
        <v/>
      </c>
      <c r="AH35" s="11">
        <f>'QTR P&amp;L'!AK2*'BS DRIVERS'!AH32</f>
        <v/>
      </c>
      <c r="AI35" s="11">
        <f>'QTR P&amp;L'!AL2*'BS DRIVERS'!AI32</f>
        <v/>
      </c>
      <c r="AJ35" s="11">
        <f>'QTR P&amp;L'!AM2*'BS DRIVERS'!AJ32</f>
        <v/>
      </c>
      <c r="AK35" s="11">
        <f>'QTR P&amp;L'!AN2*'BS DRIVERS'!AK32</f>
        <v/>
      </c>
      <c r="AL35" s="11">
        <f>'QTR P&amp;L'!AO2*'BS DRIVERS'!AL32</f>
        <v/>
      </c>
      <c r="AM35" s="11">
        <f>'QTR P&amp;L'!AP2*'BS DRIVERS'!AM32</f>
        <v/>
      </c>
      <c r="AN35" s="11">
        <f>'QTR P&amp;L'!AQ2*'BS DRIVERS'!AN32</f>
        <v/>
      </c>
      <c r="AO35" s="11">
        <f>'QTR P&amp;L'!AR2*'BS DRIVERS'!AO32</f>
        <v/>
      </c>
      <c r="AP35" s="11">
        <f>'QTR P&amp;L'!AS2*'BS DRIVERS'!AP32</f>
        <v/>
      </c>
      <c r="AQ35" s="11">
        <f>'QTR P&amp;L'!AT2*'BS DRIVERS'!AQ32</f>
        <v/>
      </c>
      <c r="AR35" s="11">
        <f>'QTR P&amp;L'!AU2*'BS DRIVERS'!AR32</f>
        <v/>
      </c>
      <c r="AS35" s="11">
        <f>'QTR P&amp;L'!AV2*'BS DRIVERS'!AS32</f>
        <v/>
      </c>
      <c r="AT35" s="11">
        <f>'QTR P&amp;L'!AW2*'BS DRIVERS'!AT32</f>
        <v/>
      </c>
    </row>
    <row r="36">
      <c r="A36" s="3" t="inlineStr">
        <is>
          <t>Other Non-Current Liabilities</t>
        </is>
      </c>
      <c r="B36" s="4">
        <f>'BALANCE SHEET'!B36</f>
        <v/>
      </c>
      <c r="C36" s="4">
        <f>'YTD BS'!C36</f>
        <v/>
      </c>
      <c r="D36" s="4">
        <f>'YTD BS'!D36</f>
        <v/>
      </c>
      <c r="E36" s="4">
        <f>'YTD BS'!E36</f>
        <v/>
      </c>
      <c r="F36" s="4">
        <f>'BALANCE SHEET'!C36</f>
        <v/>
      </c>
      <c r="G36" s="4">
        <f>'YTD BS'!G36</f>
        <v/>
      </c>
      <c r="H36" s="4">
        <f>'YTD BS'!H36</f>
        <v/>
      </c>
      <c r="I36" s="4">
        <f>'YTD BS'!I36</f>
        <v/>
      </c>
      <c r="J36" s="4">
        <f>'BALANCE SHEET'!D36</f>
        <v/>
      </c>
      <c r="K36" s="4">
        <f>'YTD BS'!K36</f>
        <v/>
      </c>
      <c r="L36" s="4">
        <f>'YTD BS'!L36</f>
        <v/>
      </c>
      <c r="M36" s="4">
        <f>'YTD BS'!M36</f>
        <v/>
      </c>
      <c r="N36" s="4">
        <f>'BALANCE SHEET'!E36</f>
        <v/>
      </c>
      <c r="O36" s="4">
        <f>'YTD BS'!O36</f>
        <v/>
      </c>
      <c r="P36" s="4">
        <f>'YTD BS'!P36</f>
        <v/>
      </c>
      <c r="Q36" s="4">
        <f>'YTD BS'!Q36</f>
        <v/>
      </c>
      <c r="R36" s="4">
        <f>'BALANCE SHEET'!F36</f>
        <v/>
      </c>
      <c r="S36" s="4">
        <f>'YTD BS'!S36</f>
        <v/>
      </c>
      <c r="T36" s="4">
        <f>'YTD BS'!T36</f>
        <v/>
      </c>
      <c r="U36" s="4">
        <f>'YTD BS'!U36</f>
        <v/>
      </c>
      <c r="V36" s="4">
        <f>'BALANCE SHEET'!G36</f>
        <v/>
      </c>
      <c r="W36" s="4">
        <f>'YTD BS'!W36</f>
        <v/>
      </c>
      <c r="X36" s="4">
        <f>'YTD BS'!X36</f>
        <v/>
      </c>
      <c r="Y36" s="4">
        <f>'YTD BS'!Y36</f>
        <v/>
      </c>
      <c r="Z36" s="4">
        <f>'BALANCE SHEET'!H36</f>
        <v/>
      </c>
      <c r="AA36" s="11">
        <f>'QTR P&amp;L'!AD2*'BS DRIVERS'!AA33</f>
        <v/>
      </c>
      <c r="AB36" s="11">
        <f>'QTR P&amp;L'!AE2*'BS DRIVERS'!AB33</f>
        <v/>
      </c>
      <c r="AC36" s="11">
        <f>'QTR P&amp;L'!AF2*'BS DRIVERS'!AC33</f>
        <v/>
      </c>
      <c r="AD36" s="11">
        <f>'QTR P&amp;L'!AG2*'BS DRIVERS'!AD33</f>
        <v/>
      </c>
      <c r="AE36" s="11">
        <f>'QTR P&amp;L'!AH2*'BS DRIVERS'!AE33</f>
        <v/>
      </c>
      <c r="AF36" s="11">
        <f>'QTR P&amp;L'!AI2*'BS DRIVERS'!AF33</f>
        <v/>
      </c>
      <c r="AG36" s="11">
        <f>'QTR P&amp;L'!AJ2*'BS DRIVERS'!AG33</f>
        <v/>
      </c>
      <c r="AH36" s="11">
        <f>'QTR P&amp;L'!AK2*'BS DRIVERS'!AH33</f>
        <v/>
      </c>
      <c r="AI36" s="11">
        <f>'QTR P&amp;L'!AL2*'BS DRIVERS'!AI33</f>
        <v/>
      </c>
      <c r="AJ36" s="11">
        <f>'QTR P&amp;L'!AM2*'BS DRIVERS'!AJ33</f>
        <v/>
      </c>
      <c r="AK36" s="11">
        <f>'QTR P&amp;L'!AN2*'BS DRIVERS'!AK33</f>
        <v/>
      </c>
      <c r="AL36" s="11">
        <f>'QTR P&amp;L'!AO2*'BS DRIVERS'!AL33</f>
        <v/>
      </c>
      <c r="AM36" s="11">
        <f>'QTR P&amp;L'!AP2*'BS DRIVERS'!AM33</f>
        <v/>
      </c>
      <c r="AN36" s="11">
        <f>'QTR P&amp;L'!AQ2*'BS DRIVERS'!AN33</f>
        <v/>
      </c>
      <c r="AO36" s="11">
        <f>'QTR P&amp;L'!AR2*'BS DRIVERS'!AO33</f>
        <v/>
      </c>
      <c r="AP36" s="11">
        <f>'QTR P&amp;L'!AS2*'BS DRIVERS'!AP33</f>
        <v/>
      </c>
      <c r="AQ36" s="11">
        <f>'QTR P&amp;L'!AT2*'BS DRIVERS'!AQ33</f>
        <v/>
      </c>
      <c r="AR36" s="11">
        <f>'QTR P&amp;L'!AU2*'BS DRIVERS'!AR33</f>
        <v/>
      </c>
      <c r="AS36" s="11">
        <f>'QTR P&amp;L'!AV2*'BS DRIVERS'!AS33</f>
        <v/>
      </c>
      <c r="AT36" s="11">
        <f>'QTR P&amp;L'!AW2*'BS DRIVERS'!AT33</f>
        <v/>
      </c>
    </row>
    <row r="37">
      <c r="A37" s="3" t="inlineStr">
        <is>
          <t>Total Liabilities</t>
        </is>
      </c>
      <c r="B37" s="6">
        <f>'BALANCE SHEET'!B37</f>
        <v/>
      </c>
      <c r="C37" s="6">
        <f>'YTD BS'!C37</f>
        <v/>
      </c>
      <c r="D37" s="6">
        <f>'YTD BS'!D37</f>
        <v/>
      </c>
      <c r="E37" s="6">
        <f>'YTD BS'!E37</f>
        <v/>
      </c>
      <c r="F37" s="6">
        <f>'BALANCE SHEET'!C37</f>
        <v/>
      </c>
      <c r="G37" s="6">
        <f>'YTD BS'!G37</f>
        <v/>
      </c>
      <c r="H37" s="6">
        <f>'YTD BS'!H37</f>
        <v/>
      </c>
      <c r="I37" s="6">
        <f>'YTD BS'!I37</f>
        <v/>
      </c>
      <c r="J37" s="6">
        <f>'BALANCE SHEET'!D37</f>
        <v/>
      </c>
      <c r="K37" s="6">
        <f>'YTD BS'!K37</f>
        <v/>
      </c>
      <c r="L37" s="6">
        <f>'YTD BS'!L37</f>
        <v/>
      </c>
      <c r="M37" s="6">
        <f>'YTD BS'!M37</f>
        <v/>
      </c>
      <c r="N37" s="6">
        <f>'BALANCE SHEET'!E37</f>
        <v/>
      </c>
      <c r="O37" s="6">
        <f>'YTD BS'!O37</f>
        <v/>
      </c>
      <c r="P37" s="6">
        <f>'YTD BS'!P37</f>
        <v/>
      </c>
      <c r="Q37" s="6">
        <f>'YTD BS'!Q37</f>
        <v/>
      </c>
      <c r="R37" s="6">
        <f>'BALANCE SHEET'!F37</f>
        <v/>
      </c>
      <c r="S37" s="6">
        <f>'YTD BS'!S37</f>
        <v/>
      </c>
      <c r="T37" s="6">
        <f>'YTD BS'!T37</f>
        <v/>
      </c>
      <c r="U37" s="6">
        <f>'YTD BS'!U37</f>
        <v/>
      </c>
      <c r="V37" s="6">
        <f>'BALANCE SHEET'!G37</f>
        <v/>
      </c>
      <c r="W37" s="6">
        <f>'YTD BS'!W37</f>
        <v/>
      </c>
      <c r="X37" s="6">
        <f>'YTD BS'!X37</f>
        <v/>
      </c>
      <c r="Y37" s="6">
        <f>'YTD BS'!Y37</f>
        <v/>
      </c>
      <c r="Z37" s="6">
        <f>'BALANCE SHEET'!H37</f>
        <v/>
      </c>
      <c r="AA37" s="7">
        <f>AA30+SUM(AA31:AA36)</f>
        <v/>
      </c>
      <c r="AB37" s="7">
        <f>AB30+SUM(AB31:AB36)</f>
        <v/>
      </c>
      <c r="AC37" s="7">
        <f>AC30+SUM(AC31:AC36)</f>
        <v/>
      </c>
      <c r="AD37" s="7">
        <f>AD30+SUM(AD31:AD36)</f>
        <v/>
      </c>
      <c r="AE37" s="7">
        <f>AE30+SUM(AE31:AE36)</f>
        <v/>
      </c>
      <c r="AF37" s="7">
        <f>AF30+SUM(AF31:AF36)</f>
        <v/>
      </c>
      <c r="AG37" s="7">
        <f>AG30+SUM(AG31:AG36)</f>
        <v/>
      </c>
      <c r="AH37" s="7">
        <f>AH30+SUM(AH31:AH36)</f>
        <v/>
      </c>
      <c r="AI37" s="7">
        <f>AI30+SUM(AI31:AI36)</f>
        <v/>
      </c>
      <c r="AJ37" s="7">
        <f>AJ30+SUM(AJ31:AJ36)</f>
        <v/>
      </c>
      <c r="AK37" s="7">
        <f>AK30+SUM(AK31:AK36)</f>
        <v/>
      </c>
      <c r="AL37" s="7">
        <f>AL30+SUM(AL31:AL36)</f>
        <v/>
      </c>
      <c r="AM37" s="7">
        <f>AM30+SUM(AM31:AM36)</f>
        <v/>
      </c>
      <c r="AN37" s="7">
        <f>AN30+SUM(AN31:AN36)</f>
        <v/>
      </c>
      <c r="AO37" s="7">
        <f>AO30+SUM(AO31:AO36)</f>
        <v/>
      </c>
      <c r="AP37" s="7">
        <f>AP30+SUM(AP31:AP36)</f>
        <v/>
      </c>
      <c r="AQ37" s="7">
        <f>AQ30+SUM(AQ31:AQ36)</f>
        <v/>
      </c>
      <c r="AR37" s="7">
        <f>AR30+SUM(AR31:AR36)</f>
        <v/>
      </c>
      <c r="AS37" s="7">
        <f>AS30+SUM(AS31:AS36)</f>
        <v/>
      </c>
      <c r="AT37" s="7">
        <f>AT30+SUM(AT31:AT36)</f>
        <v/>
      </c>
    </row>
    <row r="38">
      <c r="A38" s="3" t="inlineStr">
        <is>
          <t>Convertible Preferred Stock</t>
        </is>
      </c>
      <c r="B38" s="4">
        <f>'BALANCE SHEET'!B38</f>
        <v/>
      </c>
      <c r="C38" s="4">
        <f>'YTD BS'!C38</f>
        <v/>
      </c>
      <c r="D38" s="4">
        <f>'YTD BS'!D38</f>
        <v/>
      </c>
      <c r="E38" s="4">
        <f>'YTD BS'!E38</f>
        <v/>
      </c>
      <c r="F38" s="4">
        <f>'BALANCE SHEET'!C38</f>
        <v/>
      </c>
      <c r="G38" s="4">
        <f>'YTD BS'!G38</f>
        <v/>
      </c>
      <c r="H38" s="4">
        <f>'YTD BS'!H38</f>
        <v/>
      </c>
      <c r="I38" s="4">
        <f>'YTD BS'!I38</f>
        <v/>
      </c>
      <c r="J38" s="4">
        <f>'BALANCE SHEET'!D38</f>
        <v/>
      </c>
      <c r="K38" s="4">
        <f>'YTD BS'!K38</f>
        <v/>
      </c>
      <c r="L38" s="4">
        <f>'YTD BS'!L38</f>
        <v/>
      </c>
      <c r="M38" s="4">
        <f>'YTD BS'!M38</f>
        <v/>
      </c>
      <c r="N38" s="4">
        <f>'BALANCE SHEET'!E38</f>
        <v/>
      </c>
      <c r="O38" s="4">
        <f>'YTD BS'!O38</f>
        <v/>
      </c>
      <c r="P38" s="4">
        <f>'YTD BS'!P38</f>
        <v/>
      </c>
      <c r="Q38" s="4">
        <f>'YTD BS'!Q38</f>
        <v/>
      </c>
      <c r="R38" s="4">
        <f>'BALANCE SHEET'!F38</f>
        <v/>
      </c>
      <c r="S38" s="4">
        <f>'YTD BS'!S38</f>
        <v/>
      </c>
      <c r="T38" s="4">
        <f>'YTD BS'!T38</f>
        <v/>
      </c>
      <c r="U38" s="4">
        <f>'YTD BS'!U38</f>
        <v/>
      </c>
      <c r="V38" s="4">
        <f>'BALANCE SHEET'!G38</f>
        <v/>
      </c>
      <c r="W38" s="4">
        <f>'YTD BS'!W38</f>
        <v/>
      </c>
      <c r="X38" s="4">
        <f>'YTD BS'!X38</f>
        <v/>
      </c>
      <c r="Y38" s="4">
        <f>'YTD BS'!Y38</f>
        <v/>
      </c>
      <c r="Z38" s="4">
        <f>'BALANCE SHEET'!H38</f>
        <v/>
      </c>
      <c r="AA38" s="11">
        <f>'BS DRIVERS'!AA34</f>
        <v/>
      </c>
      <c r="AB38" s="11">
        <f>'BS DRIVERS'!AB34</f>
        <v/>
      </c>
      <c r="AC38" s="11">
        <f>'BS DRIVERS'!AC34</f>
        <v/>
      </c>
      <c r="AD38" s="11">
        <f>'BS DRIVERS'!AD34</f>
        <v/>
      </c>
      <c r="AE38" s="11">
        <f>'BS DRIVERS'!AE34</f>
        <v/>
      </c>
      <c r="AF38" s="11">
        <f>'BS DRIVERS'!AF34</f>
        <v/>
      </c>
      <c r="AG38" s="11">
        <f>'BS DRIVERS'!AG34</f>
        <v/>
      </c>
      <c r="AH38" s="11">
        <f>'BS DRIVERS'!AH34</f>
        <v/>
      </c>
      <c r="AI38" s="11">
        <f>'BS DRIVERS'!AI34</f>
        <v/>
      </c>
      <c r="AJ38" s="11">
        <f>'BS DRIVERS'!AJ34</f>
        <v/>
      </c>
      <c r="AK38" s="11">
        <f>'BS DRIVERS'!AK34</f>
        <v/>
      </c>
      <c r="AL38" s="11">
        <f>'BS DRIVERS'!AL34</f>
        <v/>
      </c>
      <c r="AM38" s="11">
        <f>'BS DRIVERS'!AM34</f>
        <v/>
      </c>
      <c r="AN38" s="11">
        <f>'BS DRIVERS'!AN34</f>
        <v/>
      </c>
      <c r="AO38" s="11">
        <f>'BS DRIVERS'!AO34</f>
        <v/>
      </c>
      <c r="AP38" s="11">
        <f>'BS DRIVERS'!AP34</f>
        <v/>
      </c>
      <c r="AQ38" s="11">
        <f>'BS DRIVERS'!AQ34</f>
        <v/>
      </c>
      <c r="AR38" s="11">
        <f>'BS DRIVERS'!AR34</f>
        <v/>
      </c>
      <c r="AS38" s="11">
        <f>'BS DRIVERS'!AS34</f>
        <v/>
      </c>
      <c r="AT38" s="11">
        <f>'BS DRIVERS'!AT34</f>
        <v/>
      </c>
    </row>
    <row r="39">
      <c r="A39" s="3" t="inlineStr">
        <is>
          <t>Common Stock</t>
        </is>
      </c>
      <c r="B39" s="4">
        <f>'BALANCE SHEET'!B39</f>
        <v/>
      </c>
      <c r="C39" s="4">
        <f>'YTD BS'!C39</f>
        <v/>
      </c>
      <c r="D39" s="4">
        <f>'YTD BS'!D39</f>
        <v/>
      </c>
      <c r="E39" s="4">
        <f>'YTD BS'!E39</f>
        <v/>
      </c>
      <c r="F39" s="4">
        <f>'BALANCE SHEET'!C39</f>
        <v/>
      </c>
      <c r="G39" s="4">
        <f>'YTD BS'!G39</f>
        <v/>
      </c>
      <c r="H39" s="4">
        <f>'YTD BS'!H39</f>
        <v/>
      </c>
      <c r="I39" s="4">
        <f>'YTD BS'!I39</f>
        <v/>
      </c>
      <c r="J39" s="4">
        <f>'BALANCE SHEET'!D39</f>
        <v/>
      </c>
      <c r="K39" s="4">
        <f>'YTD BS'!K39</f>
        <v/>
      </c>
      <c r="L39" s="4">
        <f>'YTD BS'!L39</f>
        <v/>
      </c>
      <c r="M39" s="4">
        <f>'YTD BS'!M39</f>
        <v/>
      </c>
      <c r="N39" s="4">
        <f>'BALANCE SHEET'!E39</f>
        <v/>
      </c>
      <c r="O39" s="4">
        <f>'YTD BS'!O39</f>
        <v/>
      </c>
      <c r="P39" s="4">
        <f>'YTD BS'!P39</f>
        <v/>
      </c>
      <c r="Q39" s="4">
        <f>'YTD BS'!Q39</f>
        <v/>
      </c>
      <c r="R39" s="4">
        <f>'BALANCE SHEET'!F39</f>
        <v/>
      </c>
      <c r="S39" s="4">
        <f>'YTD BS'!S39</f>
        <v/>
      </c>
      <c r="T39" s="4">
        <f>'YTD BS'!T39</f>
        <v/>
      </c>
      <c r="U39" s="4">
        <f>'YTD BS'!U39</f>
        <v/>
      </c>
      <c r="V39" s="4">
        <f>'BALANCE SHEET'!G39</f>
        <v/>
      </c>
      <c r="W39" s="4">
        <f>'YTD BS'!W39</f>
        <v/>
      </c>
      <c r="X39" s="4">
        <f>'YTD BS'!X39</f>
        <v/>
      </c>
      <c r="Y39" s="4">
        <f>'YTD BS'!Y39</f>
        <v/>
      </c>
      <c r="Z39" s="4">
        <f>'BALANCE SHEET'!H39</f>
        <v/>
      </c>
      <c r="AA39" s="11">
        <f>'BS DRIVERS'!AA35</f>
        <v/>
      </c>
      <c r="AB39" s="11">
        <f>'BS DRIVERS'!AB35</f>
        <v/>
      </c>
      <c r="AC39" s="11">
        <f>'BS DRIVERS'!AC35</f>
        <v/>
      </c>
      <c r="AD39" s="11">
        <f>'BS DRIVERS'!AD35</f>
        <v/>
      </c>
      <c r="AE39" s="11">
        <f>'BS DRIVERS'!AE35</f>
        <v/>
      </c>
      <c r="AF39" s="11">
        <f>'BS DRIVERS'!AF35</f>
        <v/>
      </c>
      <c r="AG39" s="11">
        <f>'BS DRIVERS'!AG35</f>
        <v/>
      </c>
      <c r="AH39" s="11">
        <f>'BS DRIVERS'!AH35</f>
        <v/>
      </c>
      <c r="AI39" s="11">
        <f>'BS DRIVERS'!AI35</f>
        <v/>
      </c>
      <c r="AJ39" s="11">
        <f>'BS DRIVERS'!AJ35</f>
        <v/>
      </c>
      <c r="AK39" s="11">
        <f>'BS DRIVERS'!AK35</f>
        <v/>
      </c>
      <c r="AL39" s="11">
        <f>'BS DRIVERS'!AL35</f>
        <v/>
      </c>
      <c r="AM39" s="11">
        <f>'BS DRIVERS'!AM35</f>
        <v/>
      </c>
      <c r="AN39" s="11">
        <f>'BS DRIVERS'!AN35</f>
        <v/>
      </c>
      <c r="AO39" s="11">
        <f>'BS DRIVERS'!AO35</f>
        <v/>
      </c>
      <c r="AP39" s="11">
        <f>'BS DRIVERS'!AP35</f>
        <v/>
      </c>
      <c r="AQ39" s="11">
        <f>'BS DRIVERS'!AQ35</f>
        <v/>
      </c>
      <c r="AR39" s="11">
        <f>'BS DRIVERS'!AR35</f>
        <v/>
      </c>
      <c r="AS39" s="11">
        <f>'BS DRIVERS'!AS35</f>
        <v/>
      </c>
      <c r="AT39" s="11">
        <f>'BS DRIVERS'!AT35</f>
        <v/>
      </c>
    </row>
    <row r="40">
      <c r="A40" s="3" t="inlineStr">
        <is>
          <t>Treasury Stock</t>
        </is>
      </c>
      <c r="B40" s="4">
        <f>'BALANCE SHEET'!B40</f>
        <v/>
      </c>
      <c r="C40" s="4">
        <f>'YTD BS'!C40</f>
        <v/>
      </c>
      <c r="D40" s="4">
        <f>'YTD BS'!D40</f>
        <v/>
      </c>
      <c r="E40" s="4">
        <f>'YTD BS'!E40</f>
        <v/>
      </c>
      <c r="F40" s="4">
        <f>'BALANCE SHEET'!C40</f>
        <v/>
      </c>
      <c r="G40" s="4">
        <f>'YTD BS'!G40</f>
        <v/>
      </c>
      <c r="H40" s="4">
        <f>'YTD BS'!H40</f>
        <v/>
      </c>
      <c r="I40" s="4">
        <f>'YTD BS'!I40</f>
        <v/>
      </c>
      <c r="J40" s="4">
        <f>'BALANCE SHEET'!D40</f>
        <v/>
      </c>
      <c r="K40" s="4">
        <f>'YTD BS'!K40</f>
        <v/>
      </c>
      <c r="L40" s="4">
        <f>'YTD BS'!L40</f>
        <v/>
      </c>
      <c r="M40" s="4">
        <f>'YTD BS'!M40</f>
        <v/>
      </c>
      <c r="N40" s="4">
        <f>'BALANCE SHEET'!E40</f>
        <v/>
      </c>
      <c r="O40" s="4">
        <f>'YTD BS'!O40</f>
        <v/>
      </c>
      <c r="P40" s="4">
        <f>'YTD BS'!P40</f>
        <v/>
      </c>
      <c r="Q40" s="4">
        <f>'YTD BS'!Q40</f>
        <v/>
      </c>
      <c r="R40" s="4">
        <f>'BALANCE SHEET'!F40</f>
        <v/>
      </c>
      <c r="S40" s="4">
        <f>'YTD BS'!S40</f>
        <v/>
      </c>
      <c r="T40" s="4">
        <f>'YTD BS'!T40</f>
        <v/>
      </c>
      <c r="U40" s="4">
        <f>'YTD BS'!U40</f>
        <v/>
      </c>
      <c r="V40" s="4">
        <f>'BALANCE SHEET'!G40</f>
        <v/>
      </c>
      <c r="W40" s="4">
        <f>'YTD BS'!W40</f>
        <v/>
      </c>
      <c r="X40" s="4">
        <f>'YTD BS'!X40</f>
        <v/>
      </c>
      <c r="Y40" s="4">
        <f>'YTD BS'!Y40</f>
        <v/>
      </c>
      <c r="Z40" s="4">
        <f>'BALANCE SHEET'!H40</f>
        <v/>
      </c>
      <c r="AA40" s="11">
        <f>'BS DRIVERS'!AA36</f>
        <v/>
      </c>
      <c r="AB40" s="11">
        <f>'BS DRIVERS'!AB36</f>
        <v/>
      </c>
      <c r="AC40" s="11">
        <f>'BS DRIVERS'!AC36</f>
        <v/>
      </c>
      <c r="AD40" s="11">
        <f>'BS DRIVERS'!AD36</f>
        <v/>
      </c>
      <c r="AE40" s="11">
        <f>'BS DRIVERS'!AE36</f>
        <v/>
      </c>
      <c r="AF40" s="11">
        <f>'BS DRIVERS'!AF36</f>
        <v/>
      </c>
      <c r="AG40" s="11">
        <f>'BS DRIVERS'!AG36</f>
        <v/>
      </c>
      <c r="AH40" s="11">
        <f>'BS DRIVERS'!AH36</f>
        <v/>
      </c>
      <c r="AI40" s="11">
        <f>'BS DRIVERS'!AI36</f>
        <v/>
      </c>
      <c r="AJ40" s="11">
        <f>'BS DRIVERS'!AJ36</f>
        <v/>
      </c>
      <c r="AK40" s="11">
        <f>'BS DRIVERS'!AK36</f>
        <v/>
      </c>
      <c r="AL40" s="11">
        <f>'BS DRIVERS'!AL36</f>
        <v/>
      </c>
      <c r="AM40" s="11">
        <f>'BS DRIVERS'!AM36</f>
        <v/>
      </c>
      <c r="AN40" s="11">
        <f>'BS DRIVERS'!AN36</f>
        <v/>
      </c>
      <c r="AO40" s="11">
        <f>'BS DRIVERS'!AO36</f>
        <v/>
      </c>
      <c r="AP40" s="11">
        <f>'BS DRIVERS'!AP36</f>
        <v/>
      </c>
      <c r="AQ40" s="11">
        <f>'BS DRIVERS'!AQ36</f>
        <v/>
      </c>
      <c r="AR40" s="11">
        <f>'BS DRIVERS'!AR36</f>
        <v/>
      </c>
      <c r="AS40" s="11">
        <f>'BS DRIVERS'!AS36</f>
        <v/>
      </c>
      <c r="AT40" s="11">
        <f>'BS DRIVERS'!AT36</f>
        <v/>
      </c>
    </row>
    <row r="41">
      <c r="A41" s="3" t="inlineStr">
        <is>
          <t>Additional Paid-in Capital</t>
        </is>
      </c>
      <c r="B41" s="4">
        <f>'BALANCE SHEET'!B41</f>
        <v/>
      </c>
      <c r="C41" s="4">
        <f>'YTD BS'!C41</f>
        <v/>
      </c>
      <c r="D41" s="4">
        <f>'YTD BS'!D41</f>
        <v/>
      </c>
      <c r="E41" s="4">
        <f>'YTD BS'!E41</f>
        <v/>
      </c>
      <c r="F41" s="4">
        <f>'BALANCE SHEET'!C41</f>
        <v/>
      </c>
      <c r="G41" s="4">
        <f>'YTD BS'!G41</f>
        <v/>
      </c>
      <c r="H41" s="4">
        <f>'YTD BS'!H41</f>
        <v/>
      </c>
      <c r="I41" s="4">
        <f>'YTD BS'!I41</f>
        <v/>
      </c>
      <c r="J41" s="4">
        <f>'BALANCE SHEET'!D41</f>
        <v/>
      </c>
      <c r="K41" s="4">
        <f>'YTD BS'!K41</f>
        <v/>
      </c>
      <c r="L41" s="4">
        <f>'YTD BS'!L41</f>
        <v/>
      </c>
      <c r="M41" s="4">
        <f>'YTD BS'!M41</f>
        <v/>
      </c>
      <c r="N41" s="4">
        <f>'BALANCE SHEET'!E41</f>
        <v/>
      </c>
      <c r="O41" s="4">
        <f>'YTD BS'!O41</f>
        <v/>
      </c>
      <c r="P41" s="4">
        <f>'YTD BS'!P41</f>
        <v/>
      </c>
      <c r="Q41" s="4">
        <f>'YTD BS'!Q41</f>
        <v/>
      </c>
      <c r="R41" s="4">
        <f>'BALANCE SHEET'!F41</f>
        <v/>
      </c>
      <c r="S41" s="4">
        <f>'YTD BS'!S41</f>
        <v/>
      </c>
      <c r="T41" s="4">
        <f>'YTD BS'!T41</f>
        <v/>
      </c>
      <c r="U41" s="4">
        <f>'YTD BS'!U41</f>
        <v/>
      </c>
      <c r="V41" s="4">
        <f>'BALANCE SHEET'!G41</f>
        <v/>
      </c>
      <c r="W41" s="4">
        <f>'YTD BS'!W41</f>
        <v/>
      </c>
      <c r="X41" s="4">
        <f>'YTD BS'!X41</f>
        <v/>
      </c>
      <c r="Y41" s="4">
        <f>'YTD BS'!Y41</f>
        <v/>
      </c>
      <c r="Z41" s="4">
        <f>'BALANCE SHEET'!H41</f>
        <v/>
      </c>
      <c r="AA41" s="11">
        <f>'BS DRIVERS'!AA37</f>
        <v/>
      </c>
      <c r="AB41" s="11">
        <f>'BS DRIVERS'!AB37</f>
        <v/>
      </c>
      <c r="AC41" s="11">
        <f>'BS DRIVERS'!AC37</f>
        <v/>
      </c>
      <c r="AD41" s="11">
        <f>'BS DRIVERS'!AD37</f>
        <v/>
      </c>
      <c r="AE41" s="11">
        <f>'BS DRIVERS'!AE37</f>
        <v/>
      </c>
      <c r="AF41" s="11">
        <f>'BS DRIVERS'!AF37</f>
        <v/>
      </c>
      <c r="AG41" s="11">
        <f>'BS DRIVERS'!AG37</f>
        <v/>
      </c>
      <c r="AH41" s="11">
        <f>'BS DRIVERS'!AH37</f>
        <v/>
      </c>
      <c r="AI41" s="11">
        <f>'BS DRIVERS'!AI37</f>
        <v/>
      </c>
      <c r="AJ41" s="11">
        <f>'BS DRIVERS'!AJ37</f>
        <v/>
      </c>
      <c r="AK41" s="11">
        <f>'BS DRIVERS'!AK37</f>
        <v/>
      </c>
      <c r="AL41" s="11">
        <f>'BS DRIVERS'!AL37</f>
        <v/>
      </c>
      <c r="AM41" s="11">
        <f>'BS DRIVERS'!AM37</f>
        <v/>
      </c>
      <c r="AN41" s="11">
        <f>'BS DRIVERS'!AN37</f>
        <v/>
      </c>
      <c r="AO41" s="11">
        <f>'BS DRIVERS'!AO37</f>
        <v/>
      </c>
      <c r="AP41" s="11">
        <f>'BS DRIVERS'!AP37</f>
        <v/>
      </c>
      <c r="AQ41" s="11">
        <f>'BS DRIVERS'!AQ37</f>
        <v/>
      </c>
      <c r="AR41" s="11">
        <f>'BS DRIVERS'!AR37</f>
        <v/>
      </c>
      <c r="AS41" s="11">
        <f>'BS DRIVERS'!AS37</f>
        <v/>
      </c>
      <c r="AT41" s="11">
        <f>'BS DRIVERS'!AT37</f>
        <v/>
      </c>
    </row>
    <row r="42">
      <c r="A42" s="3" t="inlineStr">
        <is>
          <t>Accumulated Other Comprehensive Income (Loss)</t>
        </is>
      </c>
      <c r="B42" s="4">
        <f>'BALANCE SHEET'!B42</f>
        <v/>
      </c>
      <c r="C42" s="4">
        <f>'YTD BS'!C42</f>
        <v/>
      </c>
      <c r="D42" s="4">
        <f>'YTD BS'!D42</f>
        <v/>
      </c>
      <c r="E42" s="4">
        <f>'YTD BS'!E42</f>
        <v/>
      </c>
      <c r="F42" s="4">
        <f>'BALANCE SHEET'!C42</f>
        <v/>
      </c>
      <c r="G42" s="4">
        <f>'YTD BS'!G42</f>
        <v/>
      </c>
      <c r="H42" s="4">
        <f>'YTD BS'!H42</f>
        <v/>
      </c>
      <c r="I42" s="4">
        <f>'YTD BS'!I42</f>
        <v/>
      </c>
      <c r="J42" s="4">
        <f>'BALANCE SHEET'!D42</f>
        <v/>
      </c>
      <c r="K42" s="4">
        <f>'YTD BS'!K42</f>
        <v/>
      </c>
      <c r="L42" s="4">
        <f>'YTD BS'!L42</f>
        <v/>
      </c>
      <c r="M42" s="4">
        <f>'YTD BS'!M42</f>
        <v/>
      </c>
      <c r="N42" s="4">
        <f>'BALANCE SHEET'!E42</f>
        <v/>
      </c>
      <c r="O42" s="4">
        <f>'YTD BS'!O42</f>
        <v/>
      </c>
      <c r="P42" s="4">
        <f>'YTD BS'!P42</f>
        <v/>
      </c>
      <c r="Q42" s="4">
        <f>'YTD BS'!Q42</f>
        <v/>
      </c>
      <c r="R42" s="4">
        <f>'BALANCE SHEET'!F42</f>
        <v/>
      </c>
      <c r="S42" s="4">
        <f>'YTD BS'!S42</f>
        <v/>
      </c>
      <c r="T42" s="4">
        <f>'YTD BS'!T42</f>
        <v/>
      </c>
      <c r="U42" s="4">
        <f>'YTD BS'!U42</f>
        <v/>
      </c>
      <c r="V42" s="4">
        <f>'BALANCE SHEET'!G42</f>
        <v/>
      </c>
      <c r="W42" s="4">
        <f>'YTD BS'!W42</f>
        <v/>
      </c>
      <c r="X42" s="4">
        <f>'YTD BS'!X42</f>
        <v/>
      </c>
      <c r="Y42" s="4">
        <f>'YTD BS'!Y42</f>
        <v/>
      </c>
      <c r="Z42" s="4">
        <f>'BALANCE SHEET'!H42</f>
        <v/>
      </c>
      <c r="AA42" s="11">
        <f>'BS DRIVERS'!AA38</f>
        <v/>
      </c>
      <c r="AB42" s="11">
        <f>'BS DRIVERS'!AB38</f>
        <v/>
      </c>
      <c r="AC42" s="11">
        <f>'BS DRIVERS'!AC38</f>
        <v/>
      </c>
      <c r="AD42" s="11">
        <f>'BS DRIVERS'!AD38</f>
        <v/>
      </c>
      <c r="AE42" s="11">
        <f>'BS DRIVERS'!AE38</f>
        <v/>
      </c>
      <c r="AF42" s="11">
        <f>'BS DRIVERS'!AF38</f>
        <v/>
      </c>
      <c r="AG42" s="11">
        <f>'BS DRIVERS'!AG38</f>
        <v/>
      </c>
      <c r="AH42" s="11">
        <f>'BS DRIVERS'!AH38</f>
        <v/>
      </c>
      <c r="AI42" s="11">
        <f>'BS DRIVERS'!AI38</f>
        <v/>
      </c>
      <c r="AJ42" s="11">
        <f>'BS DRIVERS'!AJ38</f>
        <v/>
      </c>
      <c r="AK42" s="11">
        <f>'BS DRIVERS'!AK38</f>
        <v/>
      </c>
      <c r="AL42" s="11">
        <f>'BS DRIVERS'!AL38</f>
        <v/>
      </c>
      <c r="AM42" s="11">
        <f>'BS DRIVERS'!AM38</f>
        <v/>
      </c>
      <c r="AN42" s="11">
        <f>'BS DRIVERS'!AN38</f>
        <v/>
      </c>
      <c r="AO42" s="11">
        <f>'BS DRIVERS'!AO38</f>
        <v/>
      </c>
      <c r="AP42" s="11">
        <f>'BS DRIVERS'!AP38</f>
        <v/>
      </c>
      <c r="AQ42" s="11">
        <f>'BS DRIVERS'!AQ38</f>
        <v/>
      </c>
      <c r="AR42" s="11">
        <f>'BS DRIVERS'!AR38</f>
        <v/>
      </c>
      <c r="AS42" s="11">
        <f>'BS DRIVERS'!AS38</f>
        <v/>
      </c>
      <c r="AT42" s="11">
        <f>'BS DRIVERS'!AT38</f>
        <v/>
      </c>
    </row>
    <row r="43">
      <c r="A43" s="3" t="inlineStr">
        <is>
          <t>Retained Earnings (Accumulated Deficit)</t>
        </is>
      </c>
      <c r="B43" s="4">
        <f>'BALANCE SHEET'!B43</f>
        <v/>
      </c>
      <c r="C43" s="4">
        <f>'YTD BS'!C43</f>
        <v/>
      </c>
      <c r="D43" s="4">
        <f>'YTD BS'!D43</f>
        <v/>
      </c>
      <c r="E43" s="4">
        <f>'YTD BS'!E43</f>
        <v/>
      </c>
      <c r="F43" s="4">
        <f>'BALANCE SHEET'!C43</f>
        <v/>
      </c>
      <c r="G43" s="4">
        <f>'YTD BS'!G43</f>
        <v/>
      </c>
      <c r="H43" s="4">
        <f>'YTD BS'!H43</f>
        <v/>
      </c>
      <c r="I43" s="4">
        <f>'YTD BS'!I43</f>
        <v/>
      </c>
      <c r="J43" s="4">
        <f>'BALANCE SHEET'!D43</f>
        <v/>
      </c>
      <c r="K43" s="4">
        <f>'YTD BS'!K43</f>
        <v/>
      </c>
      <c r="L43" s="4">
        <f>'YTD BS'!L43</f>
        <v/>
      </c>
      <c r="M43" s="4">
        <f>'YTD BS'!M43</f>
        <v/>
      </c>
      <c r="N43" s="4">
        <f>'BALANCE SHEET'!E43</f>
        <v/>
      </c>
      <c r="O43" s="4">
        <f>'YTD BS'!O43</f>
        <v/>
      </c>
      <c r="P43" s="4">
        <f>'YTD BS'!P43</f>
        <v/>
      </c>
      <c r="Q43" s="4">
        <f>'YTD BS'!Q43</f>
        <v/>
      </c>
      <c r="R43" s="4">
        <f>'BALANCE SHEET'!F43</f>
        <v/>
      </c>
      <c r="S43" s="4">
        <f>'YTD BS'!S43</f>
        <v/>
      </c>
      <c r="T43" s="4">
        <f>'YTD BS'!T43</f>
        <v/>
      </c>
      <c r="U43" s="4">
        <f>'YTD BS'!U43</f>
        <v/>
      </c>
      <c r="V43" s="4">
        <f>'BALANCE SHEET'!G43</f>
        <v/>
      </c>
      <c r="W43" s="4">
        <f>'YTD BS'!W43</f>
        <v/>
      </c>
      <c r="X43" s="4">
        <f>'YTD BS'!X43</f>
        <v/>
      </c>
      <c r="Y43" s="4">
        <f>'YTD BS'!Y43</f>
        <v/>
      </c>
      <c r="Z43" s="4">
        <f>'BALANCE SHEET'!H43</f>
        <v/>
      </c>
      <c r="AA43" s="11">
        <f>'BS DRIVERS'!AA39</f>
        <v/>
      </c>
      <c r="AB43" s="11">
        <f>'BS DRIVERS'!AB39</f>
        <v/>
      </c>
      <c r="AC43" s="11">
        <f>'BS DRIVERS'!AC39</f>
        <v/>
      </c>
      <c r="AD43" s="11">
        <f>'BS DRIVERS'!AD39</f>
        <v/>
      </c>
      <c r="AE43" s="11">
        <f>'BS DRIVERS'!AE39</f>
        <v/>
      </c>
      <c r="AF43" s="11">
        <f>'BS DRIVERS'!AF39</f>
        <v/>
      </c>
      <c r="AG43" s="11">
        <f>'BS DRIVERS'!AG39</f>
        <v/>
      </c>
      <c r="AH43" s="11">
        <f>'BS DRIVERS'!AH39</f>
        <v/>
      </c>
      <c r="AI43" s="11">
        <f>'BS DRIVERS'!AI39</f>
        <v/>
      </c>
      <c r="AJ43" s="11">
        <f>'BS DRIVERS'!AJ39</f>
        <v/>
      </c>
      <c r="AK43" s="11">
        <f>'BS DRIVERS'!AK39</f>
        <v/>
      </c>
      <c r="AL43" s="11">
        <f>'BS DRIVERS'!AL39</f>
        <v/>
      </c>
      <c r="AM43" s="11">
        <f>'BS DRIVERS'!AM39</f>
        <v/>
      </c>
      <c r="AN43" s="11">
        <f>'BS DRIVERS'!AN39</f>
        <v/>
      </c>
      <c r="AO43" s="11">
        <f>'BS DRIVERS'!AO39</f>
        <v/>
      </c>
      <c r="AP43" s="11">
        <f>'BS DRIVERS'!AP39</f>
        <v/>
      </c>
      <c r="AQ43" s="11">
        <f>'BS DRIVERS'!AQ39</f>
        <v/>
      </c>
      <c r="AR43" s="11">
        <f>'BS DRIVERS'!AR39</f>
        <v/>
      </c>
      <c r="AS43" s="11">
        <f>'BS DRIVERS'!AS39</f>
        <v/>
      </c>
      <c r="AT43" s="11">
        <f>'BS DRIVERS'!AT39</f>
        <v/>
      </c>
    </row>
    <row r="44">
      <c r="A44" s="3" t="inlineStr">
        <is>
          <t>Total Stockholders' Equity</t>
        </is>
      </c>
      <c r="B44" s="6">
        <f>'BALANCE SHEET'!B44</f>
        <v/>
      </c>
      <c r="C44" s="6">
        <f>'YTD BS'!C44</f>
        <v/>
      </c>
      <c r="D44" s="6">
        <f>'YTD BS'!D44</f>
        <v/>
      </c>
      <c r="E44" s="6">
        <f>'YTD BS'!E44</f>
        <v/>
      </c>
      <c r="F44" s="6">
        <f>'BALANCE SHEET'!C44</f>
        <v/>
      </c>
      <c r="G44" s="6">
        <f>'YTD BS'!G44</f>
        <v/>
      </c>
      <c r="H44" s="6">
        <f>'YTD BS'!H44</f>
        <v/>
      </c>
      <c r="I44" s="6">
        <f>'YTD BS'!I44</f>
        <v/>
      </c>
      <c r="J44" s="6">
        <f>'BALANCE SHEET'!D44</f>
        <v/>
      </c>
      <c r="K44" s="6">
        <f>'YTD BS'!K44</f>
        <v/>
      </c>
      <c r="L44" s="6">
        <f>'YTD BS'!L44</f>
        <v/>
      </c>
      <c r="M44" s="6">
        <f>'YTD BS'!M44</f>
        <v/>
      </c>
      <c r="N44" s="6">
        <f>'BALANCE SHEET'!E44</f>
        <v/>
      </c>
      <c r="O44" s="6">
        <f>'YTD BS'!O44</f>
        <v/>
      </c>
      <c r="P44" s="6">
        <f>'YTD BS'!P44</f>
        <v/>
      </c>
      <c r="Q44" s="6">
        <f>'YTD BS'!Q44</f>
        <v/>
      </c>
      <c r="R44" s="6">
        <f>'BALANCE SHEET'!F44</f>
        <v/>
      </c>
      <c r="S44" s="6">
        <f>'YTD BS'!S44</f>
        <v/>
      </c>
      <c r="T44" s="6">
        <f>'YTD BS'!T44</f>
        <v/>
      </c>
      <c r="U44" s="6">
        <f>'YTD BS'!U44</f>
        <v/>
      </c>
      <c r="V44" s="6">
        <f>'BALANCE SHEET'!G44</f>
        <v/>
      </c>
      <c r="W44" s="6">
        <f>'YTD BS'!W44</f>
        <v/>
      </c>
      <c r="X44" s="6">
        <f>'YTD BS'!X44</f>
        <v/>
      </c>
      <c r="Y44" s="6">
        <f>'YTD BS'!Y44</f>
        <v/>
      </c>
      <c r="Z44" s="6">
        <f>'BALANCE SHEET'!H44</f>
        <v/>
      </c>
      <c r="AA44" s="7">
        <f>SUM(AA38:AA43)</f>
        <v/>
      </c>
      <c r="AB44" s="7">
        <f>SUM(AB38:AB43)</f>
        <v/>
      </c>
      <c r="AC44" s="7">
        <f>SUM(AC38:AC43)</f>
        <v/>
      </c>
      <c r="AD44" s="7">
        <f>SUM(AD38:AD43)</f>
        <v/>
      </c>
      <c r="AE44" s="7">
        <f>SUM(AE38:AE43)</f>
        <v/>
      </c>
      <c r="AF44" s="7">
        <f>SUM(AF38:AF43)</f>
        <v/>
      </c>
      <c r="AG44" s="7">
        <f>SUM(AG38:AG43)</f>
        <v/>
      </c>
      <c r="AH44" s="7">
        <f>SUM(AH38:AH43)</f>
        <v/>
      </c>
      <c r="AI44" s="7">
        <f>SUM(AI38:AI43)</f>
        <v/>
      </c>
      <c r="AJ44" s="7">
        <f>SUM(AJ38:AJ43)</f>
        <v/>
      </c>
      <c r="AK44" s="7">
        <f>SUM(AK38:AK43)</f>
        <v/>
      </c>
      <c r="AL44" s="7">
        <f>SUM(AL38:AL43)</f>
        <v/>
      </c>
      <c r="AM44" s="7">
        <f>SUM(AM38:AM43)</f>
        <v/>
      </c>
      <c r="AN44" s="7">
        <f>SUM(AN38:AN43)</f>
        <v/>
      </c>
      <c r="AO44" s="7">
        <f>SUM(AO38:AO43)</f>
        <v/>
      </c>
      <c r="AP44" s="7">
        <f>SUM(AP38:AP43)</f>
        <v/>
      </c>
      <c r="AQ44" s="7">
        <f>SUM(AQ38:AQ43)</f>
        <v/>
      </c>
      <c r="AR44" s="7">
        <f>SUM(AR38:AR43)</f>
        <v/>
      </c>
      <c r="AS44" s="7">
        <f>SUM(AS38:AS43)</f>
        <v/>
      </c>
      <c r="AT44" s="7">
        <f>SUM(AT38:AT43)</f>
        <v/>
      </c>
    </row>
    <row r="45">
      <c r="A45" s="3" t="inlineStr">
        <is>
          <t>Total Liabilities, Mezzanine &amp; Stockholders' Equity</t>
        </is>
      </c>
      <c r="B45" s="6">
        <f>'BALANCE SHEET'!B45</f>
        <v/>
      </c>
      <c r="C45" s="6">
        <f>'YTD BS'!C45</f>
        <v/>
      </c>
      <c r="D45" s="6">
        <f>'YTD BS'!D45</f>
        <v/>
      </c>
      <c r="E45" s="6">
        <f>'YTD BS'!E45</f>
        <v/>
      </c>
      <c r="F45" s="6">
        <f>'BALANCE SHEET'!C45</f>
        <v/>
      </c>
      <c r="G45" s="6">
        <f>'YTD BS'!G45</f>
        <v/>
      </c>
      <c r="H45" s="6">
        <f>'YTD BS'!H45</f>
        <v/>
      </c>
      <c r="I45" s="6">
        <f>'YTD BS'!I45</f>
        <v/>
      </c>
      <c r="J45" s="6">
        <f>'BALANCE SHEET'!D45</f>
        <v/>
      </c>
      <c r="K45" s="6">
        <f>'YTD BS'!K45</f>
        <v/>
      </c>
      <c r="L45" s="6">
        <f>'YTD BS'!L45</f>
        <v/>
      </c>
      <c r="M45" s="6">
        <f>'YTD BS'!M45</f>
        <v/>
      </c>
      <c r="N45" s="6">
        <f>'BALANCE SHEET'!E45</f>
        <v/>
      </c>
      <c r="O45" s="6">
        <f>'YTD BS'!O45</f>
        <v/>
      </c>
      <c r="P45" s="6">
        <f>'YTD BS'!P45</f>
        <v/>
      </c>
      <c r="Q45" s="6">
        <f>'YTD BS'!Q45</f>
        <v/>
      </c>
      <c r="R45" s="6">
        <f>'BALANCE SHEET'!F45</f>
        <v/>
      </c>
      <c r="S45" s="6">
        <f>'YTD BS'!S45</f>
        <v/>
      </c>
      <c r="T45" s="6">
        <f>'YTD BS'!T45</f>
        <v/>
      </c>
      <c r="U45" s="6">
        <f>'YTD BS'!U45</f>
        <v/>
      </c>
      <c r="V45" s="6">
        <f>'BALANCE SHEET'!G45</f>
        <v/>
      </c>
      <c r="W45" s="6">
        <f>'YTD BS'!W45</f>
        <v/>
      </c>
      <c r="X45" s="6">
        <f>'YTD BS'!X45</f>
        <v/>
      </c>
      <c r="Y45" s="6">
        <f>'YTD BS'!Y45</f>
        <v/>
      </c>
      <c r="Z45" s="6">
        <f>'BALANCE SHEET'!H45</f>
        <v/>
      </c>
      <c r="AA45" s="7">
        <f>AA37+AA44</f>
        <v/>
      </c>
      <c r="AB45" s="7">
        <f>AB37+AB44</f>
        <v/>
      </c>
      <c r="AC45" s="7">
        <f>AC37+AC44</f>
        <v/>
      </c>
      <c r="AD45" s="7">
        <f>AD37+AD44</f>
        <v/>
      </c>
      <c r="AE45" s="7">
        <f>AE37+AE44</f>
        <v/>
      </c>
      <c r="AF45" s="7">
        <f>AF37+AF44</f>
        <v/>
      </c>
      <c r="AG45" s="7">
        <f>AG37+AG44</f>
        <v/>
      </c>
      <c r="AH45" s="7">
        <f>AH37+AH44</f>
        <v/>
      </c>
      <c r="AI45" s="7">
        <f>AI37+AI44</f>
        <v/>
      </c>
      <c r="AJ45" s="7">
        <f>AJ37+AJ44</f>
        <v/>
      </c>
      <c r="AK45" s="7">
        <f>AK37+AK44</f>
        <v/>
      </c>
      <c r="AL45" s="7">
        <f>AL37+AL44</f>
        <v/>
      </c>
      <c r="AM45" s="7">
        <f>AM37+AM44</f>
        <v/>
      </c>
      <c r="AN45" s="7">
        <f>AN37+AN44</f>
        <v/>
      </c>
      <c r="AO45" s="7">
        <f>AO37+AO44</f>
        <v/>
      </c>
      <c r="AP45" s="7">
        <f>AP37+AP44</f>
        <v/>
      </c>
      <c r="AQ45" s="7">
        <f>AQ37+AQ44</f>
        <v/>
      </c>
      <c r="AR45" s="7">
        <f>AR37+AR44</f>
        <v/>
      </c>
      <c r="AS45" s="7">
        <f>AS37+AS44</f>
        <v/>
      </c>
      <c r="AT45" s="7">
        <f>AT37+AT44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5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" t="inlineStr"/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Q4 FY2020</t>
        </is>
      </c>
      <c r="F1" s="2" t="inlineStr">
        <is>
          <t>Q1 FY2021</t>
        </is>
      </c>
      <c r="G1" s="2" t="inlineStr">
        <is>
          <t>Q2 FY2021</t>
        </is>
      </c>
      <c r="H1" s="2" t="inlineStr">
        <is>
          <t>Q3 FY2021</t>
        </is>
      </c>
      <c r="I1" s="2" t="inlineStr">
        <is>
          <t>Q4 FY2021</t>
        </is>
      </c>
      <c r="J1" s="2" t="inlineStr">
        <is>
          <t>Q1 FY2022</t>
        </is>
      </c>
      <c r="K1" s="2" t="inlineStr">
        <is>
          <t>Q2 FY2022</t>
        </is>
      </c>
      <c r="L1" s="2" t="inlineStr">
        <is>
          <t>Q3 FY2022</t>
        </is>
      </c>
      <c r="M1" s="2" t="inlineStr">
        <is>
          <t>Q4 FY2022</t>
        </is>
      </c>
      <c r="N1" s="2" t="inlineStr">
        <is>
          <t>Q1 FY2023</t>
        </is>
      </c>
      <c r="O1" s="2" t="inlineStr">
        <is>
          <t>Q2 FY2023</t>
        </is>
      </c>
      <c r="P1" s="2" t="inlineStr">
        <is>
          <t>Q3 FY2023</t>
        </is>
      </c>
      <c r="Q1" s="2" t="inlineStr">
        <is>
          <t>Q4 FY2023</t>
        </is>
      </c>
      <c r="R1" s="2" t="inlineStr">
        <is>
          <t>Q1 FY2024</t>
        </is>
      </c>
      <c r="S1" s="2" t="inlineStr">
        <is>
          <t>Q2 FY2024</t>
        </is>
      </c>
      <c r="T1" s="2" t="inlineStr">
        <is>
          <t>Q3 FY2024</t>
        </is>
      </c>
      <c r="U1" s="2" t="inlineStr">
        <is>
          <t>Q4 FY2024</t>
        </is>
      </c>
      <c r="V1" s="2" t="inlineStr">
        <is>
          <t>Q1 FY2025</t>
        </is>
      </c>
      <c r="W1" s="2" t="inlineStr">
        <is>
          <t>Q2 FY2025</t>
        </is>
      </c>
      <c r="X1" s="2" t="inlineStr">
        <is>
          <t>Q3 FY2025</t>
        </is>
      </c>
      <c r="Y1" s="2" t="inlineStr">
        <is>
          <t>Q4 FY2025</t>
        </is>
      </c>
      <c r="Z1" s="2" t="inlineStr">
        <is>
          <t>Q1 FY2026E</t>
        </is>
      </c>
      <c r="AA1" s="2" t="inlineStr">
        <is>
          <t>Q2 FY2026E</t>
        </is>
      </c>
      <c r="AB1" s="2" t="inlineStr">
        <is>
          <t>Q3 FY2026E</t>
        </is>
      </c>
      <c r="AC1" s="2" t="inlineStr">
        <is>
          <t>Q4 FY2026E</t>
        </is>
      </c>
      <c r="AD1" s="2" t="inlineStr">
        <is>
          <t>Q1 FY2027E</t>
        </is>
      </c>
      <c r="AE1" s="2" t="inlineStr">
        <is>
          <t>Q2 FY2027E</t>
        </is>
      </c>
      <c r="AF1" s="2" t="inlineStr">
        <is>
          <t>Q3 FY2027E</t>
        </is>
      </c>
      <c r="AG1" s="2" t="inlineStr">
        <is>
          <t>Q4 FY2027E</t>
        </is>
      </c>
      <c r="AH1" s="2" t="inlineStr">
        <is>
          <t>Q1 FY2028E</t>
        </is>
      </c>
      <c r="AI1" s="2" t="inlineStr">
        <is>
          <t>Q2 FY2028E</t>
        </is>
      </c>
      <c r="AJ1" s="2" t="inlineStr">
        <is>
          <t>Q3 FY2028E</t>
        </is>
      </c>
      <c r="AK1" s="2" t="inlineStr">
        <is>
          <t>Q4 FY2028E</t>
        </is>
      </c>
      <c r="AL1" s="2" t="inlineStr">
        <is>
          <t>Q1 FY2029E</t>
        </is>
      </c>
      <c r="AM1" s="2" t="inlineStr">
        <is>
          <t>Q2 FY2029E</t>
        </is>
      </c>
      <c r="AN1" s="2" t="inlineStr">
        <is>
          <t>Q3 FY2029E</t>
        </is>
      </c>
      <c r="AO1" s="2" t="inlineStr">
        <is>
          <t>Q4 FY2029E</t>
        </is>
      </c>
      <c r="AP1" s="2" t="inlineStr">
        <is>
          <t>Q1 FY2030E</t>
        </is>
      </c>
      <c r="AQ1" s="2" t="inlineStr">
        <is>
          <t>Q2 FY2030E</t>
        </is>
      </c>
      <c r="AR1" s="2" t="inlineStr">
        <is>
          <t>Q3 FY2030E</t>
        </is>
      </c>
      <c r="AS1" s="2" t="inlineStr">
        <is>
          <t>Q4 FY2030E</t>
        </is>
      </c>
    </row>
    <row r="2">
      <c r="A2" s="3" t="inlineStr">
        <is>
          <t>Net Income (Loss)</t>
        </is>
      </c>
      <c r="B2" s="4">
        <f>'YTD CF'!B2</f>
        <v/>
      </c>
      <c r="C2" s="4">
        <f>'YTD CF'!C2-'YTD CF'!B2</f>
        <v/>
      </c>
      <c r="D2" s="4">
        <f>'YTD CF'!D2-'YTD CF'!C2</f>
        <v/>
      </c>
      <c r="E2" s="4">
        <f>'CASH FLOW'!C2-'YTD CF'!D2</f>
        <v/>
      </c>
      <c r="F2" s="4">
        <f>'YTD CF'!E2</f>
        <v/>
      </c>
      <c r="G2" s="4">
        <f>'YTD CF'!F2-'YTD CF'!E2</f>
        <v/>
      </c>
      <c r="H2" s="4">
        <f>'YTD CF'!G2-'YTD CF'!F2</f>
        <v/>
      </c>
      <c r="I2" s="4">
        <f>'CASH FLOW'!D2-'YTD CF'!G2</f>
        <v/>
      </c>
      <c r="J2" s="4">
        <f>'YTD CF'!H2</f>
        <v/>
      </c>
      <c r="K2" s="4">
        <f>'YTD CF'!I2-'YTD CF'!H2</f>
        <v/>
      </c>
      <c r="L2" s="4">
        <f>'YTD CF'!J2-'YTD CF'!I2</f>
        <v/>
      </c>
      <c r="M2" s="4">
        <f>'CASH FLOW'!E2-'YTD CF'!J2</f>
        <v/>
      </c>
      <c r="N2" s="4">
        <f>'YTD CF'!K2</f>
        <v/>
      </c>
      <c r="O2" s="4">
        <f>'YTD CF'!L2-'YTD CF'!K2</f>
        <v/>
      </c>
      <c r="P2" s="4">
        <f>'YTD CF'!M2-'YTD CF'!L2</f>
        <v/>
      </c>
      <c r="Q2" s="4">
        <f>'CASH FLOW'!F2-'YTD CF'!M2</f>
        <v/>
      </c>
      <c r="R2" s="4">
        <f>'YTD CF'!N2</f>
        <v/>
      </c>
      <c r="S2" s="4">
        <f>'YTD CF'!O2-'YTD CF'!N2</f>
        <v/>
      </c>
      <c r="T2" s="4">
        <f>'YTD CF'!P2-'YTD CF'!O2</f>
        <v/>
      </c>
      <c r="U2" s="4">
        <f>'CASH FLOW'!G2-'YTD CF'!P2</f>
        <v/>
      </c>
      <c r="V2" s="4">
        <f>'YTD CF'!Q2</f>
        <v/>
      </c>
      <c r="W2" s="4">
        <f>'YTD CF'!R2-'YTD CF'!Q2</f>
        <v/>
      </c>
      <c r="X2" s="4">
        <f>'YTD CF'!S2-'YTD CF'!R2</f>
        <v/>
      </c>
      <c r="Y2" s="4">
        <f>'CASH FLOW'!H2-'YTD CF'!S2</f>
        <v/>
      </c>
      <c r="Z2" s="11">
        <f>'CF DRIVERS'!Z2</f>
        <v/>
      </c>
      <c r="AA2" s="11">
        <f>'CF DRIVERS'!AA2</f>
        <v/>
      </c>
      <c r="AB2" s="11">
        <f>'CF DRIVERS'!AB2</f>
        <v/>
      </c>
      <c r="AC2" s="11">
        <f>'CF DRIVERS'!AC2</f>
        <v/>
      </c>
      <c r="AD2" s="11">
        <f>'CF DRIVERS'!AD2</f>
        <v/>
      </c>
      <c r="AE2" s="11">
        <f>'CF DRIVERS'!AE2</f>
        <v/>
      </c>
      <c r="AF2" s="11">
        <f>'CF DRIVERS'!AF2</f>
        <v/>
      </c>
      <c r="AG2" s="11">
        <f>'CF DRIVERS'!AG2</f>
        <v/>
      </c>
      <c r="AH2" s="11">
        <f>'CF DRIVERS'!AH2</f>
        <v/>
      </c>
      <c r="AI2" s="11">
        <f>'CF DRIVERS'!AI2</f>
        <v/>
      </c>
      <c r="AJ2" s="11">
        <f>'CF DRIVERS'!AJ2</f>
        <v/>
      </c>
      <c r="AK2" s="11">
        <f>'CF DRIVERS'!AK2</f>
        <v/>
      </c>
      <c r="AL2" s="11">
        <f>'CF DRIVERS'!AL2</f>
        <v/>
      </c>
      <c r="AM2" s="11">
        <f>'CF DRIVERS'!AM2</f>
        <v/>
      </c>
      <c r="AN2" s="11">
        <f>'CF DRIVERS'!AN2</f>
        <v/>
      </c>
      <c r="AO2" s="11">
        <f>'CF DRIVERS'!AO2</f>
        <v/>
      </c>
      <c r="AP2" s="11">
        <f>'CF DRIVERS'!AP2</f>
        <v/>
      </c>
      <c r="AQ2" s="11">
        <f>'CF DRIVERS'!AQ2</f>
        <v/>
      </c>
      <c r="AR2" s="11">
        <f>'CF DRIVERS'!AR2</f>
        <v/>
      </c>
      <c r="AS2" s="11">
        <f>'CF DRIVERS'!AS2</f>
        <v/>
      </c>
    </row>
    <row r="3">
      <c r="A3" s="3" t="inlineStr">
        <is>
          <t>Depreciation</t>
        </is>
      </c>
      <c r="B3" s="4">
        <f>'YTD CF'!B3</f>
        <v/>
      </c>
      <c r="C3" s="4">
        <f>'YTD CF'!C3-'YTD CF'!B3</f>
        <v/>
      </c>
      <c r="D3" s="4">
        <f>'YTD CF'!D3-'YTD CF'!C3</f>
        <v/>
      </c>
      <c r="E3" s="4">
        <f>'CASH FLOW'!C3-'YTD CF'!D3</f>
        <v/>
      </c>
      <c r="F3" s="4">
        <f>'YTD CF'!E3</f>
        <v/>
      </c>
      <c r="G3" s="4">
        <f>'YTD CF'!F3-'YTD CF'!E3</f>
        <v/>
      </c>
      <c r="H3" s="4">
        <f>'YTD CF'!G3-'YTD CF'!F3</f>
        <v/>
      </c>
      <c r="I3" s="4">
        <f>'CASH FLOW'!D3-'YTD CF'!G3</f>
        <v/>
      </c>
      <c r="J3" s="4">
        <f>'YTD CF'!H3</f>
        <v/>
      </c>
      <c r="K3" s="4">
        <f>'YTD CF'!I3-'YTD CF'!H3</f>
        <v/>
      </c>
      <c r="L3" s="4">
        <f>'YTD CF'!J3-'YTD CF'!I3</f>
        <v/>
      </c>
      <c r="M3" s="4">
        <f>'CASH FLOW'!E3-'YTD CF'!J3</f>
        <v/>
      </c>
      <c r="N3" s="4">
        <f>'YTD CF'!K3</f>
        <v/>
      </c>
      <c r="O3" s="4">
        <f>'YTD CF'!L3-'YTD CF'!K3</f>
        <v/>
      </c>
      <c r="P3" s="4">
        <f>'YTD CF'!M3-'YTD CF'!L3</f>
        <v/>
      </c>
      <c r="Q3" s="4">
        <f>'CASH FLOW'!F3-'YTD CF'!M3</f>
        <v/>
      </c>
      <c r="R3" s="4">
        <f>'YTD CF'!N3</f>
        <v/>
      </c>
      <c r="S3" s="4">
        <f>'YTD CF'!O3-'YTD CF'!N3</f>
        <v/>
      </c>
      <c r="T3" s="4">
        <f>'YTD CF'!P3-'YTD CF'!O3</f>
        <v/>
      </c>
      <c r="U3" s="4">
        <f>'CASH FLOW'!G3-'YTD CF'!P3</f>
        <v/>
      </c>
      <c r="V3" s="4">
        <f>'YTD CF'!Q3</f>
        <v/>
      </c>
      <c r="W3" s="4">
        <f>'YTD CF'!R3-'YTD CF'!Q3</f>
        <v/>
      </c>
      <c r="X3" s="4">
        <f>'YTD CF'!S3-'YTD CF'!R3</f>
        <v/>
      </c>
      <c r="Y3" s="4">
        <f>'CASH FLOW'!H3-'YTD CF'!S3</f>
        <v/>
      </c>
      <c r="Z3" s="11">
        <f>'CF DRIVERS'!Z3</f>
        <v/>
      </c>
      <c r="AA3" s="11">
        <f>'CF DRIVERS'!AA3</f>
        <v/>
      </c>
      <c r="AB3" s="11">
        <f>'CF DRIVERS'!AB3</f>
        <v/>
      </c>
      <c r="AC3" s="11">
        <f>'CF DRIVERS'!AC3</f>
        <v/>
      </c>
      <c r="AD3" s="11">
        <f>'CF DRIVERS'!AD3</f>
        <v/>
      </c>
      <c r="AE3" s="11">
        <f>'CF DRIVERS'!AE3</f>
        <v/>
      </c>
      <c r="AF3" s="11">
        <f>'CF DRIVERS'!AF3</f>
        <v/>
      </c>
      <c r="AG3" s="11">
        <f>'CF DRIVERS'!AG3</f>
        <v/>
      </c>
      <c r="AH3" s="11">
        <f>'CF DRIVERS'!AH3</f>
        <v/>
      </c>
      <c r="AI3" s="11">
        <f>'CF DRIVERS'!AI3</f>
        <v/>
      </c>
      <c r="AJ3" s="11">
        <f>'CF DRIVERS'!AJ3</f>
        <v/>
      </c>
      <c r="AK3" s="11">
        <f>'CF DRIVERS'!AK3</f>
        <v/>
      </c>
      <c r="AL3" s="11">
        <f>'CF DRIVERS'!AL3</f>
        <v/>
      </c>
      <c r="AM3" s="11">
        <f>'CF DRIVERS'!AM3</f>
        <v/>
      </c>
      <c r="AN3" s="11">
        <f>'CF DRIVERS'!AN3</f>
        <v/>
      </c>
      <c r="AO3" s="11">
        <f>'CF DRIVERS'!AO3</f>
        <v/>
      </c>
      <c r="AP3" s="11">
        <f>'CF DRIVERS'!AP3</f>
        <v/>
      </c>
      <c r="AQ3" s="11">
        <f>'CF DRIVERS'!AQ3</f>
        <v/>
      </c>
      <c r="AR3" s="11">
        <f>'CF DRIVERS'!AR3</f>
        <v/>
      </c>
      <c r="AS3" s="11">
        <f>'CF DRIVERS'!AS3</f>
        <v/>
      </c>
    </row>
    <row r="4">
      <c r="A4" s="3" t="inlineStr">
        <is>
          <t>Amortization</t>
        </is>
      </c>
      <c r="B4" s="4">
        <f>'YTD CF'!B4</f>
        <v/>
      </c>
      <c r="C4" s="4">
        <f>'YTD CF'!C4-'YTD CF'!B4</f>
        <v/>
      </c>
      <c r="D4" s="4">
        <f>'YTD CF'!D4-'YTD CF'!C4</f>
        <v/>
      </c>
      <c r="E4" s="4">
        <f>'CASH FLOW'!C4-'YTD CF'!D4</f>
        <v/>
      </c>
      <c r="F4" s="4">
        <f>'YTD CF'!E4</f>
        <v/>
      </c>
      <c r="G4" s="4">
        <f>'YTD CF'!F4-'YTD CF'!E4</f>
        <v/>
      </c>
      <c r="H4" s="4">
        <f>'YTD CF'!G4-'YTD CF'!F4</f>
        <v/>
      </c>
      <c r="I4" s="4">
        <f>'CASH FLOW'!D4-'YTD CF'!G4</f>
        <v/>
      </c>
      <c r="J4" s="4">
        <f>'YTD CF'!H4</f>
        <v/>
      </c>
      <c r="K4" s="4">
        <f>'YTD CF'!I4-'YTD CF'!H4</f>
        <v/>
      </c>
      <c r="L4" s="4">
        <f>'YTD CF'!J4-'YTD CF'!I4</f>
        <v/>
      </c>
      <c r="M4" s="4">
        <f>'CASH FLOW'!E4-'YTD CF'!J4</f>
        <v/>
      </c>
      <c r="N4" s="4">
        <f>'YTD CF'!K4</f>
        <v/>
      </c>
      <c r="O4" s="4">
        <f>'YTD CF'!L4-'YTD CF'!K4</f>
        <v/>
      </c>
      <c r="P4" s="4">
        <f>'YTD CF'!M4-'YTD CF'!L4</f>
        <v/>
      </c>
      <c r="Q4" s="4">
        <f>'CASH FLOW'!F4-'YTD CF'!M4</f>
        <v/>
      </c>
      <c r="R4" s="4">
        <f>'YTD CF'!N4</f>
        <v/>
      </c>
      <c r="S4" s="4">
        <f>'YTD CF'!O4-'YTD CF'!N4</f>
        <v/>
      </c>
      <c r="T4" s="4">
        <f>'YTD CF'!P4-'YTD CF'!O4</f>
        <v/>
      </c>
      <c r="U4" s="4">
        <f>'CASH FLOW'!G4-'YTD CF'!P4</f>
        <v/>
      </c>
      <c r="V4" s="4">
        <f>'YTD CF'!Q4</f>
        <v/>
      </c>
      <c r="W4" s="4">
        <f>'YTD CF'!R4-'YTD CF'!Q4</f>
        <v/>
      </c>
      <c r="X4" s="4">
        <f>'YTD CF'!S4-'YTD CF'!R4</f>
        <v/>
      </c>
      <c r="Y4" s="4">
        <f>'CASH FLOW'!H4-'YTD CF'!S4</f>
        <v/>
      </c>
      <c r="Z4" s="11">
        <f>'CF DRIVERS'!Z4</f>
        <v/>
      </c>
      <c r="AA4" s="11">
        <f>'CF DRIVERS'!AA4</f>
        <v/>
      </c>
      <c r="AB4" s="11">
        <f>'CF DRIVERS'!AB4</f>
        <v/>
      </c>
      <c r="AC4" s="11">
        <f>'CF DRIVERS'!AC4</f>
        <v/>
      </c>
      <c r="AD4" s="11">
        <f>'CF DRIVERS'!AD4</f>
        <v/>
      </c>
      <c r="AE4" s="11">
        <f>'CF DRIVERS'!AE4</f>
        <v/>
      </c>
      <c r="AF4" s="11">
        <f>'CF DRIVERS'!AF4</f>
        <v/>
      </c>
      <c r="AG4" s="11">
        <f>'CF DRIVERS'!AG4</f>
        <v/>
      </c>
      <c r="AH4" s="11">
        <f>'CF DRIVERS'!AH4</f>
        <v/>
      </c>
      <c r="AI4" s="11">
        <f>'CF DRIVERS'!AI4</f>
        <v/>
      </c>
      <c r="AJ4" s="11">
        <f>'CF DRIVERS'!AJ4</f>
        <v/>
      </c>
      <c r="AK4" s="11">
        <f>'CF DRIVERS'!AK4</f>
        <v/>
      </c>
      <c r="AL4" s="11">
        <f>'CF DRIVERS'!AL4</f>
        <v/>
      </c>
      <c r="AM4" s="11">
        <f>'CF DRIVERS'!AM4</f>
        <v/>
      </c>
      <c r="AN4" s="11">
        <f>'CF DRIVERS'!AN4</f>
        <v/>
      </c>
      <c r="AO4" s="11">
        <f>'CF DRIVERS'!AO4</f>
        <v/>
      </c>
      <c r="AP4" s="11">
        <f>'CF DRIVERS'!AP4</f>
        <v/>
      </c>
      <c r="AQ4" s="11">
        <f>'CF DRIVERS'!AQ4</f>
        <v/>
      </c>
      <c r="AR4" s="11">
        <f>'CF DRIVERS'!AR4</f>
        <v/>
      </c>
      <c r="AS4" s="11">
        <f>'CF DRIVERS'!AS4</f>
        <v/>
      </c>
    </row>
    <row r="5">
      <c r="A5" s="3" t="inlineStr">
        <is>
          <t>Impairment of Intangibles</t>
        </is>
      </c>
      <c r="B5" s="4">
        <f>'YTD CF'!B5</f>
        <v/>
      </c>
      <c r="C5" s="4">
        <f>'YTD CF'!C5-'YTD CF'!B5</f>
        <v/>
      </c>
      <c r="D5" s="4">
        <f>'YTD CF'!D5-'YTD CF'!C5</f>
        <v/>
      </c>
      <c r="E5" s="4">
        <f>'CASH FLOW'!C6-'YTD CF'!D5</f>
        <v/>
      </c>
      <c r="F5" s="4">
        <f>'YTD CF'!E5</f>
        <v/>
      </c>
      <c r="G5" s="4">
        <f>'YTD CF'!F5-'YTD CF'!E5</f>
        <v/>
      </c>
      <c r="H5" s="4">
        <f>'YTD CF'!G5-'YTD CF'!F5</f>
        <v/>
      </c>
      <c r="I5" s="4">
        <f>'CASH FLOW'!D6-'YTD CF'!G5</f>
        <v/>
      </c>
      <c r="J5" s="4">
        <f>'YTD CF'!H5</f>
        <v/>
      </c>
      <c r="K5" s="4">
        <f>'YTD CF'!I5-'YTD CF'!H5</f>
        <v/>
      </c>
      <c r="L5" s="4">
        <f>'YTD CF'!J5-'YTD CF'!I5</f>
        <v/>
      </c>
      <c r="M5" s="4">
        <f>'CASH FLOW'!E6-'YTD CF'!J5</f>
        <v/>
      </c>
      <c r="N5" s="4">
        <f>'YTD CF'!K5</f>
        <v/>
      </c>
      <c r="O5" s="4">
        <f>'YTD CF'!L5-'YTD CF'!K5</f>
        <v/>
      </c>
      <c r="P5" s="4">
        <f>'YTD CF'!M5-'YTD CF'!L5</f>
        <v/>
      </c>
      <c r="Q5" s="4">
        <f>'CASH FLOW'!F6-'YTD CF'!M5</f>
        <v/>
      </c>
      <c r="R5" s="4">
        <f>'YTD CF'!N5</f>
        <v/>
      </c>
      <c r="S5" s="4">
        <f>'YTD CF'!O5-'YTD CF'!N5</f>
        <v/>
      </c>
      <c r="T5" s="4">
        <f>'YTD CF'!P5-'YTD CF'!O5</f>
        <v/>
      </c>
      <c r="U5" s="4">
        <f>'CASH FLOW'!G6-'YTD CF'!P5</f>
        <v/>
      </c>
      <c r="V5" s="4">
        <f>'YTD CF'!Q5</f>
        <v/>
      </c>
      <c r="W5" s="4">
        <f>'YTD CF'!R5-'YTD CF'!Q5</f>
        <v/>
      </c>
      <c r="X5" s="4">
        <f>'YTD CF'!S5-'YTD CF'!R5</f>
        <v/>
      </c>
      <c r="Y5" s="4">
        <f>'CASH FLOW'!H6-'YTD CF'!S5</f>
        <v/>
      </c>
      <c r="Z5" s="11">
        <f>'CF DRIVERS'!Z5</f>
        <v/>
      </c>
      <c r="AA5" s="11">
        <f>'CF DRIVERS'!AA5</f>
        <v/>
      </c>
      <c r="AB5" s="11">
        <f>'CF DRIVERS'!AB5</f>
        <v/>
      </c>
      <c r="AC5" s="11">
        <f>'CF DRIVERS'!AC5</f>
        <v/>
      </c>
      <c r="AD5" s="11">
        <f>'CF DRIVERS'!AD5</f>
        <v/>
      </c>
      <c r="AE5" s="11">
        <f>'CF DRIVERS'!AE5</f>
        <v/>
      </c>
      <c r="AF5" s="11">
        <f>'CF DRIVERS'!AF5</f>
        <v/>
      </c>
      <c r="AG5" s="11">
        <f>'CF DRIVERS'!AG5</f>
        <v/>
      </c>
      <c r="AH5" s="11">
        <f>'CF DRIVERS'!AH5</f>
        <v/>
      </c>
      <c r="AI5" s="11">
        <f>'CF DRIVERS'!AI5</f>
        <v/>
      </c>
      <c r="AJ5" s="11">
        <f>'CF DRIVERS'!AJ5</f>
        <v/>
      </c>
      <c r="AK5" s="11">
        <f>'CF DRIVERS'!AK5</f>
        <v/>
      </c>
      <c r="AL5" s="11">
        <f>'CF DRIVERS'!AL5</f>
        <v/>
      </c>
      <c r="AM5" s="11">
        <f>'CF DRIVERS'!AM5</f>
        <v/>
      </c>
      <c r="AN5" s="11">
        <f>'CF DRIVERS'!AN5</f>
        <v/>
      </c>
      <c r="AO5" s="11">
        <f>'CF DRIVERS'!AO5</f>
        <v/>
      </c>
      <c r="AP5" s="11">
        <f>'CF DRIVERS'!AP5</f>
        <v/>
      </c>
      <c r="AQ5" s="11">
        <f>'CF DRIVERS'!AQ5</f>
        <v/>
      </c>
      <c r="AR5" s="11">
        <f>'CF DRIVERS'!AR5</f>
        <v/>
      </c>
      <c r="AS5" s="11">
        <f>'CF DRIVERS'!AS5</f>
        <v/>
      </c>
    </row>
    <row r="6">
      <c r="A6" s="3" t="inlineStr">
        <is>
          <t>Depreciation &amp; Amortization</t>
        </is>
      </c>
      <c r="B6" s="4">
        <f>'YTD CF'!B6</f>
        <v/>
      </c>
      <c r="C6" s="4">
        <f>'YTD CF'!C6-'YTD CF'!B6</f>
        <v/>
      </c>
      <c r="D6" s="4">
        <f>'YTD CF'!D6-'YTD CF'!C6</f>
        <v/>
      </c>
      <c r="E6" s="4">
        <f>'CASH FLOW'!C5-'YTD CF'!D6</f>
        <v/>
      </c>
      <c r="F6" s="4">
        <f>'YTD CF'!E6</f>
        <v/>
      </c>
      <c r="G6" s="4">
        <f>'YTD CF'!F6-'YTD CF'!E6</f>
        <v/>
      </c>
      <c r="H6" s="4">
        <f>'YTD CF'!G6-'YTD CF'!F6</f>
        <v/>
      </c>
      <c r="I6" s="4">
        <f>'CASH FLOW'!D5-'YTD CF'!G6</f>
        <v/>
      </c>
      <c r="J6" s="4">
        <f>'YTD CF'!H6</f>
        <v/>
      </c>
      <c r="K6" s="4">
        <f>'YTD CF'!I6-'YTD CF'!H6</f>
        <v/>
      </c>
      <c r="L6" s="4">
        <f>'YTD CF'!J6-'YTD CF'!I6</f>
        <v/>
      </c>
      <c r="M6" s="4">
        <f>'CASH FLOW'!E5-'YTD CF'!J6</f>
        <v/>
      </c>
      <c r="N6" s="4">
        <f>'YTD CF'!K6</f>
        <v/>
      </c>
      <c r="O6" s="4">
        <f>'YTD CF'!L6-'YTD CF'!K6</f>
        <v/>
      </c>
      <c r="P6" s="4">
        <f>'YTD CF'!M6-'YTD CF'!L6</f>
        <v/>
      </c>
      <c r="Q6" s="4">
        <f>'CASH FLOW'!F5-'YTD CF'!M6</f>
        <v/>
      </c>
      <c r="R6" s="4">
        <f>'YTD CF'!N6</f>
        <v/>
      </c>
      <c r="S6" s="4">
        <f>'YTD CF'!O6-'YTD CF'!N6</f>
        <v/>
      </c>
      <c r="T6" s="4">
        <f>'YTD CF'!P6-'YTD CF'!O6</f>
        <v/>
      </c>
      <c r="U6" s="4">
        <f>'CASH FLOW'!G5-'YTD CF'!P6</f>
        <v/>
      </c>
      <c r="V6" s="4">
        <f>'YTD CF'!Q6</f>
        <v/>
      </c>
      <c r="W6" s="4">
        <f>'YTD CF'!R6-'YTD CF'!Q6</f>
        <v/>
      </c>
      <c r="X6" s="4">
        <f>'YTD CF'!S6-'YTD CF'!R6</f>
        <v/>
      </c>
      <c r="Y6" s="4">
        <f>'CASH FLOW'!H5-'YTD CF'!S6</f>
        <v/>
      </c>
      <c r="Z6" s="11">
        <f>'QTR P&amp;L'!AD2*'CF DRIVERS'!Z6</f>
        <v/>
      </c>
      <c r="AA6" s="11">
        <f>'QTR P&amp;L'!AE2*'CF DRIVERS'!AA6</f>
        <v/>
      </c>
      <c r="AB6" s="11">
        <f>'QTR P&amp;L'!AF2*'CF DRIVERS'!AB6</f>
        <v/>
      </c>
      <c r="AC6" s="11">
        <f>'QTR P&amp;L'!AG2*'CF DRIVERS'!AC6</f>
        <v/>
      </c>
      <c r="AD6" s="11">
        <f>'QTR P&amp;L'!AH2*'CF DRIVERS'!AD6</f>
        <v/>
      </c>
      <c r="AE6" s="11">
        <f>'QTR P&amp;L'!AI2*'CF DRIVERS'!AE6</f>
        <v/>
      </c>
      <c r="AF6" s="11">
        <f>'QTR P&amp;L'!AJ2*'CF DRIVERS'!AF6</f>
        <v/>
      </c>
      <c r="AG6" s="11">
        <f>'QTR P&amp;L'!AK2*'CF DRIVERS'!AG6</f>
        <v/>
      </c>
      <c r="AH6" s="11">
        <f>'QTR P&amp;L'!AL2*'CF DRIVERS'!AH6</f>
        <v/>
      </c>
      <c r="AI6" s="11">
        <f>'QTR P&amp;L'!AM2*'CF DRIVERS'!AI6</f>
        <v/>
      </c>
      <c r="AJ6" s="11">
        <f>'QTR P&amp;L'!AN2*'CF DRIVERS'!AJ6</f>
        <v/>
      </c>
      <c r="AK6" s="11">
        <f>'QTR P&amp;L'!AO2*'CF DRIVERS'!AK6</f>
        <v/>
      </c>
      <c r="AL6" s="11">
        <f>'QTR P&amp;L'!AP2*'CF DRIVERS'!AL6</f>
        <v/>
      </c>
      <c r="AM6" s="11">
        <f>'QTR P&amp;L'!AQ2*'CF DRIVERS'!AM6</f>
        <v/>
      </c>
      <c r="AN6" s="11">
        <f>'QTR P&amp;L'!AR2*'CF DRIVERS'!AN6</f>
        <v/>
      </c>
      <c r="AO6" s="11">
        <f>'QTR P&amp;L'!AS2*'CF DRIVERS'!AO6</f>
        <v/>
      </c>
      <c r="AP6" s="11">
        <f>'QTR P&amp;L'!AT2*'CF DRIVERS'!AP6</f>
        <v/>
      </c>
      <c r="AQ6" s="11">
        <f>'QTR P&amp;L'!AU2*'CF DRIVERS'!AQ6</f>
        <v/>
      </c>
      <c r="AR6" s="11">
        <f>'QTR P&amp;L'!AV2*'CF DRIVERS'!AR6</f>
        <v/>
      </c>
      <c r="AS6" s="11">
        <f>'QTR P&amp;L'!AW2*'CF DRIVERS'!AS6</f>
        <v/>
      </c>
    </row>
    <row r="7">
      <c r="A7" s="3" t="inlineStr">
        <is>
          <t>Allowance for Credit Losses</t>
        </is>
      </c>
      <c r="B7" s="4">
        <f>'YTD CF'!B7</f>
        <v/>
      </c>
      <c r="C7" s="4">
        <f>'YTD CF'!C7-'YTD CF'!B7</f>
        <v/>
      </c>
      <c r="D7" s="4">
        <f>'YTD CF'!D7-'YTD CF'!C7</f>
        <v/>
      </c>
      <c r="E7" s="4">
        <f>'CASH FLOW'!C7-'YTD CF'!D7</f>
        <v/>
      </c>
      <c r="F7" s="4">
        <f>'YTD CF'!E7</f>
        <v/>
      </c>
      <c r="G7" s="4">
        <f>'YTD CF'!F7-'YTD CF'!E7</f>
        <v/>
      </c>
      <c r="H7" s="4">
        <f>'YTD CF'!G7-'YTD CF'!F7</f>
        <v/>
      </c>
      <c r="I7" s="4">
        <f>'CASH FLOW'!D7-'YTD CF'!G7</f>
        <v/>
      </c>
      <c r="J7" s="4">
        <f>'YTD CF'!H7</f>
        <v/>
      </c>
      <c r="K7" s="4">
        <f>'YTD CF'!I7-'YTD CF'!H7</f>
        <v/>
      </c>
      <c r="L7" s="4">
        <f>'YTD CF'!J7-'YTD CF'!I7</f>
        <v/>
      </c>
      <c r="M7" s="4">
        <f>'CASH FLOW'!E7-'YTD CF'!J7</f>
        <v/>
      </c>
      <c r="N7" s="4">
        <f>'YTD CF'!K7</f>
        <v/>
      </c>
      <c r="O7" s="4">
        <f>'YTD CF'!L7-'YTD CF'!K7</f>
        <v/>
      </c>
      <c r="P7" s="4">
        <f>'YTD CF'!M7-'YTD CF'!L7</f>
        <v/>
      </c>
      <c r="Q7" s="4">
        <f>'CASH FLOW'!F7-'YTD CF'!M7</f>
        <v/>
      </c>
      <c r="R7" s="4">
        <f>'YTD CF'!N7</f>
        <v/>
      </c>
      <c r="S7" s="4">
        <f>'YTD CF'!O7-'YTD CF'!N7</f>
        <v/>
      </c>
      <c r="T7" s="4">
        <f>'YTD CF'!P7-'YTD CF'!O7</f>
        <v/>
      </c>
      <c r="U7" s="4">
        <f>'CASH FLOW'!G7-'YTD CF'!P7</f>
        <v/>
      </c>
      <c r="V7" s="4">
        <f>'YTD CF'!Q7</f>
        <v/>
      </c>
      <c r="W7" s="4">
        <f>'YTD CF'!R7-'YTD CF'!Q7</f>
        <v/>
      </c>
      <c r="X7" s="4">
        <f>'YTD CF'!S7-'YTD CF'!R7</f>
        <v/>
      </c>
      <c r="Y7" s="4">
        <f>'CASH FLOW'!H7-'YTD CF'!S7</f>
        <v/>
      </c>
      <c r="Z7" s="11">
        <f>'CF DRIVERS'!Z7</f>
        <v/>
      </c>
      <c r="AA7" s="11">
        <f>'CF DRIVERS'!AA7</f>
        <v/>
      </c>
      <c r="AB7" s="11">
        <f>'CF DRIVERS'!AB7</f>
        <v/>
      </c>
      <c r="AC7" s="11">
        <f>'CF DRIVERS'!AC7</f>
        <v/>
      </c>
      <c r="AD7" s="11">
        <f>'CF DRIVERS'!AD7</f>
        <v/>
      </c>
      <c r="AE7" s="11">
        <f>'CF DRIVERS'!AE7</f>
        <v/>
      </c>
      <c r="AF7" s="11">
        <f>'CF DRIVERS'!AF7</f>
        <v/>
      </c>
      <c r="AG7" s="11">
        <f>'CF DRIVERS'!AG7</f>
        <v/>
      </c>
      <c r="AH7" s="11">
        <f>'CF DRIVERS'!AH7</f>
        <v/>
      </c>
      <c r="AI7" s="11">
        <f>'CF DRIVERS'!AI7</f>
        <v/>
      </c>
      <c r="AJ7" s="11">
        <f>'CF DRIVERS'!AJ7</f>
        <v/>
      </c>
      <c r="AK7" s="11">
        <f>'CF DRIVERS'!AK7</f>
        <v/>
      </c>
      <c r="AL7" s="11">
        <f>'CF DRIVERS'!AL7</f>
        <v/>
      </c>
      <c r="AM7" s="11">
        <f>'CF DRIVERS'!AM7</f>
        <v/>
      </c>
      <c r="AN7" s="11">
        <f>'CF DRIVERS'!AN7</f>
        <v/>
      </c>
      <c r="AO7" s="11">
        <f>'CF DRIVERS'!AO7</f>
        <v/>
      </c>
      <c r="AP7" s="11">
        <f>'CF DRIVERS'!AP7</f>
        <v/>
      </c>
      <c r="AQ7" s="11">
        <f>'CF DRIVERS'!AQ7</f>
        <v/>
      </c>
      <c r="AR7" s="11">
        <f>'CF DRIVERS'!AR7</f>
        <v/>
      </c>
      <c r="AS7" s="11">
        <f>'CF DRIVERS'!AS7</f>
        <v/>
      </c>
    </row>
    <row r="8">
      <c r="A8" s="3" t="inlineStr">
        <is>
          <t>Amortization of Deferred Other Costs</t>
        </is>
      </c>
      <c r="B8" s="4">
        <f>'YTD CF'!B8</f>
        <v/>
      </c>
      <c r="C8" s="4">
        <f>'YTD CF'!C8-'YTD CF'!B8</f>
        <v/>
      </c>
      <c r="D8" s="4">
        <f>'YTD CF'!D8-'YTD CF'!C8</f>
        <v/>
      </c>
      <c r="E8" s="4">
        <f>'CASH FLOW'!C8-'YTD CF'!D8</f>
        <v/>
      </c>
      <c r="F8" s="4">
        <f>'YTD CF'!E8</f>
        <v/>
      </c>
      <c r="G8" s="4">
        <f>'YTD CF'!F8-'YTD CF'!E8</f>
        <v/>
      </c>
      <c r="H8" s="4">
        <f>'YTD CF'!G8-'YTD CF'!F8</f>
        <v/>
      </c>
      <c r="I8" s="4">
        <f>'CASH FLOW'!D8-'YTD CF'!G8</f>
        <v/>
      </c>
      <c r="J8" s="4">
        <f>'YTD CF'!H8</f>
        <v/>
      </c>
      <c r="K8" s="4">
        <f>'YTD CF'!I8-'YTD CF'!H8</f>
        <v/>
      </c>
      <c r="L8" s="4">
        <f>'YTD CF'!J8-'YTD CF'!I8</f>
        <v/>
      </c>
      <c r="M8" s="4">
        <f>'CASH FLOW'!E8-'YTD CF'!J8</f>
        <v/>
      </c>
      <c r="N8" s="4">
        <f>'YTD CF'!K8</f>
        <v/>
      </c>
      <c r="O8" s="4">
        <f>'YTD CF'!L8-'YTD CF'!K8</f>
        <v/>
      </c>
      <c r="P8" s="4">
        <f>'YTD CF'!M8-'YTD CF'!L8</f>
        <v/>
      </c>
      <c r="Q8" s="4">
        <f>'CASH FLOW'!F8-'YTD CF'!M8</f>
        <v/>
      </c>
      <c r="R8" s="4">
        <f>'YTD CF'!N8</f>
        <v/>
      </c>
      <c r="S8" s="4">
        <f>'YTD CF'!O8-'YTD CF'!N8</f>
        <v/>
      </c>
      <c r="T8" s="4">
        <f>'YTD CF'!P8-'YTD CF'!O8</f>
        <v/>
      </c>
      <c r="U8" s="4">
        <f>'CASH FLOW'!G8-'YTD CF'!P8</f>
        <v/>
      </c>
      <c r="V8" s="4">
        <f>'YTD CF'!Q8</f>
        <v/>
      </c>
      <c r="W8" s="4">
        <f>'YTD CF'!R8-'YTD CF'!Q8</f>
        <v/>
      </c>
      <c r="X8" s="4">
        <f>'YTD CF'!S8-'YTD CF'!R8</f>
        <v/>
      </c>
      <c r="Y8" s="4">
        <f>'CASH FLOW'!H8-'YTD CF'!S8</f>
        <v/>
      </c>
      <c r="Z8" s="11">
        <f>'CF DRIVERS'!Z8</f>
        <v/>
      </c>
      <c r="AA8" s="11">
        <f>'CF DRIVERS'!AA8</f>
        <v/>
      </c>
      <c r="AB8" s="11">
        <f>'CF DRIVERS'!AB8</f>
        <v/>
      </c>
      <c r="AC8" s="11">
        <f>'CF DRIVERS'!AC8</f>
        <v/>
      </c>
      <c r="AD8" s="11">
        <f>'CF DRIVERS'!AD8</f>
        <v/>
      </c>
      <c r="AE8" s="11">
        <f>'CF DRIVERS'!AE8</f>
        <v/>
      </c>
      <c r="AF8" s="11">
        <f>'CF DRIVERS'!AF8</f>
        <v/>
      </c>
      <c r="AG8" s="11">
        <f>'CF DRIVERS'!AG8</f>
        <v/>
      </c>
      <c r="AH8" s="11">
        <f>'CF DRIVERS'!AH8</f>
        <v/>
      </c>
      <c r="AI8" s="11">
        <f>'CF DRIVERS'!AI8</f>
        <v/>
      </c>
      <c r="AJ8" s="11">
        <f>'CF DRIVERS'!AJ8</f>
        <v/>
      </c>
      <c r="AK8" s="11">
        <f>'CF DRIVERS'!AK8</f>
        <v/>
      </c>
      <c r="AL8" s="11">
        <f>'CF DRIVERS'!AL8</f>
        <v/>
      </c>
      <c r="AM8" s="11">
        <f>'CF DRIVERS'!AM8</f>
        <v/>
      </c>
      <c r="AN8" s="11">
        <f>'CF DRIVERS'!AN8</f>
        <v/>
      </c>
      <c r="AO8" s="11">
        <f>'CF DRIVERS'!AO8</f>
        <v/>
      </c>
      <c r="AP8" s="11">
        <f>'CF DRIVERS'!AP8</f>
        <v/>
      </c>
      <c r="AQ8" s="11">
        <f>'CF DRIVERS'!AQ8</f>
        <v/>
      </c>
      <c r="AR8" s="11">
        <f>'CF DRIVERS'!AR8</f>
        <v/>
      </c>
      <c r="AS8" s="11">
        <f>'CF DRIVERS'!AS8</f>
        <v/>
      </c>
    </row>
    <row r="9">
      <c r="A9" s="3" t="inlineStr">
        <is>
          <t>Inventory Write-Down</t>
        </is>
      </c>
      <c r="B9" s="4">
        <f>'YTD CF'!B9</f>
        <v/>
      </c>
      <c r="C9" s="4">
        <f>'YTD CF'!C9-'YTD CF'!B9</f>
        <v/>
      </c>
      <c r="D9" s="4">
        <f>'YTD CF'!D9-'YTD CF'!C9</f>
        <v/>
      </c>
      <c r="E9" s="4">
        <f>'CASH FLOW'!C9-'YTD CF'!D9</f>
        <v/>
      </c>
      <c r="F9" s="4">
        <f>'YTD CF'!E9</f>
        <v/>
      </c>
      <c r="G9" s="4">
        <f>'YTD CF'!F9-'YTD CF'!E9</f>
        <v/>
      </c>
      <c r="H9" s="4">
        <f>'YTD CF'!G9-'YTD CF'!F9</f>
        <v/>
      </c>
      <c r="I9" s="4">
        <f>'CASH FLOW'!D9-'YTD CF'!G9</f>
        <v/>
      </c>
      <c r="J9" s="4">
        <f>'YTD CF'!H9</f>
        <v/>
      </c>
      <c r="K9" s="4">
        <f>'YTD CF'!I9-'YTD CF'!H9</f>
        <v/>
      </c>
      <c r="L9" s="4">
        <f>'YTD CF'!J9-'YTD CF'!I9</f>
        <v/>
      </c>
      <c r="M9" s="4">
        <f>'CASH FLOW'!E9-'YTD CF'!J9</f>
        <v/>
      </c>
      <c r="N9" s="4">
        <f>'YTD CF'!K9</f>
        <v/>
      </c>
      <c r="O9" s="4">
        <f>'YTD CF'!L9-'YTD CF'!K9</f>
        <v/>
      </c>
      <c r="P9" s="4">
        <f>'YTD CF'!M9-'YTD CF'!L9</f>
        <v/>
      </c>
      <c r="Q9" s="4">
        <f>'CASH FLOW'!F9-'YTD CF'!M9</f>
        <v/>
      </c>
      <c r="R9" s="4">
        <f>'YTD CF'!N9</f>
        <v/>
      </c>
      <c r="S9" s="4">
        <f>'YTD CF'!O9-'YTD CF'!N9</f>
        <v/>
      </c>
      <c r="T9" s="4">
        <f>'YTD CF'!P9-'YTD CF'!O9</f>
        <v/>
      </c>
      <c r="U9" s="4">
        <f>'CASH FLOW'!G9-'YTD CF'!P9</f>
        <v/>
      </c>
      <c r="V9" s="4">
        <f>'YTD CF'!Q9</f>
        <v/>
      </c>
      <c r="W9" s="4">
        <f>'YTD CF'!R9-'YTD CF'!Q9</f>
        <v/>
      </c>
      <c r="X9" s="4">
        <f>'YTD CF'!S9-'YTD CF'!R9</f>
        <v/>
      </c>
      <c r="Y9" s="4">
        <f>'CASH FLOW'!H9-'YTD CF'!S9</f>
        <v/>
      </c>
      <c r="Z9" s="11">
        <f>'CF DRIVERS'!Z9</f>
        <v/>
      </c>
      <c r="AA9" s="11">
        <f>'CF DRIVERS'!AA9</f>
        <v/>
      </c>
      <c r="AB9" s="11">
        <f>'CF DRIVERS'!AB9</f>
        <v/>
      </c>
      <c r="AC9" s="11">
        <f>'CF DRIVERS'!AC9</f>
        <v/>
      </c>
      <c r="AD9" s="11">
        <f>'CF DRIVERS'!AD9</f>
        <v/>
      </c>
      <c r="AE9" s="11">
        <f>'CF DRIVERS'!AE9</f>
        <v/>
      </c>
      <c r="AF9" s="11">
        <f>'CF DRIVERS'!AF9</f>
        <v/>
      </c>
      <c r="AG9" s="11">
        <f>'CF DRIVERS'!AG9</f>
        <v/>
      </c>
      <c r="AH9" s="11">
        <f>'CF DRIVERS'!AH9</f>
        <v/>
      </c>
      <c r="AI9" s="11">
        <f>'CF DRIVERS'!AI9</f>
        <v/>
      </c>
      <c r="AJ9" s="11">
        <f>'CF DRIVERS'!AJ9</f>
        <v/>
      </c>
      <c r="AK9" s="11">
        <f>'CF DRIVERS'!AK9</f>
        <v/>
      </c>
      <c r="AL9" s="11">
        <f>'CF DRIVERS'!AL9</f>
        <v/>
      </c>
      <c r="AM9" s="11">
        <f>'CF DRIVERS'!AM9</f>
        <v/>
      </c>
      <c r="AN9" s="11">
        <f>'CF DRIVERS'!AN9</f>
        <v/>
      </c>
      <c r="AO9" s="11">
        <f>'CF DRIVERS'!AO9</f>
        <v/>
      </c>
      <c r="AP9" s="11">
        <f>'CF DRIVERS'!AP9</f>
        <v/>
      </c>
      <c r="AQ9" s="11">
        <f>'CF DRIVERS'!AQ9</f>
        <v/>
      </c>
      <c r="AR9" s="11">
        <f>'CF DRIVERS'!AR9</f>
        <v/>
      </c>
      <c r="AS9" s="11">
        <f>'CF DRIVERS'!AS9</f>
        <v/>
      </c>
    </row>
    <row r="10">
      <c r="A10" s="3" t="inlineStr">
        <is>
          <t>Gain (Loss) on Disposal of PP&amp;E</t>
        </is>
      </c>
      <c r="B10" s="4">
        <f>'YTD CF'!B10</f>
        <v/>
      </c>
      <c r="C10" s="4">
        <f>'YTD CF'!C10-'YTD CF'!B10</f>
        <v/>
      </c>
      <c r="D10" s="4">
        <f>'YTD CF'!D10-'YTD CF'!C10</f>
        <v/>
      </c>
      <c r="E10" s="4">
        <f>'CASH FLOW'!C10-'YTD CF'!D10</f>
        <v/>
      </c>
      <c r="F10" s="4">
        <f>'YTD CF'!E10</f>
        <v/>
      </c>
      <c r="G10" s="4">
        <f>'YTD CF'!F10-'YTD CF'!E10</f>
        <v/>
      </c>
      <c r="H10" s="4">
        <f>'YTD CF'!G10-'YTD CF'!F10</f>
        <v/>
      </c>
      <c r="I10" s="4">
        <f>'CASH FLOW'!D10-'YTD CF'!G10</f>
        <v/>
      </c>
      <c r="J10" s="4">
        <f>'YTD CF'!H10</f>
        <v/>
      </c>
      <c r="K10" s="4">
        <f>'YTD CF'!I10-'YTD CF'!H10</f>
        <v/>
      </c>
      <c r="L10" s="4">
        <f>'YTD CF'!J10-'YTD CF'!I10</f>
        <v/>
      </c>
      <c r="M10" s="4">
        <f>'CASH FLOW'!E10-'YTD CF'!J10</f>
        <v/>
      </c>
      <c r="N10" s="4">
        <f>'YTD CF'!K10</f>
        <v/>
      </c>
      <c r="O10" s="4">
        <f>'YTD CF'!L10-'YTD CF'!K10</f>
        <v/>
      </c>
      <c r="P10" s="4">
        <f>'YTD CF'!M10-'YTD CF'!L10</f>
        <v/>
      </c>
      <c r="Q10" s="4">
        <f>'CASH FLOW'!F10-'YTD CF'!M10</f>
        <v/>
      </c>
      <c r="R10" s="4">
        <f>'YTD CF'!N10</f>
        <v/>
      </c>
      <c r="S10" s="4">
        <f>'YTD CF'!O10-'YTD CF'!N10</f>
        <v/>
      </c>
      <c r="T10" s="4">
        <f>'YTD CF'!P10-'YTD CF'!O10</f>
        <v/>
      </c>
      <c r="U10" s="4">
        <f>'CASH FLOW'!G10-'YTD CF'!P10</f>
        <v/>
      </c>
      <c r="V10" s="4">
        <f>'YTD CF'!Q10</f>
        <v/>
      </c>
      <c r="W10" s="4">
        <f>'YTD CF'!R10-'YTD CF'!Q10</f>
        <v/>
      </c>
      <c r="X10" s="4">
        <f>'YTD CF'!S10-'YTD CF'!R10</f>
        <v/>
      </c>
      <c r="Y10" s="4">
        <f>'CASH FLOW'!H10-'YTD CF'!S10</f>
        <v/>
      </c>
      <c r="Z10" s="11">
        <f>'CF DRIVERS'!Z10</f>
        <v/>
      </c>
      <c r="AA10" s="11">
        <f>'CF DRIVERS'!AA10</f>
        <v/>
      </c>
      <c r="AB10" s="11">
        <f>'CF DRIVERS'!AB10</f>
        <v/>
      </c>
      <c r="AC10" s="11">
        <f>'CF DRIVERS'!AC10</f>
        <v/>
      </c>
      <c r="AD10" s="11">
        <f>'CF DRIVERS'!AD10</f>
        <v/>
      </c>
      <c r="AE10" s="11">
        <f>'CF DRIVERS'!AE10</f>
        <v/>
      </c>
      <c r="AF10" s="11">
        <f>'CF DRIVERS'!AF10</f>
        <v/>
      </c>
      <c r="AG10" s="11">
        <f>'CF DRIVERS'!AG10</f>
        <v/>
      </c>
      <c r="AH10" s="11">
        <f>'CF DRIVERS'!AH10</f>
        <v/>
      </c>
      <c r="AI10" s="11">
        <f>'CF DRIVERS'!AI10</f>
        <v/>
      </c>
      <c r="AJ10" s="11">
        <f>'CF DRIVERS'!AJ10</f>
        <v/>
      </c>
      <c r="AK10" s="11">
        <f>'CF DRIVERS'!AK10</f>
        <v/>
      </c>
      <c r="AL10" s="11">
        <f>'CF DRIVERS'!AL10</f>
        <v/>
      </c>
      <c r="AM10" s="11">
        <f>'CF DRIVERS'!AM10</f>
        <v/>
      </c>
      <c r="AN10" s="11">
        <f>'CF DRIVERS'!AN10</f>
        <v/>
      </c>
      <c r="AO10" s="11">
        <f>'CF DRIVERS'!AO10</f>
        <v/>
      </c>
      <c r="AP10" s="11">
        <f>'CF DRIVERS'!AP10</f>
        <v/>
      </c>
      <c r="AQ10" s="11">
        <f>'CF DRIVERS'!AQ10</f>
        <v/>
      </c>
      <c r="AR10" s="11">
        <f>'CF DRIVERS'!AR10</f>
        <v/>
      </c>
      <c r="AS10" s="11">
        <f>'CF DRIVERS'!AS10</f>
        <v/>
      </c>
    </row>
    <row r="11">
      <c r="A11" s="3" t="inlineStr">
        <is>
          <t>Stock-Based Compensation</t>
        </is>
      </c>
      <c r="B11" s="4">
        <f>'YTD CF'!B11</f>
        <v/>
      </c>
      <c r="C11" s="4">
        <f>'YTD CF'!C11-'YTD CF'!B11</f>
        <v/>
      </c>
      <c r="D11" s="4">
        <f>'YTD CF'!D11-'YTD CF'!C11</f>
        <v/>
      </c>
      <c r="E11" s="4">
        <f>'CASH FLOW'!C11-'YTD CF'!D11</f>
        <v/>
      </c>
      <c r="F11" s="4">
        <f>'YTD CF'!E11</f>
        <v/>
      </c>
      <c r="G11" s="4">
        <f>'YTD CF'!F11-'YTD CF'!E11</f>
        <v/>
      </c>
      <c r="H11" s="4">
        <f>'YTD CF'!G11-'YTD CF'!F11</f>
        <v/>
      </c>
      <c r="I11" s="4">
        <f>'CASH FLOW'!D11-'YTD CF'!G11</f>
        <v/>
      </c>
      <c r="J11" s="4">
        <f>'YTD CF'!H11</f>
        <v/>
      </c>
      <c r="K11" s="4">
        <f>'YTD CF'!I11-'YTD CF'!H11</f>
        <v/>
      </c>
      <c r="L11" s="4">
        <f>'YTD CF'!J11-'YTD CF'!I11</f>
        <v/>
      </c>
      <c r="M11" s="4">
        <f>'CASH FLOW'!E11-'YTD CF'!J11</f>
        <v/>
      </c>
      <c r="N11" s="4">
        <f>'YTD CF'!K11</f>
        <v/>
      </c>
      <c r="O11" s="4">
        <f>'YTD CF'!L11-'YTD CF'!K11</f>
        <v/>
      </c>
      <c r="P11" s="4">
        <f>'YTD CF'!M11-'YTD CF'!L11</f>
        <v/>
      </c>
      <c r="Q11" s="4">
        <f>'CASH FLOW'!F11-'YTD CF'!M11</f>
        <v/>
      </c>
      <c r="R11" s="4">
        <f>'YTD CF'!N11</f>
        <v/>
      </c>
      <c r="S11" s="4">
        <f>'YTD CF'!O11-'YTD CF'!N11</f>
        <v/>
      </c>
      <c r="T11" s="4">
        <f>'YTD CF'!P11-'YTD CF'!O11</f>
        <v/>
      </c>
      <c r="U11" s="4">
        <f>'CASH FLOW'!G11-'YTD CF'!P11</f>
        <v/>
      </c>
      <c r="V11" s="4">
        <f>'YTD CF'!Q11</f>
        <v/>
      </c>
      <c r="W11" s="4">
        <f>'YTD CF'!R11-'YTD CF'!Q11</f>
        <v/>
      </c>
      <c r="X11" s="4">
        <f>'YTD CF'!S11-'YTD CF'!R11</f>
        <v/>
      </c>
      <c r="Y11" s="4">
        <f>'CASH FLOW'!H11-'YTD CF'!S11</f>
        <v/>
      </c>
      <c r="Z11" s="11">
        <f>'QTR P&amp;L'!AD2*'CF DRIVERS'!Z11</f>
        <v/>
      </c>
      <c r="AA11" s="11">
        <f>'QTR P&amp;L'!AE2*'CF DRIVERS'!AA11</f>
        <v/>
      </c>
      <c r="AB11" s="11">
        <f>'QTR P&amp;L'!AF2*'CF DRIVERS'!AB11</f>
        <v/>
      </c>
      <c r="AC11" s="11">
        <f>'QTR P&amp;L'!AG2*'CF DRIVERS'!AC11</f>
        <v/>
      </c>
      <c r="AD11" s="11">
        <f>'QTR P&amp;L'!AH2*'CF DRIVERS'!AD11</f>
        <v/>
      </c>
      <c r="AE11" s="11">
        <f>'QTR P&amp;L'!AI2*'CF DRIVERS'!AE11</f>
        <v/>
      </c>
      <c r="AF11" s="11">
        <f>'QTR P&amp;L'!AJ2*'CF DRIVERS'!AF11</f>
        <v/>
      </c>
      <c r="AG11" s="11">
        <f>'QTR P&amp;L'!AK2*'CF DRIVERS'!AG11</f>
        <v/>
      </c>
      <c r="AH11" s="11">
        <f>'QTR P&amp;L'!AL2*'CF DRIVERS'!AH11</f>
        <v/>
      </c>
      <c r="AI11" s="11">
        <f>'QTR P&amp;L'!AM2*'CF DRIVERS'!AI11</f>
        <v/>
      </c>
      <c r="AJ11" s="11">
        <f>'QTR P&amp;L'!AN2*'CF DRIVERS'!AJ11</f>
        <v/>
      </c>
      <c r="AK11" s="11">
        <f>'QTR P&amp;L'!AO2*'CF DRIVERS'!AK11</f>
        <v/>
      </c>
      <c r="AL11" s="11">
        <f>'QTR P&amp;L'!AP2*'CF DRIVERS'!AL11</f>
        <v/>
      </c>
      <c r="AM11" s="11">
        <f>'QTR P&amp;L'!AQ2*'CF DRIVERS'!AM11</f>
        <v/>
      </c>
      <c r="AN11" s="11">
        <f>'QTR P&amp;L'!AR2*'CF DRIVERS'!AN11</f>
        <v/>
      </c>
      <c r="AO11" s="11">
        <f>'QTR P&amp;L'!AS2*'CF DRIVERS'!AO11</f>
        <v/>
      </c>
      <c r="AP11" s="11">
        <f>'QTR P&amp;L'!AT2*'CF DRIVERS'!AP11</f>
        <v/>
      </c>
      <c r="AQ11" s="11">
        <f>'QTR P&amp;L'!AU2*'CF DRIVERS'!AQ11</f>
        <v/>
      </c>
      <c r="AR11" s="11">
        <f>'QTR P&amp;L'!AV2*'CF DRIVERS'!AR11</f>
        <v/>
      </c>
      <c r="AS11" s="11">
        <f>'QTR P&amp;L'!AW2*'CF DRIVERS'!AS11</f>
        <v/>
      </c>
    </row>
    <row r="12">
      <c r="A12" s="3" t="inlineStr">
        <is>
          <t>Gain on China Transaction</t>
        </is>
      </c>
      <c r="B12" s="4">
        <f>'YTD CF'!B12</f>
        <v/>
      </c>
      <c r="C12" s="4">
        <f>'YTD CF'!C12-'YTD CF'!B12</f>
        <v/>
      </c>
      <c r="D12" s="4">
        <f>'YTD CF'!D12-'YTD CF'!C12</f>
        <v/>
      </c>
      <c r="E12" s="4">
        <f>'CASH FLOW'!C12-'YTD CF'!D12</f>
        <v/>
      </c>
      <c r="F12" s="4">
        <f>'YTD CF'!E12</f>
        <v/>
      </c>
      <c r="G12" s="4">
        <f>'YTD CF'!F12-'YTD CF'!E12</f>
        <v/>
      </c>
      <c r="H12" s="4">
        <f>'YTD CF'!G12-'YTD CF'!F12</f>
        <v/>
      </c>
      <c r="I12" s="4">
        <f>'CASH FLOW'!D12-'YTD CF'!G12</f>
        <v/>
      </c>
      <c r="J12" s="4">
        <f>'YTD CF'!H12</f>
        <v/>
      </c>
      <c r="K12" s="4">
        <f>'YTD CF'!I12-'YTD CF'!H12</f>
        <v/>
      </c>
      <c r="L12" s="4">
        <f>'YTD CF'!J12-'YTD CF'!I12</f>
        <v/>
      </c>
      <c r="M12" s="4">
        <f>'CASH FLOW'!E12-'YTD CF'!J12</f>
        <v/>
      </c>
      <c r="N12" s="4">
        <f>'YTD CF'!K12</f>
        <v/>
      </c>
      <c r="O12" s="4">
        <f>'YTD CF'!L12-'YTD CF'!K12</f>
        <v/>
      </c>
      <c r="P12" s="4">
        <f>'YTD CF'!M12-'YTD CF'!L12</f>
        <v/>
      </c>
      <c r="Q12" s="4">
        <f>'CASH FLOW'!F12-'YTD CF'!M12</f>
        <v/>
      </c>
      <c r="R12" s="4">
        <f>'YTD CF'!N12</f>
        <v/>
      </c>
      <c r="S12" s="4">
        <f>'YTD CF'!O12-'YTD CF'!N12</f>
        <v/>
      </c>
      <c r="T12" s="4">
        <f>'YTD CF'!P12-'YTD CF'!O12</f>
        <v/>
      </c>
      <c r="U12" s="4">
        <f>'CASH FLOW'!G12-'YTD CF'!P12</f>
        <v/>
      </c>
      <c r="V12" s="4">
        <f>'YTD CF'!Q12</f>
        <v/>
      </c>
      <c r="W12" s="4">
        <f>'YTD CF'!R12-'YTD CF'!Q12</f>
        <v/>
      </c>
      <c r="X12" s="4">
        <f>'YTD CF'!S12-'YTD CF'!R12</f>
        <v/>
      </c>
      <c r="Y12" s="4">
        <f>'CASH FLOW'!H12-'YTD CF'!S12</f>
        <v/>
      </c>
      <c r="Z12" s="11">
        <f>'CF DRIVERS'!Z12</f>
        <v/>
      </c>
      <c r="AA12" s="11">
        <f>'CF DRIVERS'!AA12</f>
        <v/>
      </c>
      <c r="AB12" s="11">
        <f>'CF DRIVERS'!AB12</f>
        <v/>
      </c>
      <c r="AC12" s="11">
        <f>'CF DRIVERS'!AC12</f>
        <v/>
      </c>
      <c r="AD12" s="11">
        <f>'CF DRIVERS'!AD12</f>
        <v/>
      </c>
      <c r="AE12" s="11">
        <f>'CF DRIVERS'!AE12</f>
        <v/>
      </c>
      <c r="AF12" s="11">
        <f>'CF DRIVERS'!AF12</f>
        <v/>
      </c>
      <c r="AG12" s="11">
        <f>'CF DRIVERS'!AG12</f>
        <v/>
      </c>
      <c r="AH12" s="11">
        <f>'CF DRIVERS'!AH12</f>
        <v/>
      </c>
      <c r="AI12" s="11">
        <f>'CF DRIVERS'!AI12</f>
        <v/>
      </c>
      <c r="AJ12" s="11">
        <f>'CF DRIVERS'!AJ12</f>
        <v/>
      </c>
      <c r="AK12" s="11">
        <f>'CF DRIVERS'!AK12</f>
        <v/>
      </c>
      <c r="AL12" s="11">
        <f>'CF DRIVERS'!AL12</f>
        <v/>
      </c>
      <c r="AM12" s="11">
        <f>'CF DRIVERS'!AM12</f>
        <v/>
      </c>
      <c r="AN12" s="11">
        <f>'CF DRIVERS'!AN12</f>
        <v/>
      </c>
      <c r="AO12" s="11">
        <f>'CF DRIVERS'!AO12</f>
        <v/>
      </c>
      <c r="AP12" s="11">
        <f>'CF DRIVERS'!AP12</f>
        <v/>
      </c>
      <c r="AQ12" s="11">
        <f>'CF DRIVERS'!AQ12</f>
        <v/>
      </c>
      <c r="AR12" s="11">
        <f>'CF DRIVERS'!AR12</f>
        <v/>
      </c>
      <c r="AS12" s="11">
        <f>'CF DRIVERS'!AS12</f>
        <v/>
      </c>
    </row>
    <row r="13">
      <c r="A13" s="3" t="inlineStr">
        <is>
          <t>Gain (Loss) on Lease Cancellations</t>
        </is>
      </c>
      <c r="B13" s="4">
        <f>'YTD CF'!B13</f>
        <v/>
      </c>
      <c r="C13" s="4">
        <f>'YTD CF'!C13-'YTD CF'!B13</f>
        <v/>
      </c>
      <c r="D13" s="4">
        <f>'YTD CF'!D13-'YTD CF'!C13</f>
        <v/>
      </c>
      <c r="E13" s="4">
        <f>'CASH FLOW'!C15-'YTD CF'!D13</f>
        <v/>
      </c>
      <c r="F13" s="4">
        <f>'YTD CF'!E13</f>
        <v/>
      </c>
      <c r="G13" s="4">
        <f>'YTD CF'!F13-'YTD CF'!E13</f>
        <v/>
      </c>
      <c r="H13" s="4">
        <f>'YTD CF'!G13-'YTD CF'!F13</f>
        <v/>
      </c>
      <c r="I13" s="4">
        <f>'CASH FLOW'!D15-'YTD CF'!G13</f>
        <v/>
      </c>
      <c r="J13" s="4">
        <f>'YTD CF'!H13</f>
        <v/>
      </c>
      <c r="K13" s="4">
        <f>'YTD CF'!I13-'YTD CF'!H13</f>
        <v/>
      </c>
      <c r="L13" s="4">
        <f>'YTD CF'!J13-'YTD CF'!I13</f>
        <v/>
      </c>
      <c r="M13" s="4">
        <f>'CASH FLOW'!E15-'YTD CF'!J13</f>
        <v/>
      </c>
      <c r="N13" s="4">
        <f>'YTD CF'!K13</f>
        <v/>
      </c>
      <c r="O13" s="4">
        <f>'YTD CF'!L13-'YTD CF'!K13</f>
        <v/>
      </c>
      <c r="P13" s="4">
        <f>'YTD CF'!M13-'YTD CF'!L13</f>
        <v/>
      </c>
      <c r="Q13" s="4">
        <f>'CASH FLOW'!F15-'YTD CF'!M13</f>
        <v/>
      </c>
      <c r="R13" s="4">
        <f>'YTD CF'!N13</f>
        <v/>
      </c>
      <c r="S13" s="4">
        <f>'YTD CF'!O13-'YTD CF'!N13</f>
        <v/>
      </c>
      <c r="T13" s="4">
        <f>'YTD CF'!P13-'YTD CF'!O13</f>
        <v/>
      </c>
      <c r="U13" s="4">
        <f>'CASH FLOW'!G15-'YTD CF'!P13</f>
        <v/>
      </c>
      <c r="V13" s="4">
        <f>'YTD CF'!Q13</f>
        <v/>
      </c>
      <c r="W13" s="4">
        <f>'YTD CF'!R13-'YTD CF'!Q13</f>
        <v/>
      </c>
      <c r="X13" s="4">
        <f>'YTD CF'!S13-'YTD CF'!R13</f>
        <v/>
      </c>
      <c r="Y13" s="4">
        <f>'CASH FLOW'!H15-'YTD CF'!S13</f>
        <v/>
      </c>
      <c r="Z13" s="11">
        <f>'CF DRIVERS'!Z13</f>
        <v/>
      </c>
      <c r="AA13" s="11">
        <f>'CF DRIVERS'!AA13</f>
        <v/>
      </c>
      <c r="AB13" s="11">
        <f>'CF DRIVERS'!AB13</f>
        <v/>
      </c>
      <c r="AC13" s="11">
        <f>'CF DRIVERS'!AC13</f>
        <v/>
      </c>
      <c r="AD13" s="11">
        <f>'CF DRIVERS'!AD13</f>
        <v/>
      </c>
      <c r="AE13" s="11">
        <f>'CF DRIVERS'!AE13</f>
        <v/>
      </c>
      <c r="AF13" s="11">
        <f>'CF DRIVERS'!AF13</f>
        <v/>
      </c>
      <c r="AG13" s="11">
        <f>'CF DRIVERS'!AG13</f>
        <v/>
      </c>
      <c r="AH13" s="11">
        <f>'CF DRIVERS'!AH13</f>
        <v/>
      </c>
      <c r="AI13" s="11">
        <f>'CF DRIVERS'!AI13</f>
        <v/>
      </c>
      <c r="AJ13" s="11">
        <f>'CF DRIVERS'!AJ13</f>
        <v/>
      </c>
      <c r="AK13" s="11">
        <f>'CF DRIVERS'!AK13</f>
        <v/>
      </c>
      <c r="AL13" s="11">
        <f>'CF DRIVERS'!AL13</f>
        <v/>
      </c>
      <c r="AM13" s="11">
        <f>'CF DRIVERS'!AM13</f>
        <v/>
      </c>
      <c r="AN13" s="11">
        <f>'CF DRIVERS'!AN13</f>
        <v/>
      </c>
      <c r="AO13" s="11">
        <f>'CF DRIVERS'!AO13</f>
        <v/>
      </c>
      <c r="AP13" s="11">
        <f>'CF DRIVERS'!AP13</f>
        <v/>
      </c>
      <c r="AQ13" s="11">
        <f>'CF DRIVERS'!AQ13</f>
        <v/>
      </c>
      <c r="AR13" s="11">
        <f>'CF DRIVERS'!AR13</f>
        <v/>
      </c>
      <c r="AS13" s="11">
        <f>'CF DRIVERS'!AS13</f>
        <v/>
      </c>
    </row>
    <row r="14">
      <c r="A14" s="3" t="inlineStr">
        <is>
          <t>(Benefit) Provision for Deferred Income Taxes</t>
        </is>
      </c>
      <c r="B14" s="4">
        <f>'YTD CF'!B14</f>
        <v/>
      </c>
      <c r="C14" s="4">
        <f>'YTD CF'!C14-'YTD CF'!B14</f>
        <v/>
      </c>
      <c r="D14" s="4">
        <f>'YTD CF'!D14-'YTD CF'!C14</f>
        <v/>
      </c>
      <c r="E14" s="4">
        <f>'CASH FLOW'!C13-'YTD CF'!D14</f>
        <v/>
      </c>
      <c r="F14" s="4">
        <f>'YTD CF'!E14</f>
        <v/>
      </c>
      <c r="G14" s="4">
        <f>'YTD CF'!F14-'YTD CF'!E14</f>
        <v/>
      </c>
      <c r="H14" s="4">
        <f>'YTD CF'!G14-'YTD CF'!F14</f>
        <v/>
      </c>
      <c r="I14" s="4">
        <f>'CASH FLOW'!D13-'YTD CF'!G14</f>
        <v/>
      </c>
      <c r="J14" s="4">
        <f>'YTD CF'!H14</f>
        <v/>
      </c>
      <c r="K14" s="4">
        <f>'YTD CF'!I14-'YTD CF'!H14</f>
        <v/>
      </c>
      <c r="L14" s="4">
        <f>'YTD CF'!J14-'YTD CF'!I14</f>
        <v/>
      </c>
      <c r="M14" s="4">
        <f>'CASH FLOW'!E13-'YTD CF'!J14</f>
        <v/>
      </c>
      <c r="N14" s="4">
        <f>'YTD CF'!K14</f>
        <v/>
      </c>
      <c r="O14" s="4">
        <f>'YTD CF'!L14-'YTD CF'!K14</f>
        <v/>
      </c>
      <c r="P14" s="4">
        <f>'YTD CF'!M14-'YTD CF'!L14</f>
        <v/>
      </c>
      <c r="Q14" s="4">
        <f>'CASH FLOW'!F13-'YTD CF'!M14</f>
        <v/>
      </c>
      <c r="R14" s="4">
        <f>'YTD CF'!N14</f>
        <v/>
      </c>
      <c r="S14" s="4">
        <f>'YTD CF'!O14-'YTD CF'!N14</f>
        <v/>
      </c>
      <c r="T14" s="4">
        <f>'YTD CF'!P14-'YTD CF'!O14</f>
        <v/>
      </c>
      <c r="U14" s="4">
        <f>'CASH FLOW'!G13-'YTD CF'!P14</f>
        <v/>
      </c>
      <c r="V14" s="4">
        <f>'YTD CF'!Q14</f>
        <v/>
      </c>
      <c r="W14" s="4">
        <f>'YTD CF'!R14-'YTD CF'!Q14</f>
        <v/>
      </c>
      <c r="X14" s="4">
        <f>'YTD CF'!S14-'YTD CF'!R14</f>
        <v/>
      </c>
      <c r="Y14" s="4">
        <f>'CASH FLOW'!H13-'YTD CF'!S14</f>
        <v/>
      </c>
      <c r="Z14" s="11">
        <f>'CF DRIVERS'!Z14</f>
        <v/>
      </c>
      <c r="AA14" s="11">
        <f>'CF DRIVERS'!AA14</f>
        <v/>
      </c>
      <c r="AB14" s="11">
        <f>'CF DRIVERS'!AB14</f>
        <v/>
      </c>
      <c r="AC14" s="11">
        <f>'CF DRIVERS'!AC14</f>
        <v/>
      </c>
      <c r="AD14" s="11">
        <f>'CF DRIVERS'!AD14</f>
        <v/>
      </c>
      <c r="AE14" s="11">
        <f>'CF DRIVERS'!AE14</f>
        <v/>
      </c>
      <c r="AF14" s="11">
        <f>'CF DRIVERS'!AF14</f>
        <v/>
      </c>
      <c r="AG14" s="11">
        <f>'CF DRIVERS'!AG14</f>
        <v/>
      </c>
      <c r="AH14" s="11">
        <f>'CF DRIVERS'!AH14</f>
        <v/>
      </c>
      <c r="AI14" s="11">
        <f>'CF DRIVERS'!AI14</f>
        <v/>
      </c>
      <c r="AJ14" s="11">
        <f>'CF DRIVERS'!AJ14</f>
        <v/>
      </c>
      <c r="AK14" s="11">
        <f>'CF DRIVERS'!AK14</f>
        <v/>
      </c>
      <c r="AL14" s="11">
        <f>'CF DRIVERS'!AL14</f>
        <v/>
      </c>
      <c r="AM14" s="11">
        <f>'CF DRIVERS'!AM14</f>
        <v/>
      </c>
      <c r="AN14" s="11">
        <f>'CF DRIVERS'!AN14</f>
        <v/>
      </c>
      <c r="AO14" s="11">
        <f>'CF DRIVERS'!AO14</f>
        <v/>
      </c>
      <c r="AP14" s="11">
        <f>'CF DRIVERS'!AP14</f>
        <v/>
      </c>
      <c r="AQ14" s="11">
        <f>'CF DRIVERS'!AQ14</f>
        <v/>
      </c>
      <c r="AR14" s="11">
        <f>'CF DRIVERS'!AR14</f>
        <v/>
      </c>
      <c r="AS14" s="11">
        <f>'CF DRIVERS'!AS14</f>
        <v/>
      </c>
    </row>
    <row r="15">
      <c r="A15" s="3" t="inlineStr">
        <is>
          <t>Foreign Currency Gain (Loss)</t>
        </is>
      </c>
      <c r="B15" s="4">
        <f>'YTD CF'!B15</f>
        <v/>
      </c>
      <c r="C15" s="4">
        <f>'YTD CF'!C15-'YTD CF'!B15</f>
        <v/>
      </c>
      <c r="D15" s="4">
        <f>'YTD CF'!D15-'YTD CF'!C15</f>
        <v/>
      </c>
      <c r="E15" s="4">
        <f>'CASH FLOW'!C14-'YTD CF'!D15</f>
        <v/>
      </c>
      <c r="F15" s="4">
        <f>'YTD CF'!E15</f>
        <v/>
      </c>
      <c r="G15" s="4">
        <f>'YTD CF'!F15-'YTD CF'!E15</f>
        <v/>
      </c>
      <c r="H15" s="4">
        <f>'YTD CF'!G15-'YTD CF'!F15</f>
        <v/>
      </c>
      <c r="I15" s="4">
        <f>'CASH FLOW'!D14-'YTD CF'!G15</f>
        <v/>
      </c>
      <c r="J15" s="4">
        <f>'YTD CF'!H15</f>
        <v/>
      </c>
      <c r="K15" s="4">
        <f>'YTD CF'!I15-'YTD CF'!H15</f>
        <v/>
      </c>
      <c r="L15" s="4">
        <f>'YTD CF'!J15-'YTD CF'!I15</f>
        <v/>
      </c>
      <c r="M15" s="4">
        <f>'CASH FLOW'!E14-'YTD CF'!J15</f>
        <v/>
      </c>
      <c r="N15" s="4">
        <f>'YTD CF'!K15</f>
        <v/>
      </c>
      <c r="O15" s="4">
        <f>'YTD CF'!L15-'YTD CF'!K15</f>
        <v/>
      </c>
      <c r="P15" s="4">
        <f>'YTD CF'!M15-'YTD CF'!L15</f>
        <v/>
      </c>
      <c r="Q15" s="4">
        <f>'CASH FLOW'!F14-'YTD CF'!M15</f>
        <v/>
      </c>
      <c r="R15" s="4">
        <f>'YTD CF'!N15</f>
        <v/>
      </c>
      <c r="S15" s="4">
        <f>'YTD CF'!O15-'YTD CF'!N15</f>
        <v/>
      </c>
      <c r="T15" s="4">
        <f>'YTD CF'!P15-'YTD CF'!O15</f>
        <v/>
      </c>
      <c r="U15" s="4">
        <f>'CASH FLOW'!G14-'YTD CF'!P15</f>
        <v/>
      </c>
      <c r="V15" s="4">
        <f>'YTD CF'!Q15</f>
        <v/>
      </c>
      <c r="W15" s="4">
        <f>'YTD CF'!R15-'YTD CF'!Q15</f>
        <v/>
      </c>
      <c r="X15" s="4">
        <f>'YTD CF'!S15-'YTD CF'!R15</f>
        <v/>
      </c>
      <c r="Y15" s="4">
        <f>'CASH FLOW'!H14-'YTD CF'!S15</f>
        <v/>
      </c>
      <c r="Z15" s="11">
        <f>'CF DRIVERS'!Z15</f>
        <v/>
      </c>
      <c r="AA15" s="11">
        <f>'CF DRIVERS'!AA15</f>
        <v/>
      </c>
      <c r="AB15" s="11">
        <f>'CF DRIVERS'!AB15</f>
        <v/>
      </c>
      <c r="AC15" s="11">
        <f>'CF DRIVERS'!AC15</f>
        <v/>
      </c>
      <c r="AD15" s="11">
        <f>'CF DRIVERS'!AD15</f>
        <v/>
      </c>
      <c r="AE15" s="11">
        <f>'CF DRIVERS'!AE15</f>
        <v/>
      </c>
      <c r="AF15" s="11">
        <f>'CF DRIVERS'!AF15</f>
        <v/>
      </c>
      <c r="AG15" s="11">
        <f>'CF DRIVERS'!AG15</f>
        <v/>
      </c>
      <c r="AH15" s="11">
        <f>'CF DRIVERS'!AH15</f>
        <v/>
      </c>
      <c r="AI15" s="11">
        <f>'CF DRIVERS'!AI15</f>
        <v/>
      </c>
      <c r="AJ15" s="11">
        <f>'CF DRIVERS'!AJ15</f>
        <v/>
      </c>
      <c r="AK15" s="11">
        <f>'CF DRIVERS'!AK15</f>
        <v/>
      </c>
      <c r="AL15" s="11">
        <f>'CF DRIVERS'!AL15</f>
        <v/>
      </c>
      <c r="AM15" s="11">
        <f>'CF DRIVERS'!AM15</f>
        <v/>
      </c>
      <c r="AN15" s="11">
        <f>'CF DRIVERS'!AN15</f>
        <v/>
      </c>
      <c r="AO15" s="11">
        <f>'CF DRIVERS'!AO15</f>
        <v/>
      </c>
      <c r="AP15" s="11">
        <f>'CF DRIVERS'!AP15</f>
        <v/>
      </c>
      <c r="AQ15" s="11">
        <f>'CF DRIVERS'!AQ15</f>
        <v/>
      </c>
      <c r="AR15" s="11">
        <f>'CF DRIVERS'!AR15</f>
        <v/>
      </c>
      <c r="AS15" s="11">
        <f>'CF DRIVERS'!AS15</f>
        <v/>
      </c>
    </row>
    <row r="16">
      <c r="A16" s="3" t="inlineStr">
        <is>
          <t>Change in Fair Value of Contingent Consideration</t>
        </is>
      </c>
      <c r="B16" s="4">
        <f>'YTD CF'!B16</f>
        <v/>
      </c>
      <c r="C16" s="4">
        <f>'YTD CF'!C16-'YTD CF'!B16</f>
        <v/>
      </c>
      <c r="D16" s="4">
        <f>'YTD CF'!D16-'YTD CF'!C16</f>
        <v/>
      </c>
      <c r="E16" s="4">
        <f>'CASH FLOW'!C16-'YTD CF'!D16</f>
        <v/>
      </c>
      <c r="F16" s="4">
        <f>'YTD CF'!E16</f>
        <v/>
      </c>
      <c r="G16" s="4">
        <f>'YTD CF'!F16-'YTD CF'!E16</f>
        <v/>
      </c>
      <c r="H16" s="4">
        <f>'YTD CF'!G16-'YTD CF'!F16</f>
        <v/>
      </c>
      <c r="I16" s="4">
        <f>'CASH FLOW'!D16-'YTD CF'!G16</f>
        <v/>
      </c>
      <c r="J16" s="4">
        <f>'YTD CF'!H16</f>
        <v/>
      </c>
      <c r="K16" s="4">
        <f>'YTD CF'!I16-'YTD CF'!H16</f>
        <v/>
      </c>
      <c r="L16" s="4">
        <f>'YTD CF'!J16-'YTD CF'!I16</f>
        <v/>
      </c>
      <c r="M16" s="4">
        <f>'CASH FLOW'!E16-'YTD CF'!J16</f>
        <v/>
      </c>
      <c r="N16" s="4">
        <f>'YTD CF'!K16</f>
        <v/>
      </c>
      <c r="O16" s="4">
        <f>'YTD CF'!L16-'YTD CF'!K16</f>
        <v/>
      </c>
      <c r="P16" s="4">
        <f>'YTD CF'!M16-'YTD CF'!L16</f>
        <v/>
      </c>
      <c r="Q16" s="4">
        <f>'CASH FLOW'!F16-'YTD CF'!M16</f>
        <v/>
      </c>
      <c r="R16" s="4">
        <f>'YTD CF'!N16</f>
        <v/>
      </c>
      <c r="S16" s="4">
        <f>'YTD CF'!O16-'YTD CF'!N16</f>
        <v/>
      </c>
      <c r="T16" s="4">
        <f>'YTD CF'!P16-'YTD CF'!O16</f>
        <v/>
      </c>
      <c r="U16" s="4">
        <f>'CASH FLOW'!G16-'YTD CF'!P16</f>
        <v/>
      </c>
      <c r="V16" s="4">
        <f>'YTD CF'!Q16</f>
        <v/>
      </c>
      <c r="W16" s="4">
        <f>'YTD CF'!R16-'YTD CF'!Q16</f>
        <v/>
      </c>
      <c r="X16" s="4">
        <f>'YTD CF'!S16-'YTD CF'!R16</f>
        <v/>
      </c>
      <c r="Y16" s="4">
        <f>'CASH FLOW'!H16-'YTD CF'!S16</f>
        <v/>
      </c>
      <c r="Z16" s="11">
        <f>'CF DRIVERS'!Z16</f>
        <v/>
      </c>
      <c r="AA16" s="11">
        <f>'CF DRIVERS'!AA16</f>
        <v/>
      </c>
      <c r="AB16" s="11">
        <f>'CF DRIVERS'!AB16</f>
        <v/>
      </c>
      <c r="AC16" s="11">
        <f>'CF DRIVERS'!AC16</f>
        <v/>
      </c>
      <c r="AD16" s="11">
        <f>'CF DRIVERS'!AD16</f>
        <v/>
      </c>
      <c r="AE16" s="11">
        <f>'CF DRIVERS'!AE16</f>
        <v/>
      </c>
      <c r="AF16" s="11">
        <f>'CF DRIVERS'!AF16</f>
        <v/>
      </c>
      <c r="AG16" s="11">
        <f>'CF DRIVERS'!AG16</f>
        <v/>
      </c>
      <c r="AH16" s="11">
        <f>'CF DRIVERS'!AH16</f>
        <v/>
      </c>
      <c r="AI16" s="11">
        <f>'CF DRIVERS'!AI16</f>
        <v/>
      </c>
      <c r="AJ16" s="11">
        <f>'CF DRIVERS'!AJ16</f>
        <v/>
      </c>
      <c r="AK16" s="11">
        <f>'CF DRIVERS'!AK16</f>
        <v/>
      </c>
      <c r="AL16" s="11">
        <f>'CF DRIVERS'!AL16</f>
        <v/>
      </c>
      <c r="AM16" s="11">
        <f>'CF DRIVERS'!AM16</f>
        <v/>
      </c>
      <c r="AN16" s="11">
        <f>'CF DRIVERS'!AN16</f>
        <v/>
      </c>
      <c r="AO16" s="11">
        <f>'CF DRIVERS'!AO16</f>
        <v/>
      </c>
      <c r="AP16" s="11">
        <f>'CF DRIVERS'!AP16</f>
        <v/>
      </c>
      <c r="AQ16" s="11">
        <f>'CF DRIVERS'!AQ16</f>
        <v/>
      </c>
      <c r="AR16" s="11">
        <f>'CF DRIVERS'!AR16</f>
        <v/>
      </c>
      <c r="AS16" s="11">
        <f>'CF DRIVERS'!AS16</f>
        <v/>
      </c>
    </row>
    <row r="17">
      <c r="A17" s="3" t="inlineStr">
        <is>
          <t>Gain (Loss) on Extinguishment of Debt</t>
        </is>
      </c>
      <c r="B17" s="4">
        <f>'YTD CF'!B17</f>
        <v/>
      </c>
      <c r="C17" s="4">
        <f>'YTD CF'!C17-'YTD CF'!B17</f>
        <v/>
      </c>
      <c r="D17" s="4">
        <f>'YTD CF'!D17-'YTD CF'!C17</f>
        <v/>
      </c>
      <c r="E17" s="4">
        <f>'CASH FLOW'!C17-'YTD CF'!D17</f>
        <v/>
      </c>
      <c r="F17" s="4">
        <f>'YTD CF'!E17</f>
        <v/>
      </c>
      <c r="G17" s="4">
        <f>'YTD CF'!F17-'YTD CF'!E17</f>
        <v/>
      </c>
      <c r="H17" s="4">
        <f>'YTD CF'!G17-'YTD CF'!F17</f>
        <v/>
      </c>
      <c r="I17" s="4">
        <f>'CASH FLOW'!D17-'YTD CF'!G17</f>
        <v/>
      </c>
      <c r="J17" s="4">
        <f>'YTD CF'!H17</f>
        <v/>
      </c>
      <c r="K17" s="4">
        <f>'YTD CF'!I17-'YTD CF'!H17</f>
        <v/>
      </c>
      <c r="L17" s="4">
        <f>'YTD CF'!J17-'YTD CF'!I17</f>
        <v/>
      </c>
      <c r="M17" s="4">
        <f>'CASH FLOW'!E17-'YTD CF'!J17</f>
        <v/>
      </c>
      <c r="N17" s="4">
        <f>'YTD CF'!K17</f>
        <v/>
      </c>
      <c r="O17" s="4">
        <f>'YTD CF'!L17-'YTD CF'!K17</f>
        <v/>
      </c>
      <c r="P17" s="4">
        <f>'YTD CF'!M17-'YTD CF'!L17</f>
        <v/>
      </c>
      <c r="Q17" s="4">
        <f>'CASH FLOW'!F17-'YTD CF'!M17</f>
        <v/>
      </c>
      <c r="R17" s="4">
        <f>'YTD CF'!N17</f>
        <v/>
      </c>
      <c r="S17" s="4">
        <f>'YTD CF'!O17-'YTD CF'!N17</f>
        <v/>
      </c>
      <c r="T17" s="4">
        <f>'YTD CF'!P17-'YTD CF'!O17</f>
        <v/>
      </c>
      <c r="U17" s="4">
        <f>'CASH FLOW'!G17-'YTD CF'!P17</f>
        <v/>
      </c>
      <c r="V17" s="4">
        <f>'YTD CF'!Q17</f>
        <v/>
      </c>
      <c r="W17" s="4">
        <f>'YTD CF'!R17-'YTD CF'!Q17</f>
        <v/>
      </c>
      <c r="X17" s="4">
        <f>'YTD CF'!S17-'YTD CF'!R17</f>
        <v/>
      </c>
      <c r="Y17" s="4">
        <f>'CASH FLOW'!H17-'YTD CF'!S17</f>
        <v/>
      </c>
      <c r="Z17" s="11">
        <f>'CF DRIVERS'!Z17</f>
        <v/>
      </c>
      <c r="AA17" s="11">
        <f>'CF DRIVERS'!AA17</f>
        <v/>
      </c>
      <c r="AB17" s="11">
        <f>'CF DRIVERS'!AB17</f>
        <v/>
      </c>
      <c r="AC17" s="11">
        <f>'CF DRIVERS'!AC17</f>
        <v/>
      </c>
      <c r="AD17" s="11">
        <f>'CF DRIVERS'!AD17</f>
        <v/>
      </c>
      <c r="AE17" s="11">
        <f>'CF DRIVERS'!AE17</f>
        <v/>
      </c>
      <c r="AF17" s="11">
        <f>'CF DRIVERS'!AF17</f>
        <v/>
      </c>
      <c r="AG17" s="11">
        <f>'CF DRIVERS'!AG17</f>
        <v/>
      </c>
      <c r="AH17" s="11">
        <f>'CF DRIVERS'!AH17</f>
        <v/>
      </c>
      <c r="AI17" s="11">
        <f>'CF DRIVERS'!AI17</f>
        <v/>
      </c>
      <c r="AJ17" s="11">
        <f>'CF DRIVERS'!AJ17</f>
        <v/>
      </c>
      <c r="AK17" s="11">
        <f>'CF DRIVERS'!AK17</f>
        <v/>
      </c>
      <c r="AL17" s="11">
        <f>'CF DRIVERS'!AL17</f>
        <v/>
      </c>
      <c r="AM17" s="11">
        <f>'CF DRIVERS'!AM17</f>
        <v/>
      </c>
      <c r="AN17" s="11">
        <f>'CF DRIVERS'!AN17</f>
        <v/>
      </c>
      <c r="AO17" s="11">
        <f>'CF DRIVERS'!AO17</f>
        <v/>
      </c>
      <c r="AP17" s="11">
        <f>'CF DRIVERS'!AP17</f>
        <v/>
      </c>
      <c r="AQ17" s="11">
        <f>'CF DRIVERS'!AQ17</f>
        <v/>
      </c>
      <c r="AR17" s="11">
        <f>'CF DRIVERS'!AR17</f>
        <v/>
      </c>
      <c r="AS17" s="11">
        <f>'CF DRIVERS'!AS17</f>
        <v/>
      </c>
    </row>
    <row r="18">
      <c r="A18" s="3" t="inlineStr">
        <is>
          <t>Other Operating Items</t>
        </is>
      </c>
      <c r="B18" s="4">
        <f>'YTD CF'!B18</f>
        <v/>
      </c>
      <c r="C18" s="4">
        <f>'YTD CF'!C18-'YTD CF'!B18</f>
        <v/>
      </c>
      <c r="D18" s="4">
        <f>'YTD CF'!D18-'YTD CF'!C18</f>
        <v/>
      </c>
      <c r="E18" s="4">
        <f>'CASH FLOW'!C18-'YTD CF'!D18</f>
        <v/>
      </c>
      <c r="F18" s="4">
        <f>'YTD CF'!E18</f>
        <v/>
      </c>
      <c r="G18" s="4">
        <f>'YTD CF'!F18-'YTD CF'!E18</f>
        <v/>
      </c>
      <c r="H18" s="4">
        <f>'YTD CF'!G18-'YTD CF'!F18</f>
        <v/>
      </c>
      <c r="I18" s="4">
        <f>'CASH FLOW'!D18-'YTD CF'!G18</f>
        <v/>
      </c>
      <c r="J18" s="4">
        <f>'YTD CF'!H18</f>
        <v/>
      </c>
      <c r="K18" s="4">
        <f>'YTD CF'!I18-'YTD CF'!H18</f>
        <v/>
      </c>
      <c r="L18" s="4">
        <f>'YTD CF'!J18-'YTD CF'!I18</f>
        <v/>
      </c>
      <c r="M18" s="4">
        <f>'CASH FLOW'!E18-'YTD CF'!J18</f>
        <v/>
      </c>
      <c r="N18" s="4">
        <f>'YTD CF'!K18</f>
        <v/>
      </c>
      <c r="O18" s="4">
        <f>'YTD CF'!L18-'YTD CF'!K18</f>
        <v/>
      </c>
      <c r="P18" s="4">
        <f>'YTD CF'!M18-'YTD CF'!L18</f>
        <v/>
      </c>
      <c r="Q18" s="4">
        <f>'CASH FLOW'!F18-'YTD CF'!M18</f>
        <v/>
      </c>
      <c r="R18" s="4">
        <f>'YTD CF'!N18</f>
        <v/>
      </c>
      <c r="S18" s="4">
        <f>'YTD CF'!O18-'YTD CF'!N18</f>
        <v/>
      </c>
      <c r="T18" s="4">
        <f>'YTD CF'!P18-'YTD CF'!O18</f>
        <v/>
      </c>
      <c r="U18" s="4">
        <f>'CASH FLOW'!G18-'YTD CF'!P18</f>
        <v/>
      </c>
      <c r="V18" s="4">
        <f>'YTD CF'!Q18</f>
        <v/>
      </c>
      <c r="W18" s="4">
        <f>'YTD CF'!R18-'YTD CF'!Q18</f>
        <v/>
      </c>
      <c r="X18" s="4">
        <f>'YTD CF'!S18-'YTD CF'!R18</f>
        <v/>
      </c>
      <c r="Y18" s="4">
        <f>'CASH FLOW'!H18-'YTD CF'!S18</f>
        <v/>
      </c>
      <c r="Z18" s="11">
        <f>'CF DRIVERS'!Z18</f>
        <v/>
      </c>
      <c r="AA18" s="11">
        <f>'CF DRIVERS'!AA18</f>
        <v/>
      </c>
      <c r="AB18" s="11">
        <f>'CF DRIVERS'!AB18</f>
        <v/>
      </c>
      <c r="AC18" s="11">
        <f>'CF DRIVERS'!AC18</f>
        <v/>
      </c>
      <c r="AD18" s="11">
        <f>'CF DRIVERS'!AD18</f>
        <v/>
      </c>
      <c r="AE18" s="11">
        <f>'CF DRIVERS'!AE18</f>
        <v/>
      </c>
      <c r="AF18" s="11">
        <f>'CF DRIVERS'!AF18</f>
        <v/>
      </c>
      <c r="AG18" s="11">
        <f>'CF DRIVERS'!AG18</f>
        <v/>
      </c>
      <c r="AH18" s="11">
        <f>'CF DRIVERS'!AH18</f>
        <v/>
      </c>
      <c r="AI18" s="11">
        <f>'CF DRIVERS'!AI18</f>
        <v/>
      </c>
      <c r="AJ18" s="11">
        <f>'CF DRIVERS'!AJ18</f>
        <v/>
      </c>
      <c r="AK18" s="11">
        <f>'CF DRIVERS'!AK18</f>
        <v/>
      </c>
      <c r="AL18" s="11">
        <f>'CF DRIVERS'!AL18</f>
        <v/>
      </c>
      <c r="AM18" s="11">
        <f>'CF DRIVERS'!AM18</f>
        <v/>
      </c>
      <c r="AN18" s="11">
        <f>'CF DRIVERS'!AN18</f>
        <v/>
      </c>
      <c r="AO18" s="11">
        <f>'CF DRIVERS'!AO18</f>
        <v/>
      </c>
      <c r="AP18" s="11">
        <f>'CF DRIVERS'!AP18</f>
        <v/>
      </c>
      <c r="AQ18" s="11">
        <f>'CF DRIVERS'!AQ18</f>
        <v/>
      </c>
      <c r="AR18" s="11">
        <f>'CF DRIVERS'!AR18</f>
        <v/>
      </c>
      <c r="AS18" s="11">
        <f>'CF DRIVERS'!AS18</f>
        <v/>
      </c>
    </row>
    <row r="19">
      <c r="A19" s="3" t="inlineStr">
        <is>
          <t>Accounts Receivable</t>
        </is>
      </c>
      <c r="B19" s="4">
        <f>'YTD CF'!B19</f>
        <v/>
      </c>
      <c r="C19" s="4">
        <f>'YTD CF'!C19-'YTD CF'!B19</f>
        <v/>
      </c>
      <c r="D19" s="4">
        <f>'YTD CF'!D19-'YTD CF'!C19</f>
        <v/>
      </c>
      <c r="E19" s="4">
        <f>'CASH FLOW'!C19-'YTD CF'!D19</f>
        <v/>
      </c>
      <c r="F19" s="4">
        <f>'YTD CF'!E19</f>
        <v/>
      </c>
      <c r="G19" s="4">
        <f>'YTD CF'!F19-'YTD CF'!E19</f>
        <v/>
      </c>
      <c r="H19" s="4">
        <f>'YTD CF'!G19-'YTD CF'!F19</f>
        <v/>
      </c>
      <c r="I19" s="4">
        <f>'CASH FLOW'!D19-'YTD CF'!G19</f>
        <v/>
      </c>
      <c r="J19" s="4">
        <f>'YTD CF'!H19</f>
        <v/>
      </c>
      <c r="K19" s="4">
        <f>'YTD CF'!I19-'YTD CF'!H19</f>
        <v/>
      </c>
      <c r="L19" s="4">
        <f>'YTD CF'!J19-'YTD CF'!I19</f>
        <v/>
      </c>
      <c r="M19" s="4">
        <f>'CASH FLOW'!E19-'YTD CF'!J19</f>
        <v/>
      </c>
      <c r="N19" s="4">
        <f>'YTD CF'!K19</f>
        <v/>
      </c>
      <c r="O19" s="4">
        <f>'YTD CF'!L19-'YTD CF'!K19</f>
        <v/>
      </c>
      <c r="P19" s="4">
        <f>'YTD CF'!M19-'YTD CF'!L19</f>
        <v/>
      </c>
      <c r="Q19" s="4">
        <f>'CASH FLOW'!F19-'YTD CF'!M19</f>
        <v/>
      </c>
      <c r="R19" s="4">
        <f>'YTD CF'!N19</f>
        <v/>
      </c>
      <c r="S19" s="4">
        <f>'YTD CF'!O19-'YTD CF'!N19</f>
        <v/>
      </c>
      <c r="T19" s="4">
        <f>'YTD CF'!P19-'YTD CF'!O19</f>
        <v/>
      </c>
      <c r="U19" s="4">
        <f>'CASH FLOW'!G19-'YTD CF'!P19</f>
        <v/>
      </c>
      <c r="V19" s="4">
        <f>'YTD CF'!Q19</f>
        <v/>
      </c>
      <c r="W19" s="4">
        <f>'YTD CF'!R19-'YTD CF'!Q19</f>
        <v/>
      </c>
      <c r="X19" s="4">
        <f>'YTD CF'!S19-'YTD CF'!R19</f>
        <v/>
      </c>
      <c r="Y19" s="4">
        <f>'CASH FLOW'!H19-'YTD CF'!S19</f>
        <v/>
      </c>
      <c r="Z19" s="11">
        <f>'CF DRIVERS'!Z19</f>
        <v/>
      </c>
      <c r="AA19" s="11">
        <f>'CF DRIVERS'!AA19</f>
        <v/>
      </c>
      <c r="AB19" s="11">
        <f>'CF DRIVERS'!AB19</f>
        <v/>
      </c>
      <c r="AC19" s="11">
        <f>'CF DRIVERS'!AC19</f>
        <v/>
      </c>
      <c r="AD19" s="11">
        <f>'CF DRIVERS'!AD19</f>
        <v/>
      </c>
      <c r="AE19" s="11">
        <f>'CF DRIVERS'!AE19</f>
        <v/>
      </c>
      <c r="AF19" s="11">
        <f>'CF DRIVERS'!AF19</f>
        <v/>
      </c>
      <c r="AG19" s="11">
        <f>'CF DRIVERS'!AG19</f>
        <v/>
      </c>
      <c r="AH19" s="11">
        <f>'CF DRIVERS'!AH19</f>
        <v/>
      </c>
      <c r="AI19" s="11">
        <f>'CF DRIVERS'!AI19</f>
        <v/>
      </c>
      <c r="AJ19" s="11">
        <f>'CF DRIVERS'!AJ19</f>
        <v/>
      </c>
      <c r="AK19" s="11">
        <f>'CF DRIVERS'!AK19</f>
        <v/>
      </c>
      <c r="AL19" s="11">
        <f>'CF DRIVERS'!AL19</f>
        <v/>
      </c>
      <c r="AM19" s="11">
        <f>'CF DRIVERS'!AM19</f>
        <v/>
      </c>
      <c r="AN19" s="11">
        <f>'CF DRIVERS'!AN19</f>
        <v/>
      </c>
      <c r="AO19" s="11">
        <f>'CF DRIVERS'!AO19</f>
        <v/>
      </c>
      <c r="AP19" s="11">
        <f>'CF DRIVERS'!AP19</f>
        <v/>
      </c>
      <c r="AQ19" s="11">
        <f>'CF DRIVERS'!AQ19</f>
        <v/>
      </c>
      <c r="AR19" s="11">
        <f>'CF DRIVERS'!AR19</f>
        <v/>
      </c>
      <c r="AS19" s="11">
        <f>'CF DRIVERS'!AS19</f>
        <v/>
      </c>
    </row>
    <row r="20">
      <c r="A20" s="3" t="inlineStr">
        <is>
          <t>Note Receivable</t>
        </is>
      </c>
      <c r="B20" s="4">
        <f>'YTD CF'!B20</f>
        <v/>
      </c>
      <c r="C20" s="4">
        <f>'YTD CF'!C20-'YTD CF'!B20</f>
        <v/>
      </c>
      <c r="D20" s="4">
        <f>'YTD CF'!D20-'YTD CF'!C20</f>
        <v/>
      </c>
      <c r="E20" s="4">
        <f>'CASH FLOW'!C20-'YTD CF'!D20</f>
        <v/>
      </c>
      <c r="F20" s="4">
        <f>'YTD CF'!E20</f>
        <v/>
      </c>
      <c r="G20" s="4">
        <f>'YTD CF'!F20-'YTD CF'!E20</f>
        <v/>
      </c>
      <c r="H20" s="4">
        <f>'YTD CF'!G20-'YTD CF'!F20</f>
        <v/>
      </c>
      <c r="I20" s="4">
        <f>'CASH FLOW'!D20-'YTD CF'!G20</f>
        <v/>
      </c>
      <c r="J20" s="4">
        <f>'YTD CF'!H20</f>
        <v/>
      </c>
      <c r="K20" s="4">
        <f>'YTD CF'!I20-'YTD CF'!H20</f>
        <v/>
      </c>
      <c r="L20" s="4">
        <f>'YTD CF'!J20-'YTD CF'!I20</f>
        <v/>
      </c>
      <c r="M20" s="4">
        <f>'CASH FLOW'!E20-'YTD CF'!J20</f>
        <v/>
      </c>
      <c r="N20" s="4">
        <f>'YTD CF'!K20</f>
        <v/>
      </c>
      <c r="O20" s="4">
        <f>'YTD CF'!L20-'YTD CF'!K20</f>
        <v/>
      </c>
      <c r="P20" s="4">
        <f>'YTD CF'!M20-'YTD CF'!L20</f>
        <v/>
      </c>
      <c r="Q20" s="4">
        <f>'CASH FLOW'!F20-'YTD CF'!M20</f>
        <v/>
      </c>
      <c r="R20" s="4">
        <f>'YTD CF'!N20</f>
        <v/>
      </c>
      <c r="S20" s="4">
        <f>'YTD CF'!O20-'YTD CF'!N20</f>
        <v/>
      </c>
      <c r="T20" s="4">
        <f>'YTD CF'!P20-'YTD CF'!O20</f>
        <v/>
      </c>
      <c r="U20" s="4">
        <f>'CASH FLOW'!G20-'YTD CF'!P20</f>
        <v/>
      </c>
      <c r="V20" s="4">
        <f>'YTD CF'!Q20</f>
        <v/>
      </c>
      <c r="W20" s="4">
        <f>'YTD CF'!R20-'YTD CF'!Q20</f>
        <v/>
      </c>
      <c r="X20" s="4">
        <f>'YTD CF'!S20-'YTD CF'!R20</f>
        <v/>
      </c>
      <c r="Y20" s="4">
        <f>'CASH FLOW'!H20-'YTD CF'!S20</f>
        <v/>
      </c>
      <c r="Z20" s="11">
        <f>'CF DRIVERS'!Z20</f>
        <v/>
      </c>
      <c r="AA20" s="11">
        <f>'CF DRIVERS'!AA20</f>
        <v/>
      </c>
      <c r="AB20" s="11">
        <f>'CF DRIVERS'!AB20</f>
        <v/>
      </c>
      <c r="AC20" s="11">
        <f>'CF DRIVERS'!AC20</f>
        <v/>
      </c>
      <c r="AD20" s="11">
        <f>'CF DRIVERS'!AD20</f>
        <v/>
      </c>
      <c r="AE20" s="11">
        <f>'CF DRIVERS'!AE20</f>
        <v/>
      </c>
      <c r="AF20" s="11">
        <f>'CF DRIVERS'!AF20</f>
        <v/>
      </c>
      <c r="AG20" s="11">
        <f>'CF DRIVERS'!AG20</f>
        <v/>
      </c>
      <c r="AH20" s="11">
        <f>'CF DRIVERS'!AH20</f>
        <v/>
      </c>
      <c r="AI20" s="11">
        <f>'CF DRIVERS'!AI20</f>
        <v/>
      </c>
      <c r="AJ20" s="11">
        <f>'CF DRIVERS'!AJ20</f>
        <v/>
      </c>
      <c r="AK20" s="11">
        <f>'CF DRIVERS'!AK20</f>
        <v/>
      </c>
      <c r="AL20" s="11">
        <f>'CF DRIVERS'!AL20</f>
        <v/>
      </c>
      <c r="AM20" s="11">
        <f>'CF DRIVERS'!AM20</f>
        <v/>
      </c>
      <c r="AN20" s="11">
        <f>'CF DRIVERS'!AN20</f>
        <v/>
      </c>
      <c r="AO20" s="11">
        <f>'CF DRIVERS'!AO20</f>
        <v/>
      </c>
      <c r="AP20" s="11">
        <f>'CF DRIVERS'!AP20</f>
        <v/>
      </c>
      <c r="AQ20" s="11">
        <f>'CF DRIVERS'!AQ20</f>
        <v/>
      </c>
      <c r="AR20" s="11">
        <f>'CF DRIVERS'!AR20</f>
        <v/>
      </c>
      <c r="AS20" s="11">
        <f>'CF DRIVERS'!AS20</f>
        <v/>
      </c>
    </row>
    <row r="21">
      <c r="A21" s="3" t="inlineStr">
        <is>
          <t>Inventories</t>
        </is>
      </c>
      <c r="B21" s="4">
        <f>'YTD CF'!B21</f>
        <v/>
      </c>
      <c r="C21" s="4">
        <f>'YTD CF'!C21-'YTD CF'!B21</f>
        <v/>
      </c>
      <c r="D21" s="4">
        <f>'YTD CF'!D21-'YTD CF'!C21</f>
        <v/>
      </c>
      <c r="E21" s="4">
        <f>'CASH FLOW'!C21-'YTD CF'!D21</f>
        <v/>
      </c>
      <c r="F21" s="4">
        <f>'YTD CF'!E21</f>
        <v/>
      </c>
      <c r="G21" s="4">
        <f>'YTD CF'!F21-'YTD CF'!E21</f>
        <v/>
      </c>
      <c r="H21" s="4">
        <f>'YTD CF'!G21-'YTD CF'!F21</f>
        <v/>
      </c>
      <c r="I21" s="4">
        <f>'CASH FLOW'!D21-'YTD CF'!G21</f>
        <v/>
      </c>
      <c r="J21" s="4">
        <f>'YTD CF'!H21</f>
        <v/>
      </c>
      <c r="K21" s="4">
        <f>'YTD CF'!I21-'YTD CF'!H21</f>
        <v/>
      </c>
      <c r="L21" s="4">
        <f>'YTD CF'!J21-'YTD CF'!I21</f>
        <v/>
      </c>
      <c r="M21" s="4">
        <f>'CASH FLOW'!E21-'YTD CF'!J21</f>
        <v/>
      </c>
      <c r="N21" s="4">
        <f>'YTD CF'!K21</f>
        <v/>
      </c>
      <c r="O21" s="4">
        <f>'YTD CF'!L21-'YTD CF'!K21</f>
        <v/>
      </c>
      <c r="P21" s="4">
        <f>'YTD CF'!M21-'YTD CF'!L21</f>
        <v/>
      </c>
      <c r="Q21" s="4">
        <f>'CASH FLOW'!F21-'YTD CF'!M21</f>
        <v/>
      </c>
      <c r="R21" s="4">
        <f>'YTD CF'!N21</f>
        <v/>
      </c>
      <c r="S21" s="4">
        <f>'YTD CF'!O21-'YTD CF'!N21</f>
        <v/>
      </c>
      <c r="T21" s="4">
        <f>'YTD CF'!P21-'YTD CF'!O21</f>
        <v/>
      </c>
      <c r="U21" s="4">
        <f>'CASH FLOW'!G21-'YTD CF'!P21</f>
        <v/>
      </c>
      <c r="V21" s="4">
        <f>'YTD CF'!Q21</f>
        <v/>
      </c>
      <c r="W21" s="4">
        <f>'YTD CF'!R21-'YTD CF'!Q21</f>
        <v/>
      </c>
      <c r="X21" s="4">
        <f>'YTD CF'!S21-'YTD CF'!R21</f>
        <v/>
      </c>
      <c r="Y21" s="4">
        <f>'CASH FLOW'!H21-'YTD CF'!S21</f>
        <v/>
      </c>
      <c r="Z21" s="11">
        <f>'CF DRIVERS'!Z21</f>
        <v/>
      </c>
      <c r="AA21" s="11">
        <f>'CF DRIVERS'!AA21</f>
        <v/>
      </c>
      <c r="AB21" s="11">
        <f>'CF DRIVERS'!AB21</f>
        <v/>
      </c>
      <c r="AC21" s="11">
        <f>'CF DRIVERS'!AC21</f>
        <v/>
      </c>
      <c r="AD21" s="11">
        <f>'CF DRIVERS'!AD21</f>
        <v/>
      </c>
      <c r="AE21" s="11">
        <f>'CF DRIVERS'!AE21</f>
        <v/>
      </c>
      <c r="AF21" s="11">
        <f>'CF DRIVERS'!AF21</f>
        <v/>
      </c>
      <c r="AG21" s="11">
        <f>'CF DRIVERS'!AG21</f>
        <v/>
      </c>
      <c r="AH21" s="11">
        <f>'CF DRIVERS'!AH21</f>
        <v/>
      </c>
      <c r="AI21" s="11">
        <f>'CF DRIVERS'!AI21</f>
        <v/>
      </c>
      <c r="AJ21" s="11">
        <f>'CF DRIVERS'!AJ21</f>
        <v/>
      </c>
      <c r="AK21" s="11">
        <f>'CF DRIVERS'!AK21</f>
        <v/>
      </c>
      <c r="AL21" s="11">
        <f>'CF DRIVERS'!AL21</f>
        <v/>
      </c>
      <c r="AM21" s="11">
        <f>'CF DRIVERS'!AM21</f>
        <v/>
      </c>
      <c r="AN21" s="11">
        <f>'CF DRIVERS'!AN21</f>
        <v/>
      </c>
      <c r="AO21" s="11">
        <f>'CF DRIVERS'!AO21</f>
        <v/>
      </c>
      <c r="AP21" s="11">
        <f>'CF DRIVERS'!AP21</f>
        <v/>
      </c>
      <c r="AQ21" s="11">
        <f>'CF DRIVERS'!AQ21</f>
        <v/>
      </c>
      <c r="AR21" s="11">
        <f>'CF DRIVERS'!AR21</f>
        <v/>
      </c>
      <c r="AS21" s="11">
        <f>'CF DRIVERS'!AS21</f>
        <v/>
      </c>
    </row>
    <row r="22">
      <c r="A22" s="3" t="inlineStr">
        <is>
          <t>Prepaid Expenses</t>
        </is>
      </c>
      <c r="B22" s="4">
        <f>'YTD CF'!B22</f>
        <v/>
      </c>
      <c r="C22" s="4">
        <f>'YTD CF'!C22-'YTD CF'!B22</f>
        <v/>
      </c>
      <c r="D22" s="4">
        <f>'YTD CF'!D22-'YTD CF'!C22</f>
        <v/>
      </c>
      <c r="E22" s="4">
        <f>'CASH FLOW'!C22-'YTD CF'!D22</f>
        <v/>
      </c>
      <c r="F22" s="4">
        <f>'YTD CF'!E22</f>
        <v/>
      </c>
      <c r="G22" s="4">
        <f>'YTD CF'!F22-'YTD CF'!E22</f>
        <v/>
      </c>
      <c r="H22" s="4">
        <f>'YTD CF'!G22-'YTD CF'!F22</f>
        <v/>
      </c>
      <c r="I22" s="4">
        <f>'CASH FLOW'!D22-'YTD CF'!G22</f>
        <v/>
      </c>
      <c r="J22" s="4">
        <f>'YTD CF'!H22</f>
        <v/>
      </c>
      <c r="K22" s="4">
        <f>'YTD CF'!I22-'YTD CF'!H22</f>
        <v/>
      </c>
      <c r="L22" s="4">
        <f>'YTD CF'!J22-'YTD CF'!I22</f>
        <v/>
      </c>
      <c r="M22" s="4">
        <f>'CASH FLOW'!E22-'YTD CF'!J22</f>
        <v/>
      </c>
      <c r="N22" s="4">
        <f>'YTD CF'!K22</f>
        <v/>
      </c>
      <c r="O22" s="4">
        <f>'YTD CF'!L22-'YTD CF'!K22</f>
        <v/>
      </c>
      <c r="P22" s="4">
        <f>'YTD CF'!M22-'YTD CF'!L22</f>
        <v/>
      </c>
      <c r="Q22" s="4">
        <f>'CASH FLOW'!F22-'YTD CF'!M22</f>
        <v/>
      </c>
      <c r="R22" s="4">
        <f>'YTD CF'!N22</f>
        <v/>
      </c>
      <c r="S22" s="4">
        <f>'YTD CF'!O22-'YTD CF'!N22</f>
        <v/>
      </c>
      <c r="T22" s="4">
        <f>'YTD CF'!P22-'YTD CF'!O22</f>
        <v/>
      </c>
      <c r="U22" s="4">
        <f>'CASH FLOW'!G22-'YTD CF'!P22</f>
        <v/>
      </c>
      <c r="V22" s="4">
        <f>'YTD CF'!Q22</f>
        <v/>
      </c>
      <c r="W22" s="4">
        <f>'YTD CF'!R22-'YTD CF'!Q22</f>
        <v/>
      </c>
      <c r="X22" s="4">
        <f>'YTD CF'!S22-'YTD CF'!R22</f>
        <v/>
      </c>
      <c r="Y22" s="4">
        <f>'CASH FLOW'!H22-'YTD CF'!S22</f>
        <v/>
      </c>
      <c r="Z22" s="11">
        <f>'CF DRIVERS'!Z22</f>
        <v/>
      </c>
      <c r="AA22" s="11">
        <f>'CF DRIVERS'!AA22</f>
        <v/>
      </c>
      <c r="AB22" s="11">
        <f>'CF DRIVERS'!AB22</f>
        <v/>
      </c>
      <c r="AC22" s="11">
        <f>'CF DRIVERS'!AC22</f>
        <v/>
      </c>
      <c r="AD22" s="11">
        <f>'CF DRIVERS'!AD22</f>
        <v/>
      </c>
      <c r="AE22" s="11">
        <f>'CF DRIVERS'!AE22</f>
        <v/>
      </c>
      <c r="AF22" s="11">
        <f>'CF DRIVERS'!AF22</f>
        <v/>
      </c>
      <c r="AG22" s="11">
        <f>'CF DRIVERS'!AG22</f>
        <v/>
      </c>
      <c r="AH22" s="11">
        <f>'CF DRIVERS'!AH22</f>
        <v/>
      </c>
      <c r="AI22" s="11">
        <f>'CF DRIVERS'!AI22</f>
        <v/>
      </c>
      <c r="AJ22" s="11">
        <f>'CF DRIVERS'!AJ22</f>
        <v/>
      </c>
      <c r="AK22" s="11">
        <f>'CF DRIVERS'!AK22</f>
        <v/>
      </c>
      <c r="AL22" s="11">
        <f>'CF DRIVERS'!AL22</f>
        <v/>
      </c>
      <c r="AM22" s="11">
        <f>'CF DRIVERS'!AM22</f>
        <v/>
      </c>
      <c r="AN22" s="11">
        <f>'CF DRIVERS'!AN22</f>
        <v/>
      </c>
      <c r="AO22" s="11">
        <f>'CF DRIVERS'!AO22</f>
        <v/>
      </c>
      <c r="AP22" s="11">
        <f>'CF DRIVERS'!AP22</f>
        <v/>
      </c>
      <c r="AQ22" s="11">
        <f>'CF DRIVERS'!AQ22</f>
        <v/>
      </c>
      <c r="AR22" s="11">
        <f>'CF DRIVERS'!AR22</f>
        <v/>
      </c>
      <c r="AS22" s="11">
        <f>'CF DRIVERS'!AS22</f>
        <v/>
      </c>
    </row>
    <row r="23">
      <c r="A23" s="3" t="inlineStr">
        <is>
          <t>Change in A/P and Accrued (legacy)</t>
        </is>
      </c>
      <c r="B23" s="4">
        <f>'YTD CF'!B23</f>
        <v/>
      </c>
      <c r="C23" s="4">
        <f>'YTD CF'!C23-'YTD CF'!B23</f>
        <v/>
      </c>
      <c r="D23" s="4">
        <f>'YTD CF'!D23-'YTD CF'!C23</f>
        <v/>
      </c>
      <c r="E23" s="4">
        <f>'CASH FLOW'!C23-'YTD CF'!D23</f>
        <v/>
      </c>
      <c r="F23" s="4">
        <f>'YTD CF'!E23</f>
        <v/>
      </c>
      <c r="G23" s="4">
        <f>'YTD CF'!F23-'YTD CF'!E23</f>
        <v/>
      </c>
      <c r="H23" s="4">
        <f>'YTD CF'!G23-'YTD CF'!F23</f>
        <v/>
      </c>
      <c r="I23" s="4">
        <f>'CASH FLOW'!D23-'YTD CF'!G23</f>
        <v/>
      </c>
      <c r="J23" s="4">
        <f>'YTD CF'!H23</f>
        <v/>
      </c>
      <c r="K23" s="4">
        <f>'YTD CF'!I23-'YTD CF'!H23</f>
        <v/>
      </c>
      <c r="L23" s="4">
        <f>'YTD CF'!J23-'YTD CF'!I23</f>
        <v/>
      </c>
      <c r="M23" s="4">
        <f>'CASH FLOW'!E23-'YTD CF'!J23</f>
        <v/>
      </c>
      <c r="N23" s="4">
        <f>'YTD CF'!K23</f>
        <v/>
      </c>
      <c r="O23" s="4">
        <f>'YTD CF'!L23-'YTD CF'!K23</f>
        <v/>
      </c>
      <c r="P23" s="4">
        <f>'YTD CF'!M23-'YTD CF'!L23</f>
        <v/>
      </c>
      <c r="Q23" s="4">
        <f>'CASH FLOW'!F23-'YTD CF'!M23</f>
        <v/>
      </c>
      <c r="R23" s="4">
        <f>'YTD CF'!N23</f>
        <v/>
      </c>
      <c r="S23" s="4">
        <f>'YTD CF'!O23-'YTD CF'!N23</f>
        <v/>
      </c>
      <c r="T23" s="4">
        <f>'YTD CF'!P23-'YTD CF'!O23</f>
        <v/>
      </c>
      <c r="U23" s="4">
        <f>'CASH FLOW'!G23-'YTD CF'!P23</f>
        <v/>
      </c>
      <c r="V23" s="4">
        <f>'YTD CF'!Q23</f>
        <v/>
      </c>
      <c r="W23" s="4">
        <f>'YTD CF'!R23-'YTD CF'!Q23</f>
        <v/>
      </c>
      <c r="X23" s="4">
        <f>'YTD CF'!S23-'YTD CF'!R23</f>
        <v/>
      </c>
      <c r="Y23" s="4">
        <f>'CASH FLOW'!H23-'YTD CF'!S23</f>
        <v/>
      </c>
      <c r="Z23" s="11">
        <f>'CF DRIVERS'!Z23</f>
        <v/>
      </c>
      <c r="AA23" s="11">
        <f>'CF DRIVERS'!AA23</f>
        <v/>
      </c>
      <c r="AB23" s="11">
        <f>'CF DRIVERS'!AB23</f>
        <v/>
      </c>
      <c r="AC23" s="11">
        <f>'CF DRIVERS'!AC23</f>
        <v/>
      </c>
      <c r="AD23" s="11">
        <f>'CF DRIVERS'!AD23</f>
        <v/>
      </c>
      <c r="AE23" s="11">
        <f>'CF DRIVERS'!AE23</f>
        <v/>
      </c>
      <c r="AF23" s="11">
        <f>'CF DRIVERS'!AF23</f>
        <v/>
      </c>
      <c r="AG23" s="11">
        <f>'CF DRIVERS'!AG23</f>
        <v/>
      </c>
      <c r="AH23" s="11">
        <f>'CF DRIVERS'!AH23</f>
        <v/>
      </c>
      <c r="AI23" s="11">
        <f>'CF DRIVERS'!AI23</f>
        <v/>
      </c>
      <c r="AJ23" s="11">
        <f>'CF DRIVERS'!AJ23</f>
        <v/>
      </c>
      <c r="AK23" s="11">
        <f>'CF DRIVERS'!AK23</f>
        <v/>
      </c>
      <c r="AL23" s="11">
        <f>'CF DRIVERS'!AL23</f>
        <v/>
      </c>
      <c r="AM23" s="11">
        <f>'CF DRIVERS'!AM23</f>
        <v/>
      </c>
      <c r="AN23" s="11">
        <f>'CF DRIVERS'!AN23</f>
        <v/>
      </c>
      <c r="AO23" s="11">
        <f>'CF DRIVERS'!AO23</f>
        <v/>
      </c>
      <c r="AP23" s="11">
        <f>'CF DRIVERS'!AP23</f>
        <v/>
      </c>
      <c r="AQ23" s="11">
        <f>'CF DRIVERS'!AQ23</f>
        <v/>
      </c>
      <c r="AR23" s="11">
        <f>'CF DRIVERS'!AR23</f>
        <v/>
      </c>
      <c r="AS23" s="11">
        <f>'CF DRIVERS'!AS23</f>
        <v/>
      </c>
    </row>
    <row r="24">
      <c r="A24" s="3" t="inlineStr">
        <is>
          <t>Other Non-Current Assets</t>
        </is>
      </c>
      <c r="B24" s="4">
        <f>'YTD CF'!B24</f>
        <v/>
      </c>
      <c r="C24" s="4">
        <f>'YTD CF'!C24-'YTD CF'!B24</f>
        <v/>
      </c>
      <c r="D24" s="4">
        <f>'YTD CF'!D24-'YTD CF'!C24</f>
        <v/>
      </c>
      <c r="E24" s="4">
        <f>'CASH FLOW'!C24-'YTD CF'!D24</f>
        <v/>
      </c>
      <c r="F24" s="4">
        <f>'YTD CF'!E24</f>
        <v/>
      </c>
      <c r="G24" s="4">
        <f>'YTD CF'!F24-'YTD CF'!E24</f>
        <v/>
      </c>
      <c r="H24" s="4">
        <f>'YTD CF'!G24-'YTD CF'!F24</f>
        <v/>
      </c>
      <c r="I24" s="4">
        <f>'CASH FLOW'!D24-'YTD CF'!G24</f>
        <v/>
      </c>
      <c r="J24" s="4">
        <f>'YTD CF'!H24</f>
        <v/>
      </c>
      <c r="K24" s="4">
        <f>'YTD CF'!I24-'YTD CF'!H24</f>
        <v/>
      </c>
      <c r="L24" s="4">
        <f>'YTD CF'!J24-'YTD CF'!I24</f>
        <v/>
      </c>
      <c r="M24" s="4">
        <f>'CASH FLOW'!E24-'YTD CF'!J24</f>
        <v/>
      </c>
      <c r="N24" s="4">
        <f>'YTD CF'!K24</f>
        <v/>
      </c>
      <c r="O24" s="4">
        <f>'YTD CF'!L24-'YTD CF'!K24</f>
        <v/>
      </c>
      <c r="P24" s="4">
        <f>'YTD CF'!M24-'YTD CF'!L24</f>
        <v/>
      </c>
      <c r="Q24" s="4">
        <f>'CASH FLOW'!F24-'YTD CF'!M24</f>
        <v/>
      </c>
      <c r="R24" s="4">
        <f>'YTD CF'!N24</f>
        <v/>
      </c>
      <c r="S24" s="4">
        <f>'YTD CF'!O24-'YTD CF'!N24</f>
        <v/>
      </c>
      <c r="T24" s="4">
        <f>'YTD CF'!P24-'YTD CF'!O24</f>
        <v/>
      </c>
      <c r="U24" s="4">
        <f>'CASH FLOW'!G24-'YTD CF'!P24</f>
        <v/>
      </c>
      <c r="V24" s="4">
        <f>'YTD CF'!Q24</f>
        <v/>
      </c>
      <c r="W24" s="4">
        <f>'YTD CF'!R24-'YTD CF'!Q24</f>
        <v/>
      </c>
      <c r="X24" s="4">
        <f>'YTD CF'!S24-'YTD CF'!R24</f>
        <v/>
      </c>
      <c r="Y24" s="4">
        <f>'CASH FLOW'!H24-'YTD CF'!S24</f>
        <v/>
      </c>
      <c r="Z24" s="11">
        <f>'CF DRIVERS'!Z24</f>
        <v/>
      </c>
      <c r="AA24" s="11">
        <f>'CF DRIVERS'!AA24</f>
        <v/>
      </c>
      <c r="AB24" s="11">
        <f>'CF DRIVERS'!AB24</f>
        <v/>
      </c>
      <c r="AC24" s="11">
        <f>'CF DRIVERS'!AC24</f>
        <v/>
      </c>
      <c r="AD24" s="11">
        <f>'CF DRIVERS'!AD24</f>
        <v/>
      </c>
      <c r="AE24" s="11">
        <f>'CF DRIVERS'!AE24</f>
        <v/>
      </c>
      <c r="AF24" s="11">
        <f>'CF DRIVERS'!AF24</f>
        <v/>
      </c>
      <c r="AG24" s="11">
        <f>'CF DRIVERS'!AG24</f>
        <v/>
      </c>
      <c r="AH24" s="11">
        <f>'CF DRIVERS'!AH24</f>
        <v/>
      </c>
      <c r="AI24" s="11">
        <f>'CF DRIVERS'!AI24</f>
        <v/>
      </c>
      <c r="AJ24" s="11">
        <f>'CF DRIVERS'!AJ24</f>
        <v/>
      </c>
      <c r="AK24" s="11">
        <f>'CF DRIVERS'!AK24</f>
        <v/>
      </c>
      <c r="AL24" s="11">
        <f>'CF DRIVERS'!AL24</f>
        <v/>
      </c>
      <c r="AM24" s="11">
        <f>'CF DRIVERS'!AM24</f>
        <v/>
      </c>
      <c r="AN24" s="11">
        <f>'CF DRIVERS'!AN24</f>
        <v/>
      </c>
      <c r="AO24" s="11">
        <f>'CF DRIVERS'!AO24</f>
        <v/>
      </c>
      <c r="AP24" s="11">
        <f>'CF DRIVERS'!AP24</f>
        <v/>
      </c>
      <c r="AQ24" s="11">
        <f>'CF DRIVERS'!AQ24</f>
        <v/>
      </c>
      <c r="AR24" s="11">
        <f>'CF DRIVERS'!AR24</f>
        <v/>
      </c>
      <c r="AS24" s="11">
        <f>'CF DRIVERS'!AS24</f>
        <v/>
      </c>
    </row>
    <row r="25">
      <c r="A25" s="3" t="inlineStr">
        <is>
          <t>Accounts Payable</t>
        </is>
      </c>
      <c r="B25" s="4">
        <f>'YTD CF'!B25</f>
        <v/>
      </c>
      <c r="C25" s="4">
        <f>'YTD CF'!C25-'YTD CF'!B25</f>
        <v/>
      </c>
      <c r="D25" s="4">
        <f>'YTD CF'!D25-'YTD CF'!C25</f>
        <v/>
      </c>
      <c r="E25" s="4">
        <f>'CASH FLOW'!C25-'YTD CF'!D25</f>
        <v/>
      </c>
      <c r="F25" s="4">
        <f>'YTD CF'!E25</f>
        <v/>
      </c>
      <c r="G25" s="4">
        <f>'YTD CF'!F25-'YTD CF'!E25</f>
        <v/>
      </c>
      <c r="H25" s="4">
        <f>'YTD CF'!G25-'YTD CF'!F25</f>
        <v/>
      </c>
      <c r="I25" s="4">
        <f>'CASH FLOW'!D25-'YTD CF'!G25</f>
        <v/>
      </c>
      <c r="J25" s="4">
        <f>'YTD CF'!H25</f>
        <v/>
      </c>
      <c r="K25" s="4">
        <f>'YTD CF'!I25-'YTD CF'!H25</f>
        <v/>
      </c>
      <c r="L25" s="4">
        <f>'YTD CF'!J25-'YTD CF'!I25</f>
        <v/>
      </c>
      <c r="M25" s="4">
        <f>'CASH FLOW'!E25-'YTD CF'!J25</f>
        <v/>
      </c>
      <c r="N25" s="4">
        <f>'YTD CF'!K25</f>
        <v/>
      </c>
      <c r="O25" s="4">
        <f>'YTD CF'!L25-'YTD CF'!K25</f>
        <v/>
      </c>
      <c r="P25" s="4">
        <f>'YTD CF'!M25-'YTD CF'!L25</f>
        <v/>
      </c>
      <c r="Q25" s="4">
        <f>'CASH FLOW'!F25-'YTD CF'!M25</f>
        <v/>
      </c>
      <c r="R25" s="4">
        <f>'YTD CF'!N25</f>
        <v/>
      </c>
      <c r="S25" s="4">
        <f>'YTD CF'!O25-'YTD CF'!N25</f>
        <v/>
      </c>
      <c r="T25" s="4">
        <f>'YTD CF'!P25-'YTD CF'!O25</f>
        <v/>
      </c>
      <c r="U25" s="4">
        <f>'CASH FLOW'!G25-'YTD CF'!P25</f>
        <v/>
      </c>
      <c r="V25" s="4">
        <f>'YTD CF'!Q25</f>
        <v/>
      </c>
      <c r="W25" s="4">
        <f>'YTD CF'!R25-'YTD CF'!Q25</f>
        <v/>
      </c>
      <c r="X25" s="4">
        <f>'YTD CF'!S25-'YTD CF'!R25</f>
        <v/>
      </c>
      <c r="Y25" s="4">
        <f>'CASH FLOW'!H25-'YTD CF'!S25</f>
        <v/>
      </c>
      <c r="Z25" s="11">
        <f>'CF DRIVERS'!Z25</f>
        <v/>
      </c>
      <c r="AA25" s="11">
        <f>'CF DRIVERS'!AA25</f>
        <v/>
      </c>
      <c r="AB25" s="11">
        <f>'CF DRIVERS'!AB25</f>
        <v/>
      </c>
      <c r="AC25" s="11">
        <f>'CF DRIVERS'!AC25</f>
        <v/>
      </c>
      <c r="AD25" s="11">
        <f>'CF DRIVERS'!AD25</f>
        <v/>
      </c>
      <c r="AE25" s="11">
        <f>'CF DRIVERS'!AE25</f>
        <v/>
      </c>
      <c r="AF25" s="11">
        <f>'CF DRIVERS'!AF25</f>
        <v/>
      </c>
      <c r="AG25" s="11">
        <f>'CF DRIVERS'!AG25</f>
        <v/>
      </c>
      <c r="AH25" s="11">
        <f>'CF DRIVERS'!AH25</f>
        <v/>
      </c>
      <c r="AI25" s="11">
        <f>'CF DRIVERS'!AI25</f>
        <v/>
      </c>
      <c r="AJ25" s="11">
        <f>'CF DRIVERS'!AJ25</f>
        <v/>
      </c>
      <c r="AK25" s="11">
        <f>'CF DRIVERS'!AK25</f>
        <v/>
      </c>
      <c r="AL25" s="11">
        <f>'CF DRIVERS'!AL25</f>
        <v/>
      </c>
      <c r="AM25" s="11">
        <f>'CF DRIVERS'!AM25</f>
        <v/>
      </c>
      <c r="AN25" s="11">
        <f>'CF DRIVERS'!AN25</f>
        <v/>
      </c>
      <c r="AO25" s="11">
        <f>'CF DRIVERS'!AO25</f>
        <v/>
      </c>
      <c r="AP25" s="11">
        <f>'CF DRIVERS'!AP25</f>
        <v/>
      </c>
      <c r="AQ25" s="11">
        <f>'CF DRIVERS'!AQ25</f>
        <v/>
      </c>
      <c r="AR25" s="11">
        <f>'CF DRIVERS'!AR25</f>
        <v/>
      </c>
      <c r="AS25" s="11">
        <f>'CF DRIVERS'!AS25</f>
        <v/>
      </c>
    </row>
    <row r="26">
      <c r="A26" s="3" t="inlineStr">
        <is>
          <t>Accrued Expenses</t>
        </is>
      </c>
      <c r="B26" s="4">
        <f>'YTD CF'!B26</f>
        <v/>
      </c>
      <c r="C26" s="4">
        <f>'YTD CF'!C26-'YTD CF'!B26</f>
        <v/>
      </c>
      <c r="D26" s="4">
        <f>'YTD CF'!D26-'YTD CF'!C26</f>
        <v/>
      </c>
      <c r="E26" s="4">
        <f>'CASH FLOW'!C26-'YTD CF'!D26</f>
        <v/>
      </c>
      <c r="F26" s="4">
        <f>'YTD CF'!E26</f>
        <v/>
      </c>
      <c r="G26" s="4">
        <f>'YTD CF'!F26-'YTD CF'!E26</f>
        <v/>
      </c>
      <c r="H26" s="4">
        <f>'YTD CF'!G26-'YTD CF'!F26</f>
        <v/>
      </c>
      <c r="I26" s="4">
        <f>'CASH FLOW'!D26-'YTD CF'!G26</f>
        <v/>
      </c>
      <c r="J26" s="4">
        <f>'YTD CF'!H26</f>
        <v/>
      </c>
      <c r="K26" s="4">
        <f>'YTD CF'!I26-'YTD CF'!H26</f>
        <v/>
      </c>
      <c r="L26" s="4">
        <f>'YTD CF'!J26-'YTD CF'!I26</f>
        <v/>
      </c>
      <c r="M26" s="4">
        <f>'CASH FLOW'!E26-'YTD CF'!J26</f>
        <v/>
      </c>
      <c r="N26" s="4">
        <f>'YTD CF'!K26</f>
        <v/>
      </c>
      <c r="O26" s="4">
        <f>'YTD CF'!L26-'YTD CF'!K26</f>
        <v/>
      </c>
      <c r="P26" s="4">
        <f>'YTD CF'!M26-'YTD CF'!L26</f>
        <v/>
      </c>
      <c r="Q26" s="4">
        <f>'CASH FLOW'!F26-'YTD CF'!M26</f>
        <v/>
      </c>
      <c r="R26" s="4">
        <f>'YTD CF'!N26</f>
        <v/>
      </c>
      <c r="S26" s="4">
        <f>'YTD CF'!O26-'YTD CF'!N26</f>
        <v/>
      </c>
      <c r="T26" s="4">
        <f>'YTD CF'!P26-'YTD CF'!O26</f>
        <v/>
      </c>
      <c r="U26" s="4">
        <f>'CASH FLOW'!G26-'YTD CF'!P26</f>
        <v/>
      </c>
      <c r="V26" s="4">
        <f>'YTD CF'!Q26</f>
        <v/>
      </c>
      <c r="W26" s="4">
        <f>'YTD CF'!R26-'YTD CF'!Q26</f>
        <v/>
      </c>
      <c r="X26" s="4">
        <f>'YTD CF'!S26-'YTD CF'!R26</f>
        <v/>
      </c>
      <c r="Y26" s="4">
        <f>'CASH FLOW'!H26-'YTD CF'!S26</f>
        <v/>
      </c>
      <c r="Z26" s="11">
        <f>'CF DRIVERS'!Z26</f>
        <v/>
      </c>
      <c r="AA26" s="11">
        <f>'CF DRIVERS'!AA26</f>
        <v/>
      </c>
      <c r="AB26" s="11">
        <f>'CF DRIVERS'!AB26</f>
        <v/>
      </c>
      <c r="AC26" s="11">
        <f>'CF DRIVERS'!AC26</f>
        <v/>
      </c>
      <c r="AD26" s="11">
        <f>'CF DRIVERS'!AD26</f>
        <v/>
      </c>
      <c r="AE26" s="11">
        <f>'CF DRIVERS'!AE26</f>
        <v/>
      </c>
      <c r="AF26" s="11">
        <f>'CF DRIVERS'!AF26</f>
        <v/>
      </c>
      <c r="AG26" s="11">
        <f>'CF DRIVERS'!AG26</f>
        <v/>
      </c>
      <c r="AH26" s="11">
        <f>'CF DRIVERS'!AH26</f>
        <v/>
      </c>
      <c r="AI26" s="11">
        <f>'CF DRIVERS'!AI26</f>
        <v/>
      </c>
      <c r="AJ26" s="11">
        <f>'CF DRIVERS'!AJ26</f>
        <v/>
      </c>
      <c r="AK26" s="11">
        <f>'CF DRIVERS'!AK26</f>
        <v/>
      </c>
      <c r="AL26" s="11">
        <f>'CF DRIVERS'!AL26</f>
        <v/>
      </c>
      <c r="AM26" s="11">
        <f>'CF DRIVERS'!AM26</f>
        <v/>
      </c>
      <c r="AN26" s="11">
        <f>'CF DRIVERS'!AN26</f>
        <v/>
      </c>
      <c r="AO26" s="11">
        <f>'CF DRIVERS'!AO26</f>
        <v/>
      </c>
      <c r="AP26" s="11">
        <f>'CF DRIVERS'!AP26</f>
        <v/>
      </c>
      <c r="AQ26" s="11">
        <f>'CF DRIVERS'!AQ26</f>
        <v/>
      </c>
      <c r="AR26" s="11">
        <f>'CF DRIVERS'!AR26</f>
        <v/>
      </c>
      <c r="AS26" s="11">
        <f>'CF DRIVERS'!AS26</f>
        <v/>
      </c>
    </row>
    <row r="27">
      <c r="A27" s="3" t="inlineStr">
        <is>
          <t>Change in Income Taxes</t>
        </is>
      </c>
      <c r="B27" s="4">
        <f>'YTD CF'!B27</f>
        <v/>
      </c>
      <c r="C27" s="4">
        <f>'YTD CF'!C27-'YTD CF'!B27</f>
        <v/>
      </c>
      <c r="D27" s="4">
        <f>'YTD CF'!D27-'YTD CF'!C27</f>
        <v/>
      </c>
      <c r="E27" s="4">
        <f>'CASH FLOW'!C27-'YTD CF'!D27</f>
        <v/>
      </c>
      <c r="F27" s="4">
        <f>'YTD CF'!E27</f>
        <v/>
      </c>
      <c r="G27" s="4">
        <f>'YTD CF'!F27-'YTD CF'!E27</f>
        <v/>
      </c>
      <c r="H27" s="4">
        <f>'YTD CF'!G27-'YTD CF'!F27</f>
        <v/>
      </c>
      <c r="I27" s="4">
        <f>'CASH FLOW'!D27-'YTD CF'!G27</f>
        <v/>
      </c>
      <c r="J27" s="4">
        <f>'YTD CF'!H27</f>
        <v/>
      </c>
      <c r="K27" s="4">
        <f>'YTD CF'!I27-'YTD CF'!H27</f>
        <v/>
      </c>
      <c r="L27" s="4">
        <f>'YTD CF'!J27-'YTD CF'!I27</f>
        <v/>
      </c>
      <c r="M27" s="4">
        <f>'CASH FLOW'!E27-'YTD CF'!J27</f>
        <v/>
      </c>
      <c r="N27" s="4">
        <f>'YTD CF'!K27</f>
        <v/>
      </c>
      <c r="O27" s="4">
        <f>'YTD CF'!L27-'YTD CF'!K27</f>
        <v/>
      </c>
      <c r="P27" s="4">
        <f>'YTD CF'!M27-'YTD CF'!L27</f>
        <v/>
      </c>
      <c r="Q27" s="4">
        <f>'CASH FLOW'!F27-'YTD CF'!M27</f>
        <v/>
      </c>
      <c r="R27" s="4">
        <f>'YTD CF'!N27</f>
        <v/>
      </c>
      <c r="S27" s="4">
        <f>'YTD CF'!O27-'YTD CF'!N27</f>
        <v/>
      </c>
      <c r="T27" s="4">
        <f>'YTD CF'!P27-'YTD CF'!O27</f>
        <v/>
      </c>
      <c r="U27" s="4">
        <f>'CASH FLOW'!G27-'YTD CF'!P27</f>
        <v/>
      </c>
      <c r="V27" s="4">
        <f>'YTD CF'!Q27</f>
        <v/>
      </c>
      <c r="W27" s="4">
        <f>'YTD CF'!R27-'YTD CF'!Q27</f>
        <v/>
      </c>
      <c r="X27" s="4">
        <f>'YTD CF'!S27-'YTD CF'!R27</f>
        <v/>
      </c>
      <c r="Y27" s="4">
        <f>'CASH FLOW'!H27-'YTD CF'!S27</f>
        <v/>
      </c>
      <c r="Z27" s="11">
        <f>'CF DRIVERS'!Z27</f>
        <v/>
      </c>
      <c r="AA27" s="11">
        <f>'CF DRIVERS'!AA27</f>
        <v/>
      </c>
      <c r="AB27" s="11">
        <f>'CF DRIVERS'!AB27</f>
        <v/>
      </c>
      <c r="AC27" s="11">
        <f>'CF DRIVERS'!AC27</f>
        <v/>
      </c>
      <c r="AD27" s="11">
        <f>'CF DRIVERS'!AD27</f>
        <v/>
      </c>
      <c r="AE27" s="11">
        <f>'CF DRIVERS'!AE27</f>
        <v/>
      </c>
      <c r="AF27" s="11">
        <f>'CF DRIVERS'!AF27</f>
        <v/>
      </c>
      <c r="AG27" s="11">
        <f>'CF DRIVERS'!AG27</f>
        <v/>
      </c>
      <c r="AH27" s="11">
        <f>'CF DRIVERS'!AH27</f>
        <v/>
      </c>
      <c r="AI27" s="11">
        <f>'CF DRIVERS'!AI27</f>
        <v/>
      </c>
      <c r="AJ27" s="11">
        <f>'CF DRIVERS'!AJ27</f>
        <v/>
      </c>
      <c r="AK27" s="11">
        <f>'CF DRIVERS'!AK27</f>
        <v/>
      </c>
      <c r="AL27" s="11">
        <f>'CF DRIVERS'!AL27</f>
        <v/>
      </c>
      <c r="AM27" s="11">
        <f>'CF DRIVERS'!AM27</f>
        <v/>
      </c>
      <c r="AN27" s="11">
        <f>'CF DRIVERS'!AN27</f>
        <v/>
      </c>
      <c r="AO27" s="11">
        <f>'CF DRIVERS'!AO27</f>
        <v/>
      </c>
      <c r="AP27" s="11">
        <f>'CF DRIVERS'!AP27</f>
        <v/>
      </c>
      <c r="AQ27" s="11">
        <f>'CF DRIVERS'!AQ27</f>
        <v/>
      </c>
      <c r="AR27" s="11">
        <f>'CF DRIVERS'!AR27</f>
        <v/>
      </c>
      <c r="AS27" s="11">
        <f>'CF DRIVERS'!AS27</f>
        <v/>
      </c>
    </row>
    <row r="28">
      <c r="A28" s="3" t="inlineStr">
        <is>
          <t>Accrued Promotional Allowance</t>
        </is>
      </c>
      <c r="B28" s="4">
        <f>'YTD CF'!B28</f>
        <v/>
      </c>
      <c r="C28" s="4">
        <f>'YTD CF'!C28-'YTD CF'!B28</f>
        <v/>
      </c>
      <c r="D28" s="4">
        <f>'YTD CF'!D28-'YTD CF'!C28</f>
        <v/>
      </c>
      <c r="E28" s="4">
        <f>'CASH FLOW'!C28-'YTD CF'!D28</f>
        <v/>
      </c>
      <c r="F28" s="4">
        <f>'YTD CF'!E28</f>
        <v/>
      </c>
      <c r="G28" s="4">
        <f>'YTD CF'!F28-'YTD CF'!E28</f>
        <v/>
      </c>
      <c r="H28" s="4">
        <f>'YTD CF'!G28-'YTD CF'!F28</f>
        <v/>
      </c>
      <c r="I28" s="4">
        <f>'CASH FLOW'!D28-'YTD CF'!G28</f>
        <v/>
      </c>
      <c r="J28" s="4">
        <f>'YTD CF'!H28</f>
        <v/>
      </c>
      <c r="K28" s="4">
        <f>'YTD CF'!I28-'YTD CF'!H28</f>
        <v/>
      </c>
      <c r="L28" s="4">
        <f>'YTD CF'!J28-'YTD CF'!I28</f>
        <v/>
      </c>
      <c r="M28" s="4">
        <f>'CASH FLOW'!E28-'YTD CF'!J28</f>
        <v/>
      </c>
      <c r="N28" s="4">
        <f>'YTD CF'!K28</f>
        <v/>
      </c>
      <c r="O28" s="4">
        <f>'YTD CF'!L28-'YTD CF'!K28</f>
        <v/>
      </c>
      <c r="P28" s="4">
        <f>'YTD CF'!M28-'YTD CF'!L28</f>
        <v/>
      </c>
      <c r="Q28" s="4">
        <f>'CASH FLOW'!F28-'YTD CF'!M28</f>
        <v/>
      </c>
      <c r="R28" s="4">
        <f>'YTD CF'!N28</f>
        <v/>
      </c>
      <c r="S28" s="4">
        <f>'YTD CF'!O28-'YTD CF'!N28</f>
        <v/>
      </c>
      <c r="T28" s="4">
        <f>'YTD CF'!P28-'YTD CF'!O28</f>
        <v/>
      </c>
      <c r="U28" s="4">
        <f>'CASH FLOW'!G28-'YTD CF'!P28</f>
        <v/>
      </c>
      <c r="V28" s="4">
        <f>'YTD CF'!Q28</f>
        <v/>
      </c>
      <c r="W28" s="4">
        <f>'YTD CF'!R28-'YTD CF'!Q28</f>
        <v/>
      </c>
      <c r="X28" s="4">
        <f>'YTD CF'!S28-'YTD CF'!R28</f>
        <v/>
      </c>
      <c r="Y28" s="4">
        <f>'CASH FLOW'!H28-'YTD CF'!S28</f>
        <v/>
      </c>
      <c r="Z28" s="11">
        <f>'CF DRIVERS'!Z28</f>
        <v/>
      </c>
      <c r="AA28" s="11">
        <f>'CF DRIVERS'!AA28</f>
        <v/>
      </c>
      <c r="AB28" s="11">
        <f>'CF DRIVERS'!AB28</f>
        <v/>
      </c>
      <c r="AC28" s="11">
        <f>'CF DRIVERS'!AC28</f>
        <v/>
      </c>
      <c r="AD28" s="11">
        <f>'CF DRIVERS'!AD28</f>
        <v/>
      </c>
      <c r="AE28" s="11">
        <f>'CF DRIVERS'!AE28</f>
        <v/>
      </c>
      <c r="AF28" s="11">
        <f>'CF DRIVERS'!AF28</f>
        <v/>
      </c>
      <c r="AG28" s="11">
        <f>'CF DRIVERS'!AG28</f>
        <v/>
      </c>
      <c r="AH28" s="11">
        <f>'CF DRIVERS'!AH28</f>
        <v/>
      </c>
      <c r="AI28" s="11">
        <f>'CF DRIVERS'!AI28</f>
        <v/>
      </c>
      <c r="AJ28" s="11">
        <f>'CF DRIVERS'!AJ28</f>
        <v/>
      </c>
      <c r="AK28" s="11">
        <f>'CF DRIVERS'!AK28</f>
        <v/>
      </c>
      <c r="AL28" s="11">
        <f>'CF DRIVERS'!AL28</f>
        <v/>
      </c>
      <c r="AM28" s="11">
        <f>'CF DRIVERS'!AM28</f>
        <v/>
      </c>
      <c r="AN28" s="11">
        <f>'CF DRIVERS'!AN28</f>
        <v/>
      </c>
      <c r="AO28" s="11">
        <f>'CF DRIVERS'!AO28</f>
        <v/>
      </c>
      <c r="AP28" s="11">
        <f>'CF DRIVERS'!AP28</f>
        <v/>
      </c>
      <c r="AQ28" s="11">
        <f>'CF DRIVERS'!AQ28</f>
        <v/>
      </c>
      <c r="AR28" s="11">
        <f>'CF DRIVERS'!AR28</f>
        <v/>
      </c>
      <c r="AS28" s="11">
        <f>'CF DRIVERS'!AS28</f>
        <v/>
      </c>
    </row>
    <row r="29">
      <c r="A29" s="3" t="inlineStr">
        <is>
          <t>Accrued Distributor Termination</t>
        </is>
      </c>
      <c r="B29" s="4">
        <f>'YTD CF'!B29</f>
        <v/>
      </c>
      <c r="C29" s="4">
        <f>'YTD CF'!C29-'YTD CF'!B29</f>
        <v/>
      </c>
      <c r="D29" s="4">
        <f>'YTD CF'!D29-'YTD CF'!C29</f>
        <v/>
      </c>
      <c r="E29" s="4">
        <f>'CASH FLOW'!C29-'YTD CF'!D29</f>
        <v/>
      </c>
      <c r="F29" s="4">
        <f>'YTD CF'!E29</f>
        <v/>
      </c>
      <c r="G29" s="4">
        <f>'YTD CF'!F29-'YTD CF'!E29</f>
        <v/>
      </c>
      <c r="H29" s="4">
        <f>'YTD CF'!G29-'YTD CF'!F29</f>
        <v/>
      </c>
      <c r="I29" s="4">
        <f>'CASH FLOW'!D29-'YTD CF'!G29</f>
        <v/>
      </c>
      <c r="J29" s="4">
        <f>'YTD CF'!H29</f>
        <v/>
      </c>
      <c r="K29" s="4">
        <f>'YTD CF'!I29-'YTD CF'!H29</f>
        <v/>
      </c>
      <c r="L29" s="4">
        <f>'YTD CF'!J29-'YTD CF'!I29</f>
        <v/>
      </c>
      <c r="M29" s="4">
        <f>'CASH FLOW'!E29-'YTD CF'!J29</f>
        <v/>
      </c>
      <c r="N29" s="4">
        <f>'YTD CF'!K29</f>
        <v/>
      </c>
      <c r="O29" s="4">
        <f>'YTD CF'!L29-'YTD CF'!K29</f>
        <v/>
      </c>
      <c r="P29" s="4">
        <f>'YTD CF'!M29-'YTD CF'!L29</f>
        <v/>
      </c>
      <c r="Q29" s="4">
        <f>'CASH FLOW'!F29-'YTD CF'!M29</f>
        <v/>
      </c>
      <c r="R29" s="4">
        <f>'YTD CF'!N29</f>
        <v/>
      </c>
      <c r="S29" s="4">
        <f>'YTD CF'!O29-'YTD CF'!N29</f>
        <v/>
      </c>
      <c r="T29" s="4">
        <f>'YTD CF'!P29-'YTD CF'!O29</f>
        <v/>
      </c>
      <c r="U29" s="4">
        <f>'CASH FLOW'!G29-'YTD CF'!P29</f>
        <v/>
      </c>
      <c r="V29" s="4">
        <f>'YTD CF'!Q29</f>
        <v/>
      </c>
      <c r="W29" s="4">
        <f>'YTD CF'!R29-'YTD CF'!Q29</f>
        <v/>
      </c>
      <c r="X29" s="4">
        <f>'YTD CF'!S29-'YTD CF'!R29</f>
        <v/>
      </c>
      <c r="Y29" s="4">
        <f>'CASH FLOW'!H29-'YTD CF'!S29</f>
        <v/>
      </c>
      <c r="Z29" s="11">
        <f>'CF DRIVERS'!Z29</f>
        <v/>
      </c>
      <c r="AA29" s="11">
        <f>'CF DRIVERS'!AA29</f>
        <v/>
      </c>
      <c r="AB29" s="11">
        <f>'CF DRIVERS'!AB29</f>
        <v/>
      </c>
      <c r="AC29" s="11">
        <f>'CF DRIVERS'!AC29</f>
        <v/>
      </c>
      <c r="AD29" s="11">
        <f>'CF DRIVERS'!AD29</f>
        <v/>
      </c>
      <c r="AE29" s="11">
        <f>'CF DRIVERS'!AE29</f>
        <v/>
      </c>
      <c r="AF29" s="11">
        <f>'CF DRIVERS'!AF29</f>
        <v/>
      </c>
      <c r="AG29" s="11">
        <f>'CF DRIVERS'!AG29</f>
        <v/>
      </c>
      <c r="AH29" s="11">
        <f>'CF DRIVERS'!AH29</f>
        <v/>
      </c>
      <c r="AI29" s="11">
        <f>'CF DRIVERS'!AI29</f>
        <v/>
      </c>
      <c r="AJ29" s="11">
        <f>'CF DRIVERS'!AJ29</f>
        <v/>
      </c>
      <c r="AK29" s="11">
        <f>'CF DRIVERS'!AK29</f>
        <v/>
      </c>
      <c r="AL29" s="11">
        <f>'CF DRIVERS'!AL29</f>
        <v/>
      </c>
      <c r="AM29" s="11">
        <f>'CF DRIVERS'!AM29</f>
        <v/>
      </c>
      <c r="AN29" s="11">
        <f>'CF DRIVERS'!AN29</f>
        <v/>
      </c>
      <c r="AO29" s="11">
        <f>'CF DRIVERS'!AO29</f>
        <v/>
      </c>
      <c r="AP29" s="11">
        <f>'CF DRIVERS'!AP29</f>
        <v/>
      </c>
      <c r="AQ29" s="11">
        <f>'CF DRIVERS'!AQ29</f>
        <v/>
      </c>
      <c r="AR29" s="11">
        <f>'CF DRIVERS'!AR29</f>
        <v/>
      </c>
      <c r="AS29" s="11">
        <f>'CF DRIVERS'!AS29</f>
        <v/>
      </c>
    </row>
    <row r="30">
      <c r="A30" s="3" t="inlineStr">
        <is>
          <t>Other Current Liabilities</t>
        </is>
      </c>
      <c r="B30" s="4">
        <f>'YTD CF'!B30</f>
        <v/>
      </c>
      <c r="C30" s="4">
        <f>'YTD CF'!C30-'YTD CF'!B30</f>
        <v/>
      </c>
      <c r="D30" s="4">
        <f>'YTD CF'!D30-'YTD CF'!C30</f>
        <v/>
      </c>
      <c r="E30" s="4">
        <f>'CASH FLOW'!C30-'YTD CF'!D30</f>
        <v/>
      </c>
      <c r="F30" s="4">
        <f>'YTD CF'!E30</f>
        <v/>
      </c>
      <c r="G30" s="4">
        <f>'YTD CF'!F30-'YTD CF'!E30</f>
        <v/>
      </c>
      <c r="H30" s="4">
        <f>'YTD CF'!G30-'YTD CF'!F30</f>
        <v/>
      </c>
      <c r="I30" s="4">
        <f>'CASH FLOW'!D30-'YTD CF'!G30</f>
        <v/>
      </c>
      <c r="J30" s="4">
        <f>'YTD CF'!H30</f>
        <v/>
      </c>
      <c r="K30" s="4">
        <f>'YTD CF'!I30-'YTD CF'!H30</f>
        <v/>
      </c>
      <c r="L30" s="4">
        <f>'YTD CF'!J30-'YTD CF'!I30</f>
        <v/>
      </c>
      <c r="M30" s="4">
        <f>'CASH FLOW'!E30-'YTD CF'!J30</f>
        <v/>
      </c>
      <c r="N30" s="4">
        <f>'YTD CF'!K30</f>
        <v/>
      </c>
      <c r="O30" s="4">
        <f>'YTD CF'!L30-'YTD CF'!K30</f>
        <v/>
      </c>
      <c r="P30" s="4">
        <f>'YTD CF'!M30-'YTD CF'!L30</f>
        <v/>
      </c>
      <c r="Q30" s="4">
        <f>'CASH FLOW'!F30-'YTD CF'!M30</f>
        <v/>
      </c>
      <c r="R30" s="4">
        <f>'YTD CF'!N30</f>
        <v/>
      </c>
      <c r="S30" s="4">
        <f>'YTD CF'!O30-'YTD CF'!N30</f>
        <v/>
      </c>
      <c r="T30" s="4">
        <f>'YTD CF'!P30-'YTD CF'!O30</f>
        <v/>
      </c>
      <c r="U30" s="4">
        <f>'CASH FLOW'!G30-'YTD CF'!P30</f>
        <v/>
      </c>
      <c r="V30" s="4">
        <f>'YTD CF'!Q30</f>
        <v/>
      </c>
      <c r="W30" s="4">
        <f>'YTD CF'!R30-'YTD CF'!Q30</f>
        <v/>
      </c>
      <c r="X30" s="4">
        <f>'YTD CF'!S30-'YTD CF'!R30</f>
        <v/>
      </c>
      <c r="Y30" s="4">
        <f>'CASH FLOW'!H30-'YTD CF'!S30</f>
        <v/>
      </c>
      <c r="Z30" s="11">
        <f>'CF DRIVERS'!Z30</f>
        <v/>
      </c>
      <c r="AA30" s="11">
        <f>'CF DRIVERS'!AA30</f>
        <v/>
      </c>
      <c r="AB30" s="11">
        <f>'CF DRIVERS'!AB30</f>
        <v/>
      </c>
      <c r="AC30" s="11">
        <f>'CF DRIVERS'!AC30</f>
        <v/>
      </c>
      <c r="AD30" s="11">
        <f>'CF DRIVERS'!AD30</f>
        <v/>
      </c>
      <c r="AE30" s="11">
        <f>'CF DRIVERS'!AE30</f>
        <v/>
      </c>
      <c r="AF30" s="11">
        <f>'CF DRIVERS'!AF30</f>
        <v/>
      </c>
      <c r="AG30" s="11">
        <f>'CF DRIVERS'!AG30</f>
        <v/>
      </c>
      <c r="AH30" s="11">
        <f>'CF DRIVERS'!AH30</f>
        <v/>
      </c>
      <c r="AI30" s="11">
        <f>'CF DRIVERS'!AI30</f>
        <v/>
      </c>
      <c r="AJ30" s="11">
        <f>'CF DRIVERS'!AJ30</f>
        <v/>
      </c>
      <c r="AK30" s="11">
        <f>'CF DRIVERS'!AK30</f>
        <v/>
      </c>
      <c r="AL30" s="11">
        <f>'CF DRIVERS'!AL30</f>
        <v/>
      </c>
      <c r="AM30" s="11">
        <f>'CF DRIVERS'!AM30</f>
        <v/>
      </c>
      <c r="AN30" s="11">
        <f>'CF DRIVERS'!AN30</f>
        <v/>
      </c>
      <c r="AO30" s="11">
        <f>'CF DRIVERS'!AO30</f>
        <v/>
      </c>
      <c r="AP30" s="11">
        <f>'CF DRIVERS'!AP30</f>
        <v/>
      </c>
      <c r="AQ30" s="11">
        <f>'CF DRIVERS'!AQ30</f>
        <v/>
      </c>
      <c r="AR30" s="11">
        <f>'CF DRIVERS'!AR30</f>
        <v/>
      </c>
      <c r="AS30" s="11">
        <f>'CF DRIVERS'!AS30</f>
        <v/>
      </c>
    </row>
    <row r="31">
      <c r="A31" s="3" t="inlineStr">
        <is>
          <t>ROU &amp; Lease Liability, Net</t>
        </is>
      </c>
      <c r="B31" s="4">
        <f>'YTD CF'!B31</f>
        <v/>
      </c>
      <c r="C31" s="4">
        <f>'YTD CF'!C31-'YTD CF'!B31</f>
        <v/>
      </c>
      <c r="D31" s="4">
        <f>'YTD CF'!D31-'YTD CF'!C31</f>
        <v/>
      </c>
      <c r="E31" s="4">
        <f>'CASH FLOW'!C31-'YTD CF'!D31</f>
        <v/>
      </c>
      <c r="F31" s="4">
        <f>'YTD CF'!E31</f>
        <v/>
      </c>
      <c r="G31" s="4">
        <f>'YTD CF'!F31-'YTD CF'!E31</f>
        <v/>
      </c>
      <c r="H31" s="4">
        <f>'YTD CF'!G31-'YTD CF'!F31</f>
        <v/>
      </c>
      <c r="I31" s="4">
        <f>'CASH FLOW'!D31-'YTD CF'!G31</f>
        <v/>
      </c>
      <c r="J31" s="4">
        <f>'YTD CF'!H31</f>
        <v/>
      </c>
      <c r="K31" s="4">
        <f>'YTD CF'!I31-'YTD CF'!H31</f>
        <v/>
      </c>
      <c r="L31" s="4">
        <f>'YTD CF'!J31-'YTD CF'!I31</f>
        <v/>
      </c>
      <c r="M31" s="4">
        <f>'CASH FLOW'!E31-'YTD CF'!J31</f>
        <v/>
      </c>
      <c r="N31" s="4">
        <f>'YTD CF'!K31</f>
        <v/>
      </c>
      <c r="O31" s="4">
        <f>'YTD CF'!L31-'YTD CF'!K31</f>
        <v/>
      </c>
      <c r="P31" s="4">
        <f>'YTD CF'!M31-'YTD CF'!L31</f>
        <v/>
      </c>
      <c r="Q31" s="4">
        <f>'CASH FLOW'!F31-'YTD CF'!M31</f>
        <v/>
      </c>
      <c r="R31" s="4">
        <f>'YTD CF'!N31</f>
        <v/>
      </c>
      <c r="S31" s="4">
        <f>'YTD CF'!O31-'YTD CF'!N31</f>
        <v/>
      </c>
      <c r="T31" s="4">
        <f>'YTD CF'!P31-'YTD CF'!O31</f>
        <v/>
      </c>
      <c r="U31" s="4">
        <f>'CASH FLOW'!G31-'YTD CF'!P31</f>
        <v/>
      </c>
      <c r="V31" s="4">
        <f>'YTD CF'!Q31</f>
        <v/>
      </c>
      <c r="W31" s="4">
        <f>'YTD CF'!R31-'YTD CF'!Q31</f>
        <v/>
      </c>
      <c r="X31" s="4">
        <f>'YTD CF'!S31-'YTD CF'!R31</f>
        <v/>
      </c>
      <c r="Y31" s="4">
        <f>'CASH FLOW'!H31-'YTD CF'!S31</f>
        <v/>
      </c>
      <c r="Z31" s="11">
        <f>'CF DRIVERS'!Z31</f>
        <v/>
      </c>
      <c r="AA31" s="11">
        <f>'CF DRIVERS'!AA31</f>
        <v/>
      </c>
      <c r="AB31" s="11">
        <f>'CF DRIVERS'!AB31</f>
        <v/>
      </c>
      <c r="AC31" s="11">
        <f>'CF DRIVERS'!AC31</f>
        <v/>
      </c>
      <c r="AD31" s="11">
        <f>'CF DRIVERS'!AD31</f>
        <v/>
      </c>
      <c r="AE31" s="11">
        <f>'CF DRIVERS'!AE31</f>
        <v/>
      </c>
      <c r="AF31" s="11">
        <f>'CF DRIVERS'!AF31</f>
        <v/>
      </c>
      <c r="AG31" s="11">
        <f>'CF DRIVERS'!AG31</f>
        <v/>
      </c>
      <c r="AH31" s="11">
        <f>'CF DRIVERS'!AH31</f>
        <v/>
      </c>
      <c r="AI31" s="11">
        <f>'CF DRIVERS'!AI31</f>
        <v/>
      </c>
      <c r="AJ31" s="11">
        <f>'CF DRIVERS'!AJ31</f>
        <v/>
      </c>
      <c r="AK31" s="11">
        <f>'CF DRIVERS'!AK31</f>
        <v/>
      </c>
      <c r="AL31" s="11">
        <f>'CF DRIVERS'!AL31</f>
        <v/>
      </c>
      <c r="AM31" s="11">
        <f>'CF DRIVERS'!AM31</f>
        <v/>
      </c>
      <c r="AN31" s="11">
        <f>'CF DRIVERS'!AN31</f>
        <v/>
      </c>
      <c r="AO31" s="11">
        <f>'CF DRIVERS'!AO31</f>
        <v/>
      </c>
      <c r="AP31" s="11">
        <f>'CF DRIVERS'!AP31</f>
        <v/>
      </c>
      <c r="AQ31" s="11">
        <f>'CF DRIVERS'!AQ31</f>
        <v/>
      </c>
      <c r="AR31" s="11">
        <f>'CF DRIVERS'!AR31</f>
        <v/>
      </c>
      <c r="AS31" s="11">
        <f>'CF DRIVERS'!AS31</f>
        <v/>
      </c>
    </row>
    <row r="32">
      <c r="A32" s="3" t="inlineStr">
        <is>
          <t>Deferred Revenue</t>
        </is>
      </c>
      <c r="B32" s="4">
        <f>'YTD CF'!B32</f>
        <v/>
      </c>
      <c r="C32" s="4">
        <f>'YTD CF'!C32-'YTD CF'!B32</f>
        <v/>
      </c>
      <c r="D32" s="4">
        <f>'YTD CF'!D32-'YTD CF'!C32</f>
        <v/>
      </c>
      <c r="E32" s="4">
        <f>'CASH FLOW'!C32-'YTD CF'!D32</f>
        <v/>
      </c>
      <c r="F32" s="4">
        <f>'YTD CF'!E32</f>
        <v/>
      </c>
      <c r="G32" s="4">
        <f>'YTD CF'!F32-'YTD CF'!E32</f>
        <v/>
      </c>
      <c r="H32" s="4">
        <f>'YTD CF'!G32-'YTD CF'!F32</f>
        <v/>
      </c>
      <c r="I32" s="4">
        <f>'CASH FLOW'!D32-'YTD CF'!G32</f>
        <v/>
      </c>
      <c r="J32" s="4">
        <f>'YTD CF'!H32</f>
        <v/>
      </c>
      <c r="K32" s="4">
        <f>'YTD CF'!I32-'YTD CF'!H32</f>
        <v/>
      </c>
      <c r="L32" s="4">
        <f>'YTD CF'!J32-'YTD CF'!I32</f>
        <v/>
      </c>
      <c r="M32" s="4">
        <f>'CASH FLOW'!E32-'YTD CF'!J32</f>
        <v/>
      </c>
      <c r="N32" s="4">
        <f>'YTD CF'!K32</f>
        <v/>
      </c>
      <c r="O32" s="4">
        <f>'YTD CF'!L32-'YTD CF'!K32</f>
        <v/>
      </c>
      <c r="P32" s="4">
        <f>'YTD CF'!M32-'YTD CF'!L32</f>
        <v/>
      </c>
      <c r="Q32" s="4">
        <f>'CASH FLOW'!F32-'YTD CF'!M32</f>
        <v/>
      </c>
      <c r="R32" s="4">
        <f>'YTD CF'!N32</f>
        <v/>
      </c>
      <c r="S32" s="4">
        <f>'YTD CF'!O32-'YTD CF'!N32</f>
        <v/>
      </c>
      <c r="T32" s="4">
        <f>'YTD CF'!P32-'YTD CF'!O32</f>
        <v/>
      </c>
      <c r="U32" s="4">
        <f>'CASH FLOW'!G32-'YTD CF'!P32</f>
        <v/>
      </c>
      <c r="V32" s="4">
        <f>'YTD CF'!Q32</f>
        <v/>
      </c>
      <c r="W32" s="4">
        <f>'YTD CF'!R32-'YTD CF'!Q32</f>
        <v/>
      </c>
      <c r="X32" s="4">
        <f>'YTD CF'!S32-'YTD CF'!R32</f>
        <v/>
      </c>
      <c r="Y32" s="4">
        <f>'CASH FLOW'!H32-'YTD CF'!S32</f>
        <v/>
      </c>
      <c r="Z32" s="11">
        <f>'CF DRIVERS'!Z32</f>
        <v/>
      </c>
      <c r="AA32" s="11">
        <f>'CF DRIVERS'!AA32</f>
        <v/>
      </c>
      <c r="AB32" s="11">
        <f>'CF DRIVERS'!AB32</f>
        <v/>
      </c>
      <c r="AC32" s="11">
        <f>'CF DRIVERS'!AC32</f>
        <v/>
      </c>
      <c r="AD32" s="11">
        <f>'CF DRIVERS'!AD32</f>
        <v/>
      </c>
      <c r="AE32" s="11">
        <f>'CF DRIVERS'!AE32</f>
        <v/>
      </c>
      <c r="AF32" s="11">
        <f>'CF DRIVERS'!AF32</f>
        <v/>
      </c>
      <c r="AG32" s="11">
        <f>'CF DRIVERS'!AG32</f>
        <v/>
      </c>
      <c r="AH32" s="11">
        <f>'CF DRIVERS'!AH32</f>
        <v/>
      </c>
      <c r="AI32" s="11">
        <f>'CF DRIVERS'!AI32</f>
        <v/>
      </c>
      <c r="AJ32" s="11">
        <f>'CF DRIVERS'!AJ32</f>
        <v/>
      </c>
      <c r="AK32" s="11">
        <f>'CF DRIVERS'!AK32</f>
        <v/>
      </c>
      <c r="AL32" s="11">
        <f>'CF DRIVERS'!AL32</f>
        <v/>
      </c>
      <c r="AM32" s="11">
        <f>'CF DRIVERS'!AM32</f>
        <v/>
      </c>
      <c r="AN32" s="11">
        <f>'CF DRIVERS'!AN32</f>
        <v/>
      </c>
      <c r="AO32" s="11">
        <f>'CF DRIVERS'!AO32</f>
        <v/>
      </c>
      <c r="AP32" s="11">
        <f>'CF DRIVERS'!AP32</f>
        <v/>
      </c>
      <c r="AQ32" s="11">
        <f>'CF DRIVERS'!AQ32</f>
        <v/>
      </c>
      <c r="AR32" s="11">
        <f>'CF DRIVERS'!AR32</f>
        <v/>
      </c>
      <c r="AS32" s="11">
        <f>'CF DRIVERS'!AS32</f>
        <v/>
      </c>
    </row>
    <row r="33">
      <c r="A33" s="3" t="inlineStr">
        <is>
          <t>Net Change in Other Working Capital</t>
        </is>
      </c>
      <c r="B33" s="4">
        <f>'YTD CF'!B33</f>
        <v/>
      </c>
      <c r="C33" s="4">
        <f>'YTD CF'!C33-'YTD CF'!B33</f>
        <v/>
      </c>
      <c r="D33" s="4">
        <f>'YTD CF'!D33-'YTD CF'!C33</f>
        <v/>
      </c>
      <c r="E33" s="4">
        <f>'CASH FLOW'!C33-'YTD CF'!D33</f>
        <v/>
      </c>
      <c r="F33" s="4">
        <f>'YTD CF'!E33</f>
        <v/>
      </c>
      <c r="G33" s="4">
        <f>'YTD CF'!F33-'YTD CF'!E33</f>
        <v/>
      </c>
      <c r="H33" s="4">
        <f>'YTD CF'!G33-'YTD CF'!F33</f>
        <v/>
      </c>
      <c r="I33" s="4">
        <f>'CASH FLOW'!D33-'YTD CF'!G33</f>
        <v/>
      </c>
      <c r="J33" s="4">
        <f>'YTD CF'!H33</f>
        <v/>
      </c>
      <c r="K33" s="4">
        <f>'YTD CF'!I33-'YTD CF'!H33</f>
        <v/>
      </c>
      <c r="L33" s="4">
        <f>'YTD CF'!J33-'YTD CF'!I33</f>
        <v/>
      </c>
      <c r="M33" s="4">
        <f>'CASH FLOW'!E33-'YTD CF'!J33</f>
        <v/>
      </c>
      <c r="N33" s="4">
        <f>'YTD CF'!K33</f>
        <v/>
      </c>
      <c r="O33" s="4">
        <f>'YTD CF'!L33-'YTD CF'!K33</f>
        <v/>
      </c>
      <c r="P33" s="4">
        <f>'YTD CF'!M33-'YTD CF'!L33</f>
        <v/>
      </c>
      <c r="Q33" s="4">
        <f>'CASH FLOW'!F33-'YTD CF'!M33</f>
        <v/>
      </c>
      <c r="R33" s="4">
        <f>'YTD CF'!N33</f>
        <v/>
      </c>
      <c r="S33" s="4">
        <f>'YTD CF'!O33-'YTD CF'!N33</f>
        <v/>
      </c>
      <c r="T33" s="4">
        <f>'YTD CF'!P33-'YTD CF'!O33</f>
        <v/>
      </c>
      <c r="U33" s="4">
        <f>'CASH FLOW'!G33-'YTD CF'!P33</f>
        <v/>
      </c>
      <c r="V33" s="4">
        <f>'YTD CF'!Q33</f>
        <v/>
      </c>
      <c r="W33" s="4">
        <f>'YTD CF'!R33-'YTD CF'!Q33</f>
        <v/>
      </c>
      <c r="X33" s="4">
        <f>'YTD CF'!S33-'YTD CF'!R33</f>
        <v/>
      </c>
      <c r="Y33" s="4">
        <f>'CASH FLOW'!H33-'YTD CF'!S33</f>
        <v/>
      </c>
      <c r="Z33" s="11">
        <f>'CF DRIVERS'!Z33</f>
        <v/>
      </c>
      <c r="AA33" s="11">
        <f>'CF DRIVERS'!AA33</f>
        <v/>
      </c>
      <c r="AB33" s="11">
        <f>'CF DRIVERS'!AB33</f>
        <v/>
      </c>
      <c r="AC33" s="11">
        <f>'CF DRIVERS'!AC33</f>
        <v/>
      </c>
      <c r="AD33" s="11">
        <f>'CF DRIVERS'!AD33</f>
        <v/>
      </c>
      <c r="AE33" s="11">
        <f>'CF DRIVERS'!AE33</f>
        <v/>
      </c>
      <c r="AF33" s="11">
        <f>'CF DRIVERS'!AF33</f>
        <v/>
      </c>
      <c r="AG33" s="11">
        <f>'CF DRIVERS'!AG33</f>
        <v/>
      </c>
      <c r="AH33" s="11">
        <f>'CF DRIVERS'!AH33</f>
        <v/>
      </c>
      <c r="AI33" s="11">
        <f>'CF DRIVERS'!AI33</f>
        <v/>
      </c>
      <c r="AJ33" s="11">
        <f>'CF DRIVERS'!AJ33</f>
        <v/>
      </c>
      <c r="AK33" s="11">
        <f>'CF DRIVERS'!AK33</f>
        <v/>
      </c>
      <c r="AL33" s="11">
        <f>'CF DRIVERS'!AL33</f>
        <v/>
      </c>
      <c r="AM33" s="11">
        <f>'CF DRIVERS'!AM33</f>
        <v/>
      </c>
      <c r="AN33" s="11">
        <f>'CF DRIVERS'!AN33</f>
        <v/>
      </c>
      <c r="AO33" s="11">
        <f>'CF DRIVERS'!AO33</f>
        <v/>
      </c>
      <c r="AP33" s="11">
        <f>'CF DRIVERS'!AP33</f>
        <v/>
      </c>
      <c r="AQ33" s="11">
        <f>'CF DRIVERS'!AQ33</f>
        <v/>
      </c>
      <c r="AR33" s="11">
        <f>'CF DRIVERS'!AR33</f>
        <v/>
      </c>
      <c r="AS33" s="11">
        <f>'CF DRIVERS'!AS33</f>
        <v/>
      </c>
    </row>
    <row r="34">
      <c r="A34" s="3" t="inlineStr">
        <is>
          <t>Cash Flow from Operations</t>
        </is>
      </c>
      <c r="B34" s="6">
        <f>'YTD CF'!B34</f>
        <v/>
      </c>
      <c r="C34" s="6">
        <f>'YTD CF'!C34-'YTD CF'!B34</f>
        <v/>
      </c>
      <c r="D34" s="6">
        <f>'YTD CF'!D34-'YTD CF'!C34</f>
        <v/>
      </c>
      <c r="E34" s="6">
        <f>'CASH FLOW'!C34-'YTD CF'!D34</f>
        <v/>
      </c>
      <c r="F34" s="6">
        <f>'YTD CF'!E34</f>
        <v/>
      </c>
      <c r="G34" s="6">
        <f>'YTD CF'!F34-'YTD CF'!E34</f>
        <v/>
      </c>
      <c r="H34" s="6">
        <f>'YTD CF'!G34-'YTD CF'!F34</f>
        <v/>
      </c>
      <c r="I34" s="6">
        <f>'CASH FLOW'!D34-'YTD CF'!G34</f>
        <v/>
      </c>
      <c r="J34" s="6">
        <f>'YTD CF'!H34</f>
        <v/>
      </c>
      <c r="K34" s="6">
        <f>'YTD CF'!I34-'YTD CF'!H34</f>
        <v/>
      </c>
      <c r="L34" s="6">
        <f>'YTD CF'!J34-'YTD CF'!I34</f>
        <v/>
      </c>
      <c r="M34" s="6">
        <f>'CASH FLOW'!E34-'YTD CF'!J34</f>
        <v/>
      </c>
      <c r="N34" s="6">
        <f>'YTD CF'!K34</f>
        <v/>
      </c>
      <c r="O34" s="6">
        <f>'YTD CF'!L34-'YTD CF'!K34</f>
        <v/>
      </c>
      <c r="P34" s="6">
        <f>'YTD CF'!M34-'YTD CF'!L34</f>
        <v/>
      </c>
      <c r="Q34" s="6">
        <f>'CASH FLOW'!F34-'YTD CF'!M34</f>
        <v/>
      </c>
      <c r="R34" s="6">
        <f>'YTD CF'!N34</f>
        <v/>
      </c>
      <c r="S34" s="6">
        <f>'YTD CF'!O34-'YTD CF'!N34</f>
        <v/>
      </c>
      <c r="T34" s="6">
        <f>'YTD CF'!P34-'YTD CF'!O34</f>
        <v/>
      </c>
      <c r="U34" s="6">
        <f>'CASH FLOW'!G34-'YTD CF'!P34</f>
        <v/>
      </c>
      <c r="V34" s="6">
        <f>'YTD CF'!Q34</f>
        <v/>
      </c>
      <c r="W34" s="6">
        <f>'YTD CF'!R34-'YTD CF'!Q34</f>
        <v/>
      </c>
      <c r="X34" s="6">
        <f>'YTD CF'!S34-'YTD CF'!R34</f>
        <v/>
      </c>
      <c r="Y34" s="6">
        <f>'CASH FLOW'!H34-'YTD CF'!S34</f>
        <v/>
      </c>
      <c r="Z34" s="7">
        <f>SUM(Z2:Z33)</f>
        <v/>
      </c>
      <c r="AA34" s="7">
        <f>SUM(AA2:AA33)</f>
        <v/>
      </c>
      <c r="AB34" s="7">
        <f>SUM(AB2:AB33)</f>
        <v/>
      </c>
      <c r="AC34" s="7">
        <f>SUM(AC2:AC33)</f>
        <v/>
      </c>
      <c r="AD34" s="7">
        <f>SUM(AD2:AD33)</f>
        <v/>
      </c>
      <c r="AE34" s="7">
        <f>SUM(AE2:AE33)</f>
        <v/>
      </c>
      <c r="AF34" s="7">
        <f>SUM(AF2:AF33)</f>
        <v/>
      </c>
      <c r="AG34" s="7">
        <f>SUM(AG2:AG33)</f>
        <v/>
      </c>
      <c r="AH34" s="7">
        <f>SUM(AH2:AH33)</f>
        <v/>
      </c>
      <c r="AI34" s="7">
        <f>SUM(AI2:AI33)</f>
        <v/>
      </c>
      <c r="AJ34" s="7">
        <f>SUM(AJ2:AJ33)</f>
        <v/>
      </c>
      <c r="AK34" s="7">
        <f>SUM(AK2:AK33)</f>
        <v/>
      </c>
      <c r="AL34" s="7">
        <f>SUM(AL2:AL33)</f>
        <v/>
      </c>
      <c r="AM34" s="7">
        <f>SUM(AM2:AM33)</f>
        <v/>
      </c>
      <c r="AN34" s="7">
        <f>SUM(AN2:AN33)</f>
        <v/>
      </c>
      <c r="AO34" s="7">
        <f>SUM(AO2:AO33)</f>
        <v/>
      </c>
      <c r="AP34" s="7">
        <f>SUM(AP2:AP33)</f>
        <v/>
      </c>
      <c r="AQ34" s="7">
        <f>SUM(AQ2:AQ33)</f>
        <v/>
      </c>
      <c r="AR34" s="7">
        <f>SUM(AR2:AR33)</f>
        <v/>
      </c>
      <c r="AS34" s="7">
        <f>SUM(AS2:AS33)</f>
        <v/>
      </c>
    </row>
    <row r="35">
      <c r="A35" s="3" t="inlineStr">
        <is>
          <t>Collections from Note Receivable</t>
        </is>
      </c>
      <c r="B35" s="4">
        <f>'YTD CF'!B35</f>
        <v/>
      </c>
      <c r="C35" s="4">
        <f>'YTD CF'!C35-'YTD CF'!B35</f>
        <v/>
      </c>
      <c r="D35" s="4">
        <f>'YTD CF'!D35-'YTD CF'!C35</f>
        <v/>
      </c>
      <c r="E35" s="4">
        <f>'CASH FLOW'!C35-'YTD CF'!D35</f>
        <v/>
      </c>
      <c r="F35" s="4">
        <f>'YTD CF'!E35</f>
        <v/>
      </c>
      <c r="G35" s="4">
        <f>'YTD CF'!F35-'YTD CF'!E35</f>
        <v/>
      </c>
      <c r="H35" s="4">
        <f>'YTD CF'!G35-'YTD CF'!F35</f>
        <v/>
      </c>
      <c r="I35" s="4">
        <f>'CASH FLOW'!D35-'YTD CF'!G35</f>
        <v/>
      </c>
      <c r="J35" s="4">
        <f>'YTD CF'!H35</f>
        <v/>
      </c>
      <c r="K35" s="4">
        <f>'YTD CF'!I35-'YTD CF'!H35</f>
        <v/>
      </c>
      <c r="L35" s="4">
        <f>'YTD CF'!J35-'YTD CF'!I35</f>
        <v/>
      </c>
      <c r="M35" s="4">
        <f>'CASH FLOW'!E35-'YTD CF'!J35</f>
        <v/>
      </c>
      <c r="N35" s="4">
        <f>'YTD CF'!K35</f>
        <v/>
      </c>
      <c r="O35" s="4">
        <f>'YTD CF'!L35-'YTD CF'!K35</f>
        <v/>
      </c>
      <c r="P35" s="4">
        <f>'YTD CF'!M35-'YTD CF'!L35</f>
        <v/>
      </c>
      <c r="Q35" s="4">
        <f>'CASH FLOW'!F35-'YTD CF'!M35</f>
        <v/>
      </c>
      <c r="R35" s="4">
        <f>'YTD CF'!N35</f>
        <v/>
      </c>
      <c r="S35" s="4">
        <f>'YTD CF'!O35-'YTD CF'!N35</f>
        <v/>
      </c>
      <c r="T35" s="4">
        <f>'YTD CF'!P35-'YTD CF'!O35</f>
        <v/>
      </c>
      <c r="U35" s="4">
        <f>'CASH FLOW'!G35-'YTD CF'!P35</f>
        <v/>
      </c>
      <c r="V35" s="4">
        <f>'YTD CF'!Q35</f>
        <v/>
      </c>
      <c r="W35" s="4">
        <f>'YTD CF'!R35-'YTD CF'!Q35</f>
        <v/>
      </c>
      <c r="X35" s="4">
        <f>'YTD CF'!S35-'YTD CF'!R35</f>
        <v/>
      </c>
      <c r="Y35" s="4">
        <f>'CASH FLOW'!H35-'YTD CF'!S35</f>
        <v/>
      </c>
      <c r="Z35" s="11">
        <f>'CF DRIVERS'!Z34</f>
        <v/>
      </c>
      <c r="AA35" s="11">
        <f>'CF DRIVERS'!AA34</f>
        <v/>
      </c>
      <c r="AB35" s="11">
        <f>'CF DRIVERS'!AB34</f>
        <v/>
      </c>
      <c r="AC35" s="11">
        <f>'CF DRIVERS'!AC34</f>
        <v/>
      </c>
      <c r="AD35" s="11">
        <f>'CF DRIVERS'!AD34</f>
        <v/>
      </c>
      <c r="AE35" s="11">
        <f>'CF DRIVERS'!AE34</f>
        <v/>
      </c>
      <c r="AF35" s="11">
        <f>'CF DRIVERS'!AF34</f>
        <v/>
      </c>
      <c r="AG35" s="11">
        <f>'CF DRIVERS'!AG34</f>
        <v/>
      </c>
      <c r="AH35" s="11">
        <f>'CF DRIVERS'!AH34</f>
        <v/>
      </c>
      <c r="AI35" s="11">
        <f>'CF DRIVERS'!AI34</f>
        <v/>
      </c>
      <c r="AJ35" s="11">
        <f>'CF DRIVERS'!AJ34</f>
        <v/>
      </c>
      <c r="AK35" s="11">
        <f>'CF DRIVERS'!AK34</f>
        <v/>
      </c>
      <c r="AL35" s="11">
        <f>'CF DRIVERS'!AL34</f>
        <v/>
      </c>
      <c r="AM35" s="11">
        <f>'CF DRIVERS'!AM34</f>
        <v/>
      </c>
      <c r="AN35" s="11">
        <f>'CF DRIVERS'!AN34</f>
        <v/>
      </c>
      <c r="AO35" s="11">
        <f>'CF DRIVERS'!AO34</f>
        <v/>
      </c>
      <c r="AP35" s="11">
        <f>'CF DRIVERS'!AP34</f>
        <v/>
      </c>
      <c r="AQ35" s="11">
        <f>'CF DRIVERS'!AQ34</f>
        <v/>
      </c>
      <c r="AR35" s="11">
        <f>'CF DRIVERS'!AR34</f>
        <v/>
      </c>
      <c r="AS35" s="11">
        <f>'CF DRIVERS'!AS34</f>
        <v/>
      </c>
    </row>
    <row r="36">
      <c r="A36" s="3" t="inlineStr">
        <is>
          <t>Purchase of PP&amp;E</t>
        </is>
      </c>
      <c r="B36" s="4">
        <f>'YTD CF'!B36</f>
        <v/>
      </c>
      <c r="C36" s="4">
        <f>'YTD CF'!C36-'YTD CF'!B36</f>
        <v/>
      </c>
      <c r="D36" s="4">
        <f>'YTD CF'!D36-'YTD CF'!C36</f>
        <v/>
      </c>
      <c r="E36" s="4">
        <f>'CASH FLOW'!C36-'YTD CF'!D36</f>
        <v/>
      </c>
      <c r="F36" s="4">
        <f>'YTD CF'!E36</f>
        <v/>
      </c>
      <c r="G36" s="4">
        <f>'YTD CF'!F36-'YTD CF'!E36</f>
        <v/>
      </c>
      <c r="H36" s="4">
        <f>'YTD CF'!G36-'YTD CF'!F36</f>
        <v/>
      </c>
      <c r="I36" s="4">
        <f>'CASH FLOW'!D36-'YTD CF'!G36</f>
        <v/>
      </c>
      <c r="J36" s="4">
        <f>'YTD CF'!H36</f>
        <v/>
      </c>
      <c r="K36" s="4">
        <f>'YTD CF'!I36-'YTD CF'!H36</f>
        <v/>
      </c>
      <c r="L36" s="4">
        <f>'YTD CF'!J36-'YTD CF'!I36</f>
        <v/>
      </c>
      <c r="M36" s="4">
        <f>'CASH FLOW'!E36-'YTD CF'!J36</f>
        <v/>
      </c>
      <c r="N36" s="4">
        <f>'YTD CF'!K36</f>
        <v/>
      </c>
      <c r="O36" s="4">
        <f>'YTD CF'!L36-'YTD CF'!K36</f>
        <v/>
      </c>
      <c r="P36" s="4">
        <f>'YTD CF'!M36-'YTD CF'!L36</f>
        <v/>
      </c>
      <c r="Q36" s="4">
        <f>'CASH FLOW'!F36-'YTD CF'!M36</f>
        <v/>
      </c>
      <c r="R36" s="4">
        <f>'YTD CF'!N36</f>
        <v/>
      </c>
      <c r="S36" s="4">
        <f>'YTD CF'!O36-'YTD CF'!N36</f>
        <v/>
      </c>
      <c r="T36" s="4">
        <f>'YTD CF'!P36-'YTD CF'!O36</f>
        <v/>
      </c>
      <c r="U36" s="4">
        <f>'CASH FLOW'!G36-'YTD CF'!P36</f>
        <v/>
      </c>
      <c r="V36" s="4">
        <f>'YTD CF'!Q36</f>
        <v/>
      </c>
      <c r="W36" s="4">
        <f>'YTD CF'!R36-'YTD CF'!Q36</f>
        <v/>
      </c>
      <c r="X36" s="4">
        <f>'YTD CF'!S36-'YTD CF'!R36</f>
        <v/>
      </c>
      <c r="Y36" s="4">
        <f>'CASH FLOW'!H36-'YTD CF'!S36</f>
        <v/>
      </c>
      <c r="Z36" s="11">
        <f>'QTR P&amp;L'!AD2*'CF DRIVERS'!Z35</f>
        <v/>
      </c>
      <c r="AA36" s="11">
        <f>'QTR P&amp;L'!AE2*'CF DRIVERS'!AA35</f>
        <v/>
      </c>
      <c r="AB36" s="11">
        <f>'QTR P&amp;L'!AF2*'CF DRIVERS'!AB35</f>
        <v/>
      </c>
      <c r="AC36" s="11">
        <f>'QTR P&amp;L'!AG2*'CF DRIVERS'!AC35</f>
        <v/>
      </c>
      <c r="AD36" s="11">
        <f>'QTR P&amp;L'!AH2*'CF DRIVERS'!AD35</f>
        <v/>
      </c>
      <c r="AE36" s="11">
        <f>'QTR P&amp;L'!AI2*'CF DRIVERS'!AE35</f>
        <v/>
      </c>
      <c r="AF36" s="11">
        <f>'QTR P&amp;L'!AJ2*'CF DRIVERS'!AF35</f>
        <v/>
      </c>
      <c r="AG36" s="11">
        <f>'QTR P&amp;L'!AK2*'CF DRIVERS'!AG35</f>
        <v/>
      </c>
      <c r="AH36" s="11">
        <f>'QTR P&amp;L'!AL2*'CF DRIVERS'!AH35</f>
        <v/>
      </c>
      <c r="AI36" s="11">
        <f>'QTR P&amp;L'!AM2*'CF DRIVERS'!AI35</f>
        <v/>
      </c>
      <c r="AJ36" s="11">
        <f>'QTR P&amp;L'!AN2*'CF DRIVERS'!AJ35</f>
        <v/>
      </c>
      <c r="AK36" s="11">
        <f>'QTR P&amp;L'!AO2*'CF DRIVERS'!AK35</f>
        <v/>
      </c>
      <c r="AL36" s="11">
        <f>'QTR P&amp;L'!AP2*'CF DRIVERS'!AL35</f>
        <v/>
      </c>
      <c r="AM36" s="11">
        <f>'QTR P&amp;L'!AQ2*'CF DRIVERS'!AM35</f>
        <v/>
      </c>
      <c r="AN36" s="11">
        <f>'QTR P&amp;L'!AR2*'CF DRIVERS'!AN35</f>
        <v/>
      </c>
      <c r="AO36" s="11">
        <f>'QTR P&amp;L'!AS2*'CF DRIVERS'!AO35</f>
        <v/>
      </c>
      <c r="AP36" s="11">
        <f>'QTR P&amp;L'!AT2*'CF DRIVERS'!AP35</f>
        <v/>
      </c>
      <c r="AQ36" s="11">
        <f>'QTR P&amp;L'!AU2*'CF DRIVERS'!AQ35</f>
        <v/>
      </c>
      <c r="AR36" s="11">
        <f>'QTR P&amp;L'!AV2*'CF DRIVERS'!AR35</f>
        <v/>
      </c>
      <c r="AS36" s="11">
        <f>'QTR P&amp;L'!AW2*'CF DRIVERS'!AS35</f>
        <v/>
      </c>
    </row>
    <row r="37">
      <c r="A37" s="3" t="inlineStr">
        <is>
          <t>Purchase of Non-Marketable Equity Securities</t>
        </is>
      </c>
      <c r="B37" s="4">
        <f>'YTD CF'!B37</f>
        <v/>
      </c>
      <c r="C37" s="4">
        <f>'YTD CF'!C37-'YTD CF'!B37</f>
        <v/>
      </c>
      <c r="D37" s="4">
        <f>'YTD CF'!D37-'YTD CF'!C37</f>
        <v/>
      </c>
      <c r="E37" s="4">
        <f>'CASH FLOW'!C37-'YTD CF'!D37</f>
        <v/>
      </c>
      <c r="F37" s="4">
        <f>'YTD CF'!E37</f>
        <v/>
      </c>
      <c r="G37" s="4">
        <f>'YTD CF'!F37-'YTD CF'!E37</f>
        <v/>
      </c>
      <c r="H37" s="4">
        <f>'YTD CF'!G37-'YTD CF'!F37</f>
        <v/>
      </c>
      <c r="I37" s="4">
        <f>'CASH FLOW'!D37-'YTD CF'!G37</f>
        <v/>
      </c>
      <c r="J37" s="4">
        <f>'YTD CF'!H37</f>
        <v/>
      </c>
      <c r="K37" s="4">
        <f>'YTD CF'!I37-'YTD CF'!H37</f>
        <v/>
      </c>
      <c r="L37" s="4">
        <f>'YTD CF'!J37-'YTD CF'!I37</f>
        <v/>
      </c>
      <c r="M37" s="4">
        <f>'CASH FLOW'!E37-'YTD CF'!J37</f>
        <v/>
      </c>
      <c r="N37" s="4">
        <f>'YTD CF'!K37</f>
        <v/>
      </c>
      <c r="O37" s="4">
        <f>'YTD CF'!L37-'YTD CF'!K37</f>
        <v/>
      </c>
      <c r="P37" s="4">
        <f>'YTD CF'!M37-'YTD CF'!L37</f>
        <v/>
      </c>
      <c r="Q37" s="4">
        <f>'CASH FLOW'!F37-'YTD CF'!M37</f>
        <v/>
      </c>
      <c r="R37" s="4">
        <f>'YTD CF'!N37</f>
        <v/>
      </c>
      <c r="S37" s="4">
        <f>'YTD CF'!O37-'YTD CF'!N37</f>
        <v/>
      </c>
      <c r="T37" s="4">
        <f>'YTD CF'!P37-'YTD CF'!O37</f>
        <v/>
      </c>
      <c r="U37" s="4">
        <f>'CASH FLOW'!G37-'YTD CF'!P37</f>
        <v/>
      </c>
      <c r="V37" s="4">
        <f>'YTD CF'!Q37</f>
        <v/>
      </c>
      <c r="W37" s="4">
        <f>'YTD CF'!R37-'YTD CF'!Q37</f>
        <v/>
      </c>
      <c r="X37" s="4">
        <f>'YTD CF'!S37-'YTD CF'!R37</f>
        <v/>
      </c>
      <c r="Y37" s="4">
        <f>'CASH FLOW'!H37-'YTD CF'!S37</f>
        <v/>
      </c>
      <c r="Z37" s="11">
        <f>'CF DRIVERS'!Z36</f>
        <v/>
      </c>
      <c r="AA37" s="11">
        <f>'CF DRIVERS'!AA36</f>
        <v/>
      </c>
      <c r="AB37" s="11">
        <f>'CF DRIVERS'!AB36</f>
        <v/>
      </c>
      <c r="AC37" s="11">
        <f>'CF DRIVERS'!AC36</f>
        <v/>
      </c>
      <c r="AD37" s="11">
        <f>'CF DRIVERS'!AD36</f>
        <v/>
      </c>
      <c r="AE37" s="11">
        <f>'CF DRIVERS'!AE36</f>
        <v/>
      </c>
      <c r="AF37" s="11">
        <f>'CF DRIVERS'!AF36</f>
        <v/>
      </c>
      <c r="AG37" s="11">
        <f>'CF DRIVERS'!AG36</f>
        <v/>
      </c>
      <c r="AH37" s="11">
        <f>'CF DRIVERS'!AH36</f>
        <v/>
      </c>
      <c r="AI37" s="11">
        <f>'CF DRIVERS'!AI36</f>
        <v/>
      </c>
      <c r="AJ37" s="11">
        <f>'CF DRIVERS'!AJ36</f>
        <v/>
      </c>
      <c r="AK37" s="11">
        <f>'CF DRIVERS'!AK36</f>
        <v/>
      </c>
      <c r="AL37" s="11">
        <f>'CF DRIVERS'!AL36</f>
        <v/>
      </c>
      <c r="AM37" s="11">
        <f>'CF DRIVERS'!AM36</f>
        <v/>
      </c>
      <c r="AN37" s="11">
        <f>'CF DRIVERS'!AN36</f>
        <v/>
      </c>
      <c r="AO37" s="11">
        <f>'CF DRIVERS'!AO36</f>
        <v/>
      </c>
      <c r="AP37" s="11">
        <f>'CF DRIVERS'!AP36</f>
        <v/>
      </c>
      <c r="AQ37" s="11">
        <f>'CF DRIVERS'!AQ36</f>
        <v/>
      </c>
      <c r="AR37" s="11">
        <f>'CF DRIVERS'!AR36</f>
        <v/>
      </c>
      <c r="AS37" s="11">
        <f>'CF DRIVERS'!AS36</f>
        <v/>
      </c>
    </row>
    <row r="38">
      <c r="A38" s="3" t="inlineStr">
        <is>
          <t>Acquisition of Big Beverages</t>
        </is>
      </c>
      <c r="B38" s="4">
        <f>'YTD CF'!B38</f>
        <v/>
      </c>
      <c r="C38" s="4">
        <f>'YTD CF'!C38-'YTD CF'!B38</f>
        <v/>
      </c>
      <c r="D38" s="4">
        <f>'YTD CF'!D38-'YTD CF'!C38</f>
        <v/>
      </c>
      <c r="E38" s="4">
        <f>'CASH FLOW'!C38-'YTD CF'!D38</f>
        <v/>
      </c>
      <c r="F38" s="4">
        <f>'YTD CF'!E38</f>
        <v/>
      </c>
      <c r="G38" s="4">
        <f>'YTD CF'!F38-'YTD CF'!E38</f>
        <v/>
      </c>
      <c r="H38" s="4">
        <f>'YTD CF'!G38-'YTD CF'!F38</f>
        <v/>
      </c>
      <c r="I38" s="4">
        <f>'CASH FLOW'!D38-'YTD CF'!G38</f>
        <v/>
      </c>
      <c r="J38" s="4">
        <f>'YTD CF'!H38</f>
        <v/>
      </c>
      <c r="K38" s="4">
        <f>'YTD CF'!I38-'YTD CF'!H38</f>
        <v/>
      </c>
      <c r="L38" s="4">
        <f>'YTD CF'!J38-'YTD CF'!I38</f>
        <v/>
      </c>
      <c r="M38" s="4">
        <f>'CASH FLOW'!E38-'YTD CF'!J38</f>
        <v/>
      </c>
      <c r="N38" s="4">
        <f>'YTD CF'!K38</f>
        <v/>
      </c>
      <c r="O38" s="4">
        <f>'YTD CF'!L38-'YTD CF'!K38</f>
        <v/>
      </c>
      <c r="P38" s="4">
        <f>'YTD CF'!M38-'YTD CF'!L38</f>
        <v/>
      </c>
      <c r="Q38" s="4">
        <f>'CASH FLOW'!F38-'YTD CF'!M38</f>
        <v/>
      </c>
      <c r="R38" s="4">
        <f>'YTD CF'!N38</f>
        <v/>
      </c>
      <c r="S38" s="4">
        <f>'YTD CF'!O38-'YTD CF'!N38</f>
        <v/>
      </c>
      <c r="T38" s="4">
        <f>'YTD CF'!P38-'YTD CF'!O38</f>
        <v/>
      </c>
      <c r="U38" s="4">
        <f>'CASH FLOW'!G38-'YTD CF'!P38</f>
        <v/>
      </c>
      <c r="V38" s="4">
        <f>'YTD CF'!Q38</f>
        <v/>
      </c>
      <c r="W38" s="4">
        <f>'YTD CF'!R38-'YTD CF'!Q38</f>
        <v/>
      </c>
      <c r="X38" s="4">
        <f>'YTD CF'!S38-'YTD CF'!R38</f>
        <v/>
      </c>
      <c r="Y38" s="4">
        <f>'CASH FLOW'!H38-'YTD CF'!S38</f>
        <v/>
      </c>
      <c r="Z38" s="11">
        <f>'CF DRIVERS'!Z37</f>
        <v/>
      </c>
      <c r="AA38" s="11">
        <f>'CF DRIVERS'!AA37</f>
        <v/>
      </c>
      <c r="AB38" s="11">
        <f>'CF DRIVERS'!AB37</f>
        <v/>
      </c>
      <c r="AC38" s="11">
        <f>'CF DRIVERS'!AC37</f>
        <v/>
      </c>
      <c r="AD38" s="11">
        <f>'CF DRIVERS'!AD37</f>
        <v/>
      </c>
      <c r="AE38" s="11">
        <f>'CF DRIVERS'!AE37</f>
        <v/>
      </c>
      <c r="AF38" s="11">
        <f>'CF DRIVERS'!AF37</f>
        <v/>
      </c>
      <c r="AG38" s="11">
        <f>'CF DRIVERS'!AG37</f>
        <v/>
      </c>
      <c r="AH38" s="11">
        <f>'CF DRIVERS'!AH37</f>
        <v/>
      </c>
      <c r="AI38" s="11">
        <f>'CF DRIVERS'!AI37</f>
        <v/>
      </c>
      <c r="AJ38" s="11">
        <f>'CF DRIVERS'!AJ37</f>
        <v/>
      </c>
      <c r="AK38" s="11">
        <f>'CF DRIVERS'!AK37</f>
        <v/>
      </c>
      <c r="AL38" s="11">
        <f>'CF DRIVERS'!AL37</f>
        <v/>
      </c>
      <c r="AM38" s="11">
        <f>'CF DRIVERS'!AM37</f>
        <v/>
      </c>
      <c r="AN38" s="11">
        <f>'CF DRIVERS'!AN37</f>
        <v/>
      </c>
      <c r="AO38" s="11">
        <f>'CF DRIVERS'!AO37</f>
        <v/>
      </c>
      <c r="AP38" s="11">
        <f>'CF DRIVERS'!AP37</f>
        <v/>
      </c>
      <c r="AQ38" s="11">
        <f>'CF DRIVERS'!AQ37</f>
        <v/>
      </c>
      <c r="AR38" s="11">
        <f>'CF DRIVERS'!AR37</f>
        <v/>
      </c>
      <c r="AS38" s="11">
        <f>'CF DRIVERS'!AS37</f>
        <v/>
      </c>
    </row>
    <row r="39">
      <c r="A39" s="3" t="inlineStr">
        <is>
          <t>Acquisitions, Net of Cash Acquired</t>
        </is>
      </c>
      <c r="B39" s="4">
        <f>'YTD CF'!B39</f>
        <v/>
      </c>
      <c r="C39" s="4">
        <f>'YTD CF'!C39-'YTD CF'!B39</f>
        <v/>
      </c>
      <c r="D39" s="4">
        <f>'YTD CF'!D39-'YTD CF'!C39</f>
        <v/>
      </c>
      <c r="E39" s="4">
        <f>'CASH FLOW'!C39-'YTD CF'!D39</f>
        <v/>
      </c>
      <c r="F39" s="4">
        <f>'YTD CF'!E39</f>
        <v/>
      </c>
      <c r="G39" s="4">
        <f>'YTD CF'!F39-'YTD CF'!E39</f>
        <v/>
      </c>
      <c r="H39" s="4">
        <f>'YTD CF'!G39-'YTD CF'!F39</f>
        <v/>
      </c>
      <c r="I39" s="4">
        <f>'CASH FLOW'!D39-'YTD CF'!G39</f>
        <v/>
      </c>
      <c r="J39" s="4">
        <f>'YTD CF'!H39</f>
        <v/>
      </c>
      <c r="K39" s="4">
        <f>'YTD CF'!I39-'YTD CF'!H39</f>
        <v/>
      </c>
      <c r="L39" s="4">
        <f>'YTD CF'!J39-'YTD CF'!I39</f>
        <v/>
      </c>
      <c r="M39" s="4">
        <f>'CASH FLOW'!E39-'YTD CF'!J39</f>
        <v/>
      </c>
      <c r="N39" s="4">
        <f>'YTD CF'!K39</f>
        <v/>
      </c>
      <c r="O39" s="4">
        <f>'YTD CF'!L39-'YTD CF'!K39</f>
        <v/>
      </c>
      <c r="P39" s="4">
        <f>'YTD CF'!M39-'YTD CF'!L39</f>
        <v/>
      </c>
      <c r="Q39" s="4">
        <f>'CASH FLOW'!F39-'YTD CF'!M39</f>
        <v/>
      </c>
      <c r="R39" s="4">
        <f>'YTD CF'!N39</f>
        <v/>
      </c>
      <c r="S39" s="4">
        <f>'YTD CF'!O39-'YTD CF'!N39</f>
        <v/>
      </c>
      <c r="T39" s="4">
        <f>'YTD CF'!P39-'YTD CF'!O39</f>
        <v/>
      </c>
      <c r="U39" s="4">
        <f>'CASH FLOW'!G39-'YTD CF'!P39</f>
        <v/>
      </c>
      <c r="V39" s="4">
        <f>'YTD CF'!Q39</f>
        <v/>
      </c>
      <c r="W39" s="4">
        <f>'YTD CF'!R39-'YTD CF'!Q39</f>
        <v/>
      </c>
      <c r="X39" s="4">
        <f>'YTD CF'!S39-'YTD CF'!R39</f>
        <v/>
      </c>
      <c r="Y39" s="4">
        <f>'CASH FLOW'!H39-'YTD CF'!S39</f>
        <v/>
      </c>
      <c r="Z39" s="11">
        <f>'CF DRIVERS'!Z38</f>
        <v/>
      </c>
      <c r="AA39" s="11">
        <f>'CF DRIVERS'!AA38</f>
        <v/>
      </c>
      <c r="AB39" s="11">
        <f>'CF DRIVERS'!AB38</f>
        <v/>
      </c>
      <c r="AC39" s="11">
        <f>'CF DRIVERS'!AC38</f>
        <v/>
      </c>
      <c r="AD39" s="11">
        <f>'CF DRIVERS'!AD38</f>
        <v/>
      </c>
      <c r="AE39" s="11">
        <f>'CF DRIVERS'!AE38</f>
        <v/>
      </c>
      <c r="AF39" s="11">
        <f>'CF DRIVERS'!AF38</f>
        <v/>
      </c>
      <c r="AG39" s="11">
        <f>'CF DRIVERS'!AG38</f>
        <v/>
      </c>
      <c r="AH39" s="11">
        <f>'CF DRIVERS'!AH38</f>
        <v/>
      </c>
      <c r="AI39" s="11">
        <f>'CF DRIVERS'!AI38</f>
        <v/>
      </c>
      <c r="AJ39" s="11">
        <f>'CF DRIVERS'!AJ38</f>
        <v/>
      </c>
      <c r="AK39" s="11">
        <f>'CF DRIVERS'!AK38</f>
        <v/>
      </c>
      <c r="AL39" s="11">
        <f>'CF DRIVERS'!AL38</f>
        <v/>
      </c>
      <c r="AM39" s="11">
        <f>'CF DRIVERS'!AM38</f>
        <v/>
      </c>
      <c r="AN39" s="11">
        <f>'CF DRIVERS'!AN38</f>
        <v/>
      </c>
      <c r="AO39" s="11">
        <f>'CF DRIVERS'!AO38</f>
        <v/>
      </c>
      <c r="AP39" s="11">
        <f>'CF DRIVERS'!AP38</f>
        <v/>
      </c>
      <c r="AQ39" s="11">
        <f>'CF DRIVERS'!AQ38</f>
        <v/>
      </c>
      <c r="AR39" s="11">
        <f>'CF DRIVERS'!AR38</f>
        <v/>
      </c>
      <c r="AS39" s="11">
        <f>'CF DRIVERS'!AS38</f>
        <v/>
      </c>
    </row>
    <row r="40">
      <c r="A40" s="3" t="inlineStr">
        <is>
          <t>Working Capital Estimate from Pepsi (Rockstar)</t>
        </is>
      </c>
      <c r="Z40" s="11">
        <f>'CF DRIVERS'!Z39</f>
        <v/>
      </c>
      <c r="AA40" s="11">
        <f>'CF DRIVERS'!AA39</f>
        <v/>
      </c>
      <c r="AB40" s="11">
        <f>'CF DRIVERS'!AB39</f>
        <v/>
      </c>
      <c r="AC40" s="11">
        <f>'CF DRIVERS'!AC39</f>
        <v/>
      </c>
      <c r="AD40" s="11">
        <f>'CF DRIVERS'!AD39</f>
        <v/>
      </c>
      <c r="AE40" s="11">
        <f>'CF DRIVERS'!AE39</f>
        <v/>
      </c>
      <c r="AF40" s="11">
        <f>'CF DRIVERS'!AF39</f>
        <v/>
      </c>
      <c r="AG40" s="11">
        <f>'CF DRIVERS'!AG39</f>
        <v/>
      </c>
      <c r="AH40" s="11">
        <f>'CF DRIVERS'!AH39</f>
        <v/>
      </c>
      <c r="AI40" s="11">
        <f>'CF DRIVERS'!AI39</f>
        <v/>
      </c>
      <c r="AJ40" s="11">
        <f>'CF DRIVERS'!AJ39</f>
        <v/>
      </c>
      <c r="AK40" s="11">
        <f>'CF DRIVERS'!AK39</f>
        <v/>
      </c>
      <c r="AL40" s="11">
        <f>'CF DRIVERS'!AL39</f>
        <v/>
      </c>
      <c r="AM40" s="11">
        <f>'CF DRIVERS'!AM39</f>
        <v/>
      </c>
      <c r="AN40" s="11">
        <f>'CF DRIVERS'!AN39</f>
        <v/>
      </c>
      <c r="AO40" s="11">
        <f>'CF DRIVERS'!AO39</f>
        <v/>
      </c>
      <c r="AP40" s="11">
        <f>'CF DRIVERS'!AP39</f>
        <v/>
      </c>
      <c r="AQ40" s="11">
        <f>'CF DRIVERS'!AQ39</f>
        <v/>
      </c>
      <c r="AR40" s="11">
        <f>'CF DRIVERS'!AR39</f>
        <v/>
      </c>
      <c r="AS40" s="11">
        <f>'CF DRIVERS'!AS39</f>
        <v/>
      </c>
    </row>
    <row r="41">
      <c r="A41" s="3" t="inlineStr">
        <is>
          <t>Cash Flow from Investing</t>
        </is>
      </c>
      <c r="B41" s="6">
        <f>'YTD CF'!B41</f>
        <v/>
      </c>
      <c r="C41" s="6">
        <f>'YTD CF'!C41-'YTD CF'!B41</f>
        <v/>
      </c>
      <c r="D41" s="6">
        <f>'YTD CF'!D41-'YTD CF'!C41</f>
        <v/>
      </c>
      <c r="E41" s="6">
        <f>'CASH FLOW'!C41-'YTD CF'!D41</f>
        <v/>
      </c>
      <c r="F41" s="6">
        <f>'YTD CF'!E41</f>
        <v/>
      </c>
      <c r="G41" s="6">
        <f>'YTD CF'!F41-'YTD CF'!E41</f>
        <v/>
      </c>
      <c r="H41" s="6">
        <f>'YTD CF'!G41-'YTD CF'!F41</f>
        <v/>
      </c>
      <c r="I41" s="6">
        <f>'CASH FLOW'!D41-'YTD CF'!G41</f>
        <v/>
      </c>
      <c r="J41" s="6">
        <f>'YTD CF'!H41</f>
        <v/>
      </c>
      <c r="K41" s="6">
        <f>'YTD CF'!I41-'YTD CF'!H41</f>
        <v/>
      </c>
      <c r="L41" s="6">
        <f>'YTD CF'!J41-'YTD CF'!I41</f>
        <v/>
      </c>
      <c r="M41" s="6">
        <f>'CASH FLOW'!E41-'YTD CF'!J41</f>
        <v/>
      </c>
      <c r="N41" s="6">
        <f>'YTD CF'!K41</f>
        <v/>
      </c>
      <c r="O41" s="6">
        <f>'YTD CF'!L41-'YTD CF'!K41</f>
        <v/>
      </c>
      <c r="P41" s="6">
        <f>'YTD CF'!M41-'YTD CF'!L41</f>
        <v/>
      </c>
      <c r="Q41" s="6">
        <f>'CASH FLOW'!F41-'YTD CF'!M41</f>
        <v/>
      </c>
      <c r="R41" s="6">
        <f>'YTD CF'!N41</f>
        <v/>
      </c>
      <c r="S41" s="6">
        <f>'YTD CF'!O41-'YTD CF'!N41</f>
        <v/>
      </c>
      <c r="T41" s="6">
        <f>'YTD CF'!P41-'YTD CF'!O41</f>
        <v/>
      </c>
      <c r="U41" s="6">
        <f>'CASH FLOW'!G41-'YTD CF'!P41</f>
        <v/>
      </c>
      <c r="V41" s="6">
        <f>'YTD CF'!Q41</f>
        <v/>
      </c>
      <c r="W41" s="6">
        <f>'YTD CF'!R41-'YTD CF'!Q41</f>
        <v/>
      </c>
      <c r="X41" s="6">
        <f>'YTD CF'!S41-'YTD CF'!R41</f>
        <v/>
      </c>
      <c r="Y41" s="6">
        <f>'CASH FLOW'!H41-'YTD CF'!S41</f>
        <v/>
      </c>
      <c r="Z41" s="7">
        <f>SUM(Z35:Z40)</f>
        <v/>
      </c>
      <c r="AA41" s="7">
        <f>SUM(AA35:AA40)</f>
        <v/>
      </c>
      <c r="AB41" s="7">
        <f>SUM(AB35:AB40)</f>
        <v/>
      </c>
      <c r="AC41" s="7">
        <f>SUM(AC35:AC40)</f>
        <v/>
      </c>
      <c r="AD41" s="7">
        <f>SUM(AD35:AD40)</f>
        <v/>
      </c>
      <c r="AE41" s="7">
        <f>SUM(AE35:AE40)</f>
        <v/>
      </c>
      <c r="AF41" s="7">
        <f>SUM(AF35:AF40)</f>
        <v/>
      </c>
      <c r="AG41" s="7">
        <f>SUM(AG35:AG40)</f>
        <v/>
      </c>
      <c r="AH41" s="7">
        <f>SUM(AH35:AH40)</f>
        <v/>
      </c>
      <c r="AI41" s="7">
        <f>SUM(AI35:AI40)</f>
        <v/>
      </c>
      <c r="AJ41" s="7">
        <f>SUM(AJ35:AJ40)</f>
        <v/>
      </c>
      <c r="AK41" s="7">
        <f>SUM(AK35:AK40)</f>
        <v/>
      </c>
      <c r="AL41" s="7">
        <f>SUM(AL35:AL40)</f>
        <v/>
      </c>
      <c r="AM41" s="7">
        <f>SUM(AM35:AM40)</f>
        <v/>
      </c>
      <c r="AN41" s="7">
        <f>SUM(AN35:AN40)</f>
        <v/>
      </c>
      <c r="AO41" s="7">
        <f>SUM(AO35:AO40)</f>
        <v/>
      </c>
      <c r="AP41" s="7">
        <f>SUM(AP35:AP40)</f>
        <v/>
      </c>
      <c r="AQ41" s="7">
        <f>SUM(AQ35:AQ40)</f>
        <v/>
      </c>
      <c r="AR41" s="7">
        <f>SUM(AR35:AR40)</f>
        <v/>
      </c>
      <c r="AS41" s="7">
        <f>SUM(AS35:AS40)</f>
        <v/>
      </c>
    </row>
    <row r="42">
      <c r="A42" s="3" t="inlineStr">
        <is>
          <t>Proceeds from Related-Party Notes</t>
        </is>
      </c>
      <c r="B42" s="4">
        <f>'YTD CF'!B42</f>
        <v/>
      </c>
      <c r="C42" s="4">
        <f>'YTD CF'!C42-'YTD CF'!B42</f>
        <v/>
      </c>
      <c r="D42" s="4">
        <f>'YTD CF'!D42-'YTD CF'!C42</f>
        <v/>
      </c>
      <c r="E42" s="4">
        <f>'CASH FLOW'!C42-'YTD CF'!D42</f>
        <v/>
      </c>
      <c r="F42" s="4">
        <f>'YTD CF'!E42</f>
        <v/>
      </c>
      <c r="G42" s="4">
        <f>'YTD CF'!F42-'YTD CF'!E42</f>
        <v/>
      </c>
      <c r="H42" s="4">
        <f>'YTD CF'!G42-'YTD CF'!F42</f>
        <v/>
      </c>
      <c r="I42" s="4">
        <f>'CASH FLOW'!D42-'YTD CF'!G42</f>
        <v/>
      </c>
      <c r="J42" s="4">
        <f>'YTD CF'!H42</f>
        <v/>
      </c>
      <c r="K42" s="4">
        <f>'YTD CF'!I42-'YTD CF'!H42</f>
        <v/>
      </c>
      <c r="L42" s="4">
        <f>'YTD CF'!J42-'YTD CF'!I42</f>
        <v/>
      </c>
      <c r="M42" s="4">
        <f>'CASH FLOW'!E42-'YTD CF'!J42</f>
        <v/>
      </c>
      <c r="N42" s="4">
        <f>'YTD CF'!K42</f>
        <v/>
      </c>
      <c r="O42" s="4">
        <f>'YTD CF'!L42-'YTD CF'!K42</f>
        <v/>
      </c>
      <c r="P42" s="4">
        <f>'YTD CF'!M42-'YTD CF'!L42</f>
        <v/>
      </c>
      <c r="Q42" s="4">
        <f>'CASH FLOW'!F42-'YTD CF'!M42</f>
        <v/>
      </c>
      <c r="R42" s="4">
        <f>'YTD CF'!N42</f>
        <v/>
      </c>
      <c r="S42" s="4">
        <f>'YTD CF'!O42-'YTD CF'!N42</f>
        <v/>
      </c>
      <c r="T42" s="4">
        <f>'YTD CF'!P42-'YTD CF'!O42</f>
        <v/>
      </c>
      <c r="U42" s="4">
        <f>'CASH FLOW'!G42-'YTD CF'!P42</f>
        <v/>
      </c>
      <c r="V42" s="4">
        <f>'YTD CF'!Q42</f>
        <v/>
      </c>
      <c r="W42" s="4">
        <f>'YTD CF'!R42-'YTD CF'!Q42</f>
        <v/>
      </c>
      <c r="X42" s="4">
        <f>'YTD CF'!S42-'YTD CF'!R42</f>
        <v/>
      </c>
      <c r="Y42" s="4">
        <f>'CASH FLOW'!H42-'YTD CF'!S42</f>
        <v/>
      </c>
      <c r="Z42" s="11">
        <f>'CF DRIVERS'!Z40</f>
        <v/>
      </c>
      <c r="AA42" s="11">
        <f>'CF DRIVERS'!AA40</f>
        <v/>
      </c>
      <c r="AB42" s="11">
        <f>'CF DRIVERS'!AB40</f>
        <v/>
      </c>
      <c r="AC42" s="11">
        <f>'CF DRIVERS'!AC40</f>
        <v/>
      </c>
      <c r="AD42" s="11">
        <f>'CF DRIVERS'!AD40</f>
        <v/>
      </c>
      <c r="AE42" s="11">
        <f>'CF DRIVERS'!AE40</f>
        <v/>
      </c>
      <c r="AF42" s="11">
        <f>'CF DRIVERS'!AF40</f>
        <v/>
      </c>
      <c r="AG42" s="11">
        <f>'CF DRIVERS'!AG40</f>
        <v/>
      </c>
      <c r="AH42" s="11">
        <f>'CF DRIVERS'!AH40</f>
        <v/>
      </c>
      <c r="AI42" s="11">
        <f>'CF DRIVERS'!AI40</f>
        <v/>
      </c>
      <c r="AJ42" s="11">
        <f>'CF DRIVERS'!AJ40</f>
        <v/>
      </c>
      <c r="AK42" s="11">
        <f>'CF DRIVERS'!AK40</f>
        <v/>
      </c>
      <c r="AL42" s="11">
        <f>'CF DRIVERS'!AL40</f>
        <v/>
      </c>
      <c r="AM42" s="11">
        <f>'CF DRIVERS'!AM40</f>
        <v/>
      </c>
      <c r="AN42" s="11">
        <f>'CF DRIVERS'!AN40</f>
        <v/>
      </c>
      <c r="AO42" s="11">
        <f>'CF DRIVERS'!AO40</f>
        <v/>
      </c>
      <c r="AP42" s="11">
        <f>'CF DRIVERS'!AP40</f>
        <v/>
      </c>
      <c r="AQ42" s="11">
        <f>'CF DRIVERS'!AQ40</f>
        <v/>
      </c>
      <c r="AR42" s="11">
        <f>'CF DRIVERS'!AR40</f>
        <v/>
      </c>
      <c r="AS42" s="11">
        <f>'CF DRIVERS'!AS40</f>
        <v/>
      </c>
    </row>
    <row r="43">
      <c r="A43" s="3" t="inlineStr">
        <is>
          <t>Payments on Bonds Payable</t>
        </is>
      </c>
      <c r="B43" s="4">
        <f>'YTD CF'!B43</f>
        <v/>
      </c>
      <c r="C43" s="4">
        <f>'YTD CF'!C43-'YTD CF'!B43</f>
        <v/>
      </c>
      <c r="D43" s="4">
        <f>'YTD CF'!D43-'YTD CF'!C43</f>
        <v/>
      </c>
      <c r="E43" s="4">
        <f>'CASH FLOW'!C43-'YTD CF'!D43</f>
        <v/>
      </c>
      <c r="F43" s="4">
        <f>'YTD CF'!E43</f>
        <v/>
      </c>
      <c r="G43" s="4">
        <f>'YTD CF'!F43-'YTD CF'!E43</f>
        <v/>
      </c>
      <c r="H43" s="4">
        <f>'YTD CF'!G43-'YTD CF'!F43</f>
        <v/>
      </c>
      <c r="I43" s="4">
        <f>'CASH FLOW'!D43-'YTD CF'!G43</f>
        <v/>
      </c>
      <c r="J43" s="4">
        <f>'YTD CF'!H43</f>
        <v/>
      </c>
      <c r="K43" s="4">
        <f>'YTD CF'!I43-'YTD CF'!H43</f>
        <v/>
      </c>
      <c r="L43" s="4">
        <f>'YTD CF'!J43-'YTD CF'!I43</f>
        <v/>
      </c>
      <c r="M43" s="4">
        <f>'CASH FLOW'!E43-'YTD CF'!J43</f>
        <v/>
      </c>
      <c r="N43" s="4">
        <f>'YTD CF'!K43</f>
        <v/>
      </c>
      <c r="O43" s="4">
        <f>'YTD CF'!L43-'YTD CF'!K43</f>
        <v/>
      </c>
      <c r="P43" s="4">
        <f>'YTD CF'!M43-'YTD CF'!L43</f>
        <v/>
      </c>
      <c r="Q43" s="4">
        <f>'CASH FLOW'!F43-'YTD CF'!M43</f>
        <v/>
      </c>
      <c r="R43" s="4">
        <f>'YTD CF'!N43</f>
        <v/>
      </c>
      <c r="S43" s="4">
        <f>'YTD CF'!O43-'YTD CF'!N43</f>
        <v/>
      </c>
      <c r="T43" s="4">
        <f>'YTD CF'!P43-'YTD CF'!O43</f>
        <v/>
      </c>
      <c r="U43" s="4">
        <f>'CASH FLOW'!G43-'YTD CF'!P43</f>
        <v/>
      </c>
      <c r="V43" s="4">
        <f>'YTD CF'!Q43</f>
        <v/>
      </c>
      <c r="W43" s="4">
        <f>'YTD CF'!R43-'YTD CF'!Q43</f>
        <v/>
      </c>
      <c r="X43" s="4">
        <f>'YTD CF'!S43-'YTD CF'!R43</f>
        <v/>
      </c>
      <c r="Y43" s="4">
        <f>'CASH FLOW'!H43-'YTD CF'!S43</f>
        <v/>
      </c>
      <c r="Z43" s="11">
        <f>'CF DRIVERS'!Z41</f>
        <v/>
      </c>
      <c r="AA43" s="11">
        <f>'CF DRIVERS'!AA41</f>
        <v/>
      </c>
      <c r="AB43" s="11">
        <f>'CF DRIVERS'!AB41</f>
        <v/>
      </c>
      <c r="AC43" s="11">
        <f>'CF DRIVERS'!AC41</f>
        <v/>
      </c>
      <c r="AD43" s="11">
        <f>'CF DRIVERS'!AD41</f>
        <v/>
      </c>
      <c r="AE43" s="11">
        <f>'CF DRIVERS'!AE41</f>
        <v/>
      </c>
      <c r="AF43" s="11">
        <f>'CF DRIVERS'!AF41</f>
        <v/>
      </c>
      <c r="AG43" s="11">
        <f>'CF DRIVERS'!AG41</f>
        <v/>
      </c>
      <c r="AH43" s="11">
        <f>'CF DRIVERS'!AH41</f>
        <v/>
      </c>
      <c r="AI43" s="11">
        <f>'CF DRIVERS'!AI41</f>
        <v/>
      </c>
      <c r="AJ43" s="11">
        <f>'CF DRIVERS'!AJ41</f>
        <v/>
      </c>
      <c r="AK43" s="11">
        <f>'CF DRIVERS'!AK41</f>
        <v/>
      </c>
      <c r="AL43" s="11">
        <f>'CF DRIVERS'!AL41</f>
        <v/>
      </c>
      <c r="AM43" s="11">
        <f>'CF DRIVERS'!AM41</f>
        <v/>
      </c>
      <c r="AN43" s="11">
        <f>'CF DRIVERS'!AN41</f>
        <v/>
      </c>
      <c r="AO43" s="11">
        <f>'CF DRIVERS'!AO41</f>
        <v/>
      </c>
      <c r="AP43" s="11">
        <f>'CF DRIVERS'!AP41</f>
        <v/>
      </c>
      <c r="AQ43" s="11">
        <f>'CF DRIVERS'!AQ41</f>
        <v/>
      </c>
      <c r="AR43" s="11">
        <f>'CF DRIVERS'!AR41</f>
        <v/>
      </c>
      <c r="AS43" s="11">
        <f>'CF DRIVERS'!AS41</f>
        <v/>
      </c>
    </row>
    <row r="44">
      <c r="A44" s="3" t="inlineStr">
        <is>
          <t>Finance Lease Payments</t>
        </is>
      </c>
      <c r="B44" s="4">
        <f>'YTD CF'!B44</f>
        <v/>
      </c>
      <c r="C44" s="4">
        <f>'YTD CF'!C44-'YTD CF'!B44</f>
        <v/>
      </c>
      <c r="D44" s="4">
        <f>'YTD CF'!D44-'YTD CF'!C44</f>
        <v/>
      </c>
      <c r="E44" s="4">
        <f>'CASH FLOW'!C44-'YTD CF'!D44</f>
        <v/>
      </c>
      <c r="F44" s="4">
        <f>'YTD CF'!E44</f>
        <v/>
      </c>
      <c r="G44" s="4">
        <f>'YTD CF'!F44-'YTD CF'!E44</f>
        <v/>
      </c>
      <c r="H44" s="4">
        <f>'YTD CF'!G44-'YTD CF'!F44</f>
        <v/>
      </c>
      <c r="I44" s="4">
        <f>'CASH FLOW'!D44-'YTD CF'!G44</f>
        <v/>
      </c>
      <c r="J44" s="4">
        <f>'YTD CF'!H44</f>
        <v/>
      </c>
      <c r="K44" s="4">
        <f>'YTD CF'!I44-'YTD CF'!H44</f>
        <v/>
      </c>
      <c r="L44" s="4">
        <f>'YTD CF'!J44-'YTD CF'!I44</f>
        <v/>
      </c>
      <c r="M44" s="4">
        <f>'CASH FLOW'!E44-'YTD CF'!J44</f>
        <v/>
      </c>
      <c r="N44" s="4">
        <f>'YTD CF'!K44</f>
        <v/>
      </c>
      <c r="O44" s="4">
        <f>'YTD CF'!L44-'YTD CF'!K44</f>
        <v/>
      </c>
      <c r="P44" s="4">
        <f>'YTD CF'!M44-'YTD CF'!L44</f>
        <v/>
      </c>
      <c r="Q44" s="4">
        <f>'CASH FLOW'!F44-'YTD CF'!M44</f>
        <v/>
      </c>
      <c r="R44" s="4">
        <f>'YTD CF'!N44</f>
        <v/>
      </c>
      <c r="S44" s="4">
        <f>'YTD CF'!O44-'YTD CF'!N44</f>
        <v/>
      </c>
      <c r="T44" s="4">
        <f>'YTD CF'!P44-'YTD CF'!O44</f>
        <v/>
      </c>
      <c r="U44" s="4">
        <f>'CASH FLOW'!G44-'YTD CF'!P44</f>
        <v/>
      </c>
      <c r="V44" s="4">
        <f>'YTD CF'!Q44</f>
        <v/>
      </c>
      <c r="W44" s="4">
        <f>'YTD CF'!R44-'YTD CF'!Q44</f>
        <v/>
      </c>
      <c r="X44" s="4">
        <f>'YTD CF'!S44-'YTD CF'!R44</f>
        <v/>
      </c>
      <c r="Y44" s="4">
        <f>'CASH FLOW'!H44-'YTD CF'!S44</f>
        <v/>
      </c>
      <c r="Z44" s="11">
        <f>'CF DRIVERS'!Z42</f>
        <v/>
      </c>
      <c r="AA44" s="11">
        <f>'CF DRIVERS'!AA42</f>
        <v/>
      </c>
      <c r="AB44" s="11">
        <f>'CF DRIVERS'!AB42</f>
        <v/>
      </c>
      <c r="AC44" s="11">
        <f>'CF DRIVERS'!AC42</f>
        <v/>
      </c>
      <c r="AD44" s="11">
        <f>'CF DRIVERS'!AD42</f>
        <v/>
      </c>
      <c r="AE44" s="11">
        <f>'CF DRIVERS'!AE42</f>
        <v/>
      </c>
      <c r="AF44" s="11">
        <f>'CF DRIVERS'!AF42</f>
        <v/>
      </c>
      <c r="AG44" s="11">
        <f>'CF DRIVERS'!AG42</f>
        <v/>
      </c>
      <c r="AH44" s="11">
        <f>'CF DRIVERS'!AH42</f>
        <v/>
      </c>
      <c r="AI44" s="11">
        <f>'CF DRIVERS'!AI42</f>
        <v/>
      </c>
      <c r="AJ44" s="11">
        <f>'CF DRIVERS'!AJ42</f>
        <v/>
      </c>
      <c r="AK44" s="11">
        <f>'CF DRIVERS'!AK42</f>
        <v/>
      </c>
      <c r="AL44" s="11">
        <f>'CF DRIVERS'!AL42</f>
        <v/>
      </c>
      <c r="AM44" s="11">
        <f>'CF DRIVERS'!AM42</f>
        <v/>
      </c>
      <c r="AN44" s="11">
        <f>'CF DRIVERS'!AN42</f>
        <v/>
      </c>
      <c r="AO44" s="11">
        <f>'CF DRIVERS'!AO42</f>
        <v/>
      </c>
      <c r="AP44" s="11">
        <f>'CF DRIVERS'!AP42</f>
        <v/>
      </c>
      <c r="AQ44" s="11">
        <f>'CF DRIVERS'!AQ42</f>
        <v/>
      </c>
      <c r="AR44" s="11">
        <f>'CF DRIVERS'!AR42</f>
        <v/>
      </c>
      <c r="AS44" s="11">
        <f>'CF DRIVERS'!AS42</f>
        <v/>
      </c>
    </row>
    <row r="45">
      <c r="A45" s="3" t="inlineStr">
        <is>
          <t>Proceeds from Issuance of Common Stock</t>
        </is>
      </c>
      <c r="B45" s="4">
        <f>'YTD CF'!B45</f>
        <v/>
      </c>
      <c r="C45" s="4">
        <f>'YTD CF'!C45-'YTD CF'!B45</f>
        <v/>
      </c>
      <c r="D45" s="4">
        <f>'YTD CF'!D45-'YTD CF'!C45</f>
        <v/>
      </c>
      <c r="E45" s="4">
        <f>'CASH FLOW'!C48-'YTD CF'!D45</f>
        <v/>
      </c>
      <c r="F45" s="4">
        <f>'YTD CF'!E45</f>
        <v/>
      </c>
      <c r="G45" s="4">
        <f>'YTD CF'!F45-'YTD CF'!E45</f>
        <v/>
      </c>
      <c r="H45" s="4">
        <f>'YTD CF'!G45-'YTD CF'!F45</f>
        <v/>
      </c>
      <c r="I45" s="4">
        <f>'CASH FLOW'!D48-'YTD CF'!G45</f>
        <v/>
      </c>
      <c r="J45" s="4">
        <f>'YTD CF'!H45</f>
        <v/>
      </c>
      <c r="K45" s="4">
        <f>'YTD CF'!I45-'YTD CF'!H45</f>
        <v/>
      </c>
      <c r="L45" s="4">
        <f>'YTD CF'!J45-'YTD CF'!I45</f>
        <v/>
      </c>
      <c r="M45" s="4">
        <f>'CASH FLOW'!E48-'YTD CF'!J45</f>
        <v/>
      </c>
      <c r="N45" s="4">
        <f>'YTD CF'!K45</f>
        <v/>
      </c>
      <c r="O45" s="4">
        <f>'YTD CF'!L45-'YTD CF'!K45</f>
        <v/>
      </c>
      <c r="P45" s="4">
        <f>'YTD CF'!M45-'YTD CF'!L45</f>
        <v/>
      </c>
      <c r="Q45" s="4">
        <f>'CASH FLOW'!F48-'YTD CF'!M45</f>
        <v/>
      </c>
      <c r="R45" s="4">
        <f>'YTD CF'!N45</f>
        <v/>
      </c>
      <c r="S45" s="4">
        <f>'YTD CF'!O45-'YTD CF'!N45</f>
        <v/>
      </c>
      <c r="T45" s="4">
        <f>'YTD CF'!P45-'YTD CF'!O45</f>
        <v/>
      </c>
      <c r="U45" s="4">
        <f>'CASH FLOW'!G48-'YTD CF'!P45</f>
        <v/>
      </c>
      <c r="V45" s="4">
        <f>'YTD CF'!Q45</f>
        <v/>
      </c>
      <c r="W45" s="4">
        <f>'YTD CF'!R45-'YTD CF'!Q45</f>
        <v/>
      </c>
      <c r="X45" s="4">
        <f>'YTD CF'!S45-'YTD CF'!R45</f>
        <v/>
      </c>
      <c r="Y45" s="4">
        <f>'CASH FLOW'!H48-'YTD CF'!S45</f>
        <v/>
      </c>
      <c r="Z45" s="11">
        <f>'CF DRIVERS'!Z43</f>
        <v/>
      </c>
      <c r="AA45" s="11">
        <f>'CF DRIVERS'!AA43</f>
        <v/>
      </c>
      <c r="AB45" s="11">
        <f>'CF DRIVERS'!AB43</f>
        <v/>
      </c>
      <c r="AC45" s="11">
        <f>'CF DRIVERS'!AC43</f>
        <v/>
      </c>
      <c r="AD45" s="11">
        <f>'CF DRIVERS'!AD43</f>
        <v/>
      </c>
      <c r="AE45" s="11">
        <f>'CF DRIVERS'!AE43</f>
        <v/>
      </c>
      <c r="AF45" s="11">
        <f>'CF DRIVERS'!AF43</f>
        <v/>
      </c>
      <c r="AG45" s="11">
        <f>'CF DRIVERS'!AG43</f>
        <v/>
      </c>
      <c r="AH45" s="11">
        <f>'CF DRIVERS'!AH43</f>
        <v/>
      </c>
      <c r="AI45" s="11">
        <f>'CF DRIVERS'!AI43</f>
        <v/>
      </c>
      <c r="AJ45" s="11">
        <f>'CF DRIVERS'!AJ43</f>
        <v/>
      </c>
      <c r="AK45" s="11">
        <f>'CF DRIVERS'!AK43</f>
        <v/>
      </c>
      <c r="AL45" s="11">
        <f>'CF DRIVERS'!AL43</f>
        <v/>
      </c>
      <c r="AM45" s="11">
        <f>'CF DRIVERS'!AM43</f>
        <v/>
      </c>
      <c r="AN45" s="11">
        <f>'CF DRIVERS'!AN43</f>
        <v/>
      </c>
      <c r="AO45" s="11">
        <f>'CF DRIVERS'!AO43</f>
        <v/>
      </c>
      <c r="AP45" s="11">
        <f>'CF DRIVERS'!AP43</f>
        <v/>
      </c>
      <c r="AQ45" s="11">
        <f>'CF DRIVERS'!AQ43</f>
        <v/>
      </c>
      <c r="AR45" s="11">
        <f>'CF DRIVERS'!AR43</f>
        <v/>
      </c>
      <c r="AS45" s="11">
        <f>'CF DRIVERS'!AS43</f>
        <v/>
      </c>
    </row>
    <row r="46">
      <c r="A46" s="3" t="inlineStr">
        <is>
          <t>Proceeds from Exercise of Stock Options</t>
        </is>
      </c>
      <c r="B46" s="4">
        <f>'YTD CF'!B46</f>
        <v/>
      </c>
      <c r="C46" s="4">
        <f>'YTD CF'!C46-'YTD CF'!B46</f>
        <v/>
      </c>
      <c r="D46" s="4">
        <f>'YTD CF'!D46-'YTD CF'!C46</f>
        <v/>
      </c>
      <c r="E46" s="4">
        <f>'CASH FLOW'!C45-'YTD CF'!D46</f>
        <v/>
      </c>
      <c r="F46" s="4">
        <f>'YTD CF'!E46</f>
        <v/>
      </c>
      <c r="G46" s="4">
        <f>'YTD CF'!F46-'YTD CF'!E46</f>
        <v/>
      </c>
      <c r="H46" s="4">
        <f>'YTD CF'!G46-'YTD CF'!F46</f>
        <v/>
      </c>
      <c r="I46" s="4">
        <f>'CASH FLOW'!D45-'YTD CF'!G46</f>
        <v/>
      </c>
      <c r="J46" s="4">
        <f>'YTD CF'!H46</f>
        <v/>
      </c>
      <c r="K46" s="4">
        <f>'YTD CF'!I46-'YTD CF'!H46</f>
        <v/>
      </c>
      <c r="L46" s="4">
        <f>'YTD CF'!J46-'YTD CF'!I46</f>
        <v/>
      </c>
      <c r="M46" s="4">
        <f>'CASH FLOW'!E45-'YTD CF'!J46</f>
        <v/>
      </c>
      <c r="N46" s="4">
        <f>'YTD CF'!K46</f>
        <v/>
      </c>
      <c r="O46" s="4">
        <f>'YTD CF'!L46-'YTD CF'!K46</f>
        <v/>
      </c>
      <c r="P46" s="4">
        <f>'YTD CF'!M46-'YTD CF'!L46</f>
        <v/>
      </c>
      <c r="Q46" s="4">
        <f>'CASH FLOW'!F45-'YTD CF'!M46</f>
        <v/>
      </c>
      <c r="R46" s="4">
        <f>'YTD CF'!N46</f>
        <v/>
      </c>
      <c r="S46" s="4">
        <f>'YTD CF'!O46-'YTD CF'!N46</f>
        <v/>
      </c>
      <c r="T46" s="4">
        <f>'YTD CF'!P46-'YTD CF'!O46</f>
        <v/>
      </c>
      <c r="U46" s="4">
        <f>'CASH FLOW'!G45-'YTD CF'!P46</f>
        <v/>
      </c>
      <c r="V46" s="4">
        <f>'YTD CF'!Q46</f>
        <v/>
      </c>
      <c r="W46" s="4">
        <f>'YTD CF'!R46-'YTD CF'!Q46</f>
        <v/>
      </c>
      <c r="X46" s="4">
        <f>'YTD CF'!S46-'YTD CF'!R46</f>
        <v/>
      </c>
      <c r="Y46" s="4">
        <f>'CASH FLOW'!H45-'YTD CF'!S46</f>
        <v/>
      </c>
      <c r="Z46" s="11">
        <f>'CF DRIVERS'!Z44</f>
        <v/>
      </c>
      <c r="AA46" s="11">
        <f>'CF DRIVERS'!AA44</f>
        <v/>
      </c>
      <c r="AB46" s="11">
        <f>'CF DRIVERS'!AB44</f>
        <v/>
      </c>
      <c r="AC46" s="11">
        <f>'CF DRIVERS'!AC44</f>
        <v/>
      </c>
      <c r="AD46" s="11">
        <f>'CF DRIVERS'!AD44</f>
        <v/>
      </c>
      <c r="AE46" s="11">
        <f>'CF DRIVERS'!AE44</f>
        <v/>
      </c>
      <c r="AF46" s="11">
        <f>'CF DRIVERS'!AF44</f>
        <v/>
      </c>
      <c r="AG46" s="11">
        <f>'CF DRIVERS'!AG44</f>
        <v/>
      </c>
      <c r="AH46" s="11">
        <f>'CF DRIVERS'!AH44</f>
        <v/>
      </c>
      <c r="AI46" s="11">
        <f>'CF DRIVERS'!AI44</f>
        <v/>
      </c>
      <c r="AJ46" s="11">
        <f>'CF DRIVERS'!AJ44</f>
        <v/>
      </c>
      <c r="AK46" s="11">
        <f>'CF DRIVERS'!AK44</f>
        <v/>
      </c>
      <c r="AL46" s="11">
        <f>'CF DRIVERS'!AL44</f>
        <v/>
      </c>
      <c r="AM46" s="11">
        <f>'CF DRIVERS'!AM44</f>
        <v/>
      </c>
      <c r="AN46" s="11">
        <f>'CF DRIVERS'!AN44</f>
        <v/>
      </c>
      <c r="AO46" s="11">
        <f>'CF DRIVERS'!AO44</f>
        <v/>
      </c>
      <c r="AP46" s="11">
        <f>'CF DRIVERS'!AP44</f>
        <v/>
      </c>
      <c r="AQ46" s="11">
        <f>'CF DRIVERS'!AQ44</f>
        <v/>
      </c>
      <c r="AR46" s="11">
        <f>'CF DRIVERS'!AR44</f>
        <v/>
      </c>
      <c r="AS46" s="11">
        <f>'CF DRIVERS'!AS44</f>
        <v/>
      </c>
    </row>
    <row r="47">
      <c r="A47" s="3" t="inlineStr">
        <is>
          <t>Cash Paid for RSU Tax Withholding</t>
        </is>
      </c>
      <c r="B47" s="4">
        <f>'YTD CF'!B47</f>
        <v/>
      </c>
      <c r="C47" s="4">
        <f>'YTD CF'!C47-'YTD CF'!B47</f>
        <v/>
      </c>
      <c r="D47" s="4">
        <f>'YTD CF'!D47-'YTD CF'!C47</f>
        <v/>
      </c>
      <c r="E47" s="4">
        <f>'CASH FLOW'!C46-'YTD CF'!D47</f>
        <v/>
      </c>
      <c r="F47" s="4">
        <f>'YTD CF'!E47</f>
        <v/>
      </c>
      <c r="G47" s="4">
        <f>'YTD CF'!F47-'YTD CF'!E47</f>
        <v/>
      </c>
      <c r="H47" s="4">
        <f>'YTD CF'!G47-'YTD CF'!F47</f>
        <v/>
      </c>
      <c r="I47" s="4">
        <f>'CASH FLOW'!D46-'YTD CF'!G47</f>
        <v/>
      </c>
      <c r="J47" s="4">
        <f>'YTD CF'!H47</f>
        <v/>
      </c>
      <c r="K47" s="4">
        <f>'YTD CF'!I47-'YTD CF'!H47</f>
        <v/>
      </c>
      <c r="L47" s="4">
        <f>'YTD CF'!J47-'YTD CF'!I47</f>
        <v/>
      </c>
      <c r="M47" s="4">
        <f>'CASH FLOW'!E46-'YTD CF'!J47</f>
        <v/>
      </c>
      <c r="N47" s="4">
        <f>'YTD CF'!K47</f>
        <v/>
      </c>
      <c r="O47" s="4">
        <f>'YTD CF'!L47-'YTD CF'!K47</f>
        <v/>
      </c>
      <c r="P47" s="4">
        <f>'YTD CF'!M47-'YTD CF'!L47</f>
        <v/>
      </c>
      <c r="Q47" s="4">
        <f>'CASH FLOW'!F46-'YTD CF'!M47</f>
        <v/>
      </c>
      <c r="R47" s="4">
        <f>'YTD CF'!N47</f>
        <v/>
      </c>
      <c r="S47" s="4">
        <f>'YTD CF'!O47-'YTD CF'!N47</f>
        <v/>
      </c>
      <c r="T47" s="4">
        <f>'YTD CF'!P47-'YTD CF'!O47</f>
        <v/>
      </c>
      <c r="U47" s="4">
        <f>'CASH FLOW'!G46-'YTD CF'!P47</f>
        <v/>
      </c>
      <c r="V47" s="4">
        <f>'YTD CF'!Q47</f>
        <v/>
      </c>
      <c r="W47" s="4">
        <f>'YTD CF'!R47-'YTD CF'!Q47</f>
        <v/>
      </c>
      <c r="X47" s="4">
        <f>'YTD CF'!S47-'YTD CF'!R47</f>
        <v/>
      </c>
      <c r="Y47" s="4">
        <f>'CASH FLOW'!H46-'YTD CF'!S47</f>
        <v/>
      </c>
      <c r="Z47" s="11">
        <f>'CF DRIVERS'!Z45</f>
        <v/>
      </c>
      <c r="AA47" s="11">
        <f>'CF DRIVERS'!AA45</f>
        <v/>
      </c>
      <c r="AB47" s="11">
        <f>'CF DRIVERS'!AB45</f>
        <v/>
      </c>
      <c r="AC47" s="11">
        <f>'CF DRIVERS'!AC45</f>
        <v/>
      </c>
      <c r="AD47" s="11">
        <f>'CF DRIVERS'!AD45</f>
        <v/>
      </c>
      <c r="AE47" s="11">
        <f>'CF DRIVERS'!AE45</f>
        <v/>
      </c>
      <c r="AF47" s="11">
        <f>'CF DRIVERS'!AF45</f>
        <v/>
      </c>
      <c r="AG47" s="11">
        <f>'CF DRIVERS'!AG45</f>
        <v/>
      </c>
      <c r="AH47" s="11">
        <f>'CF DRIVERS'!AH45</f>
        <v/>
      </c>
      <c r="AI47" s="11">
        <f>'CF DRIVERS'!AI45</f>
        <v/>
      </c>
      <c r="AJ47" s="11">
        <f>'CF DRIVERS'!AJ45</f>
        <v/>
      </c>
      <c r="AK47" s="11">
        <f>'CF DRIVERS'!AK45</f>
        <v/>
      </c>
      <c r="AL47" s="11">
        <f>'CF DRIVERS'!AL45</f>
        <v/>
      </c>
      <c r="AM47" s="11">
        <f>'CF DRIVERS'!AM45</f>
        <v/>
      </c>
      <c r="AN47" s="11">
        <f>'CF DRIVERS'!AN45</f>
        <v/>
      </c>
      <c r="AO47" s="11">
        <f>'CF DRIVERS'!AO45</f>
        <v/>
      </c>
      <c r="AP47" s="11">
        <f>'CF DRIVERS'!AP45</f>
        <v/>
      </c>
      <c r="AQ47" s="11">
        <f>'CF DRIVERS'!AQ45</f>
        <v/>
      </c>
      <c r="AR47" s="11">
        <f>'CF DRIVERS'!AR45</f>
        <v/>
      </c>
      <c r="AS47" s="11">
        <f>'CF DRIVERS'!AS45</f>
        <v/>
      </c>
    </row>
    <row r="48">
      <c r="A48" s="3" t="inlineStr">
        <is>
          <t>Section 16(b) Short-Swing Profit Recovery</t>
        </is>
      </c>
      <c r="B48" s="4">
        <f>'YTD CF'!B48</f>
        <v/>
      </c>
      <c r="C48" s="4">
        <f>'YTD CF'!C48-'YTD CF'!B48</f>
        <v/>
      </c>
      <c r="D48" s="4">
        <f>'YTD CF'!D48-'YTD CF'!C48</f>
        <v/>
      </c>
      <c r="E48" s="4">
        <f>'CASH FLOW'!C47-'YTD CF'!D48</f>
        <v/>
      </c>
      <c r="F48" s="4">
        <f>'YTD CF'!E48</f>
        <v/>
      </c>
      <c r="G48" s="4">
        <f>'YTD CF'!F48-'YTD CF'!E48</f>
        <v/>
      </c>
      <c r="H48" s="4">
        <f>'YTD CF'!G48-'YTD CF'!F48</f>
        <v/>
      </c>
      <c r="I48" s="4">
        <f>'CASH FLOW'!D47-'YTD CF'!G48</f>
        <v/>
      </c>
      <c r="J48" s="4">
        <f>'YTD CF'!H48</f>
        <v/>
      </c>
      <c r="K48" s="4">
        <f>'YTD CF'!I48-'YTD CF'!H48</f>
        <v/>
      </c>
      <c r="L48" s="4">
        <f>'YTD CF'!J48-'YTD CF'!I48</f>
        <v/>
      </c>
      <c r="M48" s="4">
        <f>'CASH FLOW'!E47-'YTD CF'!J48</f>
        <v/>
      </c>
      <c r="N48" s="4">
        <f>'YTD CF'!K48</f>
        <v/>
      </c>
      <c r="O48" s="4">
        <f>'YTD CF'!L48-'YTD CF'!K48</f>
        <v/>
      </c>
      <c r="P48" s="4">
        <f>'YTD CF'!M48-'YTD CF'!L48</f>
        <v/>
      </c>
      <c r="Q48" s="4">
        <f>'CASH FLOW'!F47-'YTD CF'!M48</f>
        <v/>
      </c>
      <c r="R48" s="4">
        <f>'YTD CF'!N48</f>
        <v/>
      </c>
      <c r="S48" s="4">
        <f>'YTD CF'!O48-'YTD CF'!N48</f>
        <v/>
      </c>
      <c r="T48" s="4">
        <f>'YTD CF'!P48-'YTD CF'!O48</f>
        <v/>
      </c>
      <c r="U48" s="4">
        <f>'CASH FLOW'!G47-'YTD CF'!P48</f>
        <v/>
      </c>
      <c r="V48" s="4">
        <f>'YTD CF'!Q48</f>
        <v/>
      </c>
      <c r="W48" s="4">
        <f>'YTD CF'!R48-'YTD CF'!Q48</f>
        <v/>
      </c>
      <c r="X48" s="4">
        <f>'YTD CF'!S48-'YTD CF'!R48</f>
        <v/>
      </c>
      <c r="Y48" s="4">
        <f>'CASH FLOW'!H47-'YTD CF'!S48</f>
        <v/>
      </c>
      <c r="Z48" s="11">
        <f>'CF DRIVERS'!Z46</f>
        <v/>
      </c>
      <c r="AA48" s="11">
        <f>'CF DRIVERS'!AA46</f>
        <v/>
      </c>
      <c r="AB48" s="11">
        <f>'CF DRIVERS'!AB46</f>
        <v/>
      </c>
      <c r="AC48" s="11">
        <f>'CF DRIVERS'!AC46</f>
        <v/>
      </c>
      <c r="AD48" s="11">
        <f>'CF DRIVERS'!AD46</f>
        <v/>
      </c>
      <c r="AE48" s="11">
        <f>'CF DRIVERS'!AE46</f>
        <v/>
      </c>
      <c r="AF48" s="11">
        <f>'CF DRIVERS'!AF46</f>
        <v/>
      </c>
      <c r="AG48" s="11">
        <f>'CF DRIVERS'!AG46</f>
        <v/>
      </c>
      <c r="AH48" s="11">
        <f>'CF DRIVERS'!AH46</f>
        <v/>
      </c>
      <c r="AI48" s="11">
        <f>'CF DRIVERS'!AI46</f>
        <v/>
      </c>
      <c r="AJ48" s="11">
        <f>'CF DRIVERS'!AJ46</f>
        <v/>
      </c>
      <c r="AK48" s="11">
        <f>'CF DRIVERS'!AK46</f>
        <v/>
      </c>
      <c r="AL48" s="11">
        <f>'CF DRIVERS'!AL46</f>
        <v/>
      </c>
      <c r="AM48" s="11">
        <f>'CF DRIVERS'!AM46</f>
        <v/>
      </c>
      <c r="AN48" s="11">
        <f>'CF DRIVERS'!AN46</f>
        <v/>
      </c>
      <c r="AO48" s="11">
        <f>'CF DRIVERS'!AO46</f>
        <v/>
      </c>
      <c r="AP48" s="11">
        <f>'CF DRIVERS'!AP46</f>
        <v/>
      </c>
      <c r="AQ48" s="11">
        <f>'CF DRIVERS'!AQ46</f>
        <v/>
      </c>
      <c r="AR48" s="11">
        <f>'CF DRIVERS'!AR46</f>
        <v/>
      </c>
      <c r="AS48" s="11">
        <f>'CF DRIVERS'!AS46</f>
        <v/>
      </c>
    </row>
    <row r="49">
      <c r="A49" s="3" t="inlineStr">
        <is>
          <t>Proceeds from Issuance of Preferred Stock</t>
        </is>
      </c>
      <c r="B49" s="4">
        <f>'YTD CF'!B49</f>
        <v/>
      </c>
      <c r="C49" s="4">
        <f>'YTD CF'!C49-'YTD CF'!B49</f>
        <v/>
      </c>
      <c r="D49" s="4">
        <f>'YTD CF'!D49-'YTD CF'!C49</f>
        <v/>
      </c>
      <c r="E49" s="4">
        <f>'CASH FLOW'!C49-'YTD CF'!D49</f>
        <v/>
      </c>
      <c r="F49" s="4">
        <f>'YTD CF'!E49</f>
        <v/>
      </c>
      <c r="G49" s="4">
        <f>'YTD CF'!F49-'YTD CF'!E49</f>
        <v/>
      </c>
      <c r="H49" s="4">
        <f>'YTD CF'!G49-'YTD CF'!F49</f>
        <v/>
      </c>
      <c r="I49" s="4">
        <f>'CASH FLOW'!D49-'YTD CF'!G49</f>
        <v/>
      </c>
      <c r="J49" s="4">
        <f>'YTD CF'!H49</f>
        <v/>
      </c>
      <c r="K49" s="4">
        <f>'YTD CF'!I49-'YTD CF'!H49</f>
        <v/>
      </c>
      <c r="L49" s="4">
        <f>'YTD CF'!J49-'YTD CF'!I49</f>
        <v/>
      </c>
      <c r="M49" s="4">
        <f>'CASH FLOW'!E49-'YTD CF'!J49</f>
        <v/>
      </c>
      <c r="N49" s="4">
        <f>'YTD CF'!K49</f>
        <v/>
      </c>
      <c r="O49" s="4">
        <f>'YTD CF'!L49-'YTD CF'!K49</f>
        <v/>
      </c>
      <c r="P49" s="4">
        <f>'YTD CF'!M49-'YTD CF'!L49</f>
        <v/>
      </c>
      <c r="Q49" s="4">
        <f>'CASH FLOW'!F49-'YTD CF'!M49</f>
        <v/>
      </c>
      <c r="R49" s="4">
        <f>'YTD CF'!N49</f>
        <v/>
      </c>
      <c r="S49" s="4">
        <f>'YTD CF'!O49-'YTD CF'!N49</f>
        <v/>
      </c>
      <c r="T49" s="4">
        <f>'YTD CF'!P49-'YTD CF'!O49</f>
        <v/>
      </c>
      <c r="U49" s="4">
        <f>'CASH FLOW'!G49-'YTD CF'!P49</f>
        <v/>
      </c>
      <c r="V49" s="4">
        <f>'YTD CF'!Q49</f>
        <v/>
      </c>
      <c r="W49" s="4">
        <f>'YTD CF'!R49-'YTD CF'!Q49</f>
        <v/>
      </c>
      <c r="X49" s="4">
        <f>'YTD CF'!S49-'YTD CF'!R49</f>
        <v/>
      </c>
      <c r="Y49" s="4">
        <f>'CASH FLOW'!H49-'YTD CF'!S49</f>
        <v/>
      </c>
      <c r="Z49" s="11">
        <f>'CF DRIVERS'!Z47</f>
        <v/>
      </c>
      <c r="AA49" s="11">
        <f>'CF DRIVERS'!AA47</f>
        <v/>
      </c>
      <c r="AB49" s="11">
        <f>'CF DRIVERS'!AB47</f>
        <v/>
      </c>
      <c r="AC49" s="11">
        <f>'CF DRIVERS'!AC47</f>
        <v/>
      </c>
      <c r="AD49" s="11">
        <f>'CF DRIVERS'!AD47</f>
        <v/>
      </c>
      <c r="AE49" s="11">
        <f>'CF DRIVERS'!AE47</f>
        <v/>
      </c>
      <c r="AF49" s="11">
        <f>'CF DRIVERS'!AF47</f>
        <v/>
      </c>
      <c r="AG49" s="11">
        <f>'CF DRIVERS'!AG47</f>
        <v/>
      </c>
      <c r="AH49" s="11">
        <f>'CF DRIVERS'!AH47</f>
        <v/>
      </c>
      <c r="AI49" s="11">
        <f>'CF DRIVERS'!AI47</f>
        <v/>
      </c>
      <c r="AJ49" s="11">
        <f>'CF DRIVERS'!AJ47</f>
        <v/>
      </c>
      <c r="AK49" s="11">
        <f>'CF DRIVERS'!AK47</f>
        <v/>
      </c>
      <c r="AL49" s="11">
        <f>'CF DRIVERS'!AL47</f>
        <v/>
      </c>
      <c r="AM49" s="11">
        <f>'CF DRIVERS'!AM47</f>
        <v/>
      </c>
      <c r="AN49" s="11">
        <f>'CF DRIVERS'!AN47</f>
        <v/>
      </c>
      <c r="AO49" s="11">
        <f>'CF DRIVERS'!AO47</f>
        <v/>
      </c>
      <c r="AP49" s="11">
        <f>'CF DRIVERS'!AP47</f>
        <v/>
      </c>
      <c r="AQ49" s="11">
        <f>'CF DRIVERS'!AQ47</f>
        <v/>
      </c>
      <c r="AR49" s="11">
        <f>'CF DRIVERS'!AR47</f>
        <v/>
      </c>
      <c r="AS49" s="11">
        <f>'CF DRIVERS'!AS47</f>
        <v/>
      </c>
    </row>
    <row r="50">
      <c r="A50" s="3" t="inlineStr">
        <is>
          <t>Preferred Dividends</t>
        </is>
      </c>
      <c r="B50" s="4">
        <f>'YTD CF'!B50</f>
        <v/>
      </c>
      <c r="C50" s="4">
        <f>'YTD CF'!C50-'YTD CF'!B50</f>
        <v/>
      </c>
      <c r="D50" s="4">
        <f>'YTD CF'!D50-'YTD CF'!C50</f>
        <v/>
      </c>
      <c r="E50" s="4">
        <f>'CASH FLOW'!C50-'YTD CF'!D50</f>
        <v/>
      </c>
      <c r="F50" s="4">
        <f>'YTD CF'!E50</f>
        <v/>
      </c>
      <c r="G50" s="4">
        <f>'YTD CF'!F50-'YTD CF'!E50</f>
        <v/>
      </c>
      <c r="H50" s="4">
        <f>'YTD CF'!G50-'YTD CF'!F50</f>
        <v/>
      </c>
      <c r="I50" s="4">
        <f>'CASH FLOW'!D50-'YTD CF'!G50</f>
        <v/>
      </c>
      <c r="J50" s="4">
        <f>'YTD CF'!H50</f>
        <v/>
      </c>
      <c r="K50" s="4">
        <f>'YTD CF'!I50-'YTD CF'!H50</f>
        <v/>
      </c>
      <c r="L50" s="4">
        <f>'YTD CF'!J50-'YTD CF'!I50</f>
        <v/>
      </c>
      <c r="M50" s="4">
        <f>'CASH FLOW'!E50-'YTD CF'!J50</f>
        <v/>
      </c>
      <c r="N50" s="4">
        <f>'YTD CF'!K50</f>
        <v/>
      </c>
      <c r="O50" s="4">
        <f>'YTD CF'!L50-'YTD CF'!K50</f>
        <v/>
      </c>
      <c r="P50" s="4">
        <f>'YTD CF'!M50-'YTD CF'!L50</f>
        <v/>
      </c>
      <c r="Q50" s="4">
        <f>'CASH FLOW'!F50-'YTD CF'!M50</f>
        <v/>
      </c>
      <c r="R50" s="4">
        <f>'YTD CF'!N50</f>
        <v/>
      </c>
      <c r="S50" s="4">
        <f>'YTD CF'!O50-'YTD CF'!N50</f>
        <v/>
      </c>
      <c r="T50" s="4">
        <f>'YTD CF'!P50-'YTD CF'!O50</f>
        <v/>
      </c>
      <c r="U50" s="4">
        <f>'CASH FLOW'!G50-'YTD CF'!P50</f>
        <v/>
      </c>
      <c r="V50" s="4">
        <f>'YTD CF'!Q50</f>
        <v/>
      </c>
      <c r="W50" s="4">
        <f>'YTD CF'!R50-'YTD CF'!Q50</f>
        <v/>
      </c>
      <c r="X50" s="4">
        <f>'YTD CF'!S50-'YTD CF'!R50</f>
        <v/>
      </c>
      <c r="Y50" s="4">
        <f>'CASH FLOW'!H50-'YTD CF'!S50</f>
        <v/>
      </c>
      <c r="Z50" s="11">
        <f>'CF DRIVERS'!Z48</f>
        <v/>
      </c>
      <c r="AA50" s="11">
        <f>'CF DRIVERS'!AA48</f>
        <v/>
      </c>
      <c r="AB50" s="11">
        <f>'CF DRIVERS'!AB48</f>
        <v/>
      </c>
      <c r="AC50" s="11">
        <f>'CF DRIVERS'!AC48</f>
        <v/>
      </c>
      <c r="AD50" s="11">
        <f>'CF DRIVERS'!AD48</f>
        <v/>
      </c>
      <c r="AE50" s="11">
        <f>'CF DRIVERS'!AE48</f>
        <v/>
      </c>
      <c r="AF50" s="11">
        <f>'CF DRIVERS'!AF48</f>
        <v/>
      </c>
      <c r="AG50" s="11">
        <f>'CF DRIVERS'!AG48</f>
        <v/>
      </c>
      <c r="AH50" s="11">
        <f>'CF DRIVERS'!AH48</f>
        <v/>
      </c>
      <c r="AI50" s="11">
        <f>'CF DRIVERS'!AI48</f>
        <v/>
      </c>
      <c r="AJ50" s="11">
        <f>'CF DRIVERS'!AJ48</f>
        <v/>
      </c>
      <c r="AK50" s="11">
        <f>'CF DRIVERS'!AK48</f>
        <v/>
      </c>
      <c r="AL50" s="11">
        <f>'CF DRIVERS'!AL48</f>
        <v/>
      </c>
      <c r="AM50" s="11">
        <f>'CF DRIVERS'!AM48</f>
        <v/>
      </c>
      <c r="AN50" s="11">
        <f>'CF DRIVERS'!AN48</f>
        <v/>
      </c>
      <c r="AO50" s="11">
        <f>'CF DRIVERS'!AO48</f>
        <v/>
      </c>
      <c r="AP50" s="11">
        <f>'CF DRIVERS'!AP48</f>
        <v/>
      </c>
      <c r="AQ50" s="11">
        <f>'CF DRIVERS'!AQ48</f>
        <v/>
      </c>
      <c r="AR50" s="11">
        <f>'CF DRIVERS'!AR48</f>
        <v/>
      </c>
      <c r="AS50" s="11">
        <f>'CF DRIVERS'!AS48</f>
        <v/>
      </c>
    </row>
    <row r="51">
      <c r="A51" s="3" t="inlineStr">
        <is>
          <t>Share Repurchases</t>
        </is>
      </c>
      <c r="B51" s="4">
        <f>'YTD CF'!B51</f>
        <v/>
      </c>
      <c r="C51" s="4">
        <f>'YTD CF'!C51-'YTD CF'!B51</f>
        <v/>
      </c>
      <c r="D51" s="4">
        <f>'YTD CF'!D51-'YTD CF'!C51</f>
        <v/>
      </c>
      <c r="E51" s="4">
        <f>'CASH FLOW'!C51-'YTD CF'!D51</f>
        <v/>
      </c>
      <c r="F51" s="4">
        <f>'YTD CF'!E51</f>
        <v/>
      </c>
      <c r="G51" s="4">
        <f>'YTD CF'!F51-'YTD CF'!E51</f>
        <v/>
      </c>
      <c r="H51" s="4">
        <f>'YTD CF'!G51-'YTD CF'!F51</f>
        <v/>
      </c>
      <c r="I51" s="4">
        <f>'CASH FLOW'!D51-'YTD CF'!G51</f>
        <v/>
      </c>
      <c r="J51" s="4">
        <f>'YTD CF'!H51</f>
        <v/>
      </c>
      <c r="K51" s="4">
        <f>'YTD CF'!I51-'YTD CF'!H51</f>
        <v/>
      </c>
      <c r="L51" s="4">
        <f>'YTD CF'!J51-'YTD CF'!I51</f>
        <v/>
      </c>
      <c r="M51" s="4">
        <f>'CASH FLOW'!E51-'YTD CF'!J51</f>
        <v/>
      </c>
      <c r="N51" s="4">
        <f>'YTD CF'!K51</f>
        <v/>
      </c>
      <c r="O51" s="4">
        <f>'YTD CF'!L51-'YTD CF'!K51</f>
        <v/>
      </c>
      <c r="P51" s="4">
        <f>'YTD CF'!M51-'YTD CF'!L51</f>
        <v/>
      </c>
      <c r="Q51" s="4">
        <f>'CASH FLOW'!F51-'YTD CF'!M51</f>
        <v/>
      </c>
      <c r="R51" s="4">
        <f>'YTD CF'!N51</f>
        <v/>
      </c>
      <c r="S51" s="4">
        <f>'YTD CF'!O51-'YTD CF'!N51</f>
        <v/>
      </c>
      <c r="T51" s="4">
        <f>'YTD CF'!P51-'YTD CF'!O51</f>
        <v/>
      </c>
      <c r="U51" s="4">
        <f>'CASH FLOW'!G51-'YTD CF'!P51</f>
        <v/>
      </c>
      <c r="V51" s="4">
        <f>'YTD CF'!Q51</f>
        <v/>
      </c>
      <c r="W51" s="4">
        <f>'YTD CF'!R51-'YTD CF'!Q51</f>
        <v/>
      </c>
      <c r="X51" s="4">
        <f>'YTD CF'!S51-'YTD CF'!R51</f>
        <v/>
      </c>
      <c r="Y51" s="4">
        <f>'CASH FLOW'!H51-'YTD CF'!S51</f>
        <v/>
      </c>
      <c r="Z51" s="11">
        <f>'CF DRIVERS'!Z49</f>
        <v/>
      </c>
      <c r="AA51" s="11">
        <f>'CF DRIVERS'!AA49</f>
        <v/>
      </c>
      <c r="AB51" s="11">
        <f>'CF DRIVERS'!AB49</f>
        <v/>
      </c>
      <c r="AC51" s="11">
        <f>'CF DRIVERS'!AC49</f>
        <v/>
      </c>
      <c r="AD51" s="11">
        <f>'CF DRIVERS'!AD49</f>
        <v/>
      </c>
      <c r="AE51" s="11">
        <f>'CF DRIVERS'!AE49</f>
        <v/>
      </c>
      <c r="AF51" s="11">
        <f>'CF DRIVERS'!AF49</f>
        <v/>
      </c>
      <c r="AG51" s="11">
        <f>'CF DRIVERS'!AG49</f>
        <v/>
      </c>
      <c r="AH51" s="11">
        <f>'CF DRIVERS'!AH49</f>
        <v/>
      </c>
      <c r="AI51" s="11">
        <f>'CF DRIVERS'!AI49</f>
        <v/>
      </c>
      <c r="AJ51" s="11">
        <f>'CF DRIVERS'!AJ49</f>
        <v/>
      </c>
      <c r="AK51" s="11">
        <f>'CF DRIVERS'!AK49</f>
        <v/>
      </c>
      <c r="AL51" s="11">
        <f>'CF DRIVERS'!AL49</f>
        <v/>
      </c>
      <c r="AM51" s="11">
        <f>'CF DRIVERS'!AM49</f>
        <v/>
      </c>
      <c r="AN51" s="11">
        <f>'CF DRIVERS'!AN49</f>
        <v/>
      </c>
      <c r="AO51" s="11">
        <f>'CF DRIVERS'!AO49</f>
        <v/>
      </c>
      <c r="AP51" s="11">
        <f>'CF DRIVERS'!AP49</f>
        <v/>
      </c>
      <c r="AQ51" s="11">
        <f>'CF DRIVERS'!AQ49</f>
        <v/>
      </c>
      <c r="AR51" s="11">
        <f>'CF DRIVERS'!AR49</f>
        <v/>
      </c>
      <c r="AS51" s="11">
        <f>'CF DRIVERS'!AS49</f>
        <v/>
      </c>
    </row>
    <row r="52">
      <c r="A52" s="3" t="inlineStr">
        <is>
          <t>Proceeds from Issuance of Long-Term Debt</t>
        </is>
      </c>
      <c r="B52" s="4">
        <f>'YTD CF'!B52</f>
        <v/>
      </c>
      <c r="C52" s="4">
        <f>'YTD CF'!C52-'YTD CF'!B52</f>
        <v/>
      </c>
      <c r="D52" s="4">
        <f>'YTD CF'!D52-'YTD CF'!C52</f>
        <v/>
      </c>
      <c r="E52" s="4">
        <f>'CASH FLOW'!C52-'YTD CF'!D52</f>
        <v/>
      </c>
      <c r="F52" s="4">
        <f>'YTD CF'!E52</f>
        <v/>
      </c>
      <c r="G52" s="4">
        <f>'YTD CF'!F52-'YTD CF'!E52</f>
        <v/>
      </c>
      <c r="H52" s="4">
        <f>'YTD CF'!G52-'YTD CF'!F52</f>
        <v/>
      </c>
      <c r="I52" s="4">
        <f>'CASH FLOW'!D52-'YTD CF'!G52</f>
        <v/>
      </c>
      <c r="J52" s="4">
        <f>'YTD CF'!H52</f>
        <v/>
      </c>
      <c r="K52" s="4">
        <f>'YTD CF'!I52-'YTD CF'!H52</f>
        <v/>
      </c>
      <c r="L52" s="4">
        <f>'YTD CF'!J52-'YTD CF'!I52</f>
        <v/>
      </c>
      <c r="M52" s="4">
        <f>'CASH FLOW'!E52-'YTD CF'!J52</f>
        <v/>
      </c>
      <c r="N52" s="4">
        <f>'YTD CF'!K52</f>
        <v/>
      </c>
      <c r="O52" s="4">
        <f>'YTD CF'!L52-'YTD CF'!K52</f>
        <v/>
      </c>
      <c r="P52" s="4">
        <f>'YTD CF'!M52-'YTD CF'!L52</f>
        <v/>
      </c>
      <c r="Q52" s="4">
        <f>'CASH FLOW'!F52-'YTD CF'!M52</f>
        <v/>
      </c>
      <c r="R52" s="4">
        <f>'YTD CF'!N52</f>
        <v/>
      </c>
      <c r="S52" s="4">
        <f>'YTD CF'!O52-'YTD CF'!N52</f>
        <v/>
      </c>
      <c r="T52" s="4">
        <f>'YTD CF'!P52-'YTD CF'!O52</f>
        <v/>
      </c>
      <c r="U52" s="4">
        <f>'CASH FLOW'!G52-'YTD CF'!P52</f>
        <v/>
      </c>
      <c r="V52" s="4">
        <f>'YTD CF'!Q52</f>
        <v/>
      </c>
      <c r="W52" s="4">
        <f>'YTD CF'!R52-'YTD CF'!Q52</f>
        <v/>
      </c>
      <c r="X52" s="4">
        <f>'YTD CF'!S52-'YTD CF'!R52</f>
        <v/>
      </c>
      <c r="Y52" s="4">
        <f>'CASH FLOW'!H52-'YTD CF'!S52</f>
        <v/>
      </c>
      <c r="Z52" s="11">
        <f>'CF DRIVERS'!Z50</f>
        <v/>
      </c>
      <c r="AA52" s="11">
        <f>'CF DRIVERS'!AA50</f>
        <v/>
      </c>
      <c r="AB52" s="11">
        <f>'CF DRIVERS'!AB50</f>
        <v/>
      </c>
      <c r="AC52" s="11">
        <f>'CF DRIVERS'!AC50</f>
        <v/>
      </c>
      <c r="AD52" s="11">
        <f>'CF DRIVERS'!AD50</f>
        <v/>
      </c>
      <c r="AE52" s="11">
        <f>'CF DRIVERS'!AE50</f>
        <v/>
      </c>
      <c r="AF52" s="11">
        <f>'CF DRIVERS'!AF50</f>
        <v/>
      </c>
      <c r="AG52" s="11">
        <f>'CF DRIVERS'!AG50</f>
        <v/>
      </c>
      <c r="AH52" s="11">
        <f>'CF DRIVERS'!AH50</f>
        <v/>
      </c>
      <c r="AI52" s="11">
        <f>'CF DRIVERS'!AI50</f>
        <v/>
      </c>
      <c r="AJ52" s="11">
        <f>'CF DRIVERS'!AJ50</f>
        <v/>
      </c>
      <c r="AK52" s="11">
        <f>'CF DRIVERS'!AK50</f>
        <v/>
      </c>
      <c r="AL52" s="11">
        <f>'CF DRIVERS'!AL50</f>
        <v/>
      </c>
      <c r="AM52" s="11">
        <f>'CF DRIVERS'!AM50</f>
        <v/>
      </c>
      <c r="AN52" s="11">
        <f>'CF DRIVERS'!AN50</f>
        <v/>
      </c>
      <c r="AO52" s="11">
        <f>'CF DRIVERS'!AO50</f>
        <v/>
      </c>
      <c r="AP52" s="11">
        <f>'CF DRIVERS'!AP50</f>
        <v/>
      </c>
      <c r="AQ52" s="11">
        <f>'CF DRIVERS'!AQ50</f>
        <v/>
      </c>
      <c r="AR52" s="11">
        <f>'CF DRIVERS'!AR50</f>
        <v/>
      </c>
      <c r="AS52" s="11">
        <f>'CF DRIVERS'!AS50</f>
        <v/>
      </c>
    </row>
    <row r="53">
      <c r="A53" s="3" t="inlineStr">
        <is>
          <t>Repayments of Long-Term Debt</t>
        </is>
      </c>
      <c r="B53" s="4">
        <f>'YTD CF'!B53</f>
        <v/>
      </c>
      <c r="C53" s="4">
        <f>'YTD CF'!C53-'YTD CF'!B53</f>
        <v/>
      </c>
      <c r="D53" s="4">
        <f>'YTD CF'!D53-'YTD CF'!C53</f>
        <v/>
      </c>
      <c r="E53" s="4">
        <f>'CASH FLOW'!C53-'YTD CF'!D53</f>
        <v/>
      </c>
      <c r="F53" s="4">
        <f>'YTD CF'!E53</f>
        <v/>
      </c>
      <c r="G53" s="4">
        <f>'YTD CF'!F53-'YTD CF'!E53</f>
        <v/>
      </c>
      <c r="H53" s="4">
        <f>'YTD CF'!G53-'YTD CF'!F53</f>
        <v/>
      </c>
      <c r="I53" s="4">
        <f>'CASH FLOW'!D53-'YTD CF'!G53</f>
        <v/>
      </c>
      <c r="J53" s="4">
        <f>'YTD CF'!H53</f>
        <v/>
      </c>
      <c r="K53" s="4">
        <f>'YTD CF'!I53-'YTD CF'!H53</f>
        <v/>
      </c>
      <c r="L53" s="4">
        <f>'YTD CF'!J53-'YTD CF'!I53</f>
        <v/>
      </c>
      <c r="M53" s="4">
        <f>'CASH FLOW'!E53-'YTD CF'!J53</f>
        <v/>
      </c>
      <c r="N53" s="4">
        <f>'YTD CF'!K53</f>
        <v/>
      </c>
      <c r="O53" s="4">
        <f>'YTD CF'!L53-'YTD CF'!K53</f>
        <v/>
      </c>
      <c r="P53" s="4">
        <f>'YTD CF'!M53-'YTD CF'!L53</f>
        <v/>
      </c>
      <c r="Q53" s="4">
        <f>'CASH FLOW'!F53-'YTD CF'!M53</f>
        <v/>
      </c>
      <c r="R53" s="4">
        <f>'YTD CF'!N53</f>
        <v/>
      </c>
      <c r="S53" s="4">
        <f>'YTD CF'!O53-'YTD CF'!N53</f>
        <v/>
      </c>
      <c r="T53" s="4">
        <f>'YTD CF'!P53-'YTD CF'!O53</f>
        <v/>
      </c>
      <c r="U53" s="4">
        <f>'CASH FLOW'!G53-'YTD CF'!P53</f>
        <v/>
      </c>
      <c r="V53" s="4">
        <f>'YTD CF'!Q53</f>
        <v/>
      </c>
      <c r="W53" s="4">
        <f>'YTD CF'!R53-'YTD CF'!Q53</f>
        <v/>
      </c>
      <c r="X53" s="4">
        <f>'YTD CF'!S53-'YTD CF'!R53</f>
        <v/>
      </c>
      <c r="Y53" s="4">
        <f>'CASH FLOW'!H53-'YTD CF'!S53</f>
        <v/>
      </c>
      <c r="Z53" s="11">
        <f>'CF DRIVERS'!Z51</f>
        <v/>
      </c>
      <c r="AA53" s="11">
        <f>'CF DRIVERS'!AA51</f>
        <v/>
      </c>
      <c r="AB53" s="11">
        <f>'CF DRIVERS'!AB51</f>
        <v/>
      </c>
      <c r="AC53" s="11">
        <f>'CF DRIVERS'!AC51</f>
        <v/>
      </c>
      <c r="AD53" s="11">
        <f>'CF DRIVERS'!AD51</f>
        <v/>
      </c>
      <c r="AE53" s="11">
        <f>'CF DRIVERS'!AE51</f>
        <v/>
      </c>
      <c r="AF53" s="11">
        <f>'CF DRIVERS'!AF51</f>
        <v/>
      </c>
      <c r="AG53" s="11">
        <f>'CF DRIVERS'!AG51</f>
        <v/>
      </c>
      <c r="AH53" s="11">
        <f>'CF DRIVERS'!AH51</f>
        <v/>
      </c>
      <c r="AI53" s="11">
        <f>'CF DRIVERS'!AI51</f>
        <v/>
      </c>
      <c r="AJ53" s="11">
        <f>'CF DRIVERS'!AJ51</f>
        <v/>
      </c>
      <c r="AK53" s="11">
        <f>'CF DRIVERS'!AK51</f>
        <v/>
      </c>
      <c r="AL53" s="11">
        <f>'CF DRIVERS'!AL51</f>
        <v/>
      </c>
      <c r="AM53" s="11">
        <f>'CF DRIVERS'!AM51</f>
        <v/>
      </c>
      <c r="AN53" s="11">
        <f>'CF DRIVERS'!AN51</f>
        <v/>
      </c>
      <c r="AO53" s="11">
        <f>'CF DRIVERS'!AO51</f>
        <v/>
      </c>
      <c r="AP53" s="11">
        <f>'CF DRIVERS'!AP51</f>
        <v/>
      </c>
      <c r="AQ53" s="11">
        <f>'CF DRIVERS'!AQ51</f>
        <v/>
      </c>
      <c r="AR53" s="11">
        <f>'CF DRIVERS'!AR51</f>
        <v/>
      </c>
      <c r="AS53" s="11">
        <f>'CF DRIVERS'!AS51</f>
        <v/>
      </c>
    </row>
    <row r="54">
      <c r="A54" s="3" t="inlineStr">
        <is>
          <t>Debt Issuance Fees</t>
        </is>
      </c>
      <c r="B54" s="4">
        <f>'YTD CF'!B54</f>
        <v/>
      </c>
      <c r="C54" s="4">
        <f>'YTD CF'!C54-'YTD CF'!B54</f>
        <v/>
      </c>
      <c r="D54" s="4">
        <f>'YTD CF'!D54-'YTD CF'!C54</f>
        <v/>
      </c>
      <c r="E54" s="4">
        <f>'CASH FLOW'!C54-'YTD CF'!D54</f>
        <v/>
      </c>
      <c r="F54" s="4">
        <f>'YTD CF'!E54</f>
        <v/>
      </c>
      <c r="G54" s="4">
        <f>'YTD CF'!F54-'YTD CF'!E54</f>
        <v/>
      </c>
      <c r="H54" s="4">
        <f>'YTD CF'!G54-'YTD CF'!F54</f>
        <v/>
      </c>
      <c r="I54" s="4">
        <f>'CASH FLOW'!D54-'YTD CF'!G54</f>
        <v/>
      </c>
      <c r="J54" s="4">
        <f>'YTD CF'!H54</f>
        <v/>
      </c>
      <c r="K54" s="4">
        <f>'YTD CF'!I54-'YTD CF'!H54</f>
        <v/>
      </c>
      <c r="L54" s="4">
        <f>'YTD CF'!J54-'YTD CF'!I54</f>
        <v/>
      </c>
      <c r="M54" s="4">
        <f>'CASH FLOW'!E54-'YTD CF'!J54</f>
        <v/>
      </c>
      <c r="N54" s="4">
        <f>'YTD CF'!K54</f>
        <v/>
      </c>
      <c r="O54" s="4">
        <f>'YTD CF'!L54-'YTD CF'!K54</f>
        <v/>
      </c>
      <c r="P54" s="4">
        <f>'YTD CF'!M54-'YTD CF'!L54</f>
        <v/>
      </c>
      <c r="Q54" s="4">
        <f>'CASH FLOW'!F54-'YTD CF'!M54</f>
        <v/>
      </c>
      <c r="R54" s="4">
        <f>'YTD CF'!N54</f>
        <v/>
      </c>
      <c r="S54" s="4">
        <f>'YTD CF'!O54-'YTD CF'!N54</f>
        <v/>
      </c>
      <c r="T54" s="4">
        <f>'YTD CF'!P54-'YTD CF'!O54</f>
        <v/>
      </c>
      <c r="U54" s="4">
        <f>'CASH FLOW'!G54-'YTD CF'!P54</f>
        <v/>
      </c>
      <c r="V54" s="4">
        <f>'YTD CF'!Q54</f>
        <v/>
      </c>
      <c r="W54" s="4">
        <f>'YTD CF'!R54-'YTD CF'!Q54</f>
        <v/>
      </c>
      <c r="X54" s="4">
        <f>'YTD CF'!S54-'YTD CF'!R54</f>
        <v/>
      </c>
      <c r="Y54" s="4">
        <f>'CASH FLOW'!H54-'YTD CF'!S54</f>
        <v/>
      </c>
      <c r="Z54" s="11">
        <f>'CF DRIVERS'!Z52</f>
        <v/>
      </c>
      <c r="AA54" s="11">
        <f>'CF DRIVERS'!AA52</f>
        <v/>
      </c>
      <c r="AB54" s="11">
        <f>'CF DRIVERS'!AB52</f>
        <v/>
      </c>
      <c r="AC54" s="11">
        <f>'CF DRIVERS'!AC52</f>
        <v/>
      </c>
      <c r="AD54" s="11">
        <f>'CF DRIVERS'!AD52</f>
        <v/>
      </c>
      <c r="AE54" s="11">
        <f>'CF DRIVERS'!AE52</f>
        <v/>
      </c>
      <c r="AF54" s="11">
        <f>'CF DRIVERS'!AF52</f>
        <v/>
      </c>
      <c r="AG54" s="11">
        <f>'CF DRIVERS'!AG52</f>
        <v/>
      </c>
      <c r="AH54" s="11">
        <f>'CF DRIVERS'!AH52</f>
        <v/>
      </c>
      <c r="AI54" s="11">
        <f>'CF DRIVERS'!AI52</f>
        <v/>
      </c>
      <c r="AJ54" s="11">
        <f>'CF DRIVERS'!AJ52</f>
        <v/>
      </c>
      <c r="AK54" s="11">
        <f>'CF DRIVERS'!AK52</f>
        <v/>
      </c>
      <c r="AL54" s="11">
        <f>'CF DRIVERS'!AL52</f>
        <v/>
      </c>
      <c r="AM54" s="11">
        <f>'CF DRIVERS'!AM52</f>
        <v/>
      </c>
      <c r="AN54" s="11">
        <f>'CF DRIVERS'!AN52</f>
        <v/>
      </c>
      <c r="AO54" s="11">
        <f>'CF DRIVERS'!AO52</f>
        <v/>
      </c>
      <c r="AP54" s="11">
        <f>'CF DRIVERS'!AP52</f>
        <v/>
      </c>
      <c r="AQ54" s="11">
        <f>'CF DRIVERS'!AQ52</f>
        <v/>
      </c>
      <c r="AR54" s="11">
        <f>'CF DRIVERS'!AR52</f>
        <v/>
      </c>
      <c r="AS54" s="11">
        <f>'CF DRIVERS'!AS52</f>
        <v/>
      </c>
    </row>
    <row r="55">
      <c r="A55" s="3" t="inlineStr">
        <is>
          <t>Other Financing Activities</t>
        </is>
      </c>
      <c r="B55" s="4">
        <f>'YTD CF'!B55</f>
        <v/>
      </c>
      <c r="C55" s="4">
        <f>'YTD CF'!C55-'YTD CF'!B55</f>
        <v/>
      </c>
      <c r="D55" s="4">
        <f>'YTD CF'!D55-'YTD CF'!C55</f>
        <v/>
      </c>
      <c r="E55" s="4">
        <f>'CASH FLOW'!C55-'YTD CF'!D55</f>
        <v/>
      </c>
      <c r="F55" s="4">
        <f>'YTD CF'!E55</f>
        <v/>
      </c>
      <c r="G55" s="4">
        <f>'YTD CF'!F55-'YTD CF'!E55</f>
        <v/>
      </c>
      <c r="H55" s="4">
        <f>'YTD CF'!G55-'YTD CF'!F55</f>
        <v/>
      </c>
      <c r="I55" s="4">
        <f>'CASH FLOW'!D55-'YTD CF'!G55</f>
        <v/>
      </c>
      <c r="J55" s="4">
        <f>'YTD CF'!H55</f>
        <v/>
      </c>
      <c r="K55" s="4">
        <f>'YTD CF'!I55-'YTD CF'!H55</f>
        <v/>
      </c>
      <c r="L55" s="4">
        <f>'YTD CF'!J55-'YTD CF'!I55</f>
        <v/>
      </c>
      <c r="M55" s="4">
        <f>'CASH FLOW'!E55-'YTD CF'!J55</f>
        <v/>
      </c>
      <c r="N55" s="4">
        <f>'YTD CF'!K55</f>
        <v/>
      </c>
      <c r="O55" s="4">
        <f>'YTD CF'!L55-'YTD CF'!K55</f>
        <v/>
      </c>
      <c r="P55" s="4">
        <f>'YTD CF'!M55-'YTD CF'!L55</f>
        <v/>
      </c>
      <c r="Q55" s="4">
        <f>'CASH FLOW'!F55-'YTD CF'!M55</f>
        <v/>
      </c>
      <c r="R55" s="4">
        <f>'YTD CF'!N55</f>
        <v/>
      </c>
      <c r="S55" s="4">
        <f>'YTD CF'!O55-'YTD CF'!N55</f>
        <v/>
      </c>
      <c r="T55" s="4">
        <f>'YTD CF'!P55-'YTD CF'!O55</f>
        <v/>
      </c>
      <c r="U55" s="4">
        <f>'CASH FLOW'!G55-'YTD CF'!P55</f>
        <v/>
      </c>
      <c r="V55" s="4">
        <f>'YTD CF'!Q55</f>
        <v/>
      </c>
      <c r="W55" s="4">
        <f>'YTD CF'!R55-'YTD CF'!Q55</f>
        <v/>
      </c>
      <c r="X55" s="4">
        <f>'YTD CF'!S55-'YTD CF'!R55</f>
        <v/>
      </c>
      <c r="Y55" s="4">
        <f>'CASH FLOW'!H55-'YTD CF'!S55</f>
        <v/>
      </c>
      <c r="Z55" s="11">
        <f>'CF DRIVERS'!Z53</f>
        <v/>
      </c>
      <c r="AA55" s="11">
        <f>'CF DRIVERS'!AA53</f>
        <v/>
      </c>
      <c r="AB55" s="11">
        <f>'CF DRIVERS'!AB53</f>
        <v/>
      </c>
      <c r="AC55" s="11">
        <f>'CF DRIVERS'!AC53</f>
        <v/>
      </c>
      <c r="AD55" s="11">
        <f>'CF DRIVERS'!AD53</f>
        <v/>
      </c>
      <c r="AE55" s="11">
        <f>'CF DRIVERS'!AE53</f>
        <v/>
      </c>
      <c r="AF55" s="11">
        <f>'CF DRIVERS'!AF53</f>
        <v/>
      </c>
      <c r="AG55" s="11">
        <f>'CF DRIVERS'!AG53</f>
        <v/>
      </c>
      <c r="AH55" s="11">
        <f>'CF DRIVERS'!AH53</f>
        <v/>
      </c>
      <c r="AI55" s="11">
        <f>'CF DRIVERS'!AI53</f>
        <v/>
      </c>
      <c r="AJ55" s="11">
        <f>'CF DRIVERS'!AJ53</f>
        <v/>
      </c>
      <c r="AK55" s="11">
        <f>'CF DRIVERS'!AK53</f>
        <v/>
      </c>
      <c r="AL55" s="11">
        <f>'CF DRIVERS'!AL53</f>
        <v/>
      </c>
      <c r="AM55" s="11">
        <f>'CF DRIVERS'!AM53</f>
        <v/>
      </c>
      <c r="AN55" s="11">
        <f>'CF DRIVERS'!AN53</f>
        <v/>
      </c>
      <c r="AO55" s="11">
        <f>'CF DRIVERS'!AO53</f>
        <v/>
      </c>
      <c r="AP55" s="11">
        <f>'CF DRIVERS'!AP53</f>
        <v/>
      </c>
      <c r="AQ55" s="11">
        <f>'CF DRIVERS'!AQ53</f>
        <v/>
      </c>
      <c r="AR55" s="11">
        <f>'CF DRIVERS'!AR53</f>
        <v/>
      </c>
      <c r="AS55" s="11">
        <f>'CF DRIVERS'!AS53</f>
        <v/>
      </c>
    </row>
    <row r="56">
      <c r="A56" s="3" t="inlineStr">
        <is>
          <t>Cash Flow from Financing</t>
        </is>
      </c>
      <c r="B56" s="6">
        <f>'YTD CF'!B56</f>
        <v/>
      </c>
      <c r="C56" s="6">
        <f>'YTD CF'!C56-'YTD CF'!B56</f>
        <v/>
      </c>
      <c r="D56" s="6">
        <f>'YTD CF'!D56-'YTD CF'!C56</f>
        <v/>
      </c>
      <c r="E56" s="6">
        <f>'CASH FLOW'!C56-'YTD CF'!D56</f>
        <v/>
      </c>
      <c r="F56" s="6">
        <f>'YTD CF'!E56</f>
        <v/>
      </c>
      <c r="G56" s="6">
        <f>'YTD CF'!F56-'YTD CF'!E56</f>
        <v/>
      </c>
      <c r="H56" s="6">
        <f>'YTD CF'!G56-'YTD CF'!F56</f>
        <v/>
      </c>
      <c r="I56" s="6">
        <f>'CASH FLOW'!D56-'YTD CF'!G56</f>
        <v/>
      </c>
      <c r="J56" s="6">
        <f>'YTD CF'!H56</f>
        <v/>
      </c>
      <c r="K56" s="6">
        <f>'YTD CF'!I56-'YTD CF'!H56</f>
        <v/>
      </c>
      <c r="L56" s="6">
        <f>'YTD CF'!J56-'YTD CF'!I56</f>
        <v/>
      </c>
      <c r="M56" s="6">
        <f>'CASH FLOW'!E56-'YTD CF'!J56</f>
        <v/>
      </c>
      <c r="N56" s="6">
        <f>'YTD CF'!K56</f>
        <v/>
      </c>
      <c r="O56" s="6">
        <f>'YTD CF'!L56-'YTD CF'!K56</f>
        <v/>
      </c>
      <c r="P56" s="6">
        <f>'YTD CF'!M56-'YTD CF'!L56</f>
        <v/>
      </c>
      <c r="Q56" s="6">
        <f>'CASH FLOW'!F56-'YTD CF'!M56</f>
        <v/>
      </c>
      <c r="R56" s="6">
        <f>'YTD CF'!N56</f>
        <v/>
      </c>
      <c r="S56" s="6">
        <f>'YTD CF'!O56-'YTD CF'!N56</f>
        <v/>
      </c>
      <c r="T56" s="6">
        <f>'YTD CF'!P56-'YTD CF'!O56</f>
        <v/>
      </c>
      <c r="U56" s="6">
        <f>'CASH FLOW'!G56-'YTD CF'!P56</f>
        <v/>
      </c>
      <c r="V56" s="6">
        <f>'YTD CF'!Q56</f>
        <v/>
      </c>
      <c r="W56" s="6">
        <f>'YTD CF'!R56-'YTD CF'!Q56</f>
        <v/>
      </c>
      <c r="X56" s="6">
        <f>'YTD CF'!S56-'YTD CF'!R56</f>
        <v/>
      </c>
      <c r="Y56" s="6">
        <f>'CASH FLOW'!H56-'YTD CF'!S56</f>
        <v/>
      </c>
      <c r="Z56" s="7">
        <f>SUM(Z42:Z55)</f>
        <v/>
      </c>
      <c r="AA56" s="7">
        <f>SUM(AA42:AA55)</f>
        <v/>
      </c>
      <c r="AB56" s="7">
        <f>SUM(AB42:AB55)</f>
        <v/>
      </c>
      <c r="AC56" s="7">
        <f>SUM(AC42:AC55)</f>
        <v/>
      </c>
      <c r="AD56" s="7">
        <f>SUM(AD42:AD55)</f>
        <v/>
      </c>
      <c r="AE56" s="7">
        <f>SUM(AE42:AE55)</f>
        <v/>
      </c>
      <c r="AF56" s="7">
        <f>SUM(AF42:AF55)</f>
        <v/>
      </c>
      <c r="AG56" s="7">
        <f>SUM(AG42:AG55)</f>
        <v/>
      </c>
      <c r="AH56" s="7">
        <f>SUM(AH42:AH55)</f>
        <v/>
      </c>
      <c r="AI56" s="7">
        <f>SUM(AI42:AI55)</f>
        <v/>
      </c>
      <c r="AJ56" s="7">
        <f>SUM(AJ42:AJ55)</f>
        <v/>
      </c>
      <c r="AK56" s="7">
        <f>SUM(AK42:AK55)</f>
        <v/>
      </c>
      <c r="AL56" s="7">
        <f>SUM(AL42:AL55)</f>
        <v/>
      </c>
      <c r="AM56" s="7">
        <f>SUM(AM42:AM55)</f>
        <v/>
      </c>
      <c r="AN56" s="7">
        <f>SUM(AN42:AN55)</f>
        <v/>
      </c>
      <c r="AO56" s="7">
        <f>SUM(AO42:AO55)</f>
        <v/>
      </c>
      <c r="AP56" s="7">
        <f>SUM(AP42:AP55)</f>
        <v/>
      </c>
      <c r="AQ56" s="7">
        <f>SUM(AQ42:AQ55)</f>
        <v/>
      </c>
      <c r="AR56" s="7">
        <f>SUM(AR42:AR55)</f>
        <v/>
      </c>
      <c r="AS56" s="7">
        <f>SUM(AS42:AS55)</f>
        <v/>
      </c>
    </row>
    <row r="57">
      <c r="A57" s="3" t="inlineStr">
        <is>
          <t>FX Effect on Cash</t>
        </is>
      </c>
      <c r="B57" s="4">
        <f>'YTD CF'!B57</f>
        <v/>
      </c>
      <c r="C57" s="4">
        <f>'YTD CF'!C57-'YTD CF'!B57</f>
        <v/>
      </c>
      <c r="D57" s="4">
        <f>'YTD CF'!D57-'YTD CF'!C57</f>
        <v/>
      </c>
      <c r="E57" s="4">
        <f>'CASH FLOW'!C57-'YTD CF'!D57</f>
        <v/>
      </c>
      <c r="F57" s="4">
        <f>'YTD CF'!E57</f>
        <v/>
      </c>
      <c r="G57" s="4">
        <f>'YTD CF'!F57-'YTD CF'!E57</f>
        <v/>
      </c>
      <c r="H57" s="4">
        <f>'YTD CF'!G57-'YTD CF'!F57</f>
        <v/>
      </c>
      <c r="I57" s="4">
        <f>'CASH FLOW'!D57-'YTD CF'!G57</f>
        <v/>
      </c>
      <c r="J57" s="4">
        <f>'YTD CF'!H57</f>
        <v/>
      </c>
      <c r="K57" s="4">
        <f>'YTD CF'!I57-'YTD CF'!H57</f>
        <v/>
      </c>
      <c r="L57" s="4">
        <f>'YTD CF'!J57-'YTD CF'!I57</f>
        <v/>
      </c>
      <c r="M57" s="4">
        <f>'CASH FLOW'!E57-'YTD CF'!J57</f>
        <v/>
      </c>
      <c r="N57" s="4">
        <f>'YTD CF'!K57</f>
        <v/>
      </c>
      <c r="O57" s="4">
        <f>'YTD CF'!L57-'YTD CF'!K57</f>
        <v/>
      </c>
      <c r="P57" s="4">
        <f>'YTD CF'!M57-'YTD CF'!L57</f>
        <v/>
      </c>
      <c r="Q57" s="4">
        <f>'CASH FLOW'!F57-'YTD CF'!M57</f>
        <v/>
      </c>
      <c r="R57" s="4">
        <f>'YTD CF'!N57</f>
        <v/>
      </c>
      <c r="S57" s="4">
        <f>'YTD CF'!O57-'YTD CF'!N57</f>
        <v/>
      </c>
      <c r="T57" s="4">
        <f>'YTD CF'!P57-'YTD CF'!O57</f>
        <v/>
      </c>
      <c r="U57" s="4">
        <f>'CASH FLOW'!G57-'YTD CF'!P57</f>
        <v/>
      </c>
      <c r="V57" s="4">
        <f>'YTD CF'!Q57</f>
        <v/>
      </c>
      <c r="W57" s="4">
        <f>'YTD CF'!R57-'YTD CF'!Q57</f>
        <v/>
      </c>
      <c r="X57" s="4">
        <f>'YTD CF'!S57-'YTD CF'!R57</f>
        <v/>
      </c>
      <c r="Y57" s="4">
        <f>'CASH FLOW'!H57-'YTD CF'!S57</f>
        <v/>
      </c>
      <c r="Z57" s="11">
        <f>'CF DRIVERS'!Z54</f>
        <v/>
      </c>
      <c r="AA57" s="11">
        <f>'CF DRIVERS'!AA54</f>
        <v/>
      </c>
      <c r="AB57" s="11">
        <f>'CF DRIVERS'!AB54</f>
        <v/>
      </c>
      <c r="AC57" s="11">
        <f>'CF DRIVERS'!AC54</f>
        <v/>
      </c>
      <c r="AD57" s="11">
        <f>'CF DRIVERS'!AD54</f>
        <v/>
      </c>
      <c r="AE57" s="11">
        <f>'CF DRIVERS'!AE54</f>
        <v/>
      </c>
      <c r="AF57" s="11">
        <f>'CF DRIVERS'!AF54</f>
        <v/>
      </c>
      <c r="AG57" s="11">
        <f>'CF DRIVERS'!AG54</f>
        <v/>
      </c>
      <c r="AH57" s="11">
        <f>'CF DRIVERS'!AH54</f>
        <v/>
      </c>
      <c r="AI57" s="11">
        <f>'CF DRIVERS'!AI54</f>
        <v/>
      </c>
      <c r="AJ57" s="11">
        <f>'CF DRIVERS'!AJ54</f>
        <v/>
      </c>
      <c r="AK57" s="11">
        <f>'CF DRIVERS'!AK54</f>
        <v/>
      </c>
      <c r="AL57" s="11">
        <f>'CF DRIVERS'!AL54</f>
        <v/>
      </c>
      <c r="AM57" s="11">
        <f>'CF DRIVERS'!AM54</f>
        <v/>
      </c>
      <c r="AN57" s="11">
        <f>'CF DRIVERS'!AN54</f>
        <v/>
      </c>
      <c r="AO57" s="11">
        <f>'CF DRIVERS'!AO54</f>
        <v/>
      </c>
      <c r="AP57" s="11">
        <f>'CF DRIVERS'!AP54</f>
        <v/>
      </c>
      <c r="AQ57" s="11">
        <f>'CF DRIVERS'!AQ54</f>
        <v/>
      </c>
      <c r="AR57" s="11">
        <f>'CF DRIVERS'!AR54</f>
        <v/>
      </c>
      <c r="AS57" s="11">
        <f>'CF DRIVERS'!AS54</f>
        <v/>
      </c>
    </row>
    <row r="58">
      <c r="A58" s="3" t="inlineStr">
        <is>
          <t>Net Change in Cash</t>
        </is>
      </c>
      <c r="B58" s="6">
        <f>'YTD CF'!B58</f>
        <v/>
      </c>
      <c r="C58" s="6">
        <f>'YTD CF'!C58-'YTD CF'!B58</f>
        <v/>
      </c>
      <c r="D58" s="6">
        <f>'YTD CF'!D58-'YTD CF'!C58</f>
        <v/>
      </c>
      <c r="E58" s="6">
        <f>'CASH FLOW'!C58-'YTD CF'!D58</f>
        <v/>
      </c>
      <c r="F58" s="6">
        <f>'YTD CF'!E58</f>
        <v/>
      </c>
      <c r="G58" s="6">
        <f>'YTD CF'!F58-'YTD CF'!E58</f>
        <v/>
      </c>
      <c r="H58" s="6">
        <f>'YTD CF'!G58-'YTD CF'!F58</f>
        <v/>
      </c>
      <c r="I58" s="6">
        <f>'CASH FLOW'!D58-'YTD CF'!G58</f>
        <v/>
      </c>
      <c r="J58" s="6">
        <f>'YTD CF'!H58</f>
        <v/>
      </c>
      <c r="K58" s="6">
        <f>'YTD CF'!I58-'YTD CF'!H58</f>
        <v/>
      </c>
      <c r="L58" s="6">
        <f>'YTD CF'!J58-'YTD CF'!I58</f>
        <v/>
      </c>
      <c r="M58" s="6">
        <f>'CASH FLOW'!E58-'YTD CF'!J58</f>
        <v/>
      </c>
      <c r="N58" s="6">
        <f>'YTD CF'!K58</f>
        <v/>
      </c>
      <c r="O58" s="6">
        <f>'YTD CF'!L58-'YTD CF'!K58</f>
        <v/>
      </c>
      <c r="P58" s="6">
        <f>'YTD CF'!M58-'YTD CF'!L58</f>
        <v/>
      </c>
      <c r="Q58" s="6">
        <f>'CASH FLOW'!F58-'YTD CF'!M58</f>
        <v/>
      </c>
      <c r="R58" s="6">
        <f>'YTD CF'!N58</f>
        <v/>
      </c>
      <c r="S58" s="6">
        <f>'YTD CF'!O58-'YTD CF'!N58</f>
        <v/>
      </c>
      <c r="T58" s="6">
        <f>'YTD CF'!P58-'YTD CF'!O58</f>
        <v/>
      </c>
      <c r="U58" s="6">
        <f>'CASH FLOW'!G58-'YTD CF'!P58</f>
        <v/>
      </c>
      <c r="V58" s="6">
        <f>'YTD CF'!Q58</f>
        <v/>
      </c>
      <c r="W58" s="6">
        <f>'YTD CF'!R58-'YTD CF'!Q58</f>
        <v/>
      </c>
      <c r="X58" s="6">
        <f>'YTD CF'!S58-'YTD CF'!R58</f>
        <v/>
      </c>
      <c r="Y58" s="6">
        <f>'CASH FLOW'!H58-'YTD CF'!S58</f>
        <v/>
      </c>
      <c r="Z58" s="7">
        <f>Z34+Z41+Z56+Z57</f>
        <v/>
      </c>
      <c r="AA58" s="7">
        <f>AA34+AA41+AA56+AA57</f>
        <v/>
      </c>
      <c r="AB58" s="7">
        <f>AB34+AB41+AB56+AB57</f>
        <v/>
      </c>
      <c r="AC58" s="7">
        <f>AC34+AC41+AC56+AC57</f>
        <v/>
      </c>
      <c r="AD58" s="7">
        <f>AD34+AD41+AD56+AD57</f>
        <v/>
      </c>
      <c r="AE58" s="7">
        <f>AE34+AE41+AE56+AE57</f>
        <v/>
      </c>
      <c r="AF58" s="7">
        <f>AF34+AF41+AF56+AF57</f>
        <v/>
      </c>
      <c r="AG58" s="7">
        <f>AG34+AG41+AG56+AG57</f>
        <v/>
      </c>
      <c r="AH58" s="7">
        <f>AH34+AH41+AH56+AH57</f>
        <v/>
      </c>
      <c r="AI58" s="7">
        <f>AI34+AI41+AI56+AI57</f>
        <v/>
      </c>
      <c r="AJ58" s="7">
        <f>AJ34+AJ41+AJ56+AJ57</f>
        <v/>
      </c>
      <c r="AK58" s="7">
        <f>AK34+AK41+AK56+AK57</f>
        <v/>
      </c>
      <c r="AL58" s="7">
        <f>AL34+AL41+AL56+AL57</f>
        <v/>
      </c>
      <c r="AM58" s="7">
        <f>AM34+AM41+AM56+AM57</f>
        <v/>
      </c>
      <c r="AN58" s="7">
        <f>AN34+AN41+AN56+AN57</f>
        <v/>
      </c>
      <c r="AO58" s="7">
        <f>AO34+AO41+AO56+AO57</f>
        <v/>
      </c>
      <c r="AP58" s="7">
        <f>AP34+AP41+AP56+AP57</f>
        <v/>
      </c>
      <c r="AQ58" s="7">
        <f>AQ34+AQ41+AQ56+AQ57</f>
        <v/>
      </c>
      <c r="AR58" s="7">
        <f>AR34+AR41+AR56+AR57</f>
        <v/>
      </c>
      <c r="AS58" s="7">
        <f>AS34+AS41+AS56+AS57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>
      <c r="A1" s="1" t="inlineStr">
        <is>
          <t>Driver</t>
        </is>
      </c>
      <c r="B1" s="2" t="inlineStr">
        <is>
          <t>Basis</t>
        </is>
      </c>
      <c r="C1" s="2" t="inlineStr">
        <is>
          <t>Q1 FY2019</t>
        </is>
      </c>
      <c r="D1" s="2" t="inlineStr">
        <is>
          <t>Q2 FY2019</t>
        </is>
      </c>
      <c r="E1" s="2" t="inlineStr">
        <is>
          <t>Q3 FY2019</t>
        </is>
      </c>
      <c r="F1" s="2" t="inlineStr">
        <is>
          <t>Q4 FY2019</t>
        </is>
      </c>
      <c r="G1" s="2" t="inlineStr">
        <is>
          <t>Q1 FY2020</t>
        </is>
      </c>
      <c r="H1" s="2" t="inlineStr">
        <is>
          <t>Q2 FY2020</t>
        </is>
      </c>
      <c r="I1" s="2" t="inlineStr">
        <is>
          <t>Q3 FY2020</t>
        </is>
      </c>
      <c r="J1" s="2" t="inlineStr">
        <is>
          <t>Q4 FY2020</t>
        </is>
      </c>
      <c r="K1" s="2" t="inlineStr">
        <is>
          <t>Q1 FY2021</t>
        </is>
      </c>
      <c r="L1" s="2" t="inlineStr">
        <is>
          <t>Q2 FY2021</t>
        </is>
      </c>
      <c r="M1" s="2" t="inlineStr">
        <is>
          <t>Q3 FY2021</t>
        </is>
      </c>
      <c r="N1" s="2" t="inlineStr">
        <is>
          <t>Q4 FY2021</t>
        </is>
      </c>
      <c r="O1" s="2" t="inlineStr">
        <is>
          <t>Q1 FY2022</t>
        </is>
      </c>
      <c r="P1" s="2" t="inlineStr">
        <is>
          <t>Q2 FY2022</t>
        </is>
      </c>
      <c r="Q1" s="2" t="inlineStr">
        <is>
          <t>Q3 FY2022</t>
        </is>
      </c>
      <c r="R1" s="2" t="inlineStr">
        <is>
          <t>Q4 FY2022</t>
        </is>
      </c>
      <c r="S1" s="2" t="inlineStr">
        <is>
          <t>Q1 FY2023</t>
        </is>
      </c>
      <c r="T1" s="2" t="inlineStr">
        <is>
          <t>Q2 FY2023</t>
        </is>
      </c>
      <c r="U1" s="2" t="inlineStr">
        <is>
          <t>Q3 FY2023</t>
        </is>
      </c>
      <c r="V1" s="2" t="inlineStr">
        <is>
          <t>Q4 FY2023</t>
        </is>
      </c>
      <c r="W1" s="2" t="inlineStr">
        <is>
          <t>Q1 FY2024</t>
        </is>
      </c>
      <c r="X1" s="2" t="inlineStr">
        <is>
          <t>Q2 FY2024</t>
        </is>
      </c>
      <c r="Y1" s="2" t="inlineStr">
        <is>
          <t>Q3 FY2024</t>
        </is>
      </c>
      <c r="Z1" s="2" t="inlineStr">
        <is>
          <t>Q4 FY2024</t>
        </is>
      </c>
      <c r="AA1" s="2" t="inlineStr">
        <is>
          <t>Q1 FY2025</t>
        </is>
      </c>
      <c r="AB1" s="2" t="inlineStr">
        <is>
          <t>Q2 FY2025</t>
        </is>
      </c>
      <c r="AC1" s="2" t="inlineStr">
        <is>
          <t>Q3 FY2025</t>
        </is>
      </c>
      <c r="AD1" s="2" t="inlineStr">
        <is>
          <t>Q4 FY2025</t>
        </is>
      </c>
      <c r="AE1" s="2" t="inlineStr">
        <is>
          <t>Q1 FY2026E</t>
        </is>
      </c>
      <c r="AF1" s="2" t="inlineStr">
        <is>
          <t>Q2 FY2026E</t>
        </is>
      </c>
      <c r="AG1" s="2" t="inlineStr">
        <is>
          <t>Q3 FY2026E</t>
        </is>
      </c>
      <c r="AH1" s="2" t="inlineStr">
        <is>
          <t>Q4 FY2026E</t>
        </is>
      </c>
      <c r="AI1" s="2" t="inlineStr">
        <is>
          <t>Q1 FY2027E</t>
        </is>
      </c>
      <c r="AJ1" s="2" t="inlineStr">
        <is>
          <t>Q2 FY2027E</t>
        </is>
      </c>
      <c r="AK1" s="2" t="inlineStr">
        <is>
          <t>Q3 FY2027E</t>
        </is>
      </c>
      <c r="AL1" s="2" t="inlineStr">
        <is>
          <t>Q4 FY2027E</t>
        </is>
      </c>
      <c r="AM1" s="2" t="inlineStr">
        <is>
          <t>Q1 FY2028E</t>
        </is>
      </c>
      <c r="AN1" s="2" t="inlineStr">
        <is>
          <t>Q2 FY2028E</t>
        </is>
      </c>
      <c r="AO1" s="2" t="inlineStr">
        <is>
          <t>Q3 FY2028E</t>
        </is>
      </c>
      <c r="AP1" s="2" t="inlineStr">
        <is>
          <t>Q4 FY2028E</t>
        </is>
      </c>
      <c r="AQ1" s="2" t="inlineStr">
        <is>
          <t>Q1 FY2029E</t>
        </is>
      </c>
      <c r="AR1" s="2" t="inlineStr">
        <is>
          <t>Q2 FY2029E</t>
        </is>
      </c>
      <c r="AS1" s="2" t="inlineStr">
        <is>
          <t>Q3 FY2029E</t>
        </is>
      </c>
      <c r="AT1" s="2" t="inlineStr">
        <is>
          <t>Q4 FY2029E</t>
        </is>
      </c>
      <c r="AU1" s="2" t="inlineStr">
        <is>
          <t>Q1 FY2030E</t>
        </is>
      </c>
      <c r="AV1" s="2" t="inlineStr">
        <is>
          <t>Q2 FY2030E</t>
        </is>
      </c>
      <c r="AW1" s="2" t="inlineStr">
        <is>
          <t>Q3 FY2030E</t>
        </is>
      </c>
      <c r="AX1" s="2" t="inlineStr">
        <is>
          <t>Q4 FY2030E</t>
        </is>
      </c>
    </row>
    <row r="2">
      <c r="A2" s="3" t="inlineStr">
        <is>
          <t>Net Sales / Revenue — Growth %</t>
        </is>
      </c>
      <c r="B2" s="12" t="inlineStr">
        <is>
          <t>QoQ</t>
        </is>
      </c>
      <c r="D2" s="13">
        <f>IFERROR('QTR P&amp;L'!C2/'QTR P&amp;L'!B2-1,"")</f>
        <v/>
      </c>
      <c r="E2" s="13">
        <f>IFERROR('QTR P&amp;L'!D2/'QTR P&amp;L'!C2-1,"")</f>
        <v/>
      </c>
      <c r="F2" s="13">
        <f>IFERROR('QTR P&amp;L'!E2/'QTR P&amp;L'!D2-1,"")</f>
        <v/>
      </c>
      <c r="G2" s="13">
        <f>IFERROR('QTR P&amp;L'!F2/IF($B2="QoQ",'QTR P&amp;L'!E2,'QTR P&amp;L'!B2)-1,"")</f>
        <v/>
      </c>
      <c r="H2" s="13">
        <f>IFERROR('QTR P&amp;L'!G2/IF($B2="QoQ",'QTR P&amp;L'!F2,'QTR P&amp;L'!C2)-1,"")</f>
        <v/>
      </c>
      <c r="I2" s="13">
        <f>IFERROR('QTR P&amp;L'!H2/IF($B2="QoQ",'QTR P&amp;L'!G2,'QTR P&amp;L'!D2)-1,"")</f>
        <v/>
      </c>
      <c r="J2" s="13">
        <f>IFERROR('QTR P&amp;L'!I2/IF($B2="QoQ",'QTR P&amp;L'!H2,'QTR P&amp;L'!E2)-1,"")</f>
        <v/>
      </c>
      <c r="K2" s="13">
        <f>IFERROR('QTR P&amp;L'!J2/IF($B2="QoQ",'QTR P&amp;L'!I2,'QTR P&amp;L'!F2)-1,"")</f>
        <v/>
      </c>
      <c r="L2" s="13">
        <f>IFERROR('QTR P&amp;L'!K2/IF($B2="QoQ",'QTR P&amp;L'!J2,'QTR P&amp;L'!G2)-1,"")</f>
        <v/>
      </c>
      <c r="M2" s="13">
        <f>IFERROR('QTR P&amp;L'!L2/IF($B2="QoQ",'QTR P&amp;L'!K2,'QTR P&amp;L'!H2)-1,"")</f>
        <v/>
      </c>
      <c r="N2" s="13">
        <f>IFERROR('QTR P&amp;L'!M2/IF($B2="QoQ",'QTR P&amp;L'!L2,'QTR P&amp;L'!I2)-1,"")</f>
        <v/>
      </c>
      <c r="O2" s="13">
        <f>IFERROR('QTR P&amp;L'!N2/IF($B2="QoQ",'QTR P&amp;L'!M2,'QTR P&amp;L'!J2)-1,"")</f>
        <v/>
      </c>
      <c r="P2" s="13">
        <f>IFERROR('QTR P&amp;L'!O2/IF($B2="QoQ",'QTR P&amp;L'!N2,'QTR P&amp;L'!K2)-1,"")</f>
        <v/>
      </c>
      <c r="Q2" s="13">
        <f>IFERROR('QTR P&amp;L'!P2/IF($B2="QoQ",'QTR P&amp;L'!O2,'QTR P&amp;L'!L2)-1,"")</f>
        <v/>
      </c>
      <c r="R2" s="13">
        <f>IFERROR('QTR P&amp;L'!Q2/IF($B2="QoQ",'QTR P&amp;L'!P2,'QTR P&amp;L'!M2)-1,"")</f>
        <v/>
      </c>
      <c r="S2" s="13">
        <f>IFERROR('QTR P&amp;L'!R2/IF($B2="QoQ",'QTR P&amp;L'!Q2,'QTR P&amp;L'!N2)-1,"")</f>
        <v/>
      </c>
      <c r="T2" s="13">
        <f>IFERROR('QTR P&amp;L'!S2/IF($B2="QoQ",'QTR P&amp;L'!R2,'QTR P&amp;L'!O2)-1,"")</f>
        <v/>
      </c>
      <c r="U2" s="13">
        <f>IFERROR('QTR P&amp;L'!T2/IF($B2="QoQ",'QTR P&amp;L'!S2,'QTR P&amp;L'!P2)-1,"")</f>
        <v/>
      </c>
      <c r="V2" s="13">
        <f>IFERROR('QTR P&amp;L'!U2/IF($B2="QoQ",'QTR P&amp;L'!T2,'QTR P&amp;L'!Q2)-1,"")</f>
        <v/>
      </c>
      <c r="W2" s="13">
        <f>IFERROR('QTR P&amp;L'!V2/IF($B2="QoQ",'QTR P&amp;L'!U2,'QTR P&amp;L'!R2)-1,"")</f>
        <v/>
      </c>
      <c r="X2" s="13">
        <f>IFERROR('QTR P&amp;L'!W2/IF($B2="QoQ",'QTR P&amp;L'!V2,'QTR P&amp;L'!S2)-1,"")</f>
        <v/>
      </c>
      <c r="Y2" s="13">
        <f>IFERROR('QTR P&amp;L'!X2/IF($B2="QoQ",'QTR P&amp;L'!W2,'QTR P&amp;L'!T2)-1,"")</f>
        <v/>
      </c>
      <c r="Z2" s="13">
        <f>IFERROR('QTR P&amp;L'!Y2/IF($B2="QoQ",'QTR P&amp;L'!X2,'QTR P&amp;L'!U2)-1,"")</f>
        <v/>
      </c>
      <c r="AA2" s="13">
        <f>IFERROR('QTR P&amp;L'!Z2/IF($B2="QoQ",'QTR P&amp;L'!Y2,'QTR P&amp;L'!V2)-1,"")</f>
        <v/>
      </c>
      <c r="AB2" s="13">
        <f>IFERROR('QTR P&amp;L'!AA2/IF($B2="QoQ",'QTR P&amp;L'!Z2,'QTR P&amp;L'!W2)-1,"")</f>
        <v/>
      </c>
      <c r="AC2" s="13">
        <f>IFERROR('QTR P&amp;L'!AB2/IF($B2="QoQ",'QTR P&amp;L'!AA2,'QTR P&amp;L'!X2)-1,"")</f>
        <v/>
      </c>
      <c r="AD2" s="13">
        <f>IFERROR('QTR P&amp;L'!AC2/IF($B2="QoQ",'QTR P&amp;L'!AB2,'QTR P&amp;L'!Y2)-1,"")</f>
        <v/>
      </c>
      <c r="AE2" s="14">
        <f>AD2</f>
        <v/>
      </c>
      <c r="AF2" s="14">
        <f>AE2</f>
        <v/>
      </c>
      <c r="AG2" s="14">
        <f>AF2</f>
        <v/>
      </c>
      <c r="AH2" s="14">
        <f>AG2</f>
        <v/>
      </c>
      <c r="AI2" s="14">
        <f>AH2</f>
        <v/>
      </c>
      <c r="AJ2" s="14">
        <f>AI2</f>
        <v/>
      </c>
      <c r="AK2" s="14">
        <f>AJ2</f>
        <v/>
      </c>
      <c r="AL2" s="14">
        <f>AK2</f>
        <v/>
      </c>
      <c r="AM2" s="14">
        <f>AL2</f>
        <v/>
      </c>
      <c r="AN2" s="14">
        <f>AM2</f>
        <v/>
      </c>
      <c r="AO2" s="14">
        <f>AN2</f>
        <v/>
      </c>
      <c r="AP2" s="14">
        <f>AO2</f>
        <v/>
      </c>
      <c r="AQ2" s="14">
        <f>AP2</f>
        <v/>
      </c>
      <c r="AR2" s="14">
        <f>AQ2</f>
        <v/>
      </c>
      <c r="AS2" s="14">
        <f>AR2</f>
        <v/>
      </c>
      <c r="AT2" s="14">
        <f>AS2</f>
        <v/>
      </c>
      <c r="AU2" s="14">
        <f>AT2</f>
        <v/>
      </c>
      <c r="AV2" s="14">
        <f>AU2</f>
        <v/>
      </c>
      <c r="AW2" s="14">
        <f>AV2</f>
        <v/>
      </c>
      <c r="AX2" s="14">
        <f>AW2</f>
        <v/>
      </c>
    </row>
    <row r="3">
      <c r="A3" s="3" t="inlineStr">
        <is>
          <t>COGS — % of Revenue</t>
        </is>
      </c>
      <c r="C3" s="13">
        <f>IFERROR('QTR P&amp;L'!B3/'QTR P&amp;L'!B2,"")</f>
        <v/>
      </c>
      <c r="D3" s="13">
        <f>IFERROR('QTR P&amp;L'!C3/'QTR P&amp;L'!C2,"")</f>
        <v/>
      </c>
      <c r="E3" s="13">
        <f>IFERROR('QTR P&amp;L'!D3/'QTR P&amp;L'!D2,"")</f>
        <v/>
      </c>
      <c r="F3" s="13">
        <f>IFERROR('QTR P&amp;L'!E3/'QTR P&amp;L'!E2,"")</f>
        <v/>
      </c>
      <c r="G3" s="13">
        <f>IFERROR('QTR P&amp;L'!F3/'QTR P&amp;L'!F2,"")</f>
        <v/>
      </c>
      <c r="H3" s="13">
        <f>IFERROR('QTR P&amp;L'!G3/'QTR P&amp;L'!G2,"")</f>
        <v/>
      </c>
      <c r="I3" s="13">
        <f>IFERROR('QTR P&amp;L'!H3/'QTR P&amp;L'!H2,"")</f>
        <v/>
      </c>
      <c r="J3" s="13">
        <f>IFERROR('QTR P&amp;L'!I3/'QTR P&amp;L'!I2,"")</f>
        <v/>
      </c>
      <c r="K3" s="13">
        <f>IFERROR('QTR P&amp;L'!J3/'QTR P&amp;L'!J2,"")</f>
        <v/>
      </c>
      <c r="L3" s="13">
        <f>IFERROR('QTR P&amp;L'!K3/'QTR P&amp;L'!K2,"")</f>
        <v/>
      </c>
      <c r="M3" s="13">
        <f>IFERROR('QTR P&amp;L'!L3/'QTR P&amp;L'!L2,"")</f>
        <v/>
      </c>
      <c r="N3" s="13">
        <f>IFERROR('QTR P&amp;L'!M3/'QTR P&amp;L'!M2,"")</f>
        <v/>
      </c>
      <c r="O3" s="13">
        <f>IFERROR('QTR P&amp;L'!N3/'QTR P&amp;L'!N2,"")</f>
        <v/>
      </c>
      <c r="P3" s="13">
        <f>IFERROR('QTR P&amp;L'!O3/'QTR P&amp;L'!O2,"")</f>
        <v/>
      </c>
      <c r="Q3" s="13">
        <f>IFERROR('QTR P&amp;L'!P3/'QTR P&amp;L'!P2,"")</f>
        <v/>
      </c>
      <c r="R3" s="13">
        <f>IFERROR('QTR P&amp;L'!Q3/'QTR P&amp;L'!Q2,"")</f>
        <v/>
      </c>
      <c r="S3" s="13">
        <f>IFERROR('QTR P&amp;L'!R3/'QTR P&amp;L'!R2,"")</f>
        <v/>
      </c>
      <c r="T3" s="13">
        <f>IFERROR('QTR P&amp;L'!S3/'QTR P&amp;L'!S2,"")</f>
        <v/>
      </c>
      <c r="U3" s="13">
        <f>IFERROR('QTR P&amp;L'!T3/'QTR P&amp;L'!T2,"")</f>
        <v/>
      </c>
      <c r="V3" s="13">
        <f>IFERROR('QTR P&amp;L'!U3/'QTR P&amp;L'!U2,"")</f>
        <v/>
      </c>
      <c r="W3" s="13">
        <f>IFERROR('QTR P&amp;L'!V3/'QTR P&amp;L'!V2,"")</f>
        <v/>
      </c>
      <c r="X3" s="13">
        <f>IFERROR('QTR P&amp;L'!W3/'QTR P&amp;L'!W2,"")</f>
        <v/>
      </c>
      <c r="Y3" s="13">
        <f>IFERROR('QTR P&amp;L'!X3/'QTR P&amp;L'!X2,"")</f>
        <v/>
      </c>
      <c r="Z3" s="13">
        <f>IFERROR('QTR P&amp;L'!Y3/'QTR P&amp;L'!Y2,"")</f>
        <v/>
      </c>
      <c r="AA3" s="13">
        <f>IFERROR('QTR P&amp;L'!Z3/'QTR P&amp;L'!Z2,"")</f>
        <v/>
      </c>
      <c r="AB3" s="13">
        <f>IFERROR('QTR P&amp;L'!AA3/'QTR P&amp;L'!AA2,"")</f>
        <v/>
      </c>
      <c r="AC3" s="13">
        <f>IFERROR('QTR P&amp;L'!AB3/'QTR P&amp;L'!AB2,"")</f>
        <v/>
      </c>
      <c r="AD3" s="13">
        <f>IFERROR('QTR P&amp;L'!AC3/'QTR P&amp;L'!AC2,"")</f>
        <v/>
      </c>
      <c r="AE3" s="14">
        <f>AD3</f>
        <v/>
      </c>
      <c r="AF3" s="14">
        <f>AE3</f>
        <v/>
      </c>
      <c r="AG3" s="14">
        <f>AF3</f>
        <v/>
      </c>
      <c r="AH3" s="14">
        <f>AG3</f>
        <v/>
      </c>
      <c r="AI3" s="14">
        <f>AH3</f>
        <v/>
      </c>
      <c r="AJ3" s="14">
        <f>AI3</f>
        <v/>
      </c>
      <c r="AK3" s="14">
        <f>AJ3</f>
        <v/>
      </c>
      <c r="AL3" s="14">
        <f>AK3</f>
        <v/>
      </c>
      <c r="AM3" s="14">
        <f>AL3</f>
        <v/>
      </c>
      <c r="AN3" s="14">
        <f>AM3</f>
        <v/>
      </c>
      <c r="AO3" s="14">
        <f>AN3</f>
        <v/>
      </c>
      <c r="AP3" s="14">
        <f>AO3</f>
        <v/>
      </c>
      <c r="AQ3" s="14">
        <f>AP3</f>
        <v/>
      </c>
      <c r="AR3" s="14">
        <f>AQ3</f>
        <v/>
      </c>
      <c r="AS3" s="14">
        <f>AR3</f>
        <v/>
      </c>
      <c r="AT3" s="14">
        <f>AS3</f>
        <v/>
      </c>
      <c r="AU3" s="14">
        <f>AT3</f>
        <v/>
      </c>
      <c r="AV3" s="14">
        <f>AU3</f>
        <v/>
      </c>
      <c r="AW3" s="14">
        <f>AV3</f>
        <v/>
      </c>
      <c r="AX3" s="14">
        <f>AW3</f>
        <v/>
      </c>
    </row>
    <row r="4">
      <c r="A4" s="3" t="inlineStr">
        <is>
          <t>Sales and Marketing — % of Revenue</t>
        </is>
      </c>
      <c r="C4" s="13">
        <f>IFERROR('QTR P&amp;L'!B5/'QTR P&amp;L'!B2,"")</f>
        <v/>
      </c>
      <c r="D4" s="13">
        <f>IFERROR('QTR P&amp;L'!C5/'QTR P&amp;L'!C2,"")</f>
        <v/>
      </c>
      <c r="E4" s="13">
        <f>IFERROR('QTR P&amp;L'!D5/'QTR P&amp;L'!D2,"")</f>
        <v/>
      </c>
      <c r="F4" s="13">
        <f>IFERROR('QTR P&amp;L'!E5/'QTR P&amp;L'!E2,"")</f>
        <v/>
      </c>
      <c r="G4" s="13">
        <f>IFERROR('QTR P&amp;L'!F5/'QTR P&amp;L'!F2,"")</f>
        <v/>
      </c>
      <c r="H4" s="13">
        <f>IFERROR('QTR P&amp;L'!G5/'QTR P&amp;L'!G2,"")</f>
        <v/>
      </c>
      <c r="I4" s="13">
        <f>IFERROR('QTR P&amp;L'!H5/'QTR P&amp;L'!H2,"")</f>
        <v/>
      </c>
      <c r="J4" s="13">
        <f>IFERROR('QTR P&amp;L'!I5/'QTR P&amp;L'!I2,"")</f>
        <v/>
      </c>
      <c r="K4" s="13">
        <f>IFERROR('QTR P&amp;L'!J5/'QTR P&amp;L'!J2,"")</f>
        <v/>
      </c>
      <c r="L4" s="13">
        <f>IFERROR('QTR P&amp;L'!K5/'QTR P&amp;L'!K2,"")</f>
        <v/>
      </c>
      <c r="M4" s="13">
        <f>IFERROR('QTR P&amp;L'!L5/'QTR P&amp;L'!L2,"")</f>
        <v/>
      </c>
      <c r="N4" s="13">
        <f>IFERROR('QTR P&amp;L'!M5/'QTR P&amp;L'!M2,"")</f>
        <v/>
      </c>
      <c r="O4" s="13">
        <f>IFERROR('QTR P&amp;L'!N5/'QTR P&amp;L'!N2,"")</f>
        <v/>
      </c>
      <c r="P4" s="13">
        <f>IFERROR('QTR P&amp;L'!O5/'QTR P&amp;L'!O2,"")</f>
        <v/>
      </c>
      <c r="Q4" s="13">
        <f>IFERROR('QTR P&amp;L'!P5/'QTR P&amp;L'!P2,"")</f>
        <v/>
      </c>
      <c r="R4" s="13">
        <f>IFERROR('QTR P&amp;L'!Q5/'QTR P&amp;L'!Q2,"")</f>
        <v/>
      </c>
      <c r="S4" s="13">
        <f>IFERROR('QTR P&amp;L'!R5/'QTR P&amp;L'!R2,"")</f>
        <v/>
      </c>
      <c r="T4" s="13">
        <f>IFERROR('QTR P&amp;L'!S5/'QTR P&amp;L'!S2,"")</f>
        <v/>
      </c>
      <c r="U4" s="13">
        <f>IFERROR('QTR P&amp;L'!T5/'QTR P&amp;L'!T2,"")</f>
        <v/>
      </c>
      <c r="V4" s="13">
        <f>IFERROR('QTR P&amp;L'!U5/'QTR P&amp;L'!U2,"")</f>
        <v/>
      </c>
      <c r="W4" s="13">
        <f>IFERROR('QTR P&amp;L'!V5/'QTR P&amp;L'!V2,"")</f>
        <v/>
      </c>
      <c r="X4" s="13">
        <f>IFERROR('QTR P&amp;L'!W5/'QTR P&amp;L'!W2,"")</f>
        <v/>
      </c>
      <c r="Y4" s="13">
        <f>IFERROR('QTR P&amp;L'!X5/'QTR P&amp;L'!X2,"")</f>
        <v/>
      </c>
      <c r="Z4" s="13">
        <f>IFERROR('QTR P&amp;L'!Y5/'QTR P&amp;L'!Y2,"")</f>
        <v/>
      </c>
      <c r="AA4" s="13">
        <f>IFERROR('QTR P&amp;L'!Z5/'QTR P&amp;L'!Z2,"")</f>
        <v/>
      </c>
      <c r="AB4" s="13">
        <f>IFERROR('QTR P&amp;L'!AA5/'QTR P&amp;L'!AA2,"")</f>
        <v/>
      </c>
      <c r="AC4" s="13">
        <f>IFERROR('QTR P&amp;L'!AB5/'QTR P&amp;L'!AB2,"")</f>
        <v/>
      </c>
      <c r="AD4" s="13">
        <f>IFERROR('QTR P&amp;L'!AC5/'QTR P&amp;L'!AC2,"")</f>
        <v/>
      </c>
      <c r="AE4" s="14">
        <f>AD4</f>
        <v/>
      </c>
      <c r="AF4" s="14">
        <f>AE4</f>
        <v/>
      </c>
      <c r="AG4" s="14">
        <f>AF4</f>
        <v/>
      </c>
      <c r="AH4" s="14">
        <f>AG4</f>
        <v/>
      </c>
      <c r="AI4" s="14">
        <f>AH4</f>
        <v/>
      </c>
      <c r="AJ4" s="14">
        <f>AI4</f>
        <v/>
      </c>
      <c r="AK4" s="14">
        <f>AJ4</f>
        <v/>
      </c>
      <c r="AL4" s="14">
        <f>AK4</f>
        <v/>
      </c>
      <c r="AM4" s="14">
        <f>AL4</f>
        <v/>
      </c>
      <c r="AN4" s="14">
        <f>AM4</f>
        <v/>
      </c>
      <c r="AO4" s="14">
        <f>AN4</f>
        <v/>
      </c>
      <c r="AP4" s="14">
        <f>AO4</f>
        <v/>
      </c>
      <c r="AQ4" s="14">
        <f>AP4</f>
        <v/>
      </c>
      <c r="AR4" s="14">
        <f>AQ4</f>
        <v/>
      </c>
      <c r="AS4" s="14">
        <f>AR4</f>
        <v/>
      </c>
      <c r="AT4" s="14">
        <f>AS4</f>
        <v/>
      </c>
      <c r="AU4" s="14">
        <f>AT4</f>
        <v/>
      </c>
      <c r="AV4" s="14">
        <f>AU4</f>
        <v/>
      </c>
      <c r="AW4" s="14">
        <f>AV4</f>
        <v/>
      </c>
      <c r="AX4" s="14">
        <f>AW4</f>
        <v/>
      </c>
    </row>
    <row r="5">
      <c r="A5" s="3" t="inlineStr">
        <is>
          <t>General and Administrative — % of Revenue</t>
        </is>
      </c>
      <c r="C5" s="13">
        <f>IFERROR('QTR P&amp;L'!B6/'QTR P&amp;L'!B2,"")</f>
        <v/>
      </c>
      <c r="D5" s="13">
        <f>IFERROR('QTR P&amp;L'!C6/'QTR P&amp;L'!C2,"")</f>
        <v/>
      </c>
      <c r="E5" s="13">
        <f>IFERROR('QTR P&amp;L'!D6/'QTR P&amp;L'!D2,"")</f>
        <v/>
      </c>
      <c r="F5" s="13">
        <f>IFERROR('QTR P&amp;L'!E6/'QTR P&amp;L'!E2,"")</f>
        <v/>
      </c>
      <c r="G5" s="13">
        <f>IFERROR('QTR P&amp;L'!F6/'QTR P&amp;L'!F2,"")</f>
        <v/>
      </c>
      <c r="H5" s="13">
        <f>IFERROR('QTR P&amp;L'!G6/'QTR P&amp;L'!G2,"")</f>
        <v/>
      </c>
      <c r="I5" s="13">
        <f>IFERROR('QTR P&amp;L'!H6/'QTR P&amp;L'!H2,"")</f>
        <v/>
      </c>
      <c r="J5" s="13">
        <f>IFERROR('QTR P&amp;L'!I6/'QTR P&amp;L'!I2,"")</f>
        <v/>
      </c>
      <c r="K5" s="13">
        <f>IFERROR('QTR P&amp;L'!J6/'QTR P&amp;L'!J2,"")</f>
        <v/>
      </c>
      <c r="L5" s="13">
        <f>IFERROR('QTR P&amp;L'!K6/'QTR P&amp;L'!K2,"")</f>
        <v/>
      </c>
      <c r="M5" s="13">
        <f>IFERROR('QTR P&amp;L'!L6/'QTR P&amp;L'!L2,"")</f>
        <v/>
      </c>
      <c r="N5" s="13">
        <f>IFERROR('QTR P&amp;L'!M6/'QTR P&amp;L'!M2,"")</f>
        <v/>
      </c>
      <c r="O5" s="13">
        <f>IFERROR('QTR P&amp;L'!N6/'QTR P&amp;L'!N2,"")</f>
        <v/>
      </c>
      <c r="P5" s="13">
        <f>IFERROR('QTR P&amp;L'!O6/'QTR P&amp;L'!O2,"")</f>
        <v/>
      </c>
      <c r="Q5" s="13">
        <f>IFERROR('QTR P&amp;L'!P6/'QTR P&amp;L'!P2,"")</f>
        <v/>
      </c>
      <c r="R5" s="13">
        <f>IFERROR('QTR P&amp;L'!Q6/'QTR P&amp;L'!Q2,"")</f>
        <v/>
      </c>
      <c r="S5" s="13">
        <f>IFERROR('QTR P&amp;L'!R6/'QTR P&amp;L'!R2,"")</f>
        <v/>
      </c>
      <c r="T5" s="13">
        <f>IFERROR('QTR P&amp;L'!S6/'QTR P&amp;L'!S2,"")</f>
        <v/>
      </c>
      <c r="U5" s="13">
        <f>IFERROR('QTR P&amp;L'!T6/'QTR P&amp;L'!T2,"")</f>
        <v/>
      </c>
      <c r="V5" s="13">
        <f>IFERROR('QTR P&amp;L'!U6/'QTR P&amp;L'!U2,"")</f>
        <v/>
      </c>
      <c r="W5" s="13">
        <f>IFERROR('QTR P&amp;L'!V6/'QTR P&amp;L'!V2,"")</f>
        <v/>
      </c>
      <c r="X5" s="13">
        <f>IFERROR('QTR P&amp;L'!W6/'QTR P&amp;L'!W2,"")</f>
        <v/>
      </c>
      <c r="Y5" s="13">
        <f>IFERROR('QTR P&amp;L'!X6/'QTR P&amp;L'!X2,"")</f>
        <v/>
      </c>
      <c r="Z5" s="13">
        <f>IFERROR('QTR P&amp;L'!Y6/'QTR P&amp;L'!Y2,"")</f>
        <v/>
      </c>
      <c r="AA5" s="13">
        <f>IFERROR('QTR P&amp;L'!Z6/'QTR P&amp;L'!Z2,"")</f>
        <v/>
      </c>
      <c r="AB5" s="13">
        <f>IFERROR('QTR P&amp;L'!AA6/'QTR P&amp;L'!AA2,"")</f>
        <v/>
      </c>
      <c r="AC5" s="13">
        <f>IFERROR('QTR P&amp;L'!AB6/'QTR P&amp;L'!AB2,"")</f>
        <v/>
      </c>
      <c r="AD5" s="13">
        <f>IFERROR('QTR P&amp;L'!AC6/'QTR P&amp;L'!AC2,"")</f>
        <v/>
      </c>
      <c r="AE5" s="14">
        <f>AD5</f>
        <v/>
      </c>
      <c r="AF5" s="14">
        <f>AE5</f>
        <v/>
      </c>
      <c r="AG5" s="14">
        <f>AF5</f>
        <v/>
      </c>
      <c r="AH5" s="14">
        <f>AG5</f>
        <v/>
      </c>
      <c r="AI5" s="14">
        <f>AH5</f>
        <v/>
      </c>
      <c r="AJ5" s="14">
        <f>AI5</f>
        <v/>
      </c>
      <c r="AK5" s="14">
        <f>AJ5</f>
        <v/>
      </c>
      <c r="AL5" s="14">
        <f>AK5</f>
        <v/>
      </c>
      <c r="AM5" s="14">
        <f>AL5</f>
        <v/>
      </c>
      <c r="AN5" s="14">
        <f>AM5</f>
        <v/>
      </c>
      <c r="AO5" s="14">
        <f>AN5</f>
        <v/>
      </c>
      <c r="AP5" s="14">
        <f>AO5</f>
        <v/>
      </c>
      <c r="AQ5" s="14">
        <f>AP5</f>
        <v/>
      </c>
      <c r="AR5" s="14">
        <f>AQ5</f>
        <v/>
      </c>
      <c r="AS5" s="14">
        <f>AR5</f>
        <v/>
      </c>
      <c r="AT5" s="14">
        <f>AS5</f>
        <v/>
      </c>
      <c r="AU5" s="14">
        <f>AT5</f>
        <v/>
      </c>
      <c r="AV5" s="14">
        <f>AU5</f>
        <v/>
      </c>
      <c r="AW5" s="14">
        <f>AV5</f>
        <v/>
      </c>
      <c r="AX5" s="14">
        <f>AW5</f>
        <v/>
      </c>
    </row>
    <row r="6">
      <c r="A6" s="3" t="inlineStr">
        <is>
          <t>Operating Expenses — % of Revenue</t>
        </is>
      </c>
      <c r="C6" s="13">
        <f>IFERROR('QTR P&amp;L'!B7/'QTR P&amp;L'!B2,"")</f>
        <v/>
      </c>
      <c r="D6" s="13">
        <f>IFERROR('QTR P&amp;L'!C7/'QTR P&amp;L'!C2,"")</f>
        <v/>
      </c>
      <c r="E6" s="13">
        <f>IFERROR('QTR P&amp;L'!D7/'QTR P&amp;L'!D2,"")</f>
        <v/>
      </c>
      <c r="F6" s="13">
        <f>IFERROR('QTR P&amp;L'!E7/'QTR P&amp;L'!E2,"")</f>
        <v/>
      </c>
      <c r="G6" s="13">
        <f>IFERROR('QTR P&amp;L'!F7/'QTR P&amp;L'!F2,"")</f>
        <v/>
      </c>
      <c r="H6" s="13">
        <f>IFERROR('QTR P&amp;L'!G7/'QTR P&amp;L'!G2,"")</f>
        <v/>
      </c>
      <c r="I6" s="13">
        <f>IFERROR('QTR P&amp;L'!H7/'QTR P&amp;L'!H2,"")</f>
        <v/>
      </c>
      <c r="J6" s="13">
        <f>IFERROR('QTR P&amp;L'!I7/'QTR P&amp;L'!I2,"")</f>
        <v/>
      </c>
      <c r="K6" s="13">
        <f>IFERROR('QTR P&amp;L'!J7/'QTR P&amp;L'!J2,"")</f>
        <v/>
      </c>
      <c r="L6" s="13">
        <f>IFERROR('QTR P&amp;L'!K7/'QTR P&amp;L'!K2,"")</f>
        <v/>
      </c>
      <c r="M6" s="13">
        <f>IFERROR('QTR P&amp;L'!L7/'QTR P&amp;L'!L2,"")</f>
        <v/>
      </c>
      <c r="N6" s="13">
        <f>IFERROR('QTR P&amp;L'!M7/'QTR P&amp;L'!M2,"")</f>
        <v/>
      </c>
      <c r="O6" s="13">
        <f>IFERROR('QTR P&amp;L'!N7/'QTR P&amp;L'!N2,"")</f>
        <v/>
      </c>
      <c r="P6" s="13">
        <f>IFERROR('QTR P&amp;L'!O7/'QTR P&amp;L'!O2,"")</f>
        <v/>
      </c>
      <c r="Q6" s="13">
        <f>IFERROR('QTR P&amp;L'!P7/'QTR P&amp;L'!P2,"")</f>
        <v/>
      </c>
      <c r="R6" s="13">
        <f>IFERROR('QTR P&amp;L'!Q7/'QTR P&amp;L'!Q2,"")</f>
        <v/>
      </c>
      <c r="S6" s="13">
        <f>IFERROR('QTR P&amp;L'!R7/'QTR P&amp;L'!R2,"")</f>
        <v/>
      </c>
      <c r="T6" s="13">
        <f>IFERROR('QTR P&amp;L'!S7/'QTR P&amp;L'!S2,"")</f>
        <v/>
      </c>
      <c r="U6" s="13">
        <f>IFERROR('QTR P&amp;L'!T7/'QTR P&amp;L'!T2,"")</f>
        <v/>
      </c>
      <c r="V6" s="13">
        <f>IFERROR('QTR P&amp;L'!U7/'QTR P&amp;L'!U2,"")</f>
        <v/>
      </c>
      <c r="W6" s="13">
        <f>IFERROR('QTR P&amp;L'!V7/'QTR P&amp;L'!V2,"")</f>
        <v/>
      </c>
      <c r="X6" s="13">
        <f>IFERROR('QTR P&amp;L'!W7/'QTR P&amp;L'!W2,"")</f>
        <v/>
      </c>
      <c r="Y6" s="13">
        <f>IFERROR('QTR P&amp;L'!X7/'QTR P&amp;L'!X2,"")</f>
        <v/>
      </c>
      <c r="Z6" s="13">
        <f>IFERROR('QTR P&amp;L'!Y7/'QTR P&amp;L'!Y2,"")</f>
        <v/>
      </c>
      <c r="AA6" s="13">
        <f>IFERROR('QTR P&amp;L'!Z7/'QTR P&amp;L'!Z2,"")</f>
        <v/>
      </c>
      <c r="AB6" s="13">
        <f>IFERROR('QTR P&amp;L'!AA7/'QTR P&amp;L'!AA2,"")</f>
        <v/>
      </c>
      <c r="AC6" s="13">
        <f>IFERROR('QTR P&amp;L'!AB7/'QTR P&amp;L'!AB2,"")</f>
        <v/>
      </c>
      <c r="AD6" s="13">
        <f>IFERROR('QTR P&amp;L'!AC7/'QTR P&amp;L'!AC2,"")</f>
        <v/>
      </c>
      <c r="AE6" s="14">
        <f>AD6</f>
        <v/>
      </c>
      <c r="AF6" s="14">
        <f>AE6</f>
        <v/>
      </c>
      <c r="AG6" s="14">
        <f>AF6</f>
        <v/>
      </c>
      <c r="AH6" s="14">
        <f>AG6</f>
        <v/>
      </c>
      <c r="AI6" s="14">
        <f>AH6</f>
        <v/>
      </c>
      <c r="AJ6" s="14">
        <f>AI6</f>
        <v/>
      </c>
      <c r="AK6" s="14">
        <f>AJ6</f>
        <v/>
      </c>
      <c r="AL6" s="14">
        <f>AK6</f>
        <v/>
      </c>
      <c r="AM6" s="14">
        <f>AL6</f>
        <v/>
      </c>
      <c r="AN6" s="14">
        <f>AM6</f>
        <v/>
      </c>
      <c r="AO6" s="14">
        <f>AN6</f>
        <v/>
      </c>
      <c r="AP6" s="14">
        <f>AO6</f>
        <v/>
      </c>
      <c r="AQ6" s="14">
        <f>AP6</f>
        <v/>
      </c>
      <c r="AR6" s="14">
        <f>AQ6</f>
        <v/>
      </c>
      <c r="AS6" s="14">
        <f>AR6</f>
        <v/>
      </c>
      <c r="AT6" s="14">
        <f>AS6</f>
        <v/>
      </c>
      <c r="AU6" s="14">
        <f>AT6</f>
        <v/>
      </c>
      <c r="AV6" s="14">
        <f>AU6</f>
        <v/>
      </c>
      <c r="AW6" s="14">
        <f>AV6</f>
        <v/>
      </c>
      <c r="AX6" s="14">
        <f>AW6</f>
        <v/>
      </c>
    </row>
    <row r="7">
      <c r="A7" s="3" t="inlineStr">
        <is>
          <t>SG&amp;A — % of Revenue</t>
        </is>
      </c>
      <c r="C7" s="13">
        <f>IFERROR('QTR P&amp;L'!B8/'QTR P&amp;L'!B2,"")</f>
        <v/>
      </c>
      <c r="D7" s="13">
        <f>IFERROR('QTR P&amp;L'!C8/'QTR P&amp;L'!C2,"")</f>
        <v/>
      </c>
      <c r="E7" s="13">
        <f>IFERROR('QTR P&amp;L'!D8/'QTR P&amp;L'!D2,"")</f>
        <v/>
      </c>
      <c r="F7" s="13">
        <f>IFERROR('QTR P&amp;L'!E8/'QTR P&amp;L'!E2,"")</f>
        <v/>
      </c>
      <c r="G7" s="13">
        <f>IFERROR('QTR P&amp;L'!F8/'QTR P&amp;L'!F2,"")</f>
        <v/>
      </c>
      <c r="H7" s="13">
        <f>IFERROR('QTR P&amp;L'!G8/'QTR P&amp;L'!G2,"")</f>
        <v/>
      </c>
      <c r="I7" s="13">
        <f>IFERROR('QTR P&amp;L'!H8/'QTR P&amp;L'!H2,"")</f>
        <v/>
      </c>
      <c r="J7" s="13">
        <f>IFERROR('QTR P&amp;L'!I8/'QTR P&amp;L'!I2,"")</f>
        <v/>
      </c>
      <c r="K7" s="13">
        <f>IFERROR('QTR P&amp;L'!J8/'QTR P&amp;L'!J2,"")</f>
        <v/>
      </c>
      <c r="L7" s="13">
        <f>IFERROR('QTR P&amp;L'!K8/'QTR P&amp;L'!K2,"")</f>
        <v/>
      </c>
      <c r="M7" s="13">
        <f>IFERROR('QTR P&amp;L'!L8/'QTR P&amp;L'!L2,"")</f>
        <v/>
      </c>
      <c r="N7" s="13">
        <f>IFERROR('QTR P&amp;L'!M8/'QTR P&amp;L'!M2,"")</f>
        <v/>
      </c>
      <c r="O7" s="13">
        <f>IFERROR('QTR P&amp;L'!N8/'QTR P&amp;L'!N2,"")</f>
        <v/>
      </c>
      <c r="P7" s="13">
        <f>IFERROR('QTR P&amp;L'!O8/'QTR P&amp;L'!O2,"")</f>
        <v/>
      </c>
      <c r="Q7" s="13">
        <f>IFERROR('QTR P&amp;L'!P8/'QTR P&amp;L'!P2,"")</f>
        <v/>
      </c>
      <c r="R7" s="13">
        <f>IFERROR('QTR P&amp;L'!Q8/'QTR P&amp;L'!Q2,"")</f>
        <v/>
      </c>
      <c r="S7" s="13">
        <f>IFERROR('QTR P&amp;L'!R8/'QTR P&amp;L'!R2,"")</f>
        <v/>
      </c>
      <c r="T7" s="13">
        <f>IFERROR('QTR P&amp;L'!S8/'QTR P&amp;L'!S2,"")</f>
        <v/>
      </c>
      <c r="U7" s="13">
        <f>IFERROR('QTR P&amp;L'!T8/'QTR P&amp;L'!T2,"")</f>
        <v/>
      </c>
      <c r="V7" s="13">
        <f>IFERROR('QTR P&amp;L'!U8/'QTR P&amp;L'!U2,"")</f>
        <v/>
      </c>
      <c r="W7" s="13">
        <f>IFERROR('QTR P&amp;L'!V8/'QTR P&amp;L'!V2,"")</f>
        <v/>
      </c>
      <c r="X7" s="13">
        <f>IFERROR('QTR P&amp;L'!W8/'QTR P&amp;L'!W2,"")</f>
        <v/>
      </c>
      <c r="Y7" s="13">
        <f>IFERROR('QTR P&amp;L'!X8/'QTR P&amp;L'!X2,"")</f>
        <v/>
      </c>
      <c r="Z7" s="13">
        <f>IFERROR('QTR P&amp;L'!Y8/'QTR P&amp;L'!Y2,"")</f>
        <v/>
      </c>
      <c r="AA7" s="13">
        <f>IFERROR('QTR P&amp;L'!Z8/'QTR P&amp;L'!Z2,"")</f>
        <v/>
      </c>
      <c r="AB7" s="13">
        <f>IFERROR('QTR P&amp;L'!AA8/'QTR P&amp;L'!AA2,"")</f>
        <v/>
      </c>
      <c r="AC7" s="13">
        <f>IFERROR('QTR P&amp;L'!AB8/'QTR P&amp;L'!AB2,"")</f>
        <v/>
      </c>
      <c r="AD7" s="13">
        <f>IFERROR('QTR P&amp;L'!AC8/'QTR P&amp;L'!AC2,"")</f>
        <v/>
      </c>
      <c r="AE7" s="14">
        <f>AD7</f>
        <v/>
      </c>
      <c r="AF7" s="14">
        <f>AE7</f>
        <v/>
      </c>
      <c r="AG7" s="14">
        <f>AF7</f>
        <v/>
      </c>
      <c r="AH7" s="14">
        <f>AG7</f>
        <v/>
      </c>
      <c r="AI7" s="14">
        <f>AH7</f>
        <v/>
      </c>
      <c r="AJ7" s="14">
        <f>AI7</f>
        <v/>
      </c>
      <c r="AK7" s="14">
        <f>AJ7</f>
        <v/>
      </c>
      <c r="AL7" s="14">
        <f>AK7</f>
        <v/>
      </c>
      <c r="AM7" s="14">
        <f>AL7</f>
        <v/>
      </c>
      <c r="AN7" s="14">
        <f>AM7</f>
        <v/>
      </c>
      <c r="AO7" s="14">
        <f>AN7</f>
        <v/>
      </c>
      <c r="AP7" s="14">
        <f>AO7</f>
        <v/>
      </c>
      <c r="AQ7" s="14">
        <f>AP7</f>
        <v/>
      </c>
      <c r="AR7" s="14">
        <f>AQ7</f>
        <v/>
      </c>
      <c r="AS7" s="14">
        <f>AR7</f>
        <v/>
      </c>
      <c r="AT7" s="14">
        <f>AS7</f>
        <v/>
      </c>
      <c r="AU7" s="14">
        <f>AT7</f>
        <v/>
      </c>
      <c r="AV7" s="14">
        <f>AU7</f>
        <v/>
      </c>
      <c r="AW7" s="14">
        <f>AV7</f>
        <v/>
      </c>
      <c r="AX7" s="14">
        <f>AW7</f>
        <v/>
      </c>
    </row>
    <row r="8">
      <c r="A8" s="3" t="inlineStr">
        <is>
          <t>Distributor Termination Fees</t>
        </is>
      </c>
      <c r="C8" s="4">
        <f>'QTR P&amp;L'!B9</f>
        <v/>
      </c>
      <c r="D8" s="4">
        <f>'QTR P&amp;L'!C9</f>
        <v/>
      </c>
      <c r="E8" s="4">
        <f>'QTR P&amp;L'!D9</f>
        <v/>
      </c>
      <c r="F8" s="4">
        <f>'QTR P&amp;L'!E9</f>
        <v/>
      </c>
      <c r="G8" s="4">
        <f>'QTR P&amp;L'!F9</f>
        <v/>
      </c>
      <c r="H8" s="4">
        <f>'QTR P&amp;L'!G9</f>
        <v/>
      </c>
      <c r="I8" s="4">
        <f>'QTR P&amp;L'!H9</f>
        <v/>
      </c>
      <c r="J8" s="4">
        <f>'QTR P&amp;L'!I9</f>
        <v/>
      </c>
      <c r="K8" s="4">
        <f>'QTR P&amp;L'!J9</f>
        <v/>
      </c>
      <c r="L8" s="4">
        <f>'QTR P&amp;L'!K9</f>
        <v/>
      </c>
      <c r="M8" s="4">
        <f>'QTR P&amp;L'!L9</f>
        <v/>
      </c>
      <c r="N8" s="4">
        <f>'QTR P&amp;L'!M9</f>
        <v/>
      </c>
      <c r="O8" s="4">
        <f>'QTR P&amp;L'!N9</f>
        <v/>
      </c>
      <c r="P8" s="4">
        <f>'QTR P&amp;L'!O9</f>
        <v/>
      </c>
      <c r="Q8" s="4">
        <f>'QTR P&amp;L'!P9</f>
        <v/>
      </c>
      <c r="R8" s="4">
        <f>'QTR P&amp;L'!Q9</f>
        <v/>
      </c>
      <c r="S8" s="4">
        <f>'QTR P&amp;L'!R9</f>
        <v/>
      </c>
      <c r="T8" s="4">
        <f>'QTR P&amp;L'!S9</f>
        <v/>
      </c>
      <c r="U8" s="4">
        <f>'QTR P&amp;L'!T9</f>
        <v/>
      </c>
      <c r="V8" s="4">
        <f>'QTR P&amp;L'!U9</f>
        <v/>
      </c>
      <c r="W8" s="4">
        <f>'QTR P&amp;L'!V9</f>
        <v/>
      </c>
      <c r="X8" s="4">
        <f>'QTR P&amp;L'!W9</f>
        <v/>
      </c>
      <c r="Y8" s="4">
        <f>'QTR P&amp;L'!X9</f>
        <v/>
      </c>
      <c r="Z8" s="4">
        <f>'QTR P&amp;L'!Y9</f>
        <v/>
      </c>
      <c r="AA8" s="4">
        <f>'QTR P&amp;L'!Z9</f>
        <v/>
      </c>
      <c r="AB8" s="4">
        <f>'QTR P&amp;L'!AA9</f>
        <v/>
      </c>
      <c r="AC8" s="4">
        <f>'QTR P&amp;L'!AB9</f>
        <v/>
      </c>
      <c r="AD8" s="4">
        <f>'QTR P&amp;L'!AC9</f>
        <v/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</row>
    <row r="9">
      <c r="A9" s="3" t="inlineStr">
        <is>
          <t>Interest Income (Expense)</t>
        </is>
      </c>
      <c r="C9" s="4">
        <f>'QTR P&amp;L'!B11</f>
        <v/>
      </c>
      <c r="D9" s="4">
        <f>'QTR P&amp;L'!C11</f>
        <v/>
      </c>
      <c r="E9" s="4">
        <f>'QTR P&amp;L'!D11</f>
        <v/>
      </c>
      <c r="F9" s="4">
        <f>'QTR P&amp;L'!E11</f>
        <v/>
      </c>
      <c r="G9" s="4">
        <f>'QTR P&amp;L'!F11</f>
        <v/>
      </c>
      <c r="H9" s="4">
        <f>'QTR P&amp;L'!G11</f>
        <v/>
      </c>
      <c r="I9" s="4">
        <f>'QTR P&amp;L'!H11</f>
        <v/>
      </c>
      <c r="J9" s="4">
        <f>'QTR P&amp;L'!I11</f>
        <v/>
      </c>
      <c r="K9" s="4">
        <f>'QTR P&amp;L'!J11</f>
        <v/>
      </c>
      <c r="L9" s="4">
        <f>'QTR P&amp;L'!K11</f>
        <v/>
      </c>
      <c r="M9" s="4">
        <f>'QTR P&amp;L'!L11</f>
        <v/>
      </c>
      <c r="N9" s="4">
        <f>'QTR P&amp;L'!M11</f>
        <v/>
      </c>
      <c r="O9" s="4">
        <f>'QTR P&amp;L'!N11</f>
        <v/>
      </c>
      <c r="P9" s="4">
        <f>'QTR P&amp;L'!O11</f>
        <v/>
      </c>
      <c r="Q9" s="4">
        <f>'QTR P&amp;L'!P11</f>
        <v/>
      </c>
      <c r="R9" s="4">
        <f>'QTR P&amp;L'!Q11</f>
        <v/>
      </c>
      <c r="S9" s="4">
        <f>'QTR P&amp;L'!R11</f>
        <v/>
      </c>
      <c r="T9" s="4">
        <f>'QTR P&amp;L'!S11</f>
        <v/>
      </c>
      <c r="U9" s="4">
        <f>'QTR P&amp;L'!T11</f>
        <v/>
      </c>
      <c r="V9" s="4">
        <f>'QTR P&amp;L'!U11</f>
        <v/>
      </c>
      <c r="W9" s="4">
        <f>'QTR P&amp;L'!V11</f>
        <v/>
      </c>
      <c r="X9" s="4">
        <f>'QTR P&amp;L'!W11</f>
        <v/>
      </c>
      <c r="Y9" s="4">
        <f>'QTR P&amp;L'!X11</f>
        <v/>
      </c>
      <c r="Z9" s="4">
        <f>'QTR P&amp;L'!Y11</f>
        <v/>
      </c>
      <c r="AA9" s="4">
        <f>'QTR P&amp;L'!Z11</f>
        <v/>
      </c>
      <c r="AB9" s="4">
        <f>'QTR P&amp;L'!AA11</f>
        <v/>
      </c>
      <c r="AC9" s="4">
        <f>'QTR P&amp;L'!AB11</f>
        <v/>
      </c>
      <c r="AD9" s="4">
        <f>'QTR P&amp;L'!AC11</f>
        <v/>
      </c>
      <c r="AE9" s="15">
        <f>AD9</f>
        <v/>
      </c>
      <c r="AF9" s="15">
        <f>AE9</f>
        <v/>
      </c>
      <c r="AG9" s="15">
        <f>AF9</f>
        <v/>
      </c>
      <c r="AH9" s="15">
        <f>AG9</f>
        <v/>
      </c>
      <c r="AI9" s="15">
        <f>AH9</f>
        <v/>
      </c>
      <c r="AJ9" s="15">
        <f>AI9</f>
        <v/>
      </c>
      <c r="AK9" s="15">
        <f>AJ9</f>
        <v/>
      </c>
      <c r="AL9" s="15">
        <f>AK9</f>
        <v/>
      </c>
      <c r="AM9" s="15">
        <f>AL9</f>
        <v/>
      </c>
      <c r="AN9" s="15">
        <f>AM9</f>
        <v/>
      </c>
      <c r="AO9" s="15">
        <f>AN9</f>
        <v/>
      </c>
      <c r="AP9" s="15">
        <f>AO9</f>
        <v/>
      </c>
      <c r="AQ9" s="15">
        <f>AP9</f>
        <v/>
      </c>
      <c r="AR9" s="15">
        <f>AQ9</f>
        <v/>
      </c>
      <c r="AS9" s="15">
        <f>AR9</f>
        <v/>
      </c>
      <c r="AT9" s="15">
        <f>AS9</f>
        <v/>
      </c>
      <c r="AU9" s="15">
        <f>AT9</f>
        <v/>
      </c>
      <c r="AV9" s="15">
        <f>AU9</f>
        <v/>
      </c>
      <c r="AW9" s="15">
        <f>AV9</f>
        <v/>
      </c>
      <c r="AX9" s="15">
        <f>AW9</f>
        <v/>
      </c>
    </row>
    <row r="10">
      <c r="A10" s="3" t="inlineStr">
        <is>
          <t>Other Income (Expense)</t>
        </is>
      </c>
      <c r="C10" s="4">
        <f>'QTR P&amp;L'!B12</f>
        <v/>
      </c>
      <c r="D10" s="4">
        <f>'QTR P&amp;L'!C12</f>
        <v/>
      </c>
      <c r="E10" s="4">
        <f>'QTR P&amp;L'!D12</f>
        <v/>
      </c>
      <c r="F10" s="4">
        <f>'QTR P&amp;L'!E12</f>
        <v/>
      </c>
      <c r="G10" s="4">
        <f>'QTR P&amp;L'!F12</f>
        <v/>
      </c>
      <c r="H10" s="4">
        <f>'QTR P&amp;L'!G12</f>
        <v/>
      </c>
      <c r="I10" s="4">
        <f>'QTR P&amp;L'!H12</f>
        <v/>
      </c>
      <c r="J10" s="4">
        <f>'QTR P&amp;L'!I12</f>
        <v/>
      </c>
      <c r="K10" s="4">
        <f>'QTR P&amp;L'!J12</f>
        <v/>
      </c>
      <c r="L10" s="4">
        <f>'QTR P&amp;L'!K12</f>
        <v/>
      </c>
      <c r="M10" s="4">
        <f>'QTR P&amp;L'!L12</f>
        <v/>
      </c>
      <c r="N10" s="4">
        <f>'QTR P&amp;L'!M12</f>
        <v/>
      </c>
      <c r="O10" s="4">
        <f>'QTR P&amp;L'!N12</f>
        <v/>
      </c>
      <c r="P10" s="4">
        <f>'QTR P&amp;L'!O12</f>
        <v/>
      </c>
      <c r="Q10" s="4">
        <f>'QTR P&amp;L'!P12</f>
        <v/>
      </c>
      <c r="R10" s="4">
        <f>'QTR P&amp;L'!Q12</f>
        <v/>
      </c>
      <c r="S10" s="4">
        <f>'QTR P&amp;L'!R12</f>
        <v/>
      </c>
      <c r="T10" s="4">
        <f>'QTR P&amp;L'!S12</f>
        <v/>
      </c>
      <c r="U10" s="4">
        <f>'QTR P&amp;L'!T12</f>
        <v/>
      </c>
      <c r="V10" s="4">
        <f>'QTR P&amp;L'!U12</f>
        <v/>
      </c>
      <c r="W10" s="4">
        <f>'QTR P&amp;L'!V12</f>
        <v/>
      </c>
      <c r="X10" s="4">
        <f>'QTR P&amp;L'!W12</f>
        <v/>
      </c>
      <c r="Y10" s="4">
        <f>'QTR P&amp;L'!X12</f>
        <v/>
      </c>
      <c r="Z10" s="4">
        <f>'QTR P&amp;L'!Y12</f>
        <v/>
      </c>
      <c r="AA10" s="4">
        <f>'QTR P&amp;L'!Z12</f>
        <v/>
      </c>
      <c r="AB10" s="4">
        <f>'QTR P&amp;L'!AA12</f>
        <v/>
      </c>
      <c r="AC10" s="4">
        <f>'QTR P&amp;L'!AB12</f>
        <v/>
      </c>
      <c r="AD10" s="4">
        <f>'QTR P&amp;L'!AC12</f>
        <v/>
      </c>
      <c r="AE10" s="15">
        <f>AD10</f>
        <v/>
      </c>
      <c r="AF10" s="15">
        <f>AE10</f>
        <v/>
      </c>
      <c r="AG10" s="15">
        <f>AF10</f>
        <v/>
      </c>
      <c r="AH10" s="15">
        <f>AG10</f>
        <v/>
      </c>
      <c r="AI10" s="15">
        <f>AH10</f>
        <v/>
      </c>
      <c r="AJ10" s="15">
        <f>AI10</f>
        <v/>
      </c>
      <c r="AK10" s="15">
        <f>AJ10</f>
        <v/>
      </c>
      <c r="AL10" s="15">
        <f>AK10</f>
        <v/>
      </c>
      <c r="AM10" s="15">
        <f>AL10</f>
        <v/>
      </c>
      <c r="AN10" s="15">
        <f>AM10</f>
        <v/>
      </c>
      <c r="AO10" s="15">
        <f>AN10</f>
        <v/>
      </c>
      <c r="AP10" s="15">
        <f>AO10</f>
        <v/>
      </c>
      <c r="AQ10" s="15">
        <f>AP10</f>
        <v/>
      </c>
      <c r="AR10" s="15">
        <f>AQ10</f>
        <v/>
      </c>
      <c r="AS10" s="15">
        <f>AR10</f>
        <v/>
      </c>
      <c r="AT10" s="15">
        <f>AS10</f>
        <v/>
      </c>
      <c r="AU10" s="15">
        <f>AT10</f>
        <v/>
      </c>
      <c r="AV10" s="15">
        <f>AU10</f>
        <v/>
      </c>
      <c r="AW10" s="15">
        <f>AV10</f>
        <v/>
      </c>
      <c r="AX10" s="15">
        <f>AW10</f>
        <v/>
      </c>
    </row>
    <row r="11">
      <c r="A11" s="3" t="inlineStr">
        <is>
          <t>Foreign Currency Gain (Loss)</t>
        </is>
      </c>
      <c r="C11" s="4">
        <f>'QTR P&amp;L'!B13</f>
        <v/>
      </c>
      <c r="D11" s="4">
        <f>'QTR P&amp;L'!C13</f>
        <v/>
      </c>
      <c r="E11" s="4">
        <f>'QTR P&amp;L'!D13</f>
        <v/>
      </c>
      <c r="F11" s="4">
        <f>'QTR P&amp;L'!E13</f>
        <v/>
      </c>
      <c r="G11" s="4">
        <f>'QTR P&amp;L'!F13</f>
        <v/>
      </c>
      <c r="H11" s="4">
        <f>'QTR P&amp;L'!G13</f>
        <v/>
      </c>
      <c r="I11" s="4">
        <f>'QTR P&amp;L'!H13</f>
        <v/>
      </c>
      <c r="J11" s="4">
        <f>'QTR P&amp;L'!I13</f>
        <v/>
      </c>
      <c r="K11" s="4">
        <f>'QTR P&amp;L'!J13</f>
        <v/>
      </c>
      <c r="L11" s="4">
        <f>'QTR P&amp;L'!K13</f>
        <v/>
      </c>
      <c r="M11" s="4">
        <f>'QTR P&amp;L'!L13</f>
        <v/>
      </c>
      <c r="N11" s="4">
        <f>'QTR P&amp;L'!M13</f>
        <v/>
      </c>
      <c r="O11" s="4">
        <f>'QTR P&amp;L'!N13</f>
        <v/>
      </c>
      <c r="P11" s="4">
        <f>'QTR P&amp;L'!O13</f>
        <v/>
      </c>
      <c r="Q11" s="4">
        <f>'QTR P&amp;L'!P13</f>
        <v/>
      </c>
      <c r="R11" s="4">
        <f>'QTR P&amp;L'!Q13</f>
        <v/>
      </c>
      <c r="S11" s="4">
        <f>'QTR P&amp;L'!R13</f>
        <v/>
      </c>
      <c r="T11" s="4">
        <f>'QTR P&amp;L'!S13</f>
        <v/>
      </c>
      <c r="U11" s="4">
        <f>'QTR P&amp;L'!T13</f>
        <v/>
      </c>
      <c r="V11" s="4">
        <f>'QTR P&amp;L'!U13</f>
        <v/>
      </c>
      <c r="W11" s="4">
        <f>'QTR P&amp;L'!V13</f>
        <v/>
      </c>
      <c r="X11" s="4">
        <f>'QTR P&amp;L'!W13</f>
        <v/>
      </c>
      <c r="Y11" s="4">
        <f>'QTR P&amp;L'!X13</f>
        <v/>
      </c>
      <c r="Z11" s="4">
        <f>'QTR P&amp;L'!Y13</f>
        <v/>
      </c>
      <c r="AA11" s="4">
        <f>'QTR P&amp;L'!Z13</f>
        <v/>
      </c>
      <c r="AB11" s="4">
        <f>'QTR P&amp;L'!AA13</f>
        <v/>
      </c>
      <c r="AC11" s="4">
        <f>'QTR P&amp;L'!AB13</f>
        <v/>
      </c>
      <c r="AD11" s="4">
        <f>'QTR P&amp;L'!AC13</f>
        <v/>
      </c>
      <c r="AE11" s="15">
        <f>AD11</f>
        <v/>
      </c>
      <c r="AF11" s="15">
        <f>AE11</f>
        <v/>
      </c>
      <c r="AG11" s="15">
        <f>AF11</f>
        <v/>
      </c>
      <c r="AH11" s="15">
        <f>AG11</f>
        <v/>
      </c>
      <c r="AI11" s="15">
        <f>AH11</f>
        <v/>
      </c>
      <c r="AJ11" s="15">
        <f>AI11</f>
        <v/>
      </c>
      <c r="AK11" s="15">
        <f>AJ11</f>
        <v/>
      </c>
      <c r="AL11" s="15">
        <f>AK11</f>
        <v/>
      </c>
      <c r="AM11" s="15">
        <f>AL11</f>
        <v/>
      </c>
      <c r="AN11" s="15">
        <f>AM11</f>
        <v/>
      </c>
      <c r="AO11" s="15">
        <f>AN11</f>
        <v/>
      </c>
      <c r="AP11" s="15">
        <f>AO11</f>
        <v/>
      </c>
      <c r="AQ11" s="15">
        <f>AP11</f>
        <v/>
      </c>
      <c r="AR11" s="15">
        <f>AQ11</f>
        <v/>
      </c>
      <c r="AS11" s="15">
        <f>AR11</f>
        <v/>
      </c>
      <c r="AT11" s="15">
        <f>AS11</f>
        <v/>
      </c>
      <c r="AU11" s="15">
        <f>AT11</f>
        <v/>
      </c>
      <c r="AV11" s="15">
        <f>AU11</f>
        <v/>
      </c>
      <c r="AW11" s="15">
        <f>AV11</f>
        <v/>
      </c>
      <c r="AX11" s="15">
        <f>AW11</f>
        <v/>
      </c>
    </row>
    <row r="12">
      <c r="A12" s="3" t="inlineStr">
        <is>
          <t>Gain (Loss) on Lease Cancellations</t>
        </is>
      </c>
      <c r="C12" s="4">
        <f>'QTR P&amp;L'!B14</f>
        <v/>
      </c>
      <c r="D12" s="4">
        <f>'QTR P&amp;L'!C14</f>
        <v/>
      </c>
      <c r="E12" s="4">
        <f>'QTR P&amp;L'!D14</f>
        <v/>
      </c>
      <c r="F12" s="4">
        <f>'QTR P&amp;L'!E14</f>
        <v/>
      </c>
      <c r="G12" s="4">
        <f>'QTR P&amp;L'!F14</f>
        <v/>
      </c>
      <c r="H12" s="4">
        <f>'QTR P&amp;L'!G14</f>
        <v/>
      </c>
      <c r="I12" s="4">
        <f>'QTR P&amp;L'!H14</f>
        <v/>
      </c>
      <c r="J12" s="4">
        <f>'QTR P&amp;L'!I14</f>
        <v/>
      </c>
      <c r="K12" s="4">
        <f>'QTR P&amp;L'!J14</f>
        <v/>
      </c>
      <c r="L12" s="4">
        <f>'QTR P&amp;L'!K14</f>
        <v/>
      </c>
      <c r="M12" s="4">
        <f>'QTR P&amp;L'!L14</f>
        <v/>
      </c>
      <c r="N12" s="4">
        <f>'QTR P&amp;L'!M14</f>
        <v/>
      </c>
      <c r="O12" s="4">
        <f>'QTR P&amp;L'!N14</f>
        <v/>
      </c>
      <c r="P12" s="4">
        <f>'QTR P&amp;L'!O14</f>
        <v/>
      </c>
      <c r="Q12" s="4">
        <f>'QTR P&amp;L'!P14</f>
        <v/>
      </c>
      <c r="R12" s="4">
        <f>'QTR P&amp;L'!Q14</f>
        <v/>
      </c>
      <c r="S12" s="4">
        <f>'QTR P&amp;L'!R14</f>
        <v/>
      </c>
      <c r="T12" s="4">
        <f>'QTR P&amp;L'!S14</f>
        <v/>
      </c>
      <c r="U12" s="4">
        <f>'QTR P&amp;L'!T14</f>
        <v/>
      </c>
      <c r="V12" s="4">
        <f>'QTR P&amp;L'!U14</f>
        <v/>
      </c>
      <c r="W12" s="4">
        <f>'QTR P&amp;L'!V14</f>
        <v/>
      </c>
      <c r="X12" s="4">
        <f>'QTR P&amp;L'!W14</f>
        <v/>
      </c>
      <c r="Y12" s="4">
        <f>'QTR P&amp;L'!X14</f>
        <v/>
      </c>
      <c r="Z12" s="4">
        <f>'QTR P&amp;L'!Y14</f>
        <v/>
      </c>
      <c r="AA12" s="4">
        <f>'QTR P&amp;L'!Z14</f>
        <v/>
      </c>
      <c r="AB12" s="4">
        <f>'QTR P&amp;L'!AA14</f>
        <v/>
      </c>
      <c r="AC12" s="4">
        <f>'QTR P&amp;L'!AB14</f>
        <v/>
      </c>
      <c r="AD12" s="4">
        <f>'QTR P&amp;L'!AC14</f>
        <v/>
      </c>
      <c r="AE12" s="15">
        <f>AD12</f>
        <v/>
      </c>
      <c r="AF12" s="15">
        <f>AE12</f>
        <v/>
      </c>
      <c r="AG12" s="15">
        <f>AF12</f>
        <v/>
      </c>
      <c r="AH12" s="15">
        <f>AG12</f>
        <v/>
      </c>
      <c r="AI12" s="15">
        <f>AH12</f>
        <v/>
      </c>
      <c r="AJ12" s="15">
        <f>AI12</f>
        <v/>
      </c>
      <c r="AK12" s="15">
        <f>AJ12</f>
        <v/>
      </c>
      <c r="AL12" s="15">
        <f>AK12</f>
        <v/>
      </c>
      <c r="AM12" s="15">
        <f>AL12</f>
        <v/>
      </c>
      <c r="AN12" s="15">
        <f>AM12</f>
        <v/>
      </c>
      <c r="AO12" s="15">
        <f>AN12</f>
        <v/>
      </c>
      <c r="AP12" s="15">
        <f>AO12</f>
        <v/>
      </c>
      <c r="AQ12" s="15">
        <f>AP12</f>
        <v/>
      </c>
      <c r="AR12" s="15">
        <f>AQ12</f>
        <v/>
      </c>
      <c r="AS12" s="15">
        <f>AR12</f>
        <v/>
      </c>
      <c r="AT12" s="15">
        <f>AS12</f>
        <v/>
      </c>
      <c r="AU12" s="15">
        <f>AT12</f>
        <v/>
      </c>
      <c r="AV12" s="15">
        <f>AU12</f>
        <v/>
      </c>
      <c r="AW12" s="15">
        <f>AV12</f>
        <v/>
      </c>
      <c r="AX12" s="15">
        <f>AW12</f>
        <v/>
      </c>
    </row>
    <row r="13">
      <c r="A13" s="3" t="inlineStr">
        <is>
          <t>Income Tax (Expense) Benefit</t>
        </is>
      </c>
      <c r="C13" s="4">
        <f>'QTR P&amp;L'!B15</f>
        <v/>
      </c>
      <c r="D13" s="4">
        <f>'QTR P&amp;L'!C15</f>
        <v/>
      </c>
      <c r="E13" s="4">
        <f>'QTR P&amp;L'!D15</f>
        <v/>
      </c>
      <c r="F13" s="4">
        <f>'QTR P&amp;L'!E15</f>
        <v/>
      </c>
      <c r="G13" s="4">
        <f>'QTR P&amp;L'!F15</f>
        <v/>
      </c>
      <c r="H13" s="4">
        <f>'QTR P&amp;L'!G15</f>
        <v/>
      </c>
      <c r="I13" s="4">
        <f>'QTR P&amp;L'!H15</f>
        <v/>
      </c>
      <c r="J13" s="4">
        <f>'QTR P&amp;L'!I15</f>
        <v/>
      </c>
      <c r="K13" s="4">
        <f>'QTR P&amp;L'!J15</f>
        <v/>
      </c>
      <c r="L13" s="4">
        <f>'QTR P&amp;L'!K15</f>
        <v/>
      </c>
      <c r="M13" s="4">
        <f>'QTR P&amp;L'!L15</f>
        <v/>
      </c>
      <c r="N13" s="4">
        <f>'QTR P&amp;L'!M15</f>
        <v/>
      </c>
      <c r="O13" s="4">
        <f>'QTR P&amp;L'!N15</f>
        <v/>
      </c>
      <c r="P13" s="4">
        <f>'QTR P&amp;L'!O15</f>
        <v/>
      </c>
      <c r="Q13" s="4">
        <f>'QTR P&amp;L'!P15</f>
        <v/>
      </c>
      <c r="R13" s="4">
        <f>'QTR P&amp;L'!Q15</f>
        <v/>
      </c>
      <c r="S13" s="4">
        <f>'QTR P&amp;L'!R15</f>
        <v/>
      </c>
      <c r="T13" s="4">
        <f>'QTR P&amp;L'!S15</f>
        <v/>
      </c>
      <c r="U13" s="4">
        <f>'QTR P&amp;L'!T15</f>
        <v/>
      </c>
      <c r="V13" s="4">
        <f>'QTR P&amp;L'!U15</f>
        <v/>
      </c>
      <c r="W13" s="4">
        <f>'QTR P&amp;L'!V15</f>
        <v/>
      </c>
      <c r="X13" s="4">
        <f>'QTR P&amp;L'!W15</f>
        <v/>
      </c>
      <c r="Y13" s="4">
        <f>'QTR P&amp;L'!X15</f>
        <v/>
      </c>
      <c r="Z13" s="4">
        <f>'QTR P&amp;L'!Y15</f>
        <v/>
      </c>
      <c r="AA13" s="4">
        <f>'QTR P&amp;L'!Z15</f>
        <v/>
      </c>
      <c r="AB13" s="4">
        <f>'QTR P&amp;L'!AA15</f>
        <v/>
      </c>
      <c r="AC13" s="4">
        <f>'QTR P&amp;L'!AB15</f>
        <v/>
      </c>
      <c r="AD13" s="4">
        <f>'QTR P&amp;L'!AC15</f>
        <v/>
      </c>
      <c r="AE13" s="15">
        <f>AD13</f>
        <v/>
      </c>
      <c r="AF13" s="15">
        <f>AE13</f>
        <v/>
      </c>
      <c r="AG13" s="15">
        <f>AF13</f>
        <v/>
      </c>
      <c r="AH13" s="15">
        <f>AG13</f>
        <v/>
      </c>
      <c r="AI13" s="15">
        <f>AH13</f>
        <v/>
      </c>
      <c r="AJ13" s="15">
        <f>AI13</f>
        <v/>
      </c>
      <c r="AK13" s="15">
        <f>AJ13</f>
        <v/>
      </c>
      <c r="AL13" s="15">
        <f>AK13</f>
        <v/>
      </c>
      <c r="AM13" s="15">
        <f>AL13</f>
        <v/>
      </c>
      <c r="AN13" s="15">
        <f>AM13</f>
        <v/>
      </c>
      <c r="AO13" s="15">
        <f>AN13</f>
        <v/>
      </c>
      <c r="AP13" s="15">
        <f>AO13</f>
        <v/>
      </c>
      <c r="AQ13" s="15">
        <f>AP13</f>
        <v/>
      </c>
      <c r="AR13" s="15">
        <f>AQ13</f>
        <v/>
      </c>
      <c r="AS13" s="15">
        <f>AR13</f>
        <v/>
      </c>
      <c r="AT13" s="15">
        <f>AS13</f>
        <v/>
      </c>
      <c r="AU13" s="15">
        <f>AT13</f>
        <v/>
      </c>
      <c r="AV13" s="15">
        <f>AU13</f>
        <v/>
      </c>
      <c r="AW13" s="15">
        <f>AV13</f>
        <v/>
      </c>
      <c r="AX13" s="15">
        <f>AW13</f>
        <v/>
      </c>
    </row>
    <row r="14">
      <c r="A14" s="3" t="inlineStr">
        <is>
          <t>Preferred Dividends</t>
        </is>
      </c>
      <c r="AE14" s="4">
        <f>'QTR CF'!Z50</f>
        <v/>
      </c>
      <c r="AF14" s="4">
        <f>'QTR CF'!AA50</f>
        <v/>
      </c>
      <c r="AG14" s="4">
        <f>'QTR CF'!AB50</f>
        <v/>
      </c>
      <c r="AH14" s="4">
        <f>'QTR CF'!AC50</f>
        <v/>
      </c>
      <c r="AI14" s="4">
        <f>'QTR CF'!AD50</f>
        <v/>
      </c>
      <c r="AJ14" s="4">
        <f>'QTR CF'!AE50</f>
        <v/>
      </c>
      <c r="AK14" s="4">
        <f>'QTR CF'!AF50</f>
        <v/>
      </c>
      <c r="AL14" s="4">
        <f>'QTR CF'!AG50</f>
        <v/>
      </c>
      <c r="AM14" s="4">
        <f>'QTR CF'!AH50</f>
        <v/>
      </c>
      <c r="AN14" s="4">
        <f>'QTR CF'!AI50</f>
        <v/>
      </c>
      <c r="AO14" s="4">
        <f>'QTR CF'!AJ50</f>
        <v/>
      </c>
      <c r="AP14" s="4">
        <f>'QTR CF'!AK50</f>
        <v/>
      </c>
      <c r="AQ14" s="4">
        <f>'QTR CF'!AL50</f>
        <v/>
      </c>
      <c r="AR14" s="4">
        <f>'QTR CF'!AM50</f>
        <v/>
      </c>
      <c r="AS14" s="4">
        <f>'QTR CF'!AN50</f>
        <v/>
      </c>
      <c r="AT14" s="4">
        <f>'QTR CF'!AO50</f>
        <v/>
      </c>
      <c r="AU14" s="4">
        <f>'QTR CF'!AP50</f>
        <v/>
      </c>
      <c r="AV14" s="4">
        <f>'QTR CF'!AQ50</f>
        <v/>
      </c>
      <c r="AW14" s="4">
        <f>'QTR CF'!AR50</f>
        <v/>
      </c>
      <c r="AX14" s="4">
        <f>'QTR CF'!AS50</f>
        <v/>
      </c>
    </row>
    <row r="15">
      <c r="A15" s="3" t="inlineStr">
        <is>
          <t>Income Allocated to Participating Preferred</t>
        </is>
      </c>
      <c r="C15" s="4">
        <f>'QTR P&amp;L'!B23</f>
        <v/>
      </c>
      <c r="D15" s="4">
        <f>'QTR P&amp;L'!C23</f>
        <v/>
      </c>
      <c r="E15" s="4">
        <f>'QTR P&amp;L'!D23</f>
        <v/>
      </c>
      <c r="F15" s="4">
        <f>'QTR P&amp;L'!E23</f>
        <v/>
      </c>
      <c r="G15" s="4">
        <f>'QTR P&amp;L'!F23</f>
        <v/>
      </c>
      <c r="H15" s="4">
        <f>'QTR P&amp;L'!G23</f>
        <v/>
      </c>
      <c r="I15" s="4">
        <f>'QTR P&amp;L'!H23</f>
        <v/>
      </c>
      <c r="J15" s="4">
        <f>'QTR P&amp;L'!I23</f>
        <v/>
      </c>
      <c r="K15" s="4">
        <f>'QTR P&amp;L'!J23</f>
        <v/>
      </c>
      <c r="L15" s="4">
        <f>'QTR P&amp;L'!K23</f>
        <v/>
      </c>
      <c r="M15" s="4">
        <f>'QTR P&amp;L'!L23</f>
        <v/>
      </c>
      <c r="N15" s="4">
        <f>'QTR P&amp;L'!M23</f>
        <v/>
      </c>
      <c r="O15" s="4">
        <f>'QTR P&amp;L'!N23</f>
        <v/>
      </c>
      <c r="P15" s="4">
        <f>'QTR P&amp;L'!O23</f>
        <v/>
      </c>
      <c r="Q15" s="4">
        <f>'QTR P&amp;L'!P23</f>
        <v/>
      </c>
      <c r="R15" s="4">
        <f>'QTR P&amp;L'!Q23</f>
        <v/>
      </c>
      <c r="S15" s="4">
        <f>'QTR P&amp;L'!R23</f>
        <v/>
      </c>
      <c r="T15" s="4">
        <f>'QTR P&amp;L'!S23</f>
        <v/>
      </c>
      <c r="U15" s="4">
        <f>'QTR P&amp;L'!T23</f>
        <v/>
      </c>
      <c r="V15" s="4">
        <f>'QTR P&amp;L'!U23</f>
        <v/>
      </c>
      <c r="W15" s="4">
        <f>'QTR P&amp;L'!V23</f>
        <v/>
      </c>
      <c r="X15" s="4">
        <f>'QTR P&amp;L'!W23</f>
        <v/>
      </c>
      <c r="Y15" s="4">
        <f>'QTR P&amp;L'!X23</f>
        <v/>
      </c>
      <c r="Z15" s="4">
        <f>'QTR P&amp;L'!Y23</f>
        <v/>
      </c>
      <c r="AA15" s="4">
        <f>'QTR P&amp;L'!Z23</f>
        <v/>
      </c>
      <c r="AB15" s="4">
        <f>'QTR P&amp;L'!AA23</f>
        <v/>
      </c>
      <c r="AC15" s="4">
        <f>'QTR P&amp;L'!AB23</f>
        <v/>
      </c>
      <c r="AD15" s="4">
        <f>'QTR P&amp;L'!AC23</f>
        <v/>
      </c>
      <c r="AE15" s="15">
        <f>AD15</f>
        <v/>
      </c>
      <c r="AF15" s="15">
        <f>AE15</f>
        <v/>
      </c>
      <c r="AG15" s="15">
        <f>AF15</f>
        <v/>
      </c>
      <c r="AH15" s="15">
        <f>AG15</f>
        <v/>
      </c>
      <c r="AI15" s="15">
        <f>AH15</f>
        <v/>
      </c>
      <c r="AJ15" s="15">
        <f>AI15</f>
        <v/>
      </c>
      <c r="AK15" s="15">
        <f>AJ15</f>
        <v/>
      </c>
      <c r="AL15" s="15">
        <f>AK15</f>
        <v/>
      </c>
      <c r="AM15" s="15">
        <f>AL15</f>
        <v/>
      </c>
      <c r="AN15" s="15">
        <f>AM15</f>
        <v/>
      </c>
      <c r="AO15" s="15">
        <f>AN15</f>
        <v/>
      </c>
      <c r="AP15" s="15">
        <f>AO15</f>
        <v/>
      </c>
      <c r="AQ15" s="15">
        <f>AP15</f>
        <v/>
      </c>
      <c r="AR15" s="15">
        <f>AQ15</f>
        <v/>
      </c>
      <c r="AS15" s="15">
        <f>AR15</f>
        <v/>
      </c>
      <c r="AT15" s="15">
        <f>AS15</f>
        <v/>
      </c>
      <c r="AU15" s="15">
        <f>AT15</f>
        <v/>
      </c>
      <c r="AV15" s="15">
        <f>AU15</f>
        <v/>
      </c>
      <c r="AW15" s="15">
        <f>AV15</f>
        <v/>
      </c>
      <c r="AX15" s="15">
        <f>AW15</f>
        <v/>
      </c>
    </row>
  </sheetData>
  <dataValidations count="1">
    <dataValidation sqref="B2" showDropDown="0" showInputMessage="0" showErrorMessage="0" allowBlank="0" errorTitle="Invalid basis" error="Basis must be YoY or QoQ" type="list">
      <formula1>"YoY,QoQ"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T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</cols>
  <sheetData>
    <row r="1">
      <c r="A1" s="1" t="inlineStr">
        <is>
          <t>Driver</t>
        </is>
      </c>
      <c r="B1" s="2" t="inlineStr">
        <is>
          <t>Q4 FY2019</t>
        </is>
      </c>
      <c r="C1" s="2" t="inlineStr">
        <is>
          <t>Q1 FY2020</t>
        </is>
      </c>
      <c r="D1" s="2" t="inlineStr">
        <is>
          <t>Q2 FY2020</t>
        </is>
      </c>
      <c r="E1" s="2" t="inlineStr">
        <is>
          <t>Q3 FY2020</t>
        </is>
      </c>
      <c r="F1" s="2" t="inlineStr">
        <is>
          <t>Q4 FY2020</t>
        </is>
      </c>
      <c r="G1" s="2" t="inlineStr">
        <is>
          <t>Q1 FY2021</t>
        </is>
      </c>
      <c r="H1" s="2" t="inlineStr">
        <is>
          <t>Q2 FY2021</t>
        </is>
      </c>
      <c r="I1" s="2" t="inlineStr">
        <is>
          <t>Q3 FY2021</t>
        </is>
      </c>
      <c r="J1" s="2" t="inlineStr">
        <is>
          <t>Q4 FY2021</t>
        </is>
      </c>
      <c r="K1" s="2" t="inlineStr">
        <is>
          <t>Q1 FY2022</t>
        </is>
      </c>
      <c r="L1" s="2" t="inlineStr">
        <is>
          <t>Q2 FY2022</t>
        </is>
      </c>
      <c r="M1" s="2" t="inlineStr">
        <is>
          <t>Q3 FY2022</t>
        </is>
      </c>
      <c r="N1" s="2" t="inlineStr">
        <is>
          <t>Q4 FY2022</t>
        </is>
      </c>
      <c r="O1" s="2" t="inlineStr">
        <is>
          <t>Q1 FY2023</t>
        </is>
      </c>
      <c r="P1" s="2" t="inlineStr">
        <is>
          <t>Q2 FY2023</t>
        </is>
      </c>
      <c r="Q1" s="2" t="inlineStr">
        <is>
          <t>Q3 FY2023</t>
        </is>
      </c>
      <c r="R1" s="2" t="inlineStr">
        <is>
          <t>Q4 FY2023</t>
        </is>
      </c>
      <c r="S1" s="2" t="inlineStr">
        <is>
          <t>Q1 FY2024</t>
        </is>
      </c>
      <c r="T1" s="2" t="inlineStr">
        <is>
          <t>Q2 FY2024</t>
        </is>
      </c>
      <c r="U1" s="2" t="inlineStr">
        <is>
          <t>Q3 FY2024</t>
        </is>
      </c>
      <c r="V1" s="2" t="inlineStr">
        <is>
          <t>Q4 FY2024</t>
        </is>
      </c>
      <c r="W1" s="2" t="inlineStr">
        <is>
          <t>Q1 FY2025</t>
        </is>
      </c>
      <c r="X1" s="2" t="inlineStr">
        <is>
          <t>Q2 FY2025</t>
        </is>
      </c>
      <c r="Y1" s="2" t="inlineStr">
        <is>
          <t>Q3 FY2025</t>
        </is>
      </c>
      <c r="Z1" s="2" t="inlineStr">
        <is>
          <t>Q4 FY2025</t>
        </is>
      </c>
      <c r="AA1" s="2" t="inlineStr">
        <is>
          <t>Q1 FY2026E</t>
        </is>
      </c>
      <c r="AB1" s="2" t="inlineStr">
        <is>
          <t>Q2 FY2026E</t>
        </is>
      </c>
      <c r="AC1" s="2" t="inlineStr">
        <is>
          <t>Q3 FY2026E</t>
        </is>
      </c>
      <c r="AD1" s="2" t="inlineStr">
        <is>
          <t>Q4 FY2026E</t>
        </is>
      </c>
      <c r="AE1" s="2" t="inlineStr">
        <is>
          <t>Q1 FY2027E</t>
        </is>
      </c>
      <c r="AF1" s="2" t="inlineStr">
        <is>
          <t>Q2 FY2027E</t>
        </is>
      </c>
      <c r="AG1" s="2" t="inlineStr">
        <is>
          <t>Q3 FY2027E</t>
        </is>
      </c>
      <c r="AH1" s="2" t="inlineStr">
        <is>
          <t>Q4 FY2027E</t>
        </is>
      </c>
      <c r="AI1" s="2" t="inlineStr">
        <is>
          <t>Q1 FY2028E</t>
        </is>
      </c>
      <c r="AJ1" s="2" t="inlineStr">
        <is>
          <t>Q2 FY2028E</t>
        </is>
      </c>
      <c r="AK1" s="2" t="inlineStr">
        <is>
          <t>Q3 FY2028E</t>
        </is>
      </c>
      <c r="AL1" s="2" t="inlineStr">
        <is>
          <t>Q4 FY2028E</t>
        </is>
      </c>
      <c r="AM1" s="2" t="inlineStr">
        <is>
          <t>Q1 FY2029E</t>
        </is>
      </c>
      <c r="AN1" s="2" t="inlineStr">
        <is>
          <t>Q2 FY2029E</t>
        </is>
      </c>
      <c r="AO1" s="2" t="inlineStr">
        <is>
          <t>Q3 FY2029E</t>
        </is>
      </c>
      <c r="AP1" s="2" t="inlineStr">
        <is>
          <t>Q4 FY2029E</t>
        </is>
      </c>
      <c r="AQ1" s="2" t="inlineStr">
        <is>
          <t>Q1 FY2030E</t>
        </is>
      </c>
      <c r="AR1" s="2" t="inlineStr">
        <is>
          <t>Q2 FY2030E</t>
        </is>
      </c>
      <c r="AS1" s="2" t="inlineStr">
        <is>
          <t>Q3 FY2030E</t>
        </is>
      </c>
      <c r="AT1" s="2" t="inlineStr">
        <is>
          <t>Q4 FY2030E</t>
        </is>
      </c>
    </row>
    <row r="2">
      <c r="A2" s="3" t="inlineStr">
        <is>
          <t>Cash, Cash Equivalents &amp; Restricted Cash</t>
        </is>
      </c>
      <c r="B2" s="4">
        <f>'QTR BS'!B2</f>
        <v/>
      </c>
      <c r="C2" s="4">
        <f>'QTR BS'!C2</f>
        <v/>
      </c>
      <c r="D2" s="4">
        <f>'QTR BS'!D2</f>
        <v/>
      </c>
      <c r="E2" s="4">
        <f>'QTR BS'!E2</f>
        <v/>
      </c>
      <c r="F2" s="4">
        <f>'QTR BS'!F2</f>
        <v/>
      </c>
      <c r="G2" s="4">
        <f>'QTR BS'!G2</f>
        <v/>
      </c>
      <c r="H2" s="4">
        <f>'QTR BS'!H2</f>
        <v/>
      </c>
      <c r="I2" s="4">
        <f>'QTR BS'!I2</f>
        <v/>
      </c>
      <c r="J2" s="4">
        <f>'QTR BS'!J2</f>
        <v/>
      </c>
      <c r="K2" s="4">
        <f>'QTR BS'!K2</f>
        <v/>
      </c>
      <c r="L2" s="4">
        <f>'QTR BS'!L2</f>
        <v/>
      </c>
      <c r="M2" s="4">
        <f>'QTR BS'!M2</f>
        <v/>
      </c>
      <c r="N2" s="4">
        <f>'QTR BS'!N2</f>
        <v/>
      </c>
      <c r="O2" s="4">
        <f>'QTR BS'!O2</f>
        <v/>
      </c>
      <c r="P2" s="4">
        <f>'QTR BS'!P2</f>
        <v/>
      </c>
      <c r="Q2" s="4">
        <f>'QTR BS'!Q2</f>
        <v/>
      </c>
      <c r="R2" s="4">
        <f>'QTR BS'!R2</f>
        <v/>
      </c>
      <c r="S2" s="4">
        <f>'QTR BS'!S2</f>
        <v/>
      </c>
      <c r="T2" s="4">
        <f>'QTR BS'!T2</f>
        <v/>
      </c>
      <c r="U2" s="4">
        <f>'QTR BS'!U2</f>
        <v/>
      </c>
      <c r="V2" s="4">
        <f>'QTR BS'!V2</f>
        <v/>
      </c>
      <c r="W2" s="4">
        <f>'QTR BS'!W2</f>
        <v/>
      </c>
      <c r="X2" s="4">
        <f>'QTR BS'!X2</f>
        <v/>
      </c>
      <c r="Y2" s="4">
        <f>'QTR BS'!Y2</f>
        <v/>
      </c>
      <c r="Z2" s="4">
        <f>'QTR BS'!Z2</f>
        <v/>
      </c>
      <c r="AA2" s="15">
        <f>Z2</f>
        <v/>
      </c>
      <c r="AB2" s="15">
        <f>AA2</f>
        <v/>
      </c>
      <c r="AC2" s="15">
        <f>AB2</f>
        <v/>
      </c>
      <c r="AD2" s="15">
        <f>AC2</f>
        <v/>
      </c>
      <c r="AE2" s="15">
        <f>AD2</f>
        <v/>
      </c>
      <c r="AF2" s="15">
        <f>AE2</f>
        <v/>
      </c>
      <c r="AG2" s="15">
        <f>AF2</f>
        <v/>
      </c>
      <c r="AH2" s="15">
        <f>AG2</f>
        <v/>
      </c>
      <c r="AI2" s="15">
        <f>AH2</f>
        <v/>
      </c>
      <c r="AJ2" s="15">
        <f>AI2</f>
        <v/>
      </c>
      <c r="AK2" s="15">
        <f>AJ2</f>
        <v/>
      </c>
      <c r="AL2" s="15">
        <f>AK2</f>
        <v/>
      </c>
      <c r="AM2" s="15">
        <f>AL2</f>
        <v/>
      </c>
      <c r="AN2" s="15">
        <f>AM2</f>
        <v/>
      </c>
      <c r="AO2" s="15">
        <f>AN2</f>
        <v/>
      </c>
      <c r="AP2" s="15">
        <f>AO2</f>
        <v/>
      </c>
      <c r="AQ2" s="15">
        <f>AP2</f>
        <v/>
      </c>
      <c r="AR2" s="15">
        <f>AQ2</f>
        <v/>
      </c>
      <c r="AS2" s="15">
        <f>AR2</f>
        <v/>
      </c>
      <c r="AT2" s="15">
        <f>AS2</f>
        <v/>
      </c>
    </row>
    <row r="3">
      <c r="A3" s="3" t="inlineStr">
        <is>
          <t>Accounts Receivable — DSO (days)</t>
        </is>
      </c>
      <c r="B3" s="16">
        <f>IFERROR('QTR BS'!B3/'QTR P&amp;L'!E2*ASSUMPTIONS!$B$2,"")</f>
        <v/>
      </c>
      <c r="C3" s="16">
        <f>IFERROR('QTR BS'!C3/'QTR P&amp;L'!F2*ASSUMPTIONS!$B$2,"")</f>
        <v/>
      </c>
      <c r="D3" s="16">
        <f>IFERROR('QTR BS'!D3/'QTR P&amp;L'!G2*ASSUMPTIONS!$B$2,"")</f>
        <v/>
      </c>
      <c r="E3" s="16">
        <f>IFERROR('QTR BS'!E3/'QTR P&amp;L'!H2*ASSUMPTIONS!$B$2,"")</f>
        <v/>
      </c>
      <c r="F3" s="16">
        <f>IFERROR('QTR BS'!F3/'QTR P&amp;L'!I2*ASSUMPTIONS!$B$2,"")</f>
        <v/>
      </c>
      <c r="G3" s="16">
        <f>IFERROR('QTR BS'!G3/'QTR P&amp;L'!J2*ASSUMPTIONS!$B$2,"")</f>
        <v/>
      </c>
      <c r="H3" s="16">
        <f>IFERROR('QTR BS'!H3/'QTR P&amp;L'!K2*ASSUMPTIONS!$B$2,"")</f>
        <v/>
      </c>
      <c r="I3" s="16">
        <f>IFERROR('QTR BS'!I3/'QTR P&amp;L'!L2*ASSUMPTIONS!$B$2,"")</f>
        <v/>
      </c>
      <c r="J3" s="16">
        <f>IFERROR('QTR BS'!J3/'QTR P&amp;L'!M2*ASSUMPTIONS!$B$2,"")</f>
        <v/>
      </c>
      <c r="K3" s="16">
        <f>IFERROR('QTR BS'!K3/'QTR P&amp;L'!N2*ASSUMPTIONS!$B$2,"")</f>
        <v/>
      </c>
      <c r="L3" s="16">
        <f>IFERROR('QTR BS'!L3/'QTR P&amp;L'!O2*ASSUMPTIONS!$B$2,"")</f>
        <v/>
      </c>
      <c r="M3" s="16">
        <f>IFERROR('QTR BS'!M3/'QTR P&amp;L'!P2*ASSUMPTIONS!$B$2,"")</f>
        <v/>
      </c>
      <c r="N3" s="16">
        <f>IFERROR('QTR BS'!N3/'QTR P&amp;L'!Q2*ASSUMPTIONS!$B$2,"")</f>
        <v/>
      </c>
      <c r="O3" s="16">
        <f>IFERROR('QTR BS'!O3/'QTR P&amp;L'!R2*ASSUMPTIONS!$B$2,"")</f>
        <v/>
      </c>
      <c r="P3" s="16">
        <f>IFERROR('QTR BS'!P3/'QTR P&amp;L'!S2*ASSUMPTIONS!$B$2,"")</f>
        <v/>
      </c>
      <c r="Q3" s="16">
        <f>IFERROR('QTR BS'!Q3/'QTR P&amp;L'!T2*ASSUMPTIONS!$B$2,"")</f>
        <v/>
      </c>
      <c r="R3" s="16">
        <f>IFERROR('QTR BS'!R3/'QTR P&amp;L'!U2*ASSUMPTIONS!$B$2,"")</f>
        <v/>
      </c>
      <c r="S3" s="16">
        <f>IFERROR('QTR BS'!S3/'QTR P&amp;L'!V2*ASSUMPTIONS!$B$2,"")</f>
        <v/>
      </c>
      <c r="T3" s="16">
        <f>IFERROR('QTR BS'!T3/'QTR P&amp;L'!W2*ASSUMPTIONS!$B$2,"")</f>
        <v/>
      </c>
      <c r="U3" s="16">
        <f>IFERROR('QTR BS'!U3/'QTR P&amp;L'!X2*ASSUMPTIONS!$B$2,"")</f>
        <v/>
      </c>
      <c r="V3" s="16">
        <f>IFERROR('QTR BS'!V3/'QTR P&amp;L'!Y2*ASSUMPTIONS!$B$2,"")</f>
        <v/>
      </c>
      <c r="W3" s="16">
        <f>IFERROR('QTR BS'!W3/'QTR P&amp;L'!Z2*ASSUMPTIONS!$B$2,"")</f>
        <v/>
      </c>
      <c r="X3" s="16">
        <f>IFERROR('QTR BS'!X3/'QTR P&amp;L'!AA2*ASSUMPTIONS!$B$2,"")</f>
        <v/>
      </c>
      <c r="Y3" s="16">
        <f>IFERROR('QTR BS'!Y3/'QTR P&amp;L'!AB2*ASSUMPTIONS!$B$2,"")</f>
        <v/>
      </c>
      <c r="Z3" s="16">
        <f>IFERROR('QTR BS'!Z3/'QTR P&amp;L'!AC2*ASSUMPTIONS!$B$2,"")</f>
        <v/>
      </c>
      <c r="AA3" s="17">
        <f>Z3</f>
        <v/>
      </c>
      <c r="AB3" s="17">
        <f>AA3</f>
        <v/>
      </c>
      <c r="AC3" s="17">
        <f>AB3</f>
        <v/>
      </c>
      <c r="AD3" s="17">
        <f>AC3</f>
        <v/>
      </c>
      <c r="AE3" s="17">
        <f>AD3</f>
        <v/>
      </c>
      <c r="AF3" s="17">
        <f>AE3</f>
        <v/>
      </c>
      <c r="AG3" s="17">
        <f>AF3</f>
        <v/>
      </c>
      <c r="AH3" s="17">
        <f>AG3</f>
        <v/>
      </c>
      <c r="AI3" s="17">
        <f>AH3</f>
        <v/>
      </c>
      <c r="AJ3" s="17">
        <f>AI3</f>
        <v/>
      </c>
      <c r="AK3" s="17">
        <f>AJ3</f>
        <v/>
      </c>
      <c r="AL3" s="17">
        <f>AK3</f>
        <v/>
      </c>
      <c r="AM3" s="17">
        <f>AL3</f>
        <v/>
      </c>
      <c r="AN3" s="17">
        <f>AM3</f>
        <v/>
      </c>
      <c r="AO3" s="17">
        <f>AN3</f>
        <v/>
      </c>
      <c r="AP3" s="17">
        <f>AO3</f>
        <v/>
      </c>
      <c r="AQ3" s="17">
        <f>AP3</f>
        <v/>
      </c>
      <c r="AR3" s="17">
        <f>AQ3</f>
        <v/>
      </c>
      <c r="AS3" s="17">
        <f>AR3</f>
        <v/>
      </c>
      <c r="AT3" s="17">
        <f>AS3</f>
        <v/>
      </c>
    </row>
    <row r="4">
      <c r="A4" s="3" t="inlineStr">
        <is>
          <t>Note Receivable - Current — DSO (days)</t>
        </is>
      </c>
      <c r="B4" s="16">
        <f>IFERROR('QTR BS'!B4/'QTR P&amp;L'!E2*ASSUMPTIONS!$B$2,"")</f>
        <v/>
      </c>
      <c r="C4" s="16">
        <f>IFERROR('QTR BS'!C4/'QTR P&amp;L'!F2*ASSUMPTIONS!$B$2,"")</f>
        <v/>
      </c>
      <c r="D4" s="16">
        <f>IFERROR('QTR BS'!D4/'QTR P&amp;L'!G2*ASSUMPTIONS!$B$2,"")</f>
        <v/>
      </c>
      <c r="E4" s="16">
        <f>IFERROR('QTR BS'!E4/'QTR P&amp;L'!H2*ASSUMPTIONS!$B$2,"")</f>
        <v/>
      </c>
      <c r="F4" s="16">
        <f>IFERROR('QTR BS'!F4/'QTR P&amp;L'!I2*ASSUMPTIONS!$B$2,"")</f>
        <v/>
      </c>
      <c r="G4" s="16">
        <f>IFERROR('QTR BS'!G4/'QTR P&amp;L'!J2*ASSUMPTIONS!$B$2,"")</f>
        <v/>
      </c>
      <c r="H4" s="16">
        <f>IFERROR('QTR BS'!H4/'QTR P&amp;L'!K2*ASSUMPTIONS!$B$2,"")</f>
        <v/>
      </c>
      <c r="I4" s="16">
        <f>IFERROR('QTR BS'!I4/'QTR P&amp;L'!L2*ASSUMPTIONS!$B$2,"")</f>
        <v/>
      </c>
      <c r="J4" s="16">
        <f>IFERROR('QTR BS'!J4/'QTR P&amp;L'!M2*ASSUMPTIONS!$B$2,"")</f>
        <v/>
      </c>
      <c r="K4" s="16">
        <f>IFERROR('QTR BS'!K4/'QTR P&amp;L'!N2*ASSUMPTIONS!$B$2,"")</f>
        <v/>
      </c>
      <c r="L4" s="16">
        <f>IFERROR('QTR BS'!L4/'QTR P&amp;L'!O2*ASSUMPTIONS!$B$2,"")</f>
        <v/>
      </c>
      <c r="M4" s="16">
        <f>IFERROR('QTR BS'!M4/'QTR P&amp;L'!P2*ASSUMPTIONS!$B$2,"")</f>
        <v/>
      </c>
      <c r="N4" s="16">
        <f>IFERROR('QTR BS'!N4/'QTR P&amp;L'!Q2*ASSUMPTIONS!$B$2,"")</f>
        <v/>
      </c>
      <c r="O4" s="16">
        <f>IFERROR('QTR BS'!O4/'QTR P&amp;L'!R2*ASSUMPTIONS!$B$2,"")</f>
        <v/>
      </c>
      <c r="P4" s="16">
        <f>IFERROR('QTR BS'!P4/'QTR P&amp;L'!S2*ASSUMPTIONS!$B$2,"")</f>
        <v/>
      </c>
      <c r="Q4" s="16">
        <f>IFERROR('QTR BS'!Q4/'QTR P&amp;L'!T2*ASSUMPTIONS!$B$2,"")</f>
        <v/>
      </c>
      <c r="R4" s="16">
        <f>IFERROR('QTR BS'!R4/'QTR P&amp;L'!U2*ASSUMPTIONS!$B$2,"")</f>
        <v/>
      </c>
      <c r="S4" s="16">
        <f>IFERROR('QTR BS'!S4/'QTR P&amp;L'!V2*ASSUMPTIONS!$B$2,"")</f>
        <v/>
      </c>
      <c r="T4" s="16">
        <f>IFERROR('QTR BS'!T4/'QTR P&amp;L'!W2*ASSUMPTIONS!$B$2,"")</f>
        <v/>
      </c>
      <c r="U4" s="16">
        <f>IFERROR('QTR BS'!U4/'QTR P&amp;L'!X2*ASSUMPTIONS!$B$2,"")</f>
        <v/>
      </c>
      <c r="V4" s="16">
        <f>IFERROR('QTR BS'!V4/'QTR P&amp;L'!Y2*ASSUMPTIONS!$B$2,"")</f>
        <v/>
      </c>
      <c r="W4" s="16">
        <f>IFERROR('QTR BS'!W4/'QTR P&amp;L'!Z2*ASSUMPTIONS!$B$2,"")</f>
        <v/>
      </c>
      <c r="X4" s="16">
        <f>IFERROR('QTR BS'!X4/'QTR P&amp;L'!AA2*ASSUMPTIONS!$B$2,"")</f>
        <v/>
      </c>
      <c r="Y4" s="16">
        <f>IFERROR('QTR BS'!Y4/'QTR P&amp;L'!AB2*ASSUMPTIONS!$B$2,"")</f>
        <v/>
      </c>
      <c r="Z4" s="16">
        <f>IFERROR('QTR BS'!Z4/'QTR P&amp;L'!AC2*ASSUMPTIONS!$B$2,"")</f>
        <v/>
      </c>
      <c r="AA4" s="17">
        <f>Z4</f>
        <v/>
      </c>
      <c r="AB4" s="17">
        <f>AA4</f>
        <v/>
      </c>
      <c r="AC4" s="17">
        <f>AB4</f>
        <v/>
      </c>
      <c r="AD4" s="17">
        <f>AC4</f>
        <v/>
      </c>
      <c r="AE4" s="17">
        <f>AD4</f>
        <v/>
      </c>
      <c r="AF4" s="17">
        <f>AE4</f>
        <v/>
      </c>
      <c r="AG4" s="17">
        <f>AF4</f>
        <v/>
      </c>
      <c r="AH4" s="17">
        <f>AG4</f>
        <v/>
      </c>
      <c r="AI4" s="17">
        <f>AH4</f>
        <v/>
      </c>
      <c r="AJ4" s="17">
        <f>AI4</f>
        <v/>
      </c>
      <c r="AK4" s="17">
        <f>AJ4</f>
        <v/>
      </c>
      <c r="AL4" s="17">
        <f>AK4</f>
        <v/>
      </c>
      <c r="AM4" s="17">
        <f>AL4</f>
        <v/>
      </c>
      <c r="AN4" s="17">
        <f>AM4</f>
        <v/>
      </c>
      <c r="AO4" s="17">
        <f>AN4</f>
        <v/>
      </c>
      <c r="AP4" s="17">
        <f>AO4</f>
        <v/>
      </c>
      <c r="AQ4" s="17">
        <f>AP4</f>
        <v/>
      </c>
      <c r="AR4" s="17">
        <f>AQ4</f>
        <v/>
      </c>
      <c r="AS4" s="17">
        <f>AR4</f>
        <v/>
      </c>
      <c r="AT4" s="17">
        <f>AS4</f>
        <v/>
      </c>
    </row>
    <row r="5">
      <c r="A5" s="3" t="inlineStr">
        <is>
          <t>Inventories — DIO (days)</t>
        </is>
      </c>
      <c r="B5" s="16">
        <f>IFERROR('QTR BS'!B5/'QTR P&amp;L'!E3*ASSUMPTIONS!$B$2,"")</f>
        <v/>
      </c>
      <c r="C5" s="16">
        <f>IFERROR('QTR BS'!C5/'QTR P&amp;L'!F3*ASSUMPTIONS!$B$2,"")</f>
        <v/>
      </c>
      <c r="D5" s="16">
        <f>IFERROR('QTR BS'!D5/'QTR P&amp;L'!G3*ASSUMPTIONS!$B$2,"")</f>
        <v/>
      </c>
      <c r="E5" s="16">
        <f>IFERROR('QTR BS'!E5/'QTR P&amp;L'!H3*ASSUMPTIONS!$B$2,"")</f>
        <v/>
      </c>
      <c r="F5" s="16">
        <f>IFERROR('QTR BS'!F5/'QTR P&amp;L'!I3*ASSUMPTIONS!$B$2,"")</f>
        <v/>
      </c>
      <c r="G5" s="16">
        <f>IFERROR('QTR BS'!G5/'QTR P&amp;L'!J3*ASSUMPTIONS!$B$2,"")</f>
        <v/>
      </c>
      <c r="H5" s="16">
        <f>IFERROR('QTR BS'!H5/'QTR P&amp;L'!K3*ASSUMPTIONS!$B$2,"")</f>
        <v/>
      </c>
      <c r="I5" s="16">
        <f>IFERROR('QTR BS'!I5/'QTR P&amp;L'!L3*ASSUMPTIONS!$B$2,"")</f>
        <v/>
      </c>
      <c r="J5" s="16">
        <f>IFERROR('QTR BS'!J5/'QTR P&amp;L'!M3*ASSUMPTIONS!$B$2,"")</f>
        <v/>
      </c>
      <c r="K5" s="16">
        <f>IFERROR('QTR BS'!K5/'QTR P&amp;L'!N3*ASSUMPTIONS!$B$2,"")</f>
        <v/>
      </c>
      <c r="L5" s="16">
        <f>IFERROR('QTR BS'!L5/'QTR P&amp;L'!O3*ASSUMPTIONS!$B$2,"")</f>
        <v/>
      </c>
      <c r="M5" s="16">
        <f>IFERROR('QTR BS'!M5/'QTR P&amp;L'!P3*ASSUMPTIONS!$B$2,"")</f>
        <v/>
      </c>
      <c r="N5" s="16">
        <f>IFERROR('QTR BS'!N5/'QTR P&amp;L'!Q3*ASSUMPTIONS!$B$2,"")</f>
        <v/>
      </c>
      <c r="O5" s="16">
        <f>IFERROR('QTR BS'!O5/'QTR P&amp;L'!R3*ASSUMPTIONS!$B$2,"")</f>
        <v/>
      </c>
      <c r="P5" s="16">
        <f>IFERROR('QTR BS'!P5/'QTR P&amp;L'!S3*ASSUMPTIONS!$B$2,"")</f>
        <v/>
      </c>
      <c r="Q5" s="16">
        <f>IFERROR('QTR BS'!Q5/'QTR P&amp;L'!T3*ASSUMPTIONS!$B$2,"")</f>
        <v/>
      </c>
      <c r="R5" s="16">
        <f>IFERROR('QTR BS'!R5/'QTR P&amp;L'!U3*ASSUMPTIONS!$B$2,"")</f>
        <v/>
      </c>
      <c r="S5" s="16">
        <f>IFERROR('QTR BS'!S5/'QTR P&amp;L'!V3*ASSUMPTIONS!$B$2,"")</f>
        <v/>
      </c>
      <c r="T5" s="16">
        <f>IFERROR('QTR BS'!T5/'QTR P&amp;L'!W3*ASSUMPTIONS!$B$2,"")</f>
        <v/>
      </c>
      <c r="U5" s="16">
        <f>IFERROR('QTR BS'!U5/'QTR P&amp;L'!X3*ASSUMPTIONS!$B$2,"")</f>
        <v/>
      </c>
      <c r="V5" s="16">
        <f>IFERROR('QTR BS'!V5/'QTR P&amp;L'!Y3*ASSUMPTIONS!$B$2,"")</f>
        <v/>
      </c>
      <c r="W5" s="16">
        <f>IFERROR('QTR BS'!W5/'QTR P&amp;L'!Z3*ASSUMPTIONS!$B$2,"")</f>
        <v/>
      </c>
      <c r="X5" s="16">
        <f>IFERROR('QTR BS'!X5/'QTR P&amp;L'!AA3*ASSUMPTIONS!$B$2,"")</f>
        <v/>
      </c>
      <c r="Y5" s="16">
        <f>IFERROR('QTR BS'!Y5/'QTR P&amp;L'!AB3*ASSUMPTIONS!$B$2,"")</f>
        <v/>
      </c>
      <c r="Z5" s="16">
        <f>IFERROR('QTR BS'!Z5/'QTR P&amp;L'!AC3*ASSUMPTIONS!$B$2,"")</f>
        <v/>
      </c>
      <c r="AA5" s="17">
        <f>Z5</f>
        <v/>
      </c>
      <c r="AB5" s="17">
        <f>AA5</f>
        <v/>
      </c>
      <c r="AC5" s="17">
        <f>AB5</f>
        <v/>
      </c>
      <c r="AD5" s="17">
        <f>AC5</f>
        <v/>
      </c>
      <c r="AE5" s="17">
        <f>AD5</f>
        <v/>
      </c>
      <c r="AF5" s="17">
        <f>AE5</f>
        <v/>
      </c>
      <c r="AG5" s="17">
        <f>AF5</f>
        <v/>
      </c>
      <c r="AH5" s="17">
        <f>AG5</f>
        <v/>
      </c>
      <c r="AI5" s="17">
        <f>AH5</f>
        <v/>
      </c>
      <c r="AJ5" s="17">
        <f>AI5</f>
        <v/>
      </c>
      <c r="AK5" s="17">
        <f>AJ5</f>
        <v/>
      </c>
      <c r="AL5" s="17">
        <f>AK5</f>
        <v/>
      </c>
      <c r="AM5" s="17">
        <f>AL5</f>
        <v/>
      </c>
      <c r="AN5" s="17">
        <f>AM5</f>
        <v/>
      </c>
      <c r="AO5" s="17">
        <f>AN5</f>
        <v/>
      </c>
      <c r="AP5" s="17">
        <f>AO5</f>
        <v/>
      </c>
      <c r="AQ5" s="17">
        <f>AP5</f>
        <v/>
      </c>
      <c r="AR5" s="17">
        <f>AQ5</f>
        <v/>
      </c>
      <c r="AS5" s="17">
        <f>AR5</f>
        <v/>
      </c>
      <c r="AT5" s="17">
        <f>AS5</f>
        <v/>
      </c>
    </row>
    <row r="6">
      <c r="A6" s="3" t="inlineStr">
        <is>
          <t>Prepaid Expenses — % of Revenue</t>
        </is>
      </c>
      <c r="B6" s="13">
        <f>IFERROR('QTR BS'!B6/'QTR P&amp;L'!E2,"")</f>
        <v/>
      </c>
      <c r="C6" s="13">
        <f>IFERROR('QTR BS'!C6/'QTR P&amp;L'!F2,"")</f>
        <v/>
      </c>
      <c r="D6" s="13">
        <f>IFERROR('QTR BS'!D6/'QTR P&amp;L'!G2,"")</f>
        <v/>
      </c>
      <c r="E6" s="13">
        <f>IFERROR('QTR BS'!E6/'QTR P&amp;L'!H2,"")</f>
        <v/>
      </c>
      <c r="F6" s="13">
        <f>IFERROR('QTR BS'!F6/'QTR P&amp;L'!I2,"")</f>
        <v/>
      </c>
      <c r="G6" s="13">
        <f>IFERROR('QTR BS'!G6/'QTR P&amp;L'!J2,"")</f>
        <v/>
      </c>
      <c r="H6" s="13">
        <f>IFERROR('QTR BS'!H6/'QTR P&amp;L'!K2,"")</f>
        <v/>
      </c>
      <c r="I6" s="13">
        <f>IFERROR('QTR BS'!I6/'QTR P&amp;L'!L2,"")</f>
        <v/>
      </c>
      <c r="J6" s="13">
        <f>IFERROR('QTR BS'!J6/'QTR P&amp;L'!M2,"")</f>
        <v/>
      </c>
      <c r="K6" s="13">
        <f>IFERROR('QTR BS'!K6/'QTR P&amp;L'!N2,"")</f>
        <v/>
      </c>
      <c r="L6" s="13">
        <f>IFERROR('QTR BS'!L6/'QTR P&amp;L'!O2,"")</f>
        <v/>
      </c>
      <c r="M6" s="13">
        <f>IFERROR('QTR BS'!M6/'QTR P&amp;L'!P2,"")</f>
        <v/>
      </c>
      <c r="N6" s="13">
        <f>IFERROR('QTR BS'!N6/'QTR P&amp;L'!Q2,"")</f>
        <v/>
      </c>
      <c r="O6" s="13">
        <f>IFERROR('QTR BS'!O6/'QTR P&amp;L'!R2,"")</f>
        <v/>
      </c>
      <c r="P6" s="13">
        <f>IFERROR('QTR BS'!P6/'QTR P&amp;L'!S2,"")</f>
        <v/>
      </c>
      <c r="Q6" s="13">
        <f>IFERROR('QTR BS'!Q6/'QTR P&amp;L'!T2,"")</f>
        <v/>
      </c>
      <c r="R6" s="13">
        <f>IFERROR('QTR BS'!R6/'QTR P&amp;L'!U2,"")</f>
        <v/>
      </c>
      <c r="S6" s="13">
        <f>IFERROR('QTR BS'!S6/'QTR P&amp;L'!V2,"")</f>
        <v/>
      </c>
      <c r="T6" s="13">
        <f>IFERROR('QTR BS'!T6/'QTR P&amp;L'!W2,"")</f>
        <v/>
      </c>
      <c r="U6" s="13">
        <f>IFERROR('QTR BS'!U6/'QTR P&amp;L'!X2,"")</f>
        <v/>
      </c>
      <c r="V6" s="13">
        <f>IFERROR('QTR BS'!V6/'QTR P&amp;L'!Y2,"")</f>
        <v/>
      </c>
      <c r="W6" s="13">
        <f>IFERROR('QTR BS'!W6/'QTR P&amp;L'!Z2,"")</f>
        <v/>
      </c>
      <c r="X6" s="13">
        <f>IFERROR('QTR BS'!X6/'QTR P&amp;L'!AA2,"")</f>
        <v/>
      </c>
      <c r="Y6" s="13">
        <f>IFERROR('QTR BS'!Y6/'QTR P&amp;L'!AB2,"")</f>
        <v/>
      </c>
      <c r="Z6" s="13">
        <f>IFERROR('QTR BS'!Z6/'QTR P&amp;L'!AC2,"")</f>
        <v/>
      </c>
      <c r="AA6" s="14">
        <f>Z6</f>
        <v/>
      </c>
      <c r="AB6" s="14">
        <f>AA6</f>
        <v/>
      </c>
      <c r="AC6" s="14">
        <f>AB6</f>
        <v/>
      </c>
      <c r="AD6" s="14">
        <f>AC6</f>
        <v/>
      </c>
      <c r="AE6" s="14">
        <f>AD6</f>
        <v/>
      </c>
      <c r="AF6" s="14">
        <f>AE6</f>
        <v/>
      </c>
      <c r="AG6" s="14">
        <f>AF6</f>
        <v/>
      </c>
      <c r="AH6" s="14">
        <f>AG6</f>
        <v/>
      </c>
      <c r="AI6" s="14">
        <f>AH6</f>
        <v/>
      </c>
      <c r="AJ6" s="14">
        <f>AI6</f>
        <v/>
      </c>
      <c r="AK6" s="14">
        <f>AJ6</f>
        <v/>
      </c>
      <c r="AL6" s="14">
        <f>AK6</f>
        <v/>
      </c>
      <c r="AM6" s="14">
        <f>AL6</f>
        <v/>
      </c>
      <c r="AN6" s="14">
        <f>AM6</f>
        <v/>
      </c>
      <c r="AO6" s="14">
        <f>AN6</f>
        <v/>
      </c>
      <c r="AP6" s="14">
        <f>AO6</f>
        <v/>
      </c>
      <c r="AQ6" s="14">
        <f>AP6</f>
        <v/>
      </c>
      <c r="AR6" s="14">
        <f>AQ6</f>
        <v/>
      </c>
      <c r="AS6" s="14">
        <f>AR6</f>
        <v/>
      </c>
      <c r="AT6" s="14">
        <f>AS6</f>
        <v/>
      </c>
    </row>
    <row r="7">
      <c r="A7" s="3" t="inlineStr">
        <is>
          <t>Deferred Other Costs - Current — % of Revenue</t>
        </is>
      </c>
      <c r="B7" s="13">
        <f>IFERROR('QTR BS'!B7/'QTR P&amp;L'!E2,"")</f>
        <v/>
      </c>
      <c r="C7" s="13">
        <f>IFERROR('QTR BS'!C7/'QTR P&amp;L'!F2,"")</f>
        <v/>
      </c>
      <c r="D7" s="13">
        <f>IFERROR('QTR BS'!D7/'QTR P&amp;L'!G2,"")</f>
        <v/>
      </c>
      <c r="E7" s="13">
        <f>IFERROR('QTR BS'!E7/'QTR P&amp;L'!H2,"")</f>
        <v/>
      </c>
      <c r="F7" s="13">
        <f>IFERROR('QTR BS'!F7/'QTR P&amp;L'!I2,"")</f>
        <v/>
      </c>
      <c r="G7" s="13">
        <f>IFERROR('QTR BS'!G7/'QTR P&amp;L'!J2,"")</f>
        <v/>
      </c>
      <c r="H7" s="13">
        <f>IFERROR('QTR BS'!H7/'QTR P&amp;L'!K2,"")</f>
        <v/>
      </c>
      <c r="I7" s="13">
        <f>IFERROR('QTR BS'!I7/'QTR P&amp;L'!L2,"")</f>
        <v/>
      </c>
      <c r="J7" s="13">
        <f>IFERROR('QTR BS'!J7/'QTR P&amp;L'!M2,"")</f>
        <v/>
      </c>
      <c r="K7" s="13">
        <f>IFERROR('QTR BS'!K7/'QTR P&amp;L'!N2,"")</f>
        <v/>
      </c>
      <c r="L7" s="13">
        <f>IFERROR('QTR BS'!L7/'QTR P&amp;L'!O2,"")</f>
        <v/>
      </c>
      <c r="M7" s="13">
        <f>IFERROR('QTR BS'!M7/'QTR P&amp;L'!P2,"")</f>
        <v/>
      </c>
      <c r="N7" s="13">
        <f>IFERROR('QTR BS'!N7/'QTR P&amp;L'!Q2,"")</f>
        <v/>
      </c>
      <c r="O7" s="13">
        <f>IFERROR('QTR BS'!O7/'QTR P&amp;L'!R2,"")</f>
        <v/>
      </c>
      <c r="P7" s="13">
        <f>IFERROR('QTR BS'!P7/'QTR P&amp;L'!S2,"")</f>
        <v/>
      </c>
      <c r="Q7" s="13">
        <f>IFERROR('QTR BS'!Q7/'QTR P&amp;L'!T2,"")</f>
        <v/>
      </c>
      <c r="R7" s="13">
        <f>IFERROR('QTR BS'!R7/'QTR P&amp;L'!U2,"")</f>
        <v/>
      </c>
      <c r="S7" s="13">
        <f>IFERROR('QTR BS'!S7/'QTR P&amp;L'!V2,"")</f>
        <v/>
      </c>
      <c r="T7" s="13">
        <f>IFERROR('QTR BS'!T7/'QTR P&amp;L'!W2,"")</f>
        <v/>
      </c>
      <c r="U7" s="13">
        <f>IFERROR('QTR BS'!U7/'QTR P&amp;L'!X2,"")</f>
        <v/>
      </c>
      <c r="V7" s="13">
        <f>IFERROR('QTR BS'!V7/'QTR P&amp;L'!Y2,"")</f>
        <v/>
      </c>
      <c r="W7" s="13">
        <f>IFERROR('QTR BS'!W7/'QTR P&amp;L'!Z2,"")</f>
        <v/>
      </c>
      <c r="X7" s="13">
        <f>IFERROR('QTR BS'!X7/'QTR P&amp;L'!AA2,"")</f>
        <v/>
      </c>
      <c r="Y7" s="13">
        <f>IFERROR('QTR BS'!Y7/'QTR P&amp;L'!AB2,"")</f>
        <v/>
      </c>
      <c r="Z7" s="13">
        <f>IFERROR('QTR BS'!Z7/'QTR P&amp;L'!AC2,"")</f>
        <v/>
      </c>
      <c r="AA7" s="14">
        <f>Z7</f>
        <v/>
      </c>
      <c r="AB7" s="14">
        <f>AA7</f>
        <v/>
      </c>
      <c r="AC7" s="14">
        <f>AB7</f>
        <v/>
      </c>
      <c r="AD7" s="14">
        <f>AC7</f>
        <v/>
      </c>
      <c r="AE7" s="14">
        <f>AD7</f>
        <v/>
      </c>
      <c r="AF7" s="14">
        <f>AE7</f>
        <v/>
      </c>
      <c r="AG7" s="14">
        <f>AF7</f>
        <v/>
      </c>
      <c r="AH7" s="14">
        <f>AG7</f>
        <v/>
      </c>
      <c r="AI7" s="14">
        <f>AH7</f>
        <v/>
      </c>
      <c r="AJ7" s="14">
        <f>AI7</f>
        <v/>
      </c>
      <c r="AK7" s="14">
        <f>AJ7</f>
        <v/>
      </c>
      <c r="AL7" s="14">
        <f>AK7</f>
        <v/>
      </c>
      <c r="AM7" s="14">
        <f>AL7</f>
        <v/>
      </c>
      <c r="AN7" s="14">
        <f>AM7</f>
        <v/>
      </c>
      <c r="AO7" s="14">
        <f>AN7</f>
        <v/>
      </c>
      <c r="AP7" s="14">
        <f>AO7</f>
        <v/>
      </c>
      <c r="AQ7" s="14">
        <f>AP7</f>
        <v/>
      </c>
      <c r="AR7" s="14">
        <f>AQ7</f>
        <v/>
      </c>
      <c r="AS7" s="14">
        <f>AR7</f>
        <v/>
      </c>
      <c r="AT7" s="14">
        <f>AS7</f>
        <v/>
      </c>
    </row>
    <row r="8">
      <c r="A8" s="3" t="inlineStr">
        <is>
          <t>Note Receivable - Non-Current — % of Revenue</t>
        </is>
      </c>
      <c r="B8" s="13">
        <f>IFERROR('QTR BS'!B9/'QTR P&amp;L'!E2,"")</f>
        <v/>
      </c>
      <c r="C8" s="13">
        <f>IFERROR('QTR BS'!C9/'QTR P&amp;L'!F2,"")</f>
        <v/>
      </c>
      <c r="D8" s="13">
        <f>IFERROR('QTR BS'!D9/'QTR P&amp;L'!G2,"")</f>
        <v/>
      </c>
      <c r="E8" s="13">
        <f>IFERROR('QTR BS'!E9/'QTR P&amp;L'!H2,"")</f>
        <v/>
      </c>
      <c r="F8" s="13">
        <f>IFERROR('QTR BS'!F9/'QTR P&amp;L'!I2,"")</f>
        <v/>
      </c>
      <c r="G8" s="13">
        <f>IFERROR('QTR BS'!G9/'QTR P&amp;L'!J2,"")</f>
        <v/>
      </c>
      <c r="H8" s="13">
        <f>IFERROR('QTR BS'!H9/'QTR P&amp;L'!K2,"")</f>
        <v/>
      </c>
      <c r="I8" s="13">
        <f>IFERROR('QTR BS'!I9/'QTR P&amp;L'!L2,"")</f>
        <v/>
      </c>
      <c r="J8" s="13">
        <f>IFERROR('QTR BS'!J9/'QTR P&amp;L'!M2,"")</f>
        <v/>
      </c>
      <c r="K8" s="13">
        <f>IFERROR('QTR BS'!K9/'QTR P&amp;L'!N2,"")</f>
        <v/>
      </c>
      <c r="L8" s="13">
        <f>IFERROR('QTR BS'!L9/'QTR P&amp;L'!O2,"")</f>
        <v/>
      </c>
      <c r="M8" s="13">
        <f>IFERROR('QTR BS'!M9/'QTR P&amp;L'!P2,"")</f>
        <v/>
      </c>
      <c r="N8" s="13">
        <f>IFERROR('QTR BS'!N9/'QTR P&amp;L'!Q2,"")</f>
        <v/>
      </c>
      <c r="O8" s="13">
        <f>IFERROR('QTR BS'!O9/'QTR P&amp;L'!R2,"")</f>
        <v/>
      </c>
      <c r="P8" s="13">
        <f>IFERROR('QTR BS'!P9/'QTR P&amp;L'!S2,"")</f>
        <v/>
      </c>
      <c r="Q8" s="13">
        <f>IFERROR('QTR BS'!Q9/'QTR P&amp;L'!T2,"")</f>
        <v/>
      </c>
      <c r="R8" s="13">
        <f>IFERROR('QTR BS'!R9/'QTR P&amp;L'!U2,"")</f>
        <v/>
      </c>
      <c r="S8" s="13">
        <f>IFERROR('QTR BS'!S9/'QTR P&amp;L'!V2,"")</f>
        <v/>
      </c>
      <c r="T8" s="13">
        <f>IFERROR('QTR BS'!T9/'QTR P&amp;L'!W2,"")</f>
        <v/>
      </c>
      <c r="U8" s="13">
        <f>IFERROR('QTR BS'!U9/'QTR P&amp;L'!X2,"")</f>
        <v/>
      </c>
      <c r="V8" s="13">
        <f>IFERROR('QTR BS'!V9/'QTR P&amp;L'!Y2,"")</f>
        <v/>
      </c>
      <c r="W8" s="13">
        <f>IFERROR('QTR BS'!W9/'QTR P&amp;L'!Z2,"")</f>
        <v/>
      </c>
      <c r="X8" s="13">
        <f>IFERROR('QTR BS'!X9/'QTR P&amp;L'!AA2,"")</f>
        <v/>
      </c>
      <c r="Y8" s="13">
        <f>IFERROR('QTR BS'!Y9/'QTR P&amp;L'!AB2,"")</f>
        <v/>
      </c>
      <c r="Z8" s="13">
        <f>IFERROR('QTR BS'!Z9/'QTR P&amp;L'!AC2,"")</f>
        <v/>
      </c>
      <c r="AA8" s="14">
        <f>Z8</f>
        <v/>
      </c>
      <c r="AB8" s="14">
        <f>AA8</f>
        <v/>
      </c>
      <c r="AC8" s="14">
        <f>AB8</f>
        <v/>
      </c>
      <c r="AD8" s="14">
        <f>AC8</f>
        <v/>
      </c>
      <c r="AE8" s="14">
        <f>AD8</f>
        <v/>
      </c>
      <c r="AF8" s="14">
        <f>AE8</f>
        <v/>
      </c>
      <c r="AG8" s="14">
        <f>AF8</f>
        <v/>
      </c>
      <c r="AH8" s="14">
        <f>AG8</f>
        <v/>
      </c>
      <c r="AI8" s="14">
        <f>AH8</f>
        <v/>
      </c>
      <c r="AJ8" s="14">
        <f>AI8</f>
        <v/>
      </c>
      <c r="AK8" s="14">
        <f>AJ8</f>
        <v/>
      </c>
      <c r="AL8" s="14">
        <f>AK8</f>
        <v/>
      </c>
      <c r="AM8" s="14">
        <f>AL8</f>
        <v/>
      </c>
      <c r="AN8" s="14">
        <f>AM8</f>
        <v/>
      </c>
      <c r="AO8" s="14">
        <f>AN8</f>
        <v/>
      </c>
      <c r="AP8" s="14">
        <f>AO8</f>
        <v/>
      </c>
      <c r="AQ8" s="14">
        <f>AP8</f>
        <v/>
      </c>
      <c r="AR8" s="14">
        <f>AQ8</f>
        <v/>
      </c>
      <c r="AS8" s="14">
        <f>AR8</f>
        <v/>
      </c>
      <c r="AT8" s="14">
        <f>AS8</f>
        <v/>
      </c>
    </row>
    <row r="9">
      <c r="A9" s="3" t="inlineStr">
        <is>
          <t>Net PP&amp;E</t>
        </is>
      </c>
      <c r="B9" s="4">
        <f>'QTR BS'!B10</f>
        <v/>
      </c>
      <c r="C9" s="4">
        <f>'QTR BS'!C10</f>
        <v/>
      </c>
      <c r="D9" s="4">
        <f>'QTR BS'!D10</f>
        <v/>
      </c>
      <c r="E9" s="4">
        <f>'QTR BS'!E10</f>
        <v/>
      </c>
      <c r="F9" s="4">
        <f>'QTR BS'!F10</f>
        <v/>
      </c>
      <c r="G9" s="4">
        <f>'QTR BS'!G10</f>
        <v/>
      </c>
      <c r="H9" s="4">
        <f>'QTR BS'!H10</f>
        <v/>
      </c>
      <c r="I9" s="4">
        <f>'QTR BS'!I10</f>
        <v/>
      </c>
      <c r="J9" s="4">
        <f>'QTR BS'!J10</f>
        <v/>
      </c>
      <c r="K9" s="4">
        <f>'QTR BS'!K10</f>
        <v/>
      </c>
      <c r="L9" s="4">
        <f>'QTR BS'!L10</f>
        <v/>
      </c>
      <c r="M9" s="4">
        <f>'QTR BS'!M10</f>
        <v/>
      </c>
      <c r="N9" s="4">
        <f>'QTR BS'!N10</f>
        <v/>
      </c>
      <c r="O9" s="4">
        <f>'QTR BS'!O10</f>
        <v/>
      </c>
      <c r="P9" s="4">
        <f>'QTR BS'!P10</f>
        <v/>
      </c>
      <c r="Q9" s="4">
        <f>'QTR BS'!Q10</f>
        <v/>
      </c>
      <c r="R9" s="4">
        <f>'QTR BS'!R10</f>
        <v/>
      </c>
      <c r="S9" s="4">
        <f>'QTR BS'!S10</f>
        <v/>
      </c>
      <c r="T9" s="4">
        <f>'QTR BS'!T10</f>
        <v/>
      </c>
      <c r="U9" s="4">
        <f>'QTR BS'!U10</f>
        <v/>
      </c>
      <c r="V9" s="4">
        <f>'QTR BS'!V10</f>
        <v/>
      </c>
      <c r="W9" s="4">
        <f>'QTR BS'!W10</f>
        <v/>
      </c>
      <c r="X9" s="4">
        <f>'QTR BS'!X10</f>
        <v/>
      </c>
      <c r="Y9" s="4">
        <f>'QTR BS'!Y10</f>
        <v/>
      </c>
      <c r="Z9" s="4">
        <f>'QTR BS'!Z10</f>
        <v/>
      </c>
      <c r="AA9" s="4">
        <f>Z9-'QTR CF'!Z36-'QTR CF'!Z6</f>
        <v/>
      </c>
      <c r="AB9" s="4">
        <f>AA9-'QTR CF'!AA36-'QTR CF'!AA6</f>
        <v/>
      </c>
      <c r="AC9" s="4">
        <f>AB9-'QTR CF'!AB36-'QTR CF'!AB6</f>
        <v/>
      </c>
      <c r="AD9" s="4">
        <f>AC9-'QTR CF'!AC36-'QTR CF'!AC6</f>
        <v/>
      </c>
      <c r="AE9" s="4">
        <f>AD9-'QTR CF'!AD36-'QTR CF'!AD6</f>
        <v/>
      </c>
      <c r="AF9" s="4">
        <f>AE9-'QTR CF'!AE36-'QTR CF'!AE6</f>
        <v/>
      </c>
      <c r="AG9" s="4">
        <f>AF9-'QTR CF'!AF36-'QTR CF'!AF6</f>
        <v/>
      </c>
      <c r="AH9" s="4">
        <f>AG9-'QTR CF'!AG36-'QTR CF'!AG6</f>
        <v/>
      </c>
      <c r="AI9" s="4">
        <f>AH9-'QTR CF'!AH36-'QTR CF'!AH6</f>
        <v/>
      </c>
      <c r="AJ9" s="4">
        <f>AI9-'QTR CF'!AI36-'QTR CF'!AI6</f>
        <v/>
      </c>
      <c r="AK9" s="4">
        <f>AJ9-'QTR CF'!AJ36-'QTR CF'!AJ6</f>
        <v/>
      </c>
      <c r="AL9" s="4">
        <f>AK9-'QTR CF'!AK36-'QTR CF'!AK6</f>
        <v/>
      </c>
      <c r="AM9" s="4">
        <f>AL9-'QTR CF'!AL36-'QTR CF'!AL6</f>
        <v/>
      </c>
      <c r="AN9" s="4">
        <f>AM9-'QTR CF'!AM36-'QTR CF'!AM6</f>
        <v/>
      </c>
      <c r="AO9" s="4">
        <f>AN9-'QTR CF'!AN36-'QTR CF'!AN6</f>
        <v/>
      </c>
      <c r="AP9" s="4">
        <f>AO9-'QTR CF'!AO36-'QTR CF'!AO6</f>
        <v/>
      </c>
      <c r="AQ9" s="4">
        <f>AP9-'QTR CF'!AP36-'QTR CF'!AP6</f>
        <v/>
      </c>
      <c r="AR9" s="4">
        <f>AQ9-'QTR CF'!AQ36-'QTR CF'!AQ6</f>
        <v/>
      </c>
      <c r="AS9" s="4">
        <f>AR9-'QTR CF'!AR36-'QTR CF'!AR6</f>
        <v/>
      </c>
      <c r="AT9" s="4">
        <f>AS9-'QTR CF'!AS36-'QTR CF'!AS6</f>
        <v/>
      </c>
    </row>
    <row r="10">
      <c r="A10" s="3" t="inlineStr">
        <is>
          <t>ROU Assets - Operating - Non-Current — % of Revenue</t>
        </is>
      </c>
      <c r="B10" s="13">
        <f>IFERROR('QTR BS'!B11/'QTR P&amp;L'!E2,"")</f>
        <v/>
      </c>
      <c r="C10" s="13">
        <f>IFERROR('QTR BS'!C11/'QTR P&amp;L'!F2,"")</f>
        <v/>
      </c>
      <c r="D10" s="13">
        <f>IFERROR('QTR BS'!D11/'QTR P&amp;L'!G2,"")</f>
        <v/>
      </c>
      <c r="E10" s="13">
        <f>IFERROR('QTR BS'!E11/'QTR P&amp;L'!H2,"")</f>
        <v/>
      </c>
      <c r="F10" s="13">
        <f>IFERROR('QTR BS'!F11/'QTR P&amp;L'!I2,"")</f>
        <v/>
      </c>
      <c r="G10" s="13">
        <f>IFERROR('QTR BS'!G11/'QTR P&amp;L'!J2,"")</f>
        <v/>
      </c>
      <c r="H10" s="13">
        <f>IFERROR('QTR BS'!H11/'QTR P&amp;L'!K2,"")</f>
        <v/>
      </c>
      <c r="I10" s="13">
        <f>IFERROR('QTR BS'!I11/'QTR P&amp;L'!L2,"")</f>
        <v/>
      </c>
      <c r="J10" s="13">
        <f>IFERROR('QTR BS'!J11/'QTR P&amp;L'!M2,"")</f>
        <v/>
      </c>
      <c r="K10" s="13">
        <f>IFERROR('QTR BS'!K11/'QTR P&amp;L'!N2,"")</f>
        <v/>
      </c>
      <c r="L10" s="13">
        <f>IFERROR('QTR BS'!L11/'QTR P&amp;L'!O2,"")</f>
        <v/>
      </c>
      <c r="M10" s="13">
        <f>IFERROR('QTR BS'!M11/'QTR P&amp;L'!P2,"")</f>
        <v/>
      </c>
      <c r="N10" s="13">
        <f>IFERROR('QTR BS'!N11/'QTR P&amp;L'!Q2,"")</f>
        <v/>
      </c>
      <c r="O10" s="13">
        <f>IFERROR('QTR BS'!O11/'QTR P&amp;L'!R2,"")</f>
        <v/>
      </c>
      <c r="P10" s="13">
        <f>IFERROR('QTR BS'!P11/'QTR P&amp;L'!S2,"")</f>
        <v/>
      </c>
      <c r="Q10" s="13">
        <f>IFERROR('QTR BS'!Q11/'QTR P&amp;L'!T2,"")</f>
        <v/>
      </c>
      <c r="R10" s="13">
        <f>IFERROR('QTR BS'!R11/'QTR P&amp;L'!U2,"")</f>
        <v/>
      </c>
      <c r="S10" s="13">
        <f>IFERROR('QTR BS'!S11/'QTR P&amp;L'!V2,"")</f>
        <v/>
      </c>
      <c r="T10" s="13">
        <f>IFERROR('QTR BS'!T11/'QTR P&amp;L'!W2,"")</f>
        <v/>
      </c>
      <c r="U10" s="13">
        <f>IFERROR('QTR BS'!U11/'QTR P&amp;L'!X2,"")</f>
        <v/>
      </c>
      <c r="V10" s="13">
        <f>IFERROR('QTR BS'!V11/'QTR P&amp;L'!Y2,"")</f>
        <v/>
      </c>
      <c r="W10" s="13">
        <f>IFERROR('QTR BS'!W11/'QTR P&amp;L'!Z2,"")</f>
        <v/>
      </c>
      <c r="X10" s="13">
        <f>IFERROR('QTR BS'!X11/'QTR P&amp;L'!AA2,"")</f>
        <v/>
      </c>
      <c r="Y10" s="13">
        <f>IFERROR('QTR BS'!Y11/'QTR P&amp;L'!AB2,"")</f>
        <v/>
      </c>
      <c r="Z10" s="13">
        <f>IFERROR('QTR BS'!Z11/'QTR P&amp;L'!AC2,"")</f>
        <v/>
      </c>
      <c r="AA10" s="14">
        <f>Z10</f>
        <v/>
      </c>
      <c r="AB10" s="14">
        <f>AA10</f>
        <v/>
      </c>
      <c r="AC10" s="14">
        <f>AB10</f>
        <v/>
      </c>
      <c r="AD10" s="14">
        <f>AC10</f>
        <v/>
      </c>
      <c r="AE10" s="14">
        <f>AD10</f>
        <v/>
      </c>
      <c r="AF10" s="14">
        <f>AE10</f>
        <v/>
      </c>
      <c r="AG10" s="14">
        <f>AF10</f>
        <v/>
      </c>
      <c r="AH10" s="14">
        <f>AG10</f>
        <v/>
      </c>
      <c r="AI10" s="14">
        <f>AH10</f>
        <v/>
      </c>
      <c r="AJ10" s="14">
        <f>AI10</f>
        <v/>
      </c>
      <c r="AK10" s="14">
        <f>AJ10</f>
        <v/>
      </c>
      <c r="AL10" s="14">
        <f>AK10</f>
        <v/>
      </c>
      <c r="AM10" s="14">
        <f>AL10</f>
        <v/>
      </c>
      <c r="AN10" s="14">
        <f>AM10</f>
        <v/>
      </c>
      <c r="AO10" s="14">
        <f>AN10</f>
        <v/>
      </c>
      <c r="AP10" s="14">
        <f>AO10</f>
        <v/>
      </c>
      <c r="AQ10" s="14">
        <f>AP10</f>
        <v/>
      </c>
      <c r="AR10" s="14">
        <f>AQ10</f>
        <v/>
      </c>
      <c r="AS10" s="14">
        <f>AR10</f>
        <v/>
      </c>
      <c r="AT10" s="14">
        <f>AS10</f>
        <v/>
      </c>
    </row>
    <row r="11">
      <c r="A11" s="3" t="inlineStr">
        <is>
          <t>Intangible Assets</t>
        </is>
      </c>
      <c r="B11" s="4">
        <f>'QTR BS'!B12</f>
        <v/>
      </c>
      <c r="C11" s="4">
        <f>'QTR BS'!C12</f>
        <v/>
      </c>
      <c r="D11" s="4">
        <f>'QTR BS'!D12</f>
        <v/>
      </c>
      <c r="E11" s="4">
        <f>'QTR BS'!E12</f>
        <v/>
      </c>
      <c r="F11" s="4">
        <f>'QTR BS'!F12</f>
        <v/>
      </c>
      <c r="G11" s="4">
        <f>'QTR BS'!G12</f>
        <v/>
      </c>
      <c r="H11" s="4">
        <f>'QTR BS'!H12</f>
        <v/>
      </c>
      <c r="I11" s="4">
        <f>'QTR BS'!I12</f>
        <v/>
      </c>
      <c r="J11" s="4">
        <f>'QTR BS'!J12</f>
        <v/>
      </c>
      <c r="K11" s="4">
        <f>'QTR BS'!K12</f>
        <v/>
      </c>
      <c r="L11" s="4">
        <f>'QTR BS'!L12</f>
        <v/>
      </c>
      <c r="M11" s="4">
        <f>'QTR BS'!M12</f>
        <v/>
      </c>
      <c r="N11" s="4">
        <f>'QTR BS'!N12</f>
        <v/>
      </c>
      <c r="O11" s="4">
        <f>'QTR BS'!O12</f>
        <v/>
      </c>
      <c r="P11" s="4">
        <f>'QTR BS'!P12</f>
        <v/>
      </c>
      <c r="Q11" s="4">
        <f>'QTR BS'!Q12</f>
        <v/>
      </c>
      <c r="R11" s="4">
        <f>'QTR BS'!R12</f>
        <v/>
      </c>
      <c r="S11" s="4">
        <f>'QTR BS'!S12</f>
        <v/>
      </c>
      <c r="T11" s="4">
        <f>'QTR BS'!T12</f>
        <v/>
      </c>
      <c r="U11" s="4">
        <f>'QTR BS'!U12</f>
        <v/>
      </c>
      <c r="V11" s="4">
        <f>'QTR BS'!V12</f>
        <v/>
      </c>
      <c r="W11" s="4">
        <f>'QTR BS'!W12</f>
        <v/>
      </c>
      <c r="X11" s="4">
        <f>'QTR BS'!X12</f>
        <v/>
      </c>
      <c r="Y11" s="4">
        <f>'QTR BS'!Y12</f>
        <v/>
      </c>
      <c r="Z11" s="4">
        <f>'QTR BS'!Z12</f>
        <v/>
      </c>
      <c r="AA11" s="15">
        <f>Z11</f>
        <v/>
      </c>
      <c r="AB11" s="15">
        <f>AA11</f>
        <v/>
      </c>
      <c r="AC11" s="15">
        <f>AB11</f>
        <v/>
      </c>
      <c r="AD11" s="15">
        <f>AC11</f>
        <v/>
      </c>
      <c r="AE11" s="15">
        <f>AD11</f>
        <v/>
      </c>
      <c r="AF11" s="15">
        <f>AE11</f>
        <v/>
      </c>
      <c r="AG11" s="15">
        <f>AF11</f>
        <v/>
      </c>
      <c r="AH11" s="15">
        <f>AG11</f>
        <v/>
      </c>
      <c r="AI11" s="15">
        <f>AH11</f>
        <v/>
      </c>
      <c r="AJ11" s="15">
        <f>AI11</f>
        <v/>
      </c>
      <c r="AK11" s="15">
        <f>AJ11</f>
        <v/>
      </c>
      <c r="AL11" s="15">
        <f>AK11</f>
        <v/>
      </c>
      <c r="AM11" s="15">
        <f>AL11</f>
        <v/>
      </c>
      <c r="AN11" s="15">
        <f>AM11</f>
        <v/>
      </c>
      <c r="AO11" s="15">
        <f>AN11</f>
        <v/>
      </c>
      <c r="AP11" s="15">
        <f>AO11</f>
        <v/>
      </c>
      <c r="AQ11" s="15">
        <f>AP11</f>
        <v/>
      </c>
      <c r="AR11" s="15">
        <f>AQ11</f>
        <v/>
      </c>
      <c r="AS11" s="15">
        <f>AR11</f>
        <v/>
      </c>
      <c r="AT11" s="15">
        <f>AS11</f>
        <v/>
      </c>
    </row>
    <row r="12">
      <c r="A12" s="3" t="inlineStr">
        <is>
          <t>Goodwill</t>
        </is>
      </c>
      <c r="B12" s="4">
        <f>'QTR BS'!B13</f>
        <v/>
      </c>
      <c r="C12" s="4">
        <f>'QTR BS'!C13</f>
        <v/>
      </c>
      <c r="D12" s="4">
        <f>'QTR BS'!D13</f>
        <v/>
      </c>
      <c r="E12" s="4">
        <f>'QTR BS'!E13</f>
        <v/>
      </c>
      <c r="F12" s="4">
        <f>'QTR BS'!F13</f>
        <v/>
      </c>
      <c r="G12" s="4">
        <f>'QTR BS'!G13</f>
        <v/>
      </c>
      <c r="H12" s="4">
        <f>'QTR BS'!H13</f>
        <v/>
      </c>
      <c r="I12" s="4">
        <f>'QTR BS'!I13</f>
        <v/>
      </c>
      <c r="J12" s="4">
        <f>'QTR BS'!J13</f>
        <v/>
      </c>
      <c r="K12" s="4">
        <f>'QTR BS'!K13</f>
        <v/>
      </c>
      <c r="L12" s="4">
        <f>'QTR BS'!L13</f>
        <v/>
      </c>
      <c r="M12" s="4">
        <f>'QTR BS'!M13</f>
        <v/>
      </c>
      <c r="N12" s="4">
        <f>'QTR BS'!N13</f>
        <v/>
      </c>
      <c r="O12" s="4">
        <f>'QTR BS'!O13</f>
        <v/>
      </c>
      <c r="P12" s="4">
        <f>'QTR BS'!P13</f>
        <v/>
      </c>
      <c r="Q12" s="4">
        <f>'QTR BS'!Q13</f>
        <v/>
      </c>
      <c r="R12" s="4">
        <f>'QTR BS'!R13</f>
        <v/>
      </c>
      <c r="S12" s="4">
        <f>'QTR BS'!S13</f>
        <v/>
      </c>
      <c r="T12" s="4">
        <f>'QTR BS'!T13</f>
        <v/>
      </c>
      <c r="U12" s="4">
        <f>'QTR BS'!U13</f>
        <v/>
      </c>
      <c r="V12" s="4">
        <f>'QTR BS'!V13</f>
        <v/>
      </c>
      <c r="W12" s="4">
        <f>'QTR BS'!W13</f>
        <v/>
      </c>
      <c r="X12" s="4">
        <f>'QTR BS'!X13</f>
        <v/>
      </c>
      <c r="Y12" s="4">
        <f>'QTR BS'!Y13</f>
        <v/>
      </c>
      <c r="Z12" s="4">
        <f>'QTR BS'!Z13</f>
        <v/>
      </c>
      <c r="AA12" s="15">
        <f>Z12</f>
        <v/>
      </c>
      <c r="AB12" s="15">
        <f>AA12</f>
        <v/>
      </c>
      <c r="AC12" s="15">
        <f>AB12</f>
        <v/>
      </c>
      <c r="AD12" s="15">
        <f>AC12</f>
        <v/>
      </c>
      <c r="AE12" s="15">
        <f>AD12</f>
        <v/>
      </c>
      <c r="AF12" s="15">
        <f>AE12</f>
        <v/>
      </c>
      <c r="AG12" s="15">
        <f>AF12</f>
        <v/>
      </c>
      <c r="AH12" s="15">
        <f>AG12</f>
        <v/>
      </c>
      <c r="AI12" s="15">
        <f>AH12</f>
        <v/>
      </c>
      <c r="AJ12" s="15">
        <f>AI12</f>
        <v/>
      </c>
      <c r="AK12" s="15">
        <f>AJ12</f>
        <v/>
      </c>
      <c r="AL12" s="15">
        <f>AK12</f>
        <v/>
      </c>
      <c r="AM12" s="15">
        <f>AL12</f>
        <v/>
      </c>
      <c r="AN12" s="15">
        <f>AM12</f>
        <v/>
      </c>
      <c r="AO12" s="15">
        <f>AN12</f>
        <v/>
      </c>
      <c r="AP12" s="15">
        <f>AO12</f>
        <v/>
      </c>
      <c r="AQ12" s="15">
        <f>AP12</f>
        <v/>
      </c>
      <c r="AR12" s="15">
        <f>AQ12</f>
        <v/>
      </c>
      <c r="AS12" s="15">
        <f>AR12</f>
        <v/>
      </c>
      <c r="AT12" s="15">
        <f>AS12</f>
        <v/>
      </c>
    </row>
    <row r="13">
      <c r="A13" s="3" t="inlineStr">
        <is>
          <t>Deferred Other Costs - Non-Current — % of Revenue</t>
        </is>
      </c>
      <c r="B13" s="13">
        <f>IFERROR('QTR BS'!B14/'QTR P&amp;L'!E2,"")</f>
        <v/>
      </c>
      <c r="C13" s="13">
        <f>IFERROR('QTR BS'!C14/'QTR P&amp;L'!F2,"")</f>
        <v/>
      </c>
      <c r="D13" s="13">
        <f>IFERROR('QTR BS'!D14/'QTR P&amp;L'!G2,"")</f>
        <v/>
      </c>
      <c r="E13" s="13">
        <f>IFERROR('QTR BS'!E14/'QTR P&amp;L'!H2,"")</f>
        <v/>
      </c>
      <c r="F13" s="13">
        <f>IFERROR('QTR BS'!F14/'QTR P&amp;L'!I2,"")</f>
        <v/>
      </c>
      <c r="G13" s="13">
        <f>IFERROR('QTR BS'!G14/'QTR P&amp;L'!J2,"")</f>
        <v/>
      </c>
      <c r="H13" s="13">
        <f>IFERROR('QTR BS'!H14/'QTR P&amp;L'!K2,"")</f>
        <v/>
      </c>
      <c r="I13" s="13">
        <f>IFERROR('QTR BS'!I14/'QTR P&amp;L'!L2,"")</f>
        <v/>
      </c>
      <c r="J13" s="13">
        <f>IFERROR('QTR BS'!J14/'QTR P&amp;L'!M2,"")</f>
        <v/>
      </c>
      <c r="K13" s="13">
        <f>IFERROR('QTR BS'!K14/'QTR P&amp;L'!N2,"")</f>
        <v/>
      </c>
      <c r="L13" s="13">
        <f>IFERROR('QTR BS'!L14/'QTR P&amp;L'!O2,"")</f>
        <v/>
      </c>
      <c r="M13" s="13">
        <f>IFERROR('QTR BS'!M14/'QTR P&amp;L'!P2,"")</f>
        <v/>
      </c>
      <c r="N13" s="13">
        <f>IFERROR('QTR BS'!N14/'QTR P&amp;L'!Q2,"")</f>
        <v/>
      </c>
      <c r="O13" s="13">
        <f>IFERROR('QTR BS'!O14/'QTR P&amp;L'!R2,"")</f>
        <v/>
      </c>
      <c r="P13" s="13">
        <f>IFERROR('QTR BS'!P14/'QTR P&amp;L'!S2,"")</f>
        <v/>
      </c>
      <c r="Q13" s="13">
        <f>IFERROR('QTR BS'!Q14/'QTR P&amp;L'!T2,"")</f>
        <v/>
      </c>
      <c r="R13" s="13">
        <f>IFERROR('QTR BS'!R14/'QTR P&amp;L'!U2,"")</f>
        <v/>
      </c>
      <c r="S13" s="13">
        <f>IFERROR('QTR BS'!S14/'QTR P&amp;L'!V2,"")</f>
        <v/>
      </c>
      <c r="T13" s="13">
        <f>IFERROR('QTR BS'!T14/'QTR P&amp;L'!W2,"")</f>
        <v/>
      </c>
      <c r="U13" s="13">
        <f>IFERROR('QTR BS'!U14/'QTR P&amp;L'!X2,"")</f>
        <v/>
      </c>
      <c r="V13" s="13">
        <f>IFERROR('QTR BS'!V14/'QTR P&amp;L'!Y2,"")</f>
        <v/>
      </c>
      <c r="W13" s="13">
        <f>IFERROR('QTR BS'!W14/'QTR P&amp;L'!Z2,"")</f>
        <v/>
      </c>
      <c r="X13" s="13">
        <f>IFERROR('QTR BS'!X14/'QTR P&amp;L'!AA2,"")</f>
        <v/>
      </c>
      <c r="Y13" s="13">
        <f>IFERROR('QTR BS'!Y14/'QTR P&amp;L'!AB2,"")</f>
        <v/>
      </c>
      <c r="Z13" s="13">
        <f>IFERROR('QTR BS'!Z14/'QTR P&amp;L'!AC2,"")</f>
        <v/>
      </c>
      <c r="AA13" s="14">
        <f>Z13</f>
        <v/>
      </c>
      <c r="AB13" s="14">
        <f>AA13</f>
        <v/>
      </c>
      <c r="AC13" s="14">
        <f>AB13</f>
        <v/>
      </c>
      <c r="AD13" s="14">
        <f>AC13</f>
        <v/>
      </c>
      <c r="AE13" s="14">
        <f>AD13</f>
        <v/>
      </c>
      <c r="AF13" s="14">
        <f>AE13</f>
        <v/>
      </c>
      <c r="AG13" s="14">
        <f>AF13</f>
        <v/>
      </c>
      <c r="AH13" s="14">
        <f>AG13</f>
        <v/>
      </c>
      <c r="AI13" s="14">
        <f>AH13</f>
        <v/>
      </c>
      <c r="AJ13" s="14">
        <f>AI13</f>
        <v/>
      </c>
      <c r="AK13" s="14">
        <f>AJ13</f>
        <v/>
      </c>
      <c r="AL13" s="14">
        <f>AK13</f>
        <v/>
      </c>
      <c r="AM13" s="14">
        <f>AL13</f>
        <v/>
      </c>
      <c r="AN13" s="14">
        <f>AM13</f>
        <v/>
      </c>
      <c r="AO13" s="14">
        <f>AN13</f>
        <v/>
      </c>
      <c r="AP13" s="14">
        <f>AO13</f>
        <v/>
      </c>
      <c r="AQ13" s="14">
        <f>AP13</f>
        <v/>
      </c>
      <c r="AR13" s="14">
        <f>AQ13</f>
        <v/>
      </c>
      <c r="AS13" s="14">
        <f>AR13</f>
        <v/>
      </c>
      <c r="AT13" s="14">
        <f>AS13</f>
        <v/>
      </c>
    </row>
    <row r="14">
      <c r="A14" s="3" t="inlineStr">
        <is>
          <t>Deferred Tax Assets</t>
        </is>
      </c>
      <c r="B14" s="4">
        <f>'QTR BS'!B15</f>
        <v/>
      </c>
      <c r="C14" s="4">
        <f>'QTR BS'!C15</f>
        <v/>
      </c>
      <c r="D14" s="4">
        <f>'QTR BS'!D15</f>
        <v/>
      </c>
      <c r="E14" s="4">
        <f>'QTR BS'!E15</f>
        <v/>
      </c>
      <c r="F14" s="4">
        <f>'QTR BS'!F15</f>
        <v/>
      </c>
      <c r="G14" s="4">
        <f>'QTR BS'!G15</f>
        <v/>
      </c>
      <c r="H14" s="4">
        <f>'QTR BS'!H15</f>
        <v/>
      </c>
      <c r="I14" s="4">
        <f>'QTR BS'!I15</f>
        <v/>
      </c>
      <c r="J14" s="4">
        <f>'QTR BS'!J15</f>
        <v/>
      </c>
      <c r="K14" s="4">
        <f>'QTR BS'!K15</f>
        <v/>
      </c>
      <c r="L14" s="4">
        <f>'QTR BS'!L15</f>
        <v/>
      </c>
      <c r="M14" s="4">
        <f>'QTR BS'!M15</f>
        <v/>
      </c>
      <c r="N14" s="4">
        <f>'QTR BS'!N15</f>
        <v/>
      </c>
      <c r="O14" s="4">
        <f>'QTR BS'!O15</f>
        <v/>
      </c>
      <c r="P14" s="4">
        <f>'QTR BS'!P15</f>
        <v/>
      </c>
      <c r="Q14" s="4">
        <f>'QTR BS'!Q15</f>
        <v/>
      </c>
      <c r="R14" s="4">
        <f>'QTR BS'!R15</f>
        <v/>
      </c>
      <c r="S14" s="4">
        <f>'QTR BS'!S15</f>
        <v/>
      </c>
      <c r="T14" s="4">
        <f>'QTR BS'!T15</f>
        <v/>
      </c>
      <c r="U14" s="4">
        <f>'QTR BS'!U15</f>
        <v/>
      </c>
      <c r="V14" s="4">
        <f>'QTR BS'!V15</f>
        <v/>
      </c>
      <c r="W14" s="4">
        <f>'QTR BS'!W15</f>
        <v/>
      </c>
      <c r="X14" s="4">
        <f>'QTR BS'!X15</f>
        <v/>
      </c>
      <c r="Y14" s="4">
        <f>'QTR BS'!Y15</f>
        <v/>
      </c>
      <c r="Z14" s="4">
        <f>'QTR BS'!Z15</f>
        <v/>
      </c>
      <c r="AA14" s="4">
        <f>Z14-'QTR CF'!Z14</f>
        <v/>
      </c>
      <c r="AB14" s="4">
        <f>AA14-'QTR CF'!AA14</f>
        <v/>
      </c>
      <c r="AC14" s="4">
        <f>AB14-'QTR CF'!AB14</f>
        <v/>
      </c>
      <c r="AD14" s="4">
        <f>AC14-'QTR CF'!AC14</f>
        <v/>
      </c>
      <c r="AE14" s="4">
        <f>AD14-'QTR CF'!AD14</f>
        <v/>
      </c>
      <c r="AF14" s="4">
        <f>AE14-'QTR CF'!AE14</f>
        <v/>
      </c>
      <c r="AG14" s="4">
        <f>AF14-'QTR CF'!AF14</f>
        <v/>
      </c>
      <c r="AH14" s="4">
        <f>AG14-'QTR CF'!AG14</f>
        <v/>
      </c>
      <c r="AI14" s="4">
        <f>AH14-'QTR CF'!AH14</f>
        <v/>
      </c>
      <c r="AJ14" s="4">
        <f>AI14-'QTR CF'!AI14</f>
        <v/>
      </c>
      <c r="AK14" s="4">
        <f>AJ14-'QTR CF'!AJ14</f>
        <v/>
      </c>
      <c r="AL14" s="4">
        <f>AK14-'QTR CF'!AK14</f>
        <v/>
      </c>
      <c r="AM14" s="4">
        <f>AL14-'QTR CF'!AL14</f>
        <v/>
      </c>
      <c r="AN14" s="4">
        <f>AM14-'QTR CF'!AM14</f>
        <v/>
      </c>
      <c r="AO14" s="4">
        <f>AN14-'QTR CF'!AN14</f>
        <v/>
      </c>
      <c r="AP14" s="4">
        <f>AO14-'QTR CF'!AO14</f>
        <v/>
      </c>
      <c r="AQ14" s="4">
        <f>AP14-'QTR CF'!AP14</f>
        <v/>
      </c>
      <c r="AR14" s="4">
        <f>AQ14-'QTR CF'!AQ14</f>
        <v/>
      </c>
      <c r="AS14" s="4">
        <f>AR14-'QTR CF'!AR14</f>
        <v/>
      </c>
      <c r="AT14" s="4">
        <f>AS14-'QTR CF'!AS14</f>
        <v/>
      </c>
    </row>
    <row r="15">
      <c r="A15" s="3" t="inlineStr">
        <is>
          <t>ROU Assets - Finance - Non-Current — % of Revenue</t>
        </is>
      </c>
      <c r="B15" s="13">
        <f>IFERROR('QTR BS'!B16/'QTR P&amp;L'!E2,"")</f>
        <v/>
      </c>
      <c r="C15" s="13">
        <f>IFERROR('QTR BS'!C16/'QTR P&amp;L'!F2,"")</f>
        <v/>
      </c>
      <c r="D15" s="13">
        <f>IFERROR('QTR BS'!D16/'QTR P&amp;L'!G2,"")</f>
        <v/>
      </c>
      <c r="E15" s="13">
        <f>IFERROR('QTR BS'!E16/'QTR P&amp;L'!H2,"")</f>
        <v/>
      </c>
      <c r="F15" s="13">
        <f>IFERROR('QTR BS'!F16/'QTR P&amp;L'!I2,"")</f>
        <v/>
      </c>
      <c r="G15" s="13">
        <f>IFERROR('QTR BS'!G16/'QTR P&amp;L'!J2,"")</f>
        <v/>
      </c>
      <c r="H15" s="13">
        <f>IFERROR('QTR BS'!H16/'QTR P&amp;L'!K2,"")</f>
        <v/>
      </c>
      <c r="I15" s="13">
        <f>IFERROR('QTR BS'!I16/'QTR P&amp;L'!L2,"")</f>
        <v/>
      </c>
      <c r="J15" s="13">
        <f>IFERROR('QTR BS'!J16/'QTR P&amp;L'!M2,"")</f>
        <v/>
      </c>
      <c r="K15" s="13">
        <f>IFERROR('QTR BS'!K16/'QTR P&amp;L'!N2,"")</f>
        <v/>
      </c>
      <c r="L15" s="13">
        <f>IFERROR('QTR BS'!L16/'QTR P&amp;L'!O2,"")</f>
        <v/>
      </c>
      <c r="M15" s="13">
        <f>IFERROR('QTR BS'!M16/'QTR P&amp;L'!P2,"")</f>
        <v/>
      </c>
      <c r="N15" s="13">
        <f>IFERROR('QTR BS'!N16/'QTR P&amp;L'!Q2,"")</f>
        <v/>
      </c>
      <c r="O15" s="13">
        <f>IFERROR('QTR BS'!O16/'QTR P&amp;L'!R2,"")</f>
        <v/>
      </c>
      <c r="P15" s="13">
        <f>IFERROR('QTR BS'!P16/'QTR P&amp;L'!S2,"")</f>
        <v/>
      </c>
      <c r="Q15" s="13">
        <f>IFERROR('QTR BS'!Q16/'QTR P&amp;L'!T2,"")</f>
        <v/>
      </c>
      <c r="R15" s="13">
        <f>IFERROR('QTR BS'!R16/'QTR P&amp;L'!U2,"")</f>
        <v/>
      </c>
      <c r="S15" s="13">
        <f>IFERROR('QTR BS'!S16/'QTR P&amp;L'!V2,"")</f>
        <v/>
      </c>
      <c r="T15" s="13">
        <f>IFERROR('QTR BS'!T16/'QTR P&amp;L'!W2,"")</f>
        <v/>
      </c>
      <c r="U15" s="13">
        <f>IFERROR('QTR BS'!U16/'QTR P&amp;L'!X2,"")</f>
        <v/>
      </c>
      <c r="V15" s="13">
        <f>IFERROR('QTR BS'!V16/'QTR P&amp;L'!Y2,"")</f>
        <v/>
      </c>
      <c r="W15" s="13">
        <f>IFERROR('QTR BS'!W16/'QTR P&amp;L'!Z2,"")</f>
        <v/>
      </c>
      <c r="X15" s="13">
        <f>IFERROR('QTR BS'!X16/'QTR P&amp;L'!AA2,"")</f>
        <v/>
      </c>
      <c r="Y15" s="13">
        <f>IFERROR('QTR BS'!Y16/'QTR P&amp;L'!AB2,"")</f>
        <v/>
      </c>
      <c r="Z15" s="13">
        <f>IFERROR('QTR BS'!Z16/'QTR P&amp;L'!AC2,"")</f>
        <v/>
      </c>
      <c r="AA15" s="14">
        <f>Z15</f>
        <v/>
      </c>
      <c r="AB15" s="14">
        <f>AA15</f>
        <v/>
      </c>
      <c r="AC15" s="14">
        <f>AB15</f>
        <v/>
      </c>
      <c r="AD15" s="14">
        <f>AC15</f>
        <v/>
      </c>
      <c r="AE15" s="14">
        <f>AD15</f>
        <v/>
      </c>
      <c r="AF15" s="14">
        <f>AE15</f>
        <v/>
      </c>
      <c r="AG15" s="14">
        <f>AF15</f>
        <v/>
      </c>
      <c r="AH15" s="14">
        <f>AG15</f>
        <v/>
      </c>
      <c r="AI15" s="14">
        <f>AH15</f>
        <v/>
      </c>
      <c r="AJ15" s="14">
        <f>AI15</f>
        <v/>
      </c>
      <c r="AK15" s="14">
        <f>AJ15</f>
        <v/>
      </c>
      <c r="AL15" s="14">
        <f>AK15</f>
        <v/>
      </c>
      <c r="AM15" s="14">
        <f>AL15</f>
        <v/>
      </c>
      <c r="AN15" s="14">
        <f>AM15</f>
        <v/>
      </c>
      <c r="AO15" s="14">
        <f>AN15</f>
        <v/>
      </c>
      <c r="AP15" s="14">
        <f>AO15</f>
        <v/>
      </c>
      <c r="AQ15" s="14">
        <f>AP15</f>
        <v/>
      </c>
      <c r="AR15" s="14">
        <f>AQ15</f>
        <v/>
      </c>
      <c r="AS15" s="14">
        <f>AR15</f>
        <v/>
      </c>
      <c r="AT15" s="14">
        <f>AS15</f>
        <v/>
      </c>
    </row>
    <row r="16">
      <c r="A16" s="3" t="inlineStr">
        <is>
          <t>Other Non-Current Assets — % of Revenue</t>
        </is>
      </c>
      <c r="B16" s="13">
        <f>IFERROR('QTR BS'!B17/'QTR P&amp;L'!E2,"")</f>
        <v/>
      </c>
      <c r="C16" s="13">
        <f>IFERROR('QTR BS'!C17/'QTR P&amp;L'!F2,"")</f>
        <v/>
      </c>
      <c r="D16" s="13">
        <f>IFERROR('QTR BS'!D17/'QTR P&amp;L'!G2,"")</f>
        <v/>
      </c>
      <c r="E16" s="13">
        <f>IFERROR('QTR BS'!E17/'QTR P&amp;L'!H2,"")</f>
        <v/>
      </c>
      <c r="F16" s="13">
        <f>IFERROR('QTR BS'!F17/'QTR P&amp;L'!I2,"")</f>
        <v/>
      </c>
      <c r="G16" s="13">
        <f>IFERROR('QTR BS'!G17/'QTR P&amp;L'!J2,"")</f>
        <v/>
      </c>
      <c r="H16" s="13">
        <f>IFERROR('QTR BS'!H17/'QTR P&amp;L'!K2,"")</f>
        <v/>
      </c>
      <c r="I16" s="13">
        <f>IFERROR('QTR BS'!I17/'QTR P&amp;L'!L2,"")</f>
        <v/>
      </c>
      <c r="J16" s="13">
        <f>IFERROR('QTR BS'!J17/'QTR P&amp;L'!M2,"")</f>
        <v/>
      </c>
      <c r="K16" s="13">
        <f>IFERROR('QTR BS'!K17/'QTR P&amp;L'!N2,"")</f>
        <v/>
      </c>
      <c r="L16" s="13">
        <f>IFERROR('QTR BS'!L17/'QTR P&amp;L'!O2,"")</f>
        <v/>
      </c>
      <c r="M16" s="13">
        <f>IFERROR('QTR BS'!M17/'QTR P&amp;L'!P2,"")</f>
        <v/>
      </c>
      <c r="N16" s="13">
        <f>IFERROR('QTR BS'!N17/'QTR P&amp;L'!Q2,"")</f>
        <v/>
      </c>
      <c r="O16" s="13">
        <f>IFERROR('QTR BS'!O17/'QTR P&amp;L'!R2,"")</f>
        <v/>
      </c>
      <c r="P16" s="13">
        <f>IFERROR('QTR BS'!P17/'QTR P&amp;L'!S2,"")</f>
        <v/>
      </c>
      <c r="Q16" s="13">
        <f>IFERROR('QTR BS'!Q17/'QTR P&amp;L'!T2,"")</f>
        <v/>
      </c>
      <c r="R16" s="13">
        <f>IFERROR('QTR BS'!R17/'QTR P&amp;L'!U2,"")</f>
        <v/>
      </c>
      <c r="S16" s="13">
        <f>IFERROR('QTR BS'!S17/'QTR P&amp;L'!V2,"")</f>
        <v/>
      </c>
      <c r="T16" s="13">
        <f>IFERROR('QTR BS'!T17/'QTR P&amp;L'!W2,"")</f>
        <v/>
      </c>
      <c r="U16" s="13">
        <f>IFERROR('QTR BS'!U17/'QTR P&amp;L'!X2,"")</f>
        <v/>
      </c>
      <c r="V16" s="13">
        <f>IFERROR('QTR BS'!V17/'QTR P&amp;L'!Y2,"")</f>
        <v/>
      </c>
      <c r="W16" s="13">
        <f>IFERROR('QTR BS'!W17/'QTR P&amp;L'!Z2,"")</f>
        <v/>
      </c>
      <c r="X16" s="13">
        <f>IFERROR('QTR BS'!X17/'QTR P&amp;L'!AA2,"")</f>
        <v/>
      </c>
      <c r="Y16" s="13">
        <f>IFERROR('QTR BS'!Y17/'QTR P&amp;L'!AB2,"")</f>
        <v/>
      </c>
      <c r="Z16" s="13">
        <f>IFERROR('QTR BS'!Z17/'QTR P&amp;L'!AC2,"")</f>
        <v/>
      </c>
      <c r="AA16" s="14">
        <f>Z16</f>
        <v/>
      </c>
      <c r="AB16" s="14">
        <f>AA16</f>
        <v/>
      </c>
      <c r="AC16" s="14">
        <f>AB16</f>
        <v/>
      </c>
      <c r="AD16" s="14">
        <f>AC16</f>
        <v/>
      </c>
      <c r="AE16" s="14">
        <f>AD16</f>
        <v/>
      </c>
      <c r="AF16" s="14">
        <f>AE16</f>
        <v/>
      </c>
      <c r="AG16" s="14">
        <f>AF16</f>
        <v/>
      </c>
      <c r="AH16" s="14">
        <f>AG16</f>
        <v/>
      </c>
      <c r="AI16" s="14">
        <f>AH16</f>
        <v/>
      </c>
      <c r="AJ16" s="14">
        <f>AI16</f>
        <v/>
      </c>
      <c r="AK16" s="14">
        <f>AJ16</f>
        <v/>
      </c>
      <c r="AL16" s="14">
        <f>AK16</f>
        <v/>
      </c>
      <c r="AM16" s="14">
        <f>AL16</f>
        <v/>
      </c>
      <c r="AN16" s="14">
        <f>AM16</f>
        <v/>
      </c>
      <c r="AO16" s="14">
        <f>AN16</f>
        <v/>
      </c>
      <c r="AP16" s="14">
        <f>AO16</f>
        <v/>
      </c>
      <c r="AQ16" s="14">
        <f>AP16</f>
        <v/>
      </c>
      <c r="AR16" s="14">
        <f>AQ16</f>
        <v/>
      </c>
      <c r="AS16" s="14">
        <f>AR16</f>
        <v/>
      </c>
      <c r="AT16" s="14">
        <f>AS16</f>
        <v/>
      </c>
    </row>
    <row r="17">
      <c r="A17" s="3" t="inlineStr">
        <is>
          <t>Accounts Payable — DPO (days)</t>
        </is>
      </c>
      <c r="B17" s="16">
        <f>IFERROR('QTR BS'!B19/'QTR P&amp;L'!E3*ASSUMPTIONS!$B$2,"")</f>
        <v/>
      </c>
      <c r="C17" s="16">
        <f>IFERROR('QTR BS'!C19/'QTR P&amp;L'!F3*ASSUMPTIONS!$B$2,"")</f>
        <v/>
      </c>
      <c r="D17" s="16">
        <f>IFERROR('QTR BS'!D19/'QTR P&amp;L'!G3*ASSUMPTIONS!$B$2,"")</f>
        <v/>
      </c>
      <c r="E17" s="16">
        <f>IFERROR('QTR BS'!E19/'QTR P&amp;L'!H3*ASSUMPTIONS!$B$2,"")</f>
        <v/>
      </c>
      <c r="F17" s="16">
        <f>IFERROR('QTR BS'!F19/'QTR P&amp;L'!I3*ASSUMPTIONS!$B$2,"")</f>
        <v/>
      </c>
      <c r="G17" s="16">
        <f>IFERROR('QTR BS'!G19/'QTR P&amp;L'!J3*ASSUMPTIONS!$B$2,"")</f>
        <v/>
      </c>
      <c r="H17" s="16">
        <f>IFERROR('QTR BS'!H19/'QTR P&amp;L'!K3*ASSUMPTIONS!$B$2,"")</f>
        <v/>
      </c>
      <c r="I17" s="16">
        <f>IFERROR('QTR BS'!I19/'QTR P&amp;L'!L3*ASSUMPTIONS!$B$2,"")</f>
        <v/>
      </c>
      <c r="J17" s="16">
        <f>IFERROR('QTR BS'!J19/'QTR P&amp;L'!M3*ASSUMPTIONS!$B$2,"")</f>
        <v/>
      </c>
      <c r="K17" s="16">
        <f>IFERROR('QTR BS'!K19/'QTR P&amp;L'!N3*ASSUMPTIONS!$B$2,"")</f>
        <v/>
      </c>
      <c r="L17" s="16">
        <f>IFERROR('QTR BS'!L19/'QTR P&amp;L'!O3*ASSUMPTIONS!$B$2,"")</f>
        <v/>
      </c>
      <c r="M17" s="16">
        <f>IFERROR('QTR BS'!M19/'QTR P&amp;L'!P3*ASSUMPTIONS!$B$2,"")</f>
        <v/>
      </c>
      <c r="N17" s="16">
        <f>IFERROR('QTR BS'!N19/'QTR P&amp;L'!Q3*ASSUMPTIONS!$B$2,"")</f>
        <v/>
      </c>
      <c r="O17" s="16">
        <f>IFERROR('QTR BS'!O19/'QTR P&amp;L'!R3*ASSUMPTIONS!$B$2,"")</f>
        <v/>
      </c>
      <c r="P17" s="16">
        <f>IFERROR('QTR BS'!P19/'QTR P&amp;L'!S3*ASSUMPTIONS!$B$2,"")</f>
        <v/>
      </c>
      <c r="Q17" s="16">
        <f>IFERROR('QTR BS'!Q19/'QTR P&amp;L'!T3*ASSUMPTIONS!$B$2,"")</f>
        <v/>
      </c>
      <c r="R17" s="16">
        <f>IFERROR('QTR BS'!R19/'QTR P&amp;L'!U3*ASSUMPTIONS!$B$2,"")</f>
        <v/>
      </c>
      <c r="S17" s="16">
        <f>IFERROR('QTR BS'!S19/'QTR P&amp;L'!V3*ASSUMPTIONS!$B$2,"")</f>
        <v/>
      </c>
      <c r="T17" s="16">
        <f>IFERROR('QTR BS'!T19/'QTR P&amp;L'!W3*ASSUMPTIONS!$B$2,"")</f>
        <v/>
      </c>
      <c r="U17" s="16">
        <f>IFERROR('QTR BS'!U19/'QTR P&amp;L'!X3*ASSUMPTIONS!$B$2,"")</f>
        <v/>
      </c>
      <c r="V17" s="16">
        <f>IFERROR('QTR BS'!V19/'QTR P&amp;L'!Y3*ASSUMPTIONS!$B$2,"")</f>
        <v/>
      </c>
      <c r="W17" s="16">
        <f>IFERROR('QTR BS'!W19/'QTR P&amp;L'!Z3*ASSUMPTIONS!$B$2,"")</f>
        <v/>
      </c>
      <c r="X17" s="16">
        <f>IFERROR('QTR BS'!X19/'QTR P&amp;L'!AA3*ASSUMPTIONS!$B$2,"")</f>
        <v/>
      </c>
      <c r="Y17" s="16">
        <f>IFERROR('QTR BS'!Y19/'QTR P&amp;L'!AB3*ASSUMPTIONS!$B$2,"")</f>
        <v/>
      </c>
      <c r="Z17" s="16">
        <f>IFERROR('QTR BS'!Z19/'QTR P&amp;L'!AC3*ASSUMPTIONS!$B$2,"")</f>
        <v/>
      </c>
      <c r="AA17" s="17">
        <f>Z17</f>
        <v/>
      </c>
      <c r="AB17" s="17">
        <f>AA17</f>
        <v/>
      </c>
      <c r="AC17" s="17">
        <f>AB17</f>
        <v/>
      </c>
      <c r="AD17" s="17">
        <f>AC17</f>
        <v/>
      </c>
      <c r="AE17" s="17">
        <f>AD17</f>
        <v/>
      </c>
      <c r="AF17" s="17">
        <f>AE17</f>
        <v/>
      </c>
      <c r="AG17" s="17">
        <f>AF17</f>
        <v/>
      </c>
      <c r="AH17" s="17">
        <f>AG17</f>
        <v/>
      </c>
      <c r="AI17" s="17">
        <f>AH17</f>
        <v/>
      </c>
      <c r="AJ17" s="17">
        <f>AI17</f>
        <v/>
      </c>
      <c r="AK17" s="17">
        <f>AJ17</f>
        <v/>
      </c>
      <c r="AL17" s="17">
        <f>AK17</f>
        <v/>
      </c>
      <c r="AM17" s="17">
        <f>AL17</f>
        <v/>
      </c>
      <c r="AN17" s="17">
        <f>AM17</f>
        <v/>
      </c>
      <c r="AO17" s="17">
        <f>AN17</f>
        <v/>
      </c>
      <c r="AP17" s="17">
        <f>AO17</f>
        <v/>
      </c>
      <c r="AQ17" s="17">
        <f>AP17</f>
        <v/>
      </c>
      <c r="AR17" s="17">
        <f>AQ17</f>
        <v/>
      </c>
      <c r="AS17" s="17">
        <f>AR17</f>
        <v/>
      </c>
      <c r="AT17" s="17">
        <f>AS17</f>
        <v/>
      </c>
    </row>
    <row r="18">
      <c r="A18" s="3" t="inlineStr">
        <is>
          <t>Accrued Expenses — % of Revenue</t>
        </is>
      </c>
      <c r="B18" s="13">
        <f>IFERROR('QTR BS'!B20/'QTR P&amp;L'!E2,"")</f>
        <v/>
      </c>
      <c r="C18" s="13">
        <f>IFERROR('QTR BS'!C20/'QTR P&amp;L'!F2,"")</f>
        <v/>
      </c>
      <c r="D18" s="13">
        <f>IFERROR('QTR BS'!D20/'QTR P&amp;L'!G2,"")</f>
        <v/>
      </c>
      <c r="E18" s="13">
        <f>IFERROR('QTR BS'!E20/'QTR P&amp;L'!H2,"")</f>
        <v/>
      </c>
      <c r="F18" s="13">
        <f>IFERROR('QTR BS'!F20/'QTR P&amp;L'!I2,"")</f>
        <v/>
      </c>
      <c r="G18" s="13">
        <f>IFERROR('QTR BS'!G20/'QTR P&amp;L'!J2,"")</f>
        <v/>
      </c>
      <c r="H18" s="13">
        <f>IFERROR('QTR BS'!H20/'QTR P&amp;L'!K2,"")</f>
        <v/>
      </c>
      <c r="I18" s="13">
        <f>IFERROR('QTR BS'!I20/'QTR P&amp;L'!L2,"")</f>
        <v/>
      </c>
      <c r="J18" s="13">
        <f>IFERROR('QTR BS'!J20/'QTR P&amp;L'!M2,"")</f>
        <v/>
      </c>
      <c r="K18" s="13">
        <f>IFERROR('QTR BS'!K20/'QTR P&amp;L'!N2,"")</f>
        <v/>
      </c>
      <c r="L18" s="13">
        <f>IFERROR('QTR BS'!L20/'QTR P&amp;L'!O2,"")</f>
        <v/>
      </c>
      <c r="M18" s="13">
        <f>IFERROR('QTR BS'!M20/'QTR P&amp;L'!P2,"")</f>
        <v/>
      </c>
      <c r="N18" s="13">
        <f>IFERROR('QTR BS'!N20/'QTR P&amp;L'!Q2,"")</f>
        <v/>
      </c>
      <c r="O18" s="13">
        <f>IFERROR('QTR BS'!O20/'QTR P&amp;L'!R2,"")</f>
        <v/>
      </c>
      <c r="P18" s="13">
        <f>IFERROR('QTR BS'!P20/'QTR P&amp;L'!S2,"")</f>
        <v/>
      </c>
      <c r="Q18" s="13">
        <f>IFERROR('QTR BS'!Q20/'QTR P&amp;L'!T2,"")</f>
        <v/>
      </c>
      <c r="R18" s="13">
        <f>IFERROR('QTR BS'!R20/'QTR P&amp;L'!U2,"")</f>
        <v/>
      </c>
      <c r="S18" s="13">
        <f>IFERROR('QTR BS'!S20/'QTR P&amp;L'!V2,"")</f>
        <v/>
      </c>
      <c r="T18" s="13">
        <f>IFERROR('QTR BS'!T20/'QTR P&amp;L'!W2,"")</f>
        <v/>
      </c>
      <c r="U18" s="13">
        <f>IFERROR('QTR BS'!U20/'QTR P&amp;L'!X2,"")</f>
        <v/>
      </c>
      <c r="V18" s="13">
        <f>IFERROR('QTR BS'!V20/'QTR P&amp;L'!Y2,"")</f>
        <v/>
      </c>
      <c r="W18" s="13">
        <f>IFERROR('QTR BS'!W20/'QTR P&amp;L'!Z2,"")</f>
        <v/>
      </c>
      <c r="X18" s="13">
        <f>IFERROR('QTR BS'!X20/'QTR P&amp;L'!AA2,"")</f>
        <v/>
      </c>
      <c r="Y18" s="13">
        <f>IFERROR('QTR BS'!Y20/'QTR P&amp;L'!AB2,"")</f>
        <v/>
      </c>
      <c r="Z18" s="13">
        <f>IFERROR('QTR BS'!Z20/'QTR P&amp;L'!AC2,"")</f>
        <v/>
      </c>
      <c r="AA18" s="14">
        <f>Z18</f>
        <v/>
      </c>
      <c r="AB18" s="14">
        <f>AA18</f>
        <v/>
      </c>
      <c r="AC18" s="14">
        <f>AB18</f>
        <v/>
      </c>
      <c r="AD18" s="14">
        <f>AC18</f>
        <v/>
      </c>
      <c r="AE18" s="14">
        <f>AD18</f>
        <v/>
      </c>
      <c r="AF18" s="14">
        <f>AE18</f>
        <v/>
      </c>
      <c r="AG18" s="14">
        <f>AF18</f>
        <v/>
      </c>
      <c r="AH18" s="14">
        <f>AG18</f>
        <v/>
      </c>
      <c r="AI18" s="14">
        <f>AH18</f>
        <v/>
      </c>
      <c r="AJ18" s="14">
        <f>AI18</f>
        <v/>
      </c>
      <c r="AK18" s="14">
        <f>AJ18</f>
        <v/>
      </c>
      <c r="AL18" s="14">
        <f>AK18</f>
        <v/>
      </c>
      <c r="AM18" s="14">
        <f>AL18</f>
        <v/>
      </c>
      <c r="AN18" s="14">
        <f>AM18</f>
        <v/>
      </c>
      <c r="AO18" s="14">
        <f>AN18</f>
        <v/>
      </c>
      <c r="AP18" s="14">
        <f>AO18</f>
        <v/>
      </c>
      <c r="AQ18" s="14">
        <f>AP18</f>
        <v/>
      </c>
      <c r="AR18" s="14">
        <f>AQ18</f>
        <v/>
      </c>
      <c r="AS18" s="14">
        <f>AR18</f>
        <v/>
      </c>
      <c r="AT18" s="14">
        <f>AS18</f>
        <v/>
      </c>
    </row>
    <row r="19">
      <c r="A19" s="3" t="inlineStr">
        <is>
          <t>Income Taxes Payable — % of Revenue</t>
        </is>
      </c>
      <c r="B19" s="13">
        <f>IFERROR('QTR BS'!B21/'QTR P&amp;L'!E2,"")</f>
        <v/>
      </c>
      <c r="C19" s="13">
        <f>IFERROR('QTR BS'!C21/'QTR P&amp;L'!F2,"")</f>
        <v/>
      </c>
      <c r="D19" s="13">
        <f>IFERROR('QTR BS'!D21/'QTR P&amp;L'!G2,"")</f>
        <v/>
      </c>
      <c r="E19" s="13">
        <f>IFERROR('QTR BS'!E21/'QTR P&amp;L'!H2,"")</f>
        <v/>
      </c>
      <c r="F19" s="13">
        <f>IFERROR('QTR BS'!F21/'QTR P&amp;L'!I2,"")</f>
        <v/>
      </c>
      <c r="G19" s="13">
        <f>IFERROR('QTR BS'!G21/'QTR P&amp;L'!J2,"")</f>
        <v/>
      </c>
      <c r="H19" s="13">
        <f>IFERROR('QTR BS'!H21/'QTR P&amp;L'!K2,"")</f>
        <v/>
      </c>
      <c r="I19" s="13">
        <f>IFERROR('QTR BS'!I21/'QTR P&amp;L'!L2,"")</f>
        <v/>
      </c>
      <c r="J19" s="13">
        <f>IFERROR('QTR BS'!J21/'QTR P&amp;L'!M2,"")</f>
        <v/>
      </c>
      <c r="K19" s="13">
        <f>IFERROR('QTR BS'!K21/'QTR P&amp;L'!N2,"")</f>
        <v/>
      </c>
      <c r="L19" s="13">
        <f>IFERROR('QTR BS'!L21/'QTR P&amp;L'!O2,"")</f>
        <v/>
      </c>
      <c r="M19" s="13">
        <f>IFERROR('QTR BS'!M21/'QTR P&amp;L'!P2,"")</f>
        <v/>
      </c>
      <c r="N19" s="13">
        <f>IFERROR('QTR BS'!N21/'QTR P&amp;L'!Q2,"")</f>
        <v/>
      </c>
      <c r="O19" s="13">
        <f>IFERROR('QTR BS'!O21/'QTR P&amp;L'!R2,"")</f>
        <v/>
      </c>
      <c r="P19" s="13">
        <f>IFERROR('QTR BS'!P21/'QTR P&amp;L'!S2,"")</f>
        <v/>
      </c>
      <c r="Q19" s="13">
        <f>IFERROR('QTR BS'!Q21/'QTR P&amp;L'!T2,"")</f>
        <v/>
      </c>
      <c r="R19" s="13">
        <f>IFERROR('QTR BS'!R21/'QTR P&amp;L'!U2,"")</f>
        <v/>
      </c>
      <c r="S19" s="13">
        <f>IFERROR('QTR BS'!S21/'QTR P&amp;L'!V2,"")</f>
        <v/>
      </c>
      <c r="T19" s="13">
        <f>IFERROR('QTR BS'!T21/'QTR P&amp;L'!W2,"")</f>
        <v/>
      </c>
      <c r="U19" s="13">
        <f>IFERROR('QTR BS'!U21/'QTR P&amp;L'!X2,"")</f>
        <v/>
      </c>
      <c r="V19" s="13">
        <f>IFERROR('QTR BS'!V21/'QTR P&amp;L'!Y2,"")</f>
        <v/>
      </c>
      <c r="W19" s="13">
        <f>IFERROR('QTR BS'!W21/'QTR P&amp;L'!Z2,"")</f>
        <v/>
      </c>
      <c r="X19" s="13">
        <f>IFERROR('QTR BS'!X21/'QTR P&amp;L'!AA2,"")</f>
        <v/>
      </c>
      <c r="Y19" s="13">
        <f>IFERROR('QTR BS'!Y21/'QTR P&amp;L'!AB2,"")</f>
        <v/>
      </c>
      <c r="Z19" s="13">
        <f>IFERROR('QTR BS'!Z21/'QTR P&amp;L'!AC2,"")</f>
        <v/>
      </c>
      <c r="AA19" s="14">
        <f>Z19</f>
        <v/>
      </c>
      <c r="AB19" s="14">
        <f>AA19</f>
        <v/>
      </c>
      <c r="AC19" s="14">
        <f>AB19</f>
        <v/>
      </c>
      <c r="AD19" s="14">
        <f>AC19</f>
        <v/>
      </c>
      <c r="AE19" s="14">
        <f>AD19</f>
        <v/>
      </c>
      <c r="AF19" s="14">
        <f>AE19</f>
        <v/>
      </c>
      <c r="AG19" s="14">
        <f>AF19</f>
        <v/>
      </c>
      <c r="AH19" s="14">
        <f>AG19</f>
        <v/>
      </c>
      <c r="AI19" s="14">
        <f>AH19</f>
        <v/>
      </c>
      <c r="AJ19" s="14">
        <f>AI19</f>
        <v/>
      </c>
      <c r="AK19" s="14">
        <f>AJ19</f>
        <v/>
      </c>
      <c r="AL19" s="14">
        <f>AK19</f>
        <v/>
      </c>
      <c r="AM19" s="14">
        <f>AL19</f>
        <v/>
      </c>
      <c r="AN19" s="14">
        <f>AM19</f>
        <v/>
      </c>
      <c r="AO19" s="14">
        <f>AN19</f>
        <v/>
      </c>
      <c r="AP19" s="14">
        <f>AO19</f>
        <v/>
      </c>
      <c r="AQ19" s="14">
        <f>AP19</f>
        <v/>
      </c>
      <c r="AR19" s="14">
        <f>AQ19</f>
        <v/>
      </c>
      <c r="AS19" s="14">
        <f>AR19</f>
        <v/>
      </c>
      <c r="AT19" s="14">
        <f>AS19</f>
        <v/>
      </c>
    </row>
    <row r="20">
      <c r="A20" s="3" t="inlineStr">
        <is>
          <t>Accrued Distributor Termination Fees</t>
        </is>
      </c>
      <c r="B20" s="4">
        <f>'QTR BS'!B22</f>
        <v/>
      </c>
      <c r="C20" s="4">
        <f>'QTR BS'!C22</f>
        <v/>
      </c>
      <c r="D20" s="4">
        <f>'QTR BS'!D22</f>
        <v/>
      </c>
      <c r="E20" s="4">
        <f>'QTR BS'!E22</f>
        <v/>
      </c>
      <c r="F20" s="4">
        <f>'QTR BS'!F22</f>
        <v/>
      </c>
      <c r="G20" s="4">
        <f>'QTR BS'!G22</f>
        <v/>
      </c>
      <c r="H20" s="4">
        <f>'QTR BS'!H22</f>
        <v/>
      </c>
      <c r="I20" s="4">
        <f>'QTR BS'!I22</f>
        <v/>
      </c>
      <c r="J20" s="4">
        <f>'QTR BS'!J22</f>
        <v/>
      </c>
      <c r="K20" s="4">
        <f>'QTR BS'!K22</f>
        <v/>
      </c>
      <c r="L20" s="4">
        <f>'QTR BS'!L22</f>
        <v/>
      </c>
      <c r="M20" s="4">
        <f>'QTR BS'!M22</f>
        <v/>
      </c>
      <c r="N20" s="4">
        <f>'QTR BS'!N22</f>
        <v/>
      </c>
      <c r="O20" s="4">
        <f>'QTR BS'!O22</f>
        <v/>
      </c>
      <c r="P20" s="4">
        <f>'QTR BS'!P22</f>
        <v/>
      </c>
      <c r="Q20" s="4">
        <f>'QTR BS'!Q22</f>
        <v/>
      </c>
      <c r="R20" s="4">
        <f>'QTR BS'!R22</f>
        <v/>
      </c>
      <c r="S20" s="4">
        <f>'QTR BS'!S22</f>
        <v/>
      </c>
      <c r="T20" s="4">
        <f>'QTR BS'!T22</f>
        <v/>
      </c>
      <c r="U20" s="4">
        <f>'QTR BS'!U22</f>
        <v/>
      </c>
      <c r="V20" s="4">
        <f>'QTR BS'!V22</f>
        <v/>
      </c>
      <c r="W20" s="4">
        <f>'QTR BS'!W22</f>
        <v/>
      </c>
      <c r="X20" s="4">
        <f>'QTR BS'!X22</f>
        <v/>
      </c>
      <c r="Y20" s="4">
        <f>'QTR BS'!Y22</f>
        <v/>
      </c>
      <c r="Z20" s="4">
        <f>'QTR BS'!Z22</f>
        <v/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0</v>
      </c>
    </row>
    <row r="21">
      <c r="A21" s="3" t="inlineStr">
        <is>
          <t>Accrued Promotional Allowance — % of Revenue</t>
        </is>
      </c>
      <c r="B21" s="13">
        <f>IFERROR('QTR BS'!B23/'QTR P&amp;L'!E2,"")</f>
        <v/>
      </c>
      <c r="C21" s="13">
        <f>IFERROR('QTR BS'!C23/'QTR P&amp;L'!F2,"")</f>
        <v/>
      </c>
      <c r="D21" s="13">
        <f>IFERROR('QTR BS'!D23/'QTR P&amp;L'!G2,"")</f>
        <v/>
      </c>
      <c r="E21" s="13">
        <f>IFERROR('QTR BS'!E23/'QTR P&amp;L'!H2,"")</f>
        <v/>
      </c>
      <c r="F21" s="13">
        <f>IFERROR('QTR BS'!F23/'QTR P&amp;L'!I2,"")</f>
        <v/>
      </c>
      <c r="G21" s="13">
        <f>IFERROR('QTR BS'!G23/'QTR P&amp;L'!J2,"")</f>
        <v/>
      </c>
      <c r="H21" s="13">
        <f>IFERROR('QTR BS'!H23/'QTR P&amp;L'!K2,"")</f>
        <v/>
      </c>
      <c r="I21" s="13">
        <f>IFERROR('QTR BS'!I23/'QTR P&amp;L'!L2,"")</f>
        <v/>
      </c>
      <c r="J21" s="13">
        <f>IFERROR('QTR BS'!J23/'QTR P&amp;L'!M2,"")</f>
        <v/>
      </c>
      <c r="K21" s="13">
        <f>IFERROR('QTR BS'!K23/'QTR P&amp;L'!N2,"")</f>
        <v/>
      </c>
      <c r="L21" s="13">
        <f>IFERROR('QTR BS'!L23/'QTR P&amp;L'!O2,"")</f>
        <v/>
      </c>
      <c r="M21" s="13">
        <f>IFERROR('QTR BS'!M23/'QTR P&amp;L'!P2,"")</f>
        <v/>
      </c>
      <c r="N21" s="13">
        <f>IFERROR('QTR BS'!N23/'QTR P&amp;L'!Q2,"")</f>
        <v/>
      </c>
      <c r="O21" s="13">
        <f>IFERROR('QTR BS'!O23/'QTR P&amp;L'!R2,"")</f>
        <v/>
      </c>
      <c r="P21" s="13">
        <f>IFERROR('QTR BS'!P23/'QTR P&amp;L'!S2,"")</f>
        <v/>
      </c>
      <c r="Q21" s="13">
        <f>IFERROR('QTR BS'!Q23/'QTR P&amp;L'!T2,"")</f>
        <v/>
      </c>
      <c r="R21" s="13">
        <f>IFERROR('QTR BS'!R23/'QTR P&amp;L'!U2,"")</f>
        <v/>
      </c>
      <c r="S21" s="13">
        <f>IFERROR('QTR BS'!S23/'QTR P&amp;L'!V2,"")</f>
        <v/>
      </c>
      <c r="T21" s="13">
        <f>IFERROR('QTR BS'!T23/'QTR P&amp;L'!W2,"")</f>
        <v/>
      </c>
      <c r="U21" s="13">
        <f>IFERROR('QTR BS'!U23/'QTR P&amp;L'!X2,"")</f>
        <v/>
      </c>
      <c r="V21" s="13">
        <f>IFERROR('QTR BS'!V23/'QTR P&amp;L'!Y2,"")</f>
        <v/>
      </c>
      <c r="W21" s="13">
        <f>IFERROR('QTR BS'!W23/'QTR P&amp;L'!Z2,"")</f>
        <v/>
      </c>
      <c r="X21" s="13">
        <f>IFERROR('QTR BS'!X23/'QTR P&amp;L'!AA2,"")</f>
        <v/>
      </c>
      <c r="Y21" s="13">
        <f>IFERROR('QTR BS'!Y23/'QTR P&amp;L'!AB2,"")</f>
        <v/>
      </c>
      <c r="Z21" s="13">
        <f>IFERROR('QTR BS'!Z23/'QTR P&amp;L'!AC2,"")</f>
        <v/>
      </c>
      <c r="AA21" s="14">
        <f>Z21</f>
        <v/>
      </c>
      <c r="AB21" s="14">
        <f>AA21</f>
        <v/>
      </c>
      <c r="AC21" s="14">
        <f>AB21</f>
        <v/>
      </c>
      <c r="AD21" s="14">
        <f>AC21</f>
        <v/>
      </c>
      <c r="AE21" s="14">
        <f>AD21</f>
        <v/>
      </c>
      <c r="AF21" s="14">
        <f>AE21</f>
        <v/>
      </c>
      <c r="AG21" s="14">
        <f>AF21</f>
        <v/>
      </c>
      <c r="AH21" s="14">
        <f>AG21</f>
        <v/>
      </c>
      <c r="AI21" s="14">
        <f>AH21</f>
        <v/>
      </c>
      <c r="AJ21" s="14">
        <f>AI21</f>
        <v/>
      </c>
      <c r="AK21" s="14">
        <f>AJ21</f>
        <v/>
      </c>
      <c r="AL21" s="14">
        <f>AK21</f>
        <v/>
      </c>
      <c r="AM21" s="14">
        <f>AL21</f>
        <v/>
      </c>
      <c r="AN21" s="14">
        <f>AM21</f>
        <v/>
      </c>
      <c r="AO21" s="14">
        <f>AN21</f>
        <v/>
      </c>
      <c r="AP21" s="14">
        <f>AO21</f>
        <v/>
      </c>
      <c r="AQ21" s="14">
        <f>AP21</f>
        <v/>
      </c>
      <c r="AR21" s="14">
        <f>AQ21</f>
        <v/>
      </c>
      <c r="AS21" s="14">
        <f>AR21</f>
        <v/>
      </c>
      <c r="AT21" s="14">
        <f>AS21</f>
        <v/>
      </c>
    </row>
    <row r="22">
      <c r="A22" s="3" t="inlineStr">
        <is>
          <t>Lease Liability - Operating - Current — % of Revenue</t>
        </is>
      </c>
      <c r="B22" s="13">
        <f>IFERROR('QTR BS'!B24/'QTR P&amp;L'!E2,"")</f>
        <v/>
      </c>
      <c r="C22" s="13">
        <f>IFERROR('QTR BS'!C24/'QTR P&amp;L'!F2,"")</f>
        <v/>
      </c>
      <c r="D22" s="13">
        <f>IFERROR('QTR BS'!D24/'QTR P&amp;L'!G2,"")</f>
        <v/>
      </c>
      <c r="E22" s="13">
        <f>IFERROR('QTR BS'!E24/'QTR P&amp;L'!H2,"")</f>
        <v/>
      </c>
      <c r="F22" s="13">
        <f>IFERROR('QTR BS'!F24/'QTR P&amp;L'!I2,"")</f>
        <v/>
      </c>
      <c r="G22" s="13">
        <f>IFERROR('QTR BS'!G24/'QTR P&amp;L'!J2,"")</f>
        <v/>
      </c>
      <c r="H22" s="13">
        <f>IFERROR('QTR BS'!H24/'QTR P&amp;L'!K2,"")</f>
        <v/>
      </c>
      <c r="I22" s="13">
        <f>IFERROR('QTR BS'!I24/'QTR P&amp;L'!L2,"")</f>
        <v/>
      </c>
      <c r="J22" s="13">
        <f>IFERROR('QTR BS'!J24/'QTR P&amp;L'!M2,"")</f>
        <v/>
      </c>
      <c r="K22" s="13">
        <f>IFERROR('QTR BS'!K24/'QTR P&amp;L'!N2,"")</f>
        <v/>
      </c>
      <c r="L22" s="13">
        <f>IFERROR('QTR BS'!L24/'QTR P&amp;L'!O2,"")</f>
        <v/>
      </c>
      <c r="M22" s="13">
        <f>IFERROR('QTR BS'!M24/'QTR P&amp;L'!P2,"")</f>
        <v/>
      </c>
      <c r="N22" s="13">
        <f>IFERROR('QTR BS'!N24/'QTR P&amp;L'!Q2,"")</f>
        <v/>
      </c>
      <c r="O22" s="13">
        <f>IFERROR('QTR BS'!O24/'QTR P&amp;L'!R2,"")</f>
        <v/>
      </c>
      <c r="P22" s="13">
        <f>IFERROR('QTR BS'!P24/'QTR P&amp;L'!S2,"")</f>
        <v/>
      </c>
      <c r="Q22" s="13">
        <f>IFERROR('QTR BS'!Q24/'QTR P&amp;L'!T2,"")</f>
        <v/>
      </c>
      <c r="R22" s="13">
        <f>IFERROR('QTR BS'!R24/'QTR P&amp;L'!U2,"")</f>
        <v/>
      </c>
      <c r="S22" s="13">
        <f>IFERROR('QTR BS'!S24/'QTR P&amp;L'!V2,"")</f>
        <v/>
      </c>
      <c r="T22" s="13">
        <f>IFERROR('QTR BS'!T24/'QTR P&amp;L'!W2,"")</f>
        <v/>
      </c>
      <c r="U22" s="13">
        <f>IFERROR('QTR BS'!U24/'QTR P&amp;L'!X2,"")</f>
        <v/>
      </c>
      <c r="V22" s="13">
        <f>IFERROR('QTR BS'!V24/'QTR P&amp;L'!Y2,"")</f>
        <v/>
      </c>
      <c r="W22" s="13">
        <f>IFERROR('QTR BS'!W24/'QTR P&amp;L'!Z2,"")</f>
        <v/>
      </c>
      <c r="X22" s="13">
        <f>IFERROR('QTR BS'!X24/'QTR P&amp;L'!AA2,"")</f>
        <v/>
      </c>
      <c r="Y22" s="13">
        <f>IFERROR('QTR BS'!Y24/'QTR P&amp;L'!AB2,"")</f>
        <v/>
      </c>
      <c r="Z22" s="13">
        <f>IFERROR('QTR BS'!Z24/'QTR P&amp;L'!AC2,"")</f>
        <v/>
      </c>
      <c r="AA22" s="14">
        <f>Z22</f>
        <v/>
      </c>
      <c r="AB22" s="14">
        <f>AA22</f>
        <v/>
      </c>
      <c r="AC22" s="14">
        <f>AB22</f>
        <v/>
      </c>
      <c r="AD22" s="14">
        <f>AC22</f>
        <v/>
      </c>
      <c r="AE22" s="14">
        <f>AD22</f>
        <v/>
      </c>
      <c r="AF22" s="14">
        <f>AE22</f>
        <v/>
      </c>
      <c r="AG22" s="14">
        <f>AF22</f>
        <v/>
      </c>
      <c r="AH22" s="14">
        <f>AG22</f>
        <v/>
      </c>
      <c r="AI22" s="14">
        <f>AH22</f>
        <v/>
      </c>
      <c r="AJ22" s="14">
        <f>AI22</f>
        <v/>
      </c>
      <c r="AK22" s="14">
        <f>AJ22</f>
        <v/>
      </c>
      <c r="AL22" s="14">
        <f>AK22</f>
        <v/>
      </c>
      <c r="AM22" s="14">
        <f>AL22</f>
        <v/>
      </c>
      <c r="AN22" s="14">
        <f>AM22</f>
        <v/>
      </c>
      <c r="AO22" s="14">
        <f>AN22</f>
        <v/>
      </c>
      <c r="AP22" s="14">
        <f>AO22</f>
        <v/>
      </c>
      <c r="AQ22" s="14">
        <f>AP22</f>
        <v/>
      </c>
      <c r="AR22" s="14">
        <f>AQ22</f>
        <v/>
      </c>
      <c r="AS22" s="14">
        <f>AR22</f>
        <v/>
      </c>
      <c r="AT22" s="14">
        <f>AS22</f>
        <v/>
      </c>
    </row>
    <row r="23">
      <c r="A23" s="3" t="inlineStr">
        <is>
          <t>Bonds Payable, Net</t>
        </is>
      </c>
      <c r="B23" s="4">
        <f>'QTR BS'!B25</f>
        <v/>
      </c>
      <c r="C23" s="4">
        <f>'QTR BS'!C25</f>
        <v/>
      </c>
      <c r="D23" s="4">
        <f>'QTR BS'!D25</f>
        <v/>
      </c>
      <c r="E23" s="4">
        <f>'QTR BS'!E25</f>
        <v/>
      </c>
      <c r="F23" s="4">
        <f>'QTR BS'!F25</f>
        <v/>
      </c>
      <c r="G23" s="4">
        <f>'QTR BS'!G25</f>
        <v/>
      </c>
      <c r="H23" s="4">
        <f>'QTR BS'!H25</f>
        <v/>
      </c>
      <c r="I23" s="4">
        <f>'QTR BS'!I25</f>
        <v/>
      </c>
      <c r="J23" s="4">
        <f>'QTR BS'!J25</f>
        <v/>
      </c>
      <c r="K23" s="4">
        <f>'QTR BS'!K25</f>
        <v/>
      </c>
      <c r="L23" s="4">
        <f>'QTR BS'!L25</f>
        <v/>
      </c>
      <c r="M23" s="4">
        <f>'QTR BS'!M25</f>
        <v/>
      </c>
      <c r="N23" s="4">
        <f>'QTR BS'!N25</f>
        <v/>
      </c>
      <c r="O23" s="4">
        <f>'QTR BS'!O25</f>
        <v/>
      </c>
      <c r="P23" s="4">
        <f>'QTR BS'!P25</f>
        <v/>
      </c>
      <c r="Q23" s="4">
        <f>'QTR BS'!Q25</f>
        <v/>
      </c>
      <c r="R23" s="4">
        <f>'QTR BS'!R25</f>
        <v/>
      </c>
      <c r="S23" s="4">
        <f>'QTR BS'!S25</f>
        <v/>
      </c>
      <c r="T23" s="4">
        <f>'QTR BS'!T25</f>
        <v/>
      </c>
      <c r="U23" s="4">
        <f>'QTR BS'!U25</f>
        <v/>
      </c>
      <c r="V23" s="4">
        <f>'QTR BS'!V25</f>
        <v/>
      </c>
      <c r="W23" s="4">
        <f>'QTR BS'!W25</f>
        <v/>
      </c>
      <c r="X23" s="4">
        <f>'QTR BS'!X25</f>
        <v/>
      </c>
      <c r="Y23" s="4">
        <f>'QTR BS'!Y25</f>
        <v/>
      </c>
      <c r="Z23" s="4">
        <f>'QTR BS'!Z25</f>
        <v/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  <c r="AP23" s="15" t="n">
        <v>0</v>
      </c>
      <c r="AQ23" s="15" t="n">
        <v>0</v>
      </c>
      <c r="AR23" s="15" t="n">
        <v>0</v>
      </c>
      <c r="AS23" s="15" t="n">
        <v>0</v>
      </c>
      <c r="AT23" s="15" t="n">
        <v>0</v>
      </c>
    </row>
    <row r="24">
      <c r="A24" s="3" t="inlineStr">
        <is>
          <t>Lease Liability - Finance - Current — % of Revenue</t>
        </is>
      </c>
      <c r="B24" s="13">
        <f>IFERROR('QTR BS'!B26/'QTR P&amp;L'!E2,"")</f>
        <v/>
      </c>
      <c r="C24" s="13">
        <f>IFERROR('QTR BS'!C26/'QTR P&amp;L'!F2,"")</f>
        <v/>
      </c>
      <c r="D24" s="13">
        <f>IFERROR('QTR BS'!D26/'QTR P&amp;L'!G2,"")</f>
        <v/>
      </c>
      <c r="E24" s="13">
        <f>IFERROR('QTR BS'!E26/'QTR P&amp;L'!H2,"")</f>
        <v/>
      </c>
      <c r="F24" s="13">
        <f>IFERROR('QTR BS'!F26/'QTR P&amp;L'!I2,"")</f>
        <v/>
      </c>
      <c r="G24" s="13">
        <f>IFERROR('QTR BS'!G26/'QTR P&amp;L'!J2,"")</f>
        <v/>
      </c>
      <c r="H24" s="13">
        <f>IFERROR('QTR BS'!H26/'QTR P&amp;L'!K2,"")</f>
        <v/>
      </c>
      <c r="I24" s="13">
        <f>IFERROR('QTR BS'!I26/'QTR P&amp;L'!L2,"")</f>
        <v/>
      </c>
      <c r="J24" s="13">
        <f>IFERROR('QTR BS'!J26/'QTR P&amp;L'!M2,"")</f>
        <v/>
      </c>
      <c r="K24" s="13">
        <f>IFERROR('QTR BS'!K26/'QTR P&amp;L'!N2,"")</f>
        <v/>
      </c>
      <c r="L24" s="13">
        <f>IFERROR('QTR BS'!L26/'QTR P&amp;L'!O2,"")</f>
        <v/>
      </c>
      <c r="M24" s="13">
        <f>IFERROR('QTR BS'!M26/'QTR P&amp;L'!P2,"")</f>
        <v/>
      </c>
      <c r="N24" s="13">
        <f>IFERROR('QTR BS'!N26/'QTR P&amp;L'!Q2,"")</f>
        <v/>
      </c>
      <c r="O24" s="13">
        <f>IFERROR('QTR BS'!O26/'QTR P&amp;L'!R2,"")</f>
        <v/>
      </c>
      <c r="P24" s="13">
        <f>IFERROR('QTR BS'!P26/'QTR P&amp;L'!S2,"")</f>
        <v/>
      </c>
      <c r="Q24" s="13">
        <f>IFERROR('QTR BS'!Q26/'QTR P&amp;L'!T2,"")</f>
        <v/>
      </c>
      <c r="R24" s="13">
        <f>IFERROR('QTR BS'!R26/'QTR P&amp;L'!U2,"")</f>
        <v/>
      </c>
      <c r="S24" s="13">
        <f>IFERROR('QTR BS'!S26/'QTR P&amp;L'!V2,"")</f>
        <v/>
      </c>
      <c r="T24" s="13">
        <f>IFERROR('QTR BS'!T26/'QTR P&amp;L'!W2,"")</f>
        <v/>
      </c>
      <c r="U24" s="13">
        <f>IFERROR('QTR BS'!U26/'QTR P&amp;L'!X2,"")</f>
        <v/>
      </c>
      <c r="V24" s="13">
        <f>IFERROR('QTR BS'!V26/'QTR P&amp;L'!Y2,"")</f>
        <v/>
      </c>
      <c r="W24" s="13">
        <f>IFERROR('QTR BS'!W26/'QTR P&amp;L'!Z2,"")</f>
        <v/>
      </c>
      <c r="X24" s="13">
        <f>IFERROR('QTR BS'!X26/'QTR P&amp;L'!AA2,"")</f>
        <v/>
      </c>
      <c r="Y24" s="13">
        <f>IFERROR('QTR BS'!Y26/'QTR P&amp;L'!AB2,"")</f>
        <v/>
      </c>
      <c r="Z24" s="13">
        <f>IFERROR('QTR BS'!Z26/'QTR P&amp;L'!AC2,"")</f>
        <v/>
      </c>
      <c r="AA24" s="14">
        <f>Z24</f>
        <v/>
      </c>
      <c r="AB24" s="14">
        <f>AA24</f>
        <v/>
      </c>
      <c r="AC24" s="14">
        <f>AB24</f>
        <v/>
      </c>
      <c r="AD24" s="14">
        <f>AC24</f>
        <v/>
      </c>
      <c r="AE24" s="14">
        <f>AD24</f>
        <v/>
      </c>
      <c r="AF24" s="14">
        <f>AE24</f>
        <v/>
      </c>
      <c r="AG24" s="14">
        <f>AF24</f>
        <v/>
      </c>
      <c r="AH24" s="14">
        <f>AG24</f>
        <v/>
      </c>
      <c r="AI24" s="14">
        <f>AH24</f>
        <v/>
      </c>
      <c r="AJ24" s="14">
        <f>AI24</f>
        <v/>
      </c>
      <c r="AK24" s="14">
        <f>AJ24</f>
        <v/>
      </c>
      <c r="AL24" s="14">
        <f>AK24</f>
        <v/>
      </c>
      <c r="AM24" s="14">
        <f>AL24</f>
        <v/>
      </c>
      <c r="AN24" s="14">
        <f>AM24</f>
        <v/>
      </c>
      <c r="AO24" s="14">
        <f>AN24</f>
        <v/>
      </c>
      <c r="AP24" s="14">
        <f>AO24</f>
        <v/>
      </c>
      <c r="AQ24" s="14">
        <f>AP24</f>
        <v/>
      </c>
      <c r="AR24" s="14">
        <f>AQ24</f>
        <v/>
      </c>
      <c r="AS24" s="14">
        <f>AR24</f>
        <v/>
      </c>
      <c r="AT24" s="14">
        <f>AS24</f>
        <v/>
      </c>
    </row>
    <row r="25">
      <c r="A25" s="3" t="inlineStr">
        <is>
          <t>Contingent Consideration - Current — % of Revenue</t>
        </is>
      </c>
      <c r="B25" s="13">
        <f>IFERROR('QTR BS'!B27/'QTR P&amp;L'!E2,"")</f>
        <v/>
      </c>
      <c r="C25" s="13">
        <f>IFERROR('QTR BS'!C27/'QTR P&amp;L'!F2,"")</f>
        <v/>
      </c>
      <c r="D25" s="13">
        <f>IFERROR('QTR BS'!D27/'QTR P&amp;L'!G2,"")</f>
        <v/>
      </c>
      <c r="E25" s="13">
        <f>IFERROR('QTR BS'!E27/'QTR P&amp;L'!H2,"")</f>
        <v/>
      </c>
      <c r="F25" s="13">
        <f>IFERROR('QTR BS'!F27/'QTR P&amp;L'!I2,"")</f>
        <v/>
      </c>
      <c r="G25" s="13">
        <f>IFERROR('QTR BS'!G27/'QTR P&amp;L'!J2,"")</f>
        <v/>
      </c>
      <c r="H25" s="13">
        <f>IFERROR('QTR BS'!H27/'QTR P&amp;L'!K2,"")</f>
        <v/>
      </c>
      <c r="I25" s="13">
        <f>IFERROR('QTR BS'!I27/'QTR P&amp;L'!L2,"")</f>
        <v/>
      </c>
      <c r="J25" s="13">
        <f>IFERROR('QTR BS'!J27/'QTR P&amp;L'!M2,"")</f>
        <v/>
      </c>
      <c r="K25" s="13">
        <f>IFERROR('QTR BS'!K27/'QTR P&amp;L'!N2,"")</f>
        <v/>
      </c>
      <c r="L25" s="13">
        <f>IFERROR('QTR BS'!L27/'QTR P&amp;L'!O2,"")</f>
        <v/>
      </c>
      <c r="M25" s="13">
        <f>IFERROR('QTR BS'!M27/'QTR P&amp;L'!P2,"")</f>
        <v/>
      </c>
      <c r="N25" s="13">
        <f>IFERROR('QTR BS'!N27/'QTR P&amp;L'!Q2,"")</f>
        <v/>
      </c>
      <c r="O25" s="13">
        <f>IFERROR('QTR BS'!O27/'QTR P&amp;L'!R2,"")</f>
        <v/>
      </c>
      <c r="P25" s="13">
        <f>IFERROR('QTR BS'!P27/'QTR P&amp;L'!S2,"")</f>
        <v/>
      </c>
      <c r="Q25" s="13">
        <f>IFERROR('QTR BS'!Q27/'QTR P&amp;L'!T2,"")</f>
        <v/>
      </c>
      <c r="R25" s="13">
        <f>IFERROR('QTR BS'!R27/'QTR P&amp;L'!U2,"")</f>
        <v/>
      </c>
      <c r="S25" s="13">
        <f>IFERROR('QTR BS'!S27/'QTR P&amp;L'!V2,"")</f>
        <v/>
      </c>
      <c r="T25" s="13">
        <f>IFERROR('QTR BS'!T27/'QTR P&amp;L'!W2,"")</f>
        <v/>
      </c>
      <c r="U25" s="13">
        <f>IFERROR('QTR BS'!U27/'QTR P&amp;L'!X2,"")</f>
        <v/>
      </c>
      <c r="V25" s="13">
        <f>IFERROR('QTR BS'!V27/'QTR P&amp;L'!Y2,"")</f>
        <v/>
      </c>
      <c r="W25" s="13">
        <f>IFERROR('QTR BS'!W27/'QTR P&amp;L'!Z2,"")</f>
        <v/>
      </c>
      <c r="X25" s="13">
        <f>IFERROR('QTR BS'!X27/'QTR P&amp;L'!AA2,"")</f>
        <v/>
      </c>
      <c r="Y25" s="13">
        <f>IFERROR('QTR BS'!Y27/'QTR P&amp;L'!AB2,"")</f>
        <v/>
      </c>
      <c r="Z25" s="13">
        <f>IFERROR('QTR BS'!Z27/'QTR P&amp;L'!AC2,"")</f>
        <v/>
      </c>
      <c r="AA25" s="14">
        <f>Z25</f>
        <v/>
      </c>
      <c r="AB25" s="14">
        <f>AA25</f>
        <v/>
      </c>
      <c r="AC25" s="14">
        <f>AB25</f>
        <v/>
      </c>
      <c r="AD25" s="14">
        <f>AC25</f>
        <v/>
      </c>
      <c r="AE25" s="14">
        <f>AD25</f>
        <v/>
      </c>
      <c r="AF25" s="14">
        <f>AE25</f>
        <v/>
      </c>
      <c r="AG25" s="14">
        <f>AF25</f>
        <v/>
      </c>
      <c r="AH25" s="14">
        <f>AG25</f>
        <v/>
      </c>
      <c r="AI25" s="14">
        <f>AH25</f>
        <v/>
      </c>
      <c r="AJ25" s="14">
        <f>AI25</f>
        <v/>
      </c>
      <c r="AK25" s="14">
        <f>AJ25</f>
        <v/>
      </c>
      <c r="AL25" s="14">
        <f>AK25</f>
        <v/>
      </c>
      <c r="AM25" s="14">
        <f>AL25</f>
        <v/>
      </c>
      <c r="AN25" s="14">
        <f>AM25</f>
        <v/>
      </c>
      <c r="AO25" s="14">
        <f>AN25</f>
        <v/>
      </c>
      <c r="AP25" s="14">
        <f>AO25</f>
        <v/>
      </c>
      <c r="AQ25" s="14">
        <f>AP25</f>
        <v/>
      </c>
      <c r="AR25" s="14">
        <f>AQ25</f>
        <v/>
      </c>
      <c r="AS25" s="14">
        <f>AR25</f>
        <v/>
      </c>
      <c r="AT25" s="14">
        <f>AS25</f>
        <v/>
      </c>
    </row>
    <row r="26">
      <c r="A26" s="3" t="inlineStr">
        <is>
          <t>Deferred Revenue - Current — % of Revenue</t>
        </is>
      </c>
      <c r="B26" s="13">
        <f>IFERROR('QTR BS'!B28/'QTR P&amp;L'!E2,"")</f>
        <v/>
      </c>
      <c r="C26" s="13">
        <f>IFERROR('QTR BS'!C28/'QTR P&amp;L'!F2,"")</f>
        <v/>
      </c>
      <c r="D26" s="13">
        <f>IFERROR('QTR BS'!D28/'QTR P&amp;L'!G2,"")</f>
        <v/>
      </c>
      <c r="E26" s="13">
        <f>IFERROR('QTR BS'!E28/'QTR P&amp;L'!H2,"")</f>
        <v/>
      </c>
      <c r="F26" s="13">
        <f>IFERROR('QTR BS'!F28/'QTR P&amp;L'!I2,"")</f>
        <v/>
      </c>
      <c r="G26" s="13">
        <f>IFERROR('QTR BS'!G28/'QTR P&amp;L'!J2,"")</f>
        <v/>
      </c>
      <c r="H26" s="13">
        <f>IFERROR('QTR BS'!H28/'QTR P&amp;L'!K2,"")</f>
        <v/>
      </c>
      <c r="I26" s="13">
        <f>IFERROR('QTR BS'!I28/'QTR P&amp;L'!L2,"")</f>
        <v/>
      </c>
      <c r="J26" s="13">
        <f>IFERROR('QTR BS'!J28/'QTR P&amp;L'!M2,"")</f>
        <v/>
      </c>
      <c r="K26" s="13">
        <f>IFERROR('QTR BS'!K28/'QTR P&amp;L'!N2,"")</f>
        <v/>
      </c>
      <c r="L26" s="13">
        <f>IFERROR('QTR BS'!L28/'QTR P&amp;L'!O2,"")</f>
        <v/>
      </c>
      <c r="M26" s="13">
        <f>IFERROR('QTR BS'!M28/'QTR P&amp;L'!P2,"")</f>
        <v/>
      </c>
      <c r="N26" s="13">
        <f>IFERROR('QTR BS'!N28/'QTR P&amp;L'!Q2,"")</f>
        <v/>
      </c>
      <c r="O26" s="13">
        <f>IFERROR('QTR BS'!O28/'QTR P&amp;L'!R2,"")</f>
        <v/>
      </c>
      <c r="P26" s="13">
        <f>IFERROR('QTR BS'!P28/'QTR P&amp;L'!S2,"")</f>
        <v/>
      </c>
      <c r="Q26" s="13">
        <f>IFERROR('QTR BS'!Q28/'QTR P&amp;L'!T2,"")</f>
        <v/>
      </c>
      <c r="R26" s="13">
        <f>IFERROR('QTR BS'!R28/'QTR P&amp;L'!U2,"")</f>
        <v/>
      </c>
      <c r="S26" s="13">
        <f>IFERROR('QTR BS'!S28/'QTR P&amp;L'!V2,"")</f>
        <v/>
      </c>
      <c r="T26" s="13">
        <f>IFERROR('QTR BS'!T28/'QTR P&amp;L'!W2,"")</f>
        <v/>
      </c>
      <c r="U26" s="13">
        <f>IFERROR('QTR BS'!U28/'QTR P&amp;L'!X2,"")</f>
        <v/>
      </c>
      <c r="V26" s="13">
        <f>IFERROR('QTR BS'!V28/'QTR P&amp;L'!Y2,"")</f>
        <v/>
      </c>
      <c r="W26" s="13">
        <f>IFERROR('QTR BS'!W28/'QTR P&amp;L'!Z2,"")</f>
        <v/>
      </c>
      <c r="X26" s="13">
        <f>IFERROR('QTR BS'!X28/'QTR P&amp;L'!AA2,"")</f>
        <v/>
      </c>
      <c r="Y26" s="13">
        <f>IFERROR('QTR BS'!Y28/'QTR P&amp;L'!AB2,"")</f>
        <v/>
      </c>
      <c r="Z26" s="13">
        <f>IFERROR('QTR BS'!Z28/'QTR P&amp;L'!AC2,"")</f>
        <v/>
      </c>
      <c r="AA26" s="14">
        <f>Z26</f>
        <v/>
      </c>
      <c r="AB26" s="14">
        <f>AA26</f>
        <v/>
      </c>
      <c r="AC26" s="14">
        <f>AB26</f>
        <v/>
      </c>
      <c r="AD26" s="14">
        <f>AC26</f>
        <v/>
      </c>
      <c r="AE26" s="14">
        <f>AD26</f>
        <v/>
      </c>
      <c r="AF26" s="14">
        <f>AE26</f>
        <v/>
      </c>
      <c r="AG26" s="14">
        <f>AF26</f>
        <v/>
      </c>
      <c r="AH26" s="14">
        <f>AG26</f>
        <v/>
      </c>
      <c r="AI26" s="14">
        <f>AH26</f>
        <v/>
      </c>
      <c r="AJ26" s="14">
        <f>AI26</f>
        <v/>
      </c>
      <c r="AK26" s="14">
        <f>AJ26</f>
        <v/>
      </c>
      <c r="AL26" s="14">
        <f>AK26</f>
        <v/>
      </c>
      <c r="AM26" s="14">
        <f>AL26</f>
        <v/>
      </c>
      <c r="AN26" s="14">
        <f>AM26</f>
        <v/>
      </c>
      <c r="AO26" s="14">
        <f>AN26</f>
        <v/>
      </c>
      <c r="AP26" s="14">
        <f>AO26</f>
        <v/>
      </c>
      <c r="AQ26" s="14">
        <f>AP26</f>
        <v/>
      </c>
      <c r="AR26" s="14">
        <f>AQ26</f>
        <v/>
      </c>
      <c r="AS26" s="14">
        <f>AR26</f>
        <v/>
      </c>
      <c r="AT26" s="14">
        <f>AS26</f>
        <v/>
      </c>
    </row>
    <row r="27">
      <c r="A27" s="3" t="inlineStr">
        <is>
          <t>Other Current Liabilities — % of Revenue</t>
        </is>
      </c>
      <c r="B27" s="13">
        <f>IFERROR('QTR BS'!B29/'QTR P&amp;L'!E2,"")</f>
        <v/>
      </c>
      <c r="C27" s="13">
        <f>IFERROR('QTR BS'!C29/'QTR P&amp;L'!F2,"")</f>
        <v/>
      </c>
      <c r="D27" s="13">
        <f>IFERROR('QTR BS'!D29/'QTR P&amp;L'!G2,"")</f>
        <v/>
      </c>
      <c r="E27" s="13">
        <f>IFERROR('QTR BS'!E29/'QTR P&amp;L'!H2,"")</f>
        <v/>
      </c>
      <c r="F27" s="13">
        <f>IFERROR('QTR BS'!F29/'QTR P&amp;L'!I2,"")</f>
        <v/>
      </c>
      <c r="G27" s="13">
        <f>IFERROR('QTR BS'!G29/'QTR P&amp;L'!J2,"")</f>
        <v/>
      </c>
      <c r="H27" s="13">
        <f>IFERROR('QTR BS'!H29/'QTR P&amp;L'!K2,"")</f>
        <v/>
      </c>
      <c r="I27" s="13">
        <f>IFERROR('QTR BS'!I29/'QTR P&amp;L'!L2,"")</f>
        <v/>
      </c>
      <c r="J27" s="13">
        <f>IFERROR('QTR BS'!J29/'QTR P&amp;L'!M2,"")</f>
        <v/>
      </c>
      <c r="K27" s="13">
        <f>IFERROR('QTR BS'!K29/'QTR P&amp;L'!N2,"")</f>
        <v/>
      </c>
      <c r="L27" s="13">
        <f>IFERROR('QTR BS'!L29/'QTR P&amp;L'!O2,"")</f>
        <v/>
      </c>
      <c r="M27" s="13">
        <f>IFERROR('QTR BS'!M29/'QTR P&amp;L'!P2,"")</f>
        <v/>
      </c>
      <c r="N27" s="13">
        <f>IFERROR('QTR BS'!N29/'QTR P&amp;L'!Q2,"")</f>
        <v/>
      </c>
      <c r="O27" s="13">
        <f>IFERROR('QTR BS'!O29/'QTR P&amp;L'!R2,"")</f>
        <v/>
      </c>
      <c r="P27" s="13">
        <f>IFERROR('QTR BS'!P29/'QTR P&amp;L'!S2,"")</f>
        <v/>
      </c>
      <c r="Q27" s="13">
        <f>IFERROR('QTR BS'!Q29/'QTR P&amp;L'!T2,"")</f>
        <v/>
      </c>
      <c r="R27" s="13">
        <f>IFERROR('QTR BS'!R29/'QTR P&amp;L'!U2,"")</f>
        <v/>
      </c>
      <c r="S27" s="13">
        <f>IFERROR('QTR BS'!S29/'QTR P&amp;L'!V2,"")</f>
        <v/>
      </c>
      <c r="T27" s="13">
        <f>IFERROR('QTR BS'!T29/'QTR P&amp;L'!W2,"")</f>
        <v/>
      </c>
      <c r="U27" s="13">
        <f>IFERROR('QTR BS'!U29/'QTR P&amp;L'!X2,"")</f>
        <v/>
      </c>
      <c r="V27" s="13">
        <f>IFERROR('QTR BS'!V29/'QTR P&amp;L'!Y2,"")</f>
        <v/>
      </c>
      <c r="W27" s="13">
        <f>IFERROR('QTR BS'!W29/'QTR P&amp;L'!Z2,"")</f>
        <v/>
      </c>
      <c r="X27" s="13">
        <f>IFERROR('QTR BS'!X29/'QTR P&amp;L'!AA2,"")</f>
        <v/>
      </c>
      <c r="Y27" s="13">
        <f>IFERROR('QTR BS'!Y29/'QTR P&amp;L'!AB2,"")</f>
        <v/>
      </c>
      <c r="Z27" s="13">
        <f>IFERROR('QTR BS'!Z29/'QTR P&amp;L'!AC2,"")</f>
        <v/>
      </c>
      <c r="AA27" s="14">
        <f>Z27</f>
        <v/>
      </c>
      <c r="AB27" s="14">
        <f>AA27</f>
        <v/>
      </c>
      <c r="AC27" s="14">
        <f>AB27</f>
        <v/>
      </c>
      <c r="AD27" s="14">
        <f>AC27</f>
        <v/>
      </c>
      <c r="AE27" s="14">
        <f>AD27</f>
        <v/>
      </c>
      <c r="AF27" s="14">
        <f>AE27</f>
        <v/>
      </c>
      <c r="AG27" s="14">
        <f>AF27</f>
        <v/>
      </c>
      <c r="AH27" s="14">
        <f>AG27</f>
        <v/>
      </c>
      <c r="AI27" s="14">
        <f>AH27</f>
        <v/>
      </c>
      <c r="AJ27" s="14">
        <f>AI27</f>
        <v/>
      </c>
      <c r="AK27" s="14">
        <f>AJ27</f>
        <v/>
      </c>
      <c r="AL27" s="14">
        <f>AK27</f>
        <v/>
      </c>
      <c r="AM27" s="14">
        <f>AL27</f>
        <v/>
      </c>
      <c r="AN27" s="14">
        <f>AM27</f>
        <v/>
      </c>
      <c r="AO27" s="14">
        <f>AN27</f>
        <v/>
      </c>
      <c r="AP27" s="14">
        <f>AO27</f>
        <v/>
      </c>
      <c r="AQ27" s="14">
        <f>AP27</f>
        <v/>
      </c>
      <c r="AR27" s="14">
        <f>AQ27</f>
        <v/>
      </c>
      <c r="AS27" s="14">
        <f>AR27</f>
        <v/>
      </c>
      <c r="AT27" s="14">
        <f>AS27</f>
        <v/>
      </c>
    </row>
    <row r="28">
      <c r="A28" s="3" t="inlineStr">
        <is>
          <t>Lease Liability - Operating - Non-Current — % of Revenue</t>
        </is>
      </c>
      <c r="B28" s="13">
        <f>IFERROR('QTR BS'!B31/'QTR P&amp;L'!E2,"")</f>
        <v/>
      </c>
      <c r="C28" s="13">
        <f>IFERROR('QTR BS'!C31/'QTR P&amp;L'!F2,"")</f>
        <v/>
      </c>
      <c r="D28" s="13">
        <f>IFERROR('QTR BS'!D31/'QTR P&amp;L'!G2,"")</f>
        <v/>
      </c>
      <c r="E28" s="13">
        <f>IFERROR('QTR BS'!E31/'QTR P&amp;L'!H2,"")</f>
        <v/>
      </c>
      <c r="F28" s="13">
        <f>IFERROR('QTR BS'!F31/'QTR P&amp;L'!I2,"")</f>
        <v/>
      </c>
      <c r="G28" s="13">
        <f>IFERROR('QTR BS'!G31/'QTR P&amp;L'!J2,"")</f>
        <v/>
      </c>
      <c r="H28" s="13">
        <f>IFERROR('QTR BS'!H31/'QTR P&amp;L'!K2,"")</f>
        <v/>
      </c>
      <c r="I28" s="13">
        <f>IFERROR('QTR BS'!I31/'QTR P&amp;L'!L2,"")</f>
        <v/>
      </c>
      <c r="J28" s="13">
        <f>IFERROR('QTR BS'!J31/'QTR P&amp;L'!M2,"")</f>
        <v/>
      </c>
      <c r="K28" s="13">
        <f>IFERROR('QTR BS'!K31/'QTR P&amp;L'!N2,"")</f>
        <v/>
      </c>
      <c r="L28" s="13">
        <f>IFERROR('QTR BS'!L31/'QTR P&amp;L'!O2,"")</f>
        <v/>
      </c>
      <c r="M28" s="13">
        <f>IFERROR('QTR BS'!M31/'QTR P&amp;L'!P2,"")</f>
        <v/>
      </c>
      <c r="N28" s="13">
        <f>IFERROR('QTR BS'!N31/'QTR P&amp;L'!Q2,"")</f>
        <v/>
      </c>
      <c r="O28" s="13">
        <f>IFERROR('QTR BS'!O31/'QTR P&amp;L'!R2,"")</f>
        <v/>
      </c>
      <c r="P28" s="13">
        <f>IFERROR('QTR BS'!P31/'QTR P&amp;L'!S2,"")</f>
        <v/>
      </c>
      <c r="Q28" s="13">
        <f>IFERROR('QTR BS'!Q31/'QTR P&amp;L'!T2,"")</f>
        <v/>
      </c>
      <c r="R28" s="13">
        <f>IFERROR('QTR BS'!R31/'QTR P&amp;L'!U2,"")</f>
        <v/>
      </c>
      <c r="S28" s="13">
        <f>IFERROR('QTR BS'!S31/'QTR P&amp;L'!V2,"")</f>
        <v/>
      </c>
      <c r="T28" s="13">
        <f>IFERROR('QTR BS'!T31/'QTR P&amp;L'!W2,"")</f>
        <v/>
      </c>
      <c r="U28" s="13">
        <f>IFERROR('QTR BS'!U31/'QTR P&amp;L'!X2,"")</f>
        <v/>
      </c>
      <c r="V28" s="13">
        <f>IFERROR('QTR BS'!V31/'QTR P&amp;L'!Y2,"")</f>
        <v/>
      </c>
      <c r="W28" s="13">
        <f>IFERROR('QTR BS'!W31/'QTR P&amp;L'!Z2,"")</f>
        <v/>
      </c>
      <c r="X28" s="13">
        <f>IFERROR('QTR BS'!X31/'QTR P&amp;L'!AA2,"")</f>
        <v/>
      </c>
      <c r="Y28" s="13">
        <f>IFERROR('QTR BS'!Y31/'QTR P&amp;L'!AB2,"")</f>
        <v/>
      </c>
      <c r="Z28" s="13">
        <f>IFERROR('QTR BS'!Z31/'QTR P&amp;L'!AC2,"")</f>
        <v/>
      </c>
      <c r="AA28" s="14">
        <f>Z28</f>
        <v/>
      </c>
      <c r="AB28" s="14">
        <f>AA28</f>
        <v/>
      </c>
      <c r="AC28" s="14">
        <f>AB28</f>
        <v/>
      </c>
      <c r="AD28" s="14">
        <f>AC28</f>
        <v/>
      </c>
      <c r="AE28" s="14">
        <f>AD28</f>
        <v/>
      </c>
      <c r="AF28" s="14">
        <f>AE28</f>
        <v/>
      </c>
      <c r="AG28" s="14">
        <f>AF28</f>
        <v/>
      </c>
      <c r="AH28" s="14">
        <f>AG28</f>
        <v/>
      </c>
      <c r="AI28" s="14">
        <f>AH28</f>
        <v/>
      </c>
      <c r="AJ28" s="14">
        <f>AI28</f>
        <v/>
      </c>
      <c r="AK28" s="14">
        <f>AJ28</f>
        <v/>
      </c>
      <c r="AL28" s="14">
        <f>AK28</f>
        <v/>
      </c>
      <c r="AM28" s="14">
        <f>AL28</f>
        <v/>
      </c>
      <c r="AN28" s="14">
        <f>AM28</f>
        <v/>
      </c>
      <c r="AO28" s="14">
        <f>AN28</f>
        <v/>
      </c>
      <c r="AP28" s="14">
        <f>AO28</f>
        <v/>
      </c>
      <c r="AQ28" s="14">
        <f>AP28</f>
        <v/>
      </c>
      <c r="AR28" s="14">
        <f>AQ28</f>
        <v/>
      </c>
      <c r="AS28" s="14">
        <f>AR28</f>
        <v/>
      </c>
      <c r="AT28" s="14">
        <f>AS28</f>
        <v/>
      </c>
    </row>
    <row r="29">
      <c r="A29" s="3" t="inlineStr">
        <is>
          <t>Lease Liability - Finance - Non-Current — % of Revenue</t>
        </is>
      </c>
      <c r="B29" s="13">
        <f>IFERROR('QTR BS'!B32/'QTR P&amp;L'!E2,"")</f>
        <v/>
      </c>
      <c r="C29" s="13">
        <f>IFERROR('QTR BS'!C32/'QTR P&amp;L'!F2,"")</f>
        <v/>
      </c>
      <c r="D29" s="13">
        <f>IFERROR('QTR BS'!D32/'QTR P&amp;L'!G2,"")</f>
        <v/>
      </c>
      <c r="E29" s="13">
        <f>IFERROR('QTR BS'!E32/'QTR P&amp;L'!H2,"")</f>
        <v/>
      </c>
      <c r="F29" s="13">
        <f>IFERROR('QTR BS'!F32/'QTR P&amp;L'!I2,"")</f>
        <v/>
      </c>
      <c r="G29" s="13">
        <f>IFERROR('QTR BS'!G32/'QTR P&amp;L'!J2,"")</f>
        <v/>
      </c>
      <c r="H29" s="13">
        <f>IFERROR('QTR BS'!H32/'QTR P&amp;L'!K2,"")</f>
        <v/>
      </c>
      <c r="I29" s="13">
        <f>IFERROR('QTR BS'!I32/'QTR P&amp;L'!L2,"")</f>
        <v/>
      </c>
      <c r="J29" s="13">
        <f>IFERROR('QTR BS'!J32/'QTR P&amp;L'!M2,"")</f>
        <v/>
      </c>
      <c r="K29" s="13">
        <f>IFERROR('QTR BS'!K32/'QTR P&amp;L'!N2,"")</f>
        <v/>
      </c>
      <c r="L29" s="13">
        <f>IFERROR('QTR BS'!L32/'QTR P&amp;L'!O2,"")</f>
        <v/>
      </c>
      <c r="M29" s="13">
        <f>IFERROR('QTR BS'!M32/'QTR P&amp;L'!P2,"")</f>
        <v/>
      </c>
      <c r="N29" s="13">
        <f>IFERROR('QTR BS'!N32/'QTR P&amp;L'!Q2,"")</f>
        <v/>
      </c>
      <c r="O29" s="13">
        <f>IFERROR('QTR BS'!O32/'QTR P&amp;L'!R2,"")</f>
        <v/>
      </c>
      <c r="P29" s="13">
        <f>IFERROR('QTR BS'!P32/'QTR P&amp;L'!S2,"")</f>
        <v/>
      </c>
      <c r="Q29" s="13">
        <f>IFERROR('QTR BS'!Q32/'QTR P&amp;L'!T2,"")</f>
        <v/>
      </c>
      <c r="R29" s="13">
        <f>IFERROR('QTR BS'!R32/'QTR P&amp;L'!U2,"")</f>
        <v/>
      </c>
      <c r="S29" s="13">
        <f>IFERROR('QTR BS'!S32/'QTR P&amp;L'!V2,"")</f>
        <v/>
      </c>
      <c r="T29" s="13">
        <f>IFERROR('QTR BS'!T32/'QTR P&amp;L'!W2,"")</f>
        <v/>
      </c>
      <c r="U29" s="13">
        <f>IFERROR('QTR BS'!U32/'QTR P&amp;L'!X2,"")</f>
        <v/>
      </c>
      <c r="V29" s="13">
        <f>IFERROR('QTR BS'!V32/'QTR P&amp;L'!Y2,"")</f>
        <v/>
      </c>
      <c r="W29" s="13">
        <f>IFERROR('QTR BS'!W32/'QTR P&amp;L'!Z2,"")</f>
        <v/>
      </c>
      <c r="X29" s="13">
        <f>IFERROR('QTR BS'!X32/'QTR P&amp;L'!AA2,"")</f>
        <v/>
      </c>
      <c r="Y29" s="13">
        <f>IFERROR('QTR BS'!Y32/'QTR P&amp;L'!AB2,"")</f>
        <v/>
      </c>
      <c r="Z29" s="13">
        <f>IFERROR('QTR BS'!Z32/'QTR P&amp;L'!AC2,"")</f>
        <v/>
      </c>
      <c r="AA29" s="14">
        <f>Z29</f>
        <v/>
      </c>
      <c r="AB29" s="14">
        <f>AA29</f>
        <v/>
      </c>
      <c r="AC29" s="14">
        <f>AB29</f>
        <v/>
      </c>
      <c r="AD29" s="14">
        <f>AC29</f>
        <v/>
      </c>
      <c r="AE29" s="14">
        <f>AD29</f>
        <v/>
      </c>
      <c r="AF29" s="14">
        <f>AE29</f>
        <v/>
      </c>
      <c r="AG29" s="14">
        <f>AF29</f>
        <v/>
      </c>
      <c r="AH29" s="14">
        <f>AG29</f>
        <v/>
      </c>
      <c r="AI29" s="14">
        <f>AH29</f>
        <v/>
      </c>
      <c r="AJ29" s="14">
        <f>AI29</f>
        <v/>
      </c>
      <c r="AK29" s="14">
        <f>AJ29</f>
        <v/>
      </c>
      <c r="AL29" s="14">
        <f>AK29</f>
        <v/>
      </c>
      <c r="AM29" s="14">
        <f>AL29</f>
        <v/>
      </c>
      <c r="AN29" s="14">
        <f>AM29</f>
        <v/>
      </c>
      <c r="AO29" s="14">
        <f>AN29</f>
        <v/>
      </c>
      <c r="AP29" s="14">
        <f>AO29</f>
        <v/>
      </c>
      <c r="AQ29" s="14">
        <f>AP29</f>
        <v/>
      </c>
      <c r="AR29" s="14">
        <f>AQ29</f>
        <v/>
      </c>
      <c r="AS29" s="14">
        <f>AR29</f>
        <v/>
      </c>
      <c r="AT29" s="14">
        <f>AS29</f>
        <v/>
      </c>
    </row>
    <row r="30">
      <c r="A30" s="3" t="inlineStr">
        <is>
          <t>Deferred Tax Liability</t>
        </is>
      </c>
      <c r="B30" s="4">
        <f>'QTR BS'!B33</f>
        <v/>
      </c>
      <c r="C30" s="4">
        <f>'QTR BS'!C33</f>
        <v/>
      </c>
      <c r="D30" s="4">
        <f>'QTR BS'!D33</f>
        <v/>
      </c>
      <c r="E30" s="4">
        <f>'QTR BS'!E33</f>
        <v/>
      </c>
      <c r="F30" s="4">
        <f>'QTR BS'!F33</f>
        <v/>
      </c>
      <c r="G30" s="4">
        <f>'QTR BS'!G33</f>
        <v/>
      </c>
      <c r="H30" s="4">
        <f>'QTR BS'!H33</f>
        <v/>
      </c>
      <c r="I30" s="4">
        <f>'QTR BS'!I33</f>
        <v/>
      </c>
      <c r="J30" s="4">
        <f>'QTR BS'!J33</f>
        <v/>
      </c>
      <c r="K30" s="4">
        <f>'QTR BS'!K33</f>
        <v/>
      </c>
      <c r="L30" s="4">
        <f>'QTR BS'!L33</f>
        <v/>
      </c>
      <c r="M30" s="4">
        <f>'QTR BS'!M33</f>
        <v/>
      </c>
      <c r="N30" s="4">
        <f>'QTR BS'!N33</f>
        <v/>
      </c>
      <c r="O30" s="4">
        <f>'QTR BS'!O33</f>
        <v/>
      </c>
      <c r="P30" s="4">
        <f>'QTR BS'!P33</f>
        <v/>
      </c>
      <c r="Q30" s="4">
        <f>'QTR BS'!Q33</f>
        <v/>
      </c>
      <c r="R30" s="4">
        <f>'QTR BS'!R33</f>
        <v/>
      </c>
      <c r="S30" s="4">
        <f>'QTR BS'!S33</f>
        <v/>
      </c>
      <c r="T30" s="4">
        <f>'QTR BS'!T33</f>
        <v/>
      </c>
      <c r="U30" s="4">
        <f>'QTR BS'!U33</f>
        <v/>
      </c>
      <c r="V30" s="4">
        <f>'QTR BS'!V33</f>
        <v/>
      </c>
      <c r="W30" s="4">
        <f>'QTR BS'!W33</f>
        <v/>
      </c>
      <c r="X30" s="4">
        <f>'QTR BS'!X33</f>
        <v/>
      </c>
      <c r="Y30" s="4">
        <f>'QTR BS'!Y33</f>
        <v/>
      </c>
      <c r="Z30" s="4">
        <f>'QTR BS'!Z33</f>
        <v/>
      </c>
      <c r="AA30" s="15">
        <f>Z30</f>
        <v/>
      </c>
      <c r="AB30" s="15">
        <f>AA30</f>
        <v/>
      </c>
      <c r="AC30" s="15">
        <f>AB30</f>
        <v/>
      </c>
      <c r="AD30" s="15">
        <f>AC30</f>
        <v/>
      </c>
      <c r="AE30" s="15">
        <f>AD30</f>
        <v/>
      </c>
      <c r="AF30" s="15">
        <f>AE30</f>
        <v/>
      </c>
      <c r="AG30" s="15">
        <f>AF30</f>
        <v/>
      </c>
      <c r="AH30" s="15">
        <f>AG30</f>
        <v/>
      </c>
      <c r="AI30" s="15">
        <f>AH30</f>
        <v/>
      </c>
      <c r="AJ30" s="15">
        <f>AI30</f>
        <v/>
      </c>
      <c r="AK30" s="15">
        <f>AJ30</f>
        <v/>
      </c>
      <c r="AL30" s="15">
        <f>AK30</f>
        <v/>
      </c>
      <c r="AM30" s="15">
        <f>AL30</f>
        <v/>
      </c>
      <c r="AN30" s="15">
        <f>AM30</f>
        <v/>
      </c>
      <c r="AO30" s="15">
        <f>AN30</f>
        <v/>
      </c>
      <c r="AP30" s="15">
        <f>AO30</f>
        <v/>
      </c>
      <c r="AQ30" s="15">
        <f>AP30</f>
        <v/>
      </c>
      <c r="AR30" s="15">
        <f>AQ30</f>
        <v/>
      </c>
      <c r="AS30" s="15">
        <f>AR30</f>
        <v/>
      </c>
      <c r="AT30" s="15">
        <f>AS30</f>
        <v/>
      </c>
    </row>
    <row r="31">
      <c r="A31" s="3" t="inlineStr">
        <is>
          <t>Long-Term Debt</t>
        </is>
      </c>
      <c r="B31" s="4">
        <f>'QTR BS'!B34</f>
        <v/>
      </c>
      <c r="C31" s="4">
        <f>'QTR BS'!C34</f>
        <v/>
      </c>
      <c r="D31" s="4">
        <f>'QTR BS'!D34</f>
        <v/>
      </c>
      <c r="E31" s="4">
        <f>'QTR BS'!E34</f>
        <v/>
      </c>
      <c r="F31" s="4">
        <f>'QTR BS'!F34</f>
        <v/>
      </c>
      <c r="G31" s="4">
        <f>'QTR BS'!G34</f>
        <v/>
      </c>
      <c r="H31" s="4">
        <f>'QTR BS'!H34</f>
        <v/>
      </c>
      <c r="I31" s="4">
        <f>'QTR BS'!I34</f>
        <v/>
      </c>
      <c r="J31" s="4">
        <f>'QTR BS'!J34</f>
        <v/>
      </c>
      <c r="K31" s="4">
        <f>'QTR BS'!K34</f>
        <v/>
      </c>
      <c r="L31" s="4">
        <f>'QTR BS'!L34</f>
        <v/>
      </c>
      <c r="M31" s="4">
        <f>'QTR BS'!M34</f>
        <v/>
      </c>
      <c r="N31" s="4">
        <f>'QTR BS'!N34</f>
        <v/>
      </c>
      <c r="O31" s="4">
        <f>'QTR BS'!O34</f>
        <v/>
      </c>
      <c r="P31" s="4">
        <f>'QTR BS'!P34</f>
        <v/>
      </c>
      <c r="Q31" s="4">
        <f>'QTR BS'!Q34</f>
        <v/>
      </c>
      <c r="R31" s="4">
        <f>'QTR BS'!R34</f>
        <v/>
      </c>
      <c r="S31" s="4">
        <f>'QTR BS'!S34</f>
        <v/>
      </c>
      <c r="T31" s="4">
        <f>'QTR BS'!T34</f>
        <v/>
      </c>
      <c r="U31" s="4">
        <f>'QTR BS'!U34</f>
        <v/>
      </c>
      <c r="V31" s="4">
        <f>'QTR BS'!V34</f>
        <v/>
      </c>
      <c r="W31" s="4">
        <f>'QTR BS'!W34</f>
        <v/>
      </c>
      <c r="X31" s="4">
        <f>'QTR BS'!X34</f>
        <v/>
      </c>
      <c r="Y31" s="4">
        <f>'QTR BS'!Y34</f>
        <v/>
      </c>
      <c r="Z31" s="4">
        <f>'QTR BS'!Z34</f>
        <v/>
      </c>
      <c r="AA31" s="15">
        <f>Z31</f>
        <v/>
      </c>
      <c r="AB31" s="15">
        <f>AA31</f>
        <v/>
      </c>
      <c r="AC31" s="15">
        <f>AB31</f>
        <v/>
      </c>
      <c r="AD31" s="15">
        <f>AC31</f>
        <v/>
      </c>
      <c r="AE31" s="15">
        <f>AD31</f>
        <v/>
      </c>
      <c r="AF31" s="15">
        <f>AE31</f>
        <v/>
      </c>
      <c r="AG31" s="15">
        <f>AF31</f>
        <v/>
      </c>
      <c r="AH31" s="15">
        <f>AG31</f>
        <v/>
      </c>
      <c r="AI31" s="15">
        <f>AH31</f>
        <v/>
      </c>
      <c r="AJ31" s="15">
        <f>AI31</f>
        <v/>
      </c>
      <c r="AK31" s="15">
        <f>AJ31</f>
        <v/>
      </c>
      <c r="AL31" s="15">
        <f>AK31</f>
        <v/>
      </c>
      <c r="AM31" s="15">
        <f>AL31</f>
        <v/>
      </c>
      <c r="AN31" s="15">
        <f>AM31</f>
        <v/>
      </c>
      <c r="AO31" s="15">
        <f>AN31</f>
        <v/>
      </c>
      <c r="AP31" s="15">
        <f>AO31</f>
        <v/>
      </c>
      <c r="AQ31" s="15">
        <f>AP31</f>
        <v/>
      </c>
      <c r="AR31" s="15">
        <f>AQ31</f>
        <v/>
      </c>
      <c r="AS31" s="15">
        <f>AR31</f>
        <v/>
      </c>
      <c r="AT31" s="15">
        <f>AS31</f>
        <v/>
      </c>
    </row>
    <row r="32">
      <c r="A32" s="3" t="inlineStr">
        <is>
          <t>Deferred Revenue - Non-Current — % of Revenue</t>
        </is>
      </c>
      <c r="B32" s="13">
        <f>IFERROR('QTR BS'!B35/'QTR P&amp;L'!E2,"")</f>
        <v/>
      </c>
      <c r="C32" s="13">
        <f>IFERROR('QTR BS'!C35/'QTR P&amp;L'!F2,"")</f>
        <v/>
      </c>
      <c r="D32" s="13">
        <f>IFERROR('QTR BS'!D35/'QTR P&amp;L'!G2,"")</f>
        <v/>
      </c>
      <c r="E32" s="13">
        <f>IFERROR('QTR BS'!E35/'QTR P&amp;L'!H2,"")</f>
        <v/>
      </c>
      <c r="F32" s="13">
        <f>IFERROR('QTR BS'!F35/'QTR P&amp;L'!I2,"")</f>
        <v/>
      </c>
      <c r="G32" s="13">
        <f>IFERROR('QTR BS'!G35/'QTR P&amp;L'!J2,"")</f>
        <v/>
      </c>
      <c r="H32" s="13">
        <f>IFERROR('QTR BS'!H35/'QTR P&amp;L'!K2,"")</f>
        <v/>
      </c>
      <c r="I32" s="13">
        <f>IFERROR('QTR BS'!I35/'QTR P&amp;L'!L2,"")</f>
        <v/>
      </c>
      <c r="J32" s="13">
        <f>IFERROR('QTR BS'!J35/'QTR P&amp;L'!M2,"")</f>
        <v/>
      </c>
      <c r="K32" s="13">
        <f>IFERROR('QTR BS'!K35/'QTR P&amp;L'!N2,"")</f>
        <v/>
      </c>
      <c r="L32" s="13">
        <f>IFERROR('QTR BS'!L35/'QTR P&amp;L'!O2,"")</f>
        <v/>
      </c>
      <c r="M32" s="13">
        <f>IFERROR('QTR BS'!M35/'QTR P&amp;L'!P2,"")</f>
        <v/>
      </c>
      <c r="N32" s="13">
        <f>IFERROR('QTR BS'!N35/'QTR P&amp;L'!Q2,"")</f>
        <v/>
      </c>
      <c r="O32" s="13">
        <f>IFERROR('QTR BS'!O35/'QTR P&amp;L'!R2,"")</f>
        <v/>
      </c>
      <c r="P32" s="13">
        <f>IFERROR('QTR BS'!P35/'QTR P&amp;L'!S2,"")</f>
        <v/>
      </c>
      <c r="Q32" s="13">
        <f>IFERROR('QTR BS'!Q35/'QTR P&amp;L'!T2,"")</f>
        <v/>
      </c>
      <c r="R32" s="13">
        <f>IFERROR('QTR BS'!R35/'QTR P&amp;L'!U2,"")</f>
        <v/>
      </c>
      <c r="S32" s="13">
        <f>IFERROR('QTR BS'!S35/'QTR P&amp;L'!V2,"")</f>
        <v/>
      </c>
      <c r="T32" s="13">
        <f>IFERROR('QTR BS'!T35/'QTR P&amp;L'!W2,"")</f>
        <v/>
      </c>
      <c r="U32" s="13">
        <f>IFERROR('QTR BS'!U35/'QTR P&amp;L'!X2,"")</f>
        <v/>
      </c>
      <c r="V32" s="13">
        <f>IFERROR('QTR BS'!V35/'QTR P&amp;L'!Y2,"")</f>
        <v/>
      </c>
      <c r="W32" s="13">
        <f>IFERROR('QTR BS'!W35/'QTR P&amp;L'!Z2,"")</f>
        <v/>
      </c>
      <c r="X32" s="13">
        <f>IFERROR('QTR BS'!X35/'QTR P&amp;L'!AA2,"")</f>
        <v/>
      </c>
      <c r="Y32" s="13">
        <f>IFERROR('QTR BS'!Y35/'QTR P&amp;L'!AB2,"")</f>
        <v/>
      </c>
      <c r="Z32" s="13">
        <f>IFERROR('QTR BS'!Z35/'QTR P&amp;L'!AC2,"")</f>
        <v/>
      </c>
      <c r="AA32" s="14">
        <f>Z32</f>
        <v/>
      </c>
      <c r="AB32" s="14">
        <f>AA32</f>
        <v/>
      </c>
      <c r="AC32" s="14">
        <f>AB32</f>
        <v/>
      </c>
      <c r="AD32" s="14">
        <f>AC32</f>
        <v/>
      </c>
      <c r="AE32" s="14">
        <f>AD32</f>
        <v/>
      </c>
      <c r="AF32" s="14">
        <f>AE32</f>
        <v/>
      </c>
      <c r="AG32" s="14">
        <f>AF32</f>
        <v/>
      </c>
      <c r="AH32" s="14">
        <f>AG32</f>
        <v/>
      </c>
      <c r="AI32" s="14">
        <f>AH32</f>
        <v/>
      </c>
      <c r="AJ32" s="14">
        <f>AI32</f>
        <v/>
      </c>
      <c r="AK32" s="14">
        <f>AJ32</f>
        <v/>
      </c>
      <c r="AL32" s="14">
        <f>AK32</f>
        <v/>
      </c>
      <c r="AM32" s="14">
        <f>AL32</f>
        <v/>
      </c>
      <c r="AN32" s="14">
        <f>AM32</f>
        <v/>
      </c>
      <c r="AO32" s="14">
        <f>AN32</f>
        <v/>
      </c>
      <c r="AP32" s="14">
        <f>AO32</f>
        <v/>
      </c>
      <c r="AQ32" s="14">
        <f>AP32</f>
        <v/>
      </c>
      <c r="AR32" s="14">
        <f>AQ32</f>
        <v/>
      </c>
      <c r="AS32" s="14">
        <f>AR32</f>
        <v/>
      </c>
      <c r="AT32" s="14">
        <f>AS32</f>
        <v/>
      </c>
    </row>
    <row r="33">
      <c r="A33" s="3" t="inlineStr">
        <is>
          <t>Other Non-Current Liabilities — % of Revenue</t>
        </is>
      </c>
      <c r="B33" s="13">
        <f>IFERROR('QTR BS'!B36/'QTR P&amp;L'!E2,"")</f>
        <v/>
      </c>
      <c r="C33" s="13">
        <f>IFERROR('QTR BS'!C36/'QTR P&amp;L'!F2,"")</f>
        <v/>
      </c>
      <c r="D33" s="13">
        <f>IFERROR('QTR BS'!D36/'QTR P&amp;L'!G2,"")</f>
        <v/>
      </c>
      <c r="E33" s="13">
        <f>IFERROR('QTR BS'!E36/'QTR P&amp;L'!H2,"")</f>
        <v/>
      </c>
      <c r="F33" s="13">
        <f>IFERROR('QTR BS'!F36/'QTR P&amp;L'!I2,"")</f>
        <v/>
      </c>
      <c r="G33" s="13">
        <f>IFERROR('QTR BS'!G36/'QTR P&amp;L'!J2,"")</f>
        <v/>
      </c>
      <c r="H33" s="13">
        <f>IFERROR('QTR BS'!H36/'QTR P&amp;L'!K2,"")</f>
        <v/>
      </c>
      <c r="I33" s="13">
        <f>IFERROR('QTR BS'!I36/'QTR P&amp;L'!L2,"")</f>
        <v/>
      </c>
      <c r="J33" s="13">
        <f>IFERROR('QTR BS'!J36/'QTR P&amp;L'!M2,"")</f>
        <v/>
      </c>
      <c r="K33" s="13">
        <f>IFERROR('QTR BS'!K36/'QTR P&amp;L'!N2,"")</f>
        <v/>
      </c>
      <c r="L33" s="13">
        <f>IFERROR('QTR BS'!L36/'QTR P&amp;L'!O2,"")</f>
        <v/>
      </c>
      <c r="M33" s="13">
        <f>IFERROR('QTR BS'!M36/'QTR P&amp;L'!P2,"")</f>
        <v/>
      </c>
      <c r="N33" s="13">
        <f>IFERROR('QTR BS'!N36/'QTR P&amp;L'!Q2,"")</f>
        <v/>
      </c>
      <c r="O33" s="13">
        <f>IFERROR('QTR BS'!O36/'QTR P&amp;L'!R2,"")</f>
        <v/>
      </c>
      <c r="P33" s="13">
        <f>IFERROR('QTR BS'!P36/'QTR P&amp;L'!S2,"")</f>
        <v/>
      </c>
      <c r="Q33" s="13">
        <f>IFERROR('QTR BS'!Q36/'QTR P&amp;L'!T2,"")</f>
        <v/>
      </c>
      <c r="R33" s="13">
        <f>IFERROR('QTR BS'!R36/'QTR P&amp;L'!U2,"")</f>
        <v/>
      </c>
      <c r="S33" s="13">
        <f>IFERROR('QTR BS'!S36/'QTR P&amp;L'!V2,"")</f>
        <v/>
      </c>
      <c r="T33" s="13">
        <f>IFERROR('QTR BS'!T36/'QTR P&amp;L'!W2,"")</f>
        <v/>
      </c>
      <c r="U33" s="13">
        <f>IFERROR('QTR BS'!U36/'QTR P&amp;L'!X2,"")</f>
        <v/>
      </c>
      <c r="V33" s="13">
        <f>IFERROR('QTR BS'!V36/'QTR P&amp;L'!Y2,"")</f>
        <v/>
      </c>
      <c r="W33" s="13">
        <f>IFERROR('QTR BS'!W36/'QTR P&amp;L'!Z2,"")</f>
        <v/>
      </c>
      <c r="X33" s="13">
        <f>IFERROR('QTR BS'!X36/'QTR P&amp;L'!AA2,"")</f>
        <v/>
      </c>
      <c r="Y33" s="13">
        <f>IFERROR('QTR BS'!Y36/'QTR P&amp;L'!AB2,"")</f>
        <v/>
      </c>
      <c r="Z33" s="13">
        <f>IFERROR('QTR BS'!Z36/'QTR P&amp;L'!AC2,"")</f>
        <v/>
      </c>
      <c r="AA33" s="14">
        <f>Z33</f>
        <v/>
      </c>
      <c r="AB33" s="14">
        <f>AA33</f>
        <v/>
      </c>
      <c r="AC33" s="14">
        <f>AB33</f>
        <v/>
      </c>
      <c r="AD33" s="14">
        <f>AC33</f>
        <v/>
      </c>
      <c r="AE33" s="14">
        <f>AD33</f>
        <v/>
      </c>
      <c r="AF33" s="14">
        <f>AE33</f>
        <v/>
      </c>
      <c r="AG33" s="14">
        <f>AF33</f>
        <v/>
      </c>
      <c r="AH33" s="14">
        <f>AG33</f>
        <v/>
      </c>
      <c r="AI33" s="14">
        <f>AH33</f>
        <v/>
      </c>
      <c r="AJ33" s="14">
        <f>AI33</f>
        <v/>
      </c>
      <c r="AK33" s="14">
        <f>AJ33</f>
        <v/>
      </c>
      <c r="AL33" s="14">
        <f>AK33</f>
        <v/>
      </c>
      <c r="AM33" s="14">
        <f>AL33</f>
        <v/>
      </c>
      <c r="AN33" s="14">
        <f>AM33</f>
        <v/>
      </c>
      <c r="AO33" s="14">
        <f>AN33</f>
        <v/>
      </c>
      <c r="AP33" s="14">
        <f>AO33</f>
        <v/>
      </c>
      <c r="AQ33" s="14">
        <f>AP33</f>
        <v/>
      </c>
      <c r="AR33" s="14">
        <f>AQ33</f>
        <v/>
      </c>
      <c r="AS33" s="14">
        <f>AR33</f>
        <v/>
      </c>
      <c r="AT33" s="14">
        <f>AS33</f>
        <v/>
      </c>
    </row>
    <row r="34">
      <c r="A34" s="3" t="inlineStr">
        <is>
          <t>Convertible Preferred Stock</t>
        </is>
      </c>
      <c r="B34" s="4">
        <f>'QTR BS'!B38</f>
        <v/>
      </c>
      <c r="C34" s="4">
        <f>'QTR BS'!C38</f>
        <v/>
      </c>
      <c r="D34" s="4">
        <f>'QTR BS'!D38</f>
        <v/>
      </c>
      <c r="E34" s="4">
        <f>'QTR BS'!E38</f>
        <v/>
      </c>
      <c r="F34" s="4">
        <f>'QTR BS'!F38</f>
        <v/>
      </c>
      <c r="G34" s="4">
        <f>'QTR BS'!G38</f>
        <v/>
      </c>
      <c r="H34" s="4">
        <f>'QTR BS'!H38</f>
        <v/>
      </c>
      <c r="I34" s="4">
        <f>'QTR BS'!I38</f>
        <v/>
      </c>
      <c r="J34" s="4">
        <f>'QTR BS'!J38</f>
        <v/>
      </c>
      <c r="K34" s="4">
        <f>'QTR BS'!K38</f>
        <v/>
      </c>
      <c r="L34" s="4">
        <f>'QTR BS'!L38</f>
        <v/>
      </c>
      <c r="M34" s="4">
        <f>'QTR BS'!M38</f>
        <v/>
      </c>
      <c r="N34" s="4">
        <f>'QTR BS'!N38</f>
        <v/>
      </c>
      <c r="O34" s="4">
        <f>'QTR BS'!O38</f>
        <v/>
      </c>
      <c r="P34" s="4">
        <f>'QTR BS'!P38</f>
        <v/>
      </c>
      <c r="Q34" s="4">
        <f>'QTR BS'!Q38</f>
        <v/>
      </c>
      <c r="R34" s="4">
        <f>'QTR BS'!R38</f>
        <v/>
      </c>
      <c r="S34" s="4">
        <f>'QTR BS'!S38</f>
        <v/>
      </c>
      <c r="T34" s="4">
        <f>'QTR BS'!T38</f>
        <v/>
      </c>
      <c r="U34" s="4">
        <f>'QTR BS'!U38</f>
        <v/>
      </c>
      <c r="V34" s="4">
        <f>'QTR BS'!V38</f>
        <v/>
      </c>
      <c r="W34" s="4">
        <f>'QTR BS'!W38</f>
        <v/>
      </c>
      <c r="X34" s="4">
        <f>'QTR BS'!X38</f>
        <v/>
      </c>
      <c r="Y34" s="4">
        <f>'QTR BS'!Y38</f>
        <v/>
      </c>
      <c r="Z34" s="4">
        <f>'QTR BS'!Z38</f>
        <v/>
      </c>
      <c r="AA34" s="15">
        <f>Z34</f>
        <v/>
      </c>
      <c r="AB34" s="15">
        <f>AA34</f>
        <v/>
      </c>
      <c r="AC34" s="15">
        <f>AB34</f>
        <v/>
      </c>
      <c r="AD34" s="15">
        <f>AC34</f>
        <v/>
      </c>
      <c r="AE34" s="15">
        <f>AD34</f>
        <v/>
      </c>
      <c r="AF34" s="15">
        <f>AE34</f>
        <v/>
      </c>
      <c r="AG34" s="15">
        <f>AF34</f>
        <v/>
      </c>
      <c r="AH34" s="15">
        <f>AG34</f>
        <v/>
      </c>
      <c r="AI34" s="15">
        <f>AH34</f>
        <v/>
      </c>
      <c r="AJ34" s="15">
        <f>AI34</f>
        <v/>
      </c>
      <c r="AK34" s="15">
        <f>AJ34</f>
        <v/>
      </c>
      <c r="AL34" s="15">
        <f>AK34</f>
        <v/>
      </c>
      <c r="AM34" s="15">
        <f>AL34</f>
        <v/>
      </c>
      <c r="AN34" s="15">
        <f>AM34</f>
        <v/>
      </c>
      <c r="AO34" s="15">
        <f>AN34</f>
        <v/>
      </c>
      <c r="AP34" s="15">
        <f>AO34</f>
        <v/>
      </c>
      <c r="AQ34" s="15">
        <f>AP34</f>
        <v/>
      </c>
      <c r="AR34" s="15">
        <f>AQ34</f>
        <v/>
      </c>
      <c r="AS34" s="15">
        <f>AR34</f>
        <v/>
      </c>
      <c r="AT34" s="15">
        <f>AS34</f>
        <v/>
      </c>
    </row>
    <row r="35">
      <c r="A35" s="3" t="inlineStr">
        <is>
          <t>Common Stock</t>
        </is>
      </c>
      <c r="B35" s="4">
        <f>'QTR BS'!B39</f>
        <v/>
      </c>
      <c r="C35" s="4">
        <f>'QTR BS'!C39</f>
        <v/>
      </c>
      <c r="D35" s="4">
        <f>'QTR BS'!D39</f>
        <v/>
      </c>
      <c r="E35" s="4">
        <f>'QTR BS'!E39</f>
        <v/>
      </c>
      <c r="F35" s="4">
        <f>'QTR BS'!F39</f>
        <v/>
      </c>
      <c r="G35" s="4">
        <f>'QTR BS'!G39</f>
        <v/>
      </c>
      <c r="H35" s="4">
        <f>'QTR BS'!H39</f>
        <v/>
      </c>
      <c r="I35" s="4">
        <f>'QTR BS'!I39</f>
        <v/>
      </c>
      <c r="J35" s="4">
        <f>'QTR BS'!J39</f>
        <v/>
      </c>
      <c r="K35" s="4">
        <f>'QTR BS'!K39</f>
        <v/>
      </c>
      <c r="L35" s="4">
        <f>'QTR BS'!L39</f>
        <v/>
      </c>
      <c r="M35" s="4">
        <f>'QTR BS'!M39</f>
        <v/>
      </c>
      <c r="N35" s="4">
        <f>'QTR BS'!N39</f>
        <v/>
      </c>
      <c r="O35" s="4">
        <f>'QTR BS'!O39</f>
        <v/>
      </c>
      <c r="P35" s="4">
        <f>'QTR BS'!P39</f>
        <v/>
      </c>
      <c r="Q35" s="4">
        <f>'QTR BS'!Q39</f>
        <v/>
      </c>
      <c r="R35" s="4">
        <f>'QTR BS'!R39</f>
        <v/>
      </c>
      <c r="S35" s="4">
        <f>'QTR BS'!S39</f>
        <v/>
      </c>
      <c r="T35" s="4">
        <f>'QTR BS'!T39</f>
        <v/>
      </c>
      <c r="U35" s="4">
        <f>'QTR BS'!U39</f>
        <v/>
      </c>
      <c r="V35" s="4">
        <f>'QTR BS'!V39</f>
        <v/>
      </c>
      <c r="W35" s="4">
        <f>'QTR BS'!W39</f>
        <v/>
      </c>
      <c r="X35" s="4">
        <f>'QTR BS'!X39</f>
        <v/>
      </c>
      <c r="Y35" s="4">
        <f>'QTR BS'!Y39</f>
        <v/>
      </c>
      <c r="Z35" s="4">
        <f>'QTR BS'!Z39</f>
        <v/>
      </c>
      <c r="AA35" s="15">
        <f>Z35</f>
        <v/>
      </c>
      <c r="AB35" s="15">
        <f>AA35</f>
        <v/>
      </c>
      <c r="AC35" s="15">
        <f>AB35</f>
        <v/>
      </c>
      <c r="AD35" s="15">
        <f>AC35</f>
        <v/>
      </c>
      <c r="AE35" s="15">
        <f>AD35</f>
        <v/>
      </c>
      <c r="AF35" s="15">
        <f>AE35</f>
        <v/>
      </c>
      <c r="AG35" s="15">
        <f>AF35</f>
        <v/>
      </c>
      <c r="AH35" s="15">
        <f>AG35</f>
        <v/>
      </c>
      <c r="AI35" s="15">
        <f>AH35</f>
        <v/>
      </c>
      <c r="AJ35" s="15">
        <f>AI35</f>
        <v/>
      </c>
      <c r="AK35" s="15">
        <f>AJ35</f>
        <v/>
      </c>
      <c r="AL35" s="15">
        <f>AK35</f>
        <v/>
      </c>
      <c r="AM35" s="15">
        <f>AL35</f>
        <v/>
      </c>
      <c r="AN35" s="15">
        <f>AM35</f>
        <v/>
      </c>
      <c r="AO35" s="15">
        <f>AN35</f>
        <v/>
      </c>
      <c r="AP35" s="15">
        <f>AO35</f>
        <v/>
      </c>
      <c r="AQ35" s="15">
        <f>AP35</f>
        <v/>
      </c>
      <c r="AR35" s="15">
        <f>AQ35</f>
        <v/>
      </c>
      <c r="AS35" s="15">
        <f>AR35</f>
        <v/>
      </c>
      <c r="AT35" s="15">
        <f>AS35</f>
        <v/>
      </c>
    </row>
    <row r="36">
      <c r="A36" s="3" t="inlineStr">
        <is>
          <t>Treasury Stock</t>
        </is>
      </c>
      <c r="B36" s="4">
        <f>'QTR BS'!B40</f>
        <v/>
      </c>
      <c r="C36" s="4">
        <f>'QTR BS'!C40</f>
        <v/>
      </c>
      <c r="D36" s="4">
        <f>'QTR BS'!D40</f>
        <v/>
      </c>
      <c r="E36" s="4">
        <f>'QTR BS'!E40</f>
        <v/>
      </c>
      <c r="F36" s="4">
        <f>'QTR BS'!F40</f>
        <v/>
      </c>
      <c r="G36" s="4">
        <f>'QTR BS'!G40</f>
        <v/>
      </c>
      <c r="H36" s="4">
        <f>'QTR BS'!H40</f>
        <v/>
      </c>
      <c r="I36" s="4">
        <f>'QTR BS'!I40</f>
        <v/>
      </c>
      <c r="J36" s="4">
        <f>'QTR BS'!J40</f>
        <v/>
      </c>
      <c r="K36" s="4">
        <f>'QTR BS'!K40</f>
        <v/>
      </c>
      <c r="L36" s="4">
        <f>'QTR BS'!L40</f>
        <v/>
      </c>
      <c r="M36" s="4">
        <f>'QTR BS'!M40</f>
        <v/>
      </c>
      <c r="N36" s="4">
        <f>'QTR BS'!N40</f>
        <v/>
      </c>
      <c r="O36" s="4">
        <f>'QTR BS'!O40</f>
        <v/>
      </c>
      <c r="P36" s="4">
        <f>'QTR BS'!P40</f>
        <v/>
      </c>
      <c r="Q36" s="4">
        <f>'QTR BS'!Q40</f>
        <v/>
      </c>
      <c r="R36" s="4">
        <f>'QTR BS'!R40</f>
        <v/>
      </c>
      <c r="S36" s="4">
        <f>'QTR BS'!S40</f>
        <v/>
      </c>
      <c r="T36" s="4">
        <f>'QTR BS'!T40</f>
        <v/>
      </c>
      <c r="U36" s="4">
        <f>'QTR BS'!U40</f>
        <v/>
      </c>
      <c r="V36" s="4">
        <f>'QTR BS'!V40</f>
        <v/>
      </c>
      <c r="W36" s="4">
        <f>'QTR BS'!W40</f>
        <v/>
      </c>
      <c r="X36" s="4">
        <f>'QTR BS'!X40</f>
        <v/>
      </c>
      <c r="Y36" s="4">
        <f>'QTR BS'!Y40</f>
        <v/>
      </c>
      <c r="Z36" s="4">
        <f>'QTR BS'!Z40</f>
        <v/>
      </c>
      <c r="AA36" s="15">
        <f>Z36</f>
        <v/>
      </c>
      <c r="AB36" s="15">
        <f>AA36</f>
        <v/>
      </c>
      <c r="AC36" s="15">
        <f>AB36</f>
        <v/>
      </c>
      <c r="AD36" s="15">
        <f>AC36</f>
        <v/>
      </c>
      <c r="AE36" s="15">
        <f>AD36</f>
        <v/>
      </c>
      <c r="AF36" s="15">
        <f>AE36</f>
        <v/>
      </c>
      <c r="AG36" s="15">
        <f>AF36</f>
        <v/>
      </c>
      <c r="AH36" s="15">
        <f>AG36</f>
        <v/>
      </c>
      <c r="AI36" s="15">
        <f>AH36</f>
        <v/>
      </c>
      <c r="AJ36" s="15">
        <f>AI36</f>
        <v/>
      </c>
      <c r="AK36" s="15">
        <f>AJ36</f>
        <v/>
      </c>
      <c r="AL36" s="15">
        <f>AK36</f>
        <v/>
      </c>
      <c r="AM36" s="15">
        <f>AL36</f>
        <v/>
      </c>
      <c r="AN36" s="15">
        <f>AM36</f>
        <v/>
      </c>
      <c r="AO36" s="15">
        <f>AN36</f>
        <v/>
      </c>
      <c r="AP36" s="15">
        <f>AO36</f>
        <v/>
      </c>
      <c r="AQ36" s="15">
        <f>AP36</f>
        <v/>
      </c>
      <c r="AR36" s="15">
        <f>AQ36</f>
        <v/>
      </c>
      <c r="AS36" s="15">
        <f>AR36</f>
        <v/>
      </c>
      <c r="AT36" s="15">
        <f>AS36</f>
        <v/>
      </c>
    </row>
    <row r="37">
      <c r="A37" s="3" t="inlineStr">
        <is>
          <t>Additional Paid-in Capital</t>
        </is>
      </c>
      <c r="B37" s="4">
        <f>'QTR BS'!B41</f>
        <v/>
      </c>
      <c r="C37" s="4">
        <f>'QTR BS'!C41</f>
        <v/>
      </c>
      <c r="D37" s="4">
        <f>'QTR BS'!D41</f>
        <v/>
      </c>
      <c r="E37" s="4">
        <f>'QTR BS'!E41</f>
        <v/>
      </c>
      <c r="F37" s="4">
        <f>'QTR BS'!F41</f>
        <v/>
      </c>
      <c r="G37" s="4">
        <f>'QTR BS'!G41</f>
        <v/>
      </c>
      <c r="H37" s="4">
        <f>'QTR BS'!H41</f>
        <v/>
      </c>
      <c r="I37" s="4">
        <f>'QTR BS'!I41</f>
        <v/>
      </c>
      <c r="J37" s="4">
        <f>'QTR BS'!J41</f>
        <v/>
      </c>
      <c r="K37" s="4">
        <f>'QTR BS'!K41</f>
        <v/>
      </c>
      <c r="L37" s="4">
        <f>'QTR BS'!L41</f>
        <v/>
      </c>
      <c r="M37" s="4">
        <f>'QTR BS'!M41</f>
        <v/>
      </c>
      <c r="N37" s="4">
        <f>'QTR BS'!N41</f>
        <v/>
      </c>
      <c r="O37" s="4">
        <f>'QTR BS'!O41</f>
        <v/>
      </c>
      <c r="P37" s="4">
        <f>'QTR BS'!P41</f>
        <v/>
      </c>
      <c r="Q37" s="4">
        <f>'QTR BS'!Q41</f>
        <v/>
      </c>
      <c r="R37" s="4">
        <f>'QTR BS'!R41</f>
        <v/>
      </c>
      <c r="S37" s="4">
        <f>'QTR BS'!S41</f>
        <v/>
      </c>
      <c r="T37" s="4">
        <f>'QTR BS'!T41</f>
        <v/>
      </c>
      <c r="U37" s="4">
        <f>'QTR BS'!U41</f>
        <v/>
      </c>
      <c r="V37" s="4">
        <f>'QTR BS'!V41</f>
        <v/>
      </c>
      <c r="W37" s="4">
        <f>'QTR BS'!W41</f>
        <v/>
      </c>
      <c r="X37" s="4">
        <f>'QTR BS'!X41</f>
        <v/>
      </c>
      <c r="Y37" s="4">
        <f>'QTR BS'!Y41</f>
        <v/>
      </c>
      <c r="Z37" s="4">
        <f>'QTR BS'!Z41</f>
        <v/>
      </c>
      <c r="AA37" s="4">
        <f>Z37+'QTR CF'!Z11</f>
        <v/>
      </c>
      <c r="AB37" s="4">
        <f>AA37+'QTR CF'!AA11</f>
        <v/>
      </c>
      <c r="AC37" s="4">
        <f>AB37+'QTR CF'!AB11</f>
        <v/>
      </c>
      <c r="AD37" s="4">
        <f>AC37+'QTR CF'!AC11</f>
        <v/>
      </c>
      <c r="AE37" s="4">
        <f>AD37+'QTR CF'!AD11</f>
        <v/>
      </c>
      <c r="AF37" s="4">
        <f>AE37+'QTR CF'!AE11</f>
        <v/>
      </c>
      <c r="AG37" s="4">
        <f>AF37+'QTR CF'!AF11</f>
        <v/>
      </c>
      <c r="AH37" s="4">
        <f>AG37+'QTR CF'!AG11</f>
        <v/>
      </c>
      <c r="AI37" s="4">
        <f>AH37+'QTR CF'!AH11</f>
        <v/>
      </c>
      <c r="AJ37" s="4">
        <f>AI37+'QTR CF'!AI11</f>
        <v/>
      </c>
      <c r="AK37" s="4">
        <f>AJ37+'QTR CF'!AJ11</f>
        <v/>
      </c>
      <c r="AL37" s="4">
        <f>AK37+'QTR CF'!AK11</f>
        <v/>
      </c>
      <c r="AM37" s="4">
        <f>AL37+'QTR CF'!AL11</f>
        <v/>
      </c>
      <c r="AN37" s="4">
        <f>AM37+'QTR CF'!AM11</f>
        <v/>
      </c>
      <c r="AO37" s="4">
        <f>AN37+'QTR CF'!AN11</f>
        <v/>
      </c>
      <c r="AP37" s="4">
        <f>AO37+'QTR CF'!AO11</f>
        <v/>
      </c>
      <c r="AQ37" s="4">
        <f>AP37+'QTR CF'!AP11</f>
        <v/>
      </c>
      <c r="AR37" s="4">
        <f>AQ37+'QTR CF'!AQ11</f>
        <v/>
      </c>
      <c r="AS37" s="4">
        <f>AR37+'QTR CF'!AR11</f>
        <v/>
      </c>
      <c r="AT37" s="4">
        <f>AS37+'QTR CF'!AS11</f>
        <v/>
      </c>
    </row>
    <row r="38">
      <c r="A38" s="3" t="inlineStr">
        <is>
          <t>Accumulated Other Comprehensive Income (Loss)</t>
        </is>
      </c>
      <c r="B38" s="4">
        <f>'QTR BS'!B42</f>
        <v/>
      </c>
      <c r="C38" s="4">
        <f>'QTR BS'!C42</f>
        <v/>
      </c>
      <c r="D38" s="4">
        <f>'QTR BS'!D42</f>
        <v/>
      </c>
      <c r="E38" s="4">
        <f>'QTR BS'!E42</f>
        <v/>
      </c>
      <c r="F38" s="4">
        <f>'QTR BS'!F42</f>
        <v/>
      </c>
      <c r="G38" s="4">
        <f>'QTR BS'!G42</f>
        <v/>
      </c>
      <c r="H38" s="4">
        <f>'QTR BS'!H42</f>
        <v/>
      </c>
      <c r="I38" s="4">
        <f>'QTR BS'!I42</f>
        <v/>
      </c>
      <c r="J38" s="4">
        <f>'QTR BS'!J42</f>
        <v/>
      </c>
      <c r="K38" s="4">
        <f>'QTR BS'!K42</f>
        <v/>
      </c>
      <c r="L38" s="4">
        <f>'QTR BS'!L42</f>
        <v/>
      </c>
      <c r="M38" s="4">
        <f>'QTR BS'!M42</f>
        <v/>
      </c>
      <c r="N38" s="4">
        <f>'QTR BS'!N42</f>
        <v/>
      </c>
      <c r="O38" s="4">
        <f>'QTR BS'!O42</f>
        <v/>
      </c>
      <c r="P38" s="4">
        <f>'QTR BS'!P42</f>
        <v/>
      </c>
      <c r="Q38" s="4">
        <f>'QTR BS'!Q42</f>
        <v/>
      </c>
      <c r="R38" s="4">
        <f>'QTR BS'!R42</f>
        <v/>
      </c>
      <c r="S38" s="4">
        <f>'QTR BS'!S42</f>
        <v/>
      </c>
      <c r="T38" s="4">
        <f>'QTR BS'!T42</f>
        <v/>
      </c>
      <c r="U38" s="4">
        <f>'QTR BS'!U42</f>
        <v/>
      </c>
      <c r="V38" s="4">
        <f>'QTR BS'!V42</f>
        <v/>
      </c>
      <c r="W38" s="4">
        <f>'QTR BS'!W42</f>
        <v/>
      </c>
      <c r="X38" s="4">
        <f>'QTR BS'!X42</f>
        <v/>
      </c>
      <c r="Y38" s="4">
        <f>'QTR BS'!Y42</f>
        <v/>
      </c>
      <c r="Z38" s="4">
        <f>'QTR BS'!Z42</f>
        <v/>
      </c>
      <c r="AA38" s="4">
        <f>Z38+'QTR CF'!Z57</f>
        <v/>
      </c>
      <c r="AB38" s="4">
        <f>AA38+'QTR CF'!AA57</f>
        <v/>
      </c>
      <c r="AC38" s="4">
        <f>AB38+'QTR CF'!AB57</f>
        <v/>
      </c>
      <c r="AD38" s="4">
        <f>AC38+'QTR CF'!AC57</f>
        <v/>
      </c>
      <c r="AE38" s="4">
        <f>AD38+'QTR CF'!AD57</f>
        <v/>
      </c>
      <c r="AF38" s="4">
        <f>AE38+'QTR CF'!AE57</f>
        <v/>
      </c>
      <c r="AG38" s="4">
        <f>AF38+'QTR CF'!AF57</f>
        <v/>
      </c>
      <c r="AH38" s="4">
        <f>AG38+'QTR CF'!AG57</f>
        <v/>
      </c>
      <c r="AI38" s="4">
        <f>AH38+'QTR CF'!AH57</f>
        <v/>
      </c>
      <c r="AJ38" s="4">
        <f>AI38+'QTR CF'!AI57</f>
        <v/>
      </c>
      <c r="AK38" s="4">
        <f>AJ38+'QTR CF'!AJ57</f>
        <v/>
      </c>
      <c r="AL38" s="4">
        <f>AK38+'QTR CF'!AK57</f>
        <v/>
      </c>
      <c r="AM38" s="4">
        <f>AL38+'QTR CF'!AL57</f>
        <v/>
      </c>
      <c r="AN38" s="4">
        <f>AM38+'QTR CF'!AM57</f>
        <v/>
      </c>
      <c r="AO38" s="4">
        <f>AN38+'QTR CF'!AN57</f>
        <v/>
      </c>
      <c r="AP38" s="4">
        <f>AO38+'QTR CF'!AO57</f>
        <v/>
      </c>
      <c r="AQ38" s="4">
        <f>AP38+'QTR CF'!AP57</f>
        <v/>
      </c>
      <c r="AR38" s="4">
        <f>AQ38+'QTR CF'!AQ57</f>
        <v/>
      </c>
      <c r="AS38" s="4">
        <f>AR38+'QTR CF'!AR57</f>
        <v/>
      </c>
      <c r="AT38" s="4">
        <f>AS38+'QTR CF'!AS57</f>
        <v/>
      </c>
    </row>
    <row r="39">
      <c r="A39" s="3" t="inlineStr">
        <is>
          <t>Retained Earnings (Accumulated Deficit)</t>
        </is>
      </c>
      <c r="B39" s="4">
        <f>'QTR BS'!B43</f>
        <v/>
      </c>
      <c r="C39" s="4">
        <f>'QTR BS'!C43</f>
        <v/>
      </c>
      <c r="D39" s="4">
        <f>'QTR BS'!D43</f>
        <v/>
      </c>
      <c r="E39" s="4">
        <f>'QTR BS'!E43</f>
        <v/>
      </c>
      <c r="F39" s="4">
        <f>'QTR BS'!F43</f>
        <v/>
      </c>
      <c r="G39" s="4">
        <f>'QTR BS'!G43</f>
        <v/>
      </c>
      <c r="H39" s="4">
        <f>'QTR BS'!H43</f>
        <v/>
      </c>
      <c r="I39" s="4">
        <f>'QTR BS'!I43</f>
        <v/>
      </c>
      <c r="J39" s="4">
        <f>'QTR BS'!J43</f>
        <v/>
      </c>
      <c r="K39" s="4">
        <f>'QTR BS'!K43</f>
        <v/>
      </c>
      <c r="L39" s="4">
        <f>'QTR BS'!L43</f>
        <v/>
      </c>
      <c r="M39" s="4">
        <f>'QTR BS'!M43</f>
        <v/>
      </c>
      <c r="N39" s="4">
        <f>'QTR BS'!N43</f>
        <v/>
      </c>
      <c r="O39" s="4">
        <f>'QTR BS'!O43</f>
        <v/>
      </c>
      <c r="P39" s="4">
        <f>'QTR BS'!P43</f>
        <v/>
      </c>
      <c r="Q39" s="4">
        <f>'QTR BS'!Q43</f>
        <v/>
      </c>
      <c r="R39" s="4">
        <f>'QTR BS'!R43</f>
        <v/>
      </c>
      <c r="S39" s="4">
        <f>'QTR BS'!S43</f>
        <v/>
      </c>
      <c r="T39" s="4">
        <f>'QTR BS'!T43</f>
        <v/>
      </c>
      <c r="U39" s="4">
        <f>'QTR BS'!U43</f>
        <v/>
      </c>
      <c r="V39" s="4">
        <f>'QTR BS'!V43</f>
        <v/>
      </c>
      <c r="W39" s="4">
        <f>'QTR BS'!W43</f>
        <v/>
      </c>
      <c r="X39" s="4">
        <f>'QTR BS'!X43</f>
        <v/>
      </c>
      <c r="Y39" s="4">
        <f>'QTR BS'!Y43</f>
        <v/>
      </c>
      <c r="Z39" s="4">
        <f>'QTR BS'!Z43</f>
        <v/>
      </c>
      <c r="AA39" s="4">
        <f>Z39+'QTR P&amp;L'!AD17+'QTR CF'!Z50</f>
        <v/>
      </c>
      <c r="AB39" s="4">
        <f>AA39+'QTR P&amp;L'!AE17+'QTR CF'!AA50</f>
        <v/>
      </c>
      <c r="AC39" s="4">
        <f>AB39+'QTR P&amp;L'!AF17+'QTR CF'!AB50</f>
        <v/>
      </c>
      <c r="AD39" s="4">
        <f>AC39+'QTR P&amp;L'!AG17+'QTR CF'!AC50</f>
        <v/>
      </c>
      <c r="AE39" s="4">
        <f>AD39+'QTR P&amp;L'!AH17+'QTR CF'!AD50</f>
        <v/>
      </c>
      <c r="AF39" s="4">
        <f>AE39+'QTR P&amp;L'!AI17+'QTR CF'!AE50</f>
        <v/>
      </c>
      <c r="AG39" s="4">
        <f>AF39+'QTR P&amp;L'!AJ17+'QTR CF'!AF50</f>
        <v/>
      </c>
      <c r="AH39" s="4">
        <f>AG39+'QTR P&amp;L'!AK17+'QTR CF'!AG50</f>
        <v/>
      </c>
      <c r="AI39" s="4">
        <f>AH39+'QTR P&amp;L'!AL17+'QTR CF'!AH50</f>
        <v/>
      </c>
      <c r="AJ39" s="4">
        <f>AI39+'QTR P&amp;L'!AM17+'QTR CF'!AI50</f>
        <v/>
      </c>
      <c r="AK39" s="4">
        <f>AJ39+'QTR P&amp;L'!AN17+'QTR CF'!AJ50</f>
        <v/>
      </c>
      <c r="AL39" s="4">
        <f>AK39+'QTR P&amp;L'!AO17+'QTR CF'!AK50</f>
        <v/>
      </c>
      <c r="AM39" s="4">
        <f>AL39+'QTR P&amp;L'!AP17+'QTR CF'!AL50</f>
        <v/>
      </c>
      <c r="AN39" s="4">
        <f>AM39+'QTR P&amp;L'!AQ17+'QTR CF'!AM50</f>
        <v/>
      </c>
      <c r="AO39" s="4">
        <f>AN39+'QTR P&amp;L'!AR17+'QTR CF'!AN50</f>
        <v/>
      </c>
      <c r="AP39" s="4">
        <f>AO39+'QTR P&amp;L'!AS17+'QTR CF'!AO50</f>
        <v/>
      </c>
      <c r="AQ39" s="4">
        <f>AP39+'QTR P&amp;L'!AT17+'QTR CF'!AP50</f>
        <v/>
      </c>
      <c r="AR39" s="4">
        <f>AQ39+'QTR P&amp;L'!AU17+'QTR CF'!AQ50</f>
        <v/>
      </c>
      <c r="AS39" s="4">
        <f>AR39+'QTR P&amp;L'!AV17+'QTR CF'!AR50</f>
        <v/>
      </c>
      <c r="AT39" s="4">
        <f>AS39+'QTR P&amp;L'!AW17+'QTR CF'!AS50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</cols>
  <sheetData>
    <row r="1">
      <c r="A1" s="1" t="inlineStr">
        <is>
          <t>Driver</t>
        </is>
      </c>
      <c r="B1" s="2" t="inlineStr">
        <is>
          <t>Q1 FY2020</t>
        </is>
      </c>
      <c r="C1" s="2" t="inlineStr">
        <is>
          <t>Q2 FY2020</t>
        </is>
      </c>
      <c r="D1" s="2" t="inlineStr">
        <is>
          <t>Q3 FY2020</t>
        </is>
      </c>
      <c r="E1" s="2" t="inlineStr">
        <is>
          <t>Q4 FY2020</t>
        </is>
      </c>
      <c r="F1" s="2" t="inlineStr">
        <is>
          <t>Q1 FY2021</t>
        </is>
      </c>
      <c r="G1" s="2" t="inlineStr">
        <is>
          <t>Q2 FY2021</t>
        </is>
      </c>
      <c r="H1" s="2" t="inlineStr">
        <is>
          <t>Q3 FY2021</t>
        </is>
      </c>
      <c r="I1" s="2" t="inlineStr">
        <is>
          <t>Q4 FY2021</t>
        </is>
      </c>
      <c r="J1" s="2" t="inlineStr">
        <is>
          <t>Q1 FY2022</t>
        </is>
      </c>
      <c r="K1" s="2" t="inlineStr">
        <is>
          <t>Q2 FY2022</t>
        </is>
      </c>
      <c r="L1" s="2" t="inlineStr">
        <is>
          <t>Q3 FY2022</t>
        </is>
      </c>
      <c r="M1" s="2" t="inlineStr">
        <is>
          <t>Q4 FY2022</t>
        </is>
      </c>
      <c r="N1" s="2" t="inlineStr">
        <is>
          <t>Q1 FY2023</t>
        </is>
      </c>
      <c r="O1" s="2" t="inlineStr">
        <is>
          <t>Q2 FY2023</t>
        </is>
      </c>
      <c r="P1" s="2" t="inlineStr">
        <is>
          <t>Q3 FY2023</t>
        </is>
      </c>
      <c r="Q1" s="2" t="inlineStr">
        <is>
          <t>Q4 FY2023</t>
        </is>
      </c>
      <c r="R1" s="2" t="inlineStr">
        <is>
          <t>Q1 FY2024</t>
        </is>
      </c>
      <c r="S1" s="2" t="inlineStr">
        <is>
          <t>Q2 FY2024</t>
        </is>
      </c>
      <c r="T1" s="2" t="inlineStr">
        <is>
          <t>Q3 FY2024</t>
        </is>
      </c>
      <c r="U1" s="2" t="inlineStr">
        <is>
          <t>Q4 FY2024</t>
        </is>
      </c>
      <c r="V1" s="2" t="inlineStr">
        <is>
          <t>Q1 FY2025</t>
        </is>
      </c>
      <c r="W1" s="2" t="inlineStr">
        <is>
          <t>Q2 FY2025</t>
        </is>
      </c>
      <c r="X1" s="2" t="inlineStr">
        <is>
          <t>Q3 FY2025</t>
        </is>
      </c>
      <c r="Y1" s="2" t="inlineStr">
        <is>
          <t>Q4 FY2025</t>
        </is>
      </c>
      <c r="Z1" s="2" t="inlineStr">
        <is>
          <t>Q1 FY2026E</t>
        </is>
      </c>
      <c r="AA1" s="2" t="inlineStr">
        <is>
          <t>Q2 FY2026E</t>
        </is>
      </c>
      <c r="AB1" s="2" t="inlineStr">
        <is>
          <t>Q3 FY2026E</t>
        </is>
      </c>
      <c r="AC1" s="2" t="inlineStr">
        <is>
          <t>Q4 FY2026E</t>
        </is>
      </c>
      <c r="AD1" s="2" t="inlineStr">
        <is>
          <t>Q1 FY2027E</t>
        </is>
      </c>
      <c r="AE1" s="2" t="inlineStr">
        <is>
          <t>Q2 FY2027E</t>
        </is>
      </c>
      <c r="AF1" s="2" t="inlineStr">
        <is>
          <t>Q3 FY2027E</t>
        </is>
      </c>
      <c r="AG1" s="2" t="inlineStr">
        <is>
          <t>Q4 FY2027E</t>
        </is>
      </c>
      <c r="AH1" s="2" t="inlineStr">
        <is>
          <t>Q1 FY2028E</t>
        </is>
      </c>
      <c r="AI1" s="2" t="inlineStr">
        <is>
          <t>Q2 FY2028E</t>
        </is>
      </c>
      <c r="AJ1" s="2" t="inlineStr">
        <is>
          <t>Q3 FY2028E</t>
        </is>
      </c>
      <c r="AK1" s="2" t="inlineStr">
        <is>
          <t>Q4 FY2028E</t>
        </is>
      </c>
      <c r="AL1" s="2" t="inlineStr">
        <is>
          <t>Q1 FY2029E</t>
        </is>
      </c>
      <c r="AM1" s="2" t="inlineStr">
        <is>
          <t>Q2 FY2029E</t>
        </is>
      </c>
      <c r="AN1" s="2" t="inlineStr">
        <is>
          <t>Q3 FY2029E</t>
        </is>
      </c>
      <c r="AO1" s="2" t="inlineStr">
        <is>
          <t>Q4 FY2029E</t>
        </is>
      </c>
      <c r="AP1" s="2" t="inlineStr">
        <is>
          <t>Q1 FY2030E</t>
        </is>
      </c>
      <c r="AQ1" s="2" t="inlineStr">
        <is>
          <t>Q2 FY2030E</t>
        </is>
      </c>
      <c r="AR1" s="2" t="inlineStr">
        <is>
          <t>Q3 FY2030E</t>
        </is>
      </c>
      <c r="AS1" s="2" t="inlineStr">
        <is>
          <t>Q4 FY2030E</t>
        </is>
      </c>
    </row>
    <row r="2">
      <c r="A2" s="3" t="inlineStr">
        <is>
          <t>Net Income (Loss)</t>
        </is>
      </c>
      <c r="B2" s="4">
        <f>'QTR CF'!B2</f>
        <v/>
      </c>
      <c r="C2" s="4">
        <f>'QTR CF'!C2</f>
        <v/>
      </c>
      <c r="D2" s="4">
        <f>'QTR CF'!D2</f>
        <v/>
      </c>
      <c r="E2" s="4">
        <f>'QTR CF'!E2</f>
        <v/>
      </c>
      <c r="F2" s="4">
        <f>'QTR CF'!F2</f>
        <v/>
      </c>
      <c r="G2" s="4">
        <f>'QTR CF'!G2</f>
        <v/>
      </c>
      <c r="H2" s="4">
        <f>'QTR CF'!H2</f>
        <v/>
      </c>
      <c r="I2" s="4">
        <f>'QTR CF'!I2</f>
        <v/>
      </c>
      <c r="J2" s="4">
        <f>'QTR CF'!J2</f>
        <v/>
      </c>
      <c r="K2" s="4">
        <f>'QTR CF'!K2</f>
        <v/>
      </c>
      <c r="L2" s="4">
        <f>'QTR CF'!L2</f>
        <v/>
      </c>
      <c r="M2" s="4">
        <f>'QTR CF'!M2</f>
        <v/>
      </c>
      <c r="N2" s="4">
        <f>'QTR CF'!N2</f>
        <v/>
      </c>
      <c r="O2" s="4">
        <f>'QTR CF'!O2</f>
        <v/>
      </c>
      <c r="P2" s="4">
        <f>'QTR CF'!P2</f>
        <v/>
      </c>
      <c r="Q2" s="4">
        <f>'QTR CF'!Q2</f>
        <v/>
      </c>
      <c r="R2" s="4">
        <f>'QTR CF'!R2</f>
        <v/>
      </c>
      <c r="S2" s="4">
        <f>'QTR CF'!S2</f>
        <v/>
      </c>
      <c r="T2" s="4">
        <f>'QTR CF'!T2</f>
        <v/>
      </c>
      <c r="U2" s="4">
        <f>'QTR CF'!U2</f>
        <v/>
      </c>
      <c r="V2" s="4">
        <f>'QTR CF'!V2</f>
        <v/>
      </c>
      <c r="W2" s="4">
        <f>'QTR CF'!W2</f>
        <v/>
      </c>
      <c r="X2" s="4">
        <f>'QTR CF'!X2</f>
        <v/>
      </c>
      <c r="Y2" s="4">
        <f>'QTR CF'!Y2</f>
        <v/>
      </c>
      <c r="Z2" s="4">
        <f>'QTR P&amp;L'!AD17</f>
        <v/>
      </c>
      <c r="AA2" s="4">
        <f>'QTR P&amp;L'!AE17</f>
        <v/>
      </c>
      <c r="AB2" s="4">
        <f>'QTR P&amp;L'!AF17</f>
        <v/>
      </c>
      <c r="AC2" s="4">
        <f>'QTR P&amp;L'!AG17</f>
        <v/>
      </c>
      <c r="AD2" s="4">
        <f>'QTR P&amp;L'!AH17</f>
        <v/>
      </c>
      <c r="AE2" s="4">
        <f>'QTR P&amp;L'!AI17</f>
        <v/>
      </c>
      <c r="AF2" s="4">
        <f>'QTR P&amp;L'!AJ17</f>
        <v/>
      </c>
      <c r="AG2" s="4">
        <f>'QTR P&amp;L'!AK17</f>
        <v/>
      </c>
      <c r="AH2" s="4">
        <f>'QTR P&amp;L'!AL17</f>
        <v/>
      </c>
      <c r="AI2" s="4">
        <f>'QTR P&amp;L'!AM17</f>
        <v/>
      </c>
      <c r="AJ2" s="4">
        <f>'QTR P&amp;L'!AN17</f>
        <v/>
      </c>
      <c r="AK2" s="4">
        <f>'QTR P&amp;L'!AO17</f>
        <v/>
      </c>
      <c r="AL2" s="4">
        <f>'QTR P&amp;L'!AP17</f>
        <v/>
      </c>
      <c r="AM2" s="4">
        <f>'QTR P&amp;L'!AQ17</f>
        <v/>
      </c>
      <c r="AN2" s="4">
        <f>'QTR P&amp;L'!AR17</f>
        <v/>
      </c>
      <c r="AO2" s="4">
        <f>'QTR P&amp;L'!AS17</f>
        <v/>
      </c>
      <c r="AP2" s="4">
        <f>'QTR P&amp;L'!AT17</f>
        <v/>
      </c>
      <c r="AQ2" s="4">
        <f>'QTR P&amp;L'!AU17</f>
        <v/>
      </c>
      <c r="AR2" s="4">
        <f>'QTR P&amp;L'!AV17</f>
        <v/>
      </c>
      <c r="AS2" s="4">
        <f>'QTR P&amp;L'!AW17</f>
        <v/>
      </c>
    </row>
    <row r="3">
      <c r="A3" s="3" t="inlineStr">
        <is>
          <t>Depreciation</t>
        </is>
      </c>
      <c r="B3" s="4">
        <f>'QTR CF'!B3</f>
        <v/>
      </c>
      <c r="C3" s="4">
        <f>'QTR CF'!C3</f>
        <v/>
      </c>
      <c r="D3" s="4">
        <f>'QTR CF'!D3</f>
        <v/>
      </c>
      <c r="E3" s="4">
        <f>'QTR CF'!E3</f>
        <v/>
      </c>
      <c r="F3" s="4">
        <f>'QTR CF'!F3</f>
        <v/>
      </c>
      <c r="G3" s="4">
        <f>'QTR CF'!G3</f>
        <v/>
      </c>
      <c r="H3" s="4">
        <f>'QTR CF'!H3</f>
        <v/>
      </c>
      <c r="I3" s="4">
        <f>'QTR CF'!I3</f>
        <v/>
      </c>
      <c r="J3" s="4">
        <f>'QTR CF'!J3</f>
        <v/>
      </c>
      <c r="K3" s="4">
        <f>'QTR CF'!K3</f>
        <v/>
      </c>
      <c r="L3" s="4">
        <f>'QTR CF'!L3</f>
        <v/>
      </c>
      <c r="M3" s="4">
        <f>'QTR CF'!M3</f>
        <v/>
      </c>
      <c r="N3" s="4">
        <f>'QTR CF'!N3</f>
        <v/>
      </c>
      <c r="O3" s="4">
        <f>'QTR CF'!O3</f>
        <v/>
      </c>
      <c r="P3" s="4">
        <f>'QTR CF'!P3</f>
        <v/>
      </c>
      <c r="Q3" s="4">
        <f>'QTR CF'!Q3</f>
        <v/>
      </c>
      <c r="R3" s="4">
        <f>'QTR CF'!R3</f>
        <v/>
      </c>
      <c r="S3" s="4">
        <f>'QTR CF'!S3</f>
        <v/>
      </c>
      <c r="T3" s="4">
        <f>'QTR CF'!T3</f>
        <v/>
      </c>
      <c r="U3" s="4">
        <f>'QTR CF'!U3</f>
        <v/>
      </c>
      <c r="V3" s="4">
        <f>'QTR CF'!V3</f>
        <v/>
      </c>
      <c r="W3" s="4">
        <f>'QTR CF'!W3</f>
        <v/>
      </c>
      <c r="X3" s="4">
        <f>'QTR CF'!X3</f>
        <v/>
      </c>
      <c r="Y3" s="4">
        <f>'QTR CF'!Y3</f>
        <v/>
      </c>
      <c r="Z3" s="15" t="n">
        <v>0</v>
      </c>
      <c r="AA3" s="15" t="n">
        <v>0</v>
      </c>
      <c r="AB3" s="15" t="n">
        <v>0</v>
      </c>
      <c r="AC3" s="15" t="n">
        <v>0</v>
      </c>
      <c r="AD3" s="15" t="n">
        <v>0</v>
      </c>
      <c r="AE3" s="15" t="n">
        <v>0</v>
      </c>
      <c r="AF3" s="15" t="n">
        <v>0</v>
      </c>
      <c r="AG3" s="15" t="n">
        <v>0</v>
      </c>
      <c r="AH3" s="15" t="n">
        <v>0</v>
      </c>
      <c r="AI3" s="15" t="n">
        <v>0</v>
      </c>
      <c r="AJ3" s="15" t="n">
        <v>0</v>
      </c>
      <c r="AK3" s="15" t="n">
        <v>0</v>
      </c>
      <c r="AL3" s="15" t="n">
        <v>0</v>
      </c>
      <c r="AM3" s="15" t="n">
        <v>0</v>
      </c>
      <c r="AN3" s="15" t="n">
        <v>0</v>
      </c>
      <c r="AO3" s="15" t="n">
        <v>0</v>
      </c>
      <c r="AP3" s="15" t="n">
        <v>0</v>
      </c>
      <c r="AQ3" s="15" t="n">
        <v>0</v>
      </c>
      <c r="AR3" s="15" t="n">
        <v>0</v>
      </c>
      <c r="AS3" s="15" t="n">
        <v>0</v>
      </c>
    </row>
    <row r="4">
      <c r="A4" s="3" t="inlineStr">
        <is>
          <t>Amortization</t>
        </is>
      </c>
      <c r="B4" s="4">
        <f>'QTR CF'!B4</f>
        <v/>
      </c>
      <c r="C4" s="4">
        <f>'QTR CF'!C4</f>
        <v/>
      </c>
      <c r="D4" s="4">
        <f>'QTR CF'!D4</f>
        <v/>
      </c>
      <c r="E4" s="4">
        <f>'QTR CF'!E4</f>
        <v/>
      </c>
      <c r="F4" s="4">
        <f>'QTR CF'!F4</f>
        <v/>
      </c>
      <c r="G4" s="4">
        <f>'QTR CF'!G4</f>
        <v/>
      </c>
      <c r="H4" s="4">
        <f>'QTR CF'!H4</f>
        <v/>
      </c>
      <c r="I4" s="4">
        <f>'QTR CF'!I4</f>
        <v/>
      </c>
      <c r="J4" s="4">
        <f>'QTR CF'!J4</f>
        <v/>
      </c>
      <c r="K4" s="4">
        <f>'QTR CF'!K4</f>
        <v/>
      </c>
      <c r="L4" s="4">
        <f>'QTR CF'!L4</f>
        <v/>
      </c>
      <c r="M4" s="4">
        <f>'QTR CF'!M4</f>
        <v/>
      </c>
      <c r="N4" s="4">
        <f>'QTR CF'!N4</f>
        <v/>
      </c>
      <c r="O4" s="4">
        <f>'QTR CF'!O4</f>
        <v/>
      </c>
      <c r="P4" s="4">
        <f>'QTR CF'!P4</f>
        <v/>
      </c>
      <c r="Q4" s="4">
        <f>'QTR CF'!Q4</f>
        <v/>
      </c>
      <c r="R4" s="4">
        <f>'QTR CF'!R4</f>
        <v/>
      </c>
      <c r="S4" s="4">
        <f>'QTR CF'!S4</f>
        <v/>
      </c>
      <c r="T4" s="4">
        <f>'QTR CF'!T4</f>
        <v/>
      </c>
      <c r="U4" s="4">
        <f>'QTR CF'!U4</f>
        <v/>
      </c>
      <c r="V4" s="4">
        <f>'QTR CF'!V4</f>
        <v/>
      </c>
      <c r="W4" s="4">
        <f>'QTR CF'!W4</f>
        <v/>
      </c>
      <c r="X4" s="4">
        <f>'QTR CF'!X4</f>
        <v/>
      </c>
      <c r="Y4" s="4">
        <f>'QTR CF'!Y4</f>
        <v/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</v>
      </c>
      <c r="AF4" s="15" t="n">
        <v>0</v>
      </c>
      <c r="AG4" s="15" t="n">
        <v>0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</v>
      </c>
      <c r="AR4" s="15" t="n">
        <v>0</v>
      </c>
      <c r="AS4" s="15" t="n">
        <v>0</v>
      </c>
    </row>
    <row r="5">
      <c r="A5" s="3" t="inlineStr">
        <is>
          <t>Impairment of Intangibles</t>
        </is>
      </c>
      <c r="B5" s="4">
        <f>'QTR CF'!B5</f>
        <v/>
      </c>
      <c r="C5" s="4">
        <f>'QTR CF'!C5</f>
        <v/>
      </c>
      <c r="D5" s="4">
        <f>'QTR CF'!D5</f>
        <v/>
      </c>
      <c r="E5" s="4">
        <f>'QTR CF'!E5</f>
        <v/>
      </c>
      <c r="F5" s="4">
        <f>'QTR CF'!F5</f>
        <v/>
      </c>
      <c r="G5" s="4">
        <f>'QTR CF'!G5</f>
        <v/>
      </c>
      <c r="H5" s="4">
        <f>'QTR CF'!H5</f>
        <v/>
      </c>
      <c r="I5" s="4">
        <f>'QTR CF'!I5</f>
        <v/>
      </c>
      <c r="J5" s="4">
        <f>'QTR CF'!J5</f>
        <v/>
      </c>
      <c r="K5" s="4">
        <f>'QTR CF'!K5</f>
        <v/>
      </c>
      <c r="L5" s="4">
        <f>'QTR CF'!L5</f>
        <v/>
      </c>
      <c r="M5" s="4">
        <f>'QTR CF'!M5</f>
        <v/>
      </c>
      <c r="N5" s="4">
        <f>'QTR CF'!N5</f>
        <v/>
      </c>
      <c r="O5" s="4">
        <f>'QTR CF'!O5</f>
        <v/>
      </c>
      <c r="P5" s="4">
        <f>'QTR CF'!P5</f>
        <v/>
      </c>
      <c r="Q5" s="4">
        <f>'QTR CF'!Q5</f>
        <v/>
      </c>
      <c r="R5" s="4">
        <f>'QTR CF'!R5</f>
        <v/>
      </c>
      <c r="S5" s="4">
        <f>'QTR CF'!S5</f>
        <v/>
      </c>
      <c r="T5" s="4">
        <f>'QTR CF'!T5</f>
        <v/>
      </c>
      <c r="U5" s="4">
        <f>'QTR CF'!U5</f>
        <v/>
      </c>
      <c r="V5" s="4">
        <f>'QTR CF'!V5</f>
        <v/>
      </c>
      <c r="W5" s="4">
        <f>'QTR CF'!W5</f>
        <v/>
      </c>
      <c r="X5" s="4">
        <f>'QTR CF'!X5</f>
        <v/>
      </c>
      <c r="Y5" s="4">
        <f>'QTR CF'!Y5</f>
        <v/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</v>
      </c>
      <c r="AF5" s="15" t="n">
        <v>0</v>
      </c>
      <c r="AG5" s="15" t="n">
        <v>0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0</v>
      </c>
      <c r="AR5" s="15" t="n">
        <v>0</v>
      </c>
      <c r="AS5" s="15" t="n">
        <v>0</v>
      </c>
    </row>
    <row r="6">
      <c r="A6" s="3" t="inlineStr">
        <is>
          <t>Depreciation &amp; Amortization — % of Revenue</t>
        </is>
      </c>
      <c r="B6" s="13">
        <f>IFERROR('QTR CF'!B6/'QTR P&amp;L'!F2,"")</f>
        <v/>
      </c>
      <c r="C6" s="13">
        <f>IFERROR('QTR CF'!C6/'QTR P&amp;L'!G2,"")</f>
        <v/>
      </c>
      <c r="D6" s="13">
        <f>IFERROR('QTR CF'!D6/'QTR P&amp;L'!H2,"")</f>
        <v/>
      </c>
      <c r="E6" s="13">
        <f>IFERROR('QTR CF'!E6/'QTR P&amp;L'!I2,"")</f>
        <v/>
      </c>
      <c r="F6" s="13">
        <f>IFERROR('QTR CF'!F6/'QTR P&amp;L'!J2,"")</f>
        <v/>
      </c>
      <c r="G6" s="13">
        <f>IFERROR('QTR CF'!G6/'QTR P&amp;L'!K2,"")</f>
        <v/>
      </c>
      <c r="H6" s="13">
        <f>IFERROR('QTR CF'!H6/'QTR P&amp;L'!L2,"")</f>
        <v/>
      </c>
      <c r="I6" s="13">
        <f>IFERROR('QTR CF'!I6/'QTR P&amp;L'!M2,"")</f>
        <v/>
      </c>
      <c r="J6" s="13">
        <f>IFERROR('QTR CF'!J6/'QTR P&amp;L'!N2,"")</f>
        <v/>
      </c>
      <c r="K6" s="13">
        <f>IFERROR('QTR CF'!K6/'QTR P&amp;L'!O2,"")</f>
        <v/>
      </c>
      <c r="L6" s="13">
        <f>IFERROR('QTR CF'!L6/'QTR P&amp;L'!P2,"")</f>
        <v/>
      </c>
      <c r="M6" s="13">
        <f>IFERROR('QTR CF'!M6/'QTR P&amp;L'!Q2,"")</f>
        <v/>
      </c>
      <c r="N6" s="13">
        <f>IFERROR('QTR CF'!N6/'QTR P&amp;L'!R2,"")</f>
        <v/>
      </c>
      <c r="O6" s="13">
        <f>IFERROR('QTR CF'!O6/'QTR P&amp;L'!S2,"")</f>
        <v/>
      </c>
      <c r="P6" s="13">
        <f>IFERROR('QTR CF'!P6/'QTR P&amp;L'!T2,"")</f>
        <v/>
      </c>
      <c r="Q6" s="13">
        <f>IFERROR('QTR CF'!Q6/'QTR P&amp;L'!U2,"")</f>
        <v/>
      </c>
      <c r="R6" s="13">
        <f>IFERROR('QTR CF'!R6/'QTR P&amp;L'!V2,"")</f>
        <v/>
      </c>
      <c r="S6" s="13">
        <f>IFERROR('QTR CF'!S6/'QTR P&amp;L'!W2,"")</f>
        <v/>
      </c>
      <c r="T6" s="13">
        <f>IFERROR('QTR CF'!T6/'QTR P&amp;L'!X2,"")</f>
        <v/>
      </c>
      <c r="U6" s="13">
        <f>IFERROR('QTR CF'!U6/'QTR P&amp;L'!Y2,"")</f>
        <v/>
      </c>
      <c r="V6" s="13">
        <f>IFERROR('QTR CF'!V6/'QTR P&amp;L'!Z2,"")</f>
        <v/>
      </c>
      <c r="W6" s="13">
        <f>IFERROR('QTR CF'!W6/'QTR P&amp;L'!AA2,"")</f>
        <v/>
      </c>
      <c r="X6" s="13">
        <f>IFERROR('QTR CF'!X6/'QTR P&amp;L'!AB2,"")</f>
        <v/>
      </c>
      <c r="Y6" s="13">
        <f>IFERROR('QTR CF'!Y6/'QTR P&amp;L'!AC2,"")</f>
        <v/>
      </c>
      <c r="Z6" s="14">
        <f>Y6</f>
        <v/>
      </c>
      <c r="AA6" s="14">
        <f>Z6</f>
        <v/>
      </c>
      <c r="AB6" s="14">
        <f>AA6</f>
        <v/>
      </c>
      <c r="AC6" s="14">
        <f>AB6</f>
        <v/>
      </c>
      <c r="AD6" s="14">
        <f>AC6</f>
        <v/>
      </c>
      <c r="AE6" s="14">
        <f>AD6</f>
        <v/>
      </c>
      <c r="AF6" s="14">
        <f>AE6</f>
        <v/>
      </c>
      <c r="AG6" s="14">
        <f>AF6</f>
        <v/>
      </c>
      <c r="AH6" s="14">
        <f>AG6</f>
        <v/>
      </c>
      <c r="AI6" s="14">
        <f>AH6</f>
        <v/>
      </c>
      <c r="AJ6" s="14">
        <f>AI6</f>
        <v/>
      </c>
      <c r="AK6" s="14">
        <f>AJ6</f>
        <v/>
      </c>
      <c r="AL6" s="14">
        <f>AK6</f>
        <v/>
      </c>
      <c r="AM6" s="14">
        <f>AL6</f>
        <v/>
      </c>
      <c r="AN6" s="14">
        <f>AM6</f>
        <v/>
      </c>
      <c r="AO6" s="14">
        <f>AN6</f>
        <v/>
      </c>
      <c r="AP6" s="14">
        <f>AO6</f>
        <v/>
      </c>
      <c r="AQ6" s="14">
        <f>AP6</f>
        <v/>
      </c>
      <c r="AR6" s="14">
        <f>AQ6</f>
        <v/>
      </c>
      <c r="AS6" s="14">
        <f>AR6</f>
        <v/>
      </c>
    </row>
    <row r="7">
      <c r="A7" s="3" t="inlineStr">
        <is>
          <t>Allowance for Credit Losses</t>
        </is>
      </c>
      <c r="B7" s="4">
        <f>'QTR CF'!B7</f>
        <v/>
      </c>
      <c r="C7" s="4">
        <f>'QTR CF'!C7</f>
        <v/>
      </c>
      <c r="D7" s="4">
        <f>'QTR CF'!D7</f>
        <v/>
      </c>
      <c r="E7" s="4">
        <f>'QTR CF'!E7</f>
        <v/>
      </c>
      <c r="F7" s="4">
        <f>'QTR CF'!F7</f>
        <v/>
      </c>
      <c r="G7" s="4">
        <f>'QTR CF'!G7</f>
        <v/>
      </c>
      <c r="H7" s="4">
        <f>'QTR CF'!H7</f>
        <v/>
      </c>
      <c r="I7" s="4">
        <f>'QTR CF'!I7</f>
        <v/>
      </c>
      <c r="J7" s="4">
        <f>'QTR CF'!J7</f>
        <v/>
      </c>
      <c r="K7" s="4">
        <f>'QTR CF'!K7</f>
        <v/>
      </c>
      <c r="L7" s="4">
        <f>'QTR CF'!L7</f>
        <v/>
      </c>
      <c r="M7" s="4">
        <f>'QTR CF'!M7</f>
        <v/>
      </c>
      <c r="N7" s="4">
        <f>'QTR CF'!N7</f>
        <v/>
      </c>
      <c r="O7" s="4">
        <f>'QTR CF'!O7</f>
        <v/>
      </c>
      <c r="P7" s="4">
        <f>'QTR CF'!P7</f>
        <v/>
      </c>
      <c r="Q7" s="4">
        <f>'QTR CF'!Q7</f>
        <v/>
      </c>
      <c r="R7" s="4">
        <f>'QTR CF'!R7</f>
        <v/>
      </c>
      <c r="S7" s="4">
        <f>'QTR CF'!S7</f>
        <v/>
      </c>
      <c r="T7" s="4">
        <f>'QTR CF'!T7</f>
        <v/>
      </c>
      <c r="U7" s="4">
        <f>'QTR CF'!U7</f>
        <v/>
      </c>
      <c r="V7" s="4">
        <f>'QTR CF'!V7</f>
        <v/>
      </c>
      <c r="W7" s="4">
        <f>'QTR CF'!W7</f>
        <v/>
      </c>
      <c r="X7" s="4">
        <f>'QTR CF'!X7</f>
        <v/>
      </c>
      <c r="Y7" s="4">
        <f>'QTR CF'!Y7</f>
        <v/>
      </c>
      <c r="Z7" s="15" t="n">
        <v>0</v>
      </c>
      <c r="AA7" s="15" t="n">
        <v>0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0</v>
      </c>
      <c r="AO7" s="15" t="n">
        <v>0</v>
      </c>
      <c r="AP7" s="15" t="n">
        <v>0</v>
      </c>
      <c r="AQ7" s="15" t="n">
        <v>0</v>
      </c>
      <c r="AR7" s="15" t="n">
        <v>0</v>
      </c>
      <c r="AS7" s="15" t="n">
        <v>0</v>
      </c>
    </row>
    <row r="8">
      <c r="A8" s="3" t="inlineStr">
        <is>
          <t>Amortization of Deferred Other Costs</t>
        </is>
      </c>
      <c r="B8" s="4">
        <f>'QTR CF'!B8</f>
        <v/>
      </c>
      <c r="C8" s="4">
        <f>'QTR CF'!C8</f>
        <v/>
      </c>
      <c r="D8" s="4">
        <f>'QTR CF'!D8</f>
        <v/>
      </c>
      <c r="E8" s="4">
        <f>'QTR CF'!E8</f>
        <v/>
      </c>
      <c r="F8" s="4">
        <f>'QTR CF'!F8</f>
        <v/>
      </c>
      <c r="G8" s="4">
        <f>'QTR CF'!G8</f>
        <v/>
      </c>
      <c r="H8" s="4">
        <f>'QTR CF'!H8</f>
        <v/>
      </c>
      <c r="I8" s="4">
        <f>'QTR CF'!I8</f>
        <v/>
      </c>
      <c r="J8" s="4">
        <f>'QTR CF'!J8</f>
        <v/>
      </c>
      <c r="K8" s="4">
        <f>'QTR CF'!K8</f>
        <v/>
      </c>
      <c r="L8" s="4">
        <f>'QTR CF'!L8</f>
        <v/>
      </c>
      <c r="M8" s="4">
        <f>'QTR CF'!M8</f>
        <v/>
      </c>
      <c r="N8" s="4">
        <f>'QTR CF'!N8</f>
        <v/>
      </c>
      <c r="O8" s="4">
        <f>'QTR CF'!O8</f>
        <v/>
      </c>
      <c r="P8" s="4">
        <f>'QTR CF'!P8</f>
        <v/>
      </c>
      <c r="Q8" s="4">
        <f>'QTR CF'!Q8</f>
        <v/>
      </c>
      <c r="R8" s="4">
        <f>'QTR CF'!R8</f>
        <v/>
      </c>
      <c r="S8" s="4">
        <f>'QTR CF'!S8</f>
        <v/>
      </c>
      <c r="T8" s="4">
        <f>'QTR CF'!T8</f>
        <v/>
      </c>
      <c r="U8" s="4">
        <f>'QTR CF'!U8</f>
        <v/>
      </c>
      <c r="V8" s="4">
        <f>'QTR CF'!V8</f>
        <v/>
      </c>
      <c r="W8" s="4">
        <f>'QTR CF'!W8</f>
        <v/>
      </c>
      <c r="X8" s="4">
        <f>'QTR CF'!X8</f>
        <v/>
      </c>
      <c r="Y8" s="4">
        <f>'QTR CF'!Y8</f>
        <v/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</v>
      </c>
      <c r="AR8" s="15" t="n">
        <v>0</v>
      </c>
      <c r="AS8" s="15" t="n">
        <v>0</v>
      </c>
    </row>
    <row r="9">
      <c r="A9" s="3" t="inlineStr">
        <is>
          <t>Inventory Write-Down</t>
        </is>
      </c>
      <c r="B9" s="4">
        <f>'QTR CF'!B9</f>
        <v/>
      </c>
      <c r="C9" s="4">
        <f>'QTR CF'!C9</f>
        <v/>
      </c>
      <c r="D9" s="4">
        <f>'QTR CF'!D9</f>
        <v/>
      </c>
      <c r="E9" s="4">
        <f>'QTR CF'!E9</f>
        <v/>
      </c>
      <c r="F9" s="4">
        <f>'QTR CF'!F9</f>
        <v/>
      </c>
      <c r="G9" s="4">
        <f>'QTR CF'!G9</f>
        <v/>
      </c>
      <c r="H9" s="4">
        <f>'QTR CF'!H9</f>
        <v/>
      </c>
      <c r="I9" s="4">
        <f>'QTR CF'!I9</f>
        <v/>
      </c>
      <c r="J9" s="4">
        <f>'QTR CF'!J9</f>
        <v/>
      </c>
      <c r="K9" s="4">
        <f>'QTR CF'!K9</f>
        <v/>
      </c>
      <c r="L9" s="4">
        <f>'QTR CF'!L9</f>
        <v/>
      </c>
      <c r="M9" s="4">
        <f>'QTR CF'!M9</f>
        <v/>
      </c>
      <c r="N9" s="4">
        <f>'QTR CF'!N9</f>
        <v/>
      </c>
      <c r="O9" s="4">
        <f>'QTR CF'!O9</f>
        <v/>
      </c>
      <c r="P9" s="4">
        <f>'QTR CF'!P9</f>
        <v/>
      </c>
      <c r="Q9" s="4">
        <f>'QTR CF'!Q9</f>
        <v/>
      </c>
      <c r="R9" s="4">
        <f>'QTR CF'!R9</f>
        <v/>
      </c>
      <c r="S9" s="4">
        <f>'QTR CF'!S9</f>
        <v/>
      </c>
      <c r="T9" s="4">
        <f>'QTR CF'!T9</f>
        <v/>
      </c>
      <c r="U9" s="4">
        <f>'QTR CF'!U9</f>
        <v/>
      </c>
      <c r="V9" s="4">
        <f>'QTR CF'!V9</f>
        <v/>
      </c>
      <c r="W9" s="4">
        <f>'QTR CF'!W9</f>
        <v/>
      </c>
      <c r="X9" s="4">
        <f>'QTR CF'!X9</f>
        <v/>
      </c>
      <c r="Y9" s="4">
        <f>'QTR CF'!Y9</f>
        <v/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</row>
    <row r="10">
      <c r="A10" s="3" t="inlineStr">
        <is>
          <t>Gain (Loss) on Disposal of PP&amp;E</t>
        </is>
      </c>
      <c r="B10" s="4">
        <f>'QTR CF'!B10</f>
        <v/>
      </c>
      <c r="C10" s="4">
        <f>'QTR CF'!C10</f>
        <v/>
      </c>
      <c r="D10" s="4">
        <f>'QTR CF'!D10</f>
        <v/>
      </c>
      <c r="E10" s="4">
        <f>'QTR CF'!E10</f>
        <v/>
      </c>
      <c r="F10" s="4">
        <f>'QTR CF'!F10</f>
        <v/>
      </c>
      <c r="G10" s="4">
        <f>'QTR CF'!G10</f>
        <v/>
      </c>
      <c r="H10" s="4">
        <f>'QTR CF'!H10</f>
        <v/>
      </c>
      <c r="I10" s="4">
        <f>'QTR CF'!I10</f>
        <v/>
      </c>
      <c r="J10" s="4">
        <f>'QTR CF'!J10</f>
        <v/>
      </c>
      <c r="K10" s="4">
        <f>'QTR CF'!K10</f>
        <v/>
      </c>
      <c r="L10" s="4">
        <f>'QTR CF'!L10</f>
        <v/>
      </c>
      <c r="M10" s="4">
        <f>'QTR CF'!M10</f>
        <v/>
      </c>
      <c r="N10" s="4">
        <f>'QTR CF'!N10</f>
        <v/>
      </c>
      <c r="O10" s="4">
        <f>'QTR CF'!O10</f>
        <v/>
      </c>
      <c r="P10" s="4">
        <f>'QTR CF'!P10</f>
        <v/>
      </c>
      <c r="Q10" s="4">
        <f>'QTR CF'!Q10</f>
        <v/>
      </c>
      <c r="R10" s="4">
        <f>'QTR CF'!R10</f>
        <v/>
      </c>
      <c r="S10" s="4">
        <f>'QTR CF'!S10</f>
        <v/>
      </c>
      <c r="T10" s="4">
        <f>'QTR CF'!T10</f>
        <v/>
      </c>
      <c r="U10" s="4">
        <f>'QTR CF'!U10</f>
        <v/>
      </c>
      <c r="V10" s="4">
        <f>'QTR CF'!V10</f>
        <v/>
      </c>
      <c r="W10" s="4">
        <f>'QTR CF'!W10</f>
        <v/>
      </c>
      <c r="X10" s="4">
        <f>'QTR CF'!X10</f>
        <v/>
      </c>
      <c r="Y10" s="4">
        <f>'QTR CF'!Y10</f>
        <v/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</v>
      </c>
      <c r="AL10" s="15" t="n">
        <v>0</v>
      </c>
      <c r="AM10" s="15" t="n">
        <v>0</v>
      </c>
      <c r="AN10" s="15" t="n">
        <v>0</v>
      </c>
      <c r="AO10" s="15" t="n">
        <v>0</v>
      </c>
      <c r="AP10" s="15" t="n">
        <v>0</v>
      </c>
      <c r="AQ10" s="15" t="n">
        <v>0</v>
      </c>
      <c r="AR10" s="15" t="n">
        <v>0</v>
      </c>
      <c r="AS10" s="15" t="n">
        <v>0</v>
      </c>
    </row>
    <row r="11">
      <c r="A11" s="3" t="inlineStr">
        <is>
          <t>Stock-Based Compensation — % of Revenue</t>
        </is>
      </c>
      <c r="B11" s="13">
        <f>IFERROR('QTR CF'!B11/'QTR P&amp;L'!F2,"")</f>
        <v/>
      </c>
      <c r="C11" s="13">
        <f>IFERROR('QTR CF'!C11/'QTR P&amp;L'!G2,"")</f>
        <v/>
      </c>
      <c r="D11" s="13">
        <f>IFERROR('QTR CF'!D11/'QTR P&amp;L'!H2,"")</f>
        <v/>
      </c>
      <c r="E11" s="13">
        <f>IFERROR('QTR CF'!E11/'QTR P&amp;L'!I2,"")</f>
        <v/>
      </c>
      <c r="F11" s="13">
        <f>IFERROR('QTR CF'!F11/'QTR P&amp;L'!J2,"")</f>
        <v/>
      </c>
      <c r="G11" s="13">
        <f>IFERROR('QTR CF'!G11/'QTR P&amp;L'!K2,"")</f>
        <v/>
      </c>
      <c r="H11" s="13">
        <f>IFERROR('QTR CF'!H11/'QTR P&amp;L'!L2,"")</f>
        <v/>
      </c>
      <c r="I11" s="13">
        <f>IFERROR('QTR CF'!I11/'QTR P&amp;L'!M2,"")</f>
        <v/>
      </c>
      <c r="J11" s="13">
        <f>IFERROR('QTR CF'!J11/'QTR P&amp;L'!N2,"")</f>
        <v/>
      </c>
      <c r="K11" s="13">
        <f>IFERROR('QTR CF'!K11/'QTR P&amp;L'!O2,"")</f>
        <v/>
      </c>
      <c r="L11" s="13">
        <f>IFERROR('QTR CF'!L11/'QTR P&amp;L'!P2,"")</f>
        <v/>
      </c>
      <c r="M11" s="13">
        <f>IFERROR('QTR CF'!M11/'QTR P&amp;L'!Q2,"")</f>
        <v/>
      </c>
      <c r="N11" s="13">
        <f>IFERROR('QTR CF'!N11/'QTR P&amp;L'!R2,"")</f>
        <v/>
      </c>
      <c r="O11" s="13">
        <f>IFERROR('QTR CF'!O11/'QTR P&amp;L'!S2,"")</f>
        <v/>
      </c>
      <c r="P11" s="13">
        <f>IFERROR('QTR CF'!P11/'QTR P&amp;L'!T2,"")</f>
        <v/>
      </c>
      <c r="Q11" s="13">
        <f>IFERROR('QTR CF'!Q11/'QTR P&amp;L'!U2,"")</f>
        <v/>
      </c>
      <c r="R11" s="13">
        <f>IFERROR('QTR CF'!R11/'QTR P&amp;L'!V2,"")</f>
        <v/>
      </c>
      <c r="S11" s="13">
        <f>IFERROR('QTR CF'!S11/'QTR P&amp;L'!W2,"")</f>
        <v/>
      </c>
      <c r="T11" s="13">
        <f>IFERROR('QTR CF'!T11/'QTR P&amp;L'!X2,"")</f>
        <v/>
      </c>
      <c r="U11" s="13">
        <f>IFERROR('QTR CF'!U11/'QTR P&amp;L'!Y2,"")</f>
        <v/>
      </c>
      <c r="V11" s="13">
        <f>IFERROR('QTR CF'!V11/'QTR P&amp;L'!Z2,"")</f>
        <v/>
      </c>
      <c r="W11" s="13">
        <f>IFERROR('QTR CF'!W11/'QTR P&amp;L'!AA2,"")</f>
        <v/>
      </c>
      <c r="X11" s="13">
        <f>IFERROR('QTR CF'!X11/'QTR P&amp;L'!AB2,"")</f>
        <v/>
      </c>
      <c r="Y11" s="13">
        <f>IFERROR('QTR CF'!Y11/'QTR P&amp;L'!AC2,"")</f>
        <v/>
      </c>
      <c r="Z11" s="14">
        <f>Y11</f>
        <v/>
      </c>
      <c r="AA11" s="14">
        <f>Z11</f>
        <v/>
      </c>
      <c r="AB11" s="14">
        <f>AA11</f>
        <v/>
      </c>
      <c r="AC11" s="14">
        <f>AB11</f>
        <v/>
      </c>
      <c r="AD11" s="14">
        <f>AC11</f>
        <v/>
      </c>
      <c r="AE11" s="14">
        <f>AD11</f>
        <v/>
      </c>
      <c r="AF11" s="14">
        <f>AE11</f>
        <v/>
      </c>
      <c r="AG11" s="14">
        <f>AF11</f>
        <v/>
      </c>
      <c r="AH11" s="14">
        <f>AG11</f>
        <v/>
      </c>
      <c r="AI11" s="14">
        <f>AH11</f>
        <v/>
      </c>
      <c r="AJ11" s="14">
        <f>AI11</f>
        <v/>
      </c>
      <c r="AK11" s="14">
        <f>AJ11</f>
        <v/>
      </c>
      <c r="AL11" s="14">
        <f>AK11</f>
        <v/>
      </c>
      <c r="AM11" s="14">
        <f>AL11</f>
        <v/>
      </c>
      <c r="AN11" s="14">
        <f>AM11</f>
        <v/>
      </c>
      <c r="AO11" s="14">
        <f>AN11</f>
        <v/>
      </c>
      <c r="AP11" s="14">
        <f>AO11</f>
        <v/>
      </c>
      <c r="AQ11" s="14">
        <f>AP11</f>
        <v/>
      </c>
      <c r="AR11" s="14">
        <f>AQ11</f>
        <v/>
      </c>
      <c r="AS11" s="14">
        <f>AR11</f>
        <v/>
      </c>
    </row>
    <row r="12">
      <c r="A12" s="3" t="inlineStr">
        <is>
          <t>Gain on China Transaction</t>
        </is>
      </c>
      <c r="B12" s="4">
        <f>'QTR CF'!B12</f>
        <v/>
      </c>
      <c r="C12" s="4">
        <f>'QTR CF'!C12</f>
        <v/>
      </c>
      <c r="D12" s="4">
        <f>'QTR CF'!D12</f>
        <v/>
      </c>
      <c r="E12" s="4">
        <f>'QTR CF'!E12</f>
        <v/>
      </c>
      <c r="F12" s="4">
        <f>'QTR CF'!F12</f>
        <v/>
      </c>
      <c r="G12" s="4">
        <f>'QTR CF'!G12</f>
        <v/>
      </c>
      <c r="H12" s="4">
        <f>'QTR CF'!H12</f>
        <v/>
      </c>
      <c r="I12" s="4">
        <f>'QTR CF'!I12</f>
        <v/>
      </c>
      <c r="J12" s="4">
        <f>'QTR CF'!J12</f>
        <v/>
      </c>
      <c r="K12" s="4">
        <f>'QTR CF'!K12</f>
        <v/>
      </c>
      <c r="L12" s="4">
        <f>'QTR CF'!L12</f>
        <v/>
      </c>
      <c r="M12" s="4">
        <f>'QTR CF'!M12</f>
        <v/>
      </c>
      <c r="N12" s="4">
        <f>'QTR CF'!N12</f>
        <v/>
      </c>
      <c r="O12" s="4">
        <f>'QTR CF'!O12</f>
        <v/>
      </c>
      <c r="P12" s="4">
        <f>'QTR CF'!P12</f>
        <v/>
      </c>
      <c r="Q12" s="4">
        <f>'QTR CF'!Q12</f>
        <v/>
      </c>
      <c r="R12" s="4">
        <f>'QTR CF'!R12</f>
        <v/>
      </c>
      <c r="S12" s="4">
        <f>'QTR CF'!S12</f>
        <v/>
      </c>
      <c r="T12" s="4">
        <f>'QTR CF'!T12</f>
        <v/>
      </c>
      <c r="U12" s="4">
        <f>'QTR CF'!U12</f>
        <v/>
      </c>
      <c r="V12" s="4">
        <f>'QTR CF'!V12</f>
        <v/>
      </c>
      <c r="W12" s="4">
        <f>'QTR CF'!W12</f>
        <v/>
      </c>
      <c r="X12" s="4">
        <f>'QTR CF'!X12</f>
        <v/>
      </c>
      <c r="Y12" s="4">
        <f>'QTR CF'!Y12</f>
        <v/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0</v>
      </c>
      <c r="AK12" s="15" t="n">
        <v>0</v>
      </c>
      <c r="AL12" s="15" t="n">
        <v>0</v>
      </c>
      <c r="AM12" s="15" t="n">
        <v>0</v>
      </c>
      <c r="AN12" s="15" t="n">
        <v>0</v>
      </c>
      <c r="AO12" s="15" t="n">
        <v>0</v>
      </c>
      <c r="AP12" s="15" t="n">
        <v>0</v>
      </c>
      <c r="AQ12" s="15" t="n">
        <v>0</v>
      </c>
      <c r="AR12" s="15" t="n">
        <v>0</v>
      </c>
      <c r="AS12" s="15" t="n">
        <v>0</v>
      </c>
    </row>
    <row r="13">
      <c r="A13" s="3" t="inlineStr">
        <is>
          <t>Gain (Loss) on Lease Cancellations</t>
        </is>
      </c>
      <c r="B13" s="4">
        <f>'QTR CF'!B13</f>
        <v/>
      </c>
      <c r="C13" s="4">
        <f>'QTR CF'!C13</f>
        <v/>
      </c>
      <c r="D13" s="4">
        <f>'QTR CF'!D13</f>
        <v/>
      </c>
      <c r="E13" s="4">
        <f>'QTR CF'!E13</f>
        <v/>
      </c>
      <c r="F13" s="4">
        <f>'QTR CF'!F13</f>
        <v/>
      </c>
      <c r="G13" s="4">
        <f>'QTR CF'!G13</f>
        <v/>
      </c>
      <c r="H13" s="4">
        <f>'QTR CF'!H13</f>
        <v/>
      </c>
      <c r="I13" s="4">
        <f>'QTR CF'!I13</f>
        <v/>
      </c>
      <c r="J13" s="4">
        <f>'QTR CF'!J13</f>
        <v/>
      </c>
      <c r="K13" s="4">
        <f>'QTR CF'!K13</f>
        <v/>
      </c>
      <c r="L13" s="4">
        <f>'QTR CF'!L13</f>
        <v/>
      </c>
      <c r="M13" s="4">
        <f>'QTR CF'!M13</f>
        <v/>
      </c>
      <c r="N13" s="4">
        <f>'QTR CF'!N13</f>
        <v/>
      </c>
      <c r="O13" s="4">
        <f>'QTR CF'!O13</f>
        <v/>
      </c>
      <c r="P13" s="4">
        <f>'QTR CF'!P13</f>
        <v/>
      </c>
      <c r="Q13" s="4">
        <f>'QTR CF'!Q13</f>
        <v/>
      </c>
      <c r="R13" s="4">
        <f>'QTR CF'!R13</f>
        <v/>
      </c>
      <c r="S13" s="4">
        <f>'QTR CF'!S13</f>
        <v/>
      </c>
      <c r="T13" s="4">
        <f>'QTR CF'!T13</f>
        <v/>
      </c>
      <c r="U13" s="4">
        <f>'QTR CF'!U13</f>
        <v/>
      </c>
      <c r="V13" s="4">
        <f>'QTR CF'!V13</f>
        <v/>
      </c>
      <c r="W13" s="4">
        <f>'QTR CF'!W13</f>
        <v/>
      </c>
      <c r="X13" s="4">
        <f>'QTR CF'!X13</f>
        <v/>
      </c>
      <c r="Y13" s="4">
        <f>'QTR CF'!Y13</f>
        <v/>
      </c>
      <c r="Z13" s="15" t="n">
        <v>0</v>
      </c>
      <c r="AA13" s="15" t="n">
        <v>0</v>
      </c>
      <c r="AB13" s="15" t="n">
        <v>0</v>
      </c>
      <c r="AC13" s="15" t="n">
        <v>0</v>
      </c>
      <c r="AD13" s="15" t="n">
        <v>0</v>
      </c>
      <c r="AE13" s="15" t="n">
        <v>0</v>
      </c>
      <c r="AF13" s="15" t="n">
        <v>0</v>
      </c>
      <c r="AG13" s="15" t="n">
        <v>0</v>
      </c>
      <c r="AH13" s="15" t="n">
        <v>0</v>
      </c>
      <c r="AI13" s="15" t="n">
        <v>0</v>
      </c>
      <c r="AJ13" s="15" t="n">
        <v>0</v>
      </c>
      <c r="AK13" s="15" t="n">
        <v>0</v>
      </c>
      <c r="AL13" s="15" t="n">
        <v>0</v>
      </c>
      <c r="AM13" s="15" t="n">
        <v>0</v>
      </c>
      <c r="AN13" s="15" t="n">
        <v>0</v>
      </c>
      <c r="AO13" s="15" t="n">
        <v>0</v>
      </c>
      <c r="AP13" s="15" t="n">
        <v>0</v>
      </c>
      <c r="AQ13" s="15" t="n">
        <v>0</v>
      </c>
      <c r="AR13" s="15" t="n">
        <v>0</v>
      </c>
      <c r="AS13" s="15" t="n">
        <v>0</v>
      </c>
    </row>
    <row r="14">
      <c r="A14" s="3" t="inlineStr">
        <is>
          <t>(Benefit) Provision for Deferred Income Taxes</t>
        </is>
      </c>
      <c r="B14" s="4">
        <f>'QTR CF'!B14</f>
        <v/>
      </c>
      <c r="C14" s="4">
        <f>'QTR CF'!C14</f>
        <v/>
      </c>
      <c r="D14" s="4">
        <f>'QTR CF'!D14</f>
        <v/>
      </c>
      <c r="E14" s="4">
        <f>'QTR CF'!E14</f>
        <v/>
      </c>
      <c r="F14" s="4">
        <f>'QTR CF'!F14</f>
        <v/>
      </c>
      <c r="G14" s="4">
        <f>'QTR CF'!G14</f>
        <v/>
      </c>
      <c r="H14" s="4">
        <f>'QTR CF'!H14</f>
        <v/>
      </c>
      <c r="I14" s="4">
        <f>'QTR CF'!I14</f>
        <v/>
      </c>
      <c r="J14" s="4">
        <f>'QTR CF'!J14</f>
        <v/>
      </c>
      <c r="K14" s="4">
        <f>'QTR CF'!K14</f>
        <v/>
      </c>
      <c r="L14" s="4">
        <f>'QTR CF'!L14</f>
        <v/>
      </c>
      <c r="M14" s="4">
        <f>'QTR CF'!M14</f>
        <v/>
      </c>
      <c r="N14" s="4">
        <f>'QTR CF'!N14</f>
        <v/>
      </c>
      <c r="O14" s="4">
        <f>'QTR CF'!O14</f>
        <v/>
      </c>
      <c r="P14" s="4">
        <f>'QTR CF'!P14</f>
        <v/>
      </c>
      <c r="Q14" s="4">
        <f>'QTR CF'!Q14</f>
        <v/>
      </c>
      <c r="R14" s="4">
        <f>'QTR CF'!R14</f>
        <v/>
      </c>
      <c r="S14" s="4">
        <f>'QTR CF'!S14</f>
        <v/>
      </c>
      <c r="T14" s="4">
        <f>'QTR CF'!T14</f>
        <v/>
      </c>
      <c r="U14" s="4">
        <f>'QTR CF'!U14</f>
        <v/>
      </c>
      <c r="V14" s="4">
        <f>'QTR CF'!V14</f>
        <v/>
      </c>
      <c r="W14" s="4">
        <f>'QTR CF'!W14</f>
        <v/>
      </c>
      <c r="X14" s="4">
        <f>'QTR CF'!X14</f>
        <v/>
      </c>
      <c r="Y14" s="4">
        <f>'QTR CF'!Y14</f>
        <v/>
      </c>
      <c r="Z14" s="15">
        <f>Y14</f>
        <v/>
      </c>
      <c r="AA14" s="15">
        <f>Z14</f>
        <v/>
      </c>
      <c r="AB14" s="15">
        <f>AA14</f>
        <v/>
      </c>
      <c r="AC14" s="15">
        <f>AB14</f>
        <v/>
      </c>
      <c r="AD14" s="15">
        <f>AC14</f>
        <v/>
      </c>
      <c r="AE14" s="15">
        <f>AD14</f>
        <v/>
      </c>
      <c r="AF14" s="15">
        <f>AE14</f>
        <v/>
      </c>
      <c r="AG14" s="15">
        <f>AF14</f>
        <v/>
      </c>
      <c r="AH14" s="15">
        <f>AG14</f>
        <v/>
      </c>
      <c r="AI14" s="15">
        <f>AH14</f>
        <v/>
      </c>
      <c r="AJ14" s="15">
        <f>AI14</f>
        <v/>
      </c>
      <c r="AK14" s="15">
        <f>AJ14</f>
        <v/>
      </c>
      <c r="AL14" s="15">
        <f>AK14</f>
        <v/>
      </c>
      <c r="AM14" s="15">
        <f>AL14</f>
        <v/>
      </c>
      <c r="AN14" s="15">
        <f>AM14</f>
        <v/>
      </c>
      <c r="AO14" s="15">
        <f>AN14</f>
        <v/>
      </c>
      <c r="AP14" s="15">
        <f>AO14</f>
        <v/>
      </c>
      <c r="AQ14" s="15">
        <f>AP14</f>
        <v/>
      </c>
      <c r="AR14" s="15">
        <f>AQ14</f>
        <v/>
      </c>
      <c r="AS14" s="15">
        <f>AR14</f>
        <v/>
      </c>
    </row>
    <row r="15">
      <c r="A15" s="3" t="inlineStr">
        <is>
          <t>Foreign Currency Gain (Loss)</t>
        </is>
      </c>
      <c r="B15" s="4">
        <f>'QTR CF'!B15</f>
        <v/>
      </c>
      <c r="C15" s="4">
        <f>'QTR CF'!C15</f>
        <v/>
      </c>
      <c r="D15" s="4">
        <f>'QTR CF'!D15</f>
        <v/>
      </c>
      <c r="E15" s="4">
        <f>'QTR CF'!E15</f>
        <v/>
      </c>
      <c r="F15" s="4">
        <f>'QTR CF'!F15</f>
        <v/>
      </c>
      <c r="G15" s="4">
        <f>'QTR CF'!G15</f>
        <v/>
      </c>
      <c r="H15" s="4">
        <f>'QTR CF'!H15</f>
        <v/>
      </c>
      <c r="I15" s="4">
        <f>'QTR CF'!I15</f>
        <v/>
      </c>
      <c r="J15" s="4">
        <f>'QTR CF'!J15</f>
        <v/>
      </c>
      <c r="K15" s="4">
        <f>'QTR CF'!K15</f>
        <v/>
      </c>
      <c r="L15" s="4">
        <f>'QTR CF'!L15</f>
        <v/>
      </c>
      <c r="M15" s="4">
        <f>'QTR CF'!M15</f>
        <v/>
      </c>
      <c r="N15" s="4">
        <f>'QTR CF'!N15</f>
        <v/>
      </c>
      <c r="O15" s="4">
        <f>'QTR CF'!O15</f>
        <v/>
      </c>
      <c r="P15" s="4">
        <f>'QTR CF'!P15</f>
        <v/>
      </c>
      <c r="Q15" s="4">
        <f>'QTR CF'!Q15</f>
        <v/>
      </c>
      <c r="R15" s="4">
        <f>'QTR CF'!R15</f>
        <v/>
      </c>
      <c r="S15" s="4">
        <f>'QTR CF'!S15</f>
        <v/>
      </c>
      <c r="T15" s="4">
        <f>'QTR CF'!T15</f>
        <v/>
      </c>
      <c r="U15" s="4">
        <f>'QTR CF'!U15</f>
        <v/>
      </c>
      <c r="V15" s="4">
        <f>'QTR CF'!V15</f>
        <v/>
      </c>
      <c r="W15" s="4">
        <f>'QTR CF'!W15</f>
        <v/>
      </c>
      <c r="X15" s="4">
        <f>'QTR CF'!X15</f>
        <v/>
      </c>
      <c r="Y15" s="4">
        <f>'QTR CF'!Y15</f>
        <v/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5" t="n">
        <v>0</v>
      </c>
      <c r="AF15" s="15" t="n">
        <v>0</v>
      </c>
      <c r="AG15" s="15" t="n">
        <v>0</v>
      </c>
      <c r="AH15" s="15" t="n">
        <v>0</v>
      </c>
      <c r="AI15" s="15" t="n">
        <v>0</v>
      </c>
      <c r="AJ15" s="15" t="n">
        <v>0</v>
      </c>
      <c r="AK15" s="15" t="n">
        <v>0</v>
      </c>
      <c r="AL15" s="15" t="n">
        <v>0</v>
      </c>
      <c r="AM15" s="15" t="n">
        <v>0</v>
      </c>
      <c r="AN15" s="15" t="n">
        <v>0</v>
      </c>
      <c r="AO15" s="15" t="n">
        <v>0</v>
      </c>
      <c r="AP15" s="15" t="n">
        <v>0</v>
      </c>
      <c r="AQ15" s="15" t="n">
        <v>0</v>
      </c>
      <c r="AR15" s="15" t="n">
        <v>0</v>
      </c>
      <c r="AS15" s="15" t="n">
        <v>0</v>
      </c>
    </row>
    <row r="16">
      <c r="A16" s="3" t="inlineStr">
        <is>
          <t>Change in Fair Value of Contingent Consideration</t>
        </is>
      </c>
      <c r="B16" s="4">
        <f>'QTR CF'!B16</f>
        <v/>
      </c>
      <c r="C16" s="4">
        <f>'QTR CF'!C16</f>
        <v/>
      </c>
      <c r="D16" s="4">
        <f>'QTR CF'!D16</f>
        <v/>
      </c>
      <c r="E16" s="4">
        <f>'QTR CF'!E16</f>
        <v/>
      </c>
      <c r="F16" s="4">
        <f>'QTR CF'!F16</f>
        <v/>
      </c>
      <c r="G16" s="4">
        <f>'QTR CF'!G16</f>
        <v/>
      </c>
      <c r="H16" s="4">
        <f>'QTR CF'!H16</f>
        <v/>
      </c>
      <c r="I16" s="4">
        <f>'QTR CF'!I16</f>
        <v/>
      </c>
      <c r="J16" s="4">
        <f>'QTR CF'!J16</f>
        <v/>
      </c>
      <c r="K16" s="4">
        <f>'QTR CF'!K16</f>
        <v/>
      </c>
      <c r="L16" s="4">
        <f>'QTR CF'!L16</f>
        <v/>
      </c>
      <c r="M16" s="4">
        <f>'QTR CF'!M16</f>
        <v/>
      </c>
      <c r="N16" s="4">
        <f>'QTR CF'!N16</f>
        <v/>
      </c>
      <c r="O16" s="4">
        <f>'QTR CF'!O16</f>
        <v/>
      </c>
      <c r="P16" s="4">
        <f>'QTR CF'!P16</f>
        <v/>
      </c>
      <c r="Q16" s="4">
        <f>'QTR CF'!Q16</f>
        <v/>
      </c>
      <c r="R16" s="4">
        <f>'QTR CF'!R16</f>
        <v/>
      </c>
      <c r="S16" s="4">
        <f>'QTR CF'!S16</f>
        <v/>
      </c>
      <c r="T16" s="4">
        <f>'QTR CF'!T16</f>
        <v/>
      </c>
      <c r="U16" s="4">
        <f>'QTR CF'!U16</f>
        <v/>
      </c>
      <c r="V16" s="4">
        <f>'QTR CF'!V16</f>
        <v/>
      </c>
      <c r="W16" s="4">
        <f>'QTR CF'!W16</f>
        <v/>
      </c>
      <c r="X16" s="4">
        <f>'QTR CF'!X16</f>
        <v/>
      </c>
      <c r="Y16" s="4">
        <f>'QTR CF'!Y16</f>
        <v/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</row>
    <row r="17">
      <c r="A17" s="3" t="inlineStr">
        <is>
          <t>Gain (Loss) on Extinguishment of Debt</t>
        </is>
      </c>
      <c r="B17" s="4">
        <f>'QTR CF'!B17</f>
        <v/>
      </c>
      <c r="C17" s="4">
        <f>'QTR CF'!C17</f>
        <v/>
      </c>
      <c r="D17" s="4">
        <f>'QTR CF'!D17</f>
        <v/>
      </c>
      <c r="E17" s="4">
        <f>'QTR CF'!E17</f>
        <v/>
      </c>
      <c r="F17" s="4">
        <f>'QTR CF'!F17</f>
        <v/>
      </c>
      <c r="G17" s="4">
        <f>'QTR CF'!G17</f>
        <v/>
      </c>
      <c r="H17" s="4">
        <f>'QTR CF'!H17</f>
        <v/>
      </c>
      <c r="I17" s="4">
        <f>'QTR CF'!I17</f>
        <v/>
      </c>
      <c r="J17" s="4">
        <f>'QTR CF'!J17</f>
        <v/>
      </c>
      <c r="K17" s="4">
        <f>'QTR CF'!K17</f>
        <v/>
      </c>
      <c r="L17" s="4">
        <f>'QTR CF'!L17</f>
        <v/>
      </c>
      <c r="M17" s="4">
        <f>'QTR CF'!M17</f>
        <v/>
      </c>
      <c r="N17" s="4">
        <f>'QTR CF'!N17</f>
        <v/>
      </c>
      <c r="O17" s="4">
        <f>'QTR CF'!O17</f>
        <v/>
      </c>
      <c r="P17" s="4">
        <f>'QTR CF'!P17</f>
        <v/>
      </c>
      <c r="Q17" s="4">
        <f>'QTR CF'!Q17</f>
        <v/>
      </c>
      <c r="R17" s="4">
        <f>'QTR CF'!R17</f>
        <v/>
      </c>
      <c r="S17" s="4">
        <f>'QTR CF'!S17</f>
        <v/>
      </c>
      <c r="T17" s="4">
        <f>'QTR CF'!T17</f>
        <v/>
      </c>
      <c r="U17" s="4">
        <f>'QTR CF'!U17</f>
        <v/>
      </c>
      <c r="V17" s="4">
        <f>'QTR CF'!V17</f>
        <v/>
      </c>
      <c r="W17" s="4">
        <f>'QTR CF'!W17</f>
        <v/>
      </c>
      <c r="X17" s="4">
        <f>'QTR CF'!X17</f>
        <v/>
      </c>
      <c r="Y17" s="4">
        <f>'QTR CF'!Y17</f>
        <v/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5" t="n">
        <v>0</v>
      </c>
      <c r="AF17" s="15" t="n">
        <v>0</v>
      </c>
      <c r="AG17" s="15" t="n">
        <v>0</v>
      </c>
      <c r="AH17" s="15" t="n">
        <v>0</v>
      </c>
      <c r="AI17" s="15" t="n">
        <v>0</v>
      </c>
      <c r="AJ17" s="15" t="n">
        <v>0</v>
      </c>
      <c r="AK17" s="15" t="n">
        <v>0</v>
      </c>
      <c r="AL17" s="15" t="n">
        <v>0</v>
      </c>
      <c r="AM17" s="15" t="n">
        <v>0</v>
      </c>
      <c r="AN17" s="15" t="n">
        <v>0</v>
      </c>
      <c r="AO17" s="15" t="n">
        <v>0</v>
      </c>
      <c r="AP17" s="15" t="n">
        <v>0</v>
      </c>
      <c r="AQ17" s="15" t="n">
        <v>0</v>
      </c>
      <c r="AR17" s="15" t="n">
        <v>0</v>
      </c>
      <c r="AS17" s="15" t="n">
        <v>0</v>
      </c>
    </row>
    <row r="18">
      <c r="A18" s="3" t="inlineStr">
        <is>
          <t>Other Operating Items</t>
        </is>
      </c>
      <c r="B18" s="4">
        <f>'QTR CF'!B18</f>
        <v/>
      </c>
      <c r="C18" s="4">
        <f>'QTR CF'!C18</f>
        <v/>
      </c>
      <c r="D18" s="4">
        <f>'QTR CF'!D18</f>
        <v/>
      </c>
      <c r="E18" s="4">
        <f>'QTR CF'!E18</f>
        <v/>
      </c>
      <c r="F18" s="4">
        <f>'QTR CF'!F18</f>
        <v/>
      </c>
      <c r="G18" s="4">
        <f>'QTR CF'!G18</f>
        <v/>
      </c>
      <c r="H18" s="4">
        <f>'QTR CF'!H18</f>
        <v/>
      </c>
      <c r="I18" s="4">
        <f>'QTR CF'!I18</f>
        <v/>
      </c>
      <c r="J18" s="4">
        <f>'QTR CF'!J18</f>
        <v/>
      </c>
      <c r="K18" s="4">
        <f>'QTR CF'!K18</f>
        <v/>
      </c>
      <c r="L18" s="4">
        <f>'QTR CF'!L18</f>
        <v/>
      </c>
      <c r="M18" s="4">
        <f>'QTR CF'!M18</f>
        <v/>
      </c>
      <c r="N18" s="4">
        <f>'QTR CF'!N18</f>
        <v/>
      </c>
      <c r="O18" s="4">
        <f>'QTR CF'!O18</f>
        <v/>
      </c>
      <c r="P18" s="4">
        <f>'QTR CF'!P18</f>
        <v/>
      </c>
      <c r="Q18" s="4">
        <f>'QTR CF'!Q18</f>
        <v/>
      </c>
      <c r="R18" s="4">
        <f>'QTR CF'!R18</f>
        <v/>
      </c>
      <c r="S18" s="4">
        <f>'QTR CF'!S18</f>
        <v/>
      </c>
      <c r="T18" s="4">
        <f>'QTR CF'!T18</f>
        <v/>
      </c>
      <c r="U18" s="4">
        <f>'QTR CF'!U18</f>
        <v/>
      </c>
      <c r="V18" s="4">
        <f>'QTR CF'!V18</f>
        <v/>
      </c>
      <c r="W18" s="4">
        <f>'QTR CF'!W18</f>
        <v/>
      </c>
      <c r="X18" s="4">
        <f>'QTR CF'!X18</f>
        <v/>
      </c>
      <c r="Y18" s="4">
        <f>'QTR CF'!Y18</f>
        <v/>
      </c>
      <c r="Z18" s="4">
        <f>-('QTR BS'!AA4-'QTR BS'!Z4)-('QTR BS'!AA7-'QTR BS'!Z7)-('QTR BS'!AA9-'QTR BS'!Z9)-('QTR BS'!AA11-'QTR BS'!Z11)-('QTR BS'!AA14-'QTR BS'!Z14)-('QTR BS'!AA16-'QTR BS'!Z16)+('QTR BS'!AA24-'QTR BS'!Z24)+('QTR BS'!AA26-'QTR BS'!Z26)+('QTR BS'!AA27-'QTR BS'!Z27)+('QTR BS'!AA28-'QTR BS'!Z28)+('QTR BS'!AA31-'QTR BS'!Z31)+('QTR BS'!AA32-'QTR BS'!Z32)+('QTR BS'!AA35-'QTR BS'!Z35)+('QTR BS'!AA36-'QTR BS'!Z36)-('QTR BS'!AA2-'QTR BS'!Z2)-('QTR BS'!AA12-'QTR BS'!Z12)-('QTR BS'!AA13-'QTR BS'!Z13)+('QTR BS'!AA22-'QTR BS'!Z22)+('QTR BS'!AA25-'QTR BS'!Z25)+('QTR BS'!AA33-'QTR BS'!Z33)+('QTR BS'!AA34-'QTR BS'!Z34)+('QTR BS'!AA39-'QTR BS'!Z39)+('QTR BS'!AA40-'QTR BS'!Z40)</f>
        <v/>
      </c>
      <c r="AA18" s="4">
        <f>-('QTR BS'!AB4-'QTR BS'!AA4)-('QTR BS'!AB7-'QTR BS'!AA7)-('QTR BS'!AB9-'QTR BS'!AA9)-('QTR BS'!AB11-'QTR BS'!AA11)-('QTR BS'!AB14-'QTR BS'!AA14)-('QTR BS'!AB16-'QTR BS'!AA16)+('QTR BS'!AB24-'QTR BS'!AA24)+('QTR BS'!AB26-'QTR BS'!AA26)+('QTR BS'!AB27-'QTR BS'!AA27)+('QTR BS'!AB28-'QTR BS'!AA28)+('QTR BS'!AB31-'QTR BS'!AA31)+('QTR BS'!AB32-'QTR BS'!AA32)+('QTR BS'!AB35-'QTR BS'!AA35)+('QTR BS'!AB36-'QTR BS'!AA36)-('QTR BS'!AB2-'QTR BS'!AA2)-('QTR BS'!AB12-'QTR BS'!AA12)-('QTR BS'!AB13-'QTR BS'!AA13)+('QTR BS'!AB22-'QTR BS'!AA22)+('QTR BS'!AB25-'QTR BS'!AA25)+('QTR BS'!AB33-'QTR BS'!AA33)+('QTR BS'!AB34-'QTR BS'!AA34)+('QTR BS'!AB39-'QTR BS'!AA39)+('QTR BS'!AB40-'QTR BS'!AA40)</f>
        <v/>
      </c>
      <c r="AB18" s="4">
        <f>-('QTR BS'!AC4-'QTR BS'!AB4)-('QTR BS'!AC7-'QTR BS'!AB7)-('QTR BS'!AC9-'QTR BS'!AB9)-('QTR BS'!AC11-'QTR BS'!AB11)-('QTR BS'!AC14-'QTR BS'!AB14)-('QTR BS'!AC16-'QTR BS'!AB16)+('QTR BS'!AC24-'QTR BS'!AB24)+('QTR BS'!AC26-'QTR BS'!AB26)+('QTR BS'!AC27-'QTR BS'!AB27)+('QTR BS'!AC28-'QTR BS'!AB28)+('QTR BS'!AC31-'QTR BS'!AB31)+('QTR BS'!AC32-'QTR BS'!AB32)+('QTR BS'!AC35-'QTR BS'!AB35)+('QTR BS'!AC36-'QTR BS'!AB36)-('QTR BS'!AC2-'QTR BS'!AB2)-('QTR BS'!AC12-'QTR BS'!AB12)-('QTR BS'!AC13-'QTR BS'!AB13)+('QTR BS'!AC22-'QTR BS'!AB22)+('QTR BS'!AC25-'QTR BS'!AB25)+('QTR BS'!AC33-'QTR BS'!AB33)+('QTR BS'!AC34-'QTR BS'!AB34)+('QTR BS'!AC39-'QTR BS'!AB39)+('QTR BS'!AC40-'QTR BS'!AB40)</f>
        <v/>
      </c>
      <c r="AC18" s="4">
        <f>-('QTR BS'!AD4-'QTR BS'!AC4)-('QTR BS'!AD7-'QTR BS'!AC7)-('QTR BS'!AD9-'QTR BS'!AC9)-('QTR BS'!AD11-'QTR BS'!AC11)-('QTR BS'!AD14-'QTR BS'!AC14)-('QTR BS'!AD16-'QTR BS'!AC16)+('QTR BS'!AD24-'QTR BS'!AC24)+('QTR BS'!AD26-'QTR BS'!AC26)+('QTR BS'!AD27-'QTR BS'!AC27)+('QTR BS'!AD28-'QTR BS'!AC28)+('QTR BS'!AD31-'QTR BS'!AC31)+('QTR BS'!AD32-'QTR BS'!AC32)+('QTR BS'!AD35-'QTR BS'!AC35)+('QTR BS'!AD36-'QTR BS'!AC36)-('QTR BS'!AD2-'QTR BS'!AC2)-('QTR BS'!AD12-'QTR BS'!AC12)-('QTR BS'!AD13-'QTR BS'!AC13)+('QTR BS'!AD22-'QTR BS'!AC22)+('QTR BS'!AD25-'QTR BS'!AC25)+('QTR BS'!AD33-'QTR BS'!AC33)+('QTR BS'!AD34-'QTR BS'!AC34)+('QTR BS'!AD39-'QTR BS'!AC39)+('QTR BS'!AD40-'QTR BS'!AC40)</f>
        <v/>
      </c>
      <c r="AD18" s="4">
        <f>-('QTR BS'!AE4-'QTR BS'!AD4)-('QTR BS'!AE7-'QTR BS'!AD7)-('QTR BS'!AE9-'QTR BS'!AD9)-('QTR BS'!AE11-'QTR BS'!AD11)-('QTR BS'!AE14-'QTR BS'!AD14)-('QTR BS'!AE16-'QTR BS'!AD16)+('QTR BS'!AE24-'QTR BS'!AD24)+('QTR BS'!AE26-'QTR BS'!AD26)+('QTR BS'!AE27-'QTR BS'!AD27)+('QTR BS'!AE28-'QTR BS'!AD28)+('QTR BS'!AE31-'QTR BS'!AD31)+('QTR BS'!AE32-'QTR BS'!AD32)+('QTR BS'!AE35-'QTR BS'!AD35)+('QTR BS'!AE36-'QTR BS'!AD36)-('QTR BS'!AE2-'QTR BS'!AD2)-('QTR BS'!AE12-'QTR BS'!AD12)-('QTR BS'!AE13-'QTR BS'!AD13)+('QTR BS'!AE22-'QTR BS'!AD22)+('QTR BS'!AE25-'QTR BS'!AD25)+('QTR BS'!AE33-'QTR BS'!AD33)+('QTR BS'!AE34-'QTR BS'!AD34)+('QTR BS'!AE39-'QTR BS'!AD39)+('QTR BS'!AE40-'QTR BS'!AD40)</f>
        <v/>
      </c>
      <c r="AE18" s="4">
        <f>-('QTR BS'!AF4-'QTR BS'!AE4)-('QTR BS'!AF7-'QTR BS'!AE7)-('QTR BS'!AF9-'QTR BS'!AE9)-('QTR BS'!AF11-'QTR BS'!AE11)-('QTR BS'!AF14-'QTR BS'!AE14)-('QTR BS'!AF16-'QTR BS'!AE16)+('QTR BS'!AF24-'QTR BS'!AE24)+('QTR BS'!AF26-'QTR BS'!AE26)+('QTR BS'!AF27-'QTR BS'!AE27)+('QTR BS'!AF28-'QTR BS'!AE28)+('QTR BS'!AF31-'QTR BS'!AE31)+('QTR BS'!AF32-'QTR BS'!AE32)+('QTR BS'!AF35-'QTR BS'!AE35)+('QTR BS'!AF36-'QTR BS'!AE36)-('QTR BS'!AF2-'QTR BS'!AE2)-('QTR BS'!AF12-'QTR BS'!AE12)-('QTR BS'!AF13-'QTR BS'!AE13)+('QTR BS'!AF22-'QTR BS'!AE22)+('QTR BS'!AF25-'QTR BS'!AE25)+('QTR BS'!AF33-'QTR BS'!AE33)+('QTR BS'!AF34-'QTR BS'!AE34)+('QTR BS'!AF39-'QTR BS'!AE39)+('QTR BS'!AF40-'QTR BS'!AE40)</f>
        <v/>
      </c>
      <c r="AF18" s="4">
        <f>-('QTR BS'!AG4-'QTR BS'!AF4)-('QTR BS'!AG7-'QTR BS'!AF7)-('QTR BS'!AG9-'QTR BS'!AF9)-('QTR BS'!AG11-'QTR BS'!AF11)-('QTR BS'!AG14-'QTR BS'!AF14)-('QTR BS'!AG16-'QTR BS'!AF16)+('QTR BS'!AG24-'QTR BS'!AF24)+('QTR BS'!AG26-'QTR BS'!AF26)+('QTR BS'!AG27-'QTR BS'!AF27)+('QTR BS'!AG28-'QTR BS'!AF28)+('QTR BS'!AG31-'QTR BS'!AF31)+('QTR BS'!AG32-'QTR BS'!AF32)+('QTR BS'!AG35-'QTR BS'!AF35)+('QTR BS'!AG36-'QTR BS'!AF36)-('QTR BS'!AG2-'QTR BS'!AF2)-('QTR BS'!AG12-'QTR BS'!AF12)-('QTR BS'!AG13-'QTR BS'!AF13)+('QTR BS'!AG22-'QTR BS'!AF22)+('QTR BS'!AG25-'QTR BS'!AF25)+('QTR BS'!AG33-'QTR BS'!AF33)+('QTR BS'!AG34-'QTR BS'!AF34)+('QTR BS'!AG39-'QTR BS'!AF39)+('QTR BS'!AG40-'QTR BS'!AF40)</f>
        <v/>
      </c>
      <c r="AG18" s="4">
        <f>-('QTR BS'!AH4-'QTR BS'!AG4)-('QTR BS'!AH7-'QTR BS'!AG7)-('QTR BS'!AH9-'QTR BS'!AG9)-('QTR BS'!AH11-'QTR BS'!AG11)-('QTR BS'!AH14-'QTR BS'!AG14)-('QTR BS'!AH16-'QTR BS'!AG16)+('QTR BS'!AH24-'QTR BS'!AG24)+('QTR BS'!AH26-'QTR BS'!AG26)+('QTR BS'!AH27-'QTR BS'!AG27)+('QTR BS'!AH28-'QTR BS'!AG28)+('QTR BS'!AH31-'QTR BS'!AG31)+('QTR BS'!AH32-'QTR BS'!AG32)+('QTR BS'!AH35-'QTR BS'!AG35)+('QTR BS'!AH36-'QTR BS'!AG36)-('QTR BS'!AH2-'QTR BS'!AG2)-('QTR BS'!AH12-'QTR BS'!AG12)-('QTR BS'!AH13-'QTR BS'!AG13)+('QTR BS'!AH22-'QTR BS'!AG22)+('QTR BS'!AH25-'QTR BS'!AG25)+('QTR BS'!AH33-'QTR BS'!AG33)+('QTR BS'!AH34-'QTR BS'!AG34)+('QTR BS'!AH39-'QTR BS'!AG39)+('QTR BS'!AH40-'QTR BS'!AG40)</f>
        <v/>
      </c>
      <c r="AH18" s="4">
        <f>-('QTR BS'!AI4-'QTR BS'!AH4)-('QTR BS'!AI7-'QTR BS'!AH7)-('QTR BS'!AI9-'QTR BS'!AH9)-('QTR BS'!AI11-'QTR BS'!AH11)-('QTR BS'!AI14-'QTR BS'!AH14)-('QTR BS'!AI16-'QTR BS'!AH16)+('QTR BS'!AI24-'QTR BS'!AH24)+('QTR BS'!AI26-'QTR BS'!AH26)+('QTR BS'!AI27-'QTR BS'!AH27)+('QTR BS'!AI28-'QTR BS'!AH28)+('QTR BS'!AI31-'QTR BS'!AH31)+('QTR BS'!AI32-'QTR BS'!AH32)+('QTR BS'!AI35-'QTR BS'!AH35)+('QTR BS'!AI36-'QTR BS'!AH36)-('QTR BS'!AI2-'QTR BS'!AH2)-('QTR BS'!AI12-'QTR BS'!AH12)-('QTR BS'!AI13-'QTR BS'!AH13)+('QTR BS'!AI22-'QTR BS'!AH22)+('QTR BS'!AI25-'QTR BS'!AH25)+('QTR BS'!AI33-'QTR BS'!AH33)+('QTR BS'!AI34-'QTR BS'!AH34)+('QTR BS'!AI39-'QTR BS'!AH39)+('QTR BS'!AI40-'QTR BS'!AH40)</f>
        <v/>
      </c>
      <c r="AI18" s="4">
        <f>-('QTR BS'!AJ4-'QTR BS'!AI4)-('QTR BS'!AJ7-'QTR BS'!AI7)-('QTR BS'!AJ9-'QTR BS'!AI9)-('QTR BS'!AJ11-'QTR BS'!AI11)-('QTR BS'!AJ14-'QTR BS'!AI14)-('QTR BS'!AJ16-'QTR BS'!AI16)+('QTR BS'!AJ24-'QTR BS'!AI24)+('QTR BS'!AJ26-'QTR BS'!AI26)+('QTR BS'!AJ27-'QTR BS'!AI27)+('QTR BS'!AJ28-'QTR BS'!AI28)+('QTR BS'!AJ31-'QTR BS'!AI31)+('QTR BS'!AJ32-'QTR BS'!AI32)+('QTR BS'!AJ35-'QTR BS'!AI35)+('QTR BS'!AJ36-'QTR BS'!AI36)-('QTR BS'!AJ2-'QTR BS'!AI2)-('QTR BS'!AJ12-'QTR BS'!AI12)-('QTR BS'!AJ13-'QTR BS'!AI13)+('QTR BS'!AJ22-'QTR BS'!AI22)+('QTR BS'!AJ25-'QTR BS'!AI25)+('QTR BS'!AJ33-'QTR BS'!AI33)+('QTR BS'!AJ34-'QTR BS'!AI34)+('QTR BS'!AJ39-'QTR BS'!AI39)+('QTR BS'!AJ40-'QTR BS'!AI40)</f>
        <v/>
      </c>
      <c r="AJ18" s="4">
        <f>-('QTR BS'!AK4-'QTR BS'!AJ4)-('QTR BS'!AK7-'QTR BS'!AJ7)-('QTR BS'!AK9-'QTR BS'!AJ9)-('QTR BS'!AK11-'QTR BS'!AJ11)-('QTR BS'!AK14-'QTR BS'!AJ14)-('QTR BS'!AK16-'QTR BS'!AJ16)+('QTR BS'!AK24-'QTR BS'!AJ24)+('QTR BS'!AK26-'QTR BS'!AJ26)+('QTR BS'!AK27-'QTR BS'!AJ27)+('QTR BS'!AK28-'QTR BS'!AJ28)+('QTR BS'!AK31-'QTR BS'!AJ31)+('QTR BS'!AK32-'QTR BS'!AJ32)+('QTR BS'!AK35-'QTR BS'!AJ35)+('QTR BS'!AK36-'QTR BS'!AJ36)-('QTR BS'!AK2-'QTR BS'!AJ2)-('QTR BS'!AK12-'QTR BS'!AJ12)-('QTR BS'!AK13-'QTR BS'!AJ13)+('QTR BS'!AK22-'QTR BS'!AJ22)+('QTR BS'!AK25-'QTR BS'!AJ25)+('QTR BS'!AK33-'QTR BS'!AJ33)+('QTR BS'!AK34-'QTR BS'!AJ34)+('QTR BS'!AK39-'QTR BS'!AJ39)+('QTR BS'!AK40-'QTR BS'!AJ40)</f>
        <v/>
      </c>
      <c r="AK18" s="4">
        <f>-('QTR BS'!AL4-'QTR BS'!AK4)-('QTR BS'!AL7-'QTR BS'!AK7)-('QTR BS'!AL9-'QTR BS'!AK9)-('QTR BS'!AL11-'QTR BS'!AK11)-('QTR BS'!AL14-'QTR BS'!AK14)-('QTR BS'!AL16-'QTR BS'!AK16)+('QTR BS'!AL24-'QTR BS'!AK24)+('QTR BS'!AL26-'QTR BS'!AK26)+('QTR BS'!AL27-'QTR BS'!AK27)+('QTR BS'!AL28-'QTR BS'!AK28)+('QTR BS'!AL31-'QTR BS'!AK31)+('QTR BS'!AL32-'QTR BS'!AK32)+('QTR BS'!AL35-'QTR BS'!AK35)+('QTR BS'!AL36-'QTR BS'!AK36)-('QTR BS'!AL2-'QTR BS'!AK2)-('QTR BS'!AL12-'QTR BS'!AK12)-('QTR BS'!AL13-'QTR BS'!AK13)+('QTR BS'!AL22-'QTR BS'!AK22)+('QTR BS'!AL25-'QTR BS'!AK25)+('QTR BS'!AL33-'QTR BS'!AK33)+('QTR BS'!AL34-'QTR BS'!AK34)+('QTR BS'!AL39-'QTR BS'!AK39)+('QTR BS'!AL40-'QTR BS'!AK40)</f>
        <v/>
      </c>
      <c r="AL18" s="4">
        <f>-('QTR BS'!AM4-'QTR BS'!AL4)-('QTR BS'!AM7-'QTR BS'!AL7)-('QTR BS'!AM9-'QTR BS'!AL9)-('QTR BS'!AM11-'QTR BS'!AL11)-('QTR BS'!AM14-'QTR BS'!AL14)-('QTR BS'!AM16-'QTR BS'!AL16)+('QTR BS'!AM24-'QTR BS'!AL24)+('QTR BS'!AM26-'QTR BS'!AL26)+('QTR BS'!AM27-'QTR BS'!AL27)+('QTR BS'!AM28-'QTR BS'!AL28)+('QTR BS'!AM31-'QTR BS'!AL31)+('QTR BS'!AM32-'QTR BS'!AL32)+('QTR BS'!AM35-'QTR BS'!AL35)+('QTR BS'!AM36-'QTR BS'!AL36)-('QTR BS'!AM2-'QTR BS'!AL2)-('QTR BS'!AM12-'QTR BS'!AL12)-('QTR BS'!AM13-'QTR BS'!AL13)+('QTR BS'!AM22-'QTR BS'!AL22)+('QTR BS'!AM25-'QTR BS'!AL25)+('QTR BS'!AM33-'QTR BS'!AL33)+('QTR BS'!AM34-'QTR BS'!AL34)+('QTR BS'!AM39-'QTR BS'!AL39)+('QTR BS'!AM40-'QTR BS'!AL40)</f>
        <v/>
      </c>
      <c r="AM18" s="4">
        <f>-('QTR BS'!AN4-'QTR BS'!AM4)-('QTR BS'!AN7-'QTR BS'!AM7)-('QTR BS'!AN9-'QTR BS'!AM9)-('QTR BS'!AN11-'QTR BS'!AM11)-('QTR BS'!AN14-'QTR BS'!AM14)-('QTR BS'!AN16-'QTR BS'!AM16)+('QTR BS'!AN24-'QTR BS'!AM24)+('QTR BS'!AN26-'QTR BS'!AM26)+('QTR BS'!AN27-'QTR BS'!AM27)+('QTR BS'!AN28-'QTR BS'!AM28)+('QTR BS'!AN31-'QTR BS'!AM31)+('QTR BS'!AN32-'QTR BS'!AM32)+('QTR BS'!AN35-'QTR BS'!AM35)+('QTR BS'!AN36-'QTR BS'!AM36)-('QTR BS'!AN2-'QTR BS'!AM2)-('QTR BS'!AN12-'QTR BS'!AM12)-('QTR BS'!AN13-'QTR BS'!AM13)+('QTR BS'!AN22-'QTR BS'!AM22)+('QTR BS'!AN25-'QTR BS'!AM25)+('QTR BS'!AN33-'QTR BS'!AM33)+('QTR BS'!AN34-'QTR BS'!AM34)+('QTR BS'!AN39-'QTR BS'!AM39)+('QTR BS'!AN40-'QTR BS'!AM40)</f>
        <v/>
      </c>
      <c r="AN18" s="4">
        <f>-('QTR BS'!AO4-'QTR BS'!AN4)-('QTR BS'!AO7-'QTR BS'!AN7)-('QTR BS'!AO9-'QTR BS'!AN9)-('QTR BS'!AO11-'QTR BS'!AN11)-('QTR BS'!AO14-'QTR BS'!AN14)-('QTR BS'!AO16-'QTR BS'!AN16)+('QTR BS'!AO24-'QTR BS'!AN24)+('QTR BS'!AO26-'QTR BS'!AN26)+('QTR BS'!AO27-'QTR BS'!AN27)+('QTR BS'!AO28-'QTR BS'!AN28)+('QTR BS'!AO31-'QTR BS'!AN31)+('QTR BS'!AO32-'QTR BS'!AN32)+('QTR BS'!AO35-'QTR BS'!AN35)+('QTR BS'!AO36-'QTR BS'!AN36)-('QTR BS'!AO2-'QTR BS'!AN2)-('QTR BS'!AO12-'QTR BS'!AN12)-('QTR BS'!AO13-'QTR BS'!AN13)+('QTR BS'!AO22-'QTR BS'!AN22)+('QTR BS'!AO25-'QTR BS'!AN25)+('QTR BS'!AO33-'QTR BS'!AN33)+('QTR BS'!AO34-'QTR BS'!AN34)+('QTR BS'!AO39-'QTR BS'!AN39)+('QTR BS'!AO40-'QTR BS'!AN40)</f>
        <v/>
      </c>
      <c r="AO18" s="4">
        <f>-('QTR BS'!AP4-'QTR BS'!AO4)-('QTR BS'!AP7-'QTR BS'!AO7)-('QTR BS'!AP9-'QTR BS'!AO9)-('QTR BS'!AP11-'QTR BS'!AO11)-('QTR BS'!AP14-'QTR BS'!AO14)-('QTR BS'!AP16-'QTR BS'!AO16)+('QTR BS'!AP24-'QTR BS'!AO24)+('QTR BS'!AP26-'QTR BS'!AO26)+('QTR BS'!AP27-'QTR BS'!AO27)+('QTR BS'!AP28-'QTR BS'!AO28)+('QTR BS'!AP31-'QTR BS'!AO31)+('QTR BS'!AP32-'QTR BS'!AO32)+('QTR BS'!AP35-'QTR BS'!AO35)+('QTR BS'!AP36-'QTR BS'!AO36)-('QTR BS'!AP2-'QTR BS'!AO2)-('QTR BS'!AP12-'QTR BS'!AO12)-('QTR BS'!AP13-'QTR BS'!AO13)+('QTR BS'!AP22-'QTR BS'!AO22)+('QTR BS'!AP25-'QTR BS'!AO25)+('QTR BS'!AP33-'QTR BS'!AO33)+('QTR BS'!AP34-'QTR BS'!AO34)+('QTR BS'!AP39-'QTR BS'!AO39)+('QTR BS'!AP40-'QTR BS'!AO40)</f>
        <v/>
      </c>
      <c r="AP18" s="4">
        <f>-('QTR BS'!AQ4-'QTR BS'!AP4)-('QTR BS'!AQ7-'QTR BS'!AP7)-('QTR BS'!AQ9-'QTR BS'!AP9)-('QTR BS'!AQ11-'QTR BS'!AP11)-('QTR BS'!AQ14-'QTR BS'!AP14)-('QTR BS'!AQ16-'QTR BS'!AP16)+('QTR BS'!AQ24-'QTR BS'!AP24)+('QTR BS'!AQ26-'QTR BS'!AP26)+('QTR BS'!AQ27-'QTR BS'!AP27)+('QTR BS'!AQ28-'QTR BS'!AP28)+('QTR BS'!AQ31-'QTR BS'!AP31)+('QTR BS'!AQ32-'QTR BS'!AP32)+('QTR BS'!AQ35-'QTR BS'!AP35)+('QTR BS'!AQ36-'QTR BS'!AP36)-('QTR BS'!AQ2-'QTR BS'!AP2)-('QTR BS'!AQ12-'QTR BS'!AP12)-('QTR BS'!AQ13-'QTR BS'!AP13)+('QTR BS'!AQ22-'QTR BS'!AP22)+('QTR BS'!AQ25-'QTR BS'!AP25)+('QTR BS'!AQ33-'QTR BS'!AP33)+('QTR BS'!AQ34-'QTR BS'!AP34)+('QTR BS'!AQ39-'QTR BS'!AP39)+('QTR BS'!AQ40-'QTR BS'!AP40)</f>
        <v/>
      </c>
      <c r="AQ18" s="4">
        <f>-('QTR BS'!AR4-'QTR BS'!AQ4)-('QTR BS'!AR7-'QTR BS'!AQ7)-('QTR BS'!AR9-'QTR BS'!AQ9)-('QTR BS'!AR11-'QTR BS'!AQ11)-('QTR BS'!AR14-'QTR BS'!AQ14)-('QTR BS'!AR16-'QTR BS'!AQ16)+('QTR BS'!AR24-'QTR BS'!AQ24)+('QTR BS'!AR26-'QTR BS'!AQ26)+('QTR BS'!AR27-'QTR BS'!AQ27)+('QTR BS'!AR28-'QTR BS'!AQ28)+('QTR BS'!AR31-'QTR BS'!AQ31)+('QTR BS'!AR32-'QTR BS'!AQ32)+('QTR BS'!AR35-'QTR BS'!AQ35)+('QTR BS'!AR36-'QTR BS'!AQ36)-('QTR BS'!AR2-'QTR BS'!AQ2)-('QTR BS'!AR12-'QTR BS'!AQ12)-('QTR BS'!AR13-'QTR BS'!AQ13)+('QTR BS'!AR22-'QTR BS'!AQ22)+('QTR BS'!AR25-'QTR BS'!AQ25)+('QTR BS'!AR33-'QTR BS'!AQ33)+('QTR BS'!AR34-'QTR BS'!AQ34)+('QTR BS'!AR39-'QTR BS'!AQ39)+('QTR BS'!AR40-'QTR BS'!AQ40)</f>
        <v/>
      </c>
      <c r="AR18" s="4">
        <f>-('QTR BS'!AS4-'QTR BS'!AR4)-('QTR BS'!AS7-'QTR BS'!AR7)-('QTR BS'!AS9-'QTR BS'!AR9)-('QTR BS'!AS11-'QTR BS'!AR11)-('QTR BS'!AS14-'QTR BS'!AR14)-('QTR BS'!AS16-'QTR BS'!AR16)+('QTR BS'!AS24-'QTR BS'!AR24)+('QTR BS'!AS26-'QTR BS'!AR26)+('QTR BS'!AS27-'QTR BS'!AR27)+('QTR BS'!AS28-'QTR BS'!AR28)+('QTR BS'!AS31-'QTR BS'!AR31)+('QTR BS'!AS32-'QTR BS'!AR32)+('QTR BS'!AS35-'QTR BS'!AR35)+('QTR BS'!AS36-'QTR BS'!AR36)-('QTR BS'!AS2-'QTR BS'!AR2)-('QTR BS'!AS12-'QTR BS'!AR12)-('QTR BS'!AS13-'QTR BS'!AR13)+('QTR BS'!AS22-'QTR BS'!AR22)+('QTR BS'!AS25-'QTR BS'!AR25)+('QTR BS'!AS33-'QTR BS'!AR33)+('QTR BS'!AS34-'QTR BS'!AR34)+('QTR BS'!AS39-'QTR BS'!AR39)+('QTR BS'!AS40-'QTR BS'!AR40)</f>
        <v/>
      </c>
      <c r="AS18" s="4">
        <f>-('QTR BS'!AT4-'QTR BS'!AS4)-('QTR BS'!AT7-'QTR BS'!AS7)-('QTR BS'!AT9-'QTR BS'!AS9)-('QTR BS'!AT11-'QTR BS'!AS11)-('QTR BS'!AT14-'QTR BS'!AS14)-('QTR BS'!AT16-'QTR BS'!AS16)+('QTR BS'!AT24-'QTR BS'!AS24)+('QTR BS'!AT26-'QTR BS'!AS26)+('QTR BS'!AT27-'QTR BS'!AS27)+('QTR BS'!AT28-'QTR BS'!AS28)+('QTR BS'!AT31-'QTR BS'!AS31)+('QTR BS'!AT32-'QTR BS'!AS32)+('QTR BS'!AT35-'QTR BS'!AS35)+('QTR BS'!AT36-'QTR BS'!AS36)-('QTR BS'!AT2-'QTR BS'!AS2)-('QTR BS'!AT12-'QTR BS'!AS12)-('QTR BS'!AT13-'QTR BS'!AS13)+('QTR BS'!AT22-'QTR BS'!AS22)+('QTR BS'!AT25-'QTR BS'!AS25)+('QTR BS'!AT33-'QTR BS'!AS33)+('QTR BS'!AT34-'QTR BS'!AS34)+('QTR BS'!AT39-'QTR BS'!AS39)+('QTR BS'!AT40-'QTR BS'!AS40)</f>
        <v/>
      </c>
    </row>
    <row r="19">
      <c r="A19" s="3" t="inlineStr">
        <is>
          <t>Accounts Receivable</t>
        </is>
      </c>
      <c r="B19" s="4">
        <f>'QTR CF'!B19</f>
        <v/>
      </c>
      <c r="C19" s="4">
        <f>'QTR CF'!C19</f>
        <v/>
      </c>
      <c r="D19" s="4">
        <f>'QTR CF'!D19</f>
        <v/>
      </c>
      <c r="E19" s="4">
        <f>'QTR CF'!E19</f>
        <v/>
      </c>
      <c r="F19" s="4">
        <f>'QTR CF'!F19</f>
        <v/>
      </c>
      <c r="G19" s="4">
        <f>'QTR CF'!G19</f>
        <v/>
      </c>
      <c r="H19" s="4">
        <f>'QTR CF'!H19</f>
        <v/>
      </c>
      <c r="I19" s="4">
        <f>'QTR CF'!I19</f>
        <v/>
      </c>
      <c r="J19" s="4">
        <f>'QTR CF'!J19</f>
        <v/>
      </c>
      <c r="K19" s="4">
        <f>'QTR CF'!K19</f>
        <v/>
      </c>
      <c r="L19" s="4">
        <f>'QTR CF'!L19</f>
        <v/>
      </c>
      <c r="M19" s="4">
        <f>'QTR CF'!M19</f>
        <v/>
      </c>
      <c r="N19" s="4">
        <f>'QTR CF'!N19</f>
        <v/>
      </c>
      <c r="O19" s="4">
        <f>'QTR CF'!O19</f>
        <v/>
      </c>
      <c r="P19" s="4">
        <f>'QTR CF'!P19</f>
        <v/>
      </c>
      <c r="Q19" s="4">
        <f>'QTR CF'!Q19</f>
        <v/>
      </c>
      <c r="R19" s="4">
        <f>'QTR CF'!R19</f>
        <v/>
      </c>
      <c r="S19" s="4">
        <f>'QTR CF'!S19</f>
        <v/>
      </c>
      <c r="T19" s="4">
        <f>'QTR CF'!T19</f>
        <v/>
      </c>
      <c r="U19" s="4">
        <f>'QTR CF'!U19</f>
        <v/>
      </c>
      <c r="V19" s="4">
        <f>'QTR CF'!V19</f>
        <v/>
      </c>
      <c r="W19" s="4">
        <f>'QTR CF'!W19</f>
        <v/>
      </c>
      <c r="X19" s="4">
        <f>'QTR CF'!X19</f>
        <v/>
      </c>
      <c r="Y19" s="4">
        <f>'QTR CF'!Y19</f>
        <v/>
      </c>
      <c r="Z19" s="4">
        <f>-('QTR BS'!AA3-'QTR BS'!Z3)</f>
        <v/>
      </c>
      <c r="AA19" s="4">
        <f>-('QTR BS'!AB3-'QTR BS'!AA3)</f>
        <v/>
      </c>
      <c r="AB19" s="4">
        <f>-('QTR BS'!AC3-'QTR BS'!AB3)</f>
        <v/>
      </c>
      <c r="AC19" s="4">
        <f>-('QTR BS'!AD3-'QTR BS'!AC3)</f>
        <v/>
      </c>
      <c r="AD19" s="4">
        <f>-('QTR BS'!AE3-'QTR BS'!AD3)</f>
        <v/>
      </c>
      <c r="AE19" s="4">
        <f>-('QTR BS'!AF3-'QTR BS'!AE3)</f>
        <v/>
      </c>
      <c r="AF19" s="4">
        <f>-('QTR BS'!AG3-'QTR BS'!AF3)</f>
        <v/>
      </c>
      <c r="AG19" s="4">
        <f>-('QTR BS'!AH3-'QTR BS'!AG3)</f>
        <v/>
      </c>
      <c r="AH19" s="4">
        <f>-('QTR BS'!AI3-'QTR BS'!AH3)</f>
        <v/>
      </c>
      <c r="AI19" s="4">
        <f>-('QTR BS'!AJ3-'QTR BS'!AI3)</f>
        <v/>
      </c>
      <c r="AJ19" s="4">
        <f>-('QTR BS'!AK3-'QTR BS'!AJ3)</f>
        <v/>
      </c>
      <c r="AK19" s="4">
        <f>-('QTR BS'!AL3-'QTR BS'!AK3)</f>
        <v/>
      </c>
      <c r="AL19" s="4">
        <f>-('QTR BS'!AM3-'QTR BS'!AL3)</f>
        <v/>
      </c>
      <c r="AM19" s="4">
        <f>-('QTR BS'!AN3-'QTR BS'!AM3)</f>
        <v/>
      </c>
      <c r="AN19" s="4">
        <f>-('QTR BS'!AO3-'QTR BS'!AN3)</f>
        <v/>
      </c>
      <c r="AO19" s="4">
        <f>-('QTR BS'!AP3-'QTR BS'!AO3)</f>
        <v/>
      </c>
      <c r="AP19" s="4">
        <f>-('QTR BS'!AQ3-'QTR BS'!AP3)</f>
        <v/>
      </c>
      <c r="AQ19" s="4">
        <f>-('QTR BS'!AR3-'QTR BS'!AQ3)</f>
        <v/>
      </c>
      <c r="AR19" s="4">
        <f>-('QTR BS'!AS3-'QTR BS'!AR3)</f>
        <v/>
      </c>
      <c r="AS19" s="4">
        <f>-('QTR BS'!AT3-'QTR BS'!AS3)</f>
        <v/>
      </c>
    </row>
    <row r="20">
      <c r="A20" s="3" t="inlineStr">
        <is>
          <t>Note Receivable</t>
        </is>
      </c>
      <c r="B20" s="4">
        <f>'QTR CF'!B20</f>
        <v/>
      </c>
      <c r="C20" s="4">
        <f>'QTR CF'!C20</f>
        <v/>
      </c>
      <c r="D20" s="4">
        <f>'QTR CF'!D20</f>
        <v/>
      </c>
      <c r="E20" s="4">
        <f>'QTR CF'!E20</f>
        <v/>
      </c>
      <c r="F20" s="4">
        <f>'QTR CF'!F20</f>
        <v/>
      </c>
      <c r="G20" s="4">
        <f>'QTR CF'!G20</f>
        <v/>
      </c>
      <c r="H20" s="4">
        <f>'QTR CF'!H20</f>
        <v/>
      </c>
      <c r="I20" s="4">
        <f>'QTR CF'!I20</f>
        <v/>
      </c>
      <c r="J20" s="4">
        <f>'QTR CF'!J20</f>
        <v/>
      </c>
      <c r="K20" s="4">
        <f>'QTR CF'!K20</f>
        <v/>
      </c>
      <c r="L20" s="4">
        <f>'QTR CF'!L20</f>
        <v/>
      </c>
      <c r="M20" s="4">
        <f>'QTR CF'!M20</f>
        <v/>
      </c>
      <c r="N20" s="4">
        <f>'QTR CF'!N20</f>
        <v/>
      </c>
      <c r="O20" s="4">
        <f>'QTR CF'!O20</f>
        <v/>
      </c>
      <c r="P20" s="4">
        <f>'QTR CF'!P20</f>
        <v/>
      </c>
      <c r="Q20" s="4">
        <f>'QTR CF'!Q20</f>
        <v/>
      </c>
      <c r="R20" s="4">
        <f>'QTR CF'!R20</f>
        <v/>
      </c>
      <c r="S20" s="4">
        <f>'QTR CF'!S20</f>
        <v/>
      </c>
      <c r="T20" s="4">
        <f>'QTR CF'!T20</f>
        <v/>
      </c>
      <c r="U20" s="4">
        <f>'QTR CF'!U20</f>
        <v/>
      </c>
      <c r="V20" s="4">
        <f>'QTR CF'!V20</f>
        <v/>
      </c>
      <c r="W20" s="4">
        <f>'QTR CF'!W20</f>
        <v/>
      </c>
      <c r="X20" s="4">
        <f>'QTR CF'!X20</f>
        <v/>
      </c>
      <c r="Y20" s="4">
        <f>'QTR CF'!Y20</f>
        <v/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0</v>
      </c>
      <c r="AI20" s="15" t="n">
        <v>0</v>
      </c>
      <c r="AJ20" s="15" t="n">
        <v>0</v>
      </c>
      <c r="AK20" s="15" t="n">
        <v>0</v>
      </c>
      <c r="AL20" s="15" t="n">
        <v>0</v>
      </c>
      <c r="AM20" s="15" t="n">
        <v>0</v>
      </c>
      <c r="AN20" s="15" t="n">
        <v>0</v>
      </c>
      <c r="AO20" s="15" t="n">
        <v>0</v>
      </c>
      <c r="AP20" s="15" t="n">
        <v>0</v>
      </c>
      <c r="AQ20" s="15" t="n">
        <v>0</v>
      </c>
      <c r="AR20" s="15" t="n">
        <v>0</v>
      </c>
      <c r="AS20" s="15" t="n">
        <v>0</v>
      </c>
    </row>
    <row r="21">
      <c r="A21" s="3" t="inlineStr">
        <is>
          <t>Inventories</t>
        </is>
      </c>
      <c r="B21" s="4">
        <f>'QTR CF'!B21</f>
        <v/>
      </c>
      <c r="C21" s="4">
        <f>'QTR CF'!C21</f>
        <v/>
      </c>
      <c r="D21" s="4">
        <f>'QTR CF'!D21</f>
        <v/>
      </c>
      <c r="E21" s="4">
        <f>'QTR CF'!E21</f>
        <v/>
      </c>
      <c r="F21" s="4">
        <f>'QTR CF'!F21</f>
        <v/>
      </c>
      <c r="G21" s="4">
        <f>'QTR CF'!G21</f>
        <v/>
      </c>
      <c r="H21" s="4">
        <f>'QTR CF'!H21</f>
        <v/>
      </c>
      <c r="I21" s="4">
        <f>'QTR CF'!I21</f>
        <v/>
      </c>
      <c r="J21" s="4">
        <f>'QTR CF'!J21</f>
        <v/>
      </c>
      <c r="K21" s="4">
        <f>'QTR CF'!K21</f>
        <v/>
      </c>
      <c r="L21" s="4">
        <f>'QTR CF'!L21</f>
        <v/>
      </c>
      <c r="M21" s="4">
        <f>'QTR CF'!M21</f>
        <v/>
      </c>
      <c r="N21" s="4">
        <f>'QTR CF'!N21</f>
        <v/>
      </c>
      <c r="O21" s="4">
        <f>'QTR CF'!O21</f>
        <v/>
      </c>
      <c r="P21" s="4">
        <f>'QTR CF'!P21</f>
        <v/>
      </c>
      <c r="Q21" s="4">
        <f>'QTR CF'!Q21</f>
        <v/>
      </c>
      <c r="R21" s="4">
        <f>'QTR CF'!R21</f>
        <v/>
      </c>
      <c r="S21" s="4">
        <f>'QTR CF'!S21</f>
        <v/>
      </c>
      <c r="T21" s="4">
        <f>'QTR CF'!T21</f>
        <v/>
      </c>
      <c r="U21" s="4">
        <f>'QTR CF'!U21</f>
        <v/>
      </c>
      <c r="V21" s="4">
        <f>'QTR CF'!V21</f>
        <v/>
      </c>
      <c r="W21" s="4">
        <f>'QTR CF'!W21</f>
        <v/>
      </c>
      <c r="X21" s="4">
        <f>'QTR CF'!X21</f>
        <v/>
      </c>
      <c r="Y21" s="4">
        <f>'QTR CF'!Y21</f>
        <v/>
      </c>
      <c r="Z21" s="4">
        <f>-('QTR BS'!AA5-'QTR BS'!Z5)</f>
        <v/>
      </c>
      <c r="AA21" s="4">
        <f>-('QTR BS'!AB5-'QTR BS'!AA5)</f>
        <v/>
      </c>
      <c r="AB21" s="4">
        <f>-('QTR BS'!AC5-'QTR BS'!AB5)</f>
        <v/>
      </c>
      <c r="AC21" s="4">
        <f>-('QTR BS'!AD5-'QTR BS'!AC5)</f>
        <v/>
      </c>
      <c r="AD21" s="4">
        <f>-('QTR BS'!AE5-'QTR BS'!AD5)</f>
        <v/>
      </c>
      <c r="AE21" s="4">
        <f>-('QTR BS'!AF5-'QTR BS'!AE5)</f>
        <v/>
      </c>
      <c r="AF21" s="4">
        <f>-('QTR BS'!AG5-'QTR BS'!AF5)</f>
        <v/>
      </c>
      <c r="AG21" s="4">
        <f>-('QTR BS'!AH5-'QTR BS'!AG5)</f>
        <v/>
      </c>
      <c r="AH21" s="4">
        <f>-('QTR BS'!AI5-'QTR BS'!AH5)</f>
        <v/>
      </c>
      <c r="AI21" s="4">
        <f>-('QTR BS'!AJ5-'QTR BS'!AI5)</f>
        <v/>
      </c>
      <c r="AJ21" s="4">
        <f>-('QTR BS'!AK5-'QTR BS'!AJ5)</f>
        <v/>
      </c>
      <c r="AK21" s="4">
        <f>-('QTR BS'!AL5-'QTR BS'!AK5)</f>
        <v/>
      </c>
      <c r="AL21" s="4">
        <f>-('QTR BS'!AM5-'QTR BS'!AL5)</f>
        <v/>
      </c>
      <c r="AM21" s="4">
        <f>-('QTR BS'!AN5-'QTR BS'!AM5)</f>
        <v/>
      </c>
      <c r="AN21" s="4">
        <f>-('QTR BS'!AO5-'QTR BS'!AN5)</f>
        <v/>
      </c>
      <c r="AO21" s="4">
        <f>-('QTR BS'!AP5-'QTR BS'!AO5)</f>
        <v/>
      </c>
      <c r="AP21" s="4">
        <f>-('QTR BS'!AQ5-'QTR BS'!AP5)</f>
        <v/>
      </c>
      <c r="AQ21" s="4">
        <f>-('QTR BS'!AR5-'QTR BS'!AQ5)</f>
        <v/>
      </c>
      <c r="AR21" s="4">
        <f>-('QTR BS'!AS5-'QTR BS'!AR5)</f>
        <v/>
      </c>
      <c r="AS21" s="4">
        <f>-('QTR BS'!AT5-'QTR BS'!AS5)</f>
        <v/>
      </c>
    </row>
    <row r="22">
      <c r="A22" s="3" t="inlineStr">
        <is>
          <t>Prepaid Expenses</t>
        </is>
      </c>
      <c r="B22" s="4">
        <f>'QTR CF'!B22</f>
        <v/>
      </c>
      <c r="C22" s="4">
        <f>'QTR CF'!C22</f>
        <v/>
      </c>
      <c r="D22" s="4">
        <f>'QTR CF'!D22</f>
        <v/>
      </c>
      <c r="E22" s="4">
        <f>'QTR CF'!E22</f>
        <v/>
      </c>
      <c r="F22" s="4">
        <f>'QTR CF'!F22</f>
        <v/>
      </c>
      <c r="G22" s="4">
        <f>'QTR CF'!G22</f>
        <v/>
      </c>
      <c r="H22" s="4">
        <f>'QTR CF'!H22</f>
        <v/>
      </c>
      <c r="I22" s="4">
        <f>'QTR CF'!I22</f>
        <v/>
      </c>
      <c r="J22" s="4">
        <f>'QTR CF'!J22</f>
        <v/>
      </c>
      <c r="K22" s="4">
        <f>'QTR CF'!K22</f>
        <v/>
      </c>
      <c r="L22" s="4">
        <f>'QTR CF'!L22</f>
        <v/>
      </c>
      <c r="M22" s="4">
        <f>'QTR CF'!M22</f>
        <v/>
      </c>
      <c r="N22" s="4">
        <f>'QTR CF'!N22</f>
        <v/>
      </c>
      <c r="O22" s="4">
        <f>'QTR CF'!O22</f>
        <v/>
      </c>
      <c r="P22" s="4">
        <f>'QTR CF'!P22</f>
        <v/>
      </c>
      <c r="Q22" s="4">
        <f>'QTR CF'!Q22</f>
        <v/>
      </c>
      <c r="R22" s="4">
        <f>'QTR CF'!R22</f>
        <v/>
      </c>
      <c r="S22" s="4">
        <f>'QTR CF'!S22</f>
        <v/>
      </c>
      <c r="T22" s="4">
        <f>'QTR CF'!T22</f>
        <v/>
      </c>
      <c r="U22" s="4">
        <f>'QTR CF'!U22</f>
        <v/>
      </c>
      <c r="V22" s="4">
        <f>'QTR CF'!V22</f>
        <v/>
      </c>
      <c r="W22" s="4">
        <f>'QTR CF'!W22</f>
        <v/>
      </c>
      <c r="X22" s="4">
        <f>'QTR CF'!X22</f>
        <v/>
      </c>
      <c r="Y22" s="4">
        <f>'QTR CF'!Y22</f>
        <v/>
      </c>
      <c r="Z22" s="4">
        <f>-('QTR BS'!AA6-'QTR BS'!Z6)</f>
        <v/>
      </c>
      <c r="AA22" s="4">
        <f>-('QTR BS'!AB6-'QTR BS'!AA6)</f>
        <v/>
      </c>
      <c r="AB22" s="4">
        <f>-('QTR BS'!AC6-'QTR BS'!AB6)</f>
        <v/>
      </c>
      <c r="AC22" s="4">
        <f>-('QTR BS'!AD6-'QTR BS'!AC6)</f>
        <v/>
      </c>
      <c r="AD22" s="4">
        <f>-('QTR BS'!AE6-'QTR BS'!AD6)</f>
        <v/>
      </c>
      <c r="AE22" s="4">
        <f>-('QTR BS'!AF6-'QTR BS'!AE6)</f>
        <v/>
      </c>
      <c r="AF22" s="4">
        <f>-('QTR BS'!AG6-'QTR BS'!AF6)</f>
        <v/>
      </c>
      <c r="AG22" s="4">
        <f>-('QTR BS'!AH6-'QTR BS'!AG6)</f>
        <v/>
      </c>
      <c r="AH22" s="4">
        <f>-('QTR BS'!AI6-'QTR BS'!AH6)</f>
        <v/>
      </c>
      <c r="AI22" s="4">
        <f>-('QTR BS'!AJ6-'QTR BS'!AI6)</f>
        <v/>
      </c>
      <c r="AJ22" s="4">
        <f>-('QTR BS'!AK6-'QTR BS'!AJ6)</f>
        <v/>
      </c>
      <c r="AK22" s="4">
        <f>-('QTR BS'!AL6-'QTR BS'!AK6)</f>
        <v/>
      </c>
      <c r="AL22" s="4">
        <f>-('QTR BS'!AM6-'QTR BS'!AL6)</f>
        <v/>
      </c>
      <c r="AM22" s="4">
        <f>-('QTR BS'!AN6-'QTR BS'!AM6)</f>
        <v/>
      </c>
      <c r="AN22" s="4">
        <f>-('QTR BS'!AO6-'QTR BS'!AN6)</f>
        <v/>
      </c>
      <c r="AO22" s="4">
        <f>-('QTR BS'!AP6-'QTR BS'!AO6)</f>
        <v/>
      </c>
      <c r="AP22" s="4">
        <f>-('QTR BS'!AQ6-'QTR BS'!AP6)</f>
        <v/>
      </c>
      <c r="AQ22" s="4">
        <f>-('QTR BS'!AR6-'QTR BS'!AQ6)</f>
        <v/>
      </c>
      <c r="AR22" s="4">
        <f>-('QTR BS'!AS6-'QTR BS'!AR6)</f>
        <v/>
      </c>
      <c r="AS22" s="4">
        <f>-('QTR BS'!AT6-'QTR BS'!AS6)</f>
        <v/>
      </c>
    </row>
    <row r="23">
      <c r="A23" s="3" t="inlineStr">
        <is>
          <t>Change in A/P and Accrued (legacy)</t>
        </is>
      </c>
      <c r="B23" s="4">
        <f>'QTR CF'!B23</f>
        <v/>
      </c>
      <c r="C23" s="4">
        <f>'QTR CF'!C23</f>
        <v/>
      </c>
      <c r="D23" s="4">
        <f>'QTR CF'!D23</f>
        <v/>
      </c>
      <c r="E23" s="4">
        <f>'QTR CF'!E23</f>
        <v/>
      </c>
      <c r="F23" s="4">
        <f>'QTR CF'!F23</f>
        <v/>
      </c>
      <c r="G23" s="4">
        <f>'QTR CF'!G23</f>
        <v/>
      </c>
      <c r="H23" s="4">
        <f>'QTR CF'!H23</f>
        <v/>
      </c>
      <c r="I23" s="4">
        <f>'QTR CF'!I23</f>
        <v/>
      </c>
      <c r="J23" s="4">
        <f>'QTR CF'!J23</f>
        <v/>
      </c>
      <c r="K23" s="4">
        <f>'QTR CF'!K23</f>
        <v/>
      </c>
      <c r="L23" s="4">
        <f>'QTR CF'!L23</f>
        <v/>
      </c>
      <c r="M23" s="4">
        <f>'QTR CF'!M23</f>
        <v/>
      </c>
      <c r="N23" s="4">
        <f>'QTR CF'!N23</f>
        <v/>
      </c>
      <c r="O23" s="4">
        <f>'QTR CF'!O23</f>
        <v/>
      </c>
      <c r="P23" s="4">
        <f>'QTR CF'!P23</f>
        <v/>
      </c>
      <c r="Q23" s="4">
        <f>'QTR CF'!Q23</f>
        <v/>
      </c>
      <c r="R23" s="4">
        <f>'QTR CF'!R23</f>
        <v/>
      </c>
      <c r="S23" s="4">
        <f>'QTR CF'!S23</f>
        <v/>
      </c>
      <c r="T23" s="4">
        <f>'QTR CF'!T23</f>
        <v/>
      </c>
      <c r="U23" s="4">
        <f>'QTR CF'!U23</f>
        <v/>
      </c>
      <c r="V23" s="4">
        <f>'QTR CF'!V23</f>
        <v/>
      </c>
      <c r="W23" s="4">
        <f>'QTR CF'!W23</f>
        <v/>
      </c>
      <c r="X23" s="4">
        <f>'QTR CF'!X23</f>
        <v/>
      </c>
      <c r="Y23" s="4">
        <f>'QTR CF'!Y23</f>
        <v/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5" t="n">
        <v>0</v>
      </c>
      <c r="AF23" s="15" t="n">
        <v>0</v>
      </c>
      <c r="AG23" s="15" t="n">
        <v>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0</v>
      </c>
      <c r="AM23" s="15" t="n">
        <v>0</v>
      </c>
      <c r="AN23" s="15" t="n">
        <v>0</v>
      </c>
      <c r="AO23" s="15" t="n">
        <v>0</v>
      </c>
      <c r="AP23" s="15" t="n">
        <v>0</v>
      </c>
      <c r="AQ23" s="15" t="n">
        <v>0</v>
      </c>
      <c r="AR23" s="15" t="n">
        <v>0</v>
      </c>
      <c r="AS23" s="15" t="n">
        <v>0</v>
      </c>
    </row>
    <row r="24">
      <c r="A24" s="3" t="inlineStr">
        <is>
          <t>Other Non-Current Assets</t>
        </is>
      </c>
      <c r="B24" s="4">
        <f>'QTR CF'!B24</f>
        <v/>
      </c>
      <c r="C24" s="4">
        <f>'QTR CF'!C24</f>
        <v/>
      </c>
      <c r="D24" s="4">
        <f>'QTR CF'!D24</f>
        <v/>
      </c>
      <c r="E24" s="4">
        <f>'QTR CF'!E24</f>
        <v/>
      </c>
      <c r="F24" s="4">
        <f>'QTR CF'!F24</f>
        <v/>
      </c>
      <c r="G24" s="4">
        <f>'QTR CF'!G24</f>
        <v/>
      </c>
      <c r="H24" s="4">
        <f>'QTR CF'!H24</f>
        <v/>
      </c>
      <c r="I24" s="4">
        <f>'QTR CF'!I24</f>
        <v/>
      </c>
      <c r="J24" s="4">
        <f>'QTR CF'!J24</f>
        <v/>
      </c>
      <c r="K24" s="4">
        <f>'QTR CF'!K24</f>
        <v/>
      </c>
      <c r="L24" s="4">
        <f>'QTR CF'!L24</f>
        <v/>
      </c>
      <c r="M24" s="4">
        <f>'QTR CF'!M24</f>
        <v/>
      </c>
      <c r="N24" s="4">
        <f>'QTR CF'!N24</f>
        <v/>
      </c>
      <c r="O24" s="4">
        <f>'QTR CF'!O24</f>
        <v/>
      </c>
      <c r="P24" s="4">
        <f>'QTR CF'!P24</f>
        <v/>
      </c>
      <c r="Q24" s="4">
        <f>'QTR CF'!Q24</f>
        <v/>
      </c>
      <c r="R24" s="4">
        <f>'QTR CF'!R24</f>
        <v/>
      </c>
      <c r="S24" s="4">
        <f>'QTR CF'!S24</f>
        <v/>
      </c>
      <c r="T24" s="4">
        <f>'QTR CF'!T24</f>
        <v/>
      </c>
      <c r="U24" s="4">
        <f>'QTR CF'!U24</f>
        <v/>
      </c>
      <c r="V24" s="4">
        <f>'QTR CF'!V24</f>
        <v/>
      </c>
      <c r="W24" s="4">
        <f>'QTR CF'!W24</f>
        <v/>
      </c>
      <c r="X24" s="4">
        <f>'QTR CF'!X24</f>
        <v/>
      </c>
      <c r="Y24" s="4">
        <f>'QTR CF'!Y24</f>
        <v/>
      </c>
      <c r="Z24" s="4">
        <f>-('QTR BS'!AA17-'QTR BS'!Z17)</f>
        <v/>
      </c>
      <c r="AA24" s="4">
        <f>-('QTR BS'!AB17-'QTR BS'!AA17)</f>
        <v/>
      </c>
      <c r="AB24" s="4">
        <f>-('QTR BS'!AC17-'QTR BS'!AB17)</f>
        <v/>
      </c>
      <c r="AC24" s="4">
        <f>-('QTR BS'!AD17-'QTR BS'!AC17)</f>
        <v/>
      </c>
      <c r="AD24" s="4">
        <f>-('QTR BS'!AE17-'QTR BS'!AD17)</f>
        <v/>
      </c>
      <c r="AE24" s="4">
        <f>-('QTR BS'!AF17-'QTR BS'!AE17)</f>
        <v/>
      </c>
      <c r="AF24" s="4">
        <f>-('QTR BS'!AG17-'QTR BS'!AF17)</f>
        <v/>
      </c>
      <c r="AG24" s="4">
        <f>-('QTR BS'!AH17-'QTR BS'!AG17)</f>
        <v/>
      </c>
      <c r="AH24" s="4">
        <f>-('QTR BS'!AI17-'QTR BS'!AH17)</f>
        <v/>
      </c>
      <c r="AI24" s="4">
        <f>-('QTR BS'!AJ17-'QTR BS'!AI17)</f>
        <v/>
      </c>
      <c r="AJ24" s="4">
        <f>-('QTR BS'!AK17-'QTR BS'!AJ17)</f>
        <v/>
      </c>
      <c r="AK24" s="4">
        <f>-('QTR BS'!AL17-'QTR BS'!AK17)</f>
        <v/>
      </c>
      <c r="AL24" s="4">
        <f>-('QTR BS'!AM17-'QTR BS'!AL17)</f>
        <v/>
      </c>
      <c r="AM24" s="4">
        <f>-('QTR BS'!AN17-'QTR BS'!AM17)</f>
        <v/>
      </c>
      <c r="AN24" s="4">
        <f>-('QTR BS'!AO17-'QTR BS'!AN17)</f>
        <v/>
      </c>
      <c r="AO24" s="4">
        <f>-('QTR BS'!AP17-'QTR BS'!AO17)</f>
        <v/>
      </c>
      <c r="AP24" s="4">
        <f>-('QTR BS'!AQ17-'QTR BS'!AP17)</f>
        <v/>
      </c>
      <c r="AQ24" s="4">
        <f>-('QTR BS'!AR17-'QTR BS'!AQ17)</f>
        <v/>
      </c>
      <c r="AR24" s="4">
        <f>-('QTR BS'!AS17-'QTR BS'!AR17)</f>
        <v/>
      </c>
      <c r="AS24" s="4">
        <f>-('QTR BS'!AT17-'QTR BS'!AS17)</f>
        <v/>
      </c>
    </row>
    <row r="25">
      <c r="A25" s="3" t="inlineStr">
        <is>
          <t>Accounts Payable</t>
        </is>
      </c>
      <c r="B25" s="4">
        <f>'QTR CF'!B25</f>
        <v/>
      </c>
      <c r="C25" s="4">
        <f>'QTR CF'!C25</f>
        <v/>
      </c>
      <c r="D25" s="4">
        <f>'QTR CF'!D25</f>
        <v/>
      </c>
      <c r="E25" s="4">
        <f>'QTR CF'!E25</f>
        <v/>
      </c>
      <c r="F25" s="4">
        <f>'QTR CF'!F25</f>
        <v/>
      </c>
      <c r="G25" s="4">
        <f>'QTR CF'!G25</f>
        <v/>
      </c>
      <c r="H25" s="4">
        <f>'QTR CF'!H25</f>
        <v/>
      </c>
      <c r="I25" s="4">
        <f>'QTR CF'!I25</f>
        <v/>
      </c>
      <c r="J25" s="4">
        <f>'QTR CF'!J25</f>
        <v/>
      </c>
      <c r="K25" s="4">
        <f>'QTR CF'!K25</f>
        <v/>
      </c>
      <c r="L25" s="4">
        <f>'QTR CF'!L25</f>
        <v/>
      </c>
      <c r="M25" s="4">
        <f>'QTR CF'!M25</f>
        <v/>
      </c>
      <c r="N25" s="4">
        <f>'QTR CF'!N25</f>
        <v/>
      </c>
      <c r="O25" s="4">
        <f>'QTR CF'!O25</f>
        <v/>
      </c>
      <c r="P25" s="4">
        <f>'QTR CF'!P25</f>
        <v/>
      </c>
      <c r="Q25" s="4">
        <f>'QTR CF'!Q25</f>
        <v/>
      </c>
      <c r="R25" s="4">
        <f>'QTR CF'!R25</f>
        <v/>
      </c>
      <c r="S25" s="4">
        <f>'QTR CF'!S25</f>
        <v/>
      </c>
      <c r="T25" s="4">
        <f>'QTR CF'!T25</f>
        <v/>
      </c>
      <c r="U25" s="4">
        <f>'QTR CF'!U25</f>
        <v/>
      </c>
      <c r="V25" s="4">
        <f>'QTR CF'!V25</f>
        <v/>
      </c>
      <c r="W25" s="4">
        <f>'QTR CF'!W25</f>
        <v/>
      </c>
      <c r="X25" s="4">
        <f>'QTR CF'!X25</f>
        <v/>
      </c>
      <c r="Y25" s="4">
        <f>'QTR CF'!Y25</f>
        <v/>
      </c>
      <c r="Z25" s="4">
        <f>('QTR BS'!AA19-'QTR BS'!Z19)</f>
        <v/>
      </c>
      <c r="AA25" s="4">
        <f>('QTR BS'!AB19-'QTR BS'!AA19)</f>
        <v/>
      </c>
      <c r="AB25" s="4">
        <f>('QTR BS'!AC19-'QTR BS'!AB19)</f>
        <v/>
      </c>
      <c r="AC25" s="4">
        <f>('QTR BS'!AD19-'QTR BS'!AC19)</f>
        <v/>
      </c>
      <c r="AD25" s="4">
        <f>('QTR BS'!AE19-'QTR BS'!AD19)</f>
        <v/>
      </c>
      <c r="AE25" s="4">
        <f>('QTR BS'!AF19-'QTR BS'!AE19)</f>
        <v/>
      </c>
      <c r="AF25" s="4">
        <f>('QTR BS'!AG19-'QTR BS'!AF19)</f>
        <v/>
      </c>
      <c r="AG25" s="4">
        <f>('QTR BS'!AH19-'QTR BS'!AG19)</f>
        <v/>
      </c>
      <c r="AH25" s="4">
        <f>('QTR BS'!AI19-'QTR BS'!AH19)</f>
        <v/>
      </c>
      <c r="AI25" s="4">
        <f>('QTR BS'!AJ19-'QTR BS'!AI19)</f>
        <v/>
      </c>
      <c r="AJ25" s="4">
        <f>('QTR BS'!AK19-'QTR BS'!AJ19)</f>
        <v/>
      </c>
      <c r="AK25" s="4">
        <f>('QTR BS'!AL19-'QTR BS'!AK19)</f>
        <v/>
      </c>
      <c r="AL25" s="4">
        <f>('QTR BS'!AM19-'QTR BS'!AL19)</f>
        <v/>
      </c>
      <c r="AM25" s="4">
        <f>('QTR BS'!AN19-'QTR BS'!AM19)</f>
        <v/>
      </c>
      <c r="AN25" s="4">
        <f>('QTR BS'!AO19-'QTR BS'!AN19)</f>
        <v/>
      </c>
      <c r="AO25" s="4">
        <f>('QTR BS'!AP19-'QTR BS'!AO19)</f>
        <v/>
      </c>
      <c r="AP25" s="4">
        <f>('QTR BS'!AQ19-'QTR BS'!AP19)</f>
        <v/>
      </c>
      <c r="AQ25" s="4">
        <f>('QTR BS'!AR19-'QTR BS'!AQ19)</f>
        <v/>
      </c>
      <c r="AR25" s="4">
        <f>('QTR BS'!AS19-'QTR BS'!AR19)</f>
        <v/>
      </c>
      <c r="AS25" s="4">
        <f>('QTR BS'!AT19-'QTR BS'!AS19)</f>
        <v/>
      </c>
    </row>
    <row r="26">
      <c r="A26" s="3" t="inlineStr">
        <is>
          <t>Accrued Expenses</t>
        </is>
      </c>
      <c r="B26" s="4">
        <f>'QTR CF'!B26</f>
        <v/>
      </c>
      <c r="C26" s="4">
        <f>'QTR CF'!C26</f>
        <v/>
      </c>
      <c r="D26" s="4">
        <f>'QTR CF'!D26</f>
        <v/>
      </c>
      <c r="E26" s="4">
        <f>'QTR CF'!E26</f>
        <v/>
      </c>
      <c r="F26" s="4">
        <f>'QTR CF'!F26</f>
        <v/>
      </c>
      <c r="G26" s="4">
        <f>'QTR CF'!G26</f>
        <v/>
      </c>
      <c r="H26" s="4">
        <f>'QTR CF'!H26</f>
        <v/>
      </c>
      <c r="I26" s="4">
        <f>'QTR CF'!I26</f>
        <v/>
      </c>
      <c r="J26" s="4">
        <f>'QTR CF'!J26</f>
        <v/>
      </c>
      <c r="K26" s="4">
        <f>'QTR CF'!K26</f>
        <v/>
      </c>
      <c r="L26" s="4">
        <f>'QTR CF'!L26</f>
        <v/>
      </c>
      <c r="M26" s="4">
        <f>'QTR CF'!M26</f>
        <v/>
      </c>
      <c r="N26" s="4">
        <f>'QTR CF'!N26</f>
        <v/>
      </c>
      <c r="O26" s="4">
        <f>'QTR CF'!O26</f>
        <v/>
      </c>
      <c r="P26" s="4">
        <f>'QTR CF'!P26</f>
        <v/>
      </c>
      <c r="Q26" s="4">
        <f>'QTR CF'!Q26</f>
        <v/>
      </c>
      <c r="R26" s="4">
        <f>'QTR CF'!R26</f>
        <v/>
      </c>
      <c r="S26" s="4">
        <f>'QTR CF'!S26</f>
        <v/>
      </c>
      <c r="T26" s="4">
        <f>'QTR CF'!T26</f>
        <v/>
      </c>
      <c r="U26" s="4">
        <f>'QTR CF'!U26</f>
        <v/>
      </c>
      <c r="V26" s="4">
        <f>'QTR CF'!V26</f>
        <v/>
      </c>
      <c r="W26" s="4">
        <f>'QTR CF'!W26</f>
        <v/>
      </c>
      <c r="X26" s="4">
        <f>'QTR CF'!X26</f>
        <v/>
      </c>
      <c r="Y26" s="4">
        <f>'QTR CF'!Y26</f>
        <v/>
      </c>
      <c r="Z26" s="4">
        <f>('QTR BS'!AA20-'QTR BS'!Z20)</f>
        <v/>
      </c>
      <c r="AA26" s="4">
        <f>('QTR BS'!AB20-'QTR BS'!AA20)</f>
        <v/>
      </c>
      <c r="AB26" s="4">
        <f>('QTR BS'!AC20-'QTR BS'!AB20)</f>
        <v/>
      </c>
      <c r="AC26" s="4">
        <f>('QTR BS'!AD20-'QTR BS'!AC20)</f>
        <v/>
      </c>
      <c r="AD26" s="4">
        <f>('QTR BS'!AE20-'QTR BS'!AD20)</f>
        <v/>
      </c>
      <c r="AE26" s="4">
        <f>('QTR BS'!AF20-'QTR BS'!AE20)</f>
        <v/>
      </c>
      <c r="AF26" s="4">
        <f>('QTR BS'!AG20-'QTR BS'!AF20)</f>
        <v/>
      </c>
      <c r="AG26" s="4">
        <f>('QTR BS'!AH20-'QTR BS'!AG20)</f>
        <v/>
      </c>
      <c r="AH26" s="4">
        <f>('QTR BS'!AI20-'QTR BS'!AH20)</f>
        <v/>
      </c>
      <c r="AI26" s="4">
        <f>('QTR BS'!AJ20-'QTR BS'!AI20)</f>
        <v/>
      </c>
      <c r="AJ26" s="4">
        <f>('QTR BS'!AK20-'QTR BS'!AJ20)</f>
        <v/>
      </c>
      <c r="AK26" s="4">
        <f>('QTR BS'!AL20-'QTR BS'!AK20)</f>
        <v/>
      </c>
      <c r="AL26" s="4">
        <f>('QTR BS'!AM20-'QTR BS'!AL20)</f>
        <v/>
      </c>
      <c r="AM26" s="4">
        <f>('QTR BS'!AN20-'QTR BS'!AM20)</f>
        <v/>
      </c>
      <c r="AN26" s="4">
        <f>('QTR BS'!AO20-'QTR BS'!AN20)</f>
        <v/>
      </c>
      <c r="AO26" s="4">
        <f>('QTR BS'!AP20-'QTR BS'!AO20)</f>
        <v/>
      </c>
      <c r="AP26" s="4">
        <f>('QTR BS'!AQ20-'QTR BS'!AP20)</f>
        <v/>
      </c>
      <c r="AQ26" s="4">
        <f>('QTR BS'!AR20-'QTR BS'!AQ20)</f>
        <v/>
      </c>
      <c r="AR26" s="4">
        <f>('QTR BS'!AS20-'QTR BS'!AR20)</f>
        <v/>
      </c>
      <c r="AS26" s="4">
        <f>('QTR BS'!AT20-'QTR BS'!AS20)</f>
        <v/>
      </c>
    </row>
    <row r="27">
      <c r="A27" s="3" t="inlineStr">
        <is>
          <t>Change in Income Taxes</t>
        </is>
      </c>
      <c r="B27" s="4">
        <f>'QTR CF'!B27</f>
        <v/>
      </c>
      <c r="C27" s="4">
        <f>'QTR CF'!C27</f>
        <v/>
      </c>
      <c r="D27" s="4">
        <f>'QTR CF'!D27</f>
        <v/>
      </c>
      <c r="E27" s="4">
        <f>'QTR CF'!E27</f>
        <v/>
      </c>
      <c r="F27" s="4">
        <f>'QTR CF'!F27</f>
        <v/>
      </c>
      <c r="G27" s="4">
        <f>'QTR CF'!G27</f>
        <v/>
      </c>
      <c r="H27" s="4">
        <f>'QTR CF'!H27</f>
        <v/>
      </c>
      <c r="I27" s="4">
        <f>'QTR CF'!I27</f>
        <v/>
      </c>
      <c r="J27" s="4">
        <f>'QTR CF'!J27</f>
        <v/>
      </c>
      <c r="K27" s="4">
        <f>'QTR CF'!K27</f>
        <v/>
      </c>
      <c r="L27" s="4">
        <f>'QTR CF'!L27</f>
        <v/>
      </c>
      <c r="M27" s="4">
        <f>'QTR CF'!M27</f>
        <v/>
      </c>
      <c r="N27" s="4">
        <f>'QTR CF'!N27</f>
        <v/>
      </c>
      <c r="O27" s="4">
        <f>'QTR CF'!O27</f>
        <v/>
      </c>
      <c r="P27" s="4">
        <f>'QTR CF'!P27</f>
        <v/>
      </c>
      <c r="Q27" s="4">
        <f>'QTR CF'!Q27</f>
        <v/>
      </c>
      <c r="R27" s="4">
        <f>'QTR CF'!R27</f>
        <v/>
      </c>
      <c r="S27" s="4">
        <f>'QTR CF'!S27</f>
        <v/>
      </c>
      <c r="T27" s="4">
        <f>'QTR CF'!T27</f>
        <v/>
      </c>
      <c r="U27" s="4">
        <f>'QTR CF'!U27</f>
        <v/>
      </c>
      <c r="V27" s="4">
        <f>'QTR CF'!V27</f>
        <v/>
      </c>
      <c r="W27" s="4">
        <f>'QTR CF'!W27</f>
        <v/>
      </c>
      <c r="X27" s="4">
        <f>'QTR CF'!X27</f>
        <v/>
      </c>
      <c r="Y27" s="4">
        <f>'QTR CF'!Y27</f>
        <v/>
      </c>
      <c r="Z27" s="4">
        <f>('QTR BS'!AA21-'QTR BS'!Z21)</f>
        <v/>
      </c>
      <c r="AA27" s="4">
        <f>('QTR BS'!AB21-'QTR BS'!AA21)</f>
        <v/>
      </c>
      <c r="AB27" s="4">
        <f>('QTR BS'!AC21-'QTR BS'!AB21)</f>
        <v/>
      </c>
      <c r="AC27" s="4">
        <f>('QTR BS'!AD21-'QTR BS'!AC21)</f>
        <v/>
      </c>
      <c r="AD27" s="4">
        <f>('QTR BS'!AE21-'QTR BS'!AD21)</f>
        <v/>
      </c>
      <c r="AE27" s="4">
        <f>('QTR BS'!AF21-'QTR BS'!AE21)</f>
        <v/>
      </c>
      <c r="AF27" s="4">
        <f>('QTR BS'!AG21-'QTR BS'!AF21)</f>
        <v/>
      </c>
      <c r="AG27" s="4">
        <f>('QTR BS'!AH21-'QTR BS'!AG21)</f>
        <v/>
      </c>
      <c r="AH27" s="4">
        <f>('QTR BS'!AI21-'QTR BS'!AH21)</f>
        <v/>
      </c>
      <c r="AI27" s="4">
        <f>('QTR BS'!AJ21-'QTR BS'!AI21)</f>
        <v/>
      </c>
      <c r="AJ27" s="4">
        <f>('QTR BS'!AK21-'QTR BS'!AJ21)</f>
        <v/>
      </c>
      <c r="AK27" s="4">
        <f>('QTR BS'!AL21-'QTR BS'!AK21)</f>
        <v/>
      </c>
      <c r="AL27" s="4">
        <f>('QTR BS'!AM21-'QTR BS'!AL21)</f>
        <v/>
      </c>
      <c r="AM27" s="4">
        <f>('QTR BS'!AN21-'QTR BS'!AM21)</f>
        <v/>
      </c>
      <c r="AN27" s="4">
        <f>('QTR BS'!AO21-'QTR BS'!AN21)</f>
        <v/>
      </c>
      <c r="AO27" s="4">
        <f>('QTR BS'!AP21-'QTR BS'!AO21)</f>
        <v/>
      </c>
      <c r="AP27" s="4">
        <f>('QTR BS'!AQ21-'QTR BS'!AP21)</f>
        <v/>
      </c>
      <c r="AQ27" s="4">
        <f>('QTR BS'!AR21-'QTR BS'!AQ21)</f>
        <v/>
      </c>
      <c r="AR27" s="4">
        <f>('QTR BS'!AS21-'QTR BS'!AR21)</f>
        <v/>
      </c>
      <c r="AS27" s="4">
        <f>('QTR BS'!AT21-'QTR BS'!AS21)</f>
        <v/>
      </c>
    </row>
    <row r="28">
      <c r="A28" s="3" t="inlineStr">
        <is>
          <t>Accrued Promotional Allowance</t>
        </is>
      </c>
      <c r="B28" s="4">
        <f>'QTR CF'!B28</f>
        <v/>
      </c>
      <c r="C28" s="4">
        <f>'QTR CF'!C28</f>
        <v/>
      </c>
      <c r="D28" s="4">
        <f>'QTR CF'!D28</f>
        <v/>
      </c>
      <c r="E28" s="4">
        <f>'QTR CF'!E28</f>
        <v/>
      </c>
      <c r="F28" s="4">
        <f>'QTR CF'!F28</f>
        <v/>
      </c>
      <c r="G28" s="4">
        <f>'QTR CF'!G28</f>
        <v/>
      </c>
      <c r="H28" s="4">
        <f>'QTR CF'!H28</f>
        <v/>
      </c>
      <c r="I28" s="4">
        <f>'QTR CF'!I28</f>
        <v/>
      </c>
      <c r="J28" s="4">
        <f>'QTR CF'!J28</f>
        <v/>
      </c>
      <c r="K28" s="4">
        <f>'QTR CF'!K28</f>
        <v/>
      </c>
      <c r="L28" s="4">
        <f>'QTR CF'!L28</f>
        <v/>
      </c>
      <c r="M28" s="4">
        <f>'QTR CF'!M28</f>
        <v/>
      </c>
      <c r="N28" s="4">
        <f>'QTR CF'!N28</f>
        <v/>
      </c>
      <c r="O28" s="4">
        <f>'QTR CF'!O28</f>
        <v/>
      </c>
      <c r="P28" s="4">
        <f>'QTR CF'!P28</f>
        <v/>
      </c>
      <c r="Q28" s="4">
        <f>'QTR CF'!Q28</f>
        <v/>
      </c>
      <c r="R28" s="4">
        <f>'QTR CF'!R28</f>
        <v/>
      </c>
      <c r="S28" s="4">
        <f>'QTR CF'!S28</f>
        <v/>
      </c>
      <c r="T28" s="4">
        <f>'QTR CF'!T28</f>
        <v/>
      </c>
      <c r="U28" s="4">
        <f>'QTR CF'!U28</f>
        <v/>
      </c>
      <c r="V28" s="4">
        <f>'QTR CF'!V28</f>
        <v/>
      </c>
      <c r="W28" s="4">
        <f>'QTR CF'!W28</f>
        <v/>
      </c>
      <c r="X28" s="4">
        <f>'QTR CF'!X28</f>
        <v/>
      </c>
      <c r="Y28" s="4">
        <f>'QTR CF'!Y28</f>
        <v/>
      </c>
      <c r="Z28" s="4">
        <f>('QTR BS'!AA23-'QTR BS'!Z23)</f>
        <v/>
      </c>
      <c r="AA28" s="4">
        <f>('QTR BS'!AB23-'QTR BS'!AA23)</f>
        <v/>
      </c>
      <c r="AB28" s="4">
        <f>('QTR BS'!AC23-'QTR BS'!AB23)</f>
        <v/>
      </c>
      <c r="AC28" s="4">
        <f>('QTR BS'!AD23-'QTR BS'!AC23)</f>
        <v/>
      </c>
      <c r="AD28" s="4">
        <f>('QTR BS'!AE23-'QTR BS'!AD23)</f>
        <v/>
      </c>
      <c r="AE28" s="4">
        <f>('QTR BS'!AF23-'QTR BS'!AE23)</f>
        <v/>
      </c>
      <c r="AF28" s="4">
        <f>('QTR BS'!AG23-'QTR BS'!AF23)</f>
        <v/>
      </c>
      <c r="AG28" s="4">
        <f>('QTR BS'!AH23-'QTR BS'!AG23)</f>
        <v/>
      </c>
      <c r="AH28" s="4">
        <f>('QTR BS'!AI23-'QTR BS'!AH23)</f>
        <v/>
      </c>
      <c r="AI28" s="4">
        <f>('QTR BS'!AJ23-'QTR BS'!AI23)</f>
        <v/>
      </c>
      <c r="AJ28" s="4">
        <f>('QTR BS'!AK23-'QTR BS'!AJ23)</f>
        <v/>
      </c>
      <c r="AK28" s="4">
        <f>('QTR BS'!AL23-'QTR BS'!AK23)</f>
        <v/>
      </c>
      <c r="AL28" s="4">
        <f>('QTR BS'!AM23-'QTR BS'!AL23)</f>
        <v/>
      </c>
      <c r="AM28" s="4">
        <f>('QTR BS'!AN23-'QTR BS'!AM23)</f>
        <v/>
      </c>
      <c r="AN28" s="4">
        <f>('QTR BS'!AO23-'QTR BS'!AN23)</f>
        <v/>
      </c>
      <c r="AO28" s="4">
        <f>('QTR BS'!AP23-'QTR BS'!AO23)</f>
        <v/>
      </c>
      <c r="AP28" s="4">
        <f>('QTR BS'!AQ23-'QTR BS'!AP23)</f>
        <v/>
      </c>
      <c r="AQ28" s="4">
        <f>('QTR BS'!AR23-'QTR BS'!AQ23)</f>
        <v/>
      </c>
      <c r="AR28" s="4">
        <f>('QTR BS'!AS23-'QTR BS'!AR23)</f>
        <v/>
      </c>
      <c r="AS28" s="4">
        <f>('QTR BS'!AT23-'QTR BS'!AS23)</f>
        <v/>
      </c>
    </row>
    <row r="29">
      <c r="A29" s="3" t="inlineStr">
        <is>
          <t>Accrued Distributor Termination</t>
        </is>
      </c>
      <c r="B29" s="4">
        <f>'QTR CF'!B29</f>
        <v/>
      </c>
      <c r="C29" s="4">
        <f>'QTR CF'!C29</f>
        <v/>
      </c>
      <c r="D29" s="4">
        <f>'QTR CF'!D29</f>
        <v/>
      </c>
      <c r="E29" s="4">
        <f>'QTR CF'!E29</f>
        <v/>
      </c>
      <c r="F29" s="4">
        <f>'QTR CF'!F29</f>
        <v/>
      </c>
      <c r="G29" s="4">
        <f>'QTR CF'!G29</f>
        <v/>
      </c>
      <c r="H29" s="4">
        <f>'QTR CF'!H29</f>
        <v/>
      </c>
      <c r="I29" s="4">
        <f>'QTR CF'!I29</f>
        <v/>
      </c>
      <c r="J29" s="4">
        <f>'QTR CF'!J29</f>
        <v/>
      </c>
      <c r="K29" s="4">
        <f>'QTR CF'!K29</f>
        <v/>
      </c>
      <c r="L29" s="4">
        <f>'QTR CF'!L29</f>
        <v/>
      </c>
      <c r="M29" s="4">
        <f>'QTR CF'!M29</f>
        <v/>
      </c>
      <c r="N29" s="4">
        <f>'QTR CF'!N29</f>
        <v/>
      </c>
      <c r="O29" s="4">
        <f>'QTR CF'!O29</f>
        <v/>
      </c>
      <c r="P29" s="4">
        <f>'QTR CF'!P29</f>
        <v/>
      </c>
      <c r="Q29" s="4">
        <f>'QTR CF'!Q29</f>
        <v/>
      </c>
      <c r="R29" s="4">
        <f>'QTR CF'!R29</f>
        <v/>
      </c>
      <c r="S29" s="4">
        <f>'QTR CF'!S29</f>
        <v/>
      </c>
      <c r="T29" s="4">
        <f>'QTR CF'!T29</f>
        <v/>
      </c>
      <c r="U29" s="4">
        <f>'QTR CF'!U29</f>
        <v/>
      </c>
      <c r="V29" s="4">
        <f>'QTR CF'!V29</f>
        <v/>
      </c>
      <c r="W29" s="4">
        <f>'QTR CF'!W29</f>
        <v/>
      </c>
      <c r="X29" s="4">
        <f>'QTR CF'!X29</f>
        <v/>
      </c>
      <c r="Y29" s="4">
        <f>'QTR CF'!Y29</f>
        <v/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5" t="n">
        <v>0</v>
      </c>
      <c r="AF29" s="15" t="n">
        <v>0</v>
      </c>
      <c r="AG29" s="15" t="n">
        <v>0</v>
      </c>
      <c r="AH29" s="15" t="n">
        <v>0</v>
      </c>
      <c r="AI29" s="15" t="n">
        <v>0</v>
      </c>
      <c r="AJ29" s="15" t="n">
        <v>0</v>
      </c>
      <c r="AK29" s="15" t="n">
        <v>0</v>
      </c>
      <c r="AL29" s="15" t="n">
        <v>0</v>
      </c>
      <c r="AM29" s="15" t="n">
        <v>0</v>
      </c>
      <c r="AN29" s="15" t="n">
        <v>0</v>
      </c>
      <c r="AO29" s="15" t="n">
        <v>0</v>
      </c>
      <c r="AP29" s="15" t="n">
        <v>0</v>
      </c>
      <c r="AQ29" s="15" t="n">
        <v>0</v>
      </c>
      <c r="AR29" s="15" t="n">
        <v>0</v>
      </c>
      <c r="AS29" s="15" t="n">
        <v>0</v>
      </c>
    </row>
    <row r="30">
      <c r="A30" s="3" t="inlineStr">
        <is>
          <t>Other Current Liabilities</t>
        </is>
      </c>
      <c r="B30" s="4">
        <f>'QTR CF'!B30</f>
        <v/>
      </c>
      <c r="C30" s="4">
        <f>'QTR CF'!C30</f>
        <v/>
      </c>
      <c r="D30" s="4">
        <f>'QTR CF'!D30</f>
        <v/>
      </c>
      <c r="E30" s="4">
        <f>'QTR CF'!E30</f>
        <v/>
      </c>
      <c r="F30" s="4">
        <f>'QTR CF'!F30</f>
        <v/>
      </c>
      <c r="G30" s="4">
        <f>'QTR CF'!G30</f>
        <v/>
      </c>
      <c r="H30" s="4">
        <f>'QTR CF'!H30</f>
        <v/>
      </c>
      <c r="I30" s="4">
        <f>'QTR CF'!I30</f>
        <v/>
      </c>
      <c r="J30" s="4">
        <f>'QTR CF'!J30</f>
        <v/>
      </c>
      <c r="K30" s="4">
        <f>'QTR CF'!K30</f>
        <v/>
      </c>
      <c r="L30" s="4">
        <f>'QTR CF'!L30</f>
        <v/>
      </c>
      <c r="M30" s="4">
        <f>'QTR CF'!M30</f>
        <v/>
      </c>
      <c r="N30" s="4">
        <f>'QTR CF'!N30</f>
        <v/>
      </c>
      <c r="O30" s="4">
        <f>'QTR CF'!O30</f>
        <v/>
      </c>
      <c r="P30" s="4">
        <f>'QTR CF'!P30</f>
        <v/>
      </c>
      <c r="Q30" s="4">
        <f>'QTR CF'!Q30</f>
        <v/>
      </c>
      <c r="R30" s="4">
        <f>'QTR CF'!R30</f>
        <v/>
      </c>
      <c r="S30" s="4">
        <f>'QTR CF'!S30</f>
        <v/>
      </c>
      <c r="T30" s="4">
        <f>'QTR CF'!T30</f>
        <v/>
      </c>
      <c r="U30" s="4">
        <f>'QTR CF'!U30</f>
        <v/>
      </c>
      <c r="V30" s="4">
        <f>'QTR CF'!V30</f>
        <v/>
      </c>
      <c r="W30" s="4">
        <f>'QTR CF'!W30</f>
        <v/>
      </c>
      <c r="X30" s="4">
        <f>'QTR CF'!X30</f>
        <v/>
      </c>
      <c r="Y30" s="4">
        <f>'QTR CF'!Y30</f>
        <v/>
      </c>
      <c r="Z30" s="4">
        <f>('QTR BS'!AA29-'QTR BS'!Z29)</f>
        <v/>
      </c>
      <c r="AA30" s="4">
        <f>('QTR BS'!AB29-'QTR BS'!AA29)</f>
        <v/>
      </c>
      <c r="AB30" s="4">
        <f>('QTR BS'!AC29-'QTR BS'!AB29)</f>
        <v/>
      </c>
      <c r="AC30" s="4">
        <f>('QTR BS'!AD29-'QTR BS'!AC29)</f>
        <v/>
      </c>
      <c r="AD30" s="4">
        <f>('QTR BS'!AE29-'QTR BS'!AD29)</f>
        <v/>
      </c>
      <c r="AE30" s="4">
        <f>('QTR BS'!AF29-'QTR BS'!AE29)</f>
        <v/>
      </c>
      <c r="AF30" s="4">
        <f>('QTR BS'!AG29-'QTR BS'!AF29)</f>
        <v/>
      </c>
      <c r="AG30" s="4">
        <f>('QTR BS'!AH29-'QTR BS'!AG29)</f>
        <v/>
      </c>
      <c r="AH30" s="4">
        <f>('QTR BS'!AI29-'QTR BS'!AH29)</f>
        <v/>
      </c>
      <c r="AI30" s="4">
        <f>('QTR BS'!AJ29-'QTR BS'!AI29)</f>
        <v/>
      </c>
      <c r="AJ30" s="4">
        <f>('QTR BS'!AK29-'QTR BS'!AJ29)</f>
        <v/>
      </c>
      <c r="AK30" s="4">
        <f>('QTR BS'!AL29-'QTR BS'!AK29)</f>
        <v/>
      </c>
      <c r="AL30" s="4">
        <f>('QTR BS'!AM29-'QTR BS'!AL29)</f>
        <v/>
      </c>
      <c r="AM30" s="4">
        <f>('QTR BS'!AN29-'QTR BS'!AM29)</f>
        <v/>
      </c>
      <c r="AN30" s="4">
        <f>('QTR BS'!AO29-'QTR BS'!AN29)</f>
        <v/>
      </c>
      <c r="AO30" s="4">
        <f>('QTR BS'!AP29-'QTR BS'!AO29)</f>
        <v/>
      </c>
      <c r="AP30" s="4">
        <f>('QTR BS'!AQ29-'QTR BS'!AP29)</f>
        <v/>
      </c>
      <c r="AQ30" s="4">
        <f>('QTR BS'!AR29-'QTR BS'!AQ29)</f>
        <v/>
      </c>
      <c r="AR30" s="4">
        <f>('QTR BS'!AS29-'QTR BS'!AR29)</f>
        <v/>
      </c>
      <c r="AS30" s="4">
        <f>('QTR BS'!AT29-'QTR BS'!AS29)</f>
        <v/>
      </c>
    </row>
    <row r="31">
      <c r="A31" s="3" t="inlineStr">
        <is>
          <t>ROU &amp; Lease Liability, Net</t>
        </is>
      </c>
      <c r="B31" s="4">
        <f>'QTR CF'!B31</f>
        <v/>
      </c>
      <c r="C31" s="4">
        <f>'QTR CF'!C31</f>
        <v/>
      </c>
      <c r="D31" s="4">
        <f>'QTR CF'!D31</f>
        <v/>
      </c>
      <c r="E31" s="4">
        <f>'QTR CF'!E31</f>
        <v/>
      </c>
      <c r="F31" s="4">
        <f>'QTR CF'!F31</f>
        <v/>
      </c>
      <c r="G31" s="4">
        <f>'QTR CF'!G31</f>
        <v/>
      </c>
      <c r="H31" s="4">
        <f>'QTR CF'!H31</f>
        <v/>
      </c>
      <c r="I31" s="4">
        <f>'QTR CF'!I31</f>
        <v/>
      </c>
      <c r="J31" s="4">
        <f>'QTR CF'!J31</f>
        <v/>
      </c>
      <c r="K31" s="4">
        <f>'QTR CF'!K31</f>
        <v/>
      </c>
      <c r="L31" s="4">
        <f>'QTR CF'!L31</f>
        <v/>
      </c>
      <c r="M31" s="4">
        <f>'QTR CF'!M31</f>
        <v/>
      </c>
      <c r="N31" s="4">
        <f>'QTR CF'!N31</f>
        <v/>
      </c>
      <c r="O31" s="4">
        <f>'QTR CF'!O31</f>
        <v/>
      </c>
      <c r="P31" s="4">
        <f>'QTR CF'!P31</f>
        <v/>
      </c>
      <c r="Q31" s="4">
        <f>'QTR CF'!Q31</f>
        <v/>
      </c>
      <c r="R31" s="4">
        <f>'QTR CF'!R31</f>
        <v/>
      </c>
      <c r="S31" s="4">
        <f>'QTR CF'!S31</f>
        <v/>
      </c>
      <c r="T31" s="4">
        <f>'QTR CF'!T31</f>
        <v/>
      </c>
      <c r="U31" s="4">
        <f>'QTR CF'!U31</f>
        <v/>
      </c>
      <c r="V31" s="4">
        <f>'QTR CF'!V31</f>
        <v/>
      </c>
      <c r="W31" s="4">
        <f>'QTR CF'!W31</f>
        <v/>
      </c>
      <c r="X31" s="4">
        <f>'QTR CF'!X31</f>
        <v/>
      </c>
      <c r="Y31" s="4">
        <f>'QTR CF'!Y31</f>
        <v/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5" t="n">
        <v>0</v>
      </c>
      <c r="AF31" s="15" t="n">
        <v>0</v>
      </c>
      <c r="AG31" s="15" t="n">
        <v>0</v>
      </c>
      <c r="AH31" s="15" t="n">
        <v>0</v>
      </c>
      <c r="AI31" s="15" t="n">
        <v>0</v>
      </c>
      <c r="AJ31" s="15" t="n">
        <v>0</v>
      </c>
      <c r="AK31" s="15" t="n">
        <v>0</v>
      </c>
      <c r="AL31" s="15" t="n">
        <v>0</v>
      </c>
      <c r="AM31" s="15" t="n">
        <v>0</v>
      </c>
      <c r="AN31" s="15" t="n">
        <v>0</v>
      </c>
      <c r="AO31" s="15" t="n">
        <v>0</v>
      </c>
      <c r="AP31" s="15" t="n">
        <v>0</v>
      </c>
      <c r="AQ31" s="15" t="n">
        <v>0</v>
      </c>
      <c r="AR31" s="15" t="n">
        <v>0</v>
      </c>
      <c r="AS31" s="15" t="n">
        <v>0</v>
      </c>
    </row>
    <row r="32">
      <c r="A32" s="3" t="inlineStr">
        <is>
          <t>Deferred Revenue</t>
        </is>
      </c>
      <c r="B32" s="4">
        <f>'QTR CF'!B32</f>
        <v/>
      </c>
      <c r="C32" s="4">
        <f>'QTR CF'!C32</f>
        <v/>
      </c>
      <c r="D32" s="4">
        <f>'QTR CF'!D32</f>
        <v/>
      </c>
      <c r="E32" s="4">
        <f>'QTR CF'!E32</f>
        <v/>
      </c>
      <c r="F32" s="4">
        <f>'QTR CF'!F32</f>
        <v/>
      </c>
      <c r="G32" s="4">
        <f>'QTR CF'!G32</f>
        <v/>
      </c>
      <c r="H32" s="4">
        <f>'QTR CF'!H32</f>
        <v/>
      </c>
      <c r="I32" s="4">
        <f>'QTR CF'!I32</f>
        <v/>
      </c>
      <c r="J32" s="4">
        <f>'QTR CF'!J32</f>
        <v/>
      </c>
      <c r="K32" s="4">
        <f>'QTR CF'!K32</f>
        <v/>
      </c>
      <c r="L32" s="4">
        <f>'QTR CF'!L32</f>
        <v/>
      </c>
      <c r="M32" s="4">
        <f>'QTR CF'!M32</f>
        <v/>
      </c>
      <c r="N32" s="4">
        <f>'QTR CF'!N32</f>
        <v/>
      </c>
      <c r="O32" s="4">
        <f>'QTR CF'!O32</f>
        <v/>
      </c>
      <c r="P32" s="4">
        <f>'QTR CF'!P32</f>
        <v/>
      </c>
      <c r="Q32" s="4">
        <f>'QTR CF'!Q32</f>
        <v/>
      </c>
      <c r="R32" s="4">
        <f>'QTR CF'!R32</f>
        <v/>
      </c>
      <c r="S32" s="4">
        <f>'QTR CF'!S32</f>
        <v/>
      </c>
      <c r="T32" s="4">
        <f>'QTR CF'!T32</f>
        <v/>
      </c>
      <c r="U32" s="4">
        <f>'QTR CF'!U32</f>
        <v/>
      </c>
      <c r="V32" s="4">
        <f>'QTR CF'!V32</f>
        <v/>
      </c>
      <c r="W32" s="4">
        <f>'QTR CF'!W32</f>
        <v/>
      </c>
      <c r="X32" s="4">
        <f>'QTR CF'!X32</f>
        <v/>
      </c>
      <c r="Y32" s="4">
        <f>'QTR CF'!Y32</f>
        <v/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5" t="n">
        <v>0</v>
      </c>
      <c r="AF32" s="15" t="n">
        <v>0</v>
      </c>
      <c r="AG32" s="15" t="n">
        <v>0</v>
      </c>
      <c r="AH32" s="15" t="n">
        <v>0</v>
      </c>
      <c r="AI32" s="15" t="n">
        <v>0</v>
      </c>
      <c r="AJ32" s="15" t="n">
        <v>0</v>
      </c>
      <c r="AK32" s="15" t="n">
        <v>0</v>
      </c>
      <c r="AL32" s="15" t="n">
        <v>0</v>
      </c>
      <c r="AM32" s="15" t="n">
        <v>0</v>
      </c>
      <c r="AN32" s="15" t="n">
        <v>0</v>
      </c>
      <c r="AO32" s="15" t="n">
        <v>0</v>
      </c>
      <c r="AP32" s="15" t="n">
        <v>0</v>
      </c>
      <c r="AQ32" s="15" t="n">
        <v>0</v>
      </c>
      <c r="AR32" s="15" t="n">
        <v>0</v>
      </c>
      <c r="AS32" s="15" t="n">
        <v>0</v>
      </c>
    </row>
    <row r="33">
      <c r="A33" s="3" t="inlineStr">
        <is>
          <t>Net Change in Other Working Capital</t>
        </is>
      </c>
      <c r="B33" s="4">
        <f>'QTR CF'!B33</f>
        <v/>
      </c>
      <c r="C33" s="4">
        <f>'QTR CF'!C33</f>
        <v/>
      </c>
      <c r="D33" s="4">
        <f>'QTR CF'!D33</f>
        <v/>
      </c>
      <c r="E33" s="4">
        <f>'QTR CF'!E33</f>
        <v/>
      </c>
      <c r="F33" s="4">
        <f>'QTR CF'!F33</f>
        <v/>
      </c>
      <c r="G33" s="4">
        <f>'QTR CF'!G33</f>
        <v/>
      </c>
      <c r="H33" s="4">
        <f>'QTR CF'!H33</f>
        <v/>
      </c>
      <c r="I33" s="4">
        <f>'QTR CF'!I33</f>
        <v/>
      </c>
      <c r="J33" s="4">
        <f>'QTR CF'!J33</f>
        <v/>
      </c>
      <c r="K33" s="4">
        <f>'QTR CF'!K33</f>
        <v/>
      </c>
      <c r="L33" s="4">
        <f>'QTR CF'!L33</f>
        <v/>
      </c>
      <c r="M33" s="4">
        <f>'QTR CF'!M33</f>
        <v/>
      </c>
      <c r="N33" s="4">
        <f>'QTR CF'!N33</f>
        <v/>
      </c>
      <c r="O33" s="4">
        <f>'QTR CF'!O33</f>
        <v/>
      </c>
      <c r="P33" s="4">
        <f>'QTR CF'!P33</f>
        <v/>
      </c>
      <c r="Q33" s="4">
        <f>'QTR CF'!Q33</f>
        <v/>
      </c>
      <c r="R33" s="4">
        <f>'QTR CF'!R33</f>
        <v/>
      </c>
      <c r="S33" s="4">
        <f>'QTR CF'!S33</f>
        <v/>
      </c>
      <c r="T33" s="4">
        <f>'QTR CF'!T33</f>
        <v/>
      </c>
      <c r="U33" s="4">
        <f>'QTR CF'!U33</f>
        <v/>
      </c>
      <c r="V33" s="4">
        <f>'QTR CF'!V33</f>
        <v/>
      </c>
      <c r="W33" s="4">
        <f>'QTR CF'!W33</f>
        <v/>
      </c>
      <c r="X33" s="4">
        <f>'QTR CF'!X33</f>
        <v/>
      </c>
      <c r="Y33" s="4">
        <f>'QTR CF'!Y33</f>
        <v/>
      </c>
      <c r="Z33" s="4">
        <f>0</f>
        <v/>
      </c>
      <c r="AA33" s="4">
        <f>0</f>
        <v/>
      </c>
      <c r="AB33" s="4">
        <f>0</f>
        <v/>
      </c>
      <c r="AC33" s="4">
        <f>0</f>
        <v/>
      </c>
      <c r="AD33" s="4">
        <f>0</f>
        <v/>
      </c>
      <c r="AE33" s="4">
        <f>0</f>
        <v/>
      </c>
      <c r="AF33" s="4">
        <f>0</f>
        <v/>
      </c>
      <c r="AG33" s="4">
        <f>0</f>
        <v/>
      </c>
      <c r="AH33" s="4">
        <f>0</f>
        <v/>
      </c>
      <c r="AI33" s="4">
        <f>0</f>
        <v/>
      </c>
      <c r="AJ33" s="4">
        <f>0</f>
        <v/>
      </c>
      <c r="AK33" s="4">
        <f>0</f>
        <v/>
      </c>
      <c r="AL33" s="4">
        <f>0</f>
        <v/>
      </c>
      <c r="AM33" s="4">
        <f>0</f>
        <v/>
      </c>
      <c r="AN33" s="4">
        <f>0</f>
        <v/>
      </c>
      <c r="AO33" s="4">
        <f>0</f>
        <v/>
      </c>
      <c r="AP33" s="4">
        <f>0</f>
        <v/>
      </c>
      <c r="AQ33" s="4">
        <f>0</f>
        <v/>
      </c>
      <c r="AR33" s="4">
        <f>0</f>
        <v/>
      </c>
      <c r="AS33" s="4">
        <f>0</f>
        <v/>
      </c>
    </row>
    <row r="34">
      <c r="A34" s="3" t="inlineStr">
        <is>
          <t>Collections from Note Receivable</t>
        </is>
      </c>
      <c r="B34" s="4">
        <f>'QTR CF'!B35</f>
        <v/>
      </c>
      <c r="C34" s="4">
        <f>'QTR CF'!C35</f>
        <v/>
      </c>
      <c r="D34" s="4">
        <f>'QTR CF'!D35</f>
        <v/>
      </c>
      <c r="E34" s="4">
        <f>'QTR CF'!E35</f>
        <v/>
      </c>
      <c r="F34" s="4">
        <f>'QTR CF'!F35</f>
        <v/>
      </c>
      <c r="G34" s="4">
        <f>'QTR CF'!G35</f>
        <v/>
      </c>
      <c r="H34" s="4">
        <f>'QTR CF'!H35</f>
        <v/>
      </c>
      <c r="I34" s="4">
        <f>'QTR CF'!I35</f>
        <v/>
      </c>
      <c r="J34" s="4">
        <f>'QTR CF'!J35</f>
        <v/>
      </c>
      <c r="K34" s="4">
        <f>'QTR CF'!K35</f>
        <v/>
      </c>
      <c r="L34" s="4">
        <f>'QTR CF'!L35</f>
        <v/>
      </c>
      <c r="M34" s="4">
        <f>'QTR CF'!M35</f>
        <v/>
      </c>
      <c r="N34" s="4">
        <f>'QTR CF'!N35</f>
        <v/>
      </c>
      <c r="O34" s="4">
        <f>'QTR CF'!O35</f>
        <v/>
      </c>
      <c r="P34" s="4">
        <f>'QTR CF'!P35</f>
        <v/>
      </c>
      <c r="Q34" s="4">
        <f>'QTR CF'!Q35</f>
        <v/>
      </c>
      <c r="R34" s="4">
        <f>'QTR CF'!R35</f>
        <v/>
      </c>
      <c r="S34" s="4">
        <f>'QTR CF'!S35</f>
        <v/>
      </c>
      <c r="T34" s="4">
        <f>'QTR CF'!T35</f>
        <v/>
      </c>
      <c r="U34" s="4">
        <f>'QTR CF'!U35</f>
        <v/>
      </c>
      <c r="V34" s="4">
        <f>'QTR CF'!V35</f>
        <v/>
      </c>
      <c r="W34" s="4">
        <f>'QTR CF'!W35</f>
        <v/>
      </c>
      <c r="X34" s="4">
        <f>'QTR CF'!X35</f>
        <v/>
      </c>
      <c r="Y34" s="4">
        <f>'QTR CF'!Y35</f>
        <v/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5" t="n">
        <v>0</v>
      </c>
      <c r="AF34" s="15" t="n">
        <v>0</v>
      </c>
      <c r="AG34" s="15" t="n">
        <v>0</v>
      </c>
      <c r="AH34" s="15" t="n">
        <v>0</v>
      </c>
      <c r="AI34" s="15" t="n">
        <v>0</v>
      </c>
      <c r="AJ34" s="15" t="n">
        <v>0</v>
      </c>
      <c r="AK34" s="15" t="n">
        <v>0</v>
      </c>
      <c r="AL34" s="15" t="n">
        <v>0</v>
      </c>
      <c r="AM34" s="15" t="n">
        <v>0</v>
      </c>
      <c r="AN34" s="15" t="n">
        <v>0</v>
      </c>
      <c r="AO34" s="15" t="n">
        <v>0</v>
      </c>
      <c r="AP34" s="15" t="n">
        <v>0</v>
      </c>
      <c r="AQ34" s="15" t="n">
        <v>0</v>
      </c>
      <c r="AR34" s="15" t="n">
        <v>0</v>
      </c>
      <c r="AS34" s="15" t="n">
        <v>0</v>
      </c>
    </row>
    <row r="35">
      <c r="A35" s="3" t="inlineStr">
        <is>
          <t>Purchase of PP&amp;E — % of Revenue</t>
        </is>
      </c>
      <c r="B35" s="13">
        <f>IFERROR('QTR CF'!B36/'QTR P&amp;L'!F2,"")</f>
        <v/>
      </c>
      <c r="C35" s="13">
        <f>IFERROR('QTR CF'!C36/'QTR P&amp;L'!G2,"")</f>
        <v/>
      </c>
      <c r="D35" s="13">
        <f>IFERROR('QTR CF'!D36/'QTR P&amp;L'!H2,"")</f>
        <v/>
      </c>
      <c r="E35" s="13">
        <f>IFERROR('QTR CF'!E36/'QTR P&amp;L'!I2,"")</f>
        <v/>
      </c>
      <c r="F35" s="13">
        <f>IFERROR('QTR CF'!F36/'QTR P&amp;L'!J2,"")</f>
        <v/>
      </c>
      <c r="G35" s="13">
        <f>IFERROR('QTR CF'!G36/'QTR P&amp;L'!K2,"")</f>
        <v/>
      </c>
      <c r="H35" s="13">
        <f>IFERROR('QTR CF'!H36/'QTR P&amp;L'!L2,"")</f>
        <v/>
      </c>
      <c r="I35" s="13">
        <f>IFERROR('QTR CF'!I36/'QTR P&amp;L'!M2,"")</f>
        <v/>
      </c>
      <c r="J35" s="13">
        <f>IFERROR('QTR CF'!J36/'QTR P&amp;L'!N2,"")</f>
        <v/>
      </c>
      <c r="K35" s="13">
        <f>IFERROR('QTR CF'!K36/'QTR P&amp;L'!O2,"")</f>
        <v/>
      </c>
      <c r="L35" s="13">
        <f>IFERROR('QTR CF'!L36/'QTR P&amp;L'!P2,"")</f>
        <v/>
      </c>
      <c r="M35" s="13">
        <f>IFERROR('QTR CF'!M36/'QTR P&amp;L'!Q2,"")</f>
        <v/>
      </c>
      <c r="N35" s="13">
        <f>IFERROR('QTR CF'!N36/'QTR P&amp;L'!R2,"")</f>
        <v/>
      </c>
      <c r="O35" s="13">
        <f>IFERROR('QTR CF'!O36/'QTR P&amp;L'!S2,"")</f>
        <v/>
      </c>
      <c r="P35" s="13">
        <f>IFERROR('QTR CF'!P36/'QTR P&amp;L'!T2,"")</f>
        <v/>
      </c>
      <c r="Q35" s="13">
        <f>IFERROR('QTR CF'!Q36/'QTR P&amp;L'!U2,"")</f>
        <v/>
      </c>
      <c r="R35" s="13">
        <f>IFERROR('QTR CF'!R36/'QTR P&amp;L'!V2,"")</f>
        <v/>
      </c>
      <c r="S35" s="13">
        <f>IFERROR('QTR CF'!S36/'QTR P&amp;L'!W2,"")</f>
        <v/>
      </c>
      <c r="T35" s="13">
        <f>IFERROR('QTR CF'!T36/'QTR P&amp;L'!X2,"")</f>
        <v/>
      </c>
      <c r="U35" s="13">
        <f>IFERROR('QTR CF'!U36/'QTR P&amp;L'!Y2,"")</f>
        <v/>
      </c>
      <c r="V35" s="13">
        <f>IFERROR('QTR CF'!V36/'QTR P&amp;L'!Z2,"")</f>
        <v/>
      </c>
      <c r="W35" s="13">
        <f>IFERROR('QTR CF'!W36/'QTR P&amp;L'!AA2,"")</f>
        <v/>
      </c>
      <c r="X35" s="13">
        <f>IFERROR('QTR CF'!X36/'QTR P&amp;L'!AB2,"")</f>
        <v/>
      </c>
      <c r="Y35" s="13">
        <f>IFERROR('QTR CF'!Y36/'QTR P&amp;L'!AC2,"")</f>
        <v/>
      </c>
      <c r="Z35" s="14">
        <f>Y35</f>
        <v/>
      </c>
      <c r="AA35" s="14">
        <f>Z35</f>
        <v/>
      </c>
      <c r="AB35" s="14">
        <f>AA35</f>
        <v/>
      </c>
      <c r="AC35" s="14">
        <f>AB35</f>
        <v/>
      </c>
      <c r="AD35" s="14">
        <f>AC35</f>
        <v/>
      </c>
      <c r="AE35" s="14">
        <f>AD35</f>
        <v/>
      </c>
      <c r="AF35" s="14">
        <f>AE35</f>
        <v/>
      </c>
      <c r="AG35" s="14">
        <f>AF35</f>
        <v/>
      </c>
      <c r="AH35" s="14">
        <f>AG35</f>
        <v/>
      </c>
      <c r="AI35" s="14">
        <f>AH35</f>
        <v/>
      </c>
      <c r="AJ35" s="14">
        <f>AI35</f>
        <v/>
      </c>
      <c r="AK35" s="14">
        <f>AJ35</f>
        <v/>
      </c>
      <c r="AL35" s="14">
        <f>AK35</f>
        <v/>
      </c>
      <c r="AM35" s="14">
        <f>AL35</f>
        <v/>
      </c>
      <c r="AN35" s="14">
        <f>AM35</f>
        <v/>
      </c>
      <c r="AO35" s="14">
        <f>AN35</f>
        <v/>
      </c>
      <c r="AP35" s="14">
        <f>AO35</f>
        <v/>
      </c>
      <c r="AQ35" s="14">
        <f>AP35</f>
        <v/>
      </c>
      <c r="AR35" s="14">
        <f>AQ35</f>
        <v/>
      </c>
      <c r="AS35" s="14">
        <f>AR35</f>
        <v/>
      </c>
    </row>
    <row r="36">
      <c r="A36" s="3" t="inlineStr">
        <is>
          <t>Purchase of Non-Marketable Equity Securities</t>
        </is>
      </c>
      <c r="B36" s="4">
        <f>'QTR CF'!B37</f>
        <v/>
      </c>
      <c r="C36" s="4">
        <f>'QTR CF'!C37</f>
        <v/>
      </c>
      <c r="D36" s="4">
        <f>'QTR CF'!D37</f>
        <v/>
      </c>
      <c r="E36" s="4">
        <f>'QTR CF'!E37</f>
        <v/>
      </c>
      <c r="F36" s="4">
        <f>'QTR CF'!F37</f>
        <v/>
      </c>
      <c r="G36" s="4">
        <f>'QTR CF'!G37</f>
        <v/>
      </c>
      <c r="H36" s="4">
        <f>'QTR CF'!H37</f>
        <v/>
      </c>
      <c r="I36" s="4">
        <f>'QTR CF'!I37</f>
        <v/>
      </c>
      <c r="J36" s="4">
        <f>'QTR CF'!J37</f>
        <v/>
      </c>
      <c r="K36" s="4">
        <f>'QTR CF'!K37</f>
        <v/>
      </c>
      <c r="L36" s="4">
        <f>'QTR CF'!L37</f>
        <v/>
      </c>
      <c r="M36" s="4">
        <f>'QTR CF'!M37</f>
        <v/>
      </c>
      <c r="N36" s="4">
        <f>'QTR CF'!N37</f>
        <v/>
      </c>
      <c r="O36" s="4">
        <f>'QTR CF'!O37</f>
        <v/>
      </c>
      <c r="P36" s="4">
        <f>'QTR CF'!P37</f>
        <v/>
      </c>
      <c r="Q36" s="4">
        <f>'QTR CF'!Q37</f>
        <v/>
      </c>
      <c r="R36" s="4">
        <f>'QTR CF'!R37</f>
        <v/>
      </c>
      <c r="S36" s="4">
        <f>'QTR CF'!S37</f>
        <v/>
      </c>
      <c r="T36" s="4">
        <f>'QTR CF'!T37</f>
        <v/>
      </c>
      <c r="U36" s="4">
        <f>'QTR CF'!U37</f>
        <v/>
      </c>
      <c r="V36" s="4">
        <f>'QTR CF'!V37</f>
        <v/>
      </c>
      <c r="W36" s="4">
        <f>'QTR CF'!W37</f>
        <v/>
      </c>
      <c r="X36" s="4">
        <f>'QTR CF'!X37</f>
        <v/>
      </c>
      <c r="Y36" s="4">
        <f>'QTR CF'!Y37</f>
        <v/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5" t="n">
        <v>0</v>
      </c>
      <c r="AF36" s="15" t="n">
        <v>0</v>
      </c>
      <c r="AG36" s="15" t="n">
        <v>0</v>
      </c>
      <c r="AH36" s="15" t="n">
        <v>0</v>
      </c>
      <c r="AI36" s="15" t="n">
        <v>0</v>
      </c>
      <c r="AJ36" s="15" t="n">
        <v>0</v>
      </c>
      <c r="AK36" s="15" t="n">
        <v>0</v>
      </c>
      <c r="AL36" s="15" t="n">
        <v>0</v>
      </c>
      <c r="AM36" s="15" t="n">
        <v>0</v>
      </c>
      <c r="AN36" s="15" t="n">
        <v>0</v>
      </c>
      <c r="AO36" s="15" t="n">
        <v>0</v>
      </c>
      <c r="AP36" s="15" t="n">
        <v>0</v>
      </c>
      <c r="AQ36" s="15" t="n">
        <v>0</v>
      </c>
      <c r="AR36" s="15" t="n">
        <v>0</v>
      </c>
      <c r="AS36" s="15" t="n">
        <v>0</v>
      </c>
    </row>
    <row r="37">
      <c r="A37" s="3" t="inlineStr">
        <is>
          <t>Acquisition of Big Beverages</t>
        </is>
      </c>
      <c r="B37" s="4">
        <f>'QTR CF'!B38</f>
        <v/>
      </c>
      <c r="C37" s="4">
        <f>'QTR CF'!C38</f>
        <v/>
      </c>
      <c r="D37" s="4">
        <f>'QTR CF'!D38</f>
        <v/>
      </c>
      <c r="E37" s="4">
        <f>'QTR CF'!E38</f>
        <v/>
      </c>
      <c r="F37" s="4">
        <f>'QTR CF'!F38</f>
        <v/>
      </c>
      <c r="G37" s="4">
        <f>'QTR CF'!G38</f>
        <v/>
      </c>
      <c r="H37" s="4">
        <f>'QTR CF'!H38</f>
        <v/>
      </c>
      <c r="I37" s="4">
        <f>'QTR CF'!I38</f>
        <v/>
      </c>
      <c r="J37" s="4">
        <f>'QTR CF'!J38</f>
        <v/>
      </c>
      <c r="K37" s="4">
        <f>'QTR CF'!K38</f>
        <v/>
      </c>
      <c r="L37" s="4">
        <f>'QTR CF'!L38</f>
        <v/>
      </c>
      <c r="M37" s="4">
        <f>'QTR CF'!M38</f>
        <v/>
      </c>
      <c r="N37" s="4">
        <f>'QTR CF'!N38</f>
        <v/>
      </c>
      <c r="O37" s="4">
        <f>'QTR CF'!O38</f>
        <v/>
      </c>
      <c r="P37" s="4">
        <f>'QTR CF'!P38</f>
        <v/>
      </c>
      <c r="Q37" s="4">
        <f>'QTR CF'!Q38</f>
        <v/>
      </c>
      <c r="R37" s="4">
        <f>'QTR CF'!R38</f>
        <v/>
      </c>
      <c r="S37" s="4">
        <f>'QTR CF'!S38</f>
        <v/>
      </c>
      <c r="T37" s="4">
        <f>'QTR CF'!T38</f>
        <v/>
      </c>
      <c r="U37" s="4">
        <f>'QTR CF'!U38</f>
        <v/>
      </c>
      <c r="V37" s="4">
        <f>'QTR CF'!V38</f>
        <v/>
      </c>
      <c r="W37" s="4">
        <f>'QTR CF'!W38</f>
        <v/>
      </c>
      <c r="X37" s="4">
        <f>'QTR CF'!X38</f>
        <v/>
      </c>
      <c r="Y37" s="4">
        <f>'QTR CF'!Y38</f>
        <v/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5" t="n">
        <v>0</v>
      </c>
      <c r="AF37" s="15" t="n">
        <v>0</v>
      </c>
      <c r="AG37" s="15" t="n">
        <v>0</v>
      </c>
      <c r="AH37" s="15" t="n">
        <v>0</v>
      </c>
      <c r="AI37" s="15" t="n">
        <v>0</v>
      </c>
      <c r="AJ37" s="15" t="n">
        <v>0</v>
      </c>
      <c r="AK37" s="15" t="n">
        <v>0</v>
      </c>
      <c r="AL37" s="15" t="n">
        <v>0</v>
      </c>
      <c r="AM37" s="15" t="n">
        <v>0</v>
      </c>
      <c r="AN37" s="15" t="n">
        <v>0</v>
      </c>
      <c r="AO37" s="15" t="n">
        <v>0</v>
      </c>
      <c r="AP37" s="15" t="n">
        <v>0</v>
      </c>
      <c r="AQ37" s="15" t="n">
        <v>0</v>
      </c>
      <c r="AR37" s="15" t="n">
        <v>0</v>
      </c>
      <c r="AS37" s="15" t="n">
        <v>0</v>
      </c>
    </row>
    <row r="38">
      <c r="A38" s="3" t="inlineStr">
        <is>
          <t>Acquisitions, Net of Cash Acquired</t>
        </is>
      </c>
      <c r="B38" s="4">
        <f>'QTR CF'!B39</f>
        <v/>
      </c>
      <c r="C38" s="4">
        <f>'QTR CF'!C39</f>
        <v/>
      </c>
      <c r="D38" s="4">
        <f>'QTR CF'!D39</f>
        <v/>
      </c>
      <c r="E38" s="4">
        <f>'QTR CF'!E39</f>
        <v/>
      </c>
      <c r="F38" s="4">
        <f>'QTR CF'!F39</f>
        <v/>
      </c>
      <c r="G38" s="4">
        <f>'QTR CF'!G39</f>
        <v/>
      </c>
      <c r="H38" s="4">
        <f>'QTR CF'!H39</f>
        <v/>
      </c>
      <c r="I38" s="4">
        <f>'QTR CF'!I39</f>
        <v/>
      </c>
      <c r="J38" s="4">
        <f>'QTR CF'!J39</f>
        <v/>
      </c>
      <c r="K38" s="4">
        <f>'QTR CF'!K39</f>
        <v/>
      </c>
      <c r="L38" s="4">
        <f>'QTR CF'!L39</f>
        <v/>
      </c>
      <c r="M38" s="4">
        <f>'QTR CF'!M39</f>
        <v/>
      </c>
      <c r="N38" s="4">
        <f>'QTR CF'!N39</f>
        <v/>
      </c>
      <c r="O38" s="4">
        <f>'QTR CF'!O39</f>
        <v/>
      </c>
      <c r="P38" s="4">
        <f>'QTR CF'!P39</f>
        <v/>
      </c>
      <c r="Q38" s="4">
        <f>'QTR CF'!Q39</f>
        <v/>
      </c>
      <c r="R38" s="4">
        <f>'QTR CF'!R39</f>
        <v/>
      </c>
      <c r="S38" s="4">
        <f>'QTR CF'!S39</f>
        <v/>
      </c>
      <c r="T38" s="4">
        <f>'QTR CF'!T39</f>
        <v/>
      </c>
      <c r="U38" s="4">
        <f>'QTR CF'!U39</f>
        <v/>
      </c>
      <c r="V38" s="4">
        <f>'QTR CF'!V39</f>
        <v/>
      </c>
      <c r="W38" s="4">
        <f>'QTR CF'!W39</f>
        <v/>
      </c>
      <c r="X38" s="4">
        <f>'QTR CF'!X39</f>
        <v/>
      </c>
      <c r="Y38" s="4">
        <f>'QTR CF'!Y39</f>
        <v/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5" t="n">
        <v>0</v>
      </c>
      <c r="AF38" s="15" t="n">
        <v>0</v>
      </c>
      <c r="AG38" s="15" t="n">
        <v>0</v>
      </c>
      <c r="AH38" s="15" t="n">
        <v>0</v>
      </c>
      <c r="AI38" s="15" t="n">
        <v>0</v>
      </c>
      <c r="AJ38" s="15" t="n">
        <v>0</v>
      </c>
      <c r="AK38" s="15" t="n">
        <v>0</v>
      </c>
      <c r="AL38" s="15" t="n">
        <v>0</v>
      </c>
      <c r="AM38" s="15" t="n">
        <v>0</v>
      </c>
      <c r="AN38" s="15" t="n">
        <v>0</v>
      </c>
      <c r="AO38" s="15" t="n">
        <v>0</v>
      </c>
      <c r="AP38" s="15" t="n">
        <v>0</v>
      </c>
      <c r="AQ38" s="15" t="n">
        <v>0</v>
      </c>
      <c r="AR38" s="15" t="n">
        <v>0</v>
      </c>
      <c r="AS38" s="15" t="n">
        <v>0</v>
      </c>
    </row>
    <row r="39">
      <c r="A39" s="3" t="inlineStr">
        <is>
          <t>Working Capital Estimate from Pepsi (Rockstar)</t>
        </is>
      </c>
      <c r="B39" s="4">
        <f>'QTR CF'!B40</f>
        <v/>
      </c>
      <c r="C39" s="4">
        <f>'QTR CF'!C40</f>
        <v/>
      </c>
      <c r="D39" s="4">
        <f>'QTR CF'!D40</f>
        <v/>
      </c>
      <c r="E39" s="4">
        <f>'QTR CF'!E40</f>
        <v/>
      </c>
      <c r="F39" s="4">
        <f>'QTR CF'!F40</f>
        <v/>
      </c>
      <c r="G39" s="4">
        <f>'QTR CF'!G40</f>
        <v/>
      </c>
      <c r="H39" s="4">
        <f>'QTR CF'!H40</f>
        <v/>
      </c>
      <c r="I39" s="4">
        <f>'QTR CF'!I40</f>
        <v/>
      </c>
      <c r="J39" s="4">
        <f>'QTR CF'!J40</f>
        <v/>
      </c>
      <c r="K39" s="4">
        <f>'QTR CF'!K40</f>
        <v/>
      </c>
      <c r="L39" s="4">
        <f>'QTR CF'!L40</f>
        <v/>
      </c>
      <c r="M39" s="4">
        <f>'QTR CF'!M40</f>
        <v/>
      </c>
      <c r="N39" s="4">
        <f>'QTR CF'!N40</f>
        <v/>
      </c>
      <c r="O39" s="4">
        <f>'QTR CF'!O40</f>
        <v/>
      </c>
      <c r="P39" s="4">
        <f>'QTR CF'!P40</f>
        <v/>
      </c>
      <c r="Q39" s="4">
        <f>'QTR CF'!Q40</f>
        <v/>
      </c>
      <c r="R39" s="4">
        <f>'QTR CF'!R40</f>
        <v/>
      </c>
      <c r="S39" s="4">
        <f>'QTR CF'!S40</f>
        <v/>
      </c>
      <c r="T39" s="4">
        <f>'QTR CF'!T40</f>
        <v/>
      </c>
      <c r="U39" s="4">
        <f>'QTR CF'!U40</f>
        <v/>
      </c>
      <c r="V39" s="4">
        <f>'QTR CF'!V40</f>
        <v/>
      </c>
      <c r="W39" s="4">
        <f>'QTR CF'!W40</f>
        <v/>
      </c>
      <c r="X39" s="4">
        <f>'QTR CF'!X40</f>
        <v/>
      </c>
      <c r="Y39" s="4">
        <f>'QTR CF'!Y40</f>
        <v/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0</v>
      </c>
      <c r="AH39" s="15" t="n">
        <v>0</v>
      </c>
      <c r="AI39" s="15" t="n">
        <v>0</v>
      </c>
      <c r="AJ39" s="15" t="n">
        <v>0</v>
      </c>
      <c r="AK39" s="15" t="n">
        <v>0</v>
      </c>
      <c r="AL39" s="15" t="n">
        <v>0</v>
      </c>
      <c r="AM39" s="15" t="n">
        <v>0</v>
      </c>
      <c r="AN39" s="15" t="n">
        <v>0</v>
      </c>
      <c r="AO39" s="15" t="n">
        <v>0</v>
      </c>
      <c r="AP39" s="15" t="n">
        <v>0</v>
      </c>
      <c r="AQ39" s="15" t="n">
        <v>0</v>
      </c>
      <c r="AR39" s="15" t="n">
        <v>0</v>
      </c>
      <c r="AS39" s="15" t="n">
        <v>0</v>
      </c>
    </row>
    <row r="40">
      <c r="A40" s="3" t="inlineStr">
        <is>
          <t>Proceeds from Related-Party Notes</t>
        </is>
      </c>
      <c r="B40" s="4">
        <f>'QTR CF'!B42</f>
        <v/>
      </c>
      <c r="C40" s="4">
        <f>'QTR CF'!C42</f>
        <v/>
      </c>
      <c r="D40" s="4">
        <f>'QTR CF'!D42</f>
        <v/>
      </c>
      <c r="E40" s="4">
        <f>'QTR CF'!E42</f>
        <v/>
      </c>
      <c r="F40" s="4">
        <f>'QTR CF'!F42</f>
        <v/>
      </c>
      <c r="G40" s="4">
        <f>'QTR CF'!G42</f>
        <v/>
      </c>
      <c r="H40" s="4">
        <f>'QTR CF'!H42</f>
        <v/>
      </c>
      <c r="I40" s="4">
        <f>'QTR CF'!I42</f>
        <v/>
      </c>
      <c r="J40" s="4">
        <f>'QTR CF'!J42</f>
        <v/>
      </c>
      <c r="K40" s="4">
        <f>'QTR CF'!K42</f>
        <v/>
      </c>
      <c r="L40" s="4">
        <f>'QTR CF'!L42</f>
        <v/>
      </c>
      <c r="M40" s="4">
        <f>'QTR CF'!M42</f>
        <v/>
      </c>
      <c r="N40" s="4">
        <f>'QTR CF'!N42</f>
        <v/>
      </c>
      <c r="O40" s="4">
        <f>'QTR CF'!O42</f>
        <v/>
      </c>
      <c r="P40" s="4">
        <f>'QTR CF'!P42</f>
        <v/>
      </c>
      <c r="Q40" s="4">
        <f>'QTR CF'!Q42</f>
        <v/>
      </c>
      <c r="R40" s="4">
        <f>'QTR CF'!R42</f>
        <v/>
      </c>
      <c r="S40" s="4">
        <f>'QTR CF'!S42</f>
        <v/>
      </c>
      <c r="T40" s="4">
        <f>'QTR CF'!T42</f>
        <v/>
      </c>
      <c r="U40" s="4">
        <f>'QTR CF'!U42</f>
        <v/>
      </c>
      <c r="V40" s="4">
        <f>'QTR CF'!V42</f>
        <v/>
      </c>
      <c r="W40" s="4">
        <f>'QTR CF'!W42</f>
        <v/>
      </c>
      <c r="X40" s="4">
        <f>'QTR CF'!X42</f>
        <v/>
      </c>
      <c r="Y40" s="4">
        <f>'QTR CF'!Y42</f>
        <v/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5" t="n">
        <v>0</v>
      </c>
      <c r="AI40" s="15" t="n">
        <v>0</v>
      </c>
      <c r="AJ40" s="15" t="n">
        <v>0</v>
      </c>
      <c r="AK40" s="15" t="n">
        <v>0</v>
      </c>
      <c r="AL40" s="15" t="n">
        <v>0</v>
      </c>
      <c r="AM40" s="15" t="n">
        <v>0</v>
      </c>
      <c r="AN40" s="15" t="n">
        <v>0</v>
      </c>
      <c r="AO40" s="15" t="n">
        <v>0</v>
      </c>
      <c r="AP40" s="15" t="n">
        <v>0</v>
      </c>
      <c r="AQ40" s="15" t="n">
        <v>0</v>
      </c>
      <c r="AR40" s="15" t="n">
        <v>0</v>
      </c>
      <c r="AS40" s="15" t="n">
        <v>0</v>
      </c>
    </row>
    <row r="41">
      <c r="A41" s="3" t="inlineStr">
        <is>
          <t>Payments on Bonds Payable</t>
        </is>
      </c>
      <c r="B41" s="4">
        <f>'QTR CF'!B43</f>
        <v/>
      </c>
      <c r="C41" s="4">
        <f>'QTR CF'!C43</f>
        <v/>
      </c>
      <c r="D41" s="4">
        <f>'QTR CF'!D43</f>
        <v/>
      </c>
      <c r="E41" s="4">
        <f>'QTR CF'!E43</f>
        <v/>
      </c>
      <c r="F41" s="4">
        <f>'QTR CF'!F43</f>
        <v/>
      </c>
      <c r="G41" s="4">
        <f>'QTR CF'!G43</f>
        <v/>
      </c>
      <c r="H41" s="4">
        <f>'QTR CF'!H43</f>
        <v/>
      </c>
      <c r="I41" s="4">
        <f>'QTR CF'!I43</f>
        <v/>
      </c>
      <c r="J41" s="4">
        <f>'QTR CF'!J43</f>
        <v/>
      </c>
      <c r="K41" s="4">
        <f>'QTR CF'!K43</f>
        <v/>
      </c>
      <c r="L41" s="4">
        <f>'QTR CF'!L43</f>
        <v/>
      </c>
      <c r="M41" s="4">
        <f>'QTR CF'!M43</f>
        <v/>
      </c>
      <c r="N41" s="4">
        <f>'QTR CF'!N43</f>
        <v/>
      </c>
      <c r="O41" s="4">
        <f>'QTR CF'!O43</f>
        <v/>
      </c>
      <c r="P41" s="4">
        <f>'QTR CF'!P43</f>
        <v/>
      </c>
      <c r="Q41" s="4">
        <f>'QTR CF'!Q43</f>
        <v/>
      </c>
      <c r="R41" s="4">
        <f>'QTR CF'!R43</f>
        <v/>
      </c>
      <c r="S41" s="4">
        <f>'QTR CF'!S43</f>
        <v/>
      </c>
      <c r="T41" s="4">
        <f>'QTR CF'!T43</f>
        <v/>
      </c>
      <c r="U41" s="4">
        <f>'QTR CF'!U43</f>
        <v/>
      </c>
      <c r="V41" s="4">
        <f>'QTR CF'!V43</f>
        <v/>
      </c>
      <c r="W41" s="4">
        <f>'QTR CF'!W43</f>
        <v/>
      </c>
      <c r="X41" s="4">
        <f>'QTR CF'!X43</f>
        <v/>
      </c>
      <c r="Y41" s="4">
        <f>'QTR CF'!Y43</f>
        <v/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5" t="n">
        <v>0</v>
      </c>
      <c r="AF41" s="15" t="n">
        <v>0</v>
      </c>
      <c r="AG41" s="15" t="n">
        <v>0</v>
      </c>
      <c r="AH41" s="15" t="n">
        <v>0</v>
      </c>
      <c r="AI41" s="15" t="n">
        <v>0</v>
      </c>
      <c r="AJ41" s="15" t="n">
        <v>0</v>
      </c>
      <c r="AK41" s="15" t="n">
        <v>0</v>
      </c>
      <c r="AL41" s="15" t="n">
        <v>0</v>
      </c>
      <c r="AM41" s="15" t="n">
        <v>0</v>
      </c>
      <c r="AN41" s="15" t="n">
        <v>0</v>
      </c>
      <c r="AO41" s="15" t="n">
        <v>0</v>
      </c>
      <c r="AP41" s="15" t="n">
        <v>0</v>
      </c>
      <c r="AQ41" s="15" t="n">
        <v>0</v>
      </c>
      <c r="AR41" s="15" t="n">
        <v>0</v>
      </c>
      <c r="AS41" s="15" t="n">
        <v>0</v>
      </c>
    </row>
    <row r="42">
      <c r="A42" s="3" t="inlineStr">
        <is>
          <t>Finance Lease Payments</t>
        </is>
      </c>
      <c r="B42" s="4">
        <f>'QTR CF'!B44</f>
        <v/>
      </c>
      <c r="C42" s="4">
        <f>'QTR CF'!C44</f>
        <v/>
      </c>
      <c r="D42" s="4">
        <f>'QTR CF'!D44</f>
        <v/>
      </c>
      <c r="E42" s="4">
        <f>'QTR CF'!E44</f>
        <v/>
      </c>
      <c r="F42" s="4">
        <f>'QTR CF'!F44</f>
        <v/>
      </c>
      <c r="G42" s="4">
        <f>'QTR CF'!G44</f>
        <v/>
      </c>
      <c r="H42" s="4">
        <f>'QTR CF'!H44</f>
        <v/>
      </c>
      <c r="I42" s="4">
        <f>'QTR CF'!I44</f>
        <v/>
      </c>
      <c r="J42" s="4">
        <f>'QTR CF'!J44</f>
        <v/>
      </c>
      <c r="K42" s="4">
        <f>'QTR CF'!K44</f>
        <v/>
      </c>
      <c r="L42" s="4">
        <f>'QTR CF'!L44</f>
        <v/>
      </c>
      <c r="M42" s="4">
        <f>'QTR CF'!M44</f>
        <v/>
      </c>
      <c r="N42" s="4">
        <f>'QTR CF'!N44</f>
        <v/>
      </c>
      <c r="O42" s="4">
        <f>'QTR CF'!O44</f>
        <v/>
      </c>
      <c r="P42" s="4">
        <f>'QTR CF'!P44</f>
        <v/>
      </c>
      <c r="Q42" s="4">
        <f>'QTR CF'!Q44</f>
        <v/>
      </c>
      <c r="R42" s="4">
        <f>'QTR CF'!R44</f>
        <v/>
      </c>
      <c r="S42" s="4">
        <f>'QTR CF'!S44</f>
        <v/>
      </c>
      <c r="T42" s="4">
        <f>'QTR CF'!T44</f>
        <v/>
      </c>
      <c r="U42" s="4">
        <f>'QTR CF'!U44</f>
        <v/>
      </c>
      <c r="V42" s="4">
        <f>'QTR CF'!V44</f>
        <v/>
      </c>
      <c r="W42" s="4">
        <f>'QTR CF'!W44</f>
        <v/>
      </c>
      <c r="X42" s="4">
        <f>'QTR CF'!X44</f>
        <v/>
      </c>
      <c r="Y42" s="4">
        <f>'QTR CF'!Y44</f>
        <v/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5" t="n">
        <v>0</v>
      </c>
      <c r="AF42" s="15" t="n">
        <v>0</v>
      </c>
      <c r="AG42" s="15" t="n">
        <v>0</v>
      </c>
      <c r="AH42" s="15" t="n">
        <v>0</v>
      </c>
      <c r="AI42" s="15" t="n">
        <v>0</v>
      </c>
      <c r="AJ42" s="15" t="n">
        <v>0</v>
      </c>
      <c r="AK42" s="15" t="n">
        <v>0</v>
      </c>
      <c r="AL42" s="15" t="n">
        <v>0</v>
      </c>
      <c r="AM42" s="15" t="n">
        <v>0</v>
      </c>
      <c r="AN42" s="15" t="n">
        <v>0</v>
      </c>
      <c r="AO42" s="15" t="n">
        <v>0</v>
      </c>
      <c r="AP42" s="15" t="n">
        <v>0</v>
      </c>
      <c r="AQ42" s="15" t="n">
        <v>0</v>
      </c>
      <c r="AR42" s="15" t="n">
        <v>0</v>
      </c>
      <c r="AS42" s="15" t="n">
        <v>0</v>
      </c>
    </row>
    <row r="43">
      <c r="A43" s="3" t="inlineStr">
        <is>
          <t>Proceeds from Issuance of Common Stock</t>
        </is>
      </c>
      <c r="B43" s="4">
        <f>'QTR CF'!B45</f>
        <v/>
      </c>
      <c r="C43" s="4">
        <f>'QTR CF'!C45</f>
        <v/>
      </c>
      <c r="D43" s="4">
        <f>'QTR CF'!D45</f>
        <v/>
      </c>
      <c r="E43" s="4">
        <f>'QTR CF'!E45</f>
        <v/>
      </c>
      <c r="F43" s="4">
        <f>'QTR CF'!F45</f>
        <v/>
      </c>
      <c r="G43" s="4">
        <f>'QTR CF'!G45</f>
        <v/>
      </c>
      <c r="H43" s="4">
        <f>'QTR CF'!H45</f>
        <v/>
      </c>
      <c r="I43" s="4">
        <f>'QTR CF'!I45</f>
        <v/>
      </c>
      <c r="J43" s="4">
        <f>'QTR CF'!J45</f>
        <v/>
      </c>
      <c r="K43" s="4">
        <f>'QTR CF'!K45</f>
        <v/>
      </c>
      <c r="L43" s="4">
        <f>'QTR CF'!L45</f>
        <v/>
      </c>
      <c r="M43" s="4">
        <f>'QTR CF'!M45</f>
        <v/>
      </c>
      <c r="N43" s="4">
        <f>'QTR CF'!N45</f>
        <v/>
      </c>
      <c r="O43" s="4">
        <f>'QTR CF'!O45</f>
        <v/>
      </c>
      <c r="P43" s="4">
        <f>'QTR CF'!P45</f>
        <v/>
      </c>
      <c r="Q43" s="4">
        <f>'QTR CF'!Q45</f>
        <v/>
      </c>
      <c r="R43" s="4">
        <f>'QTR CF'!R45</f>
        <v/>
      </c>
      <c r="S43" s="4">
        <f>'QTR CF'!S45</f>
        <v/>
      </c>
      <c r="T43" s="4">
        <f>'QTR CF'!T45</f>
        <v/>
      </c>
      <c r="U43" s="4">
        <f>'QTR CF'!U45</f>
        <v/>
      </c>
      <c r="V43" s="4">
        <f>'QTR CF'!V45</f>
        <v/>
      </c>
      <c r="W43" s="4">
        <f>'QTR CF'!W45</f>
        <v/>
      </c>
      <c r="X43" s="4">
        <f>'QTR CF'!X45</f>
        <v/>
      </c>
      <c r="Y43" s="4">
        <f>'QTR CF'!Y45</f>
        <v/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5" t="n">
        <v>0</v>
      </c>
      <c r="AF43" s="15" t="n">
        <v>0</v>
      </c>
      <c r="AG43" s="15" t="n">
        <v>0</v>
      </c>
      <c r="AH43" s="15" t="n">
        <v>0</v>
      </c>
      <c r="AI43" s="15" t="n">
        <v>0</v>
      </c>
      <c r="AJ43" s="15" t="n">
        <v>0</v>
      </c>
      <c r="AK43" s="15" t="n">
        <v>0</v>
      </c>
      <c r="AL43" s="15" t="n">
        <v>0</v>
      </c>
      <c r="AM43" s="15" t="n">
        <v>0</v>
      </c>
      <c r="AN43" s="15" t="n">
        <v>0</v>
      </c>
      <c r="AO43" s="15" t="n">
        <v>0</v>
      </c>
      <c r="AP43" s="15" t="n">
        <v>0</v>
      </c>
      <c r="AQ43" s="15" t="n">
        <v>0</v>
      </c>
      <c r="AR43" s="15" t="n">
        <v>0</v>
      </c>
      <c r="AS43" s="15" t="n">
        <v>0</v>
      </c>
    </row>
    <row r="44">
      <c r="A44" s="3" t="inlineStr">
        <is>
          <t>Proceeds from Exercise of Stock Options</t>
        </is>
      </c>
      <c r="B44" s="4">
        <f>'QTR CF'!B46</f>
        <v/>
      </c>
      <c r="C44" s="4">
        <f>'QTR CF'!C46</f>
        <v/>
      </c>
      <c r="D44" s="4">
        <f>'QTR CF'!D46</f>
        <v/>
      </c>
      <c r="E44" s="4">
        <f>'QTR CF'!E46</f>
        <v/>
      </c>
      <c r="F44" s="4">
        <f>'QTR CF'!F46</f>
        <v/>
      </c>
      <c r="G44" s="4">
        <f>'QTR CF'!G46</f>
        <v/>
      </c>
      <c r="H44" s="4">
        <f>'QTR CF'!H46</f>
        <v/>
      </c>
      <c r="I44" s="4">
        <f>'QTR CF'!I46</f>
        <v/>
      </c>
      <c r="J44" s="4">
        <f>'QTR CF'!J46</f>
        <v/>
      </c>
      <c r="K44" s="4">
        <f>'QTR CF'!K46</f>
        <v/>
      </c>
      <c r="L44" s="4">
        <f>'QTR CF'!L46</f>
        <v/>
      </c>
      <c r="M44" s="4">
        <f>'QTR CF'!M46</f>
        <v/>
      </c>
      <c r="N44" s="4">
        <f>'QTR CF'!N46</f>
        <v/>
      </c>
      <c r="O44" s="4">
        <f>'QTR CF'!O46</f>
        <v/>
      </c>
      <c r="P44" s="4">
        <f>'QTR CF'!P46</f>
        <v/>
      </c>
      <c r="Q44" s="4">
        <f>'QTR CF'!Q46</f>
        <v/>
      </c>
      <c r="R44" s="4">
        <f>'QTR CF'!R46</f>
        <v/>
      </c>
      <c r="S44" s="4">
        <f>'QTR CF'!S46</f>
        <v/>
      </c>
      <c r="T44" s="4">
        <f>'QTR CF'!T46</f>
        <v/>
      </c>
      <c r="U44" s="4">
        <f>'QTR CF'!U46</f>
        <v/>
      </c>
      <c r="V44" s="4">
        <f>'QTR CF'!V46</f>
        <v/>
      </c>
      <c r="W44" s="4">
        <f>'QTR CF'!W46</f>
        <v/>
      </c>
      <c r="X44" s="4">
        <f>'QTR CF'!X46</f>
        <v/>
      </c>
      <c r="Y44" s="4">
        <f>'QTR CF'!Y46</f>
        <v/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0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</row>
    <row r="45">
      <c r="A45" s="3" t="inlineStr">
        <is>
          <t>Cash Paid for RSU Tax Withholding</t>
        </is>
      </c>
      <c r="B45" s="4">
        <f>'QTR CF'!B47</f>
        <v/>
      </c>
      <c r="C45" s="4">
        <f>'QTR CF'!C47</f>
        <v/>
      </c>
      <c r="D45" s="4">
        <f>'QTR CF'!D47</f>
        <v/>
      </c>
      <c r="E45" s="4">
        <f>'QTR CF'!E47</f>
        <v/>
      </c>
      <c r="F45" s="4">
        <f>'QTR CF'!F47</f>
        <v/>
      </c>
      <c r="G45" s="4">
        <f>'QTR CF'!G47</f>
        <v/>
      </c>
      <c r="H45" s="4">
        <f>'QTR CF'!H47</f>
        <v/>
      </c>
      <c r="I45" s="4">
        <f>'QTR CF'!I47</f>
        <v/>
      </c>
      <c r="J45" s="4">
        <f>'QTR CF'!J47</f>
        <v/>
      </c>
      <c r="K45" s="4">
        <f>'QTR CF'!K47</f>
        <v/>
      </c>
      <c r="L45" s="4">
        <f>'QTR CF'!L47</f>
        <v/>
      </c>
      <c r="M45" s="4">
        <f>'QTR CF'!M47</f>
        <v/>
      </c>
      <c r="N45" s="4">
        <f>'QTR CF'!N47</f>
        <v/>
      </c>
      <c r="O45" s="4">
        <f>'QTR CF'!O47</f>
        <v/>
      </c>
      <c r="P45" s="4">
        <f>'QTR CF'!P47</f>
        <v/>
      </c>
      <c r="Q45" s="4">
        <f>'QTR CF'!Q47</f>
        <v/>
      </c>
      <c r="R45" s="4">
        <f>'QTR CF'!R47</f>
        <v/>
      </c>
      <c r="S45" s="4">
        <f>'QTR CF'!S47</f>
        <v/>
      </c>
      <c r="T45" s="4">
        <f>'QTR CF'!T47</f>
        <v/>
      </c>
      <c r="U45" s="4">
        <f>'QTR CF'!U47</f>
        <v/>
      </c>
      <c r="V45" s="4">
        <f>'QTR CF'!V47</f>
        <v/>
      </c>
      <c r="W45" s="4">
        <f>'QTR CF'!W47</f>
        <v/>
      </c>
      <c r="X45" s="4">
        <f>'QTR CF'!X47</f>
        <v/>
      </c>
      <c r="Y45" s="4">
        <f>'QTR CF'!Y47</f>
        <v/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</v>
      </c>
    </row>
    <row r="46">
      <c r="A46" s="3" t="inlineStr">
        <is>
          <t>Section 16(b) Short-Swing Profit Recovery</t>
        </is>
      </c>
      <c r="B46" s="4">
        <f>'QTR CF'!B48</f>
        <v/>
      </c>
      <c r="C46" s="4">
        <f>'QTR CF'!C48</f>
        <v/>
      </c>
      <c r="D46" s="4">
        <f>'QTR CF'!D48</f>
        <v/>
      </c>
      <c r="E46" s="4">
        <f>'QTR CF'!E48</f>
        <v/>
      </c>
      <c r="F46" s="4">
        <f>'QTR CF'!F48</f>
        <v/>
      </c>
      <c r="G46" s="4">
        <f>'QTR CF'!G48</f>
        <v/>
      </c>
      <c r="H46" s="4">
        <f>'QTR CF'!H48</f>
        <v/>
      </c>
      <c r="I46" s="4">
        <f>'QTR CF'!I48</f>
        <v/>
      </c>
      <c r="J46" s="4">
        <f>'QTR CF'!J48</f>
        <v/>
      </c>
      <c r="K46" s="4">
        <f>'QTR CF'!K48</f>
        <v/>
      </c>
      <c r="L46" s="4">
        <f>'QTR CF'!L48</f>
        <v/>
      </c>
      <c r="M46" s="4">
        <f>'QTR CF'!M48</f>
        <v/>
      </c>
      <c r="N46" s="4">
        <f>'QTR CF'!N48</f>
        <v/>
      </c>
      <c r="O46" s="4">
        <f>'QTR CF'!O48</f>
        <v/>
      </c>
      <c r="P46" s="4">
        <f>'QTR CF'!P48</f>
        <v/>
      </c>
      <c r="Q46" s="4">
        <f>'QTR CF'!Q48</f>
        <v/>
      </c>
      <c r="R46" s="4">
        <f>'QTR CF'!R48</f>
        <v/>
      </c>
      <c r="S46" s="4">
        <f>'QTR CF'!S48</f>
        <v/>
      </c>
      <c r="T46" s="4">
        <f>'QTR CF'!T48</f>
        <v/>
      </c>
      <c r="U46" s="4">
        <f>'QTR CF'!U48</f>
        <v/>
      </c>
      <c r="V46" s="4">
        <f>'QTR CF'!V48</f>
        <v/>
      </c>
      <c r="W46" s="4">
        <f>'QTR CF'!W48</f>
        <v/>
      </c>
      <c r="X46" s="4">
        <f>'QTR CF'!X48</f>
        <v/>
      </c>
      <c r="Y46" s="4">
        <f>'QTR CF'!Y48</f>
        <v/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5" t="n">
        <v>0</v>
      </c>
      <c r="AF46" s="15" t="n">
        <v>0</v>
      </c>
      <c r="AG46" s="15" t="n">
        <v>0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</row>
    <row r="47">
      <c r="A47" s="3" t="inlineStr">
        <is>
          <t>Proceeds from Issuance of Preferred Stock</t>
        </is>
      </c>
      <c r="B47" s="4">
        <f>'QTR CF'!B49</f>
        <v/>
      </c>
      <c r="C47" s="4">
        <f>'QTR CF'!C49</f>
        <v/>
      </c>
      <c r="D47" s="4">
        <f>'QTR CF'!D49</f>
        <v/>
      </c>
      <c r="E47" s="4">
        <f>'QTR CF'!E49</f>
        <v/>
      </c>
      <c r="F47" s="4">
        <f>'QTR CF'!F49</f>
        <v/>
      </c>
      <c r="G47" s="4">
        <f>'QTR CF'!G49</f>
        <v/>
      </c>
      <c r="H47" s="4">
        <f>'QTR CF'!H49</f>
        <v/>
      </c>
      <c r="I47" s="4">
        <f>'QTR CF'!I49</f>
        <v/>
      </c>
      <c r="J47" s="4">
        <f>'QTR CF'!J49</f>
        <v/>
      </c>
      <c r="K47" s="4">
        <f>'QTR CF'!K49</f>
        <v/>
      </c>
      <c r="L47" s="4">
        <f>'QTR CF'!L49</f>
        <v/>
      </c>
      <c r="M47" s="4">
        <f>'QTR CF'!M49</f>
        <v/>
      </c>
      <c r="N47" s="4">
        <f>'QTR CF'!N49</f>
        <v/>
      </c>
      <c r="O47" s="4">
        <f>'QTR CF'!O49</f>
        <v/>
      </c>
      <c r="P47" s="4">
        <f>'QTR CF'!P49</f>
        <v/>
      </c>
      <c r="Q47" s="4">
        <f>'QTR CF'!Q49</f>
        <v/>
      </c>
      <c r="R47" s="4">
        <f>'QTR CF'!R49</f>
        <v/>
      </c>
      <c r="S47" s="4">
        <f>'QTR CF'!S49</f>
        <v/>
      </c>
      <c r="T47" s="4">
        <f>'QTR CF'!T49</f>
        <v/>
      </c>
      <c r="U47" s="4">
        <f>'QTR CF'!U49</f>
        <v/>
      </c>
      <c r="V47" s="4">
        <f>'QTR CF'!V49</f>
        <v/>
      </c>
      <c r="W47" s="4">
        <f>'QTR CF'!W49</f>
        <v/>
      </c>
      <c r="X47" s="4">
        <f>'QTR CF'!X49</f>
        <v/>
      </c>
      <c r="Y47" s="4">
        <f>'QTR CF'!Y49</f>
        <v/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</row>
    <row r="48">
      <c r="A48" s="3" t="inlineStr">
        <is>
          <t>Preferred Dividends</t>
        </is>
      </c>
      <c r="B48" s="4">
        <f>'QTR CF'!B50</f>
        <v/>
      </c>
      <c r="C48" s="4">
        <f>'QTR CF'!C50</f>
        <v/>
      </c>
      <c r="D48" s="4">
        <f>'QTR CF'!D50</f>
        <v/>
      </c>
      <c r="E48" s="4">
        <f>'QTR CF'!E50</f>
        <v/>
      </c>
      <c r="F48" s="4">
        <f>'QTR CF'!F50</f>
        <v/>
      </c>
      <c r="G48" s="4">
        <f>'QTR CF'!G50</f>
        <v/>
      </c>
      <c r="H48" s="4">
        <f>'QTR CF'!H50</f>
        <v/>
      </c>
      <c r="I48" s="4">
        <f>'QTR CF'!I50</f>
        <v/>
      </c>
      <c r="J48" s="4">
        <f>'QTR CF'!J50</f>
        <v/>
      </c>
      <c r="K48" s="4">
        <f>'QTR CF'!K50</f>
        <v/>
      </c>
      <c r="L48" s="4">
        <f>'QTR CF'!L50</f>
        <v/>
      </c>
      <c r="M48" s="4">
        <f>'QTR CF'!M50</f>
        <v/>
      </c>
      <c r="N48" s="4">
        <f>'QTR CF'!N50</f>
        <v/>
      </c>
      <c r="O48" s="4">
        <f>'QTR CF'!O50</f>
        <v/>
      </c>
      <c r="P48" s="4">
        <f>'QTR CF'!P50</f>
        <v/>
      </c>
      <c r="Q48" s="4">
        <f>'QTR CF'!Q50</f>
        <v/>
      </c>
      <c r="R48" s="4">
        <f>'QTR CF'!R50</f>
        <v/>
      </c>
      <c r="S48" s="4">
        <f>'QTR CF'!S50</f>
        <v/>
      </c>
      <c r="T48" s="4">
        <f>'QTR CF'!T50</f>
        <v/>
      </c>
      <c r="U48" s="4">
        <f>'QTR CF'!U50</f>
        <v/>
      </c>
      <c r="V48" s="4">
        <f>'QTR CF'!V50</f>
        <v/>
      </c>
      <c r="W48" s="4">
        <f>'QTR CF'!W50</f>
        <v/>
      </c>
      <c r="X48" s="4">
        <f>'QTR CF'!X50</f>
        <v/>
      </c>
      <c r="Y48" s="4">
        <f>'QTR CF'!Y50</f>
        <v/>
      </c>
      <c r="Z48" s="15">
        <f>Y48</f>
        <v/>
      </c>
      <c r="AA48" s="15">
        <f>Z48</f>
        <v/>
      </c>
      <c r="AB48" s="15">
        <f>AA48</f>
        <v/>
      </c>
      <c r="AC48" s="15">
        <f>AB48</f>
        <v/>
      </c>
      <c r="AD48" s="15">
        <f>AC48</f>
        <v/>
      </c>
      <c r="AE48" s="15">
        <f>AD48</f>
        <v/>
      </c>
      <c r="AF48" s="15">
        <f>AE48</f>
        <v/>
      </c>
      <c r="AG48" s="15">
        <f>AF48</f>
        <v/>
      </c>
      <c r="AH48" s="15">
        <f>AG48</f>
        <v/>
      </c>
      <c r="AI48" s="15">
        <f>AH48</f>
        <v/>
      </c>
      <c r="AJ48" s="15">
        <f>AI48</f>
        <v/>
      </c>
      <c r="AK48" s="15">
        <f>AJ48</f>
        <v/>
      </c>
      <c r="AL48" s="15">
        <f>AK48</f>
        <v/>
      </c>
      <c r="AM48" s="15">
        <f>AL48</f>
        <v/>
      </c>
      <c r="AN48" s="15">
        <f>AM48</f>
        <v/>
      </c>
      <c r="AO48" s="15">
        <f>AN48</f>
        <v/>
      </c>
      <c r="AP48" s="15">
        <f>AO48</f>
        <v/>
      </c>
      <c r="AQ48" s="15">
        <f>AP48</f>
        <v/>
      </c>
      <c r="AR48" s="15">
        <f>AQ48</f>
        <v/>
      </c>
      <c r="AS48" s="15">
        <f>AR48</f>
        <v/>
      </c>
    </row>
    <row r="49">
      <c r="A49" s="3" t="inlineStr">
        <is>
          <t>Share Repurchases</t>
        </is>
      </c>
      <c r="B49" s="4">
        <f>'QTR CF'!B51</f>
        <v/>
      </c>
      <c r="C49" s="4">
        <f>'QTR CF'!C51</f>
        <v/>
      </c>
      <c r="D49" s="4">
        <f>'QTR CF'!D51</f>
        <v/>
      </c>
      <c r="E49" s="4">
        <f>'QTR CF'!E51</f>
        <v/>
      </c>
      <c r="F49" s="4">
        <f>'QTR CF'!F51</f>
        <v/>
      </c>
      <c r="G49" s="4">
        <f>'QTR CF'!G51</f>
        <v/>
      </c>
      <c r="H49" s="4">
        <f>'QTR CF'!H51</f>
        <v/>
      </c>
      <c r="I49" s="4">
        <f>'QTR CF'!I51</f>
        <v/>
      </c>
      <c r="J49" s="4">
        <f>'QTR CF'!J51</f>
        <v/>
      </c>
      <c r="K49" s="4">
        <f>'QTR CF'!K51</f>
        <v/>
      </c>
      <c r="L49" s="4">
        <f>'QTR CF'!L51</f>
        <v/>
      </c>
      <c r="M49" s="4">
        <f>'QTR CF'!M51</f>
        <v/>
      </c>
      <c r="N49" s="4">
        <f>'QTR CF'!N51</f>
        <v/>
      </c>
      <c r="O49" s="4">
        <f>'QTR CF'!O51</f>
        <v/>
      </c>
      <c r="P49" s="4">
        <f>'QTR CF'!P51</f>
        <v/>
      </c>
      <c r="Q49" s="4">
        <f>'QTR CF'!Q51</f>
        <v/>
      </c>
      <c r="R49" s="4">
        <f>'QTR CF'!R51</f>
        <v/>
      </c>
      <c r="S49" s="4">
        <f>'QTR CF'!S51</f>
        <v/>
      </c>
      <c r="T49" s="4">
        <f>'QTR CF'!T51</f>
        <v/>
      </c>
      <c r="U49" s="4">
        <f>'QTR CF'!U51</f>
        <v/>
      </c>
      <c r="V49" s="4">
        <f>'QTR CF'!V51</f>
        <v/>
      </c>
      <c r="W49" s="4">
        <f>'QTR CF'!W51</f>
        <v/>
      </c>
      <c r="X49" s="4">
        <f>'QTR CF'!X51</f>
        <v/>
      </c>
      <c r="Y49" s="4">
        <f>'QTR CF'!Y51</f>
        <v/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5" t="n">
        <v>0</v>
      </c>
      <c r="AF49" s="15" t="n">
        <v>0</v>
      </c>
      <c r="AG49" s="15" t="n">
        <v>0</v>
      </c>
      <c r="AH49" s="15" t="n">
        <v>0</v>
      </c>
      <c r="AI49" s="15" t="n">
        <v>0</v>
      </c>
      <c r="AJ49" s="15" t="n">
        <v>0</v>
      </c>
      <c r="AK49" s="15" t="n">
        <v>0</v>
      </c>
      <c r="AL49" s="15" t="n">
        <v>0</v>
      </c>
      <c r="AM49" s="15" t="n">
        <v>0</v>
      </c>
      <c r="AN49" s="15" t="n">
        <v>0</v>
      </c>
      <c r="AO49" s="15" t="n">
        <v>0</v>
      </c>
      <c r="AP49" s="15" t="n">
        <v>0</v>
      </c>
      <c r="AQ49" s="15" t="n">
        <v>0</v>
      </c>
      <c r="AR49" s="15" t="n">
        <v>0</v>
      </c>
      <c r="AS49" s="15" t="n">
        <v>0</v>
      </c>
    </row>
    <row r="50">
      <c r="A50" s="3" t="inlineStr">
        <is>
          <t>Proceeds from Issuance of Long-Term Debt</t>
        </is>
      </c>
      <c r="B50" s="4">
        <f>'QTR CF'!B52</f>
        <v/>
      </c>
      <c r="C50" s="4">
        <f>'QTR CF'!C52</f>
        <v/>
      </c>
      <c r="D50" s="4">
        <f>'QTR CF'!D52</f>
        <v/>
      </c>
      <c r="E50" s="4">
        <f>'QTR CF'!E52</f>
        <v/>
      </c>
      <c r="F50" s="4">
        <f>'QTR CF'!F52</f>
        <v/>
      </c>
      <c r="G50" s="4">
        <f>'QTR CF'!G52</f>
        <v/>
      </c>
      <c r="H50" s="4">
        <f>'QTR CF'!H52</f>
        <v/>
      </c>
      <c r="I50" s="4">
        <f>'QTR CF'!I52</f>
        <v/>
      </c>
      <c r="J50" s="4">
        <f>'QTR CF'!J52</f>
        <v/>
      </c>
      <c r="K50" s="4">
        <f>'QTR CF'!K52</f>
        <v/>
      </c>
      <c r="L50" s="4">
        <f>'QTR CF'!L52</f>
        <v/>
      </c>
      <c r="M50" s="4">
        <f>'QTR CF'!M52</f>
        <v/>
      </c>
      <c r="N50" s="4">
        <f>'QTR CF'!N52</f>
        <v/>
      </c>
      <c r="O50" s="4">
        <f>'QTR CF'!O52</f>
        <v/>
      </c>
      <c r="P50" s="4">
        <f>'QTR CF'!P52</f>
        <v/>
      </c>
      <c r="Q50" s="4">
        <f>'QTR CF'!Q52</f>
        <v/>
      </c>
      <c r="R50" s="4">
        <f>'QTR CF'!R52</f>
        <v/>
      </c>
      <c r="S50" s="4">
        <f>'QTR CF'!S52</f>
        <v/>
      </c>
      <c r="T50" s="4">
        <f>'QTR CF'!T52</f>
        <v/>
      </c>
      <c r="U50" s="4">
        <f>'QTR CF'!U52</f>
        <v/>
      </c>
      <c r="V50" s="4">
        <f>'QTR CF'!V52</f>
        <v/>
      </c>
      <c r="W50" s="4">
        <f>'QTR CF'!W52</f>
        <v/>
      </c>
      <c r="X50" s="4">
        <f>'QTR CF'!X52</f>
        <v/>
      </c>
      <c r="Y50" s="4">
        <f>'QTR CF'!Y52</f>
        <v/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5" t="n">
        <v>0</v>
      </c>
      <c r="AF50" s="15" t="n">
        <v>0</v>
      </c>
      <c r="AG50" s="15" t="n">
        <v>0</v>
      </c>
      <c r="AH50" s="15" t="n">
        <v>0</v>
      </c>
      <c r="AI50" s="15" t="n">
        <v>0</v>
      </c>
      <c r="AJ50" s="15" t="n">
        <v>0</v>
      </c>
      <c r="AK50" s="15" t="n">
        <v>0</v>
      </c>
      <c r="AL50" s="15" t="n">
        <v>0</v>
      </c>
      <c r="AM50" s="15" t="n">
        <v>0</v>
      </c>
      <c r="AN50" s="15" t="n">
        <v>0</v>
      </c>
      <c r="AO50" s="15" t="n">
        <v>0</v>
      </c>
      <c r="AP50" s="15" t="n">
        <v>0</v>
      </c>
      <c r="AQ50" s="15" t="n">
        <v>0</v>
      </c>
      <c r="AR50" s="15" t="n">
        <v>0</v>
      </c>
      <c r="AS50" s="15" t="n">
        <v>0</v>
      </c>
    </row>
    <row r="51">
      <c r="A51" s="3" t="inlineStr">
        <is>
          <t>Repayments of Long-Term Debt</t>
        </is>
      </c>
      <c r="B51" s="4">
        <f>'QTR CF'!B53</f>
        <v/>
      </c>
      <c r="C51" s="4">
        <f>'QTR CF'!C53</f>
        <v/>
      </c>
      <c r="D51" s="4">
        <f>'QTR CF'!D53</f>
        <v/>
      </c>
      <c r="E51" s="4">
        <f>'QTR CF'!E53</f>
        <v/>
      </c>
      <c r="F51" s="4">
        <f>'QTR CF'!F53</f>
        <v/>
      </c>
      <c r="G51" s="4">
        <f>'QTR CF'!G53</f>
        <v/>
      </c>
      <c r="H51" s="4">
        <f>'QTR CF'!H53</f>
        <v/>
      </c>
      <c r="I51" s="4">
        <f>'QTR CF'!I53</f>
        <v/>
      </c>
      <c r="J51" s="4">
        <f>'QTR CF'!J53</f>
        <v/>
      </c>
      <c r="K51" s="4">
        <f>'QTR CF'!K53</f>
        <v/>
      </c>
      <c r="L51" s="4">
        <f>'QTR CF'!L53</f>
        <v/>
      </c>
      <c r="M51" s="4">
        <f>'QTR CF'!M53</f>
        <v/>
      </c>
      <c r="N51" s="4">
        <f>'QTR CF'!N53</f>
        <v/>
      </c>
      <c r="O51" s="4">
        <f>'QTR CF'!O53</f>
        <v/>
      </c>
      <c r="P51" s="4">
        <f>'QTR CF'!P53</f>
        <v/>
      </c>
      <c r="Q51" s="4">
        <f>'QTR CF'!Q53</f>
        <v/>
      </c>
      <c r="R51" s="4">
        <f>'QTR CF'!R53</f>
        <v/>
      </c>
      <c r="S51" s="4">
        <f>'QTR CF'!S53</f>
        <v/>
      </c>
      <c r="T51" s="4">
        <f>'QTR CF'!T53</f>
        <v/>
      </c>
      <c r="U51" s="4">
        <f>'QTR CF'!U53</f>
        <v/>
      </c>
      <c r="V51" s="4">
        <f>'QTR CF'!V53</f>
        <v/>
      </c>
      <c r="W51" s="4">
        <f>'QTR CF'!W53</f>
        <v/>
      </c>
      <c r="X51" s="4">
        <f>'QTR CF'!X53</f>
        <v/>
      </c>
      <c r="Y51" s="4">
        <f>'QTR CF'!Y53</f>
        <v/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0</v>
      </c>
      <c r="AE51" s="15" t="n">
        <v>0</v>
      </c>
      <c r="AF51" s="15" t="n">
        <v>0</v>
      </c>
      <c r="AG51" s="15" t="n">
        <v>0</v>
      </c>
      <c r="AH51" s="15" t="n">
        <v>0</v>
      </c>
      <c r="AI51" s="15" t="n">
        <v>0</v>
      </c>
      <c r="AJ51" s="15" t="n">
        <v>0</v>
      </c>
      <c r="AK51" s="15" t="n">
        <v>0</v>
      </c>
      <c r="AL51" s="15" t="n">
        <v>0</v>
      </c>
      <c r="AM51" s="15" t="n">
        <v>0</v>
      </c>
      <c r="AN51" s="15" t="n">
        <v>0</v>
      </c>
      <c r="AO51" s="15" t="n">
        <v>0</v>
      </c>
      <c r="AP51" s="15" t="n">
        <v>0</v>
      </c>
      <c r="AQ51" s="15" t="n">
        <v>0</v>
      </c>
      <c r="AR51" s="15" t="n">
        <v>0</v>
      </c>
      <c r="AS51" s="15" t="n">
        <v>0</v>
      </c>
    </row>
    <row r="52">
      <c r="A52" s="3" t="inlineStr">
        <is>
          <t>Debt Issuance Fees</t>
        </is>
      </c>
      <c r="B52" s="4">
        <f>'QTR CF'!B54</f>
        <v/>
      </c>
      <c r="C52" s="4">
        <f>'QTR CF'!C54</f>
        <v/>
      </c>
      <c r="D52" s="4">
        <f>'QTR CF'!D54</f>
        <v/>
      </c>
      <c r="E52" s="4">
        <f>'QTR CF'!E54</f>
        <v/>
      </c>
      <c r="F52" s="4">
        <f>'QTR CF'!F54</f>
        <v/>
      </c>
      <c r="G52" s="4">
        <f>'QTR CF'!G54</f>
        <v/>
      </c>
      <c r="H52" s="4">
        <f>'QTR CF'!H54</f>
        <v/>
      </c>
      <c r="I52" s="4">
        <f>'QTR CF'!I54</f>
        <v/>
      </c>
      <c r="J52" s="4">
        <f>'QTR CF'!J54</f>
        <v/>
      </c>
      <c r="K52" s="4">
        <f>'QTR CF'!K54</f>
        <v/>
      </c>
      <c r="L52" s="4">
        <f>'QTR CF'!L54</f>
        <v/>
      </c>
      <c r="M52" s="4">
        <f>'QTR CF'!M54</f>
        <v/>
      </c>
      <c r="N52" s="4">
        <f>'QTR CF'!N54</f>
        <v/>
      </c>
      <c r="O52" s="4">
        <f>'QTR CF'!O54</f>
        <v/>
      </c>
      <c r="P52" s="4">
        <f>'QTR CF'!P54</f>
        <v/>
      </c>
      <c r="Q52" s="4">
        <f>'QTR CF'!Q54</f>
        <v/>
      </c>
      <c r="R52" s="4">
        <f>'QTR CF'!R54</f>
        <v/>
      </c>
      <c r="S52" s="4">
        <f>'QTR CF'!S54</f>
        <v/>
      </c>
      <c r="T52" s="4">
        <f>'QTR CF'!T54</f>
        <v/>
      </c>
      <c r="U52" s="4">
        <f>'QTR CF'!U54</f>
        <v/>
      </c>
      <c r="V52" s="4">
        <f>'QTR CF'!V54</f>
        <v/>
      </c>
      <c r="W52" s="4">
        <f>'QTR CF'!W54</f>
        <v/>
      </c>
      <c r="X52" s="4">
        <f>'QTR CF'!X54</f>
        <v/>
      </c>
      <c r="Y52" s="4">
        <f>'QTR CF'!Y54</f>
        <v/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</row>
    <row r="53">
      <c r="A53" s="3" t="inlineStr">
        <is>
          <t>Other Financing Activities</t>
        </is>
      </c>
      <c r="B53" s="4">
        <f>'QTR CF'!B55</f>
        <v/>
      </c>
      <c r="C53" s="4">
        <f>'QTR CF'!C55</f>
        <v/>
      </c>
      <c r="D53" s="4">
        <f>'QTR CF'!D55</f>
        <v/>
      </c>
      <c r="E53" s="4">
        <f>'QTR CF'!E55</f>
        <v/>
      </c>
      <c r="F53" s="4">
        <f>'QTR CF'!F55</f>
        <v/>
      </c>
      <c r="G53" s="4">
        <f>'QTR CF'!G55</f>
        <v/>
      </c>
      <c r="H53" s="4">
        <f>'QTR CF'!H55</f>
        <v/>
      </c>
      <c r="I53" s="4">
        <f>'QTR CF'!I55</f>
        <v/>
      </c>
      <c r="J53" s="4">
        <f>'QTR CF'!J55</f>
        <v/>
      </c>
      <c r="K53" s="4">
        <f>'QTR CF'!K55</f>
        <v/>
      </c>
      <c r="L53" s="4">
        <f>'QTR CF'!L55</f>
        <v/>
      </c>
      <c r="M53" s="4">
        <f>'QTR CF'!M55</f>
        <v/>
      </c>
      <c r="N53" s="4">
        <f>'QTR CF'!N55</f>
        <v/>
      </c>
      <c r="O53" s="4">
        <f>'QTR CF'!O55</f>
        <v/>
      </c>
      <c r="P53" s="4">
        <f>'QTR CF'!P55</f>
        <v/>
      </c>
      <c r="Q53" s="4">
        <f>'QTR CF'!Q55</f>
        <v/>
      </c>
      <c r="R53" s="4">
        <f>'QTR CF'!R55</f>
        <v/>
      </c>
      <c r="S53" s="4">
        <f>'QTR CF'!S55</f>
        <v/>
      </c>
      <c r="T53" s="4">
        <f>'QTR CF'!T55</f>
        <v/>
      </c>
      <c r="U53" s="4">
        <f>'QTR CF'!U55</f>
        <v/>
      </c>
      <c r="V53" s="4">
        <f>'QTR CF'!V55</f>
        <v/>
      </c>
      <c r="W53" s="4">
        <f>'QTR CF'!W55</f>
        <v/>
      </c>
      <c r="X53" s="4">
        <f>'QTR CF'!X55</f>
        <v/>
      </c>
      <c r="Y53" s="4">
        <f>'QTR CF'!Y55</f>
        <v/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0</v>
      </c>
      <c r="AM53" s="15" t="n">
        <v>0</v>
      </c>
      <c r="AN53" s="15" t="n">
        <v>0</v>
      </c>
      <c r="AO53" s="15" t="n">
        <v>0</v>
      </c>
      <c r="AP53" s="15" t="n">
        <v>0</v>
      </c>
      <c r="AQ53" s="15" t="n">
        <v>0</v>
      </c>
      <c r="AR53" s="15" t="n">
        <v>0</v>
      </c>
      <c r="AS53" s="15" t="n">
        <v>0</v>
      </c>
    </row>
    <row r="54">
      <c r="A54" s="3" t="inlineStr">
        <is>
          <t>FX Effect on Cash</t>
        </is>
      </c>
      <c r="B54" s="4">
        <f>'QTR CF'!B57</f>
        <v/>
      </c>
      <c r="C54" s="4">
        <f>'QTR CF'!C57</f>
        <v/>
      </c>
      <c r="D54" s="4">
        <f>'QTR CF'!D57</f>
        <v/>
      </c>
      <c r="E54" s="4">
        <f>'QTR CF'!E57</f>
        <v/>
      </c>
      <c r="F54" s="4">
        <f>'QTR CF'!F57</f>
        <v/>
      </c>
      <c r="G54" s="4">
        <f>'QTR CF'!G57</f>
        <v/>
      </c>
      <c r="H54" s="4">
        <f>'QTR CF'!H57</f>
        <v/>
      </c>
      <c r="I54" s="4">
        <f>'QTR CF'!I57</f>
        <v/>
      </c>
      <c r="J54" s="4">
        <f>'QTR CF'!J57</f>
        <v/>
      </c>
      <c r="K54" s="4">
        <f>'QTR CF'!K57</f>
        <v/>
      </c>
      <c r="L54" s="4">
        <f>'QTR CF'!L57</f>
        <v/>
      </c>
      <c r="M54" s="4">
        <f>'QTR CF'!M57</f>
        <v/>
      </c>
      <c r="N54" s="4">
        <f>'QTR CF'!N57</f>
        <v/>
      </c>
      <c r="O54" s="4">
        <f>'QTR CF'!O57</f>
        <v/>
      </c>
      <c r="P54" s="4">
        <f>'QTR CF'!P57</f>
        <v/>
      </c>
      <c r="Q54" s="4">
        <f>'QTR CF'!Q57</f>
        <v/>
      </c>
      <c r="R54" s="4">
        <f>'QTR CF'!R57</f>
        <v/>
      </c>
      <c r="S54" s="4">
        <f>'QTR CF'!S57</f>
        <v/>
      </c>
      <c r="T54" s="4">
        <f>'QTR CF'!T57</f>
        <v/>
      </c>
      <c r="U54" s="4">
        <f>'QTR CF'!U57</f>
        <v/>
      </c>
      <c r="V54" s="4">
        <f>'QTR CF'!V57</f>
        <v/>
      </c>
      <c r="W54" s="4">
        <f>'QTR CF'!W57</f>
        <v/>
      </c>
      <c r="X54" s="4">
        <f>'QTR CF'!X57</f>
        <v/>
      </c>
      <c r="Y54" s="4">
        <f>'QTR CF'!Y57</f>
        <v/>
      </c>
      <c r="Z54" s="15">
        <f>Y54</f>
        <v/>
      </c>
      <c r="AA54" s="15">
        <f>Z54</f>
        <v/>
      </c>
      <c r="AB54" s="15">
        <f>AA54</f>
        <v/>
      </c>
      <c r="AC54" s="15">
        <f>AB54</f>
        <v/>
      </c>
      <c r="AD54" s="15">
        <f>AC54</f>
        <v/>
      </c>
      <c r="AE54" s="15">
        <f>AD54</f>
        <v/>
      </c>
      <c r="AF54" s="15">
        <f>AE54</f>
        <v/>
      </c>
      <c r="AG54" s="15">
        <f>AF54</f>
        <v/>
      </c>
      <c r="AH54" s="15">
        <f>AG54</f>
        <v/>
      </c>
      <c r="AI54" s="15">
        <f>AH54</f>
        <v/>
      </c>
      <c r="AJ54" s="15">
        <f>AI54</f>
        <v/>
      </c>
      <c r="AK54" s="15">
        <f>AJ54</f>
        <v/>
      </c>
      <c r="AL54" s="15">
        <f>AK54</f>
        <v/>
      </c>
      <c r="AM54" s="15">
        <f>AL54</f>
        <v/>
      </c>
      <c r="AN54" s="15">
        <f>AM54</f>
        <v/>
      </c>
      <c r="AO54" s="15">
        <f>AN54</f>
        <v/>
      </c>
      <c r="AP54" s="15">
        <f>AO54</f>
        <v/>
      </c>
      <c r="AQ54" s="15">
        <f>AP54</f>
        <v/>
      </c>
      <c r="AR54" s="15">
        <f>AQ54</f>
        <v/>
      </c>
      <c r="AS54" s="15">
        <f>AR54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2026-05-24T18:03:48Z</dcterms:created>
  <dcterms:modified xmlns:dcterms="http://purl.org/dc/terms/" xmlns:xsi="http://www.w3.org/2001/XMLSchema-instance" xsi:type="dcterms:W3CDTF">2026-05-24T18:04:34Z</dcterms:modified>
</cp:coreProperties>
</file>