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odin\Files\grodino_brain\Knowledge\Model Outputs\CELH\"/>
    </mc:Choice>
  </mc:AlternateContent>
  <xr:revisionPtr revIDLastSave="0" documentId="13_ncr:1_{B81C1CAA-919A-4EC0-ACD7-1261E146B56B}" xr6:coauthVersionLast="47" xr6:coauthVersionMax="47" xr10:uidLastSave="{00000000-0000-0000-0000-000000000000}"/>
  <bookViews>
    <workbookView xWindow="28680" yWindow="-120" windowWidth="29040" windowHeight="15720" xr2:uid="{00000000-000D-0000-FFFF-FFFF00000000}"/>
  </bookViews>
  <sheets>
    <sheet name=" Transcript Reports" sheetId="71" r:id="rId1"/>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5" i="71" l="1"/>
  <c r="E130" i="71"/>
  <c r="E126" i="71"/>
  <c r="E127" i="71" s="1"/>
  <c r="F127" i="71" s="1"/>
  <c r="D117" i="71"/>
  <c r="D114" i="71"/>
  <c r="E85" i="71"/>
  <c r="E80" i="71"/>
  <c r="D80" i="71"/>
  <c r="G78" i="71"/>
  <c r="D74" i="71"/>
  <c r="D63" i="7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Gabriel Rodino</author>
  </authors>
  <commentList>
    <comment ref="C6" authorId="0" shapeId="0" xr:uid="{6545CF62-7089-492E-8EBF-AC5E32D784D5}">
      <text>
        <r>
          <rPr>
            <b/>
            <sz val="9"/>
            <color indexed="81"/>
            <rFont val="Tahoma"/>
            <family val="2"/>
          </rPr>
          <t>Gabriel Rodino:</t>
        </r>
        <r>
          <rPr>
            <sz val="9"/>
            <color indexed="81"/>
            <rFont val="Tahoma"/>
            <family val="2"/>
          </rPr>
          <t xml:space="preserve">
What I will say about energy, though, it’s really pivoted from this impulse consumption type of beverage into more of a daily lifestyle routine for folks. I know when we’re at CAGNY not too long ago, we talked about, I believe, it’s 54% of LRB, liquid refresher beverages growth has come out of energy right now.</t>
        </r>
      </text>
    </comment>
    <comment ref="C7" authorId="0" shapeId="0" xr:uid="{67C347B8-5316-4F20-A38F-C80B65C225AB}">
      <text>
        <r>
          <rPr>
            <b/>
            <sz val="9"/>
            <color indexed="81"/>
            <rFont val="Tahoma"/>
            <family val="2"/>
          </rPr>
          <t>Gabriel Rodino:</t>
        </r>
        <r>
          <rPr>
            <sz val="9"/>
            <color indexed="81"/>
            <rFont val="Tahoma"/>
            <family val="2"/>
          </rPr>
          <t xml:space="preserve">
And 85% of all consumption and growth -- excuse me, 85% of growth within energy right now is sugar freight. So I certainly think that Celsius in our portfolio is well positioned to continue to grow and the category is going to continue to grow.</t>
        </r>
      </text>
    </comment>
    <comment ref="C8" authorId="0" shapeId="0" xr:uid="{180EABF8-9F57-4E6E-A5C3-37B22B3C4835}">
      <text>
        <r>
          <rPr>
            <b/>
            <sz val="9"/>
            <color indexed="81"/>
            <rFont val="Tahoma"/>
            <family val="2"/>
          </rPr>
          <t>Gabriel Rodino:</t>
        </r>
        <r>
          <rPr>
            <sz val="9"/>
            <color indexed="81"/>
            <rFont val="Tahoma"/>
            <family val="2"/>
          </rPr>
          <t xml:space="preserve">
We see the convenience as huge opportunity for Alani this year as well as an opportunity for Celsius. The singles in convenience have been a really good growth driver for brand Celsius over the last probably six months or so.</t>
        </r>
      </text>
    </comment>
    <comment ref="C9" authorId="0" shapeId="0" xr:uid="{B7342634-5F2E-4830-AFDE-578ADC81928F}">
      <text>
        <r>
          <rPr>
            <b/>
            <sz val="9"/>
            <color indexed="81"/>
            <rFont val="Tahoma"/>
            <family val="2"/>
          </rPr>
          <t>Gabriel Rodino:</t>
        </r>
        <r>
          <rPr>
            <sz val="9"/>
            <color indexed="81"/>
            <rFont val="Tahoma"/>
            <family val="2"/>
          </rPr>
          <t xml:space="preserve">
We’re seeing that right now maybe even next year to see that even more if the trends continue. But yes, we’re sourcing from a number of categories, whether it’s hydration, coffee, premium water.</t>
        </r>
      </text>
    </comment>
    <comment ref="C10" authorId="0" shapeId="0" xr:uid="{17C7F01B-F8D1-4171-94B5-F3BA985C1543}">
      <text>
        <r>
          <rPr>
            <b/>
            <sz val="9"/>
            <color indexed="81"/>
            <rFont val="Tahoma"/>
            <family val="2"/>
          </rPr>
          <t>Gabriel Rodino:</t>
        </r>
        <r>
          <rPr>
            <sz val="9"/>
            <color indexed="81"/>
            <rFont val="Tahoma"/>
            <family val="2"/>
          </rPr>
          <t xml:space="preserve">
And I think a couple of things. Number one, if you go back to Q1 of last year, Celsius was a negative growth at that point in time year-over-year. I believe Alani in is somewhere between 70% to 75% growth when we acquired them.</t>
        </r>
      </text>
    </comment>
    <comment ref="C11" authorId="0" shapeId="0" xr:uid="{57B4F9F5-2D3E-4257-BB38-053A0648171E}">
      <text>
        <r>
          <rPr>
            <b/>
            <sz val="9"/>
            <color indexed="81"/>
            <rFont val="Tahoma"/>
            <family val="2"/>
          </rPr>
          <t>Gabriel Rodino:</t>
        </r>
        <r>
          <rPr>
            <sz val="9"/>
            <color indexed="81"/>
            <rFont val="Tahoma"/>
            <family val="2"/>
          </rPr>
          <t xml:space="preserve">
And at the same time we’re trying to take one, for example, our top-selling SKU in the low 80s ACV</t>
        </r>
      </text>
    </comment>
    <comment ref="C12" authorId="0" shapeId="0" xr:uid="{B3FBC272-830A-45AD-9679-4FE01AA792C6}">
      <text>
        <r>
          <rPr>
            <b/>
            <sz val="9"/>
            <color indexed="81"/>
            <rFont val="Tahoma"/>
            <family val="2"/>
          </rPr>
          <t>Gabriel Rodino:</t>
        </r>
        <r>
          <rPr>
            <sz val="9"/>
            <color indexed="81"/>
            <rFont val="Tahoma"/>
            <family val="2"/>
          </rPr>
          <t xml:space="preserve">
So what I’d encourage everyone to do is over the next like eight weeks as the data continues to roll out. Take a look at our 10 to 15 SKUs, you’re going to see those continue to go up in ACV, and we’re putting the most productive SKUs out there.</t>
        </r>
      </text>
    </comment>
    <comment ref="C13" authorId="0" shapeId="0" xr:uid="{CBA575D1-B5EA-42AC-8892-19175F87D561}">
      <text>
        <r>
          <rPr>
            <b/>
            <sz val="9"/>
            <color indexed="81"/>
            <rFont val="Tahoma"/>
            <family val="2"/>
          </rPr>
          <t>Gabriel Rodino:</t>
        </r>
        <r>
          <rPr>
            <sz val="9"/>
            <color indexed="81"/>
            <rFont val="Tahoma"/>
            <family val="2"/>
          </rPr>
          <t xml:space="preserve">
We’ve been outpacing the category in singles and in convenience for the last months. Most months, we’re over 20% growth in convenience. That tells me that the brand is doing very well. Essentials? Yes. Sure. Yes. We’d like to see that brand do better. That’s been a little bit of a drag.</t>
        </r>
      </text>
    </comment>
    <comment ref="C14" authorId="0" shapeId="0" xr:uid="{5808E2A4-F31E-4F6F-8F15-6137FED0FE3A}">
      <text>
        <r>
          <rPr>
            <b/>
            <sz val="9"/>
            <color indexed="81"/>
            <rFont val="Tahoma"/>
            <family val="2"/>
          </rPr>
          <t>Gabriel Rodino:</t>
        </r>
        <r>
          <rPr>
            <sz val="9"/>
            <color indexed="81"/>
            <rFont val="Tahoma"/>
            <family val="2"/>
          </rPr>
          <t xml:space="preserve">
We decided to do more of a marketing campaign as well as that cycle those SKUs are ones that are really trying to experience TDP for. We had two flavors that we launched last year that are only about 30% ACV. I would expect to see those go up quite a bit. Peach mango is one of our top-performing SKUs.</t>
        </r>
      </text>
    </comment>
    <comment ref="C15" authorId="0" shapeId="0" xr:uid="{9B699D06-47F5-4E8B-9164-CD4F50D7CC69}">
      <text>
        <r>
          <rPr>
            <b/>
            <sz val="9"/>
            <color indexed="81"/>
            <rFont val="Tahoma"/>
            <family val="2"/>
          </rPr>
          <t>Gabriel Rodino:</t>
        </r>
        <r>
          <rPr>
            <sz val="9"/>
            <color indexed="81"/>
            <rFont val="Tahoma"/>
            <family val="2"/>
          </rPr>
          <t xml:space="preserve">
Now what we did with Spritz Vibe, the first Celsius LTO. Last year was, it was really an opportunity for us to dip our toe in the water, not only for Celsius, but within the Pepsi distribution system before we migrated a line over to Pepsi. We took a lot of key learnings from that.</t>
        </r>
      </text>
    </comment>
    <comment ref="C16" authorId="0" shapeId="0" xr:uid="{17212B57-697C-4031-AE5C-D97CF3D72E4C}">
      <text>
        <r>
          <rPr>
            <b/>
            <sz val="9"/>
            <color indexed="81"/>
            <rFont val="Tahoma"/>
            <family val="2"/>
          </rPr>
          <t>Gabriel Rodino:</t>
        </r>
        <r>
          <rPr>
            <sz val="9"/>
            <color indexed="81"/>
            <rFont val="Tahoma"/>
            <family val="2"/>
          </rPr>
          <t xml:space="preserve">
We want to bring that back full time which is what we did when we migrated over to Pepsi, there was three flavors that were LTOs early last year, Cotton Candy, Sherbet Swirl and Strawberry Sunrise that we relaunched and now Cotton Candy is the top-performing SKU in their portfolio, and it’s only at a 40% ACV. It’s really remarkable, ton of upside left.</t>
        </r>
      </text>
    </comment>
    <comment ref="C17" authorId="0" shapeId="0" xr:uid="{150D4795-B84E-46BF-BEDF-DEAA48077455}">
      <text>
        <r>
          <rPr>
            <b/>
            <sz val="9"/>
            <color indexed="81"/>
            <rFont val="Tahoma"/>
            <family val="2"/>
          </rPr>
          <t>Gabriel Rodino:</t>
        </r>
        <r>
          <rPr>
            <sz val="9"/>
            <color indexed="81"/>
            <rFont val="Tahoma"/>
            <family val="2"/>
          </rPr>
          <t xml:space="preserve">
For us, I would anticipate a similar a number of LTOs for Alani this year. I mean there could be a slight modification, but I would expect something similar. For Celsius, we only had one last year.FINAL TRANSCRIPT 2026-03-11 Celsius Holdings Inc (CELH US Equity) © COPYRIGHT 2026, BLOOMBERG LP. All rights reserved. Any reproduction, redistribution or retransmission is expressly prohibited. Printed on 05-08-2026 Page 9 of 17 There’s going to be multiple for Celsius this year.</t>
        </r>
      </text>
    </comment>
    <comment ref="C18" authorId="0" shapeId="0" xr:uid="{941A2809-A392-45CF-B701-4F5606A7FB05}">
      <text>
        <r>
          <rPr>
            <b/>
            <sz val="9"/>
            <color indexed="81"/>
            <rFont val="Tahoma"/>
            <family val="2"/>
          </rPr>
          <t>Gabriel Rodino:</t>
        </r>
        <r>
          <rPr>
            <sz val="9"/>
            <color indexed="81"/>
            <rFont val="Tahoma"/>
            <family val="2"/>
          </rPr>
          <t xml:space="preserve">
If you had told me last year at the beginning of the year that Celsius has grown 13% scanner in Q4.</t>
        </r>
      </text>
    </comment>
    <comment ref="C19" authorId="0" shapeId="0" xr:uid="{C1FFEACF-0122-4248-B8B4-C83EEEB619D2}">
      <text>
        <r>
          <rPr>
            <b/>
            <sz val="9"/>
            <color indexed="81"/>
            <rFont val="Tahoma"/>
            <family val="2"/>
          </rPr>
          <t>Gabriel Rodino:</t>
        </r>
        <r>
          <rPr>
            <sz val="9"/>
            <color indexed="81"/>
            <rFont val="Tahoma"/>
            <family val="2"/>
          </rPr>
          <t xml:space="preserve">
 I mean there’s a ton of white space there, right? The number two player is 40% international in terms of sales. So we see that as an opportunity. We’re 5%. So tons of white space, we added (inaudible) recently. He’s about four months in. </t>
        </r>
      </text>
    </comment>
    <comment ref="C20" authorId="0" shapeId="0" xr:uid="{0B0E5172-AFAC-49C2-BDAC-E46A8C9B764E}">
      <text>
        <r>
          <rPr>
            <b/>
            <sz val="9"/>
            <color indexed="81"/>
            <rFont val="Tahoma"/>
            <family val="2"/>
          </rPr>
          <t>Gabriel Rodino:</t>
        </r>
        <r>
          <rPr>
            <sz val="9"/>
            <color indexed="81"/>
            <rFont val="Tahoma"/>
            <family val="2"/>
          </rPr>
          <t xml:space="preserve">
So the number one focus obviously integrating these businesses and really getting that 17% shelf space for Celsius and 100-plus percent shelf space for Alani. So we’re staying focused, but there is a huge global opportunity. I think as you look out three to five years, you’ll see much more activity then.</t>
        </r>
      </text>
    </comment>
    <comment ref="C21" authorId="0" shapeId="0" xr:uid="{C2CF21AF-CD91-4370-95F9-F7035B69D302}">
      <text>
        <r>
          <rPr>
            <b/>
            <sz val="9"/>
            <color indexed="81"/>
            <rFont val="Tahoma"/>
            <family val="2"/>
          </rPr>
          <t>Gabriel Rodino:</t>
        </r>
        <r>
          <rPr>
            <sz val="9"/>
            <color indexed="81"/>
            <rFont val="Tahoma"/>
            <family val="2"/>
          </rPr>
          <t xml:space="preserve">
So we’re staying focused, but there is a huge global opportunity. I think as you look out three to five years, you’ll see much more activity then.</t>
        </r>
      </text>
    </comment>
    <comment ref="C22" authorId="0" shapeId="0" xr:uid="{DE25F0EE-9E53-4BA2-823C-DC015ED28D61}">
      <text>
        <r>
          <rPr>
            <b/>
            <sz val="9"/>
            <color indexed="81"/>
            <rFont val="Tahoma"/>
            <family val="2"/>
          </rPr>
          <t>Gabriel Rodino:</t>
        </r>
        <r>
          <rPr>
            <sz val="9"/>
            <color indexed="81"/>
            <rFont val="Tahoma"/>
            <family val="2"/>
          </rPr>
          <t xml:space="preserve">
For Alani Nu, the $25 million that we had net revenue benefit that we saw in Q4, kind of see that as a little bit of a pull forward out of Q1 into Q4. I’ll give you an example of why the Cherry Bomb LTO was a Q1 phenomenon scanner data, sold completely in Q1. We loaded that into the Pepsi system in December.</t>
        </r>
      </text>
    </comment>
    <comment ref="C23" authorId="0" shapeId="0" xr:uid="{671550F0-F471-44A1-9536-57ACC8057D0E}">
      <text>
        <r>
          <rPr>
            <b/>
            <sz val="9"/>
            <color indexed="81"/>
            <rFont val="Tahoma"/>
            <family val="2"/>
          </rPr>
          <t>Gabriel Rodino:</t>
        </r>
        <r>
          <rPr>
            <sz val="9"/>
            <color indexed="81"/>
            <rFont val="Tahoma"/>
            <family val="2"/>
          </rPr>
          <t xml:space="preserve">
nd as distribution ramps up and we head into the summer season, it doesn’t necessarily mean that they’re going to start carrying more days on hand. Days on hand is a function of what’s getting sold through the system and at the retail and we expect for that to hopefully maintain some sort of a linear line instead of having peaks and valleys and we’re doing the best we can to manage that with Pepsi.</t>
        </r>
      </text>
    </comment>
    <comment ref="C24" authorId="0" shapeId="0" xr:uid="{29BD4FD9-61DD-47F2-876E-F932755E1C47}">
      <text>
        <r>
          <rPr>
            <b/>
            <sz val="9"/>
            <color indexed="81"/>
            <rFont val="Tahoma"/>
            <family val="2"/>
          </rPr>
          <t>Gabriel Rodino:</t>
        </r>
        <r>
          <rPr>
            <sz val="9"/>
            <color indexed="81"/>
            <rFont val="Tahoma"/>
            <family val="2"/>
          </rPr>
          <t xml:space="preserve">
 So we’re pulling them fully into our contracts and our supply chain. So the same tactics we use with Celsius will be used with Alani and Rockstar. As we get scale, we will get some savings because of that scale. So that at the moment will have to be used to offset some of the aluminum costs and the tariffs as well.</t>
        </r>
      </text>
    </comment>
    <comment ref="C25" authorId="0" shapeId="0" xr:uid="{24B32B60-7F26-4AAB-B146-CB2729879FEC}">
      <text>
        <r>
          <rPr>
            <b/>
            <sz val="9"/>
            <color indexed="81"/>
            <rFont val="Tahoma"/>
            <family val="2"/>
          </rPr>
          <t>Gabriel Rodino:</t>
        </r>
        <r>
          <rPr>
            <sz val="9"/>
            <color indexed="81"/>
            <rFont val="Tahoma"/>
            <family val="2"/>
          </rPr>
          <t xml:space="preserve">
You don’t want to help the competition. The other things we’re looking at is really setting it up so that Alani is kind of our super premium play Celsius is our premium play and Rockstars kind of what we call a premium economy play.</t>
        </r>
      </text>
    </comment>
    <comment ref="C26" authorId="0" shapeId="0" xr:uid="{6E24B3CA-524C-4813-B565-45D589A8D163}">
      <text>
        <r>
          <rPr>
            <b/>
            <sz val="9"/>
            <color indexed="81"/>
            <rFont val="Tahoma"/>
            <family val="2"/>
          </rPr>
          <t>Gabriel Rodino:</t>
        </r>
        <r>
          <rPr>
            <sz val="9"/>
            <color indexed="81"/>
            <rFont val="Tahoma"/>
            <family val="2"/>
          </rPr>
          <t xml:space="preserve">
So there’s different opportunities from vertical integration cost savings in the COGS line. Then really RGM is a big opportunity for us really with that promotional pack strategy to really drive additional margin get into that mid 50s.</t>
        </r>
      </text>
    </comment>
    <comment ref="C27" authorId="0" shapeId="0" xr:uid="{78235ABA-2419-43BB-A5FC-3155FBDA9440}">
      <text>
        <r>
          <rPr>
            <b/>
            <sz val="9"/>
            <color indexed="81"/>
            <rFont val="Tahoma"/>
            <family val="2"/>
          </rPr>
          <t>Gabriel Rodino:</t>
        </r>
        <r>
          <rPr>
            <sz val="9"/>
            <color indexed="81"/>
            <rFont val="Tahoma"/>
            <family val="2"/>
          </rPr>
          <t xml:space="preserve">
So I think we said a handful of years on the call a couple of weeks ago. There’s a number of tactics and levers that we’ll look to pull. Some of that will depend on what the macro environment is doing. We see additional opportunity in the cost of materials. We see additional opportunity in our freight lanes.</t>
        </r>
      </text>
    </comment>
    <comment ref="C28" authorId="0" shapeId="0" xr:uid="{3F936A35-D7F2-4441-A6AC-7EF9BA429D09}">
      <text>
        <r>
          <rPr>
            <b/>
            <sz val="9"/>
            <color indexed="81"/>
            <rFont val="Tahoma"/>
            <family val="2"/>
          </rPr>
          <t>Gabriel Rodino:</t>
        </r>
        <r>
          <rPr>
            <sz val="9"/>
            <color indexed="81"/>
            <rFont val="Tahoma"/>
            <family val="2"/>
          </rPr>
          <t xml:space="preserve">
So there’s different opportunities from vertical integration cost savings in the COGS line. Then really RGM is a big opportunity for us really with that promotional pack strategy to really drive additional margin get into that mid 50s.</t>
        </r>
      </text>
    </comment>
    <comment ref="C29" authorId="0" shapeId="0" xr:uid="{DAD992D6-CF0D-47F8-AAA6-907CC43A10D3}">
      <text>
        <r>
          <rPr>
            <b/>
            <sz val="9"/>
            <color indexed="81"/>
            <rFont val="Tahoma"/>
            <family val="2"/>
          </rPr>
          <t>Gabriel Rodino:</t>
        </r>
        <r>
          <rPr>
            <sz val="9"/>
            <color indexed="81"/>
            <rFont val="Tahoma"/>
            <family val="2"/>
          </rPr>
          <t xml:space="preserve">
We see additional opportunity in tolling charges with manufacturers. We’ve got a second line that will be going online in the back half of this year, really at Q4 which will give us opportunity to get additional margin.</t>
        </r>
      </text>
    </comment>
    <comment ref="C30" authorId="0" shapeId="0" xr:uid="{C9559890-92C0-4FB9-85D9-CD935E7223F9}">
      <text>
        <r>
          <rPr>
            <b/>
            <sz val="9"/>
            <color indexed="81"/>
            <rFont val="Tahoma"/>
            <family val="2"/>
          </rPr>
          <t>Gabriel Rodino:</t>
        </r>
        <r>
          <rPr>
            <sz val="9"/>
            <color indexed="81"/>
            <rFont val="Tahoma"/>
            <family val="2"/>
          </rPr>
          <t xml:space="preserve">
Yes. Sure. So I think if you look from a sales and market perspective, I wouldn’t expect for us to slow that down. We need to continue to press forward. It’s a big competitive space right now. Obviously you’ve got the two biggest players that invest quite a bit.</t>
        </r>
      </text>
    </comment>
    <comment ref="C31" authorId="0" shapeId="0" xr:uid="{B7646052-B653-438F-8986-973A95122A9C}">
      <text>
        <r>
          <rPr>
            <b/>
            <sz val="9"/>
            <color indexed="81"/>
            <rFont val="Tahoma"/>
            <family val="2"/>
          </rPr>
          <t>Gabriel Rodino:</t>
        </r>
        <r>
          <rPr>
            <sz val="9"/>
            <color indexed="81"/>
            <rFont val="Tahoma"/>
            <family val="2"/>
          </rPr>
          <t xml:space="preserve">
So historically, we’ve been in that 22% to 24% of revenue has been our sales and marketing costs. I’d anticipate it probably being in the same neighborhood in the near future. We’re going to invest in more people on the sales front.</t>
        </r>
      </text>
    </comment>
    <comment ref="C32" authorId="0" shapeId="0" xr:uid="{4942452D-CB89-4C52-B321-33113E6B9140}">
      <text>
        <r>
          <rPr>
            <b/>
            <sz val="9"/>
            <color indexed="81"/>
            <rFont val="Tahoma"/>
            <family val="2"/>
          </rPr>
          <t>Gabriel Rodino:</t>
        </r>
        <r>
          <rPr>
            <sz val="9"/>
            <color indexed="81"/>
            <rFont val="Tahoma"/>
            <family val="2"/>
          </rPr>
          <t xml:space="preserve">
International is an opportunity as well to continue to invest in that? Do we turn that on a little more as we bring Garrett on and as we’ve scaled our team in Dublin, where we’ve got basically a supply chain built out and really international or global leads from a sales and marketing perspective.</t>
        </r>
      </text>
    </comment>
    <comment ref="C33" authorId="0" shapeId="0" xr:uid="{498D2733-A2EE-42B7-B1C2-7E39882CC467}">
      <text>
        <r>
          <rPr>
            <b/>
            <sz val="9"/>
            <color indexed="81"/>
            <rFont val="Tahoma"/>
            <family val="2"/>
          </rPr>
          <t>Gabriel Rodino:</t>
        </r>
        <r>
          <rPr>
            <sz val="9"/>
            <color indexed="81"/>
            <rFont val="Tahoma"/>
            <family val="2"/>
          </rPr>
          <t xml:space="preserve">
We also got the debt pay about $700 million in debt that will look to continue to pay down. Then we’ve got a share buyback program. We’ve got $40 million we spent back in Q4. SoFINAL TRANSCRIPT 2026-03-11 Celsius Holdings Inc (CELH US Equity) © COPYRIGHT 2026, BLOOMBERG LP. All rights reserved. Any reproduction, redistribution or retransmission is expressly prohibited. Printed on 05-08-2026 Page 16 of 17 we had $260 million left on that to continue to work on. So those will kind of be the top three.</t>
        </r>
      </text>
    </comment>
    <comment ref="C40" authorId="0" shapeId="0" xr:uid="{19601144-CC37-4392-B551-1DB11AE26DA3}">
      <text>
        <r>
          <rPr>
            <b/>
            <sz val="9"/>
            <color indexed="81"/>
            <rFont val="Tahoma"/>
            <family val="2"/>
          </rPr>
          <t>Gabriel Rodino:</t>
        </r>
        <r>
          <rPr>
            <sz val="9"/>
            <color indexed="81"/>
            <rFont val="Tahoma"/>
            <family val="2"/>
          </rPr>
          <t xml:space="preserve">
With Rockstar, we are progressing through the remaining integration steps and staying focused on the work required to fully bring the brand into our operating model. We are executing against a clear plan and remain on track to complete the integration in the first half of 2026.</t>
        </r>
      </text>
    </comment>
    <comment ref="C41" authorId="0" shapeId="0" xr:uid="{5F586453-19B9-48AE-9E29-D20BA561717F}">
      <text>
        <r>
          <rPr>
            <b/>
            <sz val="9"/>
            <color indexed="81"/>
            <rFont val="Tahoma"/>
            <family val="2"/>
          </rPr>
          <t>Gabriel Rodino:</t>
        </r>
        <r>
          <rPr>
            <sz val="9"/>
            <color indexed="81"/>
            <rFont val="Tahoma"/>
            <family val="2"/>
          </rPr>
          <t xml:space="preserve">
We kicked off 2026 by making our Fizz Free line available nationally, and we see a meaningful opportunity as near as many consumers that prefer beverages without carbonation or like the optionality of Fizz or Fizz Free.</t>
        </r>
      </text>
    </comment>
    <comment ref="C42" authorId="0" shapeId="0" xr:uid="{0DFD1E38-AFB0-4514-AE82-900DB32502D0}">
      <text>
        <r>
          <rPr>
            <b/>
            <sz val="9"/>
            <color indexed="81"/>
            <rFont val="Tahoma"/>
            <family val="2"/>
          </rPr>
          <t>Gabriel Rodino:</t>
        </r>
        <r>
          <rPr>
            <sz val="9"/>
            <color indexed="81"/>
            <rFont val="Tahoma"/>
            <family val="2"/>
          </rPr>
          <t xml:space="preserve">
Across 2026, you will see a more intentional innovation and a limited-time offer cadence, supported by broader distribution and strong end-market execution. For Alani, that also includes expanding distribution of the core SKUs as we complete the transition into the PepsiCo system. International represents a meaningful long-term growth opportunity for us. Today, we are present in approximately 10 markets</t>
        </r>
      </text>
    </comment>
    <comment ref="C43" authorId="0" shapeId="0" xr:uid="{1B36FE15-C996-4C4F-9C99-5DC2C61550A2}">
      <text>
        <r>
          <rPr>
            <b/>
            <sz val="9"/>
            <color indexed="81"/>
            <rFont val="Tahoma"/>
            <family val="2"/>
          </rPr>
          <t>Gabriel Rodino:</t>
        </r>
        <r>
          <rPr>
            <sz val="9"/>
            <color indexed="81"/>
            <rFont val="Tahoma"/>
            <family val="2"/>
          </rPr>
          <t xml:space="preserve">
As global consumer behaviors continue to shift towards zero-sugar, functional energy that fits into daily routines, we believe our portfolio is well-positioned to participate in that structural growth.</t>
        </r>
      </text>
    </comment>
    <comment ref="C44" authorId="0" shapeId="0" xr:uid="{9A62E20A-169F-4057-AC9D-1445442EFE53}">
      <text>
        <r>
          <rPr>
            <b/>
            <sz val="9"/>
            <color indexed="81"/>
            <rFont val="Tahoma"/>
            <family val="2"/>
          </rPr>
          <t>Gabriel Rodino:</t>
        </r>
        <r>
          <rPr>
            <sz val="9"/>
            <color indexed="81"/>
            <rFont val="Tahoma"/>
            <family val="2"/>
          </rPr>
          <t xml:space="preserve">
s integrations progress and ongoing initiatives take hold, we expect margins to expand across 2026 and return to a more normalized profile with gross margins in the low-50s, driven by savings across raw materials, scrap, manufacturing tolling fees, freight, and package and brand mix, offset in part by tariffs and aluminum costs.</t>
        </r>
      </text>
    </comment>
    <comment ref="C45" authorId="0" shapeId="0" xr:uid="{2B0CDDC9-87F5-4029-9C2E-2819CD79AEFC}">
      <text>
        <r>
          <rPr>
            <b/>
            <sz val="9"/>
            <color indexed="81"/>
            <rFont val="Tahoma"/>
            <family val="2"/>
          </rPr>
          <t>Gabriel Rodino:</t>
        </r>
        <r>
          <rPr>
            <sz val="9"/>
            <color indexed="81"/>
            <rFont val="Tahoma"/>
            <family val="2"/>
          </rPr>
          <t xml:space="preserve">
But I will say when you look at Alani and the opportunity, and you look at the category, this category has extremely strong growth. And although Alani will not likely be replacing brands, the category is expanding.</t>
        </r>
      </text>
    </comment>
    <comment ref="C46" authorId="0" shapeId="0" xr:uid="{C6F125E2-CFA5-4C48-A423-0CDD1159DABE}">
      <text>
        <r>
          <rPr>
            <b/>
            <sz val="9"/>
            <color indexed="81"/>
            <rFont val="Tahoma"/>
            <family val="2"/>
          </rPr>
          <t>Gabriel Rodino:</t>
        </r>
        <r>
          <rPr>
            <sz val="9"/>
            <color indexed="81"/>
            <rFont val="Tahoma"/>
            <family val="2"/>
          </rPr>
          <t xml:space="preserve">
 So I think our target for this year is to get back to the more normalized low-50s. In terms of the opportunity, we do see our ability to move up into the mid-50s like you noted. </t>
        </r>
      </text>
    </comment>
    <comment ref="C47" authorId="0" shapeId="0" xr:uid="{085C6FAF-4B3D-4168-AFDD-FD3B4C3E6165}">
      <text>
        <r>
          <rPr>
            <b/>
            <sz val="9"/>
            <color indexed="81"/>
            <rFont val="Tahoma"/>
            <family val="2"/>
          </rPr>
          <t>Gabriel Rodino:</t>
        </r>
        <r>
          <rPr>
            <sz val="9"/>
            <color indexed="81"/>
            <rFont val="Tahoma"/>
            <family val="2"/>
          </rPr>
          <t xml:space="preserve">
Some of the things that are going to drive our benefit in order to get back, call it, from the 47.4% that we sat in Q4 and work our way to the low-50s are really getting the cost of sales or the COGS, the raw material prices in line with what you see with brand CELSIUS. So we are working through that with Alani, and with Rockstar, we're a bit ahead on Alani. So we should have that cost structure in place by the end of Q1. For Rockstar, we should have that in place by the end of Q2.</t>
        </r>
      </text>
    </comment>
    <comment ref="C48" authorId="0" shapeId="0" xr:uid="{C5EE95F3-52CF-48EF-8D66-3FB37745ECE2}">
      <text>
        <r>
          <rPr>
            <b/>
            <sz val="9"/>
            <color indexed="81"/>
            <rFont val="Tahoma"/>
            <family val="2"/>
          </rPr>
          <t>Gabriel Rodino:</t>
        </r>
        <r>
          <rPr>
            <sz val="9"/>
            <color indexed="81"/>
            <rFont val="Tahoma"/>
            <family val="2"/>
          </rPr>
          <t xml:space="preserve">
And we're starting to see, as in CAGNY, we're talking about the evolution of a category, expanding day parts, expanding usage occasions. A big opportunity is social occasions with energy drinks, as we're seeing alcohol and liquor come into some challenges and headwinds. And what we're seeing is consumers are switching to energy drinks to -- as a replacement. And that's a huge opportunity with our CELSIUS Mocktails and Dirty Alani's that we have out there. So that's a big push for us as well to continue to bring excitement and new consumers, new occasions in.</t>
        </r>
      </text>
    </comment>
    <comment ref="C49" authorId="0" shapeId="0" xr:uid="{430614ED-5F58-4ADB-9699-7C6A6B7466E9}">
      <text>
        <r>
          <rPr>
            <b/>
            <sz val="9"/>
            <color indexed="81"/>
            <rFont val="Tahoma"/>
            <family val="2"/>
          </rPr>
          <t>Gabriel Rodino:</t>
        </r>
        <r>
          <rPr>
            <sz val="9"/>
            <color indexed="81"/>
            <rFont val="Tahoma"/>
            <family val="2"/>
          </rPr>
          <t xml:space="preserve">
When you look at the SKU prioritization, that's the beauty of a portfolio. We're able to really maximize the value of the portfolio now with CELSIUS, Alani, and Rockstar, making sure we're maximizing the SKUs and really for the channel and also for a regional basis. So that's going to allow us to put the fastest turning SKUs on in the coolers, in the planograms. The space allocations are also that we're seeing with resets, 17% with CELSIUS and over 100% with Alani is allowing us not only getting additional slots and distribution and more flavors and availability in retail, but also additional points of disruption. And having that path to purchase is so important, those cold checkouts, the impulse purchases, the expanded shelf space, and the dry sets1</t>
        </r>
      </text>
    </comment>
    <comment ref="C50" authorId="0" shapeId="0" xr:uid="{0A514CA6-F378-430B-A584-874BBA6ED11C}">
      <text>
        <r>
          <rPr>
            <b/>
            <sz val="9"/>
            <color indexed="81"/>
            <rFont val="Tahoma"/>
            <family val="2"/>
          </rPr>
          <t>Gabriel Rodino:</t>
        </r>
        <r>
          <rPr>
            <sz val="9"/>
            <color indexed="81"/>
            <rFont val="Tahoma"/>
            <family val="2"/>
          </rPr>
          <t xml:space="preserve">
We're focused on velocity with some of our marketing strategies. Jarrod mentioned lime slush, just hitting within our LTO strategy.</t>
        </r>
      </text>
    </comment>
    <comment ref="C51" authorId="0" shapeId="0" xr:uid="{796BDC7F-9ECF-4254-BDD7-03ABE192EE4E}">
      <text>
        <r>
          <rPr>
            <b/>
            <sz val="9"/>
            <color indexed="81"/>
            <rFont val="Tahoma"/>
            <family val="2"/>
          </rPr>
          <t>Gabriel Rodino:</t>
        </r>
        <r>
          <rPr>
            <sz val="9"/>
            <color indexed="81"/>
            <rFont val="Tahoma"/>
            <family val="2"/>
          </rPr>
          <t xml:space="preserve">
Historically, it's been an impulse purchase, and convenience has been a main driver of that, over 60% of sales. But if you look at large format, when you look at the space gains we saw over the last two years, we expect anticipated space gains in large format as they can capture a larger share of that -- of those energy drink sales that will continue to grow. So seeing a variety of different retailers react differently, but money and convenience, we're hearing cooler doors within the beer category getting a little optimized there.</t>
        </r>
      </text>
    </comment>
    <comment ref="C52" authorId="0" shapeId="0" xr:uid="{FE5E91FF-9FFF-4121-9A7A-80FEAA05FB05}">
      <text>
        <r>
          <rPr>
            <b/>
            <sz val="9"/>
            <color indexed="81"/>
            <rFont val="Tahoma"/>
            <family val="2"/>
          </rPr>
          <t>Gabriel Rodino:</t>
        </r>
        <r>
          <rPr>
            <sz val="9"/>
            <color indexed="81"/>
            <rFont val="Tahoma"/>
            <family val="2"/>
          </rPr>
          <t xml:space="preserve">
In terms of pull-through, I do think we saw opportunity to load in even more of Alani with the ability of the Pepsi distribution system and really how quickly they were able to get Alani out from an ACV perspective across the shelf. So I think there was -- I would call that more of an opportunity than a load-in that we took advantage of, and you saw coming out of the gate with the triple-digit growth that Alani has hit pretty quickly, and we continue to see that expand.</t>
        </r>
      </text>
    </comment>
    <comment ref="C53" authorId="0" shapeId="0" xr:uid="{3255A365-E0FF-436A-A00D-E5A16B711BDF}">
      <text>
        <r>
          <rPr>
            <b/>
            <sz val="9"/>
            <color indexed="81"/>
            <rFont val="Tahoma"/>
            <family val="2"/>
          </rPr>
          <t>Gabriel Rodino:</t>
        </r>
        <r>
          <rPr>
            <sz val="9"/>
            <color indexed="81"/>
            <rFont val="Tahoma"/>
            <family val="2"/>
          </rPr>
          <t xml:space="preserve">
So that's what really allowed Alani to gain some of that -- the large distribution gains as well. Also, the consumer dynamics have changed as I mentioned, the usage occasions have expanded, more females are coming into the category, and increasing consumption.</t>
        </r>
      </text>
    </comment>
    <comment ref="D59" authorId="0" shapeId="0" xr:uid="{8ED7A8DF-F8FE-41C2-A3D0-A67B3B33FF28}">
      <text>
        <r>
          <rPr>
            <b/>
            <sz val="9"/>
            <color indexed="81"/>
            <rFont val="Tahoma"/>
            <family val="2"/>
          </rPr>
          <t>Gabriel Rodino:</t>
        </r>
        <r>
          <rPr>
            <sz val="9"/>
            <color indexed="81"/>
            <rFont val="Tahoma"/>
            <family val="2"/>
          </rPr>
          <t xml:space="preserve">
For the quarter, $45 million was recorded within net sales, and an additional $6 million was recorded in other income.
</t>
        </r>
      </text>
    </comment>
    <comment ref="E59" authorId="0" shapeId="0" xr:uid="{7C63D752-EACB-4AFB-A43D-81141534412B}">
      <text>
        <r>
          <rPr>
            <b/>
            <sz val="9"/>
            <color indexed="81"/>
            <rFont val="Tahoma"/>
            <family val="2"/>
          </rPr>
          <t>Gabriel Rodino:</t>
        </r>
        <r>
          <rPr>
            <sz val="9"/>
            <color indexed="81"/>
            <rFont val="Tahoma"/>
            <family val="2"/>
          </rPr>
          <t xml:space="preserve">
On a full year basis, we recorded $56 million in net sales for Rockstar and an additional $13 million in other income. </t>
        </r>
      </text>
    </comment>
    <comment ref="D60" authorId="0" shapeId="0" xr:uid="{C425C4BA-2941-433D-A079-5E854C2D5110}">
      <text>
        <r>
          <rPr>
            <b/>
            <sz val="9"/>
            <color indexed="81"/>
            <rFont val="Tahoma"/>
            <family val="2"/>
          </rPr>
          <t>Gabriel Rodino:</t>
        </r>
        <r>
          <rPr>
            <sz val="9"/>
            <color indexed="81"/>
            <rFont val="Tahoma"/>
            <family val="2"/>
          </rPr>
          <t xml:space="preserve">
For the quarter, $45 million was recorded within net sales, and an additional $6 million was recorded in other income.</t>
        </r>
      </text>
    </comment>
    <comment ref="E60" authorId="0" shapeId="0" xr:uid="{D66080EE-92B2-4E21-A40D-8F328BF3953B}">
      <text>
        <r>
          <rPr>
            <b/>
            <sz val="9"/>
            <color indexed="81"/>
            <rFont val="Tahoma"/>
            <family val="2"/>
          </rPr>
          <t>Gabriel Rodino:</t>
        </r>
        <r>
          <rPr>
            <sz val="9"/>
            <color indexed="81"/>
            <rFont val="Tahoma"/>
            <family val="2"/>
          </rPr>
          <t xml:space="preserve">
On a full year basis, we recorded $56 million in net sales for Rockstar and an additional $13 million in other income. </t>
        </r>
      </text>
    </comment>
    <comment ref="E63" authorId="0" shapeId="0" xr:uid="{11DD3BBA-BFAA-4BD7-BD7B-807E762144B6}">
      <text>
        <r>
          <rPr>
            <b/>
            <sz val="9"/>
            <color indexed="81"/>
            <rFont val="Tahoma"/>
            <family val="2"/>
          </rPr>
          <t>Gabriel Rodino:</t>
        </r>
        <r>
          <rPr>
            <sz val="9"/>
            <color indexed="81"/>
            <rFont val="Tahoma"/>
            <family val="2"/>
          </rPr>
          <t xml:space="preserve">
Turning to Alani Nu, during the fourth quarter, Alani achieved record net sales of $370 million, benefiting from significant ongoing customer demand, increased distribution points, and increased orders as we move the business out of its prior distribution system into the PepsiCo distribution system. On a pro forma basis, that would equate to growth of 136% for the quarter compared to the prior year. </t>
        </r>
      </text>
    </comment>
    <comment ref="E64" authorId="0" shapeId="0" xr:uid="{F2BA20F5-0FEB-4AED-8C06-B5B9AFD1958D}">
      <text>
        <r>
          <rPr>
            <b/>
            <sz val="9"/>
            <color indexed="81"/>
            <rFont val="Tahoma"/>
            <family val="2"/>
          </rPr>
          <t>Gabriel Rodino:</t>
        </r>
        <r>
          <rPr>
            <sz val="9"/>
            <color indexed="81"/>
            <rFont val="Tahoma"/>
            <family val="2"/>
          </rPr>
          <t xml:space="preserve">
Turning to Alani Nu, during the fourth quarter, Alani achieved record net sales of $370 million, benefiting from significant ongoing customer demand, increased distribution points, and increased orders as we move the business out of its prior distribution system into the PepsiCo distribution system. On a pro forma basis, that would equate to growth of 136% for the quarter compared to the prior year. </t>
        </r>
      </text>
    </comment>
    <comment ref="D68" authorId="0" shapeId="0" xr:uid="{20848353-45C9-44D9-ACD6-575A79FFBBDC}">
      <text>
        <r>
          <rPr>
            <b/>
            <sz val="9"/>
            <color indexed="81"/>
            <rFont val="Tahoma"/>
            <family val="2"/>
          </rPr>
          <t>Gabriel Rodino:</t>
        </r>
        <r>
          <rPr>
            <sz val="9"/>
            <color indexed="81"/>
            <rFont val="Tahoma"/>
            <family val="2"/>
          </rPr>
          <t xml:space="preserve">
s a result, scanner data is a healthy 12.8% for the quarter, while underlying GAAP sales for CELSIUS showed a 7.7% decline due to the timing activities noted.</t>
        </r>
      </text>
    </comment>
    <comment ref="D69" authorId="0" shapeId="0" xr:uid="{68BDE3FE-64AC-4E95-A4FE-D9FBB42EC628}">
      <text>
        <r>
          <rPr>
            <b/>
            <sz val="9"/>
            <color indexed="81"/>
            <rFont val="Tahoma"/>
            <family val="2"/>
          </rPr>
          <t>Gabriel Rodino:</t>
        </r>
        <r>
          <rPr>
            <sz val="9"/>
            <color indexed="81"/>
            <rFont val="Tahoma"/>
            <family val="2"/>
          </rPr>
          <t xml:space="preserve">
s a result, scanner data is a healthy 12.8% for the quarter, while underlying GAAP sales for CELSIUS showed a 7.7% decline due to the timing activities noted.</t>
        </r>
      </text>
    </comment>
    <comment ref="D71" authorId="0" shapeId="0" xr:uid="{095836C4-F8EF-48EA-B38B-4E61094B709B}">
      <text>
        <r>
          <rPr>
            <b/>
            <sz val="9"/>
            <color indexed="81"/>
            <rFont val="Tahoma"/>
            <family val="2"/>
          </rPr>
          <t>Gabriel Rodino:</t>
        </r>
        <r>
          <rPr>
            <sz val="9"/>
            <color indexed="81"/>
            <rFont val="Tahoma"/>
            <family val="2"/>
          </rPr>
          <t xml:space="preserve">
When combining brand CELSIUS inventory movements with the Alani load-in, the company had a net benefit of approximately $25 million.</t>
        </r>
      </text>
    </comment>
    <comment ref="E74" authorId="0" shapeId="0" xr:uid="{01E26322-F465-403B-AA63-69921E171330}">
      <text>
        <r>
          <rPr>
            <b/>
            <sz val="9"/>
            <color indexed="81"/>
            <rFont val="Tahoma"/>
            <family val="2"/>
          </rPr>
          <t>Gabriel Rodino:</t>
        </r>
        <r>
          <rPr>
            <sz val="9"/>
            <color indexed="81"/>
            <rFont val="Tahoma"/>
            <family val="2"/>
          </rPr>
          <t xml:space="preserve">
As a result, for the full year, brand CELSIUS delivered $1.46 billion of net sales, growing 7.5% year-over-year. </t>
        </r>
      </text>
    </comment>
    <comment ref="E75" authorId="0" shapeId="0" xr:uid="{FCDEF91B-FE23-4B80-BD14-78EE9F9A4DA1}">
      <text>
        <r>
          <rPr>
            <b/>
            <sz val="9"/>
            <color indexed="81"/>
            <rFont val="Tahoma"/>
            <family val="2"/>
          </rPr>
          <t>Gabriel Rodino:</t>
        </r>
        <r>
          <rPr>
            <sz val="9"/>
            <color indexed="81"/>
            <rFont val="Tahoma"/>
            <family val="2"/>
          </rPr>
          <t xml:space="preserve">
As a result, for the full year, brand CELSIUS delivered $1.46 billion of net sales, growing 7.5% year-over-year. </t>
        </r>
      </text>
    </comment>
    <comment ref="D78" authorId="0" shapeId="0" xr:uid="{E8C41D5B-8007-4C18-8886-BE294CD85867}">
      <text>
        <r>
          <rPr>
            <b/>
            <sz val="9"/>
            <color indexed="81"/>
            <rFont val="Tahoma"/>
            <family val="2"/>
          </rPr>
          <t>Gabriel Rodino:</t>
        </r>
        <r>
          <rPr>
            <sz val="9"/>
            <color indexed="81"/>
            <rFont val="Tahoma"/>
            <family val="2"/>
          </rPr>
          <t xml:space="preserve">
Sales and marketing expense in the fourth quarter was $249.2 million, or 34.5% of sales, and administrative expense was $66.6 million</t>
        </r>
      </text>
    </comment>
    <comment ref="E78" authorId="0" shapeId="0" xr:uid="{5C43F227-A3C6-4DB1-AF06-E6918EEFDC3E}">
      <text>
        <r>
          <rPr>
            <b/>
            <sz val="9"/>
            <color indexed="81"/>
            <rFont val="Tahoma"/>
            <family val="2"/>
          </rPr>
          <t>Gabriel Rodino:</t>
        </r>
        <r>
          <rPr>
            <sz val="9"/>
            <color indexed="81"/>
            <rFont val="Tahoma"/>
            <family val="2"/>
          </rPr>
          <t xml:space="preserve">
For the full year, sales and marketing expense was $876.3 million, or 34.8% of sales, and administrative expense was $250 million, or 9.9% of sales. Adjusted for distributor termination and integration costs of $327.5 million,</t>
        </r>
      </text>
    </comment>
    <comment ref="D79" authorId="0" shapeId="0" xr:uid="{36043AC1-64FE-4EF6-B1E9-521E44EBA028}">
      <text>
        <r>
          <rPr>
            <b/>
            <sz val="9"/>
            <color indexed="81"/>
            <rFont val="Tahoma"/>
            <family val="2"/>
          </rPr>
          <t>Gabriel Rodino:</t>
        </r>
        <r>
          <rPr>
            <sz val="9"/>
            <color indexed="81"/>
            <rFont val="Tahoma"/>
            <family val="2"/>
          </rPr>
          <t xml:space="preserve">
Adjusted for distributor termination and integration costs of $81 million, sales and marketing expense in the fourth quarter was 23.3% of sales and administrative expense was 8.5% of sales, when adjusting for $5 million in acquisition and integration costs.</t>
        </r>
      </text>
    </comment>
    <comment ref="E79" authorId="0" shapeId="0" xr:uid="{99EB6877-2B96-4C85-8716-A760F88C3D38}">
      <text>
        <r>
          <rPr>
            <b/>
            <sz val="9"/>
            <color indexed="81"/>
            <rFont val="Tahoma"/>
            <family val="2"/>
          </rPr>
          <t>Gabriel Rodino:</t>
        </r>
        <r>
          <rPr>
            <sz val="9"/>
            <color indexed="81"/>
            <rFont val="Tahoma"/>
            <family val="2"/>
          </rPr>
          <t xml:space="preserve">
For the full year, sales and marketing expense was $876.3 million, or 34.8% of sales, and administrative expense was $250 million, or 9.9% of sales. Adjusted for distributor termination and integration costs of $327.5 million,</t>
        </r>
      </text>
    </comment>
    <comment ref="D83" authorId="0" shapeId="0" xr:uid="{A13A9ECE-138A-4394-B1F3-FA5FF7A0B023}">
      <text>
        <r>
          <rPr>
            <b/>
            <sz val="9"/>
            <color indexed="81"/>
            <rFont val="Tahoma"/>
            <family val="2"/>
          </rPr>
          <t>Gabriel Rodino:</t>
        </r>
        <r>
          <rPr>
            <sz val="9"/>
            <color indexed="81"/>
            <rFont val="Tahoma"/>
            <family val="2"/>
          </rPr>
          <t xml:space="preserve">
Sales and marketing expense in the fourth quarter was $249.2 million, or 34.5% of sales, and administrative expense was $66.6 million</t>
        </r>
      </text>
    </comment>
    <comment ref="E83" authorId="0" shapeId="0" xr:uid="{ACA3024A-0508-4887-94C7-9C1E64EFBF89}">
      <text>
        <r>
          <rPr>
            <b/>
            <sz val="9"/>
            <color indexed="81"/>
            <rFont val="Tahoma"/>
            <family val="2"/>
          </rPr>
          <t>Gabriel Rodino:</t>
        </r>
        <r>
          <rPr>
            <sz val="9"/>
            <color indexed="81"/>
            <rFont val="Tahoma"/>
            <family val="2"/>
          </rPr>
          <t xml:space="preserve">
 For the full year, sales and marketing expense was $876.3 million, or 34.8% of sales, and administrative expense was $250 million,</t>
        </r>
      </text>
    </comment>
    <comment ref="D84" authorId="0" shapeId="0" xr:uid="{5ACE0458-02F8-4052-86E8-E06F14D30D85}">
      <text>
        <r>
          <rPr>
            <b/>
            <sz val="9"/>
            <color indexed="81"/>
            <rFont val="Tahoma"/>
            <family val="2"/>
          </rPr>
          <t>Gabriel Rodino:</t>
        </r>
        <r>
          <rPr>
            <sz val="9"/>
            <color indexed="81"/>
            <rFont val="Tahoma"/>
            <family val="2"/>
          </rPr>
          <t xml:space="preserve">
Adjusted for distributor termination and integration costs of $81 million, sales and marketing expense in the fourth quarter was 23.3% of sales and administrative expense was 8.5% of sales, when adjusting for $5 million in acquisition and integration costs.</t>
        </r>
      </text>
    </comment>
    <comment ref="E84" authorId="0" shapeId="0" xr:uid="{45869F31-2FA2-4B63-BAF9-BB55DFDED40D}">
      <text>
        <r>
          <rPr>
            <b/>
            <sz val="9"/>
            <color indexed="81"/>
            <rFont val="Tahoma"/>
            <family val="2"/>
          </rPr>
          <t>Gabriel Rodino:</t>
        </r>
        <r>
          <rPr>
            <sz val="9"/>
            <color indexed="81"/>
            <rFont val="Tahoma"/>
            <family val="2"/>
          </rPr>
          <t xml:space="preserve">
the full year sales and marketing expense was 21.8% of sales and administrative expense was 7.5% of sales, when adjusting for $60.2 million of acquisition and integration and other costs</t>
        </r>
      </text>
    </comment>
    <comment ref="D88" authorId="0" shapeId="0" xr:uid="{482AE68C-3F03-44D2-9FF1-D3C57AABB511}">
      <text>
        <r>
          <rPr>
            <b/>
            <sz val="9"/>
            <color indexed="81"/>
            <rFont val="Tahoma"/>
            <family val="2"/>
          </rPr>
          <t>Gabriel Rodino:</t>
        </r>
        <r>
          <rPr>
            <sz val="9"/>
            <color indexed="81"/>
            <rFont val="Tahoma"/>
            <family val="2"/>
          </rPr>
          <t xml:space="preserve">
On a non-GAAP basis, adjusted EBITDA was $134.1 million, up from $62.9 million in the prior year period</t>
        </r>
      </text>
    </comment>
    <comment ref="E88" authorId="0" shapeId="0" xr:uid="{CE71ADCD-3FAE-4C40-A06E-1AC124206385}">
      <text>
        <r>
          <rPr>
            <b/>
            <sz val="9"/>
            <color indexed="81"/>
            <rFont val="Tahoma"/>
            <family val="2"/>
          </rPr>
          <t>Gabriel Rodino:</t>
        </r>
        <r>
          <rPr>
            <sz val="9"/>
            <color indexed="81"/>
            <rFont val="Tahoma"/>
            <family val="2"/>
          </rPr>
          <t xml:space="preserve">
On a non-GAAP basis, adjusted EBITDA was $134.1 million, up from $62.9 million in the prior year period</t>
        </r>
      </text>
    </comment>
    <comment ref="F88" authorId="0" shapeId="0" xr:uid="{5FBFCC64-83C2-43D4-8BEE-550A1A024CFE}">
      <text>
        <r>
          <rPr>
            <b/>
            <sz val="9"/>
            <color indexed="81"/>
            <rFont val="Tahoma"/>
            <family val="2"/>
          </rPr>
          <t>Gabriel Rodino:</t>
        </r>
        <r>
          <rPr>
            <sz val="9"/>
            <color indexed="81"/>
            <rFont val="Tahoma"/>
            <family val="2"/>
          </rPr>
          <t xml:space="preserve">
For the full year, on a GAAP basis, we reported net income of $108 million, and adjusted EBITDA was $619.6 million</t>
        </r>
      </text>
    </comment>
    <comment ref="D90" authorId="0" shapeId="0" xr:uid="{B3FC3498-F853-4D0C-AFDA-085899925061}">
      <text>
        <r>
          <rPr>
            <b/>
            <sz val="9"/>
            <color indexed="81"/>
            <rFont val="Tahoma"/>
            <family val="2"/>
          </rPr>
          <t>Gabriel Rodino:</t>
        </r>
        <r>
          <rPr>
            <sz val="9"/>
            <color indexed="81"/>
            <rFont val="Tahoma"/>
            <family val="2"/>
          </rPr>
          <t xml:space="preserve">
And as John mentioned, as a proof point, we're picking up roughly 17% additional space with brand CELSIUS in '26</t>
        </r>
      </text>
    </comment>
    <comment ref="D91" authorId="0" shapeId="0" xr:uid="{90C77407-60CC-4433-9090-3CD61F9E743E}">
      <text>
        <r>
          <rPr>
            <b/>
            <sz val="9"/>
            <color indexed="81"/>
            <rFont val="Tahoma"/>
            <family val="2"/>
          </rPr>
          <t>Gabriel Rodino:</t>
        </r>
        <r>
          <rPr>
            <sz val="9"/>
            <color indexed="81"/>
            <rFont val="Tahoma"/>
            <family val="2"/>
          </rPr>
          <t xml:space="preserve">
And then, John, just going back to the shelf space growth that you're expecting for Alani this year. Is there a way for you to broadly contextualize that in terms of what we saw for core CELSIUS back in 2022 when that brand transitioned? I understand that back then, CELSIUS had been benefiting in part from lost shelf space from Bang. But yeah, just curious if you could provide your thoughts on how we should view that 102%</t>
        </r>
      </text>
    </comment>
    <comment ref="D99" authorId="0" shapeId="0" xr:uid="{9562BF9B-3F79-45AA-B1C5-D06BFCC0C23F}">
      <text>
        <r>
          <rPr>
            <b/>
            <sz val="9"/>
            <color indexed="81"/>
            <rFont val="Tahoma"/>
            <family val="2"/>
          </rPr>
          <t>Gabriel Rodino:</t>
        </r>
        <r>
          <rPr>
            <sz val="9"/>
            <color indexed="81"/>
            <rFont val="Tahoma"/>
            <family val="2"/>
          </rPr>
          <t xml:space="preserve">
April with portfolio dollar share reaching 20.9% in the four weeks ending April 12.</t>
        </r>
      </text>
    </comment>
    <comment ref="D101" authorId="0" shapeId="0" xr:uid="{25494383-74CB-4C45-B44A-FD3ABA3FE267}">
      <text>
        <r>
          <rPr>
            <b/>
            <sz val="9"/>
            <color indexed="81"/>
            <rFont val="Tahoma"/>
            <family val="2"/>
          </rPr>
          <t>Gabriel Rodino:</t>
        </r>
        <r>
          <rPr>
            <sz val="9"/>
            <color indexed="81"/>
            <rFont val="Tahoma"/>
            <family val="2"/>
          </rPr>
          <t xml:space="preserve">
Our combined portfolio represents approximately one-fifth of the US energy drink market in tracked channels. </t>
        </r>
      </text>
    </comment>
    <comment ref="D103" authorId="0" shapeId="0" xr:uid="{23D925DB-CE80-438C-A691-3A7BFE173575}">
      <text>
        <r>
          <rPr>
            <b/>
            <sz val="9"/>
            <color indexed="81"/>
            <rFont val="Tahoma"/>
            <family val="2"/>
          </rPr>
          <t>Gabriel Rodino:</t>
        </r>
        <r>
          <rPr>
            <sz val="9"/>
            <color indexed="81"/>
            <rFont val="Tahoma"/>
            <family val="2"/>
          </rPr>
          <t xml:space="preserve">
Starting with Alani Nu, we completed the integration and we have captured the approximately $50 million in synergies we outlined at our modeling call last May. </t>
        </r>
      </text>
    </comment>
    <comment ref="C105" authorId="0" shapeId="0" xr:uid="{B1292060-0E91-40A1-925A-C15BE261AADB}">
      <text>
        <r>
          <rPr>
            <b/>
            <sz val="9"/>
            <color indexed="81"/>
            <rFont val="Tahoma"/>
            <family val="2"/>
          </rPr>
          <t>Gabriel Rodino:</t>
        </r>
        <r>
          <rPr>
            <sz val="9"/>
            <color indexed="81"/>
            <rFont val="Tahoma"/>
            <family val="2"/>
          </rPr>
          <t xml:space="preserve">
We also made substantial progress on the Alani Nu distribution transition with the majority of the work completed across December and January.</t>
        </r>
      </text>
    </comment>
    <comment ref="C106" authorId="0" shapeId="0" xr:uid="{A327F3FE-A7B9-43D5-BCDD-010C87ADB823}">
      <text>
        <r>
          <rPr>
            <b/>
            <sz val="9"/>
            <color indexed="81"/>
            <rFont val="Tahoma"/>
            <family val="2"/>
          </rPr>
          <t>Gabriel Rodino:</t>
        </r>
        <r>
          <rPr>
            <sz val="9"/>
            <color indexed="81"/>
            <rFont val="Tahoma"/>
            <family val="2"/>
          </rPr>
          <t xml:space="preserve">
We view 2026 as a stabilization year for Rockstar. We expect to have more to share on the brand's trajectory as we move through the balance of the year.</t>
        </r>
      </text>
    </comment>
    <comment ref="C107" authorId="0" shapeId="0" xr:uid="{35840C18-DC7B-49AD-A450-A8F0A9FD17C7}">
      <text>
        <r>
          <rPr>
            <b/>
            <sz val="9"/>
            <color indexed="81"/>
            <rFont val="Tahoma"/>
            <family val="2"/>
          </rPr>
          <t>Gabriel Rodino:</t>
        </r>
        <r>
          <rPr>
            <sz val="9"/>
            <color indexed="81"/>
            <rFont val="Tahoma"/>
            <family val="2"/>
          </rPr>
          <t xml:space="preserve">
we said we would be focused on optimizing the SKU assortment, driving focus on Fizz-Free as a permanent innovation and leveraging our LTOs and partnerships to continue to drive growth for the brand. </t>
        </r>
      </text>
    </comment>
    <comment ref="D109" authorId="0" shapeId="0" xr:uid="{383AE79F-8EAF-4924-8E44-A5F764D27076}">
      <text>
        <r>
          <rPr>
            <b/>
            <sz val="9"/>
            <color indexed="81"/>
            <rFont val="Tahoma"/>
            <family val="2"/>
          </rPr>
          <t>Gabriel Rodino:</t>
        </r>
        <r>
          <rPr>
            <sz val="9"/>
            <color indexed="81"/>
            <rFont val="Tahoma"/>
            <family val="2"/>
          </rPr>
          <t xml:space="preserve">
 The resets are about quality of assortment as much as space. Heading into the summer selling season, we remain confident in the space gains we outlined at CAGNY, approximately 17% for brand CELSIUS, driven by expanding cooler placements and additional points of sale across national chains, and over 100% for Alani across all channels.</t>
        </r>
      </text>
    </comment>
    <comment ref="D110" authorId="0" shapeId="0" xr:uid="{3FFC080A-CBD8-421A-9638-10E44A4317EB}">
      <text>
        <r>
          <rPr>
            <b/>
            <sz val="9"/>
            <color indexed="81"/>
            <rFont val="Tahoma"/>
            <family val="2"/>
          </rPr>
          <t>Gabriel Rodino:</t>
        </r>
        <r>
          <rPr>
            <sz val="9"/>
            <color indexed="81"/>
            <rFont val="Tahoma"/>
            <family val="2"/>
          </rPr>
          <t xml:space="preserve">
 The resets are about quality of assortment as much as space. Heading into the summer selling season, we remain confident in the space gains we outlined at CAGNY, approximately 17% for brand CELSIUS, driven by expanding cooler placements and additional points of sale across national chains, and over 100% for Alani across all channels.</t>
        </r>
      </text>
    </comment>
    <comment ref="C111" authorId="0" shapeId="0" xr:uid="{9DA43197-2A17-4E9D-8B77-D9057AF67F8B}">
      <text>
        <r>
          <rPr>
            <b/>
            <sz val="9"/>
            <color indexed="81"/>
            <rFont val="Tahoma"/>
            <family val="2"/>
          </rPr>
          <t>Gabriel Rodino:</t>
        </r>
        <r>
          <rPr>
            <sz val="9"/>
            <color indexed="81"/>
            <rFont val="Tahoma"/>
            <family val="2"/>
          </rPr>
          <t xml:space="preserve">
International represents a meaningful long-term growth opportunity for us, and we took another step forward in the quarter with the launch of the brand CELSIUS in Spain through exclusive sales and distribution agreement with Suntory Beverage &amp; Food Spain. </t>
        </r>
      </text>
    </comment>
    <comment ref="C112" authorId="0" shapeId="0" xr:uid="{92E6C5AE-E6BD-4473-8809-53B855825C63}">
      <text>
        <r>
          <rPr>
            <b/>
            <sz val="9"/>
            <color indexed="81"/>
            <rFont val="Tahoma"/>
            <family val="2"/>
          </rPr>
          <t>Gabriel Rodino:</t>
        </r>
        <r>
          <rPr>
            <sz val="9"/>
            <color indexed="81"/>
            <rFont val="Tahoma"/>
            <family val="2"/>
          </rPr>
          <t xml:space="preserve">
International represents a meaningful long-term growth opportunity for us, and we took another step forward in the quarter with the launch of the brand CELSIUS in Spain through exclusive sales and distribution agreement with Suntory Beverage &amp; Food Spain. </t>
        </r>
      </text>
    </comment>
    <comment ref="E114" authorId="0" shapeId="0" xr:uid="{7E319372-DE51-444A-B829-17EC333E9FDB}">
      <text>
        <r>
          <rPr>
            <b/>
            <sz val="9"/>
            <color indexed="81"/>
            <rFont val="Tahoma"/>
            <family val="2"/>
          </rPr>
          <t>Gabriel Rodino:</t>
        </r>
        <r>
          <rPr>
            <sz val="9"/>
            <color indexed="81"/>
            <rFont val="Tahoma"/>
            <family val="2"/>
          </rPr>
          <t xml:space="preserve">
Starting with brand CELSIUS, we delivered net sales of $348 million in the quarter, representing growth of approximately 6% year-over-year. </t>
        </r>
      </text>
    </comment>
    <comment ref="E115" authorId="0" shapeId="0" xr:uid="{E9E7376D-2533-4E3A-B707-8B93D8BCCEA8}">
      <text>
        <r>
          <rPr>
            <b/>
            <sz val="9"/>
            <color indexed="81"/>
            <rFont val="Tahoma"/>
            <family val="2"/>
          </rPr>
          <t>Gabriel Rodino:</t>
        </r>
        <r>
          <rPr>
            <sz val="9"/>
            <color indexed="81"/>
            <rFont val="Tahoma"/>
            <family val="2"/>
          </rPr>
          <t xml:space="preserve">
Starting with brand CELSIUS, we delivered net sales of $348 million in the quarter, representing growth of approximately 6% year-over-year. </t>
        </r>
      </text>
    </comment>
    <comment ref="E117" authorId="0" shapeId="0" xr:uid="{80379F7F-7E28-4624-AB74-251FE1B79A51}">
      <text>
        <r>
          <rPr>
            <b/>
            <sz val="9"/>
            <color indexed="81"/>
            <rFont val="Tahoma"/>
            <family val="2"/>
          </rPr>
          <t>Gabriel Rodino:</t>
        </r>
        <r>
          <rPr>
            <sz val="9"/>
            <color indexed="81"/>
            <rFont val="Tahoma"/>
            <family val="2"/>
          </rPr>
          <t xml:space="preserve">
Turning to Alani Nu, the brand delivered net sales of $368 million in the quarter, representing a pro forma growth of approximately 60% year-over-year. </t>
        </r>
      </text>
    </comment>
    <comment ref="E118" authorId="0" shapeId="0" xr:uid="{A9DA2A3B-0EF3-441F-99E3-F091B55EBF67}">
      <text>
        <r>
          <rPr>
            <b/>
            <sz val="9"/>
            <color indexed="81"/>
            <rFont val="Tahoma"/>
            <family val="2"/>
          </rPr>
          <t>Gabriel Rodino:</t>
        </r>
        <r>
          <rPr>
            <sz val="9"/>
            <color indexed="81"/>
            <rFont val="Tahoma"/>
            <family val="2"/>
          </rPr>
          <t xml:space="preserve">
Turning to Alani Nu, the brand delivered net sales of $368 million in the quarter, representing a pro forma growth of approximately 60% year-over-year. </t>
        </r>
      </text>
    </comment>
    <comment ref="E120" authorId="0" shapeId="0" xr:uid="{74929322-BA27-4631-8822-66921F5F2CD8}">
      <text>
        <r>
          <rPr>
            <b/>
            <sz val="9"/>
            <color indexed="81"/>
            <rFont val="Tahoma"/>
            <family val="2"/>
          </rPr>
          <t>Gabriel Rodino:</t>
        </r>
        <r>
          <rPr>
            <sz val="9"/>
            <color indexed="81"/>
            <rFont val="Tahoma"/>
            <family val="2"/>
          </rPr>
          <t xml:space="preserve">
For Rockstar, net sales were $67 million for the quarter. </t>
        </r>
      </text>
    </comment>
    <comment ref="E122" authorId="0" shapeId="0" xr:uid="{602801A8-3F1D-40C4-B001-D6C9AE969145}">
      <text>
        <r>
          <rPr>
            <b/>
            <sz val="9"/>
            <color indexed="81"/>
            <rFont val="Tahoma"/>
            <family val="2"/>
          </rPr>
          <t>Gabriel Rodino:</t>
        </r>
        <r>
          <rPr>
            <sz val="9"/>
            <color indexed="81"/>
            <rFont val="Tahoma"/>
            <family val="2"/>
          </rPr>
          <t xml:space="preserve">
Track scanner data shows Alani at approximately 100% year-over-year. The cleanest comparison number is 85%. That adjusts for Cherry Bomb, which sold in during Q4 2025 but landed in Q1 2026 scanner data.</t>
        </r>
      </text>
    </comment>
    <comment ref="E124" authorId="0" shapeId="0" xr:uid="{161BBDD6-64F6-4A93-9870-B8CDC3DBD17E}">
      <text>
        <r>
          <rPr>
            <b/>
            <sz val="9"/>
            <color indexed="81"/>
            <rFont val="Tahoma"/>
            <family val="2"/>
          </rPr>
          <t>Gabriel Rodino:</t>
        </r>
        <r>
          <rPr>
            <sz val="9"/>
            <color indexed="81"/>
            <rFont val="Tahoma"/>
            <family val="2"/>
          </rPr>
          <t xml:space="preserve">
Track scanner data shows Alani at approximately 100% year-over-year. The cleanest comparison number is 85%. That adjusts for Cherry Bomb, which sold in during Q4 2025 but landed in Q1 2026 scanner data.</t>
        </r>
      </text>
    </comment>
    <comment ref="D126" authorId="0" shapeId="0" xr:uid="{A134B17A-3DC4-496F-BEA8-4129FFFDBB1C}">
      <text>
        <r>
          <rPr>
            <b/>
            <sz val="9"/>
            <color indexed="81"/>
            <rFont val="Tahoma"/>
            <family val="2"/>
          </rPr>
          <t>Gabriel Rodino:</t>
        </r>
        <r>
          <rPr>
            <sz val="9"/>
            <color indexed="81"/>
            <rFont val="Tahoma"/>
            <family val="2"/>
          </rPr>
          <t xml:space="preserve">
To translate 85% scanner growth into reported revenue, the right starting point is Q1 2025 RTD US energy revenue, which was $198 million after excluding the Canadian and US non-energy business. </t>
        </r>
      </text>
    </comment>
    <comment ref="E128" authorId="0" shapeId="0" xr:uid="{58559975-1D1F-4250-B58A-85423D229241}">
      <text>
        <r>
          <rPr>
            <b/>
            <sz val="9"/>
            <color indexed="81"/>
            <rFont val="Tahoma"/>
            <family val="2"/>
          </rPr>
          <t>Gabriel Rodino:</t>
        </r>
        <r>
          <rPr>
            <sz val="9"/>
            <color indexed="81"/>
            <rFont val="Tahoma"/>
            <family val="2"/>
          </rPr>
          <t xml:space="preserve">
rom there, the 85% growth implies organic Q1 2026 RTD revenue of about $340 million when adjusting for the higher sales mix associated with the DSD system relative to our direct business, as our ACV gains have been focused in DSD channels. </t>
        </r>
      </text>
    </comment>
    <comment ref="E129" authorId="0" shapeId="0" xr:uid="{B334C5FA-08E9-48C0-87EB-71113D319184}">
      <text>
        <r>
          <rPr>
            <b/>
            <sz val="9"/>
            <color indexed="81"/>
            <rFont val="Tahoma"/>
            <family val="2"/>
          </rPr>
          <t>Gabriel Rodino:</t>
        </r>
        <r>
          <rPr>
            <sz val="9"/>
            <color indexed="81"/>
            <rFont val="Tahoma"/>
            <family val="2"/>
          </rPr>
          <t xml:space="preserve">
dding back Canada and the remaining non-US energy business, which together contributed $28 million, brings reported Alani revenue for Q1 2026 to $368 million, or approximately 60% growth year-over-year</t>
        </r>
      </text>
    </comment>
    <comment ref="D136" authorId="0" shapeId="0" xr:uid="{A05F34E0-F7C6-482E-A03C-D17AF91A23C9}">
      <text>
        <r>
          <rPr>
            <b/>
            <sz val="9"/>
            <color indexed="81"/>
            <rFont val="Tahoma"/>
            <family val="2"/>
          </rPr>
          <t>Gabriel Rodino:</t>
        </r>
        <r>
          <rPr>
            <sz val="9"/>
            <color indexed="81"/>
            <rFont val="Tahoma"/>
            <family val="2"/>
          </rPr>
          <t xml:space="preserve">
At the same time, we remain disciplined on operating expenses. Adjusted SG&amp;A came in at approximately 26.4% of revenue, down from 31.8% in Q</t>
        </r>
      </text>
    </comment>
    <comment ref="E136" authorId="0" shapeId="0" xr:uid="{AD44FB33-3583-47FF-B513-A3F2078F4F93}">
      <text>
        <r>
          <rPr>
            <b/>
            <sz val="9"/>
            <color indexed="81"/>
            <rFont val="Tahoma"/>
            <family val="2"/>
          </rPr>
          <t>Gabriel Rodino:</t>
        </r>
        <r>
          <rPr>
            <sz val="9"/>
            <color indexed="81"/>
            <rFont val="Tahoma"/>
            <family val="2"/>
          </rPr>
          <t xml:space="preserve">
At the same time, we remain disciplined on operating expenses. Adjusted SG&amp;A came in at approximately 26.4% of revenue, down from 31.8% in Q</t>
        </r>
      </text>
    </comment>
    <comment ref="D139" authorId="0" shapeId="0" xr:uid="{D421E4A0-667D-40AB-9F67-5D3EEA9962A1}">
      <text>
        <r>
          <rPr>
            <b/>
            <sz val="9"/>
            <color indexed="81"/>
            <rFont val="Tahoma"/>
            <family val="2"/>
          </rPr>
          <t>Gabriel Rodino:</t>
        </r>
        <r>
          <rPr>
            <sz val="9"/>
            <color indexed="81"/>
            <rFont val="Tahoma"/>
            <family val="2"/>
          </rPr>
          <t xml:space="preserve">
justed EBITDA was $195 million, an increase of approximately $125 million versus a year ago, and adjusted EBITDA margin expanded to 24.9% from 21.2%</t>
        </r>
      </text>
    </comment>
    <comment ref="E139" authorId="0" shapeId="0" xr:uid="{746B1D45-3538-4F15-B9B2-9E1BC9E81B64}">
      <text>
        <r>
          <rPr>
            <b/>
            <sz val="9"/>
            <color indexed="81"/>
            <rFont val="Tahoma"/>
            <family val="2"/>
          </rPr>
          <t>Gabriel Rodino:</t>
        </r>
        <r>
          <rPr>
            <sz val="9"/>
            <color indexed="81"/>
            <rFont val="Tahoma"/>
            <family val="2"/>
          </rPr>
          <t xml:space="preserve">
justed EBITDA was $195 million, an increase of approximately $125 million versus a year ago, and adjusted EBITDA margin expanded to 24.9% from 21.2%</t>
        </r>
      </text>
    </comment>
    <comment ref="E142" authorId="0" shapeId="0" xr:uid="{B625CA87-101F-48D1-BE47-4F4B47220C82}">
      <text>
        <r>
          <rPr>
            <b/>
            <sz val="9"/>
            <color indexed="81"/>
            <rFont val="Tahoma"/>
            <family val="2"/>
          </rPr>
          <t>Gabriel Rodino:</t>
        </r>
        <r>
          <rPr>
            <sz val="9"/>
            <color indexed="81"/>
            <rFont val="Tahoma"/>
            <family val="2"/>
          </rPr>
          <t xml:space="preserve">
On capital deployment, our balance sheet remains a source of strength and flexibility. During the first quarter, we repurchased approximately 700,000 shares for $24.1 million at a weighted average price of $35.39</t>
        </r>
      </text>
    </comment>
    <comment ref="E143" authorId="0" shapeId="0" xr:uid="{785700AF-AEE0-4D28-95A0-D7163C17C960}">
      <text>
        <r>
          <rPr>
            <b/>
            <sz val="9"/>
            <color indexed="81"/>
            <rFont val="Tahoma"/>
            <family val="2"/>
          </rPr>
          <t>Gabriel Rodino:</t>
        </r>
        <r>
          <rPr>
            <sz val="9"/>
            <color indexed="81"/>
            <rFont val="Tahoma"/>
            <family val="2"/>
          </rPr>
          <t xml:space="preserve">
On capital deployment, our balance sheet remains a source of strength and flexibility. During the first quarter, we repurchased approximately 700,000 shares for $24.1 million at a weighted average price of $35.39</t>
        </r>
      </text>
    </comment>
    <comment ref="E146" authorId="0" shapeId="0" xr:uid="{2BB5CE75-1D6E-46EF-9ABD-553142043463}">
      <text>
        <r>
          <rPr>
            <b/>
            <sz val="9"/>
            <color indexed="81"/>
            <rFont val="Tahoma"/>
            <family val="2"/>
          </rPr>
          <t>Gabriel Rodino:</t>
        </r>
        <r>
          <rPr>
            <sz val="9"/>
            <color indexed="81"/>
            <rFont val="Tahoma"/>
            <family val="2"/>
          </rPr>
          <t xml:space="preserve">
At quarter end, $236.1 million remained available under the $300 million repurchase program the Board authorized in November 2025. </t>
        </r>
      </text>
    </comment>
    <comment ref="C148" authorId="0" shapeId="0" xr:uid="{0B4BA396-6476-4FA7-8C11-7DE07BAB12FF}">
      <text>
        <r>
          <rPr>
            <b/>
            <sz val="9"/>
            <color indexed="81"/>
            <rFont val="Tahoma"/>
            <family val="2"/>
          </rPr>
          <t>Gabriel Rodino:</t>
        </r>
        <r>
          <rPr>
            <sz val="9"/>
            <color indexed="81"/>
            <rFont val="Tahoma"/>
            <family val="2"/>
          </rPr>
          <t xml:space="preserve">
We do have two LTOs on the brand here over the next several months, Electric Vibe, which is launching now and then another one that will be available in summer. So we feel that will continue to drive excitement and anchor strong merchandising for the brand. </t>
        </r>
      </text>
    </comment>
    <comment ref="C150" authorId="0" shapeId="0" xr:uid="{059C8AB6-F7F6-4717-AAF5-C878D6053A6A}">
      <text>
        <r>
          <rPr>
            <b/>
            <sz val="9"/>
            <color indexed="81"/>
            <rFont val="Tahoma"/>
            <family val="2"/>
          </rPr>
          <t>Gabriel Rodino:</t>
        </r>
        <r>
          <rPr>
            <sz val="9"/>
            <color indexed="81"/>
            <rFont val="Tahoma"/>
            <family val="2"/>
          </rPr>
          <t xml:space="preserve">
And then on Alani, obviously a lot of the distribution you mentioned, over 100% in gas and convenience. </t>
        </r>
      </text>
    </comment>
    <comment ref="C152" authorId="0" shapeId="0" xr:uid="{FAF1CEC6-7160-417C-ABFF-3F5087C7EB18}">
      <text>
        <r>
          <rPr>
            <b/>
            <sz val="9"/>
            <color indexed="81"/>
            <rFont val="Tahoma"/>
            <family val="2"/>
          </rPr>
          <t>Gabriel Rodino:</t>
        </r>
        <r>
          <rPr>
            <sz val="9"/>
            <color indexed="81"/>
            <rFont val="Tahoma"/>
            <family val="2"/>
          </rPr>
          <t xml:space="preserve">
istorically, over 60% of the sales were derived from convenience impulse purchases, and we're seeing retailers lean-in in a much bigger way than ever before. </t>
        </r>
      </text>
    </comment>
    <comment ref="C153" authorId="0" shapeId="0" xr:uid="{E37D6DA7-25D8-47EE-BA51-4659868E7B2C}">
      <text>
        <r>
          <rPr>
            <b/>
            <sz val="9"/>
            <color indexed="81"/>
            <rFont val="Tahoma"/>
            <family val="2"/>
          </rPr>
          <t>Gabriel Rodino:</t>
        </r>
        <r>
          <rPr>
            <sz val="9"/>
            <color indexed="81"/>
            <rFont val="Tahoma"/>
            <family val="2"/>
          </rPr>
          <t xml:space="preserve">
istorically, over 60% of the sales were derived from convenience impulse purchases, and we're seeing retailers lean-in in a much bigger way than ever before. </t>
        </r>
      </text>
    </comment>
    <comment ref="E155" authorId="0" shapeId="0" xr:uid="{E2543F2F-DC94-4FBA-9C7F-AB64C7CCF134}">
      <text>
        <r>
          <rPr>
            <b/>
            <sz val="9"/>
            <color indexed="81"/>
            <rFont val="Tahoma"/>
            <family val="2"/>
          </rPr>
          <t>Gabriel Rodino:</t>
        </r>
        <r>
          <rPr>
            <sz val="9"/>
            <color indexed="81"/>
            <rFont val="Tahoma"/>
            <family val="2"/>
          </rPr>
          <t xml:space="preserve">
We have a 21% [ph] share in the US with the portfolio today and it's an exciting time.</t>
        </r>
      </text>
    </comment>
    <comment ref="C157" authorId="0" shapeId="0" xr:uid="{47589628-D339-4511-8005-78A9EC54822A}">
      <text>
        <r>
          <rPr>
            <b/>
            <sz val="9"/>
            <color indexed="81"/>
            <rFont val="Tahoma"/>
            <family val="2"/>
          </rPr>
          <t>Gabriel Rodino:</t>
        </r>
        <r>
          <rPr>
            <sz val="9"/>
            <color indexed="81"/>
            <rFont val="Tahoma"/>
            <family val="2"/>
          </rPr>
          <t xml:space="preserve">
We incurred some additional long-haul freight as we continued to rebalance Rockstar inventory across our network during integration. And then to your point, we saw both the LME and the Midwest aluminum premium move higher through the quarter.</t>
        </r>
      </text>
    </comment>
    <comment ref="C158" authorId="0" shapeId="0" xr:uid="{366AA3B3-E873-48FC-9226-9065041D8B65}">
      <text>
        <r>
          <rPr>
            <b/>
            <sz val="9"/>
            <color indexed="81"/>
            <rFont val="Tahoma"/>
            <family val="2"/>
          </rPr>
          <t>Gabriel Rodino:</t>
        </r>
        <r>
          <rPr>
            <sz val="9"/>
            <color indexed="81"/>
            <rFont val="Tahoma"/>
            <family val="2"/>
          </rPr>
          <t xml:space="preserve">
With that said, as we noted in our prepared remarks, we are watching the macro environment closely. Aluminum, freight, fuel, resin pricing, we do have sourcing strategies in place across the major input categories. We're fully locked on aluminum conversion. We've also got price locks on a variety of other ingredients and vitamins. We've also -- we're working actively to extend coverage into 2027 and 2028 across the back half of this year.</t>
        </r>
      </text>
    </comment>
    <comment ref="C159" authorId="0" shapeId="0" xr:uid="{B6DB4ACA-5330-45AF-9637-AB9B21537BEA}">
      <text>
        <r>
          <rPr>
            <b/>
            <sz val="9"/>
            <color indexed="81"/>
            <rFont val="Tahoma"/>
            <family val="2"/>
          </rPr>
          <t>Gabriel Rodino:</t>
        </r>
        <r>
          <rPr>
            <sz val="9"/>
            <color indexed="81"/>
            <rFont val="Tahoma"/>
            <family val="2"/>
          </rPr>
          <t xml:space="preserve">
We also have another opportunity, as you mentioned, going out 12, 18 months that we're working through something a little sooner. Back half of the year, we'll see our second manufacturing line in North Carolina begin producing. So, we'll start to see some benefit in the back half of the year with full benefit in 2027.</t>
        </r>
      </text>
    </comment>
    <comment ref="C160" authorId="0" shapeId="0" xr:uid="{D1AF92CD-B3A3-47B4-AC0B-81414BCA34B3}">
      <text>
        <r>
          <rPr>
            <b/>
            <sz val="9"/>
            <color indexed="81"/>
            <rFont val="Tahoma"/>
            <family val="2"/>
          </rPr>
          <t>Gabriel Rodino:</t>
        </r>
        <r>
          <rPr>
            <sz val="9"/>
            <color indexed="81"/>
            <rFont val="Tahoma"/>
            <family val="2"/>
          </rPr>
          <t xml:space="preserve">
I think one more thing just for modeling purposes, while we're at it, probably as we look at 2026 in particular, Q2 is probably more of a side step type activity and then Q3 and Q4 where you're going to see the stair step and then continue on to 2027 with further stair steps.</t>
        </r>
      </text>
    </comment>
  </commentList>
</comments>
</file>

<file path=xl/sharedStrings.xml><?xml version="1.0" encoding="utf-8"?>
<sst xmlns="http://schemas.openxmlformats.org/spreadsheetml/2006/main" count="138" uniqueCount="116">
  <si>
    <t>FY2024</t>
  </si>
  <si>
    <t>FY2025</t>
  </si>
  <si>
    <t>Adjusted EBITDA</t>
  </si>
  <si>
    <t>Alani</t>
  </si>
  <si>
    <t>Celsius</t>
  </si>
  <si>
    <t>GAAP Sales</t>
  </si>
  <si>
    <t>Other Income</t>
  </si>
  <si>
    <t>Scanner Data</t>
  </si>
  <si>
    <t>Event</t>
  </si>
  <si>
    <t>Date</t>
  </si>
  <si>
    <t>UBS Global Consumer and Retail Conference</t>
  </si>
  <si>
    <t>Net Sales</t>
  </si>
  <si>
    <t>Alani Space Gains</t>
  </si>
  <si>
    <t>US energy drink market share</t>
  </si>
  <si>
    <t>Sales &amp; Marketing</t>
  </si>
  <si>
    <t>54% of Liquid Refresher Beverages coming out of energy</t>
  </si>
  <si>
    <t>85% of growth within energy is sugar free</t>
  </si>
  <si>
    <t>Convenience single consumption main driver of growth for both brands, especially alani</t>
  </si>
  <si>
    <t>Seeing growth from multiple segments / consumer categories hydration, coffee, premium water)</t>
  </si>
  <si>
    <t>Alani growth was 70-75% when acquired / before</t>
  </si>
  <si>
    <t>Ton of upside for LTO used as toe in water for new flavor launches. Major growth point for Alani</t>
  </si>
  <si>
    <t>Expecting multiple LTOs for Celsius this year</t>
  </si>
  <si>
    <t>17% shelf space and 100 plus percent shelf space for Celsius and Alani (expected shelf space growth?)</t>
  </si>
  <si>
    <t>Sees a huge global opportunity and will see more activity in 3-5 years</t>
  </si>
  <si>
    <t>$25M in net inventory benefit from sell in from Alani. Often with LTO brands will recognize revenue when loaded onto pepsi distribution network</t>
  </si>
  <si>
    <t>expecting to stabilize inventory on pepsi network</t>
  </si>
  <si>
    <t>Can use scale to generate savings from aluminum cost increases related to inflation</t>
  </si>
  <si>
    <t>Consider Alani super premium brand</t>
  </si>
  <si>
    <t>CLEAR LINE OF SIGHT TO Mid 50% gross margins</t>
  </si>
  <si>
    <t>Generate material savings through scale and additional opportunity in freight lanes</t>
  </si>
  <si>
    <t>RGM  big opportunity with promotional pack strategy</t>
  </si>
  <si>
    <t>Built out second manufacturing line in their plant for scale</t>
  </si>
  <si>
    <t>Not expecting on slowing down sales and marketing</t>
  </si>
  <si>
    <t>Anticipating SG&amp;A in same 22-24% of revenue area</t>
  </si>
  <si>
    <t>Investing in International business is a strong capital allocaiton priority</t>
  </si>
  <si>
    <t>Q4 2025 Earnings Call</t>
  </si>
  <si>
    <t>Driving GM growth through economies of scale / pricing on raw materials midwest aluminium - Analyze tarriff impact</t>
  </si>
  <si>
    <t>Don't think alani is replacing brands but rather category is expanding materially in the subsegment that they serve</t>
  </si>
  <si>
    <t>Rockstar</t>
  </si>
  <si>
    <t>4Q2025</t>
  </si>
  <si>
    <t>4Q2024</t>
  </si>
  <si>
    <t>QoQ Growth</t>
  </si>
  <si>
    <t>Triple digit growth first 6-8 weeks on Alani debut LTO</t>
  </si>
  <si>
    <t>CELSIUS</t>
  </si>
  <si>
    <t>Yoy Growth</t>
  </si>
  <si>
    <t>Consolidated</t>
  </si>
  <si>
    <t>Distributor Termenation Fee Adjustment</t>
  </si>
  <si>
    <t>Administrative</t>
  </si>
  <si>
    <t>Acquisition Cost Adjustment</t>
  </si>
  <si>
    <t>Celsius Space Gains 2026</t>
  </si>
  <si>
    <t xml:space="preserve"> </t>
  </si>
  <si>
    <t>Growth</t>
  </si>
  <si>
    <t>Continue watching 10-15 top selling SKUs increase in ACV over next eight weeks</t>
  </si>
  <si>
    <t>Most months over 20% growth in convenience</t>
  </si>
  <si>
    <t>Non carbonated SKUs at only 30% ACV</t>
  </si>
  <si>
    <t>Celsius 13% scanner growth in Q4 2025</t>
  </si>
  <si>
    <t>5% international sales vs number two player is 40% international</t>
  </si>
  <si>
    <t>Looking to pay down about $700M in debt and spent about $40 million on sharebuybacks so have $260 million left on that</t>
  </si>
  <si>
    <t>Current top selling SKU at 80% ACV. Want to get to the mid to upper 90s</t>
  </si>
  <si>
    <t>40% ACV on Cotton Candy for Alani and is only 40% ACV</t>
  </si>
  <si>
    <t>Plan on integrating Rockstar by first half of 2026</t>
  </si>
  <si>
    <t>Present in approximately 10 core markets</t>
  </si>
  <si>
    <t>Sees global consumer broadly moving to sugar free</t>
  </si>
  <si>
    <t>Alani taking shelf space</t>
  </si>
  <si>
    <t>Alani Load In Net Benefit</t>
  </si>
  <si>
    <t>Adminstrative % Sales</t>
  </si>
  <si>
    <t>Post acquisition cost adjustment</t>
  </si>
  <si>
    <t>Normalized low 50s margin profile and move to mid 50s in long term</t>
  </si>
  <si>
    <t>Cost structure in place by end of Q1 for Alani and Q2 for Rockstar (getting raw material prices in line with Celsius)</t>
  </si>
  <si>
    <t>Seeing alcohol and liqour replaced by energy drinks</t>
  </si>
  <si>
    <t>Focusing on velocity through LTO strategy</t>
  </si>
  <si>
    <t>Working on velocity through reduced selling friction / more paths to purchase (cold checkouts, impulse purchases, expanded shelf space and dry sets</t>
  </si>
  <si>
    <t>Convenience is traditionally 60% of sales (impulse purchases)</t>
  </si>
  <si>
    <t>Lots of load in in Q4 of alani on Pepsi Distribution system</t>
  </si>
  <si>
    <t>Not replacing brands through Alani, expecting category to expand (female consumer, different demographics)</t>
  </si>
  <si>
    <t>Q1 2026 Earnings Call</t>
  </si>
  <si>
    <t>Portfolio Dollar share last 4 weeks</t>
  </si>
  <si>
    <t>Alani Synergies</t>
  </si>
  <si>
    <t>Alani mostly on pepsi network since January</t>
  </si>
  <si>
    <t>View 2026 as stabilization year for Rockstar by first half 2026</t>
  </si>
  <si>
    <t>Emphasis on LTOs driving Alani sales</t>
  </si>
  <si>
    <t>Celsius space gains</t>
  </si>
  <si>
    <t xml:space="preserve"> International represent meaningful long term growth opportunity / focus</t>
  </si>
  <si>
    <t>Alani space gains</t>
  </si>
  <si>
    <t>100%+</t>
  </si>
  <si>
    <t>Recently launched Celsius in Spain through Suntory Beverage &amp; Food Distribution</t>
  </si>
  <si>
    <t>Celsius Brand Sales</t>
  </si>
  <si>
    <t>1Q26</t>
  </si>
  <si>
    <t>Alani Brand Sales</t>
  </si>
  <si>
    <t>Rockstar Brand Sales</t>
  </si>
  <si>
    <t>Alani Scanner Growth</t>
  </si>
  <si>
    <t>Cherry Bomb Adjustment to Scanner</t>
  </si>
  <si>
    <t>RTD US Revenue Alani</t>
  </si>
  <si>
    <t>Organic Revenue</t>
  </si>
  <si>
    <t>DSD Sales Mix Adjustment</t>
  </si>
  <si>
    <t>Canada and non-US</t>
  </si>
  <si>
    <t>Alani Revenue</t>
  </si>
  <si>
    <t>Growth primarily focused in DSD channels</t>
  </si>
  <si>
    <t>Integration cost headwinds from Q4 mostly rolled off</t>
  </si>
  <si>
    <t>Adjusted SG&amp;A Margin</t>
  </si>
  <si>
    <t>4Q25</t>
  </si>
  <si>
    <t>1Q25</t>
  </si>
  <si>
    <t>Shares Repurchased</t>
  </si>
  <si>
    <t>Cost</t>
  </si>
  <si>
    <t>Planning on driving growth through 2 LTOs on CELH brand for 2026</t>
  </si>
  <si>
    <t>Over 100% gain gas and convenience on Alani</t>
  </si>
  <si>
    <t>Historically over 60% of sales came from conveninece / impulse</t>
  </si>
  <si>
    <t>Now mostly driven by habitual retail</t>
  </si>
  <si>
    <t>US RTD Energy Market Share</t>
  </si>
  <si>
    <t>LME and Midwest premium concerns on driving margins down to low 50s target</t>
  </si>
  <si>
    <t>Don't forsee material prices as long term concern</t>
  </si>
  <si>
    <t>Second manufacturing line in NC to begin producing in back half of 2026</t>
  </si>
  <si>
    <t>Planning on margin growth mostly in Q3 and Q4</t>
  </si>
  <si>
    <t>Dollars available under repurchase program</t>
  </si>
  <si>
    <t>of 300</t>
  </si>
  <si>
    <t>Kicking off Fizz Free line national availbility in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</si>
</sst>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7" formatCode="&quot;$&quot;#,##0.00_);\(&quot;$&quot;#,##0.00\)"/>
    <numFmt numFmtId="167" formatCode="&quot;$&quot;#,##0"/>
    <numFmt numFmtId="168" formatCode="0.0%;\(0.0%\)"/>
    <numFmt numFmtId="169" formatCode="0.0%"/>
    <numFmt numFmtId="170" formatCode="0.0"/>
  </numFmts>
  <fonts count="6" x14ac:knownFonts="1">
    <font>
      <sz val="11"/>
      <color theme="1"/>
      <name val="Calibri"/>
      <family val="2"/>
      <scheme val="minor"/>
    </font>
    <font>
      <b/>
      <sz val="11"/>
      <color theme="1"/>
      <name val="Calibri"/>
      <family val="2"/>
      <scheme val="minor"/>
    </font>
    <font>
      <sz val="11"/>
      <color rgb="FF0000FF"/>
      <name val="Calibri"/>
      <family val="2"/>
      <scheme val="minor"/>
    </font>
    <font>
      <sz val="11"/>
      <name val="Calibri"/>
      <family val="2"/>
      <scheme val="minor"/>
    </font>
    <font>
      <sz val="9"/>
      <color indexed="81"/>
      <name val="Tahoma"/>
      <family val="2"/>
    </font>
    <font>
      <b/>
      <sz val="9"/>
      <color indexed="81"/>
      <name val="Tahoma"/>
      <family val="2"/>
    </font>
  </fonts>
  <fills count="2">
    <fill>
      <patternFill patternType="none"/>
    </fill>
    <fill>
      <patternFill patternType="gray125"/>
    </fill>
  </fills>
  <borders count="3">
    <border>
      <left/>
      <right/>
      <top/>
      <bottom/>
      <diagonal/>
    </border>
    <border>
      <left/>
      <right/>
      <top style="thin">
        <color indexed="64"/>
      </top>
      <bottom/>
      <diagonal/>
    </border>
    <border>
      <left/>
      <right/>
      <top/>
      <bottom style="thin">
        <color indexed="64"/>
      </bottom>
      <diagonal/>
    </border>
  </borders>
  <cellStyleXfs count="1">
    <xf numFmtId="0" fontId="0" fillId="0" borderId="0"/>
  </cellStyleXfs>
  <cellXfs count="24">
    <xf numFmtId="0" fontId="0" fillId="0" borderId="0" xfId="0"/>
    <xf numFmtId="0" fontId="1" fillId="0" borderId="0" xfId="0" applyFont="1"/>
    <xf numFmtId="14" fontId="1" fillId="0" borderId="0" xfId="0" applyNumberFormat="1" applyFont="1"/>
    <xf numFmtId="0" fontId="0" fillId="0" borderId="1" xfId="0" applyBorder="1"/>
    <xf numFmtId="167" fontId="0" fillId="0" borderId="0" xfId="0" applyNumberFormat="1"/>
    <xf numFmtId="167" fontId="2" fillId="0" borderId="0" xfId="0" applyNumberFormat="1" applyFont="1"/>
    <xf numFmtId="9" fontId="2" fillId="0" borderId="0" xfId="0" applyNumberFormat="1" applyFont="1"/>
    <xf numFmtId="168" fontId="2" fillId="0" borderId="0" xfId="0" applyNumberFormat="1" applyFont="1"/>
    <xf numFmtId="5" fontId="2" fillId="0" borderId="0" xfId="0" applyNumberFormat="1" applyFont="1"/>
    <xf numFmtId="5" fontId="3" fillId="0" borderId="1" xfId="0" applyNumberFormat="1" applyFont="1" applyBorder="1"/>
    <xf numFmtId="5" fontId="3" fillId="0" borderId="0" xfId="0" applyNumberFormat="1" applyFont="1"/>
    <xf numFmtId="167" fontId="0" fillId="0" borderId="1" xfId="0" applyNumberFormat="1" applyBorder="1"/>
    <xf numFmtId="7" fontId="0" fillId="0" borderId="0" xfId="0" applyNumberFormat="1"/>
    <xf numFmtId="169" fontId="3" fillId="0" borderId="0" xfId="0" applyNumberFormat="1" applyFont="1"/>
    <xf numFmtId="169" fontId="0" fillId="0" borderId="0" xfId="0" applyNumberFormat="1"/>
    <xf numFmtId="169" fontId="2" fillId="0" borderId="0" xfId="0" applyNumberFormat="1" applyFont="1"/>
    <xf numFmtId="169" fontId="2" fillId="0" borderId="0" xfId="0" quotePrefix="1" applyNumberFormat="1" applyFont="1" applyAlignment="1">
      <alignment horizontal="right"/>
    </xf>
    <xf numFmtId="0" fontId="2" fillId="0" borderId="0" xfId="0" applyFont="1"/>
    <xf numFmtId="170" fontId="3" fillId="0" borderId="0" xfId="0" applyNumberFormat="1" applyFont="1"/>
    <xf numFmtId="170" fontId="2" fillId="0" borderId="0" xfId="0" applyNumberFormat="1" applyFont="1"/>
    <xf numFmtId="170" fontId="0" fillId="0" borderId="0" xfId="0" applyNumberFormat="1"/>
    <xf numFmtId="0" fontId="0" fillId="0" borderId="0" xfId="0" applyAlignment="1">
      <alignment horizontal="right"/>
    </xf>
    <xf numFmtId="170" fontId="2" fillId="0" borderId="1" xfId="0" applyNumberFormat="1" applyFont="1" applyBorder="1"/>
    <xf numFmtId="170" fontId="2" fillId="0" borderId="2" xfId="0" applyNumberFormat="1" applyFont="1" applyBorder="1"/>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B2:S160"/>
  <sheetViews>
    <sheetView tabSelected="1" zoomScale="85" zoomScaleNormal="85" workbookViewId="0">
      <selection activeCell="A158" sqref="A158"/>
    </sheetView>
  </sheetViews>
  <sheetFormatPr defaultRowHeight="15" x14ac:dyDescent="0.25"/>
  <cols>
    <col min="3" max="3" width="35.42578125" bestFit="1" customWidth="1"/>
  </cols>
  <sheetData>
    <row r="2" spans="2:19" x14ac:dyDescent="0.25">
      <c r="B2" t="s">
        <v>8</v>
      </c>
      <c r="C2" t="s">
        <v>10</v>
      </c>
    </row>
    <row r="3" spans="2:19" ht="3" customHeight="1" x14ac:dyDescent="0.25"/>
    <row r="4" spans="2:19" x14ac:dyDescent="0.25">
      <c r="B4" t="s">
        <v>9</v>
      </c>
      <c r="C4" s="2">
        <v>46092</v>
      </c>
    </row>
    <row r="5" spans="2:19" ht="3" customHeight="1" x14ac:dyDescent="0.25">
      <c r="C5" s="3"/>
      <c r="D5" s="3"/>
      <c r="E5" s="3"/>
      <c r="F5" s="3"/>
      <c r="G5" s="3"/>
      <c r="H5" s="3"/>
      <c r="I5" s="3"/>
      <c r="J5" s="3"/>
      <c r="K5" s="3"/>
      <c r="L5" s="3"/>
      <c r="M5" s="3"/>
      <c r="N5" s="3"/>
      <c r="O5" s="3"/>
      <c r="P5" s="3"/>
      <c r="Q5" s="3"/>
      <c r="R5" s="3"/>
      <c r="S5" s="3"/>
    </row>
    <row r="6" spans="2:19" x14ac:dyDescent="0.25">
      <c r="C6" t="s">
        <v>15</v>
      </c>
    </row>
    <row r="7" spans="2:19" x14ac:dyDescent="0.25">
      <c r="C7" t="s">
        <v>16</v>
      </c>
    </row>
    <row r="8" spans="2:19" x14ac:dyDescent="0.25">
      <c r="C8" t="s">
        <v>17</v>
      </c>
    </row>
    <row r="9" spans="2:19" x14ac:dyDescent="0.25">
      <c r="C9" t="s">
        <v>18</v>
      </c>
    </row>
    <row r="10" spans="2:19" x14ac:dyDescent="0.25">
      <c r="C10" t="s">
        <v>19</v>
      </c>
    </row>
    <row r="11" spans="2:19" x14ac:dyDescent="0.25">
      <c r="C11" t="s">
        <v>58</v>
      </c>
    </row>
    <row r="12" spans="2:19" x14ac:dyDescent="0.25">
      <c r="C12" t="s">
        <v>52</v>
      </c>
    </row>
    <row r="13" spans="2:19" x14ac:dyDescent="0.25">
      <c r="C13" t="s">
        <v>53</v>
      </c>
    </row>
    <row r="14" spans="2:19" x14ac:dyDescent="0.25">
      <c r="C14" t="s">
        <v>54</v>
      </c>
    </row>
    <row r="15" spans="2:19" x14ac:dyDescent="0.25">
      <c r="C15" t="s">
        <v>20</v>
      </c>
    </row>
    <row r="16" spans="2:19" x14ac:dyDescent="0.25">
      <c r="C16" t="s">
        <v>59</v>
      </c>
    </row>
    <row r="17" spans="3:3" x14ac:dyDescent="0.25">
      <c r="C17" t="s">
        <v>21</v>
      </c>
    </row>
    <row r="18" spans="3:3" x14ac:dyDescent="0.25">
      <c r="C18" t="s">
        <v>55</v>
      </c>
    </row>
    <row r="19" spans="3:3" x14ac:dyDescent="0.25">
      <c r="C19" t="s">
        <v>56</v>
      </c>
    </row>
    <row r="20" spans="3:3" x14ac:dyDescent="0.25">
      <c r="C20" t="s">
        <v>22</v>
      </c>
    </row>
    <row r="21" spans="3:3" x14ac:dyDescent="0.25">
      <c r="C21" t="s">
        <v>23</v>
      </c>
    </row>
    <row r="22" spans="3:3" x14ac:dyDescent="0.25">
      <c r="C22" t="s">
        <v>24</v>
      </c>
    </row>
    <row r="23" spans="3:3" x14ac:dyDescent="0.25">
      <c r="C23" t="s">
        <v>25</v>
      </c>
    </row>
    <row r="24" spans="3:3" x14ac:dyDescent="0.25">
      <c r="C24" t="s">
        <v>26</v>
      </c>
    </row>
    <row r="25" spans="3:3" x14ac:dyDescent="0.25">
      <c r="C25" t="s">
        <v>27</v>
      </c>
    </row>
    <row r="26" spans="3:3" x14ac:dyDescent="0.25">
      <c r="C26" s="1" t="s">
        <v>28</v>
      </c>
    </row>
    <row r="27" spans="3:3" x14ac:dyDescent="0.25">
      <c r="C27" t="s">
        <v>29</v>
      </c>
    </row>
    <row r="28" spans="3:3" x14ac:dyDescent="0.25">
      <c r="C28" t="s">
        <v>30</v>
      </c>
    </row>
    <row r="29" spans="3:3" x14ac:dyDescent="0.25">
      <c r="C29" t="s">
        <v>31</v>
      </c>
    </row>
    <row r="30" spans="3:3" x14ac:dyDescent="0.25">
      <c r="C30" t="s">
        <v>32</v>
      </c>
    </row>
    <row r="31" spans="3:3" x14ac:dyDescent="0.25">
      <c r="C31" s="1" t="s">
        <v>33</v>
      </c>
    </row>
    <row r="32" spans="3:3" x14ac:dyDescent="0.25">
      <c r="C32" t="s">
        <v>34</v>
      </c>
    </row>
    <row r="33" spans="2:19" x14ac:dyDescent="0.25">
      <c r="C33" t="s">
        <v>57</v>
      </c>
    </row>
    <row r="35" spans="2:19" x14ac:dyDescent="0.25">
      <c r="B35" t="s">
        <v>8</v>
      </c>
      <c r="C35" t="s">
        <v>35</v>
      </c>
    </row>
    <row r="36" spans="2:19" ht="3" customHeight="1" x14ac:dyDescent="0.25"/>
    <row r="37" spans="2:19" x14ac:dyDescent="0.25">
      <c r="B37" t="s">
        <v>9</v>
      </c>
      <c r="C37" s="2">
        <v>46079</v>
      </c>
    </row>
    <row r="38" spans="2:19" ht="3" customHeight="1" x14ac:dyDescent="0.25">
      <c r="C38" s="3"/>
      <c r="D38" s="3"/>
      <c r="E38" s="3"/>
      <c r="F38" s="3"/>
      <c r="G38" s="3"/>
      <c r="H38" s="3"/>
      <c r="I38" s="3"/>
      <c r="J38" s="3"/>
      <c r="K38" s="3"/>
      <c r="L38" s="3"/>
      <c r="M38" s="3"/>
      <c r="N38" s="3"/>
      <c r="O38" s="3"/>
      <c r="P38" s="3"/>
      <c r="Q38" s="3"/>
      <c r="R38" s="3"/>
      <c r="S38" s="3"/>
    </row>
    <row r="40" spans="2:19" x14ac:dyDescent="0.25">
      <c r="C40" t="s">
        <v>60</v>
      </c>
    </row>
    <row r="41" spans="2:19" x14ac:dyDescent="0.25">
      <c r="C41" t="s">
        <v>115</v>
      </c>
    </row>
    <row r="42" spans="2:19" x14ac:dyDescent="0.25">
      <c r="C42" t="s">
        <v>61</v>
      </c>
    </row>
    <row r="43" spans="2:19" x14ac:dyDescent="0.25">
      <c r="C43" t="s">
        <v>62</v>
      </c>
    </row>
    <row r="44" spans="2:19" x14ac:dyDescent="0.25">
      <c r="C44" t="s">
        <v>36</v>
      </c>
    </row>
    <row r="45" spans="2:19" x14ac:dyDescent="0.25">
      <c r="C45" t="s">
        <v>37</v>
      </c>
    </row>
    <row r="46" spans="2:19" x14ac:dyDescent="0.25">
      <c r="C46" t="s">
        <v>67</v>
      </c>
    </row>
    <row r="47" spans="2:19" x14ac:dyDescent="0.25">
      <c r="C47" t="s">
        <v>68</v>
      </c>
    </row>
    <row r="48" spans="2:19" x14ac:dyDescent="0.25">
      <c r="C48" t="s">
        <v>69</v>
      </c>
    </row>
    <row r="49" spans="3:5" x14ac:dyDescent="0.25">
      <c r="C49" t="s">
        <v>71</v>
      </c>
    </row>
    <row r="50" spans="3:5" x14ac:dyDescent="0.25">
      <c r="C50" t="s">
        <v>70</v>
      </c>
    </row>
    <row r="51" spans="3:5" x14ac:dyDescent="0.25">
      <c r="C51" t="s">
        <v>72</v>
      </c>
    </row>
    <row r="52" spans="3:5" x14ac:dyDescent="0.25">
      <c r="C52" t="s">
        <v>73</v>
      </c>
    </row>
    <row r="53" spans="3:5" x14ac:dyDescent="0.25">
      <c r="C53" t="s">
        <v>74</v>
      </c>
    </row>
    <row r="58" spans="3:5" x14ac:dyDescent="0.25">
      <c r="C58" t="s">
        <v>38</v>
      </c>
      <c r="D58" t="s">
        <v>39</v>
      </c>
      <c r="E58" t="s">
        <v>1</v>
      </c>
    </row>
    <row r="59" spans="3:5" x14ac:dyDescent="0.25">
      <c r="C59" t="s">
        <v>11</v>
      </c>
      <c r="D59" s="5">
        <v>45</v>
      </c>
      <c r="E59" s="5">
        <v>56</v>
      </c>
    </row>
    <row r="60" spans="3:5" x14ac:dyDescent="0.25">
      <c r="C60" t="s">
        <v>6</v>
      </c>
      <c r="D60" s="5">
        <v>6</v>
      </c>
      <c r="E60" s="5">
        <v>13</v>
      </c>
    </row>
    <row r="62" spans="3:5" x14ac:dyDescent="0.25">
      <c r="C62" t="s">
        <v>3</v>
      </c>
      <c r="D62" t="s">
        <v>40</v>
      </c>
      <c r="E62" t="s">
        <v>39</v>
      </c>
    </row>
    <row r="63" spans="3:5" x14ac:dyDescent="0.25">
      <c r="C63" t="s">
        <v>11</v>
      </c>
      <c r="D63" s="4">
        <f>E63/(1+E64)</f>
        <v>156.77966101694912</v>
      </c>
      <c r="E63" s="5">
        <v>370</v>
      </c>
    </row>
    <row r="64" spans="3:5" x14ac:dyDescent="0.25">
      <c r="C64" t="s">
        <v>41</v>
      </c>
      <c r="E64" s="6">
        <v>1.36</v>
      </c>
    </row>
    <row r="66" spans="3:7" x14ac:dyDescent="0.25">
      <c r="C66" t="s">
        <v>42</v>
      </c>
    </row>
    <row r="67" spans="3:7" x14ac:dyDescent="0.25">
      <c r="C67" t="s">
        <v>4</v>
      </c>
      <c r="D67" t="s">
        <v>39</v>
      </c>
      <c r="E67" t="s">
        <v>1</v>
      </c>
    </row>
    <row r="68" spans="3:7" x14ac:dyDescent="0.25">
      <c r="C68" t="s">
        <v>5</v>
      </c>
      <c r="D68" s="7">
        <v>-7.6999999999999999E-2</v>
      </c>
      <c r="F68" t="s">
        <v>63</v>
      </c>
    </row>
    <row r="69" spans="3:7" x14ac:dyDescent="0.25">
      <c r="C69" t="s">
        <v>7</v>
      </c>
      <c r="D69" s="7">
        <v>0.128</v>
      </c>
    </row>
    <row r="71" spans="3:7" x14ac:dyDescent="0.25">
      <c r="C71" t="s">
        <v>64</v>
      </c>
      <c r="D71" s="5">
        <v>25</v>
      </c>
    </row>
    <row r="73" spans="3:7" x14ac:dyDescent="0.25">
      <c r="C73" t="s">
        <v>43</v>
      </c>
      <c r="D73" t="s">
        <v>0</v>
      </c>
      <c r="E73" t="s">
        <v>1</v>
      </c>
    </row>
    <row r="74" spans="3:7" x14ac:dyDescent="0.25">
      <c r="C74" t="s">
        <v>11</v>
      </c>
      <c r="D74" s="4">
        <f>E74/(1+E75)</f>
        <v>1358.1395348837209</v>
      </c>
      <c r="E74" s="5">
        <v>1460</v>
      </c>
    </row>
    <row r="75" spans="3:7" x14ac:dyDescent="0.25">
      <c r="C75" t="s">
        <v>44</v>
      </c>
      <c r="E75" s="7">
        <v>7.4999999999999997E-2</v>
      </c>
    </row>
    <row r="77" spans="3:7" x14ac:dyDescent="0.25">
      <c r="C77" t="s">
        <v>45</v>
      </c>
      <c r="D77" t="s">
        <v>39</v>
      </c>
      <c r="E77" t="s">
        <v>1</v>
      </c>
    </row>
    <row r="78" spans="3:7" x14ac:dyDescent="0.25">
      <c r="C78" t="s">
        <v>14</v>
      </c>
      <c r="D78" s="5">
        <v>249.2</v>
      </c>
      <c r="E78" s="5">
        <v>876.3</v>
      </c>
      <c r="F78">
        <v>0.34799999999999998</v>
      </c>
      <c r="G78">
        <f>E78/F78</f>
        <v>2518.1034482758623</v>
      </c>
    </row>
    <row r="79" spans="3:7" x14ac:dyDescent="0.25">
      <c r="C79" t="s">
        <v>46</v>
      </c>
      <c r="D79" s="8">
        <v>-81</v>
      </c>
      <c r="E79" s="8">
        <v>-327.5</v>
      </c>
    </row>
    <row r="80" spans="3:7" x14ac:dyDescent="0.25">
      <c r="C80" t="s">
        <v>14</v>
      </c>
      <c r="D80" s="9">
        <f>SUM(D78:D79)</f>
        <v>168.2</v>
      </c>
      <c r="E80" s="9">
        <f>SUM(E78:E79)</f>
        <v>548.79999999999995</v>
      </c>
      <c r="F80" s="12"/>
    </row>
    <row r="81" spans="2:6" x14ac:dyDescent="0.25">
      <c r="D81" s="10"/>
    </row>
    <row r="82" spans="2:6" x14ac:dyDescent="0.25">
      <c r="C82" t="s">
        <v>65</v>
      </c>
      <c r="D82" s="13">
        <v>8.5000000000000006E-2</v>
      </c>
      <c r="E82" t="s">
        <v>66</v>
      </c>
    </row>
    <row r="83" spans="2:6" x14ac:dyDescent="0.25">
      <c r="C83" t="s">
        <v>47</v>
      </c>
      <c r="D83" s="5">
        <v>66.599999999999994</v>
      </c>
      <c r="E83" s="5">
        <v>250</v>
      </c>
    </row>
    <row r="84" spans="2:6" x14ac:dyDescent="0.25">
      <c r="C84" t="s">
        <v>48</v>
      </c>
      <c r="D84" s="8">
        <v>-5</v>
      </c>
      <c r="E84" s="8">
        <v>-60.2</v>
      </c>
    </row>
    <row r="85" spans="2:6" x14ac:dyDescent="0.25">
      <c r="C85" t="s">
        <v>47</v>
      </c>
      <c r="D85" s="11">
        <f>SUM(D83:D84)</f>
        <v>61.599999999999994</v>
      </c>
      <c r="E85" s="11">
        <f>SUM(E83:E84)</f>
        <v>189.8</v>
      </c>
    </row>
    <row r="87" spans="2:6" x14ac:dyDescent="0.25">
      <c r="D87" t="s">
        <v>40</v>
      </c>
      <c r="E87" t="s">
        <v>39</v>
      </c>
      <c r="F87" t="s">
        <v>1</v>
      </c>
    </row>
    <row r="88" spans="2:6" x14ac:dyDescent="0.25">
      <c r="C88" t="s">
        <v>2</v>
      </c>
      <c r="D88" s="5">
        <v>62.9</v>
      </c>
      <c r="E88" s="5">
        <v>134.1</v>
      </c>
      <c r="F88" s="5">
        <v>619.6</v>
      </c>
    </row>
    <row r="90" spans="2:6" x14ac:dyDescent="0.25">
      <c r="C90" t="s">
        <v>49</v>
      </c>
      <c r="D90" s="6">
        <v>0.17</v>
      </c>
      <c r="E90" s="7"/>
    </row>
    <row r="91" spans="2:6" x14ac:dyDescent="0.25">
      <c r="C91" t="s">
        <v>12</v>
      </c>
      <c r="D91" s="6">
        <v>1.02</v>
      </c>
    </row>
    <row r="92" spans="2:6" x14ac:dyDescent="0.25">
      <c r="C92" t="s">
        <v>50</v>
      </c>
    </row>
    <row r="95" spans="2:6" x14ac:dyDescent="0.25">
      <c r="B95" t="s">
        <v>8</v>
      </c>
      <c r="C95" t="s">
        <v>75</v>
      </c>
    </row>
    <row r="96" spans="2:6" ht="3" customHeight="1" x14ac:dyDescent="0.25"/>
    <row r="97" spans="2:19" x14ac:dyDescent="0.25">
      <c r="B97" t="s">
        <v>9</v>
      </c>
      <c r="C97" s="2">
        <v>46149</v>
      </c>
    </row>
    <row r="98" spans="2:19" ht="3" customHeight="1" x14ac:dyDescent="0.25">
      <c r="C98" s="3"/>
      <c r="D98" s="3"/>
      <c r="E98" s="3"/>
      <c r="F98" s="3"/>
      <c r="G98" s="3"/>
      <c r="H98" s="3"/>
      <c r="I98" s="3"/>
      <c r="J98" s="3"/>
      <c r="K98" s="3"/>
      <c r="L98" s="3"/>
      <c r="M98" s="3"/>
      <c r="N98" s="3"/>
      <c r="O98" s="3"/>
      <c r="P98" s="3"/>
      <c r="Q98" s="3"/>
      <c r="R98" s="3"/>
      <c r="S98" s="3"/>
    </row>
    <row r="99" spans="2:19" x14ac:dyDescent="0.25">
      <c r="C99" t="s">
        <v>76</v>
      </c>
      <c r="D99" s="15">
        <v>0.20899999999999999</v>
      </c>
    </row>
    <row r="101" spans="2:19" x14ac:dyDescent="0.25">
      <c r="C101" t="s">
        <v>13</v>
      </c>
      <c r="D101" s="15">
        <v>0.2</v>
      </c>
    </row>
    <row r="102" spans="2:19" x14ac:dyDescent="0.25">
      <c r="D102" s="6"/>
    </row>
    <row r="103" spans="2:19" x14ac:dyDescent="0.25">
      <c r="C103" t="s">
        <v>77</v>
      </c>
      <c r="D103" s="17">
        <v>50</v>
      </c>
    </row>
    <row r="105" spans="2:19" x14ac:dyDescent="0.25">
      <c r="C105" t="s">
        <v>78</v>
      </c>
      <c r="D105" s="6"/>
    </row>
    <row r="106" spans="2:19" x14ac:dyDescent="0.25">
      <c r="C106" t="s">
        <v>79</v>
      </c>
      <c r="D106" s="6"/>
    </row>
    <row r="107" spans="2:19" x14ac:dyDescent="0.25">
      <c r="C107" t="s">
        <v>80</v>
      </c>
    </row>
    <row r="109" spans="2:19" x14ac:dyDescent="0.25">
      <c r="C109" t="s">
        <v>81</v>
      </c>
      <c r="D109" s="15">
        <v>0.17</v>
      </c>
    </row>
    <row r="110" spans="2:19" x14ac:dyDescent="0.25">
      <c r="C110" t="s">
        <v>83</v>
      </c>
      <c r="D110" s="16" t="s">
        <v>84</v>
      </c>
    </row>
    <row r="111" spans="2:19" x14ac:dyDescent="0.25">
      <c r="C111" t="s">
        <v>82</v>
      </c>
    </row>
    <row r="112" spans="2:19" x14ac:dyDescent="0.25">
      <c r="C112" t="s">
        <v>85</v>
      </c>
    </row>
    <row r="113" spans="3:6" x14ac:dyDescent="0.25">
      <c r="D113" s="6"/>
      <c r="E113" t="s">
        <v>87</v>
      </c>
    </row>
    <row r="114" spans="3:6" x14ac:dyDescent="0.25">
      <c r="C114" t="s">
        <v>86</v>
      </c>
      <c r="D114" s="18">
        <f>E114/(1+E115)</f>
        <v>328.30188679245282</v>
      </c>
      <c r="E114" s="19">
        <v>348</v>
      </c>
    </row>
    <row r="115" spans="3:6" x14ac:dyDescent="0.25">
      <c r="C115" t="s">
        <v>51</v>
      </c>
      <c r="E115" s="15">
        <v>0.06</v>
      </c>
    </row>
    <row r="116" spans="3:6" x14ac:dyDescent="0.25">
      <c r="D116" s="5"/>
    </row>
    <row r="117" spans="3:6" x14ac:dyDescent="0.25">
      <c r="C117" t="s">
        <v>88</v>
      </c>
      <c r="D117" s="18">
        <f>E117/(1+E118)</f>
        <v>230</v>
      </c>
      <c r="E117" s="19">
        <v>368</v>
      </c>
    </row>
    <row r="118" spans="3:6" x14ac:dyDescent="0.25">
      <c r="C118" t="s">
        <v>51</v>
      </c>
      <c r="D118" s="6"/>
      <c r="E118" s="15">
        <v>0.6</v>
      </c>
    </row>
    <row r="119" spans="3:6" x14ac:dyDescent="0.25">
      <c r="D119" s="6"/>
    </row>
    <row r="120" spans="3:6" x14ac:dyDescent="0.25">
      <c r="C120" t="s">
        <v>89</v>
      </c>
      <c r="D120" s="18"/>
      <c r="E120" s="19">
        <v>67</v>
      </c>
    </row>
    <row r="121" spans="3:6" x14ac:dyDescent="0.25">
      <c r="E121" s="15"/>
    </row>
    <row r="122" spans="3:6" x14ac:dyDescent="0.25">
      <c r="C122" t="s">
        <v>90</v>
      </c>
      <c r="D122" s="5"/>
      <c r="E122" s="15">
        <v>1</v>
      </c>
    </row>
    <row r="123" spans="3:6" x14ac:dyDescent="0.25">
      <c r="D123" s="5"/>
    </row>
    <row r="124" spans="3:6" x14ac:dyDescent="0.25">
      <c r="C124" t="s">
        <v>91</v>
      </c>
      <c r="E124" s="15">
        <v>0.15</v>
      </c>
    </row>
    <row r="126" spans="3:6" x14ac:dyDescent="0.25">
      <c r="C126" t="s">
        <v>92</v>
      </c>
      <c r="D126" s="19">
        <v>198</v>
      </c>
      <c r="E126" s="18">
        <f>D126*(1+E122-E124)</f>
        <v>366.3</v>
      </c>
    </row>
    <row r="127" spans="3:6" x14ac:dyDescent="0.25">
      <c r="C127" t="s">
        <v>94</v>
      </c>
      <c r="E127" s="20">
        <f>E126-E128</f>
        <v>26.300000000000011</v>
      </c>
      <c r="F127" s="14">
        <f>E127/E126</f>
        <v>7.1799071799071829E-2</v>
      </c>
    </row>
    <row r="128" spans="3:6" x14ac:dyDescent="0.25">
      <c r="C128" t="s">
        <v>93</v>
      </c>
      <c r="E128" s="22">
        <v>340</v>
      </c>
    </row>
    <row r="129" spans="3:5" x14ac:dyDescent="0.25">
      <c r="C129" t="s">
        <v>95</v>
      </c>
      <c r="E129" s="23">
        <v>28</v>
      </c>
    </row>
    <row r="130" spans="3:5" x14ac:dyDescent="0.25">
      <c r="C130" t="s">
        <v>96</v>
      </c>
      <c r="E130" s="3">
        <f>SUM(E128:E129)</f>
        <v>368</v>
      </c>
    </row>
    <row r="132" spans="3:5" x14ac:dyDescent="0.25">
      <c r="C132" t="s">
        <v>97</v>
      </c>
    </row>
    <row r="134" spans="3:5" x14ac:dyDescent="0.25">
      <c r="C134" t="s">
        <v>98</v>
      </c>
    </row>
    <row r="135" spans="3:5" x14ac:dyDescent="0.25">
      <c r="D135" t="s">
        <v>100</v>
      </c>
      <c r="E135" t="s">
        <v>87</v>
      </c>
    </row>
    <row r="136" spans="3:5" x14ac:dyDescent="0.25">
      <c r="C136" t="s">
        <v>99</v>
      </c>
      <c r="D136" s="15">
        <v>0.318</v>
      </c>
      <c r="E136" s="15">
        <v>0.26400000000000001</v>
      </c>
    </row>
    <row r="138" spans="3:5" x14ac:dyDescent="0.25">
      <c r="D138" t="s">
        <v>101</v>
      </c>
      <c r="E138" t="s">
        <v>87</v>
      </c>
    </row>
    <row r="139" spans="3:5" x14ac:dyDescent="0.25">
      <c r="C139" t="s">
        <v>2</v>
      </c>
      <c r="D139" s="15">
        <v>0.21199999999999999</v>
      </c>
      <c r="E139" s="15">
        <v>0.249</v>
      </c>
    </row>
    <row r="140" spans="3:5" x14ac:dyDescent="0.25">
      <c r="C140" t="s">
        <v>2</v>
      </c>
      <c r="D140" s="19">
        <v>125</v>
      </c>
      <c r="E140" s="19">
        <v>195</v>
      </c>
    </row>
    <row r="142" spans="3:5" x14ac:dyDescent="0.25">
      <c r="C142" t="s">
        <v>102</v>
      </c>
      <c r="E142" s="19">
        <v>0.7</v>
      </c>
    </row>
    <row r="143" spans="3:5" x14ac:dyDescent="0.25">
      <c r="C143" t="s">
        <v>103</v>
      </c>
      <c r="E143" s="19">
        <v>24.1</v>
      </c>
    </row>
    <row r="146" spans="3:6" x14ac:dyDescent="0.25">
      <c r="C146" t="s">
        <v>113</v>
      </c>
      <c r="E146" s="19">
        <v>236.1</v>
      </c>
      <c r="F146" s="21" t="s">
        <v>114</v>
      </c>
    </row>
    <row r="148" spans="3:6" x14ac:dyDescent="0.25">
      <c r="C148" t="s">
        <v>104</v>
      </c>
    </row>
    <row r="150" spans="3:6" x14ac:dyDescent="0.25">
      <c r="C150" t="s">
        <v>105</v>
      </c>
    </row>
    <row r="152" spans="3:6" x14ac:dyDescent="0.25">
      <c r="C152" t="s">
        <v>106</v>
      </c>
    </row>
    <row r="153" spans="3:6" x14ac:dyDescent="0.25">
      <c r="C153" t="s">
        <v>107</v>
      </c>
    </row>
    <row r="155" spans="3:6" x14ac:dyDescent="0.25">
      <c r="C155" t="s">
        <v>108</v>
      </c>
      <c r="E155" s="15">
        <v>0.21</v>
      </c>
    </row>
    <row r="157" spans="3:6" x14ac:dyDescent="0.25">
      <c r="C157" t="s">
        <v>109</v>
      </c>
      <c r="E157" s="15"/>
    </row>
    <row r="158" spans="3:6" x14ac:dyDescent="0.25">
      <c r="C158" t="s">
        <v>110</v>
      </c>
    </row>
    <row r="159" spans="3:6" x14ac:dyDescent="0.25">
      <c r="C159" t="s">
        <v>111</v>
      </c>
    </row>
    <row r="160" spans="3:6" x14ac:dyDescent="0.25">
      <c r="C160" t="s">
        <v>112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Transcript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 Rodino</cp:lastModifiedBy>
  <dcterms:created xsi:type="dcterms:W3CDTF">2026-05-10T21:31:38Z</dcterms:created>
  <dcterms:modified xsi:type="dcterms:W3CDTF">2026-05-31T04:45:33Z</dcterms:modified>
</cp:coreProperties>
</file>