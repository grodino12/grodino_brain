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visible" r:id="rId5"/>
    <sheet xmlns:r="http://schemas.openxmlformats.org/officeDocument/2006/relationships" name="YTD BS" sheetId="6" state="visible" r:id="rId6"/>
    <sheet xmlns:r="http://schemas.openxmlformats.org/officeDocument/2006/relationships" name="YTD CF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0" fontId="0" fillId="4" borderId="0" applyAlignment="1" pivotButton="0" quotePrefix="0" xfId="0">
      <alignment horizontal="center"/>
    </xf>
    <xf numFmtId="167" fontId="0" fillId="0" borderId="0" pivotButton="0" quotePrefix="0" xfId="0"/>
    <xf numFmtId="167" fontId="0" fillId="4" borderId="0" pivotButton="0" quotePrefix="0" xfId="0"/>
    <xf numFmtId="164" fontId="0" fillId="4" borderId="0" pivotButton="0" quotePrefix="0" xfId="0"/>
    <xf numFmtId="168" fontId="0" fillId="0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10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FY2017</t>
        </is>
      </c>
      <c r="C1" s="2" t="inlineStr">
        <is>
          <t>FY2018</t>
        </is>
      </c>
      <c r="D1" s="2" t="inlineStr">
        <is>
          <t>FY2019</t>
        </is>
      </c>
      <c r="E1" s="2" t="inlineStr">
        <is>
          <t>FY2020</t>
        </is>
      </c>
      <c r="F1" s="2" t="inlineStr">
        <is>
          <t>FY2021</t>
        </is>
      </c>
      <c r="G1" s="2" t="inlineStr">
        <is>
          <t>FY2022</t>
        </is>
      </c>
      <c r="H1" s="2" t="inlineStr">
        <is>
          <t>FY2023</t>
        </is>
      </c>
      <c r="I1" s="2" t="inlineStr">
        <is>
          <t>FY2024</t>
        </is>
      </c>
      <c r="J1" s="2" t="inlineStr">
        <is>
          <t>FY2025</t>
        </is>
      </c>
      <c r="K1" s="2" t="inlineStr">
        <is>
          <t>FY2026E</t>
        </is>
      </c>
      <c r="L1" s="2" t="inlineStr">
        <is>
          <t>FY2027E</t>
        </is>
      </c>
      <c r="M1" s="2" t="inlineStr">
        <is>
          <t>FY2028E</t>
        </is>
      </c>
      <c r="N1" s="2" t="inlineStr">
        <is>
          <t>FY2029E</t>
        </is>
      </c>
      <c r="O1" s="2" t="inlineStr">
        <is>
          <t>FY2030E</t>
        </is>
      </c>
      <c r="P1" s="2" t="inlineStr">
        <is>
          <t>FY2031E</t>
        </is>
      </c>
    </row>
    <row r="2">
      <c r="A2" s="3" t="inlineStr">
        <is>
          <t>Net Sales / Revenue</t>
        </is>
      </c>
      <c r="B2" s="4" t="n">
        <v>110855</v>
      </c>
      <c r="C2" s="4" t="n">
        <v>136819</v>
      </c>
      <c r="D2" s="4" t="n">
        <v>161857</v>
      </c>
      <c r="E2" s="4" t="n">
        <v>182527</v>
      </c>
      <c r="F2" s="4" t="n">
        <v>257637</v>
      </c>
      <c r="G2" s="4" t="n">
        <v>282836</v>
      </c>
      <c r="H2" s="4" t="n">
        <v>307394</v>
      </c>
      <c r="I2" s="4" t="n">
        <v>350018</v>
      </c>
      <c r="J2" s="4" t="n">
        <v>402836</v>
      </c>
      <c r="K2" s="11">
        <f>'QTR P&amp;L'!AH2+'QTR P&amp;L'!AI2+'QTR P&amp;L'!AJ2+'QTR P&amp;L'!AK2</f>
        <v/>
      </c>
      <c r="L2" s="11">
        <f>'QTR P&amp;L'!AL2+'QTR P&amp;L'!AM2+'QTR P&amp;L'!AN2+'QTR P&amp;L'!AO2</f>
        <v/>
      </c>
      <c r="M2" s="11">
        <f>'QTR P&amp;L'!AP2+'QTR P&amp;L'!AQ2+'QTR P&amp;L'!AR2+'QTR P&amp;L'!AS2</f>
        <v/>
      </c>
      <c r="N2" s="11">
        <f>'QTR P&amp;L'!AT2+'QTR P&amp;L'!AU2+'QTR P&amp;L'!AV2+'QTR P&amp;L'!AW2</f>
        <v/>
      </c>
      <c r="O2" s="11">
        <f>'QTR P&amp;L'!AX2+'QTR P&amp;L'!AY2+'QTR P&amp;L'!AZ2+'QTR P&amp;L'!BA2</f>
        <v/>
      </c>
      <c r="P2" s="5" t="n"/>
    </row>
    <row r="3">
      <c r="A3" s="3" t="inlineStr">
        <is>
          <t>COGS</t>
        </is>
      </c>
      <c r="B3" s="4" t="n">
        <v>-45583</v>
      </c>
      <c r="C3" s="4" t="n">
        <v>-59549</v>
      </c>
      <c r="D3" s="4" t="n">
        <v>-71896</v>
      </c>
      <c r="E3" s="4" t="n">
        <v>-84732</v>
      </c>
      <c r="F3" s="4" t="n">
        <v>-110939</v>
      </c>
      <c r="G3" s="4" t="n">
        <v>-126203</v>
      </c>
      <c r="H3" s="4" t="n">
        <v>-133332</v>
      </c>
      <c r="I3" s="4" t="n">
        <v>-146306</v>
      </c>
      <c r="J3" s="4" t="n">
        <v>-162535</v>
      </c>
      <c r="K3" s="11">
        <f>'QTR P&amp;L'!AH3+'QTR P&amp;L'!AI3+'QTR P&amp;L'!AJ3+'QTR P&amp;L'!AK3</f>
        <v/>
      </c>
      <c r="L3" s="11">
        <f>'QTR P&amp;L'!AL3+'QTR P&amp;L'!AM3+'QTR P&amp;L'!AN3+'QTR P&amp;L'!AO3</f>
        <v/>
      </c>
      <c r="M3" s="11">
        <f>'QTR P&amp;L'!AP3+'QTR P&amp;L'!AQ3+'QTR P&amp;L'!AR3+'QTR P&amp;L'!AS3</f>
        <v/>
      </c>
      <c r="N3" s="11">
        <f>'QTR P&amp;L'!AT3+'QTR P&amp;L'!AU3+'QTR P&amp;L'!AV3+'QTR P&amp;L'!AW3</f>
        <v/>
      </c>
      <c r="O3" s="11">
        <f>'QTR P&amp;L'!AX3+'QTR P&amp;L'!AY3+'QTR P&amp;L'!AZ3+'QTR P&amp;L'!BA3</f>
        <v/>
      </c>
      <c r="P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7">
        <f>K2+K3</f>
        <v/>
      </c>
      <c r="L4" s="7">
        <f>L2+L3</f>
        <v/>
      </c>
      <c r="M4" s="7">
        <f>M2+M3</f>
        <v/>
      </c>
      <c r="N4" s="7">
        <f>N2+N3</f>
        <v/>
      </c>
      <c r="O4" s="7">
        <f>O2+O3</f>
        <v/>
      </c>
      <c r="P4" s="7">
        <f>P2+P3</f>
        <v/>
      </c>
    </row>
    <row r="5">
      <c r="A5" s="3" t="inlineStr">
        <is>
          <t>Research and Development</t>
        </is>
      </c>
      <c r="B5" s="4" t="n">
        <v>-16625</v>
      </c>
      <c r="C5" s="4" t="n">
        <v>-21419</v>
      </c>
      <c r="D5" s="4" t="n">
        <v>-26018</v>
      </c>
      <c r="E5" s="4" t="n">
        <v>-27573</v>
      </c>
      <c r="F5" s="4" t="n">
        <v>-31562</v>
      </c>
      <c r="G5" s="4" t="n">
        <v>-39500</v>
      </c>
      <c r="H5" s="4" t="n">
        <v>-45427</v>
      </c>
      <c r="I5" s="4" t="n">
        <v>-49326</v>
      </c>
      <c r="J5" s="4" t="n">
        <v>-61087</v>
      </c>
      <c r="K5" s="11">
        <f>'QTR P&amp;L'!AH5+'QTR P&amp;L'!AI5+'QTR P&amp;L'!AJ5+'QTR P&amp;L'!AK5</f>
        <v/>
      </c>
      <c r="L5" s="11">
        <f>'QTR P&amp;L'!AL5+'QTR P&amp;L'!AM5+'QTR P&amp;L'!AN5+'QTR P&amp;L'!AO5</f>
        <v/>
      </c>
      <c r="M5" s="11">
        <f>'QTR P&amp;L'!AP5+'QTR P&amp;L'!AQ5+'QTR P&amp;L'!AR5+'QTR P&amp;L'!AS5</f>
        <v/>
      </c>
      <c r="N5" s="11">
        <f>'QTR P&amp;L'!AT5+'QTR P&amp;L'!AU5+'QTR P&amp;L'!AV5+'QTR P&amp;L'!AW5</f>
        <v/>
      </c>
      <c r="O5" s="11">
        <f>'QTR P&amp;L'!AX5+'QTR P&amp;L'!AY5+'QTR P&amp;L'!AZ5+'QTR P&amp;L'!BA5</f>
        <v/>
      </c>
      <c r="P5" s="5" t="n"/>
    </row>
    <row r="6">
      <c r="A6" s="3" t="inlineStr">
        <is>
          <t>Sales and Marketing</t>
        </is>
      </c>
      <c r="B6" s="4" t="n">
        <v>-12893</v>
      </c>
      <c r="C6" s="4" t="n">
        <v>-16333</v>
      </c>
      <c r="D6" s="4" t="n">
        <v>-18464</v>
      </c>
      <c r="E6" s="4" t="n">
        <v>-17946</v>
      </c>
      <c r="F6" s="4" t="n">
        <v>-22912</v>
      </c>
      <c r="G6" s="4" t="n">
        <v>-26567</v>
      </c>
      <c r="H6" s="4" t="n">
        <v>-27917</v>
      </c>
      <c r="I6" s="4" t="n">
        <v>-27808</v>
      </c>
      <c r="J6" s="4" t="n">
        <v>-28693</v>
      </c>
      <c r="K6" s="11">
        <f>'QTR P&amp;L'!AH6+'QTR P&amp;L'!AI6+'QTR P&amp;L'!AJ6+'QTR P&amp;L'!AK6</f>
        <v/>
      </c>
      <c r="L6" s="11">
        <f>'QTR P&amp;L'!AL6+'QTR P&amp;L'!AM6+'QTR P&amp;L'!AN6+'QTR P&amp;L'!AO6</f>
        <v/>
      </c>
      <c r="M6" s="11">
        <f>'QTR P&amp;L'!AP6+'QTR P&amp;L'!AQ6+'QTR P&amp;L'!AR6+'QTR P&amp;L'!AS6</f>
        <v/>
      </c>
      <c r="N6" s="11">
        <f>'QTR P&amp;L'!AT6+'QTR P&amp;L'!AU6+'QTR P&amp;L'!AV6+'QTR P&amp;L'!AW6</f>
        <v/>
      </c>
      <c r="O6" s="11">
        <f>'QTR P&amp;L'!AX6+'QTR P&amp;L'!AY6+'QTR P&amp;L'!AZ6+'QTR P&amp;L'!BA6</f>
        <v/>
      </c>
      <c r="P6" s="5" t="n"/>
    </row>
    <row r="7">
      <c r="A7" s="3" t="inlineStr">
        <is>
          <t>General and Administrative</t>
        </is>
      </c>
      <c r="B7" s="4" t="n">
        <v>-6840</v>
      </c>
      <c r="C7" s="4" t="n">
        <v>-6923</v>
      </c>
      <c r="D7" s="4" t="n">
        <v>-9551</v>
      </c>
      <c r="E7" s="4" t="n">
        <v>-11052</v>
      </c>
      <c r="F7" s="4" t="n">
        <v>-13510</v>
      </c>
      <c r="G7" s="4" t="n">
        <v>-15724</v>
      </c>
      <c r="H7" s="4" t="n">
        <v>-16425</v>
      </c>
      <c r="I7" s="4" t="n">
        <v>-14188</v>
      </c>
      <c r="J7" s="4" t="n">
        <v>-21482</v>
      </c>
      <c r="K7" s="11">
        <f>'QTR P&amp;L'!AH7+'QTR P&amp;L'!AI7+'QTR P&amp;L'!AJ7+'QTR P&amp;L'!AK7</f>
        <v/>
      </c>
      <c r="L7" s="11">
        <f>'QTR P&amp;L'!AL7+'QTR P&amp;L'!AM7+'QTR P&amp;L'!AN7+'QTR P&amp;L'!AO7</f>
        <v/>
      </c>
      <c r="M7" s="11">
        <f>'QTR P&amp;L'!AP7+'QTR P&amp;L'!AQ7+'QTR P&amp;L'!AR7+'QTR P&amp;L'!AS7</f>
        <v/>
      </c>
      <c r="N7" s="11">
        <f>'QTR P&amp;L'!AT7+'QTR P&amp;L'!AU7+'QTR P&amp;L'!AV7+'QTR P&amp;L'!AW7</f>
        <v/>
      </c>
      <c r="O7" s="11">
        <f>'QTR P&amp;L'!AX7+'QTR P&amp;L'!AY7+'QTR P&amp;L'!AZ7+'QTR P&amp;L'!BA7</f>
        <v/>
      </c>
      <c r="P7" s="5" t="n"/>
    </row>
    <row r="8">
      <c r="A8" s="3" t="inlineStr">
        <is>
          <t>Litigation and Regulatory Charges</t>
        </is>
      </c>
      <c r="B8" s="4" t="n">
        <v>-2736</v>
      </c>
      <c r="C8" s="4" t="n">
        <v>-5071</v>
      </c>
      <c r="D8" s="4" t="n">
        <v>-1697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11">
        <f>'QTR P&amp;L'!AH8+'QTR P&amp;L'!AI8+'QTR P&amp;L'!AJ8+'QTR P&amp;L'!AK8</f>
        <v/>
      </c>
      <c r="L8" s="11">
        <f>'QTR P&amp;L'!AL8+'QTR P&amp;L'!AM8+'QTR P&amp;L'!AN8+'QTR P&amp;L'!AO8</f>
        <v/>
      </c>
      <c r="M8" s="11">
        <f>'QTR P&amp;L'!AP8+'QTR P&amp;L'!AQ8+'QTR P&amp;L'!AR8+'QTR P&amp;L'!AS8</f>
        <v/>
      </c>
      <c r="N8" s="11">
        <f>'QTR P&amp;L'!AT8+'QTR P&amp;L'!AU8+'QTR P&amp;L'!AV8+'QTR P&amp;L'!AW8</f>
        <v/>
      </c>
      <c r="O8" s="11">
        <f>'QTR P&amp;L'!AX8+'QTR P&amp;L'!AY8+'QTR P&amp;L'!AZ8+'QTR P&amp;L'!BA8</f>
        <v/>
      </c>
      <c r="P8" s="5" t="n"/>
    </row>
    <row r="9">
      <c r="A9" s="3" t="inlineStr">
        <is>
          <t>Income (Loss) from Operations</t>
        </is>
      </c>
      <c r="B9" s="6">
        <f>B4+SUM(B5:B8)</f>
        <v/>
      </c>
      <c r="C9" s="6">
        <f>C4+SUM(C5:C8)</f>
        <v/>
      </c>
      <c r="D9" s="6">
        <f>D4+SUM(D5:D8)</f>
        <v/>
      </c>
      <c r="E9" s="6">
        <f>E4+SUM(E5:E8)</f>
        <v/>
      </c>
      <c r="F9" s="6">
        <f>F4+SUM(F5:F8)</f>
        <v/>
      </c>
      <c r="G9" s="6">
        <f>G4+SUM(G5:G8)</f>
        <v/>
      </c>
      <c r="H9" s="6">
        <f>H4+SUM(H5:H8)</f>
        <v/>
      </c>
      <c r="I9" s="6">
        <f>I4+SUM(I5:I8)</f>
        <v/>
      </c>
      <c r="J9" s="6">
        <f>J4+SUM(J5:J8)</f>
        <v/>
      </c>
      <c r="K9" s="7">
        <f>K4+SUM(K5:K8)</f>
        <v/>
      </c>
      <c r="L9" s="7">
        <f>L4+SUM(L5:L8)</f>
        <v/>
      </c>
      <c r="M9" s="7">
        <f>M4+SUM(M5:M8)</f>
        <v/>
      </c>
      <c r="N9" s="7">
        <f>N4+SUM(N5:N8)</f>
        <v/>
      </c>
      <c r="O9" s="7">
        <f>O4+SUM(O5:O8)</f>
        <v/>
      </c>
      <c r="P9" s="7">
        <f>P4+SUM(P5:P8)</f>
        <v/>
      </c>
    </row>
    <row r="10">
      <c r="A10" s="3" t="inlineStr">
        <is>
          <t>Other Income (Expense)</t>
        </is>
      </c>
      <c r="B10" s="4" t="n">
        <v>1015</v>
      </c>
      <c r="C10" s="4" t="n">
        <v>7389</v>
      </c>
      <c r="D10" s="4" t="n">
        <v>5394</v>
      </c>
      <c r="E10" s="4" t="n">
        <v>6858</v>
      </c>
      <c r="F10" s="4" t="n">
        <v>12020</v>
      </c>
      <c r="G10" s="4" t="n">
        <v>-3514</v>
      </c>
      <c r="H10" s="4" t="n">
        <v>1424</v>
      </c>
      <c r="I10" s="4" t="n">
        <v>7425</v>
      </c>
      <c r="J10" s="4" t="n">
        <v>29787</v>
      </c>
      <c r="K10" s="11">
        <f>'QTR P&amp;L'!AH10+'QTR P&amp;L'!AI10+'QTR P&amp;L'!AJ10+'QTR P&amp;L'!AK10</f>
        <v/>
      </c>
      <c r="L10" s="11">
        <f>'QTR P&amp;L'!AL10+'QTR P&amp;L'!AM10+'QTR P&amp;L'!AN10+'QTR P&amp;L'!AO10</f>
        <v/>
      </c>
      <c r="M10" s="11">
        <f>'QTR P&amp;L'!AP10+'QTR P&amp;L'!AQ10+'QTR P&amp;L'!AR10+'QTR P&amp;L'!AS10</f>
        <v/>
      </c>
      <c r="N10" s="11">
        <f>'QTR P&amp;L'!AT10+'QTR P&amp;L'!AU10+'QTR P&amp;L'!AV10+'QTR P&amp;L'!AW10</f>
        <v/>
      </c>
      <c r="O10" s="11">
        <f>'QTR P&amp;L'!AX10+'QTR P&amp;L'!AY10+'QTR P&amp;L'!AZ10+'QTR P&amp;L'!BA10</f>
        <v/>
      </c>
      <c r="P10" s="5" t="n"/>
    </row>
    <row r="11">
      <c r="A11" s="3" t="inlineStr">
        <is>
          <t>Pre-Tax Income (Loss)</t>
        </is>
      </c>
      <c r="B11" s="6">
        <f>B9+B10</f>
        <v/>
      </c>
      <c r="C11" s="6">
        <f>C9+C10</f>
        <v/>
      </c>
      <c r="D11" s="6">
        <f>D9+D10</f>
        <v/>
      </c>
      <c r="E11" s="6">
        <f>E9+E10</f>
        <v/>
      </c>
      <c r="F11" s="6">
        <f>F9+F10</f>
        <v/>
      </c>
      <c r="G11" s="6">
        <f>G9+G10</f>
        <v/>
      </c>
      <c r="H11" s="6">
        <f>H9+H10</f>
        <v/>
      </c>
      <c r="I11" s="6">
        <f>I9+I10</f>
        <v/>
      </c>
      <c r="J11" s="6">
        <f>J9+J10</f>
        <v/>
      </c>
      <c r="K11" s="7">
        <f>K9+K10</f>
        <v/>
      </c>
      <c r="L11" s="7">
        <f>L9+L10</f>
        <v/>
      </c>
      <c r="M11" s="7">
        <f>M9+M10</f>
        <v/>
      </c>
      <c r="N11" s="7">
        <f>N9+N10</f>
        <v/>
      </c>
      <c r="O11" s="7">
        <f>O9+O10</f>
        <v/>
      </c>
      <c r="P11" s="7">
        <f>P9+P10</f>
        <v/>
      </c>
    </row>
    <row r="12">
      <c r="A12" s="3" t="inlineStr">
        <is>
          <t>Income Tax (Expense) Benefit</t>
        </is>
      </c>
      <c r="B12" s="4" t="n">
        <v>-14531</v>
      </c>
      <c r="C12" s="4" t="n">
        <v>-4177</v>
      </c>
      <c r="D12" s="4" t="n">
        <v>-5282</v>
      </c>
      <c r="E12" s="4" t="n">
        <v>-7813</v>
      </c>
      <c r="F12" s="4" t="n">
        <v>-14701</v>
      </c>
      <c r="G12" s="4" t="n">
        <v>-11356</v>
      </c>
      <c r="H12" s="4" t="n">
        <v>-11922</v>
      </c>
      <c r="I12" s="4" t="n">
        <v>-19697</v>
      </c>
      <c r="J12" s="4" t="n">
        <v>-26656</v>
      </c>
      <c r="K12" s="11">
        <f>'QTR P&amp;L'!AH12+'QTR P&amp;L'!AI12+'QTR P&amp;L'!AJ12+'QTR P&amp;L'!AK12</f>
        <v/>
      </c>
      <c r="L12" s="11">
        <f>'QTR P&amp;L'!AL12+'QTR P&amp;L'!AM12+'QTR P&amp;L'!AN12+'QTR P&amp;L'!AO12</f>
        <v/>
      </c>
      <c r="M12" s="11">
        <f>'QTR P&amp;L'!AP12+'QTR P&amp;L'!AQ12+'QTR P&amp;L'!AR12+'QTR P&amp;L'!AS12</f>
        <v/>
      </c>
      <c r="N12" s="11">
        <f>'QTR P&amp;L'!AT12+'QTR P&amp;L'!AU12+'QTR P&amp;L'!AV12+'QTR P&amp;L'!AW12</f>
        <v/>
      </c>
      <c r="O12" s="11">
        <f>'QTR P&amp;L'!AX12+'QTR P&amp;L'!AY12+'QTR P&amp;L'!AZ12+'QTR P&amp;L'!BA12</f>
        <v/>
      </c>
      <c r="P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7">
        <f>K11+K12</f>
        <v/>
      </c>
      <c r="L13" s="7">
        <f>L11+L12</f>
        <v/>
      </c>
      <c r="M13" s="7">
        <f>M11+M12</f>
        <v/>
      </c>
      <c r="N13" s="7">
        <f>N11+N12</f>
        <v/>
      </c>
      <c r="O13" s="7">
        <f>O11+O12</f>
        <v/>
      </c>
      <c r="P13" s="7">
        <f>P11+P12</f>
        <v/>
      </c>
    </row>
    <row r="14">
      <c r="A14" s="3" t="inlineStr">
        <is>
          <t>Basic Earnings (Loss) per Share</t>
        </is>
      </c>
      <c r="B14" s="8" t="n">
        <v>18.27</v>
      </c>
      <c r="C14" s="8" t="n">
        <v>44.22</v>
      </c>
      <c r="D14" s="8" t="n">
        <v>49.59</v>
      </c>
      <c r="E14" s="8" t="n">
        <v>59.15</v>
      </c>
      <c r="F14" s="8" t="n">
        <v>113.88</v>
      </c>
      <c r="G14" s="8" t="n">
        <v>4.59</v>
      </c>
      <c r="H14" s="8" t="n">
        <v>5.84</v>
      </c>
      <c r="I14" s="8" t="n">
        <v>8.130000000000001</v>
      </c>
      <c r="J14" s="8" t="n">
        <v>10.91</v>
      </c>
      <c r="K14" s="9" t="n"/>
      <c r="L14" s="9" t="n"/>
      <c r="M14" s="9" t="n"/>
      <c r="N14" s="9" t="n"/>
      <c r="O14" s="9" t="n"/>
      <c r="P14" s="9" t="n"/>
    </row>
    <row r="15">
      <c r="A15" s="3" t="inlineStr">
        <is>
          <t>Diluted Earnings (Loss) per Share</t>
        </is>
      </c>
      <c r="B15" s="8" t="n">
        <v>18</v>
      </c>
      <c r="C15" s="8" t="n">
        <v>43.7</v>
      </c>
      <c r="D15" s="8" t="n">
        <v>49.16</v>
      </c>
      <c r="E15" s="8" t="n">
        <v>58.61</v>
      </c>
      <c r="F15" s="8" t="n">
        <v>112.2</v>
      </c>
      <c r="G15" s="8" t="n">
        <v>4.56</v>
      </c>
      <c r="H15" s="8" t="n">
        <v>5.8</v>
      </c>
      <c r="I15" s="8" t="n">
        <v>8.039999999999999</v>
      </c>
      <c r="J15" s="8" t="n">
        <v>10.81</v>
      </c>
      <c r="K15" s="9" t="n"/>
      <c r="L15" s="9" t="n"/>
      <c r="M15" s="9" t="n"/>
      <c r="N15" s="9" t="n"/>
      <c r="O15" s="9" t="n"/>
      <c r="P15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FY2018</t>
        </is>
      </c>
      <c r="C1" s="2" t="inlineStr">
        <is>
          <t>FY2019</t>
        </is>
      </c>
      <c r="D1" s="2" t="inlineStr">
        <is>
          <t>FY2020</t>
        </is>
      </c>
      <c r="E1" s="2" t="inlineStr">
        <is>
          <t>FY2021</t>
        </is>
      </c>
      <c r="F1" s="2" t="inlineStr">
        <is>
          <t>FY2022</t>
        </is>
      </c>
      <c r="G1" s="2" t="inlineStr">
        <is>
          <t>FY2023</t>
        </is>
      </c>
      <c r="H1" s="2" t="inlineStr">
        <is>
          <t>FY2024</t>
        </is>
      </c>
      <c r="I1" s="2" t="inlineStr">
        <is>
          <t>FY2025</t>
        </is>
      </c>
      <c r="J1" s="2" t="inlineStr">
        <is>
          <t>FY2026E</t>
        </is>
      </c>
      <c r="K1" s="2" t="inlineStr">
        <is>
          <t>FY2027E</t>
        </is>
      </c>
      <c r="L1" s="2" t="inlineStr">
        <is>
          <t>FY2028E</t>
        </is>
      </c>
      <c r="M1" s="2" t="inlineStr">
        <is>
          <t>FY2029E</t>
        </is>
      </c>
      <c r="N1" s="2" t="inlineStr">
        <is>
          <t>FY2030E</t>
        </is>
      </c>
      <c r="O1" s="2" t="inlineStr">
        <is>
          <t>FY2031E</t>
        </is>
      </c>
    </row>
    <row r="2">
      <c r="A2" s="3" t="inlineStr">
        <is>
          <t>Cash &amp; Cash Equivalents</t>
        </is>
      </c>
      <c r="B2" s="4" t="n">
        <v>16701</v>
      </c>
      <c r="C2" s="4" t="n">
        <v>18498</v>
      </c>
      <c r="D2" s="4" t="n">
        <v>26465</v>
      </c>
      <c r="E2" s="4" t="n">
        <v>20945</v>
      </c>
      <c r="F2" s="4" t="n">
        <v>21879</v>
      </c>
      <c r="G2" s="4" t="n">
        <v>24048</v>
      </c>
      <c r="H2" s="4" t="n">
        <v>23466</v>
      </c>
      <c r="I2" s="4" t="n">
        <v>30708</v>
      </c>
      <c r="J2" s="11">
        <f>'QTR BS'!AH2</f>
        <v/>
      </c>
      <c r="K2" s="11">
        <f>'QTR BS'!AL2</f>
        <v/>
      </c>
      <c r="L2" s="11">
        <f>'QTR BS'!AP2</f>
        <v/>
      </c>
      <c r="M2" s="11">
        <f>'QTR BS'!AT2</f>
        <v/>
      </c>
      <c r="N2" s="11">
        <f>'QTR BS'!AX2</f>
        <v/>
      </c>
      <c r="O2" s="5" t="n"/>
    </row>
    <row r="3">
      <c r="A3" s="3" t="inlineStr">
        <is>
          <t>Short-Term Investments</t>
        </is>
      </c>
      <c r="B3" s="4" t="n">
        <v>92439</v>
      </c>
      <c r="C3" s="4" t="n">
        <v>101177</v>
      </c>
      <c r="D3" s="4" t="n">
        <v>110229</v>
      </c>
      <c r="E3" s="4" t="n">
        <v>118704</v>
      </c>
      <c r="F3" s="4" t="n">
        <v>91883</v>
      </c>
      <c r="G3" s="4" t="n">
        <v>86868</v>
      </c>
      <c r="H3" s="4" t="n">
        <v>72191</v>
      </c>
      <c r="I3" s="4" t="n">
        <v>96135</v>
      </c>
      <c r="J3" s="11">
        <f>'QTR BS'!AH3</f>
        <v/>
      </c>
      <c r="K3" s="11">
        <f>'QTR BS'!AL3</f>
        <v/>
      </c>
      <c r="L3" s="11">
        <f>'QTR BS'!AP3</f>
        <v/>
      </c>
      <c r="M3" s="11">
        <f>'QTR BS'!AT3</f>
        <v/>
      </c>
      <c r="N3" s="11">
        <f>'QTR BS'!AX3</f>
        <v/>
      </c>
      <c r="O3" s="5" t="n"/>
    </row>
    <row r="4">
      <c r="A4" s="3" t="inlineStr">
        <is>
          <t>Accounts Receivable</t>
        </is>
      </c>
      <c r="B4" s="4" t="n">
        <v>20838</v>
      </c>
      <c r="C4" s="4" t="n">
        <v>25326</v>
      </c>
      <c r="D4" s="4" t="n">
        <v>30930</v>
      </c>
      <c r="E4" s="4" t="n">
        <v>39304</v>
      </c>
      <c r="F4" s="4" t="n">
        <v>40258</v>
      </c>
      <c r="G4" s="4" t="n">
        <v>47964</v>
      </c>
      <c r="H4" s="4" t="n">
        <v>52340</v>
      </c>
      <c r="I4" s="4" t="n">
        <v>62886</v>
      </c>
      <c r="J4" s="11">
        <f>'QTR BS'!AH4</f>
        <v/>
      </c>
      <c r="K4" s="11">
        <f>'QTR BS'!AL4</f>
        <v/>
      </c>
      <c r="L4" s="11">
        <f>'QTR BS'!AP4</f>
        <v/>
      </c>
      <c r="M4" s="11">
        <f>'QTR BS'!AT4</f>
        <v/>
      </c>
      <c r="N4" s="11">
        <f>'QTR BS'!AX4</f>
        <v/>
      </c>
      <c r="O4" s="5" t="n"/>
    </row>
    <row r="5">
      <c r="A5" s="3" t="inlineStr">
        <is>
          <t>Note Receivable - Current</t>
        </is>
      </c>
      <c r="B5" s="4" t="n">
        <v>355</v>
      </c>
      <c r="C5" s="4" t="n">
        <v>2166</v>
      </c>
      <c r="D5" s="4" t="n">
        <v>454</v>
      </c>
      <c r="E5" s="4" t="n">
        <v>966</v>
      </c>
      <c r="F5" s="4" t="n">
        <v>0</v>
      </c>
      <c r="G5" s="4" t="n">
        <v>0</v>
      </c>
      <c r="H5" s="4" t="n">
        <v>0</v>
      </c>
      <c r="I5" s="4" t="n">
        <v>0</v>
      </c>
      <c r="J5" s="11">
        <f>'QTR BS'!AH5</f>
        <v/>
      </c>
      <c r="K5" s="11">
        <f>'QTR BS'!AL5</f>
        <v/>
      </c>
      <c r="L5" s="11">
        <f>'QTR BS'!AP5</f>
        <v/>
      </c>
      <c r="M5" s="11">
        <f>'QTR BS'!AT5</f>
        <v/>
      </c>
      <c r="N5" s="11">
        <f>'QTR BS'!AX5</f>
        <v/>
      </c>
      <c r="O5" s="5" t="n"/>
    </row>
    <row r="6">
      <c r="A6" s="3" t="inlineStr">
        <is>
          <t>Inventories</t>
        </is>
      </c>
      <c r="B6" s="4" t="n">
        <v>1107</v>
      </c>
      <c r="C6" s="4" t="n">
        <v>999</v>
      </c>
      <c r="D6" s="4" t="n">
        <v>728</v>
      </c>
      <c r="E6" s="4" t="n">
        <v>1170</v>
      </c>
      <c r="F6" s="4" t="n">
        <v>2670</v>
      </c>
      <c r="G6" s="4" t="n">
        <v>0</v>
      </c>
      <c r="H6" s="4" t="n">
        <v>0</v>
      </c>
      <c r="I6" s="4" t="n">
        <v>0</v>
      </c>
      <c r="J6" s="11">
        <f>'QTR BS'!AH6</f>
        <v/>
      </c>
      <c r="K6" s="11">
        <f>'QTR BS'!AL6</f>
        <v/>
      </c>
      <c r="L6" s="11">
        <f>'QTR BS'!AP6</f>
        <v/>
      </c>
      <c r="M6" s="11">
        <f>'QTR BS'!AT6</f>
        <v/>
      </c>
      <c r="N6" s="11">
        <f>'QTR BS'!AX6</f>
        <v/>
      </c>
      <c r="O6" s="5" t="n"/>
    </row>
    <row r="7">
      <c r="A7" s="3" t="inlineStr">
        <is>
          <t>Other Current Assets</t>
        </is>
      </c>
      <c r="B7" s="4" t="n">
        <v>4236</v>
      </c>
      <c r="C7" s="4" t="n">
        <v>4412</v>
      </c>
      <c r="D7" s="4" t="n">
        <v>5490</v>
      </c>
      <c r="E7" s="4" t="n">
        <v>7054</v>
      </c>
      <c r="F7" s="4" t="n">
        <v>8105</v>
      </c>
      <c r="G7" s="4" t="n">
        <v>12650</v>
      </c>
      <c r="H7" s="4" t="n">
        <v>15714</v>
      </c>
      <c r="I7" s="4" t="n">
        <v>16309</v>
      </c>
      <c r="J7" s="11">
        <f>'QTR BS'!AH7</f>
        <v/>
      </c>
      <c r="K7" s="11">
        <f>'QTR BS'!AL7</f>
        <v/>
      </c>
      <c r="L7" s="11">
        <f>'QTR BS'!AP7</f>
        <v/>
      </c>
      <c r="M7" s="11">
        <f>'QTR BS'!AT7</f>
        <v/>
      </c>
      <c r="N7" s="11">
        <f>'QTR BS'!AX7</f>
        <v/>
      </c>
      <c r="O7" s="5" t="n"/>
    </row>
    <row r="8">
      <c r="A8" s="3" t="inlineStr">
        <is>
          <t>Total Current Assets</t>
        </is>
      </c>
      <c r="B8" s="6">
        <f>SUM(B2:B7)</f>
        <v/>
      </c>
      <c r="C8" s="6">
        <f>SUM(C2:C7)</f>
        <v/>
      </c>
      <c r="D8" s="6">
        <f>SUM(D2:D7)</f>
        <v/>
      </c>
      <c r="E8" s="6">
        <f>SUM(E2:E7)</f>
        <v/>
      </c>
      <c r="F8" s="6">
        <f>SUM(F2:F7)</f>
        <v/>
      </c>
      <c r="G8" s="6">
        <f>SUM(G2:G7)</f>
        <v/>
      </c>
      <c r="H8" s="6">
        <f>SUM(H2:H7)</f>
        <v/>
      </c>
      <c r="I8" s="6">
        <f>SUM(I2:I7)</f>
        <v/>
      </c>
      <c r="J8" s="7">
        <f>SUM(J2:J7)</f>
        <v/>
      </c>
      <c r="K8" s="7">
        <f>SUM(K2:K7)</f>
        <v/>
      </c>
      <c r="L8" s="7">
        <f>SUM(L2:L7)</f>
        <v/>
      </c>
      <c r="M8" s="7">
        <f>SUM(M2:M7)</f>
        <v/>
      </c>
      <c r="N8" s="7">
        <f>SUM(N2:N7)</f>
        <v/>
      </c>
      <c r="O8" s="7">
        <f>SUM(O2:O7)</f>
        <v/>
      </c>
    </row>
    <row r="9">
      <c r="A9" s="3" t="inlineStr">
        <is>
          <t>Long-Term Investments</t>
        </is>
      </c>
      <c r="B9" s="4" t="n">
        <v>13859</v>
      </c>
      <c r="C9" s="4" t="n">
        <v>13078</v>
      </c>
      <c r="D9" s="4" t="n">
        <v>20703</v>
      </c>
      <c r="E9" s="4" t="n">
        <v>29549</v>
      </c>
      <c r="F9" s="4" t="n">
        <v>30492</v>
      </c>
      <c r="G9" s="4" t="n">
        <v>31008</v>
      </c>
      <c r="H9" s="4" t="n">
        <v>37982</v>
      </c>
      <c r="I9" s="4" t="n">
        <v>68687</v>
      </c>
      <c r="J9" s="11">
        <f>'QTR BS'!AH9</f>
        <v/>
      </c>
      <c r="K9" s="11">
        <f>'QTR BS'!AL9</f>
        <v/>
      </c>
      <c r="L9" s="11">
        <f>'QTR BS'!AP9</f>
        <v/>
      </c>
      <c r="M9" s="11">
        <f>'QTR BS'!AT9</f>
        <v/>
      </c>
      <c r="N9" s="11">
        <f>'QTR BS'!AX9</f>
        <v/>
      </c>
      <c r="O9" s="5" t="n"/>
    </row>
    <row r="10">
      <c r="A10" s="3" t="inlineStr">
        <is>
          <t>Deferred Tax Assets</t>
        </is>
      </c>
      <c r="B10" s="4" t="n">
        <v>737</v>
      </c>
      <c r="C10" s="4" t="n">
        <v>721</v>
      </c>
      <c r="D10" s="4" t="n">
        <v>1084</v>
      </c>
      <c r="E10" s="4" t="n">
        <v>1284</v>
      </c>
      <c r="F10" s="4" t="n">
        <v>5261</v>
      </c>
      <c r="G10" s="4" t="n">
        <v>12169</v>
      </c>
      <c r="H10" s="4" t="n">
        <v>17180</v>
      </c>
      <c r="I10" s="4" t="n">
        <v>9113</v>
      </c>
      <c r="J10" s="11">
        <f>'QTR BS'!AH10</f>
        <v/>
      </c>
      <c r="K10" s="11">
        <f>'QTR BS'!AL10</f>
        <v/>
      </c>
      <c r="L10" s="11">
        <f>'QTR BS'!AP10</f>
        <v/>
      </c>
      <c r="M10" s="11">
        <f>'QTR BS'!AT10</f>
        <v/>
      </c>
      <c r="N10" s="11">
        <f>'QTR BS'!AX10</f>
        <v/>
      </c>
      <c r="O10" s="5" t="n"/>
    </row>
    <row r="11">
      <c r="A11" s="3" t="inlineStr">
        <is>
          <t>Net PP&amp;E</t>
        </is>
      </c>
      <c r="B11" s="4" t="n">
        <v>59719</v>
      </c>
      <c r="C11" s="4" t="n">
        <v>73646</v>
      </c>
      <c r="D11" s="4" t="n">
        <v>84749</v>
      </c>
      <c r="E11" s="4" t="n">
        <v>97599</v>
      </c>
      <c r="F11" s="4" t="n">
        <v>112668</v>
      </c>
      <c r="G11" s="4" t="n">
        <v>134345</v>
      </c>
      <c r="H11" s="4" t="n">
        <v>171036</v>
      </c>
      <c r="I11" s="4" t="n">
        <v>246597</v>
      </c>
      <c r="J11" s="11">
        <f>'QTR BS'!AH11</f>
        <v/>
      </c>
      <c r="K11" s="11">
        <f>'QTR BS'!AL11</f>
        <v/>
      </c>
      <c r="L11" s="11">
        <f>'QTR BS'!AP11</f>
        <v/>
      </c>
      <c r="M11" s="11">
        <f>'QTR BS'!AT11</f>
        <v/>
      </c>
      <c r="N11" s="11">
        <f>'QTR BS'!AX11</f>
        <v/>
      </c>
      <c r="O11" s="5" t="n"/>
    </row>
    <row r="12">
      <c r="A12" s="3" t="inlineStr">
        <is>
          <t>ROU Assets - Operating - Non-Current</t>
        </is>
      </c>
      <c r="B12" s="4" t="n">
        <v>0</v>
      </c>
      <c r="C12" s="4" t="n">
        <v>10941</v>
      </c>
      <c r="D12" s="4" t="n">
        <v>12211</v>
      </c>
      <c r="E12" s="4" t="n">
        <v>12959</v>
      </c>
      <c r="F12" s="4" t="n">
        <v>14381</v>
      </c>
      <c r="G12" s="4" t="n">
        <v>14091</v>
      </c>
      <c r="H12" s="4" t="n">
        <v>13588</v>
      </c>
      <c r="I12" s="4" t="n">
        <v>15221</v>
      </c>
      <c r="J12" s="11">
        <f>'QTR BS'!AH12</f>
        <v/>
      </c>
      <c r="K12" s="11">
        <f>'QTR BS'!AL12</f>
        <v/>
      </c>
      <c r="L12" s="11">
        <f>'QTR BS'!AP12</f>
        <v/>
      </c>
      <c r="M12" s="11">
        <f>'QTR BS'!AT12</f>
        <v/>
      </c>
      <c r="N12" s="11">
        <f>'QTR BS'!AX12</f>
        <v/>
      </c>
      <c r="O12" s="5" t="n"/>
    </row>
    <row r="13">
      <c r="A13" s="3" t="inlineStr">
        <is>
          <t>Intangible Assets</t>
        </is>
      </c>
      <c r="B13" s="4" t="n">
        <v>2220</v>
      </c>
      <c r="C13" s="4" t="n">
        <v>1979</v>
      </c>
      <c r="D13" s="4" t="n">
        <v>1445</v>
      </c>
      <c r="E13" s="4" t="n">
        <v>1417</v>
      </c>
      <c r="F13" s="4" t="n">
        <v>2084</v>
      </c>
      <c r="G13" s="4" t="n">
        <v>0</v>
      </c>
      <c r="H13" s="4" t="n">
        <v>0</v>
      </c>
      <c r="I13" s="4" t="n">
        <v>0</v>
      </c>
      <c r="J13" s="11">
        <f>'QTR BS'!AH13</f>
        <v/>
      </c>
      <c r="K13" s="11">
        <f>'QTR BS'!AL13</f>
        <v/>
      </c>
      <c r="L13" s="11">
        <f>'QTR BS'!AP13</f>
        <v/>
      </c>
      <c r="M13" s="11">
        <f>'QTR BS'!AT13</f>
        <v/>
      </c>
      <c r="N13" s="11">
        <f>'QTR BS'!AX13</f>
        <v/>
      </c>
      <c r="O13" s="5" t="n"/>
    </row>
    <row r="14">
      <c r="A14" s="3" t="inlineStr">
        <is>
          <t>Goodwill</t>
        </is>
      </c>
      <c r="B14" s="4" t="n">
        <v>17888</v>
      </c>
      <c r="C14" s="4" t="n">
        <v>20624</v>
      </c>
      <c r="D14" s="4" t="n">
        <v>21175</v>
      </c>
      <c r="E14" s="4" t="n">
        <v>22956</v>
      </c>
      <c r="F14" s="4" t="n">
        <v>28960</v>
      </c>
      <c r="G14" s="4" t="n">
        <v>29198</v>
      </c>
      <c r="H14" s="4" t="n">
        <v>31885</v>
      </c>
      <c r="I14" s="4" t="n">
        <v>33380</v>
      </c>
      <c r="J14" s="11">
        <f>'QTR BS'!AH14</f>
        <v/>
      </c>
      <c r="K14" s="11">
        <f>'QTR BS'!AL14</f>
        <v/>
      </c>
      <c r="L14" s="11">
        <f>'QTR BS'!AP14</f>
        <v/>
      </c>
      <c r="M14" s="11">
        <f>'QTR BS'!AT14</f>
        <v/>
      </c>
      <c r="N14" s="11">
        <f>'QTR BS'!AX14</f>
        <v/>
      </c>
      <c r="O14" s="5" t="n"/>
    </row>
    <row r="15">
      <c r="A15" s="3" t="inlineStr">
        <is>
          <t>Other Non-Current Assets</t>
        </is>
      </c>
      <c r="B15" s="4" t="n">
        <v>2693</v>
      </c>
      <c r="C15" s="4" t="n">
        <v>2342</v>
      </c>
      <c r="D15" s="4" t="n">
        <v>3953</v>
      </c>
      <c r="E15" s="4" t="n">
        <v>5361</v>
      </c>
      <c r="F15" s="4" t="n">
        <v>6623</v>
      </c>
      <c r="G15" s="4" t="n">
        <v>10051</v>
      </c>
      <c r="H15" s="4" t="n">
        <v>14874</v>
      </c>
      <c r="I15" s="4" t="n">
        <v>16245</v>
      </c>
      <c r="J15" s="11">
        <f>'QTR BS'!AH15</f>
        <v/>
      </c>
      <c r="K15" s="11">
        <f>'QTR BS'!AL15</f>
        <v/>
      </c>
      <c r="L15" s="11">
        <f>'QTR BS'!AP15</f>
        <v/>
      </c>
      <c r="M15" s="11">
        <f>'QTR BS'!AT15</f>
        <v/>
      </c>
      <c r="N15" s="11">
        <f>'QTR BS'!AX15</f>
        <v/>
      </c>
      <c r="O15" s="5" t="n"/>
    </row>
    <row r="16">
      <c r="A16" s="3" t="inlineStr">
        <is>
          <t>Total Assets</t>
        </is>
      </c>
      <c r="B16" s="6">
        <f>B8+SUM(B9:B15)</f>
        <v/>
      </c>
      <c r="C16" s="6">
        <f>C8+SUM(C9:C15)</f>
        <v/>
      </c>
      <c r="D16" s="6">
        <f>D8+SUM(D9:D15)</f>
        <v/>
      </c>
      <c r="E16" s="6">
        <f>E8+SUM(E9:E15)</f>
        <v/>
      </c>
      <c r="F16" s="6">
        <f>F8+SUM(F9:F15)</f>
        <v/>
      </c>
      <c r="G16" s="6">
        <f>G8+SUM(G9:G15)</f>
        <v/>
      </c>
      <c r="H16" s="6">
        <f>H8+SUM(H9:H15)</f>
        <v/>
      </c>
      <c r="I16" s="6">
        <f>I8+SUM(I9:I15)</f>
        <v/>
      </c>
      <c r="J16" s="7">
        <f>J8+SUM(J9:J15)</f>
        <v/>
      </c>
      <c r="K16" s="7">
        <f>K8+SUM(K9:K15)</f>
        <v/>
      </c>
      <c r="L16" s="7">
        <f>L8+SUM(L9:L15)</f>
        <v/>
      </c>
      <c r="M16" s="7">
        <f>M8+SUM(M9:M15)</f>
        <v/>
      </c>
      <c r="N16" s="7">
        <f>N8+SUM(N9:N15)</f>
        <v/>
      </c>
      <c r="O16" s="7">
        <f>O8+SUM(O9:O15)</f>
        <v/>
      </c>
    </row>
    <row r="17">
      <c r="A17" s="3" t="inlineStr">
        <is>
          <t>Accounts Payable</t>
        </is>
      </c>
      <c r="B17" s="4" t="n">
        <v>4378</v>
      </c>
      <c r="C17" s="4" t="n">
        <v>5561</v>
      </c>
      <c r="D17" s="4" t="n">
        <v>5589</v>
      </c>
      <c r="E17" s="4" t="n">
        <v>6037</v>
      </c>
      <c r="F17" s="4" t="n">
        <v>5128</v>
      </c>
      <c r="G17" s="4" t="n">
        <v>7493</v>
      </c>
      <c r="H17" s="4" t="n">
        <v>7987</v>
      </c>
      <c r="I17" s="4" t="n">
        <v>12200</v>
      </c>
      <c r="J17" s="11">
        <f>'QTR BS'!AH17</f>
        <v/>
      </c>
      <c r="K17" s="11">
        <f>'QTR BS'!AL17</f>
        <v/>
      </c>
      <c r="L17" s="11">
        <f>'QTR BS'!AP17</f>
        <v/>
      </c>
      <c r="M17" s="11">
        <f>'QTR BS'!AT17</f>
        <v/>
      </c>
      <c r="N17" s="11">
        <f>'QTR BS'!AX17</f>
        <v/>
      </c>
      <c r="O17" s="5" t="n"/>
    </row>
    <row r="18">
      <c r="A18" s="3" t="inlineStr">
        <is>
          <t>Accrued Compensation</t>
        </is>
      </c>
      <c r="B18" s="4" t="n">
        <v>6839</v>
      </c>
      <c r="C18" s="4" t="n">
        <v>8495</v>
      </c>
      <c r="D18" s="4" t="n">
        <v>11086</v>
      </c>
      <c r="E18" s="4" t="n">
        <v>13889</v>
      </c>
      <c r="F18" s="4" t="n">
        <v>14028</v>
      </c>
      <c r="G18" s="4" t="n">
        <v>15140</v>
      </c>
      <c r="H18" s="4" t="n">
        <v>15069</v>
      </c>
      <c r="I18" s="4" t="n">
        <v>17546</v>
      </c>
      <c r="J18" s="11">
        <f>'QTR BS'!AH18</f>
        <v/>
      </c>
      <c r="K18" s="11">
        <f>'QTR BS'!AL18</f>
        <v/>
      </c>
      <c r="L18" s="11">
        <f>'QTR BS'!AP18</f>
        <v/>
      </c>
      <c r="M18" s="11">
        <f>'QTR BS'!AT18</f>
        <v/>
      </c>
      <c r="N18" s="11">
        <f>'QTR BS'!AX18</f>
        <v/>
      </c>
      <c r="O18" s="5" t="n"/>
    </row>
    <row r="19">
      <c r="A19" s="3" t="inlineStr">
        <is>
          <t>Accrued Expenses</t>
        </is>
      </c>
      <c r="B19" s="4" t="n">
        <v>16958</v>
      </c>
      <c r="C19" s="4" t="n">
        <v>23067</v>
      </c>
      <c r="D19" s="4" t="n">
        <v>28631</v>
      </c>
      <c r="E19" s="4" t="n">
        <v>31236</v>
      </c>
      <c r="F19" s="4" t="n">
        <v>37866</v>
      </c>
      <c r="G19" s="4" t="n">
        <v>46168</v>
      </c>
      <c r="H19" s="4" t="n">
        <v>51228</v>
      </c>
      <c r="I19" s="4" t="n">
        <v>55557</v>
      </c>
      <c r="J19" s="11">
        <f>'QTR BS'!AH19</f>
        <v/>
      </c>
      <c r="K19" s="11">
        <f>'QTR BS'!AL19</f>
        <v/>
      </c>
      <c r="L19" s="11">
        <f>'QTR BS'!AP19</f>
        <v/>
      </c>
      <c r="M19" s="11">
        <f>'QTR BS'!AT19</f>
        <v/>
      </c>
      <c r="N19" s="11">
        <f>'QTR BS'!AX19</f>
        <v/>
      </c>
      <c r="O19" s="5" t="n"/>
    </row>
    <row r="20">
      <c r="A20" s="3" t="inlineStr">
        <is>
          <t>Accrued Revenue Share</t>
        </is>
      </c>
      <c r="B20" s="4" t="n">
        <v>4592</v>
      </c>
      <c r="C20" s="4" t="n">
        <v>5916</v>
      </c>
      <c r="D20" s="4" t="n">
        <v>7500</v>
      </c>
      <c r="E20" s="4" t="n">
        <v>8996</v>
      </c>
      <c r="F20" s="4" t="n">
        <v>8370</v>
      </c>
      <c r="G20" s="4" t="n">
        <v>8876</v>
      </c>
      <c r="H20" s="4" t="n">
        <v>9802</v>
      </c>
      <c r="I20" s="4" t="n">
        <v>10864</v>
      </c>
      <c r="J20" s="11">
        <f>'QTR BS'!AH20</f>
        <v/>
      </c>
      <c r="K20" s="11">
        <f>'QTR BS'!AL20</f>
        <v/>
      </c>
      <c r="L20" s="11">
        <f>'QTR BS'!AP20</f>
        <v/>
      </c>
      <c r="M20" s="11">
        <f>'QTR BS'!AT20</f>
        <v/>
      </c>
      <c r="N20" s="11">
        <f>'QTR BS'!AX20</f>
        <v/>
      </c>
      <c r="O20" s="5" t="n"/>
    </row>
    <row r="21">
      <c r="A21" s="3" t="inlineStr">
        <is>
          <t>Deferred Revenue - Current</t>
        </is>
      </c>
      <c r="B21" s="4" t="n">
        <v>1784</v>
      </c>
      <c r="C21" s="4" t="n">
        <v>1908</v>
      </c>
      <c r="D21" s="4" t="n">
        <v>2543</v>
      </c>
      <c r="E21" s="4" t="n">
        <v>3288</v>
      </c>
      <c r="F21" s="4" t="n">
        <v>3908</v>
      </c>
      <c r="G21" s="4" t="n">
        <v>4137</v>
      </c>
      <c r="H21" s="4" t="n">
        <v>5036</v>
      </c>
      <c r="I21" s="4" t="n">
        <v>6578</v>
      </c>
      <c r="J21" s="11">
        <f>'QTR BS'!AH21</f>
        <v/>
      </c>
      <c r="K21" s="11">
        <f>'QTR BS'!AL21</f>
        <v/>
      </c>
      <c r="L21" s="11">
        <f>'QTR BS'!AP21</f>
        <v/>
      </c>
      <c r="M21" s="11">
        <f>'QTR BS'!AT21</f>
        <v/>
      </c>
      <c r="N21" s="11">
        <f>'QTR BS'!AX21</f>
        <v/>
      </c>
      <c r="O21" s="5" t="n"/>
    </row>
    <row r="22">
      <c r="A22" s="3" t="inlineStr">
        <is>
          <t>Income Taxes Payable</t>
        </is>
      </c>
      <c r="B22" s="4" t="n">
        <v>69</v>
      </c>
      <c r="C22" s="4" t="n">
        <v>274</v>
      </c>
      <c r="D22" s="4" t="n">
        <v>1485</v>
      </c>
      <c r="E22" s="4" t="n">
        <v>808</v>
      </c>
      <c r="F22" s="4" t="n">
        <v>0</v>
      </c>
      <c r="G22" s="4" t="n">
        <v>0</v>
      </c>
      <c r="H22" s="4" t="n">
        <v>0</v>
      </c>
      <c r="I22" s="4" t="n">
        <v>0</v>
      </c>
      <c r="J22" s="11">
        <f>'QTR BS'!AH22</f>
        <v/>
      </c>
      <c r="K22" s="11">
        <f>'QTR BS'!AL22</f>
        <v/>
      </c>
      <c r="L22" s="11">
        <f>'QTR BS'!AP22</f>
        <v/>
      </c>
      <c r="M22" s="11">
        <f>'QTR BS'!AT22</f>
        <v/>
      </c>
      <c r="N22" s="11">
        <f>'QTR BS'!AX22</f>
        <v/>
      </c>
      <c r="O22" s="5" t="n"/>
    </row>
    <row r="23">
      <c r="A23" s="3" t="inlineStr">
        <is>
          <t>Total Current Liabilities</t>
        </is>
      </c>
      <c r="B23" s="6">
        <f>SUM(B17:B22)</f>
        <v/>
      </c>
      <c r="C23" s="6">
        <f>SUM(C17:C22)</f>
        <v/>
      </c>
      <c r="D23" s="6">
        <f>SUM(D17:D22)</f>
        <v/>
      </c>
      <c r="E23" s="6">
        <f>SUM(E17:E22)</f>
        <v/>
      </c>
      <c r="F23" s="6">
        <f>SUM(F17:F22)</f>
        <v/>
      </c>
      <c r="G23" s="6">
        <f>SUM(G17:G22)</f>
        <v/>
      </c>
      <c r="H23" s="6">
        <f>SUM(H17:H22)</f>
        <v/>
      </c>
      <c r="I23" s="6">
        <f>SUM(I17:I22)</f>
        <v/>
      </c>
      <c r="J23" s="7">
        <f>SUM(J17:J22)</f>
        <v/>
      </c>
      <c r="K23" s="7">
        <f>SUM(K17:K22)</f>
        <v/>
      </c>
      <c r="L23" s="7">
        <f>SUM(L17:L22)</f>
        <v/>
      </c>
      <c r="M23" s="7">
        <f>SUM(M17:M22)</f>
        <v/>
      </c>
      <c r="N23" s="7">
        <f>SUM(N17:N22)</f>
        <v/>
      </c>
      <c r="O23" s="7">
        <f>SUM(O17:O22)</f>
        <v/>
      </c>
    </row>
    <row r="24">
      <c r="A24" s="3" t="inlineStr">
        <is>
          <t>Long-Term Debt</t>
        </is>
      </c>
      <c r="B24" s="4" t="n">
        <v>15339</v>
      </c>
      <c r="C24" s="4" t="n">
        <v>14439</v>
      </c>
      <c r="D24" s="4" t="n">
        <v>22781</v>
      </c>
      <c r="E24" s="4" t="n">
        <v>23993</v>
      </c>
      <c r="F24" s="4" t="n">
        <v>23959</v>
      </c>
      <c r="G24" s="4" t="n">
        <v>21727</v>
      </c>
      <c r="H24" s="4" t="n">
        <v>19665</v>
      </c>
      <c r="I24" s="4" t="n">
        <v>56078</v>
      </c>
      <c r="J24" s="11">
        <f>'QTR BS'!AH24</f>
        <v/>
      </c>
      <c r="K24" s="11">
        <f>'QTR BS'!AL24</f>
        <v/>
      </c>
      <c r="L24" s="11">
        <f>'QTR BS'!AP24</f>
        <v/>
      </c>
      <c r="M24" s="11">
        <f>'QTR BS'!AT24</f>
        <v/>
      </c>
      <c r="N24" s="11">
        <f>'QTR BS'!AX24</f>
        <v/>
      </c>
      <c r="O24" s="5" t="n"/>
    </row>
    <row r="25">
      <c r="A25" s="3" t="inlineStr">
        <is>
          <t>Deferred Revenue - Non-Current</t>
        </is>
      </c>
      <c r="B25" s="4" t="n">
        <v>396</v>
      </c>
      <c r="C25" s="4" t="n">
        <v>358</v>
      </c>
      <c r="D25" s="4" t="n">
        <v>481</v>
      </c>
      <c r="E25" s="4" t="n">
        <v>535</v>
      </c>
      <c r="F25" s="4" t="n">
        <v>599</v>
      </c>
      <c r="G25" s="4" t="n">
        <v>911</v>
      </c>
      <c r="H25" s="4" t="n">
        <v>0</v>
      </c>
      <c r="I25" s="4" t="n">
        <v>0</v>
      </c>
      <c r="J25" s="11">
        <f>'QTR BS'!AH25</f>
        <v/>
      </c>
      <c r="K25" s="11">
        <f>'QTR BS'!AL25</f>
        <v/>
      </c>
      <c r="L25" s="11">
        <f>'QTR BS'!AP25</f>
        <v/>
      </c>
      <c r="M25" s="11">
        <f>'QTR BS'!AT25</f>
        <v/>
      </c>
      <c r="N25" s="11">
        <f>'QTR BS'!AX25</f>
        <v/>
      </c>
      <c r="O25" s="5" t="n"/>
    </row>
    <row r="26">
      <c r="A26" s="3" t="inlineStr">
        <is>
          <t>Deferred Tax Liability</t>
        </is>
      </c>
      <c r="B26" s="4" t="n">
        <v>1264</v>
      </c>
      <c r="C26" s="4" t="n">
        <v>1701</v>
      </c>
      <c r="D26" s="4" t="n">
        <v>3561</v>
      </c>
      <c r="E26" s="4" t="n">
        <v>5257</v>
      </c>
      <c r="F26" s="4" t="n">
        <v>514</v>
      </c>
      <c r="G26" s="4" t="n">
        <v>485</v>
      </c>
      <c r="H26" s="4" t="n">
        <v>0</v>
      </c>
      <c r="I26" s="4" t="n">
        <v>0</v>
      </c>
      <c r="J26" s="11">
        <f>'QTR BS'!AH26</f>
        <v/>
      </c>
      <c r="K26" s="11">
        <f>'QTR BS'!AL26</f>
        <v/>
      </c>
      <c r="L26" s="11">
        <f>'QTR BS'!AP26</f>
        <v/>
      </c>
      <c r="M26" s="11">
        <f>'QTR BS'!AT26</f>
        <v/>
      </c>
      <c r="N26" s="11">
        <f>'QTR BS'!AX26</f>
        <v/>
      </c>
      <c r="O26" s="5" t="n"/>
    </row>
    <row r="27">
      <c r="A27" s="3" t="inlineStr">
        <is>
          <t>Lease Liability - Operating - Non-Current</t>
        </is>
      </c>
      <c r="B27" s="4" t="n">
        <v>0</v>
      </c>
      <c r="C27" s="4" t="n">
        <v>10214</v>
      </c>
      <c r="D27" s="4" t="n">
        <v>11146</v>
      </c>
      <c r="E27" s="4" t="n">
        <v>11389</v>
      </c>
      <c r="F27" s="4" t="n">
        <v>12501</v>
      </c>
      <c r="G27" s="4" t="n">
        <v>12460</v>
      </c>
      <c r="H27" s="4" t="n">
        <v>11691</v>
      </c>
      <c r="I27" s="4" t="n">
        <v>12744</v>
      </c>
      <c r="J27" s="11">
        <f>'QTR BS'!AH27</f>
        <v/>
      </c>
      <c r="K27" s="11">
        <f>'QTR BS'!AL27</f>
        <v/>
      </c>
      <c r="L27" s="11">
        <f>'QTR BS'!AP27</f>
        <v/>
      </c>
      <c r="M27" s="11">
        <f>'QTR BS'!AT27</f>
        <v/>
      </c>
      <c r="N27" s="11">
        <f>'QTR BS'!AX27</f>
        <v/>
      </c>
      <c r="O27" s="5" t="n"/>
    </row>
    <row r="28">
      <c r="A28" s="3" t="inlineStr">
        <is>
          <t>Other Non-Current Liabilities</t>
        </is>
      </c>
      <c r="B28" s="4" t="n">
        <v>3545</v>
      </c>
      <c r="C28" s="4" t="n">
        <v>2534</v>
      </c>
      <c r="D28" s="4" t="n">
        <v>2269</v>
      </c>
      <c r="E28" s="4" t="n">
        <v>2205</v>
      </c>
      <c r="F28" s="4" t="n">
        <v>2247</v>
      </c>
      <c r="G28" s="4" t="n">
        <v>1616</v>
      </c>
      <c r="H28" s="4" t="n">
        <v>4694</v>
      </c>
      <c r="I28" s="4" t="n">
        <v>8449</v>
      </c>
      <c r="J28" s="11">
        <f>'QTR BS'!AH28</f>
        <v/>
      </c>
      <c r="K28" s="11">
        <f>'QTR BS'!AL28</f>
        <v/>
      </c>
      <c r="L28" s="11">
        <f>'QTR BS'!AP28</f>
        <v/>
      </c>
      <c r="M28" s="11">
        <f>'QTR BS'!AT28</f>
        <v/>
      </c>
      <c r="N28" s="11">
        <f>'QTR BS'!AX28</f>
        <v/>
      </c>
      <c r="O28" s="5" t="n"/>
    </row>
    <row r="29">
      <c r="A29" s="3" t="inlineStr">
        <is>
          <t>Total Liabilities</t>
        </is>
      </c>
      <c r="B29" s="6">
        <f>B23+SUM(B24:B28)</f>
        <v/>
      </c>
      <c r="C29" s="6">
        <f>C23+SUM(C24:C28)</f>
        <v/>
      </c>
      <c r="D29" s="6">
        <f>D23+SUM(D24:D28)</f>
        <v/>
      </c>
      <c r="E29" s="6">
        <f>E23+SUM(E24:E28)</f>
        <v/>
      </c>
      <c r="F29" s="6">
        <f>F23+SUM(F24:F28)</f>
        <v/>
      </c>
      <c r="G29" s="6">
        <f>G23+SUM(G24:G28)</f>
        <v/>
      </c>
      <c r="H29" s="6">
        <f>H23+SUM(H24:H28)</f>
        <v/>
      </c>
      <c r="I29" s="6">
        <f>I23+SUM(I24:I28)</f>
        <v/>
      </c>
      <c r="J29" s="7">
        <f>J23+SUM(J24:J28)</f>
        <v/>
      </c>
      <c r="K29" s="7">
        <f>K23+SUM(K24:K28)</f>
        <v/>
      </c>
      <c r="L29" s="7">
        <f>L23+SUM(L24:L28)</f>
        <v/>
      </c>
      <c r="M29" s="7">
        <f>M23+SUM(M24:M28)</f>
        <v/>
      </c>
      <c r="N29" s="7">
        <f>N23+SUM(N24:N28)</f>
        <v/>
      </c>
      <c r="O29" s="7">
        <f>O23+SUM(O24:O28)</f>
        <v/>
      </c>
    </row>
    <row r="30">
      <c r="A30" s="3" t="inlineStr">
        <is>
          <t>Convertible Preferred Stock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11">
        <f>'QTR BS'!AH30</f>
        <v/>
      </c>
      <c r="K30" s="11">
        <f>'QTR BS'!AL30</f>
        <v/>
      </c>
      <c r="L30" s="11">
        <f>'QTR BS'!AP30</f>
        <v/>
      </c>
      <c r="M30" s="11">
        <f>'QTR BS'!AT30</f>
        <v/>
      </c>
      <c r="N30" s="11">
        <f>'QTR BS'!AX30</f>
        <v/>
      </c>
      <c r="O30" s="5" t="n"/>
    </row>
    <row r="31">
      <c r="A31" s="3" t="inlineStr">
        <is>
          <t>Common Stock and Additional Paid-in Capital</t>
        </is>
      </c>
      <c r="B31" s="4" t="n">
        <v>45049</v>
      </c>
      <c r="C31" s="4" t="n">
        <v>50552</v>
      </c>
      <c r="D31" s="4" t="n">
        <v>58510</v>
      </c>
      <c r="E31" s="4" t="n">
        <v>61774</v>
      </c>
      <c r="F31" s="4" t="n">
        <v>68184</v>
      </c>
      <c r="G31" s="4" t="n">
        <v>76534</v>
      </c>
      <c r="H31" s="4" t="n">
        <v>84800</v>
      </c>
      <c r="I31" s="4" t="n">
        <v>93126</v>
      </c>
      <c r="J31" s="11">
        <f>'QTR BS'!AH31</f>
        <v/>
      </c>
      <c r="K31" s="11">
        <f>'QTR BS'!AL31</f>
        <v/>
      </c>
      <c r="L31" s="11">
        <f>'QTR BS'!AP31</f>
        <v/>
      </c>
      <c r="M31" s="11">
        <f>'QTR BS'!AT31</f>
        <v/>
      </c>
      <c r="N31" s="11">
        <f>'QTR BS'!AX31</f>
        <v/>
      </c>
      <c r="O31" s="5" t="n"/>
    </row>
    <row r="32">
      <c r="A32" s="3" t="inlineStr">
        <is>
          <t>Accumulated Other Comprehensive Income (Loss)</t>
        </is>
      </c>
      <c r="B32" s="4" t="n">
        <v>-2306</v>
      </c>
      <c r="C32" s="4" t="n">
        <v>-1232</v>
      </c>
      <c r="D32" s="4" t="n">
        <v>633</v>
      </c>
      <c r="E32" s="4" t="n">
        <v>-1623</v>
      </c>
      <c r="F32" s="4" t="n">
        <v>-7603</v>
      </c>
      <c r="G32" s="4" t="n">
        <v>-4402</v>
      </c>
      <c r="H32" s="4" t="n">
        <v>-4800</v>
      </c>
      <c r="I32" s="4" t="n">
        <v>-1916</v>
      </c>
      <c r="J32" s="11">
        <f>'QTR BS'!AH32</f>
        <v/>
      </c>
      <c r="K32" s="11">
        <f>'QTR BS'!AL32</f>
        <v/>
      </c>
      <c r="L32" s="11">
        <f>'QTR BS'!AP32</f>
        <v/>
      </c>
      <c r="M32" s="11">
        <f>'QTR BS'!AT32</f>
        <v/>
      </c>
      <c r="N32" s="11">
        <f>'QTR BS'!AX32</f>
        <v/>
      </c>
      <c r="O32" s="5" t="n"/>
    </row>
    <row r="33">
      <c r="A33" s="3" t="inlineStr">
        <is>
          <t>Retained Earnings (Accumulated Deficit)</t>
        </is>
      </c>
      <c r="B33" s="4" t="n">
        <v>134885</v>
      </c>
      <c r="C33" s="4" t="n">
        <v>152122</v>
      </c>
      <c r="D33" s="4" t="n">
        <v>163401</v>
      </c>
      <c r="E33" s="4" t="n">
        <v>191484</v>
      </c>
      <c r="F33" s="4" t="n">
        <v>195563</v>
      </c>
      <c r="G33" s="4" t="n">
        <v>211247</v>
      </c>
      <c r="H33" s="4" t="n">
        <v>245084</v>
      </c>
      <c r="I33" s="4" t="n">
        <v>324055</v>
      </c>
      <c r="J33" s="11">
        <f>'QTR BS'!AH33</f>
        <v/>
      </c>
      <c r="K33" s="11">
        <f>'QTR BS'!AL33</f>
        <v/>
      </c>
      <c r="L33" s="11">
        <f>'QTR BS'!AP33</f>
        <v/>
      </c>
      <c r="M33" s="11">
        <f>'QTR BS'!AT33</f>
        <v/>
      </c>
      <c r="N33" s="11">
        <f>'QTR BS'!AX33</f>
        <v/>
      </c>
      <c r="O33" s="5" t="n"/>
    </row>
    <row r="34">
      <c r="A34" s="3" t="inlineStr">
        <is>
          <t>Total Stockholders' Equity</t>
        </is>
      </c>
      <c r="B34" s="6">
        <f>SUM(B30:B33)</f>
        <v/>
      </c>
      <c r="C34" s="6">
        <f>SUM(C30:C33)</f>
        <v/>
      </c>
      <c r="D34" s="6">
        <f>SUM(D30:D33)</f>
        <v/>
      </c>
      <c r="E34" s="6">
        <f>SUM(E30:E33)</f>
        <v/>
      </c>
      <c r="F34" s="6">
        <f>SUM(F30:F33)</f>
        <v/>
      </c>
      <c r="G34" s="6">
        <f>SUM(G30:G33)</f>
        <v/>
      </c>
      <c r="H34" s="6">
        <f>SUM(H30:H33)</f>
        <v/>
      </c>
      <c r="I34" s="6">
        <f>SUM(I30:I33)</f>
        <v/>
      </c>
      <c r="J34" s="7">
        <f>SUM(J30:J33)</f>
        <v/>
      </c>
      <c r="K34" s="7">
        <f>SUM(K30:K33)</f>
        <v/>
      </c>
      <c r="L34" s="7">
        <f>SUM(L30:L33)</f>
        <v/>
      </c>
      <c r="M34" s="7">
        <f>SUM(M30:M33)</f>
        <v/>
      </c>
      <c r="N34" s="7">
        <f>SUM(N30:N33)</f>
        <v/>
      </c>
      <c r="O34" s="7">
        <f>SUM(O30:O33)</f>
        <v/>
      </c>
    </row>
    <row r="35">
      <c r="A35" s="3" t="inlineStr">
        <is>
          <t>Total Liabilities, Mezzanine &amp; Stockholders' Equity</t>
        </is>
      </c>
      <c r="B35" s="6">
        <f>B29+B34</f>
        <v/>
      </c>
      <c r="C35" s="6">
        <f>C29+C34</f>
        <v/>
      </c>
      <c r="D35" s="6">
        <f>D29+D34</f>
        <v/>
      </c>
      <c r="E35" s="6">
        <f>E29+E34</f>
        <v/>
      </c>
      <c r="F35" s="6">
        <f>F29+F34</f>
        <v/>
      </c>
      <c r="G35" s="6">
        <f>G29+G34</f>
        <v/>
      </c>
      <c r="H35" s="6">
        <f>H29+H34</f>
        <v/>
      </c>
      <c r="I35" s="6">
        <f>I29+I34</f>
        <v/>
      </c>
      <c r="J35" s="7">
        <f>J29+J34</f>
        <v/>
      </c>
      <c r="K35" s="7">
        <f>K29+K34</f>
        <v/>
      </c>
      <c r="L35" s="7">
        <f>L29+L34</f>
        <v/>
      </c>
      <c r="M35" s="7">
        <f>M29+M34</f>
        <v/>
      </c>
      <c r="N35" s="7">
        <f>N29+N34</f>
        <v/>
      </c>
      <c r="O35" s="7">
        <f>O29+O34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FY2017</t>
        </is>
      </c>
      <c r="C1" s="2" t="inlineStr">
        <is>
          <t>FY2018</t>
        </is>
      </c>
      <c r="D1" s="2" t="inlineStr">
        <is>
          <t>FY2019</t>
        </is>
      </c>
      <c r="E1" s="2" t="inlineStr">
        <is>
          <t>FY2020</t>
        </is>
      </c>
      <c r="F1" s="2" t="inlineStr">
        <is>
          <t>FY2021</t>
        </is>
      </c>
      <c r="G1" s="2" t="inlineStr">
        <is>
          <t>FY2022</t>
        </is>
      </c>
      <c r="H1" s="2" t="inlineStr">
        <is>
          <t>FY2023</t>
        </is>
      </c>
      <c r="I1" s="2" t="inlineStr">
        <is>
          <t>FY2024</t>
        </is>
      </c>
      <c r="J1" s="2" t="inlineStr">
        <is>
          <t>FY2025</t>
        </is>
      </c>
      <c r="K1" s="2" t="inlineStr">
        <is>
          <t>FY2026E</t>
        </is>
      </c>
      <c r="L1" s="2" t="inlineStr">
        <is>
          <t>FY2027E</t>
        </is>
      </c>
      <c r="M1" s="2" t="inlineStr">
        <is>
          <t>FY2028E</t>
        </is>
      </c>
      <c r="N1" s="2" t="inlineStr">
        <is>
          <t>FY2029E</t>
        </is>
      </c>
      <c r="O1" s="2" t="inlineStr">
        <is>
          <t>FY2030E</t>
        </is>
      </c>
      <c r="P1" s="2" t="inlineStr">
        <is>
          <t>FY2031E</t>
        </is>
      </c>
    </row>
    <row r="2">
      <c r="A2" s="3" t="inlineStr">
        <is>
          <t>Net Income (Loss)</t>
        </is>
      </c>
      <c r="B2" s="4" t="n">
        <v>12662</v>
      </c>
      <c r="C2" s="4" t="n">
        <v>30736</v>
      </c>
      <c r="D2" s="4" t="n">
        <v>34343</v>
      </c>
      <c r="E2" s="4" t="n">
        <v>40269</v>
      </c>
      <c r="F2" s="4" t="n">
        <v>76033</v>
      </c>
      <c r="G2" s="4" t="n">
        <v>59972</v>
      </c>
      <c r="H2" s="4" t="n">
        <v>73795</v>
      </c>
      <c r="I2" s="4" t="n">
        <v>100118</v>
      </c>
      <c r="J2" s="4" t="n">
        <v>132170</v>
      </c>
      <c r="K2" s="11">
        <f>'QTR CF'!AH2+'QTR CF'!AI2+'QTR CF'!AJ2+'QTR CF'!AK2</f>
        <v/>
      </c>
      <c r="L2" s="11">
        <f>'QTR CF'!AL2+'QTR CF'!AM2+'QTR CF'!AN2+'QTR CF'!AO2</f>
        <v/>
      </c>
      <c r="M2" s="11">
        <f>'QTR CF'!AP2+'QTR CF'!AQ2+'QTR CF'!AR2+'QTR CF'!AS2</f>
        <v/>
      </c>
      <c r="N2" s="11">
        <f>'QTR CF'!AT2+'QTR CF'!AU2+'QTR CF'!AV2+'QTR CF'!AW2</f>
        <v/>
      </c>
      <c r="O2" s="11">
        <f>'QTR CF'!AX2+'QTR CF'!AY2+'QTR CF'!AZ2+'QTR CF'!BA2</f>
        <v/>
      </c>
      <c r="P2" s="5" t="n"/>
    </row>
    <row r="3">
      <c r="A3" s="3" t="inlineStr">
        <is>
          <t>Depreciation and Impairment of PP&amp;E</t>
        </is>
      </c>
      <c r="B3" s="4" t="n">
        <v>6103</v>
      </c>
      <c r="C3" s="4" t="n">
        <v>8164</v>
      </c>
      <c r="D3" s="4" t="n">
        <v>10856</v>
      </c>
      <c r="E3" s="4" t="n">
        <v>12905</v>
      </c>
      <c r="F3" s="4" t="n">
        <v>11555</v>
      </c>
      <c r="G3" s="4" t="n">
        <v>15287</v>
      </c>
      <c r="H3" s="4" t="n">
        <v>0</v>
      </c>
      <c r="I3" s="4" t="n">
        <v>0</v>
      </c>
      <c r="J3" s="4" t="n">
        <v>0</v>
      </c>
      <c r="K3" s="11">
        <f>'QTR CF'!AH3+'QTR CF'!AI3+'QTR CF'!AJ3+'QTR CF'!AK3</f>
        <v/>
      </c>
      <c r="L3" s="11">
        <f>'QTR CF'!AL3+'QTR CF'!AM3+'QTR CF'!AN3+'QTR CF'!AO3</f>
        <v/>
      </c>
      <c r="M3" s="11">
        <f>'QTR CF'!AP3+'QTR CF'!AQ3+'QTR CF'!AR3+'QTR CF'!AS3</f>
        <v/>
      </c>
      <c r="N3" s="11">
        <f>'QTR CF'!AT3+'QTR CF'!AU3+'QTR CF'!AV3+'QTR CF'!AW3</f>
        <v/>
      </c>
      <c r="O3" s="11">
        <f>'QTR CF'!AX3+'QTR CF'!AY3+'QTR CF'!AZ3+'QTR CF'!BA3</f>
        <v/>
      </c>
      <c r="P3" s="5" t="n"/>
    </row>
    <row r="4">
      <c r="A4" s="3" t="inlineStr">
        <is>
          <t>Amortization and Impairment of Intangibles</t>
        </is>
      </c>
      <c r="B4" s="4" t="n">
        <v>812</v>
      </c>
      <c r="C4" s="4" t="n">
        <v>871</v>
      </c>
      <c r="D4" s="4" t="n">
        <v>925</v>
      </c>
      <c r="E4" s="4" t="n">
        <v>792</v>
      </c>
      <c r="F4" s="4" t="n">
        <v>886</v>
      </c>
      <c r="G4" s="4" t="n">
        <v>641</v>
      </c>
      <c r="H4" s="4" t="n">
        <v>0</v>
      </c>
      <c r="I4" s="4" t="n">
        <v>0</v>
      </c>
      <c r="J4" s="4" t="n">
        <v>0</v>
      </c>
      <c r="K4" s="11">
        <f>'QTR CF'!AH4+'QTR CF'!AI4+'QTR CF'!AJ4+'QTR CF'!AK4</f>
        <v/>
      </c>
      <c r="L4" s="11">
        <f>'QTR CF'!AL4+'QTR CF'!AM4+'QTR CF'!AN4+'QTR CF'!AO4</f>
        <v/>
      </c>
      <c r="M4" s="11">
        <f>'QTR CF'!AP4+'QTR CF'!AQ4+'QTR CF'!AR4+'QTR CF'!AS4</f>
        <v/>
      </c>
      <c r="N4" s="11">
        <f>'QTR CF'!AT4+'QTR CF'!AU4+'QTR CF'!AV4+'QTR CF'!AW4</f>
        <v/>
      </c>
      <c r="O4" s="11">
        <f>'QTR CF'!AX4+'QTR CF'!AY4+'QTR CF'!AZ4+'QTR CF'!BA4</f>
        <v/>
      </c>
      <c r="P4" s="5" t="n"/>
    </row>
    <row r="5">
      <c r="A5" s="3" t="inlineStr">
        <is>
          <t>Depreciation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11946</v>
      </c>
      <c r="I5" s="4" t="n">
        <v>15311</v>
      </c>
      <c r="J5" s="4" t="n">
        <v>21136</v>
      </c>
      <c r="K5" s="11">
        <f>'QTR CF'!AH5+'QTR CF'!AI5+'QTR CF'!AJ5+'QTR CF'!AK5</f>
        <v/>
      </c>
      <c r="L5" s="11">
        <f>'QTR CF'!AL5+'QTR CF'!AM5+'QTR CF'!AN5+'QTR CF'!AO5</f>
        <v/>
      </c>
      <c r="M5" s="11">
        <f>'QTR CF'!AP5+'QTR CF'!AQ5+'QTR CF'!AR5+'QTR CF'!AS5</f>
        <v/>
      </c>
      <c r="N5" s="11">
        <f>'QTR CF'!AT5+'QTR CF'!AU5+'QTR CF'!AV5+'QTR CF'!AW5</f>
        <v/>
      </c>
      <c r="O5" s="11">
        <f>'QTR CF'!AX5+'QTR CF'!AY5+'QTR CF'!AZ5+'QTR CF'!BA5</f>
        <v/>
      </c>
      <c r="P5" s="5" t="n"/>
    </row>
    <row r="6">
      <c r="A6" s="3" t="inlineStr">
        <is>
          <t>Stock-Based Compensation</t>
        </is>
      </c>
      <c r="B6" s="4" t="n">
        <v>7679</v>
      </c>
      <c r="C6" s="4" t="n">
        <v>9353</v>
      </c>
      <c r="D6" s="4" t="n">
        <v>10794</v>
      </c>
      <c r="E6" s="4" t="n">
        <v>12991</v>
      </c>
      <c r="F6" s="4" t="n">
        <v>15376</v>
      </c>
      <c r="G6" s="4" t="n">
        <v>19362</v>
      </c>
      <c r="H6" s="4" t="n">
        <v>22460</v>
      </c>
      <c r="I6" s="4" t="n">
        <v>22785</v>
      </c>
      <c r="J6" s="4" t="n">
        <v>24953</v>
      </c>
      <c r="K6" s="11">
        <f>'QTR CF'!AH6+'QTR CF'!AI6+'QTR CF'!AJ6+'QTR CF'!AK6</f>
        <v/>
      </c>
      <c r="L6" s="11">
        <f>'QTR CF'!AL6+'QTR CF'!AM6+'QTR CF'!AN6+'QTR CF'!AO6</f>
        <v/>
      </c>
      <c r="M6" s="11">
        <f>'QTR CF'!AP6+'QTR CF'!AQ6+'QTR CF'!AR6+'QTR CF'!AS6</f>
        <v/>
      </c>
      <c r="N6" s="11">
        <f>'QTR CF'!AT6+'QTR CF'!AU6+'QTR CF'!AV6+'QTR CF'!AW6</f>
        <v/>
      </c>
      <c r="O6" s="11">
        <f>'QTR CF'!AX6+'QTR CF'!AY6+'QTR CF'!AZ6+'QTR CF'!BA6</f>
        <v/>
      </c>
      <c r="P6" s="5" t="n"/>
    </row>
    <row r="7">
      <c r="A7" s="3" t="inlineStr">
        <is>
          <t>(Benefit) Provision for Deferred Income Taxes</t>
        </is>
      </c>
      <c r="B7" s="4" t="n">
        <v>258</v>
      </c>
      <c r="C7" s="4" t="n">
        <v>778</v>
      </c>
      <c r="D7" s="4" t="n">
        <v>173</v>
      </c>
      <c r="E7" s="4" t="n">
        <v>1390</v>
      </c>
      <c r="F7" s="4" t="n">
        <v>1808</v>
      </c>
      <c r="G7" s="4" t="n">
        <v>-8081</v>
      </c>
      <c r="H7" s="4" t="n">
        <v>-7763</v>
      </c>
      <c r="I7" s="4" t="n">
        <v>-5257</v>
      </c>
      <c r="J7" s="4" t="n">
        <v>8348</v>
      </c>
      <c r="K7" s="11">
        <f>'QTR CF'!AH7+'QTR CF'!AI7+'QTR CF'!AJ7+'QTR CF'!AK7</f>
        <v/>
      </c>
      <c r="L7" s="11">
        <f>'QTR CF'!AL7+'QTR CF'!AM7+'QTR CF'!AN7+'QTR CF'!AO7</f>
        <v/>
      </c>
      <c r="M7" s="11">
        <f>'QTR CF'!AP7+'QTR CF'!AQ7+'QTR CF'!AR7+'QTR CF'!AS7</f>
        <v/>
      </c>
      <c r="N7" s="11">
        <f>'QTR CF'!AT7+'QTR CF'!AU7+'QTR CF'!AV7+'QTR CF'!AW7</f>
        <v/>
      </c>
      <c r="O7" s="11">
        <f>'QTR CF'!AX7+'QTR CF'!AY7+'QTR CF'!AZ7+'QTR CF'!BA7</f>
        <v/>
      </c>
      <c r="P7" s="5" t="n"/>
    </row>
    <row r="8">
      <c r="A8" s="3" t="inlineStr">
        <is>
          <t>Loss (Gain) on Equity and Debt Securities, Net</t>
        </is>
      </c>
      <c r="B8" s="4" t="n">
        <v>37</v>
      </c>
      <c r="C8" s="4" t="n">
        <v>-6650</v>
      </c>
      <c r="D8" s="4" t="n">
        <v>-2798</v>
      </c>
      <c r="E8" s="4" t="n">
        <v>-6317</v>
      </c>
      <c r="F8" s="4" t="n">
        <v>-12270</v>
      </c>
      <c r="G8" s="4" t="n">
        <v>5519</v>
      </c>
      <c r="H8" s="4" t="n">
        <v>823</v>
      </c>
      <c r="I8" s="4" t="n">
        <v>-2671</v>
      </c>
      <c r="J8" s="4" t="n">
        <v>-24620</v>
      </c>
      <c r="K8" s="11">
        <f>'QTR CF'!AH8+'QTR CF'!AI8+'QTR CF'!AJ8+'QTR CF'!AK8</f>
        <v/>
      </c>
      <c r="L8" s="11">
        <f>'QTR CF'!AL8+'QTR CF'!AM8+'QTR CF'!AN8+'QTR CF'!AO8</f>
        <v/>
      </c>
      <c r="M8" s="11">
        <f>'QTR CF'!AP8+'QTR CF'!AQ8+'QTR CF'!AR8+'QTR CF'!AS8</f>
        <v/>
      </c>
      <c r="N8" s="11">
        <f>'QTR CF'!AT8+'QTR CF'!AU8+'QTR CF'!AV8+'QTR CF'!AW8</f>
        <v/>
      </c>
      <c r="O8" s="11">
        <f>'QTR CF'!AX8+'QTR CF'!AY8+'QTR CF'!AZ8+'QTR CF'!BA8</f>
        <v/>
      </c>
      <c r="P8" s="5" t="n"/>
    </row>
    <row r="9">
      <c r="A9" s="3" t="inlineStr">
        <is>
          <t>Other Operating Items</t>
        </is>
      </c>
      <c r="B9" s="4" t="n">
        <v>-1870</v>
      </c>
      <c r="C9" s="4" t="n">
        <v>-1396</v>
      </c>
      <c r="D9" s="4" t="n">
        <v>-1213</v>
      </c>
      <c r="E9" s="4" t="n">
        <v>-63</v>
      </c>
      <c r="F9" s="4" t="n">
        <v>-2059</v>
      </c>
      <c r="G9" s="4" t="n">
        <v>-4016</v>
      </c>
      <c r="H9" s="4" t="n">
        <v>2187</v>
      </c>
      <c r="I9" s="4" t="n">
        <v>2022</v>
      </c>
      <c r="J9" s="4" t="n">
        <v>-2434</v>
      </c>
      <c r="K9" s="11">
        <f>'QTR CF'!AH9+'QTR CF'!AI9+'QTR CF'!AJ9+'QTR CF'!AK9</f>
        <v/>
      </c>
      <c r="L9" s="11">
        <f>'QTR CF'!AL9+'QTR CF'!AM9+'QTR CF'!AN9+'QTR CF'!AO9</f>
        <v/>
      </c>
      <c r="M9" s="11">
        <f>'QTR CF'!AP9+'QTR CF'!AQ9+'QTR CF'!AR9+'QTR CF'!AS9</f>
        <v/>
      </c>
      <c r="N9" s="11">
        <f>'QTR CF'!AT9+'QTR CF'!AU9+'QTR CF'!AV9+'QTR CF'!AW9</f>
        <v/>
      </c>
      <c r="O9" s="11">
        <f>'QTR CF'!AX9+'QTR CF'!AY9+'QTR CF'!AZ9+'QTR CF'!BA9</f>
        <v/>
      </c>
      <c r="P9" s="5" t="n"/>
    </row>
    <row r="10">
      <c r="A10" s="3" t="inlineStr">
        <is>
          <t>Accounts Receivable</t>
        </is>
      </c>
      <c r="B10" s="4" t="n">
        <v>-3768</v>
      </c>
      <c r="C10" s="4" t="n">
        <v>-2169</v>
      </c>
      <c r="D10" s="4" t="n">
        <v>-4340</v>
      </c>
      <c r="E10" s="4" t="n">
        <v>-6524</v>
      </c>
      <c r="F10" s="4" t="n">
        <v>-9095</v>
      </c>
      <c r="G10" s="4" t="n">
        <v>-2317</v>
      </c>
      <c r="H10" s="4" t="n">
        <v>-7833</v>
      </c>
      <c r="I10" s="4" t="n">
        <v>-5891</v>
      </c>
      <c r="J10" s="4" t="n">
        <v>-8779</v>
      </c>
      <c r="K10" s="11">
        <f>'QTR CF'!AH10+'QTR CF'!AI10+'QTR CF'!AJ10+'QTR CF'!AK10</f>
        <v/>
      </c>
      <c r="L10" s="11">
        <f>'QTR CF'!AL10+'QTR CF'!AM10+'QTR CF'!AN10+'QTR CF'!AO10</f>
        <v/>
      </c>
      <c r="M10" s="11">
        <f>'QTR CF'!AP10+'QTR CF'!AQ10+'QTR CF'!AR10+'QTR CF'!AS10</f>
        <v/>
      </c>
      <c r="N10" s="11">
        <f>'QTR CF'!AT10+'QTR CF'!AU10+'QTR CF'!AV10+'QTR CF'!AW10</f>
        <v/>
      </c>
      <c r="O10" s="11">
        <f>'QTR CF'!AX10+'QTR CF'!AY10+'QTR CF'!AZ10+'QTR CF'!BA10</f>
        <v/>
      </c>
      <c r="P10" s="5" t="n"/>
    </row>
    <row r="11">
      <c r="A11" s="3" t="inlineStr">
        <is>
          <t>Change in Income Taxes</t>
        </is>
      </c>
      <c r="B11" s="4" t="n">
        <v>8211</v>
      </c>
      <c r="C11" s="4" t="n">
        <v>-2251</v>
      </c>
      <c r="D11" s="4" t="n">
        <v>-3128</v>
      </c>
      <c r="E11" s="4" t="n">
        <v>1209</v>
      </c>
      <c r="F11" s="4" t="n">
        <v>-625</v>
      </c>
      <c r="G11" s="4" t="n">
        <v>584</v>
      </c>
      <c r="H11" s="4" t="n">
        <v>523</v>
      </c>
      <c r="I11" s="4" t="n">
        <v>-2418</v>
      </c>
      <c r="J11" s="4" t="n">
        <v>-3226</v>
      </c>
      <c r="K11" s="11">
        <f>'QTR CF'!AH11+'QTR CF'!AI11+'QTR CF'!AJ11+'QTR CF'!AK11</f>
        <v/>
      </c>
      <c r="L11" s="11">
        <f>'QTR CF'!AL11+'QTR CF'!AM11+'QTR CF'!AN11+'QTR CF'!AO11</f>
        <v/>
      </c>
      <c r="M11" s="11">
        <f>'QTR CF'!AP11+'QTR CF'!AQ11+'QTR CF'!AR11+'QTR CF'!AS11</f>
        <v/>
      </c>
      <c r="N11" s="11">
        <f>'QTR CF'!AT11+'QTR CF'!AU11+'QTR CF'!AV11+'QTR CF'!AW11</f>
        <v/>
      </c>
      <c r="O11" s="11">
        <f>'QTR CF'!AX11+'QTR CF'!AY11+'QTR CF'!AZ11+'QTR CF'!BA11</f>
        <v/>
      </c>
      <c r="P11" s="5" t="n"/>
    </row>
    <row r="12">
      <c r="A12" s="3" t="inlineStr">
        <is>
          <t>Accounts Payable</t>
        </is>
      </c>
      <c r="B12" s="4" t="n">
        <v>731</v>
      </c>
      <c r="C12" s="4" t="n">
        <v>1067</v>
      </c>
      <c r="D12" s="4" t="n">
        <v>428</v>
      </c>
      <c r="E12" s="4" t="n">
        <v>694</v>
      </c>
      <c r="F12" s="4" t="n">
        <v>283</v>
      </c>
      <c r="G12" s="4" t="n">
        <v>707</v>
      </c>
      <c r="H12" s="4" t="n">
        <v>664</v>
      </c>
      <c r="I12" s="4" t="n">
        <v>359</v>
      </c>
      <c r="J12" s="4" t="n">
        <v>907</v>
      </c>
      <c r="K12" s="11">
        <f>'QTR CF'!AH12+'QTR CF'!AI12+'QTR CF'!AJ12+'QTR CF'!AK12</f>
        <v/>
      </c>
      <c r="L12" s="11">
        <f>'QTR CF'!AL12+'QTR CF'!AM12+'QTR CF'!AN12+'QTR CF'!AO12</f>
        <v/>
      </c>
      <c r="M12" s="11">
        <f>'QTR CF'!AP12+'QTR CF'!AQ12+'QTR CF'!AR12+'QTR CF'!AS12</f>
        <v/>
      </c>
      <c r="N12" s="11">
        <f>'QTR CF'!AT12+'QTR CF'!AU12+'QTR CF'!AV12+'QTR CF'!AW12</f>
        <v/>
      </c>
      <c r="O12" s="11">
        <f>'QTR CF'!AX12+'QTR CF'!AY12+'QTR CF'!AZ12+'QTR CF'!BA12</f>
        <v/>
      </c>
      <c r="P12" s="5" t="n"/>
    </row>
    <row r="13">
      <c r="A13" s="3" t="inlineStr">
        <is>
          <t>Accrued Expenses</t>
        </is>
      </c>
      <c r="B13" s="4" t="n">
        <v>4891</v>
      </c>
      <c r="C13" s="4" t="n">
        <v>8614</v>
      </c>
      <c r="D13" s="4" t="n">
        <v>7170</v>
      </c>
      <c r="E13" s="4" t="n">
        <v>5504</v>
      </c>
      <c r="F13" s="4" t="n">
        <v>7304</v>
      </c>
      <c r="G13" s="4" t="n">
        <v>3915</v>
      </c>
      <c r="H13" s="4" t="n">
        <v>3937</v>
      </c>
      <c r="I13" s="4" t="n">
        <v>-1161</v>
      </c>
      <c r="J13" s="4" t="n">
        <v>12939</v>
      </c>
      <c r="K13" s="11">
        <f>'QTR CF'!AH13+'QTR CF'!AI13+'QTR CF'!AJ13+'QTR CF'!AK13</f>
        <v/>
      </c>
      <c r="L13" s="11">
        <f>'QTR CF'!AL13+'QTR CF'!AM13+'QTR CF'!AN13+'QTR CF'!AO13</f>
        <v/>
      </c>
      <c r="M13" s="11">
        <f>'QTR CF'!AP13+'QTR CF'!AQ13+'QTR CF'!AR13+'QTR CF'!AS13</f>
        <v/>
      </c>
      <c r="N13" s="11">
        <f>'QTR CF'!AT13+'QTR CF'!AU13+'QTR CF'!AV13+'QTR CF'!AW13</f>
        <v/>
      </c>
      <c r="O13" s="11">
        <f>'QTR CF'!AX13+'QTR CF'!AY13+'QTR CF'!AZ13+'QTR CF'!BA13</f>
        <v/>
      </c>
      <c r="P13" s="5" t="n"/>
    </row>
    <row r="14">
      <c r="A14" s="3" t="inlineStr">
        <is>
          <t>Accrued Revenue Share</t>
        </is>
      </c>
      <c r="B14" s="4" t="n">
        <v>955</v>
      </c>
      <c r="C14" s="4" t="n">
        <v>483</v>
      </c>
      <c r="D14" s="4" t="n">
        <v>1273</v>
      </c>
      <c r="E14" s="4" t="n">
        <v>1639</v>
      </c>
      <c r="F14" s="4" t="n">
        <v>1682</v>
      </c>
      <c r="G14" s="4" t="n">
        <v>-445</v>
      </c>
      <c r="H14" s="4" t="n">
        <v>482</v>
      </c>
      <c r="I14" s="4" t="n">
        <v>1059</v>
      </c>
      <c r="J14" s="4" t="n">
        <v>899</v>
      </c>
      <c r="K14" s="11">
        <f>'QTR CF'!AH14+'QTR CF'!AI14+'QTR CF'!AJ14+'QTR CF'!AK14</f>
        <v/>
      </c>
      <c r="L14" s="11">
        <f>'QTR CF'!AL14+'QTR CF'!AM14+'QTR CF'!AN14+'QTR CF'!AO14</f>
        <v/>
      </c>
      <c r="M14" s="11">
        <f>'QTR CF'!AP14+'QTR CF'!AQ14+'QTR CF'!AR14+'QTR CF'!AS14</f>
        <v/>
      </c>
      <c r="N14" s="11">
        <f>'QTR CF'!AT14+'QTR CF'!AU14+'QTR CF'!AV14+'QTR CF'!AW14</f>
        <v/>
      </c>
      <c r="O14" s="11">
        <f>'QTR CF'!AX14+'QTR CF'!AY14+'QTR CF'!AZ14+'QTR CF'!BA14</f>
        <v/>
      </c>
      <c r="P14" s="5" t="n"/>
    </row>
    <row r="15">
      <c r="A15" s="3" t="inlineStr">
        <is>
          <t>Deferred Revenue</t>
        </is>
      </c>
      <c r="B15" s="4" t="n">
        <v>390</v>
      </c>
      <c r="C15" s="4" t="n">
        <v>371</v>
      </c>
      <c r="D15" s="4" t="n">
        <v>37</v>
      </c>
      <c r="E15" s="4" t="n">
        <v>635</v>
      </c>
      <c r="F15" s="4" t="n">
        <v>774</v>
      </c>
      <c r="G15" s="4" t="n">
        <v>367</v>
      </c>
      <c r="H15" s="4" t="n">
        <v>525</v>
      </c>
      <c r="I15" s="4" t="n">
        <v>1043</v>
      </c>
      <c r="J15" s="4" t="n">
        <v>2420</v>
      </c>
      <c r="K15" s="11">
        <f>'QTR CF'!AH15+'QTR CF'!AI15+'QTR CF'!AJ15+'QTR CF'!AK15</f>
        <v/>
      </c>
      <c r="L15" s="11">
        <f>'QTR CF'!AL15+'QTR CF'!AM15+'QTR CF'!AN15+'QTR CF'!AO15</f>
        <v/>
      </c>
      <c r="M15" s="11">
        <f>'QTR CF'!AP15+'QTR CF'!AQ15+'QTR CF'!AR15+'QTR CF'!AS15</f>
        <v/>
      </c>
      <c r="N15" s="11">
        <f>'QTR CF'!AT15+'QTR CF'!AU15+'QTR CF'!AV15+'QTR CF'!AW15</f>
        <v/>
      </c>
      <c r="O15" s="11">
        <f>'QTR CF'!AX15+'QTR CF'!AY15+'QTR CF'!AZ15+'QTR CF'!BA15</f>
        <v/>
      </c>
      <c r="P15" s="5" t="n"/>
    </row>
    <row r="16">
      <c r="A16" s="3" t="inlineStr">
        <is>
          <t>Cash Flow from Operations</t>
        </is>
      </c>
      <c r="B16" s="6">
        <f>SUM(B2:B15)</f>
        <v/>
      </c>
      <c r="C16" s="6">
        <f>SUM(C2:C15)</f>
        <v/>
      </c>
      <c r="D16" s="6">
        <f>SUM(D2:D15)</f>
        <v/>
      </c>
      <c r="E16" s="6">
        <f>SUM(E2:E15)</f>
        <v/>
      </c>
      <c r="F16" s="6">
        <f>SUM(F2:F15)</f>
        <v/>
      </c>
      <c r="G16" s="6">
        <f>SUM(G2:G15)</f>
        <v/>
      </c>
      <c r="H16" s="6">
        <f>SUM(H2:H15)</f>
        <v/>
      </c>
      <c r="I16" s="6">
        <f>SUM(I2:I15)</f>
        <v/>
      </c>
      <c r="J16" s="6">
        <f>SUM(J2:J15)</f>
        <v/>
      </c>
      <c r="K16" s="7">
        <f>SUM(K2:K15)</f>
        <v/>
      </c>
      <c r="L16" s="7">
        <f>SUM(L2:L15)</f>
        <v/>
      </c>
      <c r="M16" s="7">
        <f>SUM(M2:M15)</f>
        <v/>
      </c>
      <c r="N16" s="7">
        <f>SUM(N2:N15)</f>
        <v/>
      </c>
      <c r="O16" s="7">
        <f>SUM(O2:O15)</f>
        <v/>
      </c>
      <c r="P16" s="7">
        <f>SUM(P2:P15)</f>
        <v/>
      </c>
    </row>
    <row r="17">
      <c r="A17" s="3" t="inlineStr">
        <is>
          <t>Purchase of PP&amp;E</t>
        </is>
      </c>
      <c r="B17" s="4" t="n">
        <v>-13184</v>
      </c>
      <c r="C17" s="4" t="n">
        <v>-25139</v>
      </c>
      <c r="D17" s="4" t="n">
        <v>-23548</v>
      </c>
      <c r="E17" s="4" t="n">
        <v>-22281</v>
      </c>
      <c r="F17" s="4" t="n">
        <v>-24640</v>
      </c>
      <c r="G17" s="4" t="n">
        <v>-31485</v>
      </c>
      <c r="H17" s="4" t="n">
        <v>-32251</v>
      </c>
      <c r="I17" s="4" t="n">
        <v>-52535</v>
      </c>
      <c r="J17" s="4" t="n">
        <v>-91447</v>
      </c>
      <c r="K17" s="11">
        <f>'QTR CF'!AH17+'QTR CF'!AI17+'QTR CF'!AJ17+'QTR CF'!AK17</f>
        <v/>
      </c>
      <c r="L17" s="11">
        <f>'QTR CF'!AL17+'QTR CF'!AM17+'QTR CF'!AN17+'QTR CF'!AO17</f>
        <v/>
      </c>
      <c r="M17" s="11">
        <f>'QTR CF'!AP17+'QTR CF'!AQ17+'QTR CF'!AR17+'QTR CF'!AS17</f>
        <v/>
      </c>
      <c r="N17" s="11">
        <f>'QTR CF'!AT17+'QTR CF'!AU17+'QTR CF'!AV17+'QTR CF'!AW17</f>
        <v/>
      </c>
      <c r="O17" s="11">
        <f>'QTR CF'!AX17+'QTR CF'!AY17+'QTR CF'!AZ17+'QTR CF'!BA17</f>
        <v/>
      </c>
      <c r="P17" s="5" t="n"/>
    </row>
    <row r="18">
      <c r="A18" s="3" t="inlineStr">
        <is>
          <t>Net Change in Short-Term Investments</t>
        </is>
      </c>
      <c r="B18" s="4" t="n">
        <v>-18236</v>
      </c>
      <c r="C18" s="4" t="n">
        <v>-1651</v>
      </c>
      <c r="D18" s="4" t="n">
        <v>-2490</v>
      </c>
      <c r="E18" s="4" t="n">
        <v>-3670</v>
      </c>
      <c r="F18" s="4" t="n">
        <v>-6902</v>
      </c>
      <c r="G18" s="4" t="n">
        <v>18948</v>
      </c>
      <c r="H18" s="4" t="n">
        <v>8814</v>
      </c>
      <c r="I18" s="4" t="n">
        <v>16749</v>
      </c>
      <c r="J18" s="4" t="n">
        <v>-20533</v>
      </c>
      <c r="K18" s="11">
        <f>'QTR CF'!AH19+'QTR CF'!AI19+'QTR CF'!AJ19+'QTR CF'!AK19</f>
        <v/>
      </c>
      <c r="L18" s="11">
        <f>'QTR CF'!AL19+'QTR CF'!AM19+'QTR CF'!AN19+'QTR CF'!AO19</f>
        <v/>
      </c>
      <c r="M18" s="11">
        <f>'QTR CF'!AP19+'QTR CF'!AQ19+'QTR CF'!AR19+'QTR CF'!AS19</f>
        <v/>
      </c>
      <c r="N18" s="11">
        <f>'QTR CF'!AT19+'QTR CF'!AU19+'QTR CF'!AV19+'QTR CF'!AW19</f>
        <v/>
      </c>
      <c r="O18" s="11">
        <f>'QTR CF'!AX19+'QTR CF'!AY19+'QTR CF'!AZ19+'QTR CF'!BA19</f>
        <v/>
      </c>
      <c r="P18" s="5" t="n"/>
    </row>
    <row r="19">
      <c r="A19" s="3" t="inlineStr">
        <is>
          <t>Net Change in Long-Term Investments</t>
        </is>
      </c>
      <c r="B19" s="4" t="n">
        <v>-1212</v>
      </c>
      <c r="C19" s="4" t="n">
        <v>-321</v>
      </c>
      <c r="D19" s="4" t="n">
        <v>-1527</v>
      </c>
      <c r="E19" s="4" t="n">
        <v>-6152</v>
      </c>
      <c r="F19" s="4" t="n">
        <v>-1904</v>
      </c>
      <c r="G19" s="4" t="n">
        <v>-2381</v>
      </c>
      <c r="H19" s="4" t="n">
        <v>-2080</v>
      </c>
      <c r="I19" s="4" t="n">
        <v>-4152</v>
      </c>
      <c r="J19" s="4" t="n">
        <v>-4349</v>
      </c>
      <c r="K19" s="11">
        <f>'QTR CF'!AH20+'QTR CF'!AI20+'QTR CF'!AJ20+'QTR CF'!AK20</f>
        <v/>
      </c>
      <c r="L19" s="11">
        <f>'QTR CF'!AL20+'QTR CF'!AM20+'QTR CF'!AN20+'QTR CF'!AO20</f>
        <v/>
      </c>
      <c r="M19" s="11">
        <f>'QTR CF'!AP20+'QTR CF'!AQ20+'QTR CF'!AR20+'QTR CF'!AS20</f>
        <v/>
      </c>
      <c r="N19" s="11">
        <f>'QTR CF'!AT20+'QTR CF'!AU20+'QTR CF'!AV20+'QTR CF'!AW20</f>
        <v/>
      </c>
      <c r="O19" s="11">
        <f>'QTR CF'!AX20+'QTR CF'!AY20+'QTR CF'!AZ20+'QTR CF'!BA20</f>
        <v/>
      </c>
      <c r="P19" s="5" t="n"/>
    </row>
    <row r="20">
      <c r="A20" s="3" t="inlineStr">
        <is>
          <t>Acquisitions, Net of Cash Acquired</t>
        </is>
      </c>
      <c r="B20" s="4" t="n">
        <v>-287</v>
      </c>
      <c r="C20" s="4" t="n">
        <v>-1491</v>
      </c>
      <c r="D20" s="4" t="n">
        <v>-2515</v>
      </c>
      <c r="E20" s="4" t="n">
        <v>-738</v>
      </c>
      <c r="F20" s="4" t="n">
        <v>-2618</v>
      </c>
      <c r="G20" s="4" t="n">
        <v>-6969</v>
      </c>
      <c r="H20" s="4" t="n">
        <v>-495</v>
      </c>
      <c r="I20" s="4" t="n">
        <v>-2931</v>
      </c>
      <c r="J20" s="4" t="n">
        <v>-1592</v>
      </c>
      <c r="K20" s="11">
        <f>'QTR CF'!AH21+'QTR CF'!AI21+'QTR CF'!AJ21+'QTR CF'!AK21</f>
        <v/>
      </c>
      <c r="L20" s="11">
        <f>'QTR CF'!AL21+'QTR CF'!AM21+'QTR CF'!AN21+'QTR CF'!AO21</f>
        <v/>
      </c>
      <c r="M20" s="11">
        <f>'QTR CF'!AP21+'QTR CF'!AQ21+'QTR CF'!AR21+'QTR CF'!AS21</f>
        <v/>
      </c>
      <c r="N20" s="11">
        <f>'QTR CF'!AT21+'QTR CF'!AU21+'QTR CF'!AV21+'QTR CF'!AW21</f>
        <v/>
      </c>
      <c r="O20" s="11">
        <f>'QTR CF'!AX21+'QTR CF'!AY21+'QTR CF'!AZ21+'QTR CF'!BA21</f>
        <v/>
      </c>
      <c r="P20" s="5" t="n"/>
    </row>
    <row r="21">
      <c r="A21" s="3" t="inlineStr">
        <is>
          <t>Collections from Note Receivable</t>
        </is>
      </c>
      <c r="B21" s="4" t="n">
        <v>1419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11">
        <f>'QTR CF'!AH22+'QTR CF'!AI22+'QTR CF'!AJ22+'QTR CF'!AK22</f>
        <v/>
      </c>
      <c r="L21" s="11">
        <f>'QTR CF'!AL22+'QTR CF'!AM22+'QTR CF'!AN22+'QTR CF'!AO22</f>
        <v/>
      </c>
      <c r="M21" s="11">
        <f>'QTR CF'!AP22+'QTR CF'!AQ22+'QTR CF'!AR22+'QTR CF'!AS22</f>
        <v/>
      </c>
      <c r="N21" s="11">
        <f>'QTR CF'!AT22+'QTR CF'!AU22+'QTR CF'!AV22+'QTR CF'!AW22</f>
        <v/>
      </c>
      <c r="O21" s="11">
        <f>'QTR CF'!AX22+'QTR CF'!AY22+'QTR CF'!AZ22+'QTR CF'!BA22</f>
        <v/>
      </c>
      <c r="P21" s="5" t="n"/>
    </row>
    <row r="22">
      <c r="A22" s="3" t="inlineStr">
        <is>
          <t>Other Investing Activities</t>
        </is>
      </c>
      <c r="B22" s="4" t="n">
        <v>99</v>
      </c>
      <c r="C22" s="4" t="n">
        <v>98</v>
      </c>
      <c r="D22" s="4" t="n">
        <v>589</v>
      </c>
      <c r="E22" s="4" t="n">
        <v>68</v>
      </c>
      <c r="F22" s="4" t="n">
        <v>541</v>
      </c>
      <c r="G22" s="4" t="n">
        <v>1589</v>
      </c>
      <c r="H22" s="4" t="n">
        <v>-1051</v>
      </c>
      <c r="I22" s="4" t="n">
        <v>-2667</v>
      </c>
      <c r="J22" s="4" t="n">
        <v>-2370</v>
      </c>
      <c r="K22" s="11">
        <f>'QTR CF'!AH23+'QTR CF'!AI23+'QTR CF'!AJ23+'QTR CF'!AK23</f>
        <v/>
      </c>
      <c r="L22" s="11">
        <f>'QTR CF'!AL23+'QTR CF'!AM23+'QTR CF'!AN23+'QTR CF'!AO23</f>
        <v/>
      </c>
      <c r="M22" s="11">
        <f>'QTR CF'!AP23+'QTR CF'!AQ23+'QTR CF'!AR23+'QTR CF'!AS23</f>
        <v/>
      </c>
      <c r="N22" s="11">
        <f>'QTR CF'!AT23+'QTR CF'!AU23+'QTR CF'!AV23+'QTR CF'!AW23</f>
        <v/>
      </c>
      <c r="O22" s="11">
        <f>'QTR CF'!AX23+'QTR CF'!AY23+'QTR CF'!AZ23+'QTR CF'!BA23</f>
        <v/>
      </c>
      <c r="P22" s="5" t="n"/>
    </row>
    <row r="23">
      <c r="A23" s="3" t="inlineStr">
        <is>
          <t>Cash Flow from Investing</t>
        </is>
      </c>
      <c r="B23" s="6">
        <f>SUM(B17:B22)</f>
        <v/>
      </c>
      <c r="C23" s="6">
        <f>SUM(C17:C22)</f>
        <v/>
      </c>
      <c r="D23" s="6">
        <f>SUM(D17:D22)</f>
        <v/>
      </c>
      <c r="E23" s="6">
        <f>SUM(E17:E22)</f>
        <v/>
      </c>
      <c r="F23" s="6">
        <f>SUM(F17:F22)</f>
        <v/>
      </c>
      <c r="G23" s="6">
        <f>SUM(G17:G22)</f>
        <v/>
      </c>
      <c r="H23" s="6">
        <f>SUM(H17:H22)</f>
        <v/>
      </c>
      <c r="I23" s="6">
        <f>SUM(I17:I22)</f>
        <v/>
      </c>
      <c r="J23" s="6">
        <f>SUM(J17:J22)</f>
        <v/>
      </c>
      <c r="K23" s="7">
        <f>SUM(K17:K22)</f>
        <v/>
      </c>
      <c r="L23" s="7">
        <f>SUM(L17:L22)</f>
        <v/>
      </c>
      <c r="M23" s="7">
        <f>SUM(M17:M22)</f>
        <v/>
      </c>
      <c r="N23" s="7">
        <f>SUM(N17:N22)</f>
        <v/>
      </c>
      <c r="O23" s="7">
        <f>SUM(O17:O22)</f>
        <v/>
      </c>
      <c r="P23" s="7">
        <f>SUM(P17:P22)</f>
        <v/>
      </c>
    </row>
    <row r="24">
      <c r="A24" s="3" t="inlineStr">
        <is>
          <t>Stock-Based Award Activities, Net</t>
        </is>
      </c>
      <c r="B24" s="4" t="n">
        <v>-4166</v>
      </c>
      <c r="C24" s="4" t="n">
        <v>-4993</v>
      </c>
      <c r="D24" s="4" t="n">
        <v>-4765</v>
      </c>
      <c r="E24" s="4" t="n">
        <v>-5720</v>
      </c>
      <c r="F24" s="4" t="n">
        <v>-10162</v>
      </c>
      <c r="G24" s="4" t="n">
        <v>-9300</v>
      </c>
      <c r="H24" s="4" t="n">
        <v>-9837</v>
      </c>
      <c r="I24" s="4" t="n">
        <v>-12190</v>
      </c>
      <c r="J24" s="4" t="n">
        <v>-14167</v>
      </c>
      <c r="K24" s="11">
        <f>'QTR CF'!AH25+'QTR CF'!AI25+'QTR CF'!AJ25+'QTR CF'!AK25</f>
        <v/>
      </c>
      <c r="L24" s="11">
        <f>'QTR CF'!AL25+'QTR CF'!AM25+'QTR CF'!AN25+'QTR CF'!AO25</f>
        <v/>
      </c>
      <c r="M24" s="11">
        <f>'QTR CF'!AP25+'QTR CF'!AQ25+'QTR CF'!AR25+'QTR CF'!AS25</f>
        <v/>
      </c>
      <c r="N24" s="11">
        <f>'QTR CF'!AT25+'QTR CF'!AU25+'QTR CF'!AV25+'QTR CF'!AW25</f>
        <v/>
      </c>
      <c r="O24" s="11">
        <f>'QTR CF'!AX25+'QTR CF'!AY25+'QTR CF'!AZ25+'QTR CF'!BA25</f>
        <v/>
      </c>
      <c r="P24" s="5" t="n"/>
    </row>
    <row r="25">
      <c r="A25" s="3" t="inlineStr">
        <is>
          <t>Share Repurchases</t>
        </is>
      </c>
      <c r="B25" s="4" t="n">
        <v>-4846</v>
      </c>
      <c r="C25" s="4" t="n">
        <v>-9075</v>
      </c>
      <c r="D25" s="4" t="n">
        <v>-18396</v>
      </c>
      <c r="E25" s="4" t="n">
        <v>-31149</v>
      </c>
      <c r="F25" s="4" t="n">
        <v>-50274</v>
      </c>
      <c r="G25" s="4" t="n">
        <v>-59296</v>
      </c>
      <c r="H25" s="4" t="n">
        <v>-61504</v>
      </c>
      <c r="I25" s="4" t="n">
        <v>-62222</v>
      </c>
      <c r="J25" s="4" t="n">
        <v>-45709</v>
      </c>
      <c r="K25" s="11">
        <f>'QTR CF'!AH26+'QTR CF'!AI26+'QTR CF'!AJ26+'QTR CF'!AK26</f>
        <v/>
      </c>
      <c r="L25" s="11">
        <f>'QTR CF'!AL26+'QTR CF'!AM26+'QTR CF'!AN26+'QTR CF'!AO26</f>
        <v/>
      </c>
      <c r="M25" s="11">
        <f>'QTR CF'!AP26+'QTR CF'!AQ26+'QTR CF'!AR26+'QTR CF'!AS26</f>
        <v/>
      </c>
      <c r="N25" s="11">
        <f>'QTR CF'!AT26+'QTR CF'!AU26+'QTR CF'!AV26+'QTR CF'!AW26</f>
        <v/>
      </c>
      <c r="O25" s="11">
        <f>'QTR CF'!AX26+'QTR CF'!AY26+'QTR CF'!AZ26+'QTR CF'!BA26</f>
        <v/>
      </c>
      <c r="P25" s="5" t="n"/>
    </row>
    <row r="26">
      <c r="A26" s="3" t="inlineStr">
        <is>
          <t>Common Dividends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-7363</v>
      </c>
      <c r="J26" s="4" t="n">
        <v>-10049</v>
      </c>
      <c r="K26" s="11">
        <f>'QTR CF'!AH27+'QTR CF'!AI27+'QTR CF'!AJ27+'QTR CF'!AK27</f>
        <v/>
      </c>
      <c r="L26" s="11">
        <f>'QTR CF'!AL27+'QTR CF'!AM27+'QTR CF'!AN27+'QTR CF'!AO27</f>
        <v/>
      </c>
      <c r="M26" s="11">
        <f>'QTR CF'!AP27+'QTR CF'!AQ27+'QTR CF'!AR27+'QTR CF'!AS27</f>
        <v/>
      </c>
      <c r="N26" s="11">
        <f>'QTR CF'!AT27+'QTR CF'!AU27+'QTR CF'!AV27+'QTR CF'!AW27</f>
        <v/>
      </c>
      <c r="O26" s="11">
        <f>'QTR CF'!AX27+'QTR CF'!AY27+'QTR CF'!AZ27+'QTR CF'!BA27</f>
        <v/>
      </c>
      <c r="P26" s="5" t="n"/>
    </row>
    <row r="27">
      <c r="A27" s="3" t="inlineStr">
        <is>
          <t>Proceeds from Issuance of Long-Term Debt</t>
        </is>
      </c>
      <c r="B27" s="4" t="n">
        <v>4291</v>
      </c>
      <c r="C27" s="4" t="n">
        <v>6766</v>
      </c>
      <c r="D27" s="4" t="n">
        <v>317</v>
      </c>
      <c r="E27" s="4" t="n">
        <v>11761</v>
      </c>
      <c r="F27" s="4" t="n">
        <v>20199</v>
      </c>
      <c r="G27" s="4" t="n">
        <v>52872</v>
      </c>
      <c r="H27" s="4" t="n">
        <v>10790</v>
      </c>
      <c r="I27" s="4" t="n">
        <v>13589</v>
      </c>
      <c r="J27" s="4" t="n">
        <v>64564</v>
      </c>
      <c r="K27" s="11">
        <f>'QTR CF'!AH28+'QTR CF'!AI28+'QTR CF'!AJ28+'QTR CF'!AK28</f>
        <v/>
      </c>
      <c r="L27" s="11">
        <f>'QTR CF'!AL28+'QTR CF'!AM28+'QTR CF'!AN28+'QTR CF'!AO28</f>
        <v/>
      </c>
      <c r="M27" s="11">
        <f>'QTR CF'!AP28+'QTR CF'!AQ28+'QTR CF'!AR28+'QTR CF'!AS28</f>
        <v/>
      </c>
      <c r="N27" s="11">
        <f>'QTR CF'!AT28+'QTR CF'!AU28+'QTR CF'!AV28+'QTR CF'!AW28</f>
        <v/>
      </c>
      <c r="O27" s="11">
        <f>'QTR CF'!AX28+'QTR CF'!AY28+'QTR CF'!AZ28+'QTR CF'!BA28</f>
        <v/>
      </c>
      <c r="P27" s="5" t="n"/>
    </row>
    <row r="28">
      <c r="A28" s="3" t="inlineStr">
        <is>
          <t>Net Change in Other Short-Term Debt</t>
        </is>
      </c>
      <c r="B28" s="4" t="n">
        <v>-4377</v>
      </c>
      <c r="C28" s="4" t="n">
        <v>-6827</v>
      </c>
      <c r="D28" s="4" t="n">
        <v>-585</v>
      </c>
      <c r="E28" s="4" t="n">
        <v>-2100</v>
      </c>
      <c r="F28" s="4" t="n">
        <v>-21435</v>
      </c>
      <c r="G28" s="4" t="n">
        <v>-54068</v>
      </c>
      <c r="H28" s="4" t="n">
        <v>-11550</v>
      </c>
      <c r="I28" s="4" t="n">
        <v>-12701</v>
      </c>
      <c r="J28" s="4" t="n">
        <v>-32427</v>
      </c>
      <c r="K28" s="11">
        <f>'QTR CF'!AH29+'QTR CF'!AI29+'QTR CF'!AJ29+'QTR CF'!AK29</f>
        <v/>
      </c>
      <c r="L28" s="11">
        <f>'QTR CF'!AL29+'QTR CF'!AM29+'QTR CF'!AN29+'QTR CF'!AO29</f>
        <v/>
      </c>
      <c r="M28" s="11">
        <f>'QTR CF'!AP29+'QTR CF'!AQ29+'QTR CF'!AR29+'QTR CF'!AS29</f>
        <v/>
      </c>
      <c r="N28" s="11">
        <f>'QTR CF'!AT29+'QTR CF'!AU29+'QTR CF'!AV29+'QTR CF'!AW29</f>
        <v/>
      </c>
      <c r="O28" s="11">
        <f>'QTR CF'!AX29+'QTR CF'!AY29+'QTR CF'!AZ29+'QTR CF'!BA29</f>
        <v/>
      </c>
      <c r="P28" s="5" t="n"/>
    </row>
    <row r="29">
      <c r="A29" s="3" t="inlineStr">
        <is>
          <t>Proceeds from Sale of Interest in Consolidated Entities</t>
        </is>
      </c>
      <c r="B29" s="4" t="n">
        <v>800</v>
      </c>
      <c r="C29" s="4" t="n">
        <v>950</v>
      </c>
      <c r="D29" s="4" t="n">
        <v>220</v>
      </c>
      <c r="E29" s="4" t="n">
        <v>2800</v>
      </c>
      <c r="F29" s="4" t="n">
        <v>310</v>
      </c>
      <c r="G29" s="4" t="n">
        <v>35</v>
      </c>
      <c r="H29" s="4" t="n">
        <v>8</v>
      </c>
      <c r="I29" s="4" t="n">
        <v>1154</v>
      </c>
      <c r="J29" s="4" t="n">
        <v>400</v>
      </c>
      <c r="K29" s="11">
        <f>'QTR CF'!AH30+'QTR CF'!AI30+'QTR CF'!AJ30+'QTR CF'!AK30</f>
        <v/>
      </c>
      <c r="L29" s="11">
        <f>'QTR CF'!AL30+'QTR CF'!AM30+'QTR CF'!AN30+'QTR CF'!AO30</f>
        <v/>
      </c>
      <c r="M29" s="11">
        <f>'QTR CF'!AP30+'QTR CF'!AQ30+'QTR CF'!AR30+'QTR CF'!AS30</f>
        <v/>
      </c>
      <c r="N29" s="11">
        <f>'QTR CF'!AT30+'QTR CF'!AU30+'QTR CF'!AV30+'QTR CF'!AW30</f>
        <v/>
      </c>
      <c r="O29" s="11">
        <f>'QTR CF'!AX30+'QTR CF'!AY30+'QTR CF'!AZ30+'QTR CF'!BA30</f>
        <v/>
      </c>
      <c r="P29" s="5" t="n"/>
    </row>
    <row r="30">
      <c r="A30" s="3" t="inlineStr">
        <is>
          <t>Cash Flow from Financing</t>
        </is>
      </c>
      <c r="B30" s="6">
        <f>SUM(B24:B29)</f>
        <v/>
      </c>
      <c r="C30" s="6">
        <f>SUM(C24:C29)</f>
        <v/>
      </c>
      <c r="D30" s="6">
        <f>SUM(D24:D29)</f>
        <v/>
      </c>
      <c r="E30" s="6">
        <f>SUM(E24:E29)</f>
        <v/>
      </c>
      <c r="F30" s="6">
        <f>SUM(F24:F29)</f>
        <v/>
      </c>
      <c r="G30" s="6">
        <f>SUM(G24:G29)</f>
        <v/>
      </c>
      <c r="H30" s="6">
        <f>SUM(H24:H29)</f>
        <v/>
      </c>
      <c r="I30" s="6">
        <f>SUM(I24:I29)</f>
        <v/>
      </c>
      <c r="J30" s="6">
        <f>SUM(J24:J29)</f>
        <v/>
      </c>
      <c r="K30" s="7">
        <f>SUM(K24:K29)</f>
        <v/>
      </c>
      <c r="L30" s="7">
        <f>SUM(L24:L29)</f>
        <v/>
      </c>
      <c r="M30" s="7">
        <f>SUM(M24:M29)</f>
        <v/>
      </c>
      <c r="N30" s="7">
        <f>SUM(N24:N29)</f>
        <v/>
      </c>
      <c r="O30" s="7">
        <f>SUM(O24:O29)</f>
        <v/>
      </c>
      <c r="P30" s="7">
        <f>SUM(P24:P29)</f>
        <v/>
      </c>
    </row>
    <row r="31">
      <c r="A31" s="3" t="inlineStr">
        <is>
          <t>FX Effect on Cash</t>
        </is>
      </c>
      <c r="B31" s="4" t="n">
        <v>405</v>
      </c>
      <c r="C31" s="4" t="n">
        <v>-302</v>
      </c>
      <c r="D31" s="4" t="n">
        <v>-23</v>
      </c>
      <c r="E31" s="4" t="n">
        <v>24</v>
      </c>
      <c r="F31" s="4" t="n">
        <v>-287</v>
      </c>
      <c r="G31" s="4" t="n">
        <v>-506</v>
      </c>
      <c r="H31" s="4" t="n">
        <v>-421</v>
      </c>
      <c r="I31" s="4" t="n">
        <v>-612</v>
      </c>
      <c r="J31" s="4" t="n">
        <v>208</v>
      </c>
      <c r="K31" s="11">
        <f>'QTR CF'!AH32+'QTR CF'!AI32+'QTR CF'!AJ32+'QTR CF'!AK32</f>
        <v/>
      </c>
      <c r="L31" s="11">
        <f>'QTR CF'!AL32+'QTR CF'!AM32+'QTR CF'!AN32+'QTR CF'!AO32</f>
        <v/>
      </c>
      <c r="M31" s="11">
        <f>'QTR CF'!AP32+'QTR CF'!AQ32+'QTR CF'!AR32+'QTR CF'!AS32</f>
        <v/>
      </c>
      <c r="N31" s="11">
        <f>'QTR CF'!AT32+'QTR CF'!AU32+'QTR CF'!AV32+'QTR CF'!AW32</f>
        <v/>
      </c>
      <c r="O31" s="11">
        <f>'QTR CF'!AX32+'QTR CF'!AY32+'QTR CF'!AZ32+'QTR CF'!BA32</f>
        <v/>
      </c>
      <c r="P31" s="5" t="n"/>
    </row>
    <row r="32">
      <c r="A32" s="3" t="inlineStr">
        <is>
          <t>Net Change in Cash</t>
        </is>
      </c>
      <c r="B32" s="6">
        <f>B16+B23+B30+B31</f>
        <v/>
      </c>
      <c r="C32" s="6">
        <f>C16+C23+C30+C31</f>
        <v/>
      </c>
      <c r="D32" s="6">
        <f>D16+D23+D30+D31</f>
        <v/>
      </c>
      <c r="E32" s="6">
        <f>E16+E23+E30+E31</f>
        <v/>
      </c>
      <c r="F32" s="6">
        <f>F16+F23+F30+F31</f>
        <v/>
      </c>
      <c r="G32" s="6">
        <f>G16+G23+G30+G31</f>
        <v/>
      </c>
      <c r="H32" s="6">
        <f>H16+H23+H30+H31</f>
        <v/>
      </c>
      <c r="I32" s="6">
        <f>I16+I23+I30+I31</f>
        <v/>
      </c>
      <c r="J32" s="6">
        <f>J16+J23+J30+J31</f>
        <v/>
      </c>
      <c r="K32" s="7">
        <f>K16+K23+K30+K31</f>
        <v/>
      </c>
      <c r="L32" s="7">
        <f>L16+L23+L30+L31</f>
        <v/>
      </c>
      <c r="M32" s="7">
        <f>M16+M23+M30+M31</f>
        <v/>
      </c>
      <c r="N32" s="7">
        <f>N16+N23+N30+N31</f>
        <v/>
      </c>
      <c r="O32" s="7">
        <f>O16+O23+O30+O31</f>
        <v/>
      </c>
      <c r="P32" s="7">
        <f>P16+P23+P30+P31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/>
      <c r="B1" s="2" t="inlineStr">
        <is>
          <t>Q1 FY2018</t>
        </is>
      </c>
      <c r="C1" s="2" t="inlineStr">
        <is>
          <t>Q2 FY2018</t>
        </is>
      </c>
      <c r="D1" s="2" t="inlineStr">
        <is>
          <t>Q3 FY2018</t>
        </is>
      </c>
      <c r="E1" s="2" t="inlineStr">
        <is>
          <t>Q1 FY2019</t>
        </is>
      </c>
      <c r="F1" s="2" t="inlineStr">
        <is>
          <t>Q2 FY2019</t>
        </is>
      </c>
      <c r="G1" s="2" t="inlineStr">
        <is>
          <t>Q3 FY2019</t>
        </is>
      </c>
      <c r="H1" s="2" t="inlineStr">
        <is>
          <t>Q1 FY2020</t>
        </is>
      </c>
      <c r="I1" s="2" t="inlineStr">
        <is>
          <t>Q2 FY2020</t>
        </is>
      </c>
      <c r="J1" s="2" t="inlineStr">
        <is>
          <t>Q3 FY2020</t>
        </is>
      </c>
      <c r="K1" s="2" t="inlineStr">
        <is>
          <t>Q1 FY2021</t>
        </is>
      </c>
      <c r="L1" s="2" t="inlineStr">
        <is>
          <t>Q2 FY2021</t>
        </is>
      </c>
      <c r="M1" s="2" t="inlineStr">
        <is>
          <t>Q3 FY2021</t>
        </is>
      </c>
      <c r="N1" s="2" t="inlineStr">
        <is>
          <t>Q1 FY2022</t>
        </is>
      </c>
      <c r="O1" s="2" t="inlineStr">
        <is>
          <t>Q2 FY2022</t>
        </is>
      </c>
      <c r="P1" s="2" t="inlineStr">
        <is>
          <t>Q3 FY2022</t>
        </is>
      </c>
      <c r="Q1" s="2" t="inlineStr">
        <is>
          <t>Q1 FY2023</t>
        </is>
      </c>
      <c r="R1" s="2" t="inlineStr">
        <is>
          <t>Q2 FY2023</t>
        </is>
      </c>
      <c r="S1" s="2" t="inlineStr">
        <is>
          <t>Q3 FY2023</t>
        </is>
      </c>
      <c r="T1" s="2" t="inlineStr">
        <is>
          <t>Q1 FY2024</t>
        </is>
      </c>
      <c r="U1" s="2" t="inlineStr">
        <is>
          <t>Q2 FY2024</t>
        </is>
      </c>
      <c r="V1" s="2" t="inlineStr">
        <is>
          <t>Q3 FY2024</t>
        </is>
      </c>
      <c r="W1" s="2" t="inlineStr">
        <is>
          <t>Q1 FY2025</t>
        </is>
      </c>
      <c r="X1" s="2" t="inlineStr">
        <is>
          <t>Q2 FY2025</t>
        </is>
      </c>
      <c r="Y1" s="2" t="inlineStr">
        <is>
          <t>Q3 FY2025</t>
        </is>
      </c>
    </row>
    <row r="2">
      <c r="A2" s="3" t="inlineStr">
        <is>
          <t>Net Sales / Revenue</t>
        </is>
      </c>
      <c r="B2" s="4" t="n">
        <v>31146</v>
      </c>
      <c r="C2" s="4" t="n">
        <v>63803</v>
      </c>
      <c r="D2" s="4" t="n">
        <v>97543</v>
      </c>
      <c r="E2" s="4" t="n">
        <v>36339</v>
      </c>
      <c r="F2" s="4" t="n">
        <v>75283</v>
      </c>
      <c r="G2" s="4" t="n">
        <v>115782</v>
      </c>
      <c r="H2" s="4" t="n">
        <v>41159</v>
      </c>
      <c r="I2" s="4" t="n">
        <v>79456</v>
      </c>
      <c r="J2" s="4" t="n">
        <v>125629</v>
      </c>
      <c r="K2" s="4" t="n">
        <v>55314</v>
      </c>
      <c r="L2" s="4" t="n">
        <v>117194</v>
      </c>
      <c r="M2" s="4" t="n">
        <v>182312</v>
      </c>
      <c r="N2" s="4" t="n">
        <v>68011</v>
      </c>
      <c r="O2" s="4" t="n">
        <v>137696</v>
      </c>
      <c r="P2" s="4" t="n">
        <v>206788</v>
      </c>
      <c r="Q2" s="4" t="n">
        <v>69787</v>
      </c>
      <c r="R2" s="4" t="n">
        <v>144391</v>
      </c>
      <c r="S2" s="4" t="n">
        <v>221084</v>
      </c>
      <c r="T2" s="4" t="n">
        <v>80539</v>
      </c>
      <c r="U2" s="4" t="n">
        <v>165281</v>
      </c>
      <c r="V2" s="4" t="n">
        <v>253549</v>
      </c>
      <c r="W2" s="4" t="n">
        <v>90234</v>
      </c>
      <c r="X2" s="4" t="n">
        <v>186662</v>
      </c>
      <c r="Y2" s="4" t="n">
        <v>289007</v>
      </c>
    </row>
    <row r="3">
      <c r="A3" s="3" t="inlineStr">
        <is>
          <t>COGS</t>
        </is>
      </c>
      <c r="B3" s="4" t="n">
        <v>-13467</v>
      </c>
      <c r="C3" s="4" t="n">
        <v>-27350</v>
      </c>
      <c r="D3" s="4" t="n">
        <v>-41631</v>
      </c>
      <c r="E3" s="4" t="n">
        <v>-16012</v>
      </c>
      <c r="F3" s="4" t="n">
        <v>-33308</v>
      </c>
      <c r="G3" s="4" t="n">
        <v>-50876</v>
      </c>
      <c r="H3" s="4" t="n">
        <v>-18982</v>
      </c>
      <c r="I3" s="4" t="n">
        <v>-37535</v>
      </c>
      <c r="J3" s="4" t="n">
        <v>-58652</v>
      </c>
      <c r="K3" s="4" t="n">
        <v>-24103</v>
      </c>
      <c r="L3" s="4" t="n">
        <v>-50330</v>
      </c>
      <c r="M3" s="4" t="n">
        <v>-77951</v>
      </c>
      <c r="N3" s="4" t="n">
        <v>-29599</v>
      </c>
      <c r="O3" s="4" t="n">
        <v>-59703</v>
      </c>
      <c r="P3" s="4" t="n">
        <v>-90861</v>
      </c>
      <c r="Q3" s="4" t="n">
        <v>-30612</v>
      </c>
      <c r="R3" s="4" t="n">
        <v>-62528</v>
      </c>
      <c r="S3" s="4" t="n">
        <v>-95757</v>
      </c>
      <c r="T3" s="4" t="n">
        <v>-33712</v>
      </c>
      <c r="U3" s="4" t="n">
        <v>-69219</v>
      </c>
      <c r="V3" s="4" t="n">
        <v>-105693</v>
      </c>
      <c r="W3" s="4" t="n">
        <v>-36361</v>
      </c>
      <c r="X3" s="4" t="n">
        <v>-75400</v>
      </c>
      <c r="Y3" s="4" t="n">
        <v>-116768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  <c r="P4" s="6">
        <f>P2+P3</f>
        <v/>
      </c>
      <c r="Q4" s="6">
        <f>Q2+Q3</f>
        <v/>
      </c>
      <c r="R4" s="6">
        <f>R2+R3</f>
        <v/>
      </c>
      <c r="S4" s="6">
        <f>S2+S3</f>
        <v/>
      </c>
      <c r="T4" s="6">
        <f>T2+T3</f>
        <v/>
      </c>
      <c r="U4" s="6">
        <f>U2+U3</f>
        <v/>
      </c>
      <c r="V4" s="6">
        <f>V2+V3</f>
        <v/>
      </c>
      <c r="W4" s="6">
        <f>W2+W3</f>
        <v/>
      </c>
      <c r="X4" s="6">
        <f>X2+X3</f>
        <v/>
      </c>
      <c r="Y4" s="6">
        <f>Y2+Y3</f>
        <v/>
      </c>
    </row>
    <row r="5">
      <c r="A5" s="3" t="inlineStr">
        <is>
          <t>Research and Development</t>
        </is>
      </c>
      <c r="B5" s="4" t="n">
        <v>-5039</v>
      </c>
      <c r="C5" s="4" t="n">
        <v>-10153</v>
      </c>
      <c r="D5" s="4" t="n">
        <v>-15385</v>
      </c>
      <c r="E5" s="4" t="n">
        <v>-6029</v>
      </c>
      <c r="F5" s="4" t="n">
        <v>-12242</v>
      </c>
      <c r="G5" s="4" t="n">
        <v>-18796</v>
      </c>
      <c r="H5" s="4" t="n">
        <v>-6820</v>
      </c>
      <c r="I5" s="4" t="n">
        <v>-13695</v>
      </c>
      <c r="J5" s="4" t="n">
        <v>-20551</v>
      </c>
      <c r="K5" s="4" t="n">
        <v>-7485</v>
      </c>
      <c r="L5" s="4" t="n">
        <v>-15160</v>
      </c>
      <c r="M5" s="4" t="n">
        <v>-22854</v>
      </c>
      <c r="N5" s="4" t="n">
        <v>-9119</v>
      </c>
      <c r="O5" s="4" t="n">
        <v>-18960</v>
      </c>
      <c r="P5" s="4" t="n">
        <v>-29233</v>
      </c>
      <c r="Q5" s="4" t="n">
        <v>-11468</v>
      </c>
      <c r="R5" s="4" t="n">
        <v>-22056</v>
      </c>
      <c r="S5" s="4" t="n">
        <v>-33314</v>
      </c>
      <c r="T5" s="4" t="n">
        <v>-11903</v>
      </c>
      <c r="U5" s="4" t="n">
        <v>-23763</v>
      </c>
      <c r="V5" s="4" t="n">
        <v>-36210</v>
      </c>
      <c r="W5" s="4" t="n">
        <v>-13556</v>
      </c>
      <c r="X5" s="4" t="n">
        <v>-27364</v>
      </c>
      <c r="Y5" s="4" t="n">
        <v>-42515</v>
      </c>
    </row>
    <row r="6">
      <c r="A6" s="3" t="inlineStr">
        <is>
          <t>Sales and Marketing</t>
        </is>
      </c>
      <c r="B6" s="4" t="n">
        <v>-3604</v>
      </c>
      <c r="C6" s="4" t="n">
        <v>-7384</v>
      </c>
      <c r="D6" s="4" t="n">
        <v>-11233</v>
      </c>
      <c r="E6" s="4" t="n">
        <v>-3905</v>
      </c>
      <c r="F6" s="4" t="n">
        <v>-8117</v>
      </c>
      <c r="G6" s="4" t="n">
        <v>-12726</v>
      </c>
      <c r="H6" s="4" t="n">
        <v>-4500</v>
      </c>
      <c r="I6" s="4" t="n">
        <v>-8401</v>
      </c>
      <c r="J6" s="4" t="n">
        <v>-12632</v>
      </c>
      <c r="K6" s="4" t="n">
        <v>-4516</v>
      </c>
      <c r="L6" s="4" t="n">
        <v>-9792</v>
      </c>
      <c r="M6" s="4" t="n">
        <v>-15308</v>
      </c>
      <c r="N6" s="4" t="n">
        <v>-5825</v>
      </c>
      <c r="O6" s="4" t="n">
        <v>-12455</v>
      </c>
      <c r="P6" s="4" t="n">
        <v>-19384</v>
      </c>
      <c r="Q6" s="4" t="n">
        <v>-6533</v>
      </c>
      <c r="R6" s="4" t="n">
        <v>-13314</v>
      </c>
      <c r="S6" s="4" t="n">
        <v>-20198</v>
      </c>
      <c r="T6" s="4" t="n">
        <v>-6426</v>
      </c>
      <c r="U6" s="4" t="n">
        <v>-13218</v>
      </c>
      <c r="V6" s="4" t="n">
        <v>-20445</v>
      </c>
      <c r="W6" s="4" t="n">
        <v>-6172</v>
      </c>
      <c r="X6" s="4" t="n">
        <v>-13273</v>
      </c>
      <c r="Y6" s="4" t="n">
        <v>-20478</v>
      </c>
    </row>
    <row r="7">
      <c r="A7" s="3" t="inlineStr">
        <is>
          <t>General and Administrative</t>
        </is>
      </c>
      <c r="B7" s="4" t="n">
        <v>-1403</v>
      </c>
      <c r="C7" s="4" t="n">
        <v>-3167</v>
      </c>
      <c r="D7" s="4" t="n">
        <v>-4920</v>
      </c>
      <c r="E7" s="4" t="n">
        <v>-2088</v>
      </c>
      <c r="F7" s="4" t="n">
        <v>-4131</v>
      </c>
      <c r="G7" s="4" t="n">
        <v>-6722</v>
      </c>
      <c r="H7" s="4" t="n">
        <v>-2880</v>
      </c>
      <c r="I7" s="4" t="n">
        <v>-5465</v>
      </c>
      <c r="J7" s="4" t="n">
        <v>-8221</v>
      </c>
      <c r="K7" s="4" t="n">
        <v>-2773</v>
      </c>
      <c r="L7" s="4" t="n">
        <v>-6114</v>
      </c>
      <c r="M7" s="4" t="n">
        <v>-9370</v>
      </c>
      <c r="N7" s="4" t="n">
        <v>-3374</v>
      </c>
      <c r="O7" s="4" t="n">
        <v>-7031</v>
      </c>
      <c r="P7" s="4" t="n">
        <v>-10628</v>
      </c>
      <c r="Q7" s="4" t="n">
        <v>-3759</v>
      </c>
      <c r="R7" s="4" t="n">
        <v>-7240</v>
      </c>
      <c r="S7" s="4" t="n">
        <v>-11219</v>
      </c>
      <c r="T7" s="4" t="n">
        <v>-3026</v>
      </c>
      <c r="U7" s="4" t="n">
        <v>-6184</v>
      </c>
      <c r="V7" s="4" t="n">
        <v>-9783</v>
      </c>
      <c r="W7" s="4" t="n">
        <v>-3539</v>
      </c>
      <c r="X7" s="4" t="n">
        <v>-8748</v>
      </c>
      <c r="Y7" s="4" t="n">
        <v>-16141</v>
      </c>
    </row>
    <row r="8">
      <c r="A8" s="3" t="inlineStr">
        <is>
          <t>Litigation and Regulatory Charges</t>
        </is>
      </c>
      <c r="B8" s="4" t="n">
        <v>0</v>
      </c>
      <c r="C8" s="4" t="n">
        <v>-5071</v>
      </c>
      <c r="D8" s="4" t="n">
        <v>-5071</v>
      </c>
      <c r="E8" s="4" t="n">
        <v>-1697</v>
      </c>
      <c r="F8" s="4" t="n">
        <v>-1697</v>
      </c>
      <c r="G8" s="4" t="n">
        <v>-1697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</row>
    <row r="9">
      <c r="A9" s="3" t="inlineStr">
        <is>
          <t>Income (Loss) from Operations</t>
        </is>
      </c>
      <c r="B9" s="6">
        <f>B4+SUM(B5:B8)</f>
        <v/>
      </c>
      <c r="C9" s="6">
        <f>C4+SUM(C5:C8)</f>
        <v/>
      </c>
      <c r="D9" s="6">
        <f>D4+SUM(D5:D8)</f>
        <v/>
      </c>
      <c r="E9" s="6">
        <f>E4+SUM(E5:E8)</f>
        <v/>
      </c>
      <c r="F9" s="6">
        <f>F4+SUM(F5:F8)</f>
        <v/>
      </c>
      <c r="G9" s="6">
        <f>G4+SUM(G5:G8)</f>
        <v/>
      </c>
      <c r="H9" s="6">
        <f>H4+SUM(H5:H8)</f>
        <v/>
      </c>
      <c r="I9" s="6">
        <f>I4+SUM(I5:I8)</f>
        <v/>
      </c>
      <c r="J9" s="6">
        <f>J4+SUM(J5:J8)</f>
        <v/>
      </c>
      <c r="K9" s="6">
        <f>K4+SUM(K5:K8)</f>
        <v/>
      </c>
      <c r="L9" s="6">
        <f>L4+SUM(L5:L8)</f>
        <v/>
      </c>
      <c r="M9" s="6">
        <f>M4+SUM(M5:M8)</f>
        <v/>
      </c>
      <c r="N9" s="6">
        <f>N4+SUM(N5:N8)</f>
        <v/>
      </c>
      <c r="O9" s="6">
        <f>O4+SUM(O5:O8)</f>
        <v/>
      </c>
      <c r="P9" s="6">
        <f>P4+SUM(P5:P8)</f>
        <v/>
      </c>
      <c r="Q9" s="6">
        <f>Q4+SUM(Q5:Q8)</f>
        <v/>
      </c>
      <c r="R9" s="6">
        <f>R4+SUM(R5:R8)</f>
        <v/>
      </c>
      <c r="S9" s="6">
        <f>S4+SUM(S5:S8)</f>
        <v/>
      </c>
      <c r="T9" s="6">
        <f>T4+SUM(T5:T8)</f>
        <v/>
      </c>
      <c r="U9" s="6">
        <f>U4+SUM(U5:U8)</f>
        <v/>
      </c>
      <c r="V9" s="6">
        <f>V4+SUM(V5:V8)</f>
        <v/>
      </c>
      <c r="W9" s="6">
        <f>W4+SUM(W5:W8)</f>
        <v/>
      </c>
      <c r="X9" s="6">
        <f>X4+SUM(X5:X8)</f>
        <v/>
      </c>
      <c r="Y9" s="6">
        <f>Y4+SUM(Y5:Y8)</f>
        <v/>
      </c>
    </row>
    <row r="10">
      <c r="A10" s="3" t="inlineStr">
        <is>
          <t>Other Income (Expense)</t>
        </is>
      </c>
      <c r="B10" s="4" t="n">
        <v>2910</v>
      </c>
      <c r="C10" s="4" t="n">
        <v>4080</v>
      </c>
      <c r="D10" s="4" t="n">
        <v>5538</v>
      </c>
      <c r="E10" s="4" t="n">
        <v>1538</v>
      </c>
      <c r="F10" s="4" t="n">
        <v>4505</v>
      </c>
      <c r="G10" s="4" t="n">
        <v>3956</v>
      </c>
      <c r="H10" s="4" t="n">
        <v>-220</v>
      </c>
      <c r="I10" s="4" t="n">
        <v>1674</v>
      </c>
      <c r="J10" s="4" t="n">
        <v>3820</v>
      </c>
      <c r="K10" s="4" t="n">
        <v>4846</v>
      </c>
      <c r="L10" s="4" t="n">
        <v>7470</v>
      </c>
      <c r="M10" s="4" t="n">
        <v>9503</v>
      </c>
      <c r="N10" s="4" t="n">
        <v>-1160</v>
      </c>
      <c r="O10" s="4" t="n">
        <v>-1599</v>
      </c>
      <c r="P10" s="4" t="n">
        <v>-2501</v>
      </c>
      <c r="Q10" s="4" t="n">
        <v>790</v>
      </c>
      <c r="R10" s="4" t="n">
        <v>855</v>
      </c>
      <c r="S10" s="4" t="n">
        <v>709</v>
      </c>
      <c r="T10" s="4" t="n">
        <v>2843</v>
      </c>
      <c r="U10" s="4" t="n">
        <v>2969</v>
      </c>
      <c r="V10" s="4" t="n">
        <v>6154</v>
      </c>
      <c r="W10" s="4" t="n">
        <v>11183</v>
      </c>
      <c r="X10" s="4" t="n">
        <v>13845</v>
      </c>
      <c r="Y10" s="4" t="n">
        <v>26604</v>
      </c>
    </row>
    <row r="11">
      <c r="A11" s="3" t="inlineStr">
        <is>
          <t>Pre-Tax Income (Loss)</t>
        </is>
      </c>
      <c r="B11" s="6">
        <f>B9+B10</f>
        <v/>
      </c>
      <c r="C11" s="6">
        <f>C9+C10</f>
        <v/>
      </c>
      <c r="D11" s="6">
        <f>D9+D10</f>
        <v/>
      </c>
      <c r="E11" s="6">
        <f>E9+E10</f>
        <v/>
      </c>
      <c r="F11" s="6">
        <f>F9+F10</f>
        <v/>
      </c>
      <c r="G11" s="6">
        <f>G9+G10</f>
        <v/>
      </c>
      <c r="H11" s="6">
        <f>H9+H10</f>
        <v/>
      </c>
      <c r="I11" s="6">
        <f>I9+I10</f>
        <v/>
      </c>
      <c r="J11" s="6">
        <f>J9+J10</f>
        <v/>
      </c>
      <c r="K11" s="6">
        <f>K9+K10</f>
        <v/>
      </c>
      <c r="L11" s="6">
        <f>L9+L10</f>
        <v/>
      </c>
      <c r="M11" s="6">
        <f>M9+M10</f>
        <v/>
      </c>
      <c r="N11" s="6">
        <f>N9+N10</f>
        <v/>
      </c>
      <c r="O11" s="6">
        <f>O9+O10</f>
        <v/>
      </c>
      <c r="P11" s="6">
        <f>P9+P10</f>
        <v/>
      </c>
      <c r="Q11" s="6">
        <f>Q9+Q10</f>
        <v/>
      </c>
      <c r="R11" s="6">
        <f>R9+R10</f>
        <v/>
      </c>
      <c r="S11" s="6">
        <f>S9+S10</f>
        <v/>
      </c>
      <c r="T11" s="6">
        <f>T9+T10</f>
        <v/>
      </c>
      <c r="U11" s="6">
        <f>U9+U10</f>
        <v/>
      </c>
      <c r="V11" s="6">
        <f>V9+V10</f>
        <v/>
      </c>
      <c r="W11" s="6">
        <f>W9+W10</f>
        <v/>
      </c>
      <c r="X11" s="6">
        <f>X9+X10</f>
        <v/>
      </c>
      <c r="Y11" s="6">
        <f>Y9+Y10</f>
        <v/>
      </c>
    </row>
    <row r="12">
      <c r="A12" s="3" t="inlineStr">
        <is>
          <t>Income Tax (Expense) Benefit</t>
        </is>
      </c>
      <c r="B12" s="4" t="n">
        <v>-1142</v>
      </c>
      <c r="C12" s="4" t="n">
        <v>-2162</v>
      </c>
      <c r="D12" s="4" t="n">
        <v>-3053</v>
      </c>
      <c r="E12" s="4" t="n">
        <v>-1489</v>
      </c>
      <c r="F12" s="4" t="n">
        <v>-3689</v>
      </c>
      <c r="G12" s="4" t="n">
        <v>-5249</v>
      </c>
      <c r="H12" s="4" t="n">
        <v>-921</v>
      </c>
      <c r="I12" s="4" t="n">
        <v>-2239</v>
      </c>
      <c r="J12" s="4" t="n">
        <v>-4351</v>
      </c>
      <c r="K12" s="4" t="n">
        <v>-3353</v>
      </c>
      <c r="L12" s="4" t="n">
        <v>-6813</v>
      </c>
      <c r="M12" s="4" t="n">
        <v>-10941</v>
      </c>
      <c r="N12" s="4" t="n">
        <v>-2498</v>
      </c>
      <c r="O12" s="4" t="n">
        <v>-5510</v>
      </c>
      <c r="P12" s="4" t="n">
        <v>-7833</v>
      </c>
      <c r="Q12" s="4" t="n">
        <v>-3154</v>
      </c>
      <c r="R12" s="4" t="n">
        <v>-6689</v>
      </c>
      <c r="S12" s="4" t="n">
        <v>-8197</v>
      </c>
      <c r="T12" s="4" t="n">
        <v>-4653</v>
      </c>
      <c r="U12" s="4" t="n">
        <v>-8585</v>
      </c>
      <c r="V12" s="4" t="n">
        <v>-13990</v>
      </c>
      <c r="W12" s="4" t="n">
        <v>-7249</v>
      </c>
      <c r="X12" s="4" t="n">
        <v>-12986</v>
      </c>
      <c r="Y12" s="4" t="n">
        <v>-21994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  <c r="O13" s="6">
        <f>O11+O12</f>
        <v/>
      </c>
      <c r="P13" s="6">
        <f>P11+P12</f>
        <v/>
      </c>
      <c r="Q13" s="6">
        <f>Q11+Q12</f>
        <v/>
      </c>
      <c r="R13" s="6">
        <f>R11+R12</f>
        <v/>
      </c>
      <c r="S13" s="6">
        <f>S11+S12</f>
        <v/>
      </c>
      <c r="T13" s="6">
        <f>T11+T12</f>
        <v/>
      </c>
      <c r="U13" s="6">
        <f>U11+U12</f>
        <v/>
      </c>
      <c r="V13" s="6">
        <f>V11+V12</f>
        <v/>
      </c>
      <c r="W13" s="6">
        <f>W11+W12</f>
        <v/>
      </c>
      <c r="X13" s="6">
        <f>X11+X12</f>
        <v/>
      </c>
      <c r="Y13" s="6">
        <f>Y11+Y12</f>
        <v/>
      </c>
    </row>
    <row r="14">
      <c r="A14" s="3" t="inlineStr">
        <is>
          <t>Basic Earnings (Loss) per Share</t>
        </is>
      </c>
      <c r="B14" s="8" t="n">
        <v>13.53</v>
      </c>
      <c r="C14" s="8" t="n">
        <v>18.13</v>
      </c>
      <c r="D14" s="8" t="n">
        <v>31.34</v>
      </c>
      <c r="E14" s="8" t="n">
        <v>9.58</v>
      </c>
      <c r="F14" s="8" t="n">
        <v>23.91</v>
      </c>
      <c r="G14" s="8" t="n">
        <v>34.12</v>
      </c>
      <c r="H14" s="8" t="n">
        <v>9.960000000000001</v>
      </c>
      <c r="I14" s="8" t="n">
        <v>20.16</v>
      </c>
      <c r="J14" s="8" t="n">
        <v>36.69</v>
      </c>
      <c r="K14" s="8" t="n">
        <v>26.63</v>
      </c>
      <c r="L14" s="8" t="n">
        <v>54.32</v>
      </c>
      <c r="M14" s="8" t="n">
        <v>82.76000000000001</v>
      </c>
      <c r="N14" s="8" t="n">
        <v>24.9</v>
      </c>
      <c r="O14" s="8" t="n">
        <v>2.46</v>
      </c>
      <c r="P14" s="8" t="n">
        <v>3.53</v>
      </c>
      <c r="Q14" s="8" t="n">
        <v>1.18</v>
      </c>
      <c r="R14" s="8" t="n">
        <v>2.63</v>
      </c>
      <c r="S14" s="8" t="n">
        <v>4.19</v>
      </c>
      <c r="T14" s="8" t="n">
        <v>1.91</v>
      </c>
      <c r="U14" s="8" t="n">
        <v>3.82</v>
      </c>
      <c r="V14" s="8" t="n">
        <v>5.96</v>
      </c>
      <c r="W14" s="8" t="n">
        <v>2.84</v>
      </c>
      <c r="X14" s="8" t="n">
        <v>5.16</v>
      </c>
      <c r="Y14" s="8" t="n">
        <v>8.06</v>
      </c>
    </row>
    <row r="15">
      <c r="A15" s="3" t="inlineStr">
        <is>
          <t>Diluted Earnings (Loss) per Share</t>
        </is>
      </c>
      <c r="B15" s="8" t="n">
        <v>13.33</v>
      </c>
      <c r="C15" s="8" t="n">
        <v>17.89</v>
      </c>
      <c r="D15" s="8" t="n">
        <v>30.95</v>
      </c>
      <c r="E15" s="8" t="n">
        <v>9.5</v>
      </c>
      <c r="F15" s="8" t="n">
        <v>23.71</v>
      </c>
      <c r="G15" s="8" t="n">
        <v>33.83</v>
      </c>
      <c r="H15" s="8" t="n">
        <v>9.869999999999999</v>
      </c>
      <c r="I15" s="8" t="n">
        <v>20</v>
      </c>
      <c r="J15" s="8" t="n">
        <v>36.38</v>
      </c>
      <c r="K15" s="8" t="n">
        <v>26.29</v>
      </c>
      <c r="L15" s="8" t="n">
        <v>53.54</v>
      </c>
      <c r="M15" s="8" t="n">
        <v>81.53</v>
      </c>
      <c r="N15" s="8" t="n">
        <v>24.62</v>
      </c>
      <c r="O15" s="8" t="n">
        <v>2.44</v>
      </c>
      <c r="P15" s="8" t="n">
        <v>3.5</v>
      </c>
      <c r="Q15" s="8" t="n">
        <v>1.17</v>
      </c>
      <c r="R15" s="8" t="n">
        <v>2.61</v>
      </c>
      <c r="S15" s="8" t="n">
        <v>4.16</v>
      </c>
      <c r="T15" s="8" t="n">
        <v>1.89</v>
      </c>
      <c r="U15" s="8" t="n">
        <v>3.78</v>
      </c>
      <c r="V15" s="8" t="n">
        <v>5.9</v>
      </c>
      <c r="W15" s="8" t="n">
        <v>2.81</v>
      </c>
      <c r="X15" s="8" t="n">
        <v>5.12</v>
      </c>
      <c r="Y15" s="8" t="n">
        <v>7.99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/>
      <c r="B1" s="2" t="inlineStr">
        <is>
          <t>Q4 FY2018</t>
        </is>
      </c>
      <c r="C1" s="2" t="inlineStr">
        <is>
          <t>Q1 FY2019</t>
        </is>
      </c>
      <c r="D1" s="2" t="inlineStr">
        <is>
          <t>Q2 FY2019</t>
        </is>
      </c>
      <c r="E1" s="2" t="inlineStr">
        <is>
          <t>Q3 FY2019</t>
        </is>
      </c>
      <c r="F1" s="2" t="inlineStr">
        <is>
          <t>Q4 FY2019</t>
        </is>
      </c>
      <c r="G1" s="2" t="inlineStr">
        <is>
          <t>Q1 FY2020</t>
        </is>
      </c>
      <c r="H1" s="2" t="inlineStr">
        <is>
          <t>Q2 FY2020</t>
        </is>
      </c>
      <c r="I1" s="2" t="inlineStr">
        <is>
          <t>Q3 FY2020</t>
        </is>
      </c>
      <c r="J1" s="2" t="inlineStr">
        <is>
          <t>Q4 FY2020</t>
        </is>
      </c>
      <c r="K1" s="2" t="inlineStr">
        <is>
          <t>Q1 FY2021</t>
        </is>
      </c>
      <c r="L1" s="2" t="inlineStr">
        <is>
          <t>Q2 FY2021</t>
        </is>
      </c>
      <c r="M1" s="2" t="inlineStr">
        <is>
          <t>Q3 FY2021</t>
        </is>
      </c>
      <c r="N1" s="2" t="inlineStr">
        <is>
          <t>Q4 FY2021</t>
        </is>
      </c>
      <c r="O1" s="2" t="inlineStr">
        <is>
          <t>Q1 FY2022</t>
        </is>
      </c>
      <c r="P1" s="2" t="inlineStr">
        <is>
          <t>Q2 FY2022</t>
        </is>
      </c>
      <c r="Q1" s="2" t="inlineStr">
        <is>
          <t>Q3 FY2022</t>
        </is>
      </c>
      <c r="R1" s="2" t="inlineStr">
        <is>
          <t>Q4 FY2022</t>
        </is>
      </c>
      <c r="S1" s="2" t="inlineStr">
        <is>
          <t>Q1 FY2023</t>
        </is>
      </c>
      <c r="T1" s="2" t="inlineStr">
        <is>
          <t>Q2 FY2023</t>
        </is>
      </c>
      <c r="U1" s="2" t="inlineStr">
        <is>
          <t>Q3 FY2023</t>
        </is>
      </c>
      <c r="V1" s="2" t="inlineStr">
        <is>
          <t>Q4 FY2023</t>
        </is>
      </c>
      <c r="W1" s="2" t="inlineStr">
        <is>
          <t>Q1 FY2024</t>
        </is>
      </c>
      <c r="X1" s="2" t="inlineStr">
        <is>
          <t>Q2 FY2024</t>
        </is>
      </c>
      <c r="Y1" s="2" t="inlineStr">
        <is>
          <t>Q3 FY2024</t>
        </is>
      </c>
      <c r="Z1" s="2" t="inlineStr">
        <is>
          <t>Q4 FY2024</t>
        </is>
      </c>
      <c r="AA1" s="2" t="inlineStr">
        <is>
          <t>Q1 FY2025</t>
        </is>
      </c>
      <c r="AB1" s="2" t="inlineStr">
        <is>
          <t>Q2 FY2025</t>
        </is>
      </c>
      <c r="AC1" s="2" t="inlineStr">
        <is>
          <t>Q3 FY2025</t>
        </is>
      </c>
    </row>
    <row r="2">
      <c r="A2" s="3" t="inlineStr">
        <is>
          <t>Cash &amp; Cash Equivalents</t>
        </is>
      </c>
      <c r="B2" s="4" t="n">
        <v>16701</v>
      </c>
      <c r="C2" s="4" t="n">
        <v>19148</v>
      </c>
      <c r="D2" s="4" t="n">
        <v>16587</v>
      </c>
      <c r="E2" s="4" t="n">
        <v>16032</v>
      </c>
      <c r="F2" s="4" t="n">
        <v>18498</v>
      </c>
      <c r="G2" s="4" t="n">
        <v>19644</v>
      </c>
      <c r="H2" s="4" t="n">
        <v>17742</v>
      </c>
      <c r="I2" s="4" t="n">
        <v>20129</v>
      </c>
      <c r="J2" s="4" t="n">
        <v>26465</v>
      </c>
      <c r="K2" s="4" t="n">
        <v>26622</v>
      </c>
      <c r="L2" s="4" t="n">
        <v>23630</v>
      </c>
      <c r="M2" s="4" t="n">
        <v>23719</v>
      </c>
      <c r="N2" s="4" t="n">
        <v>20945</v>
      </c>
      <c r="O2" s="4" t="n">
        <v>20886</v>
      </c>
      <c r="P2" s="4" t="n">
        <v>17936</v>
      </c>
      <c r="Q2" s="4" t="n">
        <v>21984</v>
      </c>
      <c r="R2" s="4" t="n">
        <v>21879</v>
      </c>
      <c r="S2" s="4" t="n">
        <v>25924</v>
      </c>
      <c r="T2" s="4" t="n">
        <v>25929</v>
      </c>
      <c r="U2" s="4" t="n">
        <v>30702</v>
      </c>
      <c r="V2" s="4" t="n">
        <v>24048</v>
      </c>
      <c r="W2" s="4" t="n">
        <v>24493</v>
      </c>
      <c r="X2" s="4" t="n">
        <v>27225</v>
      </c>
      <c r="Y2" s="4" t="n">
        <v>19959</v>
      </c>
      <c r="Z2" s="4" t="n">
        <v>23466</v>
      </c>
      <c r="AA2" s="4" t="n">
        <v>23264</v>
      </c>
      <c r="AB2" s="4" t="n">
        <v>21036</v>
      </c>
      <c r="AC2" s="4" t="n">
        <v>23090</v>
      </c>
    </row>
    <row r="3">
      <c r="A3" s="3" t="inlineStr">
        <is>
          <t>Short-Term Investments</t>
        </is>
      </c>
      <c r="B3" s="4" t="n">
        <v>92439</v>
      </c>
      <c r="C3" s="4" t="n">
        <v>94340</v>
      </c>
      <c r="D3" s="4" t="n">
        <v>104469</v>
      </c>
      <c r="E3" s="4" t="n">
        <v>105145</v>
      </c>
      <c r="F3" s="4" t="n">
        <v>101177</v>
      </c>
      <c r="G3" s="4" t="n">
        <v>97585</v>
      </c>
      <c r="H3" s="4" t="n">
        <v>103338</v>
      </c>
      <c r="I3" s="4" t="n">
        <v>112467</v>
      </c>
      <c r="J3" s="4" t="n">
        <v>110229</v>
      </c>
      <c r="K3" s="4" t="n">
        <v>108482</v>
      </c>
      <c r="L3" s="4" t="n">
        <v>112233</v>
      </c>
      <c r="M3" s="4" t="n">
        <v>118284</v>
      </c>
      <c r="N3" s="4" t="n">
        <v>118704</v>
      </c>
      <c r="O3" s="4" t="n">
        <v>113084</v>
      </c>
      <c r="P3" s="4" t="n">
        <v>107061</v>
      </c>
      <c r="Q3" s="4" t="n">
        <v>94275</v>
      </c>
      <c r="R3" s="4" t="n">
        <v>91883</v>
      </c>
      <c r="S3" s="4" t="n">
        <v>89178</v>
      </c>
      <c r="T3" s="4" t="n">
        <v>92403</v>
      </c>
      <c r="U3" s="4" t="n">
        <v>89233</v>
      </c>
      <c r="V3" s="4" t="n">
        <v>86868</v>
      </c>
      <c r="W3" s="4" t="n">
        <v>83597</v>
      </c>
      <c r="X3" s="4" t="n">
        <v>73500</v>
      </c>
      <c r="Y3" s="4" t="n">
        <v>73271</v>
      </c>
      <c r="Z3" s="4" t="n">
        <v>72191</v>
      </c>
      <c r="AA3" s="4" t="n">
        <v>72064</v>
      </c>
      <c r="AB3" s="4" t="n">
        <v>74112</v>
      </c>
      <c r="AC3" s="4" t="n">
        <v>75406</v>
      </c>
    </row>
    <row r="4">
      <c r="A4" s="3" t="inlineStr">
        <is>
          <t>Accounts Receivable</t>
        </is>
      </c>
      <c r="B4" s="4" t="n">
        <v>20838</v>
      </c>
      <c r="C4" s="4" t="n">
        <v>19149</v>
      </c>
      <c r="D4" s="4" t="n">
        <v>20965</v>
      </c>
      <c r="E4" s="4" t="n">
        <v>20889</v>
      </c>
      <c r="F4" s="4" t="n">
        <v>25326</v>
      </c>
      <c r="G4" s="4" t="n">
        <v>21825</v>
      </c>
      <c r="H4" s="4" t="n">
        <v>21201</v>
      </c>
      <c r="I4" s="4" t="n">
        <v>24925</v>
      </c>
      <c r="J4" s="4" t="n">
        <v>30930</v>
      </c>
      <c r="K4" s="4" t="n">
        <v>28006</v>
      </c>
      <c r="L4" s="4" t="n">
        <v>31967</v>
      </c>
      <c r="M4" s="4" t="n">
        <v>34047</v>
      </c>
      <c r="N4" s="4" t="n">
        <v>39304</v>
      </c>
      <c r="O4" s="4" t="n">
        <v>34703</v>
      </c>
      <c r="P4" s="4" t="n">
        <v>35707</v>
      </c>
      <c r="Q4" s="4" t="n">
        <v>34697</v>
      </c>
      <c r="R4" s="4" t="n">
        <v>40258</v>
      </c>
      <c r="S4" s="4" t="n">
        <v>36036</v>
      </c>
      <c r="T4" s="4" t="n">
        <v>38804</v>
      </c>
      <c r="U4" s="4" t="n">
        <v>41020</v>
      </c>
      <c r="V4" s="4" t="n">
        <v>47964</v>
      </c>
      <c r="W4" s="4" t="n">
        <v>44552</v>
      </c>
      <c r="X4" s="4" t="n">
        <v>47087</v>
      </c>
      <c r="Y4" s="4" t="n">
        <v>49104</v>
      </c>
      <c r="Z4" s="4" t="n">
        <v>52340</v>
      </c>
      <c r="AA4" s="4" t="n">
        <v>51000</v>
      </c>
      <c r="AB4" s="4" t="n">
        <v>55048</v>
      </c>
      <c r="AC4" s="4" t="n">
        <v>57148</v>
      </c>
    </row>
    <row r="5">
      <c r="A5" s="3" t="inlineStr">
        <is>
          <t>Note Receivable - Current</t>
        </is>
      </c>
      <c r="B5" s="4" t="n">
        <v>355</v>
      </c>
      <c r="C5" s="4" t="n">
        <v>111</v>
      </c>
      <c r="D5" s="4" t="n">
        <v>352</v>
      </c>
      <c r="E5" s="4" t="n">
        <v>192</v>
      </c>
      <c r="F5" s="4" t="n">
        <v>2166</v>
      </c>
      <c r="G5" s="4" t="n">
        <v>1910</v>
      </c>
      <c r="H5" s="4" t="n">
        <v>394</v>
      </c>
      <c r="I5" s="4" t="n">
        <v>588</v>
      </c>
      <c r="J5" s="4" t="n">
        <v>454</v>
      </c>
      <c r="K5" s="4" t="n">
        <v>493</v>
      </c>
      <c r="L5" s="4" t="n">
        <v>884</v>
      </c>
      <c r="M5" s="4" t="n">
        <v>753</v>
      </c>
      <c r="N5" s="4" t="n">
        <v>966</v>
      </c>
      <c r="O5" s="4" t="n">
        <v>919</v>
      </c>
      <c r="P5" s="4" t="n">
        <v>1366</v>
      </c>
      <c r="Q5" s="4" t="n">
        <v>1479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</row>
    <row r="6">
      <c r="A6" s="3" t="inlineStr">
        <is>
          <t>Inventories</t>
        </is>
      </c>
      <c r="B6" s="4" t="n">
        <v>1107</v>
      </c>
      <c r="C6" s="4" t="n">
        <v>1053</v>
      </c>
      <c r="D6" s="4" t="n">
        <v>964</v>
      </c>
      <c r="E6" s="4" t="n">
        <v>1401</v>
      </c>
      <c r="F6" s="4" t="n">
        <v>999</v>
      </c>
      <c r="G6" s="4" t="n">
        <v>889</v>
      </c>
      <c r="H6" s="4" t="n">
        <v>815</v>
      </c>
      <c r="I6" s="4" t="n">
        <v>835</v>
      </c>
      <c r="J6" s="4" t="n">
        <v>728</v>
      </c>
      <c r="K6" s="4" t="n">
        <v>888</v>
      </c>
      <c r="L6" s="4" t="n">
        <v>907</v>
      </c>
      <c r="M6" s="4" t="n">
        <v>1278</v>
      </c>
      <c r="N6" s="4" t="n">
        <v>1170</v>
      </c>
      <c r="O6" s="4" t="n">
        <v>1369</v>
      </c>
      <c r="P6" s="4" t="n">
        <v>1980</v>
      </c>
      <c r="Q6" s="4" t="n">
        <v>3156</v>
      </c>
      <c r="R6" s="4" t="n">
        <v>2670</v>
      </c>
      <c r="S6" s="4" t="n">
        <v>2315</v>
      </c>
      <c r="T6" s="4" t="n">
        <v>2231</v>
      </c>
      <c r="U6" s="4" t="n">
        <v>2957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</row>
    <row r="7">
      <c r="A7" s="3" t="inlineStr">
        <is>
          <t>Other Current Assets</t>
        </is>
      </c>
      <c r="B7" s="4" t="n">
        <v>4236</v>
      </c>
      <c r="C7" s="4" t="n">
        <v>4406</v>
      </c>
      <c r="D7" s="4" t="n">
        <v>4100</v>
      </c>
      <c r="E7" s="4" t="n">
        <v>4699</v>
      </c>
      <c r="F7" s="4" t="n">
        <v>4412</v>
      </c>
      <c r="G7" s="4" t="n">
        <v>5165</v>
      </c>
      <c r="H7" s="4" t="n">
        <v>5579</v>
      </c>
      <c r="I7" s="4" t="n">
        <v>5425</v>
      </c>
      <c r="J7" s="4" t="n">
        <v>5490</v>
      </c>
      <c r="K7" s="4" t="n">
        <v>7646</v>
      </c>
      <c r="L7" s="4" t="n">
        <v>6076</v>
      </c>
      <c r="M7" s="4" t="n">
        <v>6029</v>
      </c>
      <c r="N7" s="4" t="n">
        <v>7054</v>
      </c>
      <c r="O7" s="4" t="n">
        <v>6892</v>
      </c>
      <c r="P7" s="4" t="n">
        <v>8321</v>
      </c>
      <c r="Q7" s="4" t="n">
        <v>10518</v>
      </c>
      <c r="R7" s="4" t="n">
        <v>8105</v>
      </c>
      <c r="S7" s="4" t="n">
        <v>8532</v>
      </c>
      <c r="T7" s="4" t="n">
        <v>9421</v>
      </c>
      <c r="U7" s="4" t="n">
        <v>12398</v>
      </c>
      <c r="V7" s="4" t="n">
        <v>12650</v>
      </c>
      <c r="W7" s="4" t="n">
        <v>12829</v>
      </c>
      <c r="X7" s="4" t="n">
        <v>14183</v>
      </c>
      <c r="Y7" s="4" t="n">
        <v>15207</v>
      </c>
      <c r="Z7" s="4" t="n">
        <v>15714</v>
      </c>
      <c r="AA7" s="4" t="n">
        <v>15724</v>
      </c>
      <c r="AB7" s="4" t="n">
        <v>16020</v>
      </c>
      <c r="AC7" s="4" t="n">
        <v>18303</v>
      </c>
    </row>
    <row r="8">
      <c r="A8" s="3" t="inlineStr">
        <is>
          <t>Total Current Assets</t>
        </is>
      </c>
      <c r="B8" s="6">
        <f>SUM(B2:B7)</f>
        <v/>
      </c>
      <c r="C8" s="6">
        <f>SUM(C2:C7)</f>
        <v/>
      </c>
      <c r="D8" s="6">
        <f>SUM(D2:D7)</f>
        <v/>
      </c>
      <c r="E8" s="6">
        <f>SUM(E2:E7)</f>
        <v/>
      </c>
      <c r="F8" s="6">
        <f>SUM(F2:F7)</f>
        <v/>
      </c>
      <c r="G8" s="6">
        <f>SUM(G2:G7)</f>
        <v/>
      </c>
      <c r="H8" s="6">
        <f>SUM(H2:H7)</f>
        <v/>
      </c>
      <c r="I8" s="6">
        <f>SUM(I2:I7)</f>
        <v/>
      </c>
      <c r="J8" s="6">
        <f>SUM(J2:J7)</f>
        <v/>
      </c>
      <c r="K8" s="6">
        <f>SUM(K2:K7)</f>
        <v/>
      </c>
      <c r="L8" s="6">
        <f>SUM(L2:L7)</f>
        <v/>
      </c>
      <c r="M8" s="6">
        <f>SUM(M2:M7)</f>
        <v/>
      </c>
      <c r="N8" s="6">
        <f>SUM(N2:N7)</f>
        <v/>
      </c>
      <c r="O8" s="6">
        <f>SUM(O2:O7)</f>
        <v/>
      </c>
      <c r="P8" s="6">
        <f>SUM(P2:P7)</f>
        <v/>
      </c>
      <c r="Q8" s="6">
        <f>SUM(Q2:Q7)</f>
        <v/>
      </c>
      <c r="R8" s="6">
        <f>SUM(R2:R7)</f>
        <v/>
      </c>
      <c r="S8" s="6">
        <f>SUM(S2:S7)</f>
        <v/>
      </c>
      <c r="T8" s="6">
        <f>SUM(T2:T7)</f>
        <v/>
      </c>
      <c r="U8" s="6">
        <f>SUM(U2:U7)</f>
        <v/>
      </c>
      <c r="V8" s="6">
        <f>SUM(V2:V7)</f>
        <v/>
      </c>
      <c r="W8" s="6">
        <f>SUM(W2:W7)</f>
        <v/>
      </c>
      <c r="X8" s="6">
        <f>SUM(X2:X7)</f>
        <v/>
      </c>
      <c r="Y8" s="6">
        <f>SUM(Y2:Y7)</f>
        <v/>
      </c>
      <c r="Z8" s="6">
        <f>SUM(Z2:Z7)</f>
        <v/>
      </c>
      <c r="AA8" s="6">
        <f>SUM(AA2:AA7)</f>
        <v/>
      </c>
      <c r="AB8" s="6">
        <f>SUM(AB2:AB7)</f>
        <v/>
      </c>
      <c r="AC8" s="6">
        <f>SUM(AC2:AC7)</f>
        <v/>
      </c>
    </row>
    <row r="9">
      <c r="A9" s="3" t="inlineStr">
        <is>
          <t>Long-Term Investments</t>
        </is>
      </c>
      <c r="B9" s="4" t="n">
        <v>13859</v>
      </c>
      <c r="C9" s="4" t="n">
        <v>14474</v>
      </c>
      <c r="D9" s="4" t="n">
        <v>12112</v>
      </c>
      <c r="E9" s="4" t="n">
        <v>12488</v>
      </c>
      <c r="F9" s="4" t="n">
        <v>13078</v>
      </c>
      <c r="G9" s="4" t="n">
        <v>12367</v>
      </c>
      <c r="H9" s="4" t="n">
        <v>12961</v>
      </c>
      <c r="I9" s="4" t="n">
        <v>14656</v>
      </c>
      <c r="J9" s="4" t="n">
        <v>20703</v>
      </c>
      <c r="K9" s="4" t="n">
        <v>25294</v>
      </c>
      <c r="L9" s="4" t="n">
        <v>25532</v>
      </c>
      <c r="M9" s="4" t="n">
        <v>26101</v>
      </c>
      <c r="N9" s="4" t="n">
        <v>29549</v>
      </c>
      <c r="O9" s="4" t="n">
        <v>30544</v>
      </c>
      <c r="P9" s="4" t="n">
        <v>30665</v>
      </c>
      <c r="Q9" s="4" t="n">
        <v>30419</v>
      </c>
      <c r="R9" s="4" t="n">
        <v>30492</v>
      </c>
      <c r="S9" s="4" t="n">
        <v>31213</v>
      </c>
      <c r="T9" s="4" t="n">
        <v>31224</v>
      </c>
      <c r="U9" s="4" t="n">
        <v>30907</v>
      </c>
      <c r="V9" s="4" t="n">
        <v>31008</v>
      </c>
      <c r="W9" s="4" t="n">
        <v>33994</v>
      </c>
      <c r="X9" s="4" t="n">
        <v>34172</v>
      </c>
      <c r="Y9" s="4" t="n">
        <v>36177</v>
      </c>
      <c r="Z9" s="4" t="n">
        <v>37982</v>
      </c>
      <c r="AA9" s="4" t="n">
        <v>51029</v>
      </c>
      <c r="AB9" s="4" t="n">
        <v>52574</v>
      </c>
      <c r="AC9" s="4" t="n">
        <v>63800</v>
      </c>
    </row>
    <row r="10">
      <c r="A10" s="3" t="inlineStr">
        <is>
          <t>Deferred Tax Assets</t>
        </is>
      </c>
      <c r="B10" s="4" t="n">
        <v>737</v>
      </c>
      <c r="C10" s="4" t="n">
        <v>750</v>
      </c>
      <c r="D10" s="4" t="n">
        <v>585</v>
      </c>
      <c r="E10" s="4" t="n">
        <v>564</v>
      </c>
      <c r="F10" s="4" t="n">
        <v>721</v>
      </c>
      <c r="G10" s="4" t="n">
        <v>730</v>
      </c>
      <c r="H10" s="4" t="n">
        <v>895</v>
      </c>
      <c r="I10" s="4" t="n">
        <v>972</v>
      </c>
      <c r="J10" s="4" t="n">
        <v>1084</v>
      </c>
      <c r="K10" s="4" t="n">
        <v>1129</v>
      </c>
      <c r="L10" s="4" t="n">
        <v>1153</v>
      </c>
      <c r="M10" s="4" t="n">
        <v>1195</v>
      </c>
      <c r="N10" s="4" t="n">
        <v>1284</v>
      </c>
      <c r="O10" s="4" t="n">
        <v>1388</v>
      </c>
      <c r="P10" s="4" t="n">
        <v>1490</v>
      </c>
      <c r="Q10" s="4" t="n">
        <v>2991</v>
      </c>
      <c r="R10" s="4" t="n">
        <v>5261</v>
      </c>
      <c r="S10" s="4" t="n">
        <v>6885</v>
      </c>
      <c r="T10" s="4" t="n">
        <v>9357</v>
      </c>
      <c r="U10" s="4" t="n">
        <v>10983</v>
      </c>
      <c r="V10" s="4" t="n">
        <v>12169</v>
      </c>
      <c r="W10" s="4" t="n">
        <v>11687</v>
      </c>
      <c r="X10" s="4" t="n">
        <v>14958</v>
      </c>
      <c r="Y10" s="4" t="n">
        <v>15915</v>
      </c>
      <c r="Z10" s="4" t="n">
        <v>17180</v>
      </c>
      <c r="AA10" s="4" t="n">
        <v>18386</v>
      </c>
      <c r="AB10" s="4" t="n">
        <v>19289</v>
      </c>
      <c r="AC10" s="4" t="n">
        <v>10331</v>
      </c>
    </row>
    <row r="11">
      <c r="A11" s="3" t="inlineStr">
        <is>
          <t>Net PP&amp;E</t>
        </is>
      </c>
      <c r="B11" s="4" t="n">
        <v>59719</v>
      </c>
      <c r="C11" s="4" t="n">
        <v>60528</v>
      </c>
      <c r="D11" s="4" t="n">
        <v>64891</v>
      </c>
      <c r="E11" s="4" t="n">
        <v>69252</v>
      </c>
      <c r="F11" s="4" t="n">
        <v>73646</v>
      </c>
      <c r="G11" s="4" t="n">
        <v>76747</v>
      </c>
      <c r="H11" s="4" t="n">
        <v>78748</v>
      </c>
      <c r="I11" s="4" t="n">
        <v>81636</v>
      </c>
      <c r="J11" s="4" t="n">
        <v>84749</v>
      </c>
      <c r="K11" s="4" t="n">
        <v>87606</v>
      </c>
      <c r="L11" s="4" t="n">
        <v>91697</v>
      </c>
      <c r="M11" s="4" t="n">
        <v>94631</v>
      </c>
      <c r="N11" s="4" t="n">
        <v>97599</v>
      </c>
      <c r="O11" s="4" t="n">
        <v>104218</v>
      </c>
      <c r="P11" s="4" t="n">
        <v>106223</v>
      </c>
      <c r="Q11" s="4" t="n">
        <v>108363</v>
      </c>
      <c r="R11" s="4" t="n">
        <v>112668</v>
      </c>
      <c r="S11" s="4" t="n">
        <v>117560</v>
      </c>
      <c r="T11" s="4" t="n">
        <v>121208</v>
      </c>
      <c r="U11" s="4" t="n">
        <v>125705</v>
      </c>
      <c r="V11" s="4" t="n">
        <v>134345</v>
      </c>
      <c r="W11" s="4" t="n">
        <v>143182</v>
      </c>
      <c r="X11" s="4" t="n">
        <v>151155</v>
      </c>
      <c r="Y11" s="4" t="n">
        <v>161270</v>
      </c>
      <c r="Z11" s="4" t="n">
        <v>171036</v>
      </c>
      <c r="AA11" s="4" t="n">
        <v>185062</v>
      </c>
      <c r="AB11" s="4" t="n">
        <v>203231</v>
      </c>
      <c r="AC11" s="4" t="n">
        <v>223787</v>
      </c>
    </row>
    <row r="12">
      <c r="A12" s="3" t="inlineStr">
        <is>
          <t>ROU Assets - Operating - Non-Current</t>
        </is>
      </c>
      <c r="B12" s="4" t="n">
        <v>0</v>
      </c>
      <c r="C12" s="4" t="n">
        <v>8837</v>
      </c>
      <c r="D12" s="4" t="n">
        <v>9713</v>
      </c>
      <c r="E12" s="4" t="n">
        <v>10341</v>
      </c>
      <c r="F12" s="4" t="n">
        <v>10941</v>
      </c>
      <c r="G12" s="4" t="n">
        <v>11219</v>
      </c>
      <c r="H12" s="4" t="n">
        <v>11567</v>
      </c>
      <c r="I12" s="4" t="n">
        <v>11946</v>
      </c>
      <c r="J12" s="4" t="n">
        <v>12211</v>
      </c>
      <c r="K12" s="4" t="n">
        <v>12598</v>
      </c>
      <c r="L12" s="4" t="n">
        <v>12978</v>
      </c>
      <c r="M12" s="4" t="n">
        <v>12918</v>
      </c>
      <c r="N12" s="4" t="n">
        <v>12959</v>
      </c>
      <c r="O12" s="4" t="n">
        <v>12992</v>
      </c>
      <c r="P12" s="4" t="n">
        <v>13398</v>
      </c>
      <c r="Q12" s="4" t="n">
        <v>13677</v>
      </c>
      <c r="R12" s="4" t="n">
        <v>14381</v>
      </c>
      <c r="S12" s="4" t="n">
        <v>14447</v>
      </c>
      <c r="T12" s="4" t="n">
        <v>14469</v>
      </c>
      <c r="U12" s="4" t="n">
        <v>14199</v>
      </c>
      <c r="V12" s="4" t="n">
        <v>14091</v>
      </c>
      <c r="W12" s="4" t="n">
        <v>13768</v>
      </c>
      <c r="X12" s="4" t="n">
        <v>13606</v>
      </c>
      <c r="Y12" s="4" t="n">
        <v>13561</v>
      </c>
      <c r="Z12" s="4" t="n">
        <v>13588</v>
      </c>
      <c r="AA12" s="4" t="n">
        <v>13722</v>
      </c>
      <c r="AB12" s="4" t="n">
        <v>14255</v>
      </c>
      <c r="AC12" s="4" t="n">
        <v>14524</v>
      </c>
    </row>
    <row r="13">
      <c r="A13" s="3" t="inlineStr">
        <is>
          <t>Intangible Assets</t>
        </is>
      </c>
      <c r="B13" s="4" t="n">
        <v>2220</v>
      </c>
      <c r="C13" s="4" t="n">
        <v>2063</v>
      </c>
      <c r="D13" s="4" t="n">
        <v>1902</v>
      </c>
      <c r="E13" s="4" t="n">
        <v>1747</v>
      </c>
      <c r="F13" s="4" t="n">
        <v>1979</v>
      </c>
      <c r="G13" s="4" t="n">
        <v>1840</v>
      </c>
      <c r="H13" s="4" t="n">
        <v>1697</v>
      </c>
      <c r="I13" s="4" t="n">
        <v>1520</v>
      </c>
      <c r="J13" s="4" t="n">
        <v>1445</v>
      </c>
      <c r="K13" s="4" t="n">
        <v>1823</v>
      </c>
      <c r="L13" s="4" t="n">
        <v>1626</v>
      </c>
      <c r="M13" s="4" t="n">
        <v>1549</v>
      </c>
      <c r="N13" s="4" t="n">
        <v>1417</v>
      </c>
      <c r="O13" s="4" t="n">
        <v>1313</v>
      </c>
      <c r="P13" s="4" t="n">
        <v>1377</v>
      </c>
      <c r="Q13" s="4" t="n">
        <v>2192</v>
      </c>
      <c r="R13" s="4" t="n">
        <v>2084</v>
      </c>
      <c r="S13" s="4" t="n">
        <v>1968</v>
      </c>
      <c r="T13" s="4" t="n">
        <v>1966</v>
      </c>
      <c r="U13" s="4" t="n">
        <v>1833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</row>
    <row r="14">
      <c r="A14" s="3" t="inlineStr">
        <is>
          <t>Goodwill</t>
        </is>
      </c>
      <c r="B14" s="4" t="n">
        <v>17888</v>
      </c>
      <c r="C14" s="4" t="n">
        <v>17943</v>
      </c>
      <c r="D14" s="4" t="n">
        <v>18000</v>
      </c>
      <c r="E14" s="4" t="n">
        <v>18069</v>
      </c>
      <c r="F14" s="4" t="n">
        <v>20624</v>
      </c>
      <c r="G14" s="4" t="n">
        <v>20734</v>
      </c>
      <c r="H14" s="4" t="n">
        <v>20824</v>
      </c>
      <c r="I14" s="4" t="n">
        <v>20870</v>
      </c>
      <c r="J14" s="4" t="n">
        <v>21175</v>
      </c>
      <c r="K14" s="4" t="n">
        <v>22341</v>
      </c>
      <c r="L14" s="4" t="n">
        <v>22406</v>
      </c>
      <c r="M14" s="4" t="n">
        <v>22623</v>
      </c>
      <c r="N14" s="4" t="n">
        <v>22956</v>
      </c>
      <c r="O14" s="4" t="n">
        <v>23010</v>
      </c>
      <c r="P14" s="4" t="n">
        <v>23949</v>
      </c>
      <c r="Q14" s="4" t="n">
        <v>28834</v>
      </c>
      <c r="R14" s="4" t="n">
        <v>28960</v>
      </c>
      <c r="S14" s="4" t="n">
        <v>28994</v>
      </c>
      <c r="T14" s="4" t="n">
        <v>29210</v>
      </c>
      <c r="U14" s="4" t="n">
        <v>29146</v>
      </c>
      <c r="V14" s="4" t="n">
        <v>29198</v>
      </c>
      <c r="W14" s="4" t="n">
        <v>29183</v>
      </c>
      <c r="X14" s="4" t="n">
        <v>29185</v>
      </c>
      <c r="Y14" s="4" t="n">
        <v>31935</v>
      </c>
      <c r="Z14" s="4" t="n">
        <v>31885</v>
      </c>
      <c r="AA14" s="4" t="n">
        <v>32173</v>
      </c>
      <c r="AB14" s="4" t="n">
        <v>32335</v>
      </c>
      <c r="AC14" s="4" t="n">
        <v>33269</v>
      </c>
    </row>
    <row r="15">
      <c r="A15" s="3" t="inlineStr">
        <is>
          <t>Other Non-Current Assets</t>
        </is>
      </c>
      <c r="B15" s="4" t="n">
        <v>2693</v>
      </c>
      <c r="C15" s="4" t="n">
        <v>2547</v>
      </c>
      <c r="D15" s="4" t="n">
        <v>2461</v>
      </c>
      <c r="E15" s="4" t="n">
        <v>2225</v>
      </c>
      <c r="F15" s="4" t="n">
        <v>2342</v>
      </c>
      <c r="G15" s="4" t="n">
        <v>2748</v>
      </c>
      <c r="H15" s="4" t="n">
        <v>2731</v>
      </c>
      <c r="I15" s="4" t="n">
        <v>3274</v>
      </c>
      <c r="J15" s="4" t="n">
        <v>3953</v>
      </c>
      <c r="K15" s="4" t="n">
        <v>4167</v>
      </c>
      <c r="L15" s="4" t="n">
        <v>4298</v>
      </c>
      <c r="M15" s="4" t="n">
        <v>4276</v>
      </c>
      <c r="N15" s="4" t="n">
        <v>5361</v>
      </c>
      <c r="O15" s="4" t="n">
        <v>5778</v>
      </c>
      <c r="P15" s="4" t="n">
        <v>5712</v>
      </c>
      <c r="Q15" s="4" t="n">
        <v>5670</v>
      </c>
      <c r="R15" s="4" t="n">
        <v>6623</v>
      </c>
      <c r="S15" s="4" t="n">
        <v>6439</v>
      </c>
      <c r="T15" s="4" t="n">
        <v>6822</v>
      </c>
      <c r="U15" s="4" t="n">
        <v>7628</v>
      </c>
      <c r="V15" s="4" t="n">
        <v>10051</v>
      </c>
      <c r="W15" s="4" t="n">
        <v>10065</v>
      </c>
      <c r="X15" s="4" t="n">
        <v>9699</v>
      </c>
      <c r="Y15" s="4" t="n">
        <v>13867</v>
      </c>
      <c r="Z15" s="4" t="n">
        <v>14874</v>
      </c>
      <c r="AA15" s="4" t="n">
        <v>12950</v>
      </c>
      <c r="AB15" s="4" t="n">
        <v>14153</v>
      </c>
      <c r="AC15" s="4" t="n">
        <v>16811</v>
      </c>
    </row>
    <row r="16">
      <c r="A16" s="3" t="inlineStr">
        <is>
          <t>Total Assets</t>
        </is>
      </c>
      <c r="B16" s="6">
        <f>B8+SUM(B9:B15)</f>
        <v/>
      </c>
      <c r="C16" s="6">
        <f>C8+SUM(C9:C15)</f>
        <v/>
      </c>
      <c r="D16" s="6">
        <f>D8+SUM(D9:D15)</f>
        <v/>
      </c>
      <c r="E16" s="6">
        <f>E8+SUM(E9:E15)</f>
        <v/>
      </c>
      <c r="F16" s="6">
        <f>F8+SUM(F9:F15)</f>
        <v/>
      </c>
      <c r="G16" s="6">
        <f>G8+SUM(G9:G15)</f>
        <v/>
      </c>
      <c r="H16" s="6">
        <f>H8+SUM(H9:H15)</f>
        <v/>
      </c>
      <c r="I16" s="6">
        <f>I8+SUM(I9:I15)</f>
        <v/>
      </c>
      <c r="J16" s="6">
        <f>J8+SUM(J9:J15)</f>
        <v/>
      </c>
      <c r="K16" s="6">
        <f>K8+SUM(K9:K15)</f>
        <v/>
      </c>
      <c r="L16" s="6">
        <f>L8+SUM(L9:L15)</f>
        <v/>
      </c>
      <c r="M16" s="6">
        <f>M8+SUM(M9:M15)</f>
        <v/>
      </c>
      <c r="N16" s="6">
        <f>N8+SUM(N9:N15)</f>
        <v/>
      </c>
      <c r="O16" s="6">
        <f>O8+SUM(O9:O15)</f>
        <v/>
      </c>
      <c r="P16" s="6">
        <f>P8+SUM(P9:P15)</f>
        <v/>
      </c>
      <c r="Q16" s="6">
        <f>Q8+SUM(Q9:Q15)</f>
        <v/>
      </c>
      <c r="R16" s="6">
        <f>R8+SUM(R9:R15)</f>
        <v/>
      </c>
      <c r="S16" s="6">
        <f>S8+SUM(S9:S15)</f>
        <v/>
      </c>
      <c r="T16" s="6">
        <f>T8+SUM(T9:T15)</f>
        <v/>
      </c>
      <c r="U16" s="6">
        <f>U8+SUM(U9:U15)</f>
        <v/>
      </c>
      <c r="V16" s="6">
        <f>V8+SUM(V9:V15)</f>
        <v/>
      </c>
      <c r="W16" s="6">
        <f>W8+SUM(W9:W15)</f>
        <v/>
      </c>
      <c r="X16" s="6">
        <f>X8+SUM(X9:X15)</f>
        <v/>
      </c>
      <c r="Y16" s="6">
        <f>Y8+SUM(Y9:Y15)</f>
        <v/>
      </c>
      <c r="Z16" s="6">
        <f>Z8+SUM(Z9:Z15)</f>
        <v/>
      </c>
      <c r="AA16" s="6">
        <f>AA8+SUM(AA9:AA15)</f>
        <v/>
      </c>
      <c r="AB16" s="6">
        <f>AB8+SUM(AB9:AB15)</f>
        <v/>
      </c>
      <c r="AC16" s="6">
        <f>AC8+SUM(AC9:AC15)</f>
        <v/>
      </c>
    </row>
    <row r="17">
      <c r="A17" s="3" t="inlineStr">
        <is>
          <t>Accounts Payable</t>
        </is>
      </c>
      <c r="B17" s="4" t="n">
        <v>4378</v>
      </c>
      <c r="C17" s="4" t="n">
        <v>3710</v>
      </c>
      <c r="D17" s="4" t="n">
        <v>3925</v>
      </c>
      <c r="E17" s="4" t="n">
        <v>4142</v>
      </c>
      <c r="F17" s="4" t="n">
        <v>5561</v>
      </c>
      <c r="G17" s="4" t="n">
        <v>4099</v>
      </c>
      <c r="H17" s="4" t="n">
        <v>4064</v>
      </c>
      <c r="I17" s="4" t="n">
        <v>4391</v>
      </c>
      <c r="J17" s="4" t="n">
        <v>5589</v>
      </c>
      <c r="K17" s="4" t="n">
        <v>4801</v>
      </c>
      <c r="L17" s="4" t="n">
        <v>4708</v>
      </c>
      <c r="M17" s="4" t="n">
        <v>4616</v>
      </c>
      <c r="N17" s="4" t="n">
        <v>6037</v>
      </c>
      <c r="O17" s="4" t="n">
        <v>3436</v>
      </c>
      <c r="P17" s="4" t="n">
        <v>4409</v>
      </c>
      <c r="Q17" s="4" t="n">
        <v>6303</v>
      </c>
      <c r="R17" s="4" t="n">
        <v>5128</v>
      </c>
      <c r="S17" s="4" t="n">
        <v>4184</v>
      </c>
      <c r="T17" s="4" t="n">
        <v>5313</v>
      </c>
      <c r="U17" s="4" t="n">
        <v>5803</v>
      </c>
      <c r="V17" s="4" t="n">
        <v>7493</v>
      </c>
      <c r="W17" s="4" t="n">
        <v>6198</v>
      </c>
      <c r="X17" s="4" t="n">
        <v>6092</v>
      </c>
      <c r="Y17" s="4" t="n">
        <v>7049</v>
      </c>
      <c r="Z17" s="4" t="n">
        <v>7987</v>
      </c>
      <c r="AA17" s="4" t="n">
        <v>8497</v>
      </c>
      <c r="AB17" s="4" t="n">
        <v>8347</v>
      </c>
      <c r="AC17" s="4" t="n">
        <v>10546</v>
      </c>
    </row>
    <row r="18">
      <c r="A18" s="3" t="inlineStr">
        <is>
          <t>Accrued Compensation</t>
        </is>
      </c>
      <c r="B18" s="4" t="n">
        <v>6839</v>
      </c>
      <c r="C18" s="4" t="n">
        <v>5072</v>
      </c>
      <c r="D18" s="4" t="n">
        <v>6432</v>
      </c>
      <c r="E18" s="4" t="n">
        <v>7399</v>
      </c>
      <c r="F18" s="4" t="n">
        <v>8495</v>
      </c>
      <c r="G18" s="4" t="n">
        <v>5656</v>
      </c>
      <c r="H18" s="4" t="n">
        <v>7127</v>
      </c>
      <c r="I18" s="4" t="n">
        <v>8747</v>
      </c>
      <c r="J18" s="4" t="n">
        <v>11086</v>
      </c>
      <c r="K18" s="4" t="n">
        <v>8375</v>
      </c>
      <c r="L18" s="4" t="n">
        <v>10088</v>
      </c>
      <c r="M18" s="4" t="n">
        <v>12170</v>
      </c>
      <c r="N18" s="4" t="n">
        <v>13889</v>
      </c>
      <c r="O18" s="4" t="n">
        <v>9803</v>
      </c>
      <c r="P18" s="4" t="n">
        <v>10852</v>
      </c>
      <c r="Q18" s="4" t="n">
        <v>12366</v>
      </c>
      <c r="R18" s="4" t="n">
        <v>14028</v>
      </c>
      <c r="S18" s="4" t="n">
        <v>9954</v>
      </c>
      <c r="T18" s="4" t="n">
        <v>11260</v>
      </c>
      <c r="U18" s="4" t="n">
        <v>12562</v>
      </c>
      <c r="V18" s="4" t="n">
        <v>15140</v>
      </c>
      <c r="W18" s="4" t="n">
        <v>9703</v>
      </c>
      <c r="X18" s="4" t="n">
        <v>11373</v>
      </c>
      <c r="Y18" s="4" t="n">
        <v>12908</v>
      </c>
      <c r="Z18" s="4" t="n">
        <v>15069</v>
      </c>
      <c r="AA18" s="4" t="n">
        <v>9984</v>
      </c>
      <c r="AB18" s="4" t="n">
        <v>12168</v>
      </c>
      <c r="AC18" s="4" t="n">
        <v>13944</v>
      </c>
    </row>
    <row r="19">
      <c r="A19" s="3" t="inlineStr">
        <is>
          <t>Accrued Expenses</t>
        </is>
      </c>
      <c r="B19" s="4" t="n">
        <v>16958</v>
      </c>
      <c r="C19" s="4" t="n">
        <v>19382</v>
      </c>
      <c r="D19" s="4" t="n">
        <v>19823</v>
      </c>
      <c r="E19" s="4" t="n">
        <v>21038</v>
      </c>
      <c r="F19" s="4" t="n">
        <v>23067</v>
      </c>
      <c r="G19" s="4" t="n">
        <v>22601</v>
      </c>
      <c r="H19" s="4" t="n">
        <v>24426</v>
      </c>
      <c r="I19" s="4" t="n">
        <v>25631</v>
      </c>
      <c r="J19" s="4" t="n">
        <v>28631</v>
      </c>
      <c r="K19" s="4" t="n">
        <v>30732</v>
      </c>
      <c r="L19" s="4" t="n">
        <v>28981</v>
      </c>
      <c r="M19" s="4" t="n">
        <v>30113</v>
      </c>
      <c r="N19" s="4" t="n">
        <v>31236</v>
      </c>
      <c r="O19" s="4" t="n">
        <v>33051</v>
      </c>
      <c r="P19" s="4" t="n">
        <v>32976</v>
      </c>
      <c r="Q19" s="4" t="n">
        <v>35038</v>
      </c>
      <c r="R19" s="4" t="n">
        <v>37866</v>
      </c>
      <c r="S19" s="4" t="n">
        <v>43185</v>
      </c>
      <c r="T19" s="4" t="n">
        <v>49300</v>
      </c>
      <c r="U19" s="4" t="n">
        <v>55602</v>
      </c>
      <c r="V19" s="4" t="n">
        <v>46168</v>
      </c>
      <c r="W19" s="4" t="n">
        <v>48603</v>
      </c>
      <c r="X19" s="4" t="n">
        <v>47298</v>
      </c>
      <c r="Y19" s="4" t="n">
        <v>46585</v>
      </c>
      <c r="Z19" s="4" t="n">
        <v>51228</v>
      </c>
      <c r="AA19" s="4" t="n">
        <v>58300</v>
      </c>
      <c r="AB19" s="4" t="n">
        <v>52039</v>
      </c>
      <c r="AC19" s="4" t="n">
        <v>59437</v>
      </c>
    </row>
    <row r="20">
      <c r="A20" s="3" t="inlineStr">
        <is>
          <t>Accrued Revenue Share</t>
        </is>
      </c>
      <c r="B20" s="4" t="n">
        <v>4592</v>
      </c>
      <c r="C20" s="4" t="n">
        <v>4318</v>
      </c>
      <c r="D20" s="4" t="n">
        <v>4567</v>
      </c>
      <c r="E20" s="4" t="n">
        <v>4835</v>
      </c>
      <c r="F20" s="4" t="n">
        <v>5916</v>
      </c>
      <c r="G20" s="4" t="n">
        <v>4982</v>
      </c>
      <c r="H20" s="4" t="n">
        <v>5005</v>
      </c>
      <c r="I20" s="4" t="n">
        <v>6030</v>
      </c>
      <c r="J20" s="4" t="n">
        <v>7500</v>
      </c>
      <c r="K20" s="4" t="n">
        <v>6962</v>
      </c>
      <c r="L20" s="4" t="n">
        <v>7438</v>
      </c>
      <c r="M20" s="4" t="n">
        <v>7745</v>
      </c>
      <c r="N20" s="4" t="n">
        <v>8996</v>
      </c>
      <c r="O20" s="4" t="n">
        <v>8116</v>
      </c>
      <c r="P20" s="4" t="n">
        <v>7889</v>
      </c>
      <c r="Q20" s="4" t="n">
        <v>7662</v>
      </c>
      <c r="R20" s="4" t="n">
        <v>8370</v>
      </c>
      <c r="S20" s="4" t="n">
        <v>7816</v>
      </c>
      <c r="T20" s="4" t="n">
        <v>7990</v>
      </c>
      <c r="U20" s="4" t="n">
        <v>8025</v>
      </c>
      <c r="V20" s="4" t="n">
        <v>8876</v>
      </c>
      <c r="W20" s="4" t="n">
        <v>8520</v>
      </c>
      <c r="X20" s="4" t="n">
        <v>8899</v>
      </c>
      <c r="Y20" s="4" t="n">
        <v>9365</v>
      </c>
      <c r="Z20" s="4" t="n">
        <v>9802</v>
      </c>
      <c r="AA20" s="4" t="n">
        <v>9965</v>
      </c>
      <c r="AB20" s="4" t="n">
        <v>9787</v>
      </c>
      <c r="AC20" s="4" t="n">
        <v>10081</v>
      </c>
    </row>
    <row r="21">
      <c r="A21" s="3" t="inlineStr">
        <is>
          <t>Deferred Revenue - Current</t>
        </is>
      </c>
      <c r="B21" s="4" t="n">
        <v>1784</v>
      </c>
      <c r="C21" s="4" t="n">
        <v>1667</v>
      </c>
      <c r="D21" s="4" t="n">
        <v>1717</v>
      </c>
      <c r="E21" s="4" t="n">
        <v>1679</v>
      </c>
      <c r="F21" s="4" t="n">
        <v>1908</v>
      </c>
      <c r="G21" s="4" t="n">
        <v>1938</v>
      </c>
      <c r="H21" s="4" t="n">
        <v>2061</v>
      </c>
      <c r="I21" s="4" t="n">
        <v>2302</v>
      </c>
      <c r="J21" s="4" t="n">
        <v>2543</v>
      </c>
      <c r="K21" s="4" t="n">
        <v>2690</v>
      </c>
      <c r="L21" s="4" t="n">
        <v>2715</v>
      </c>
      <c r="M21" s="4" t="n">
        <v>2968</v>
      </c>
      <c r="N21" s="4" t="n">
        <v>3288</v>
      </c>
      <c r="O21" s="4" t="n">
        <v>3198</v>
      </c>
      <c r="P21" s="4" t="n">
        <v>3272</v>
      </c>
      <c r="Q21" s="4" t="n">
        <v>3585</v>
      </c>
      <c r="R21" s="4" t="n">
        <v>3908</v>
      </c>
      <c r="S21" s="4" t="n">
        <v>3715</v>
      </c>
      <c r="T21" s="4" t="n">
        <v>3846</v>
      </c>
      <c r="U21" s="4" t="n">
        <v>4303</v>
      </c>
      <c r="V21" s="4" t="n">
        <v>4137</v>
      </c>
      <c r="W21" s="4" t="n">
        <v>3973</v>
      </c>
      <c r="X21" s="4" t="n">
        <v>4251</v>
      </c>
      <c r="Y21" s="4" t="n">
        <v>4896</v>
      </c>
      <c r="Z21" s="4" t="n">
        <v>5036</v>
      </c>
      <c r="AA21" s="4" t="n">
        <v>4908</v>
      </c>
      <c r="AB21" s="4" t="n">
        <v>4969</v>
      </c>
      <c r="AC21" s="4" t="n">
        <v>5542</v>
      </c>
    </row>
    <row r="22">
      <c r="A22" s="3" t="inlineStr">
        <is>
          <t>Income Taxes Payable</t>
        </is>
      </c>
      <c r="B22" s="4" t="n">
        <v>69</v>
      </c>
      <c r="C22" s="4" t="n">
        <v>761</v>
      </c>
      <c r="D22" s="4" t="n">
        <v>536</v>
      </c>
      <c r="E22" s="4" t="n">
        <v>131</v>
      </c>
      <c r="F22" s="4" t="n">
        <v>274</v>
      </c>
      <c r="G22" s="4" t="n">
        <v>913</v>
      </c>
      <c r="H22" s="4" t="n">
        <v>975</v>
      </c>
      <c r="I22" s="4" t="n">
        <v>1099</v>
      </c>
      <c r="J22" s="4" t="n">
        <v>1485</v>
      </c>
      <c r="K22" s="4" t="n">
        <v>1893</v>
      </c>
      <c r="L22" s="4" t="n">
        <v>1811</v>
      </c>
      <c r="M22" s="4" t="n">
        <v>4170</v>
      </c>
      <c r="N22" s="4" t="n">
        <v>808</v>
      </c>
      <c r="O22" s="4" t="n">
        <v>4344</v>
      </c>
      <c r="P22" s="4" t="n">
        <v>1956</v>
      </c>
      <c r="Q22" s="4" t="n">
        <v>1025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</row>
    <row r="23">
      <c r="A23" s="3" t="inlineStr">
        <is>
          <t>Total Current Liabilities</t>
        </is>
      </c>
      <c r="B23" s="6">
        <f>SUM(B17:B22)</f>
        <v/>
      </c>
      <c r="C23" s="6">
        <f>SUM(C17:C22)</f>
        <v/>
      </c>
      <c r="D23" s="6">
        <f>SUM(D17:D22)</f>
        <v/>
      </c>
      <c r="E23" s="6">
        <f>SUM(E17:E22)</f>
        <v/>
      </c>
      <c r="F23" s="6">
        <f>SUM(F17:F22)</f>
        <v/>
      </c>
      <c r="G23" s="6">
        <f>SUM(G17:G22)</f>
        <v/>
      </c>
      <c r="H23" s="6">
        <f>SUM(H17:H22)</f>
        <v/>
      </c>
      <c r="I23" s="6">
        <f>SUM(I17:I22)</f>
        <v/>
      </c>
      <c r="J23" s="6">
        <f>SUM(J17:J22)</f>
        <v/>
      </c>
      <c r="K23" s="6">
        <f>SUM(K17:K22)</f>
        <v/>
      </c>
      <c r="L23" s="6">
        <f>SUM(L17:L22)</f>
        <v/>
      </c>
      <c r="M23" s="6">
        <f>SUM(M17:M22)</f>
        <v/>
      </c>
      <c r="N23" s="6">
        <f>SUM(N17:N22)</f>
        <v/>
      </c>
      <c r="O23" s="6">
        <f>SUM(O17:O22)</f>
        <v/>
      </c>
      <c r="P23" s="6">
        <f>SUM(P17:P22)</f>
        <v/>
      </c>
      <c r="Q23" s="6">
        <f>SUM(Q17:Q22)</f>
        <v/>
      </c>
      <c r="R23" s="6">
        <f>SUM(R17:R22)</f>
        <v/>
      </c>
      <c r="S23" s="6">
        <f>SUM(S17:S22)</f>
        <v/>
      </c>
      <c r="T23" s="6">
        <f>SUM(T17:T22)</f>
        <v/>
      </c>
      <c r="U23" s="6">
        <f>SUM(U17:U22)</f>
        <v/>
      </c>
      <c r="V23" s="6">
        <f>SUM(V17:V22)</f>
        <v/>
      </c>
      <c r="W23" s="6">
        <f>SUM(W17:W22)</f>
        <v/>
      </c>
      <c r="X23" s="6">
        <f>SUM(X17:X22)</f>
        <v/>
      </c>
      <c r="Y23" s="6">
        <f>SUM(Y17:Y22)</f>
        <v/>
      </c>
      <c r="Z23" s="6">
        <f>SUM(Z17:Z22)</f>
        <v/>
      </c>
      <c r="AA23" s="6">
        <f>SUM(AA17:AA22)</f>
        <v/>
      </c>
      <c r="AB23" s="6">
        <f>SUM(AB17:AB22)</f>
        <v/>
      </c>
      <c r="AC23" s="6">
        <f>SUM(AC17:AC22)</f>
        <v/>
      </c>
    </row>
    <row r="24">
      <c r="A24" s="3" t="inlineStr">
        <is>
          <t>Long-Term Debt</t>
        </is>
      </c>
      <c r="B24" s="4" t="n">
        <v>15339</v>
      </c>
      <c r="C24" s="4" t="n">
        <v>15671</v>
      </c>
      <c r="D24" s="4" t="n">
        <v>15043</v>
      </c>
      <c r="E24" s="4" t="n">
        <v>15437</v>
      </c>
      <c r="F24" s="4" t="n">
        <v>14439</v>
      </c>
      <c r="G24" s="4" t="n">
        <v>14223</v>
      </c>
      <c r="H24" s="4" t="n">
        <v>12617</v>
      </c>
      <c r="I24" s="4" t="n">
        <v>22518</v>
      </c>
      <c r="J24" s="4" t="n">
        <v>22781</v>
      </c>
      <c r="K24" s="4" t="n">
        <v>23165</v>
      </c>
      <c r="L24" s="4" t="n">
        <v>22979</v>
      </c>
      <c r="M24" s="4" t="n">
        <v>23272</v>
      </c>
      <c r="N24" s="4" t="n">
        <v>23993</v>
      </c>
      <c r="O24" s="4" t="n">
        <v>24197</v>
      </c>
      <c r="P24" s="4" t="n">
        <v>22897</v>
      </c>
      <c r="Q24" s="4" t="n">
        <v>23225</v>
      </c>
      <c r="R24" s="4" t="n">
        <v>23959</v>
      </c>
      <c r="S24" s="4" t="n">
        <v>23419</v>
      </c>
      <c r="T24" s="4" t="n">
        <v>22458</v>
      </c>
      <c r="U24" s="4" t="n">
        <v>21819</v>
      </c>
      <c r="V24" s="4" t="n">
        <v>21727</v>
      </c>
      <c r="W24" s="4" t="n">
        <v>22462</v>
      </c>
      <c r="X24" s="4" t="n">
        <v>20941</v>
      </c>
      <c r="Y24" s="4" t="n">
        <v>20516</v>
      </c>
      <c r="Z24" s="4" t="n">
        <v>19665</v>
      </c>
      <c r="AA24" s="4" t="n">
        <v>20659</v>
      </c>
      <c r="AB24" s="4" t="n">
        <v>33634</v>
      </c>
      <c r="AC24" s="4" t="n">
        <v>31679</v>
      </c>
    </row>
    <row r="25">
      <c r="A25" s="3" t="inlineStr">
        <is>
          <t>Deferred Revenue - Non-Current</t>
        </is>
      </c>
      <c r="B25" s="4" t="n">
        <v>396</v>
      </c>
      <c r="C25" s="4" t="n">
        <v>391</v>
      </c>
      <c r="D25" s="4" t="n">
        <v>387</v>
      </c>
      <c r="E25" s="4" t="n">
        <v>364</v>
      </c>
      <c r="F25" s="4" t="n">
        <v>358</v>
      </c>
      <c r="G25" s="4" t="n">
        <v>350</v>
      </c>
      <c r="H25" s="4" t="n">
        <v>397</v>
      </c>
      <c r="I25" s="4" t="n">
        <v>454</v>
      </c>
      <c r="J25" s="4" t="n">
        <v>481</v>
      </c>
      <c r="K25" s="4" t="n">
        <v>530</v>
      </c>
      <c r="L25" s="4" t="n">
        <v>510</v>
      </c>
      <c r="M25" s="4" t="n">
        <v>510</v>
      </c>
      <c r="N25" s="4" t="n">
        <v>535</v>
      </c>
      <c r="O25" s="4" t="n">
        <v>499</v>
      </c>
      <c r="P25" s="4" t="n">
        <v>472</v>
      </c>
      <c r="Q25" s="4" t="n">
        <v>594</v>
      </c>
      <c r="R25" s="4" t="n">
        <v>599</v>
      </c>
      <c r="S25" s="4" t="n">
        <v>610</v>
      </c>
      <c r="T25" s="4" t="n">
        <v>667</v>
      </c>
      <c r="U25" s="4" t="n">
        <v>884</v>
      </c>
      <c r="V25" s="4" t="n">
        <v>911</v>
      </c>
      <c r="W25" s="4" t="n">
        <v>921</v>
      </c>
      <c r="X25" s="4" t="n">
        <v>985</v>
      </c>
      <c r="Y25" s="4" t="n">
        <v>1015</v>
      </c>
      <c r="Z25" s="4" t="n">
        <v>0</v>
      </c>
      <c r="AA25" s="4" t="n">
        <v>0</v>
      </c>
      <c r="AB25" s="4" t="n">
        <v>0</v>
      </c>
      <c r="AC25" s="4" t="n">
        <v>0</v>
      </c>
    </row>
    <row r="26">
      <c r="A26" s="3" t="inlineStr">
        <is>
          <t>Deferred Tax Liability</t>
        </is>
      </c>
      <c r="B26" s="4" t="n">
        <v>1264</v>
      </c>
      <c r="C26" s="4" t="n">
        <v>1282</v>
      </c>
      <c r="D26" s="4" t="n">
        <v>1892</v>
      </c>
      <c r="E26" s="4" t="n">
        <v>1747</v>
      </c>
      <c r="F26" s="4" t="n">
        <v>1701</v>
      </c>
      <c r="G26" s="4" t="n">
        <v>2079</v>
      </c>
      <c r="H26" s="4" t="n">
        <v>1797</v>
      </c>
      <c r="I26" s="4" t="n">
        <v>1973</v>
      </c>
      <c r="J26" s="4" t="n">
        <v>3561</v>
      </c>
      <c r="K26" s="4" t="n">
        <v>4406</v>
      </c>
      <c r="L26" s="4" t="n">
        <v>4703</v>
      </c>
      <c r="M26" s="4" t="n">
        <v>3551</v>
      </c>
      <c r="N26" s="4" t="n">
        <v>5257</v>
      </c>
      <c r="O26" s="4" t="n">
        <v>2843</v>
      </c>
      <c r="P26" s="4" t="n">
        <v>924</v>
      </c>
      <c r="Q26" s="4" t="n">
        <v>476</v>
      </c>
      <c r="R26" s="4" t="n">
        <v>514</v>
      </c>
      <c r="S26" s="4" t="n">
        <v>542</v>
      </c>
      <c r="T26" s="4" t="n">
        <v>558</v>
      </c>
      <c r="U26" s="4" t="n">
        <v>528</v>
      </c>
      <c r="V26" s="4" t="n">
        <v>485</v>
      </c>
      <c r="W26" s="4" t="n">
        <v>486</v>
      </c>
      <c r="X26" s="4" t="n">
        <v>717</v>
      </c>
      <c r="Y26" s="4" t="n">
        <v>706</v>
      </c>
      <c r="Z26" s="4" t="n">
        <v>0</v>
      </c>
      <c r="AA26" s="4" t="n">
        <v>0</v>
      </c>
      <c r="AB26" s="4" t="n">
        <v>0</v>
      </c>
      <c r="AC26" s="4" t="n">
        <v>0</v>
      </c>
    </row>
    <row r="27">
      <c r="A27" s="3" t="inlineStr">
        <is>
          <t>Lease Liability - Operating - Non-Current</t>
        </is>
      </c>
      <c r="B27" s="4" t="n">
        <v>0</v>
      </c>
      <c r="C27" s="4" t="n">
        <v>8206</v>
      </c>
      <c r="D27" s="4" t="n">
        <v>9088</v>
      </c>
      <c r="E27" s="4" t="n">
        <v>9666</v>
      </c>
      <c r="F27" s="4" t="n">
        <v>10214</v>
      </c>
      <c r="G27" s="4" t="n">
        <v>10476</v>
      </c>
      <c r="H27" s="4" t="n">
        <v>10709</v>
      </c>
      <c r="I27" s="4" t="n">
        <v>10984</v>
      </c>
      <c r="J27" s="4" t="n">
        <v>11146</v>
      </c>
      <c r="K27" s="4" t="n">
        <v>11382</v>
      </c>
      <c r="L27" s="4" t="n">
        <v>11619</v>
      </c>
      <c r="M27" s="4" t="n">
        <v>11471</v>
      </c>
      <c r="N27" s="4" t="n">
        <v>11389</v>
      </c>
      <c r="O27" s="4" t="n">
        <v>11363</v>
      </c>
      <c r="P27" s="4" t="n">
        <v>11697</v>
      </c>
      <c r="Q27" s="4" t="n">
        <v>11984</v>
      </c>
      <c r="R27" s="4" t="n">
        <v>12501</v>
      </c>
      <c r="S27" s="4" t="n">
        <v>12799</v>
      </c>
      <c r="T27" s="4" t="n">
        <v>12746</v>
      </c>
      <c r="U27" s="4" t="n">
        <v>12550</v>
      </c>
      <c r="V27" s="4" t="n">
        <v>12460</v>
      </c>
      <c r="W27" s="4" t="n">
        <v>11957</v>
      </c>
      <c r="X27" s="4" t="n">
        <v>11708</v>
      </c>
      <c r="Y27" s="4" t="n">
        <v>11654</v>
      </c>
      <c r="Z27" s="4" t="n">
        <v>11691</v>
      </c>
      <c r="AA27" s="4" t="n">
        <v>11678</v>
      </c>
      <c r="AB27" s="4" t="n">
        <v>11952</v>
      </c>
      <c r="AC27" s="4" t="n">
        <v>12106</v>
      </c>
    </row>
    <row r="28">
      <c r="A28" s="3" t="inlineStr">
        <is>
          <t>Other Non-Current Liabilities</t>
        </is>
      </c>
      <c r="B28" s="4" t="n">
        <v>3545</v>
      </c>
      <c r="C28" s="4" t="n">
        <v>1417</v>
      </c>
      <c r="D28" s="4" t="n">
        <v>1499</v>
      </c>
      <c r="E28" s="4" t="n">
        <v>1637</v>
      </c>
      <c r="F28" s="4" t="n">
        <v>2534</v>
      </c>
      <c r="G28" s="4" t="n">
        <v>2427</v>
      </c>
      <c r="H28" s="4" t="n">
        <v>1992</v>
      </c>
      <c r="I28" s="4" t="n">
        <v>2194</v>
      </c>
      <c r="J28" s="4" t="n">
        <v>2269</v>
      </c>
      <c r="K28" s="4" t="n">
        <v>2146</v>
      </c>
      <c r="L28" s="4" t="n">
        <v>2270</v>
      </c>
      <c r="M28" s="4" t="n">
        <v>2250</v>
      </c>
      <c r="N28" s="4" t="n">
        <v>2205</v>
      </c>
      <c r="O28" s="4" t="n">
        <v>2242</v>
      </c>
      <c r="P28" s="4" t="n">
        <v>2422</v>
      </c>
      <c r="Q28" s="4" t="n">
        <v>2371</v>
      </c>
      <c r="R28" s="4" t="n">
        <v>2247</v>
      </c>
      <c r="S28" s="4" t="n">
        <v>2373</v>
      </c>
      <c r="T28" s="4" t="n">
        <v>1765</v>
      </c>
      <c r="U28" s="4" t="n">
        <v>1433</v>
      </c>
      <c r="V28" s="4" t="n">
        <v>1616</v>
      </c>
      <c r="W28" s="4" t="n">
        <v>1683</v>
      </c>
      <c r="X28" s="4" t="n">
        <v>1753</v>
      </c>
      <c r="Y28" s="4" t="n">
        <v>1453</v>
      </c>
      <c r="Z28" s="4" t="n">
        <v>4694</v>
      </c>
      <c r="AA28" s="4" t="n">
        <v>6116</v>
      </c>
      <c r="AB28" s="4" t="n">
        <v>6241</v>
      </c>
      <c r="AC28" s="4" t="n">
        <v>6267</v>
      </c>
    </row>
    <row r="29">
      <c r="A29" s="3" t="inlineStr">
        <is>
          <t>Total Liabilities</t>
        </is>
      </c>
      <c r="B29" s="6">
        <f>B23+SUM(B24:B28)</f>
        <v/>
      </c>
      <c r="C29" s="6">
        <f>C23+SUM(C24:C28)</f>
        <v/>
      </c>
      <c r="D29" s="6">
        <f>D23+SUM(D24:D28)</f>
        <v/>
      </c>
      <c r="E29" s="6">
        <f>E23+SUM(E24:E28)</f>
        <v/>
      </c>
      <c r="F29" s="6">
        <f>F23+SUM(F24:F28)</f>
        <v/>
      </c>
      <c r="G29" s="6">
        <f>G23+SUM(G24:G28)</f>
        <v/>
      </c>
      <c r="H29" s="6">
        <f>H23+SUM(H24:H28)</f>
        <v/>
      </c>
      <c r="I29" s="6">
        <f>I23+SUM(I24:I28)</f>
        <v/>
      </c>
      <c r="J29" s="6">
        <f>J23+SUM(J24:J28)</f>
        <v/>
      </c>
      <c r="K29" s="6">
        <f>K23+SUM(K24:K28)</f>
        <v/>
      </c>
      <c r="L29" s="6">
        <f>L23+SUM(L24:L28)</f>
        <v/>
      </c>
      <c r="M29" s="6">
        <f>M23+SUM(M24:M28)</f>
        <v/>
      </c>
      <c r="N29" s="6">
        <f>N23+SUM(N24:N28)</f>
        <v/>
      </c>
      <c r="O29" s="6">
        <f>O23+SUM(O24:O28)</f>
        <v/>
      </c>
      <c r="P29" s="6">
        <f>P23+SUM(P24:P28)</f>
        <v/>
      </c>
      <c r="Q29" s="6">
        <f>Q23+SUM(Q24:Q28)</f>
        <v/>
      </c>
      <c r="R29" s="6">
        <f>R23+SUM(R24:R28)</f>
        <v/>
      </c>
      <c r="S29" s="6">
        <f>S23+SUM(S24:S28)</f>
        <v/>
      </c>
      <c r="T29" s="6">
        <f>T23+SUM(T24:T28)</f>
        <v/>
      </c>
      <c r="U29" s="6">
        <f>U23+SUM(U24:U28)</f>
        <v/>
      </c>
      <c r="V29" s="6">
        <f>V23+SUM(V24:V28)</f>
        <v/>
      </c>
      <c r="W29" s="6">
        <f>W23+SUM(W24:W28)</f>
        <v/>
      </c>
      <c r="X29" s="6">
        <f>X23+SUM(X24:X28)</f>
        <v/>
      </c>
      <c r="Y29" s="6">
        <f>Y23+SUM(Y24:Y28)</f>
        <v/>
      </c>
      <c r="Z29" s="6">
        <f>Z23+SUM(Z24:Z28)</f>
        <v/>
      </c>
      <c r="AA29" s="6">
        <f>AA23+SUM(AA24:AA28)</f>
        <v/>
      </c>
      <c r="AB29" s="6">
        <f>AB23+SUM(AB24:AB28)</f>
        <v/>
      </c>
      <c r="AC29" s="6">
        <f>AC23+SUM(AC24:AC28)</f>
        <v/>
      </c>
    </row>
    <row r="30">
      <c r="A30" s="3" t="inlineStr">
        <is>
          <t>Convertible Preferred Stock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</row>
    <row r="31">
      <c r="A31" s="3" t="inlineStr">
        <is>
          <t>Common Stock and Additional Paid-in Capital</t>
        </is>
      </c>
      <c r="B31" s="4" t="n">
        <v>45049</v>
      </c>
      <c r="C31" s="4" t="n">
        <v>46532</v>
      </c>
      <c r="D31" s="4" t="n">
        <v>47937</v>
      </c>
      <c r="E31" s="4" t="n">
        <v>49040</v>
      </c>
      <c r="F31" s="4" t="n">
        <v>50552</v>
      </c>
      <c r="G31" s="4" t="n">
        <v>53688</v>
      </c>
      <c r="H31" s="4" t="n">
        <v>55937</v>
      </c>
      <c r="I31" s="4" t="n">
        <v>57307</v>
      </c>
      <c r="J31" s="4" t="n">
        <v>58510</v>
      </c>
      <c r="K31" s="4" t="n">
        <v>59436</v>
      </c>
      <c r="L31" s="4" t="n">
        <v>60436</v>
      </c>
      <c r="M31" s="4" t="n">
        <v>61193</v>
      </c>
      <c r="N31" s="4" t="n">
        <v>61774</v>
      </c>
      <c r="O31" s="4" t="n">
        <v>62832</v>
      </c>
      <c r="P31" s="4" t="n">
        <v>64402</v>
      </c>
      <c r="Q31" s="4" t="n">
        <v>66258</v>
      </c>
      <c r="R31" s="4" t="n">
        <v>68184</v>
      </c>
      <c r="S31" s="4" t="n">
        <v>70269</v>
      </c>
      <c r="T31" s="4" t="n">
        <v>72248</v>
      </c>
      <c r="U31" s="4" t="n">
        <v>74591</v>
      </c>
      <c r="V31" s="4" t="n">
        <v>76534</v>
      </c>
      <c r="W31" s="4" t="n">
        <v>77913</v>
      </c>
      <c r="X31" s="4" t="n">
        <v>79732</v>
      </c>
      <c r="Y31" s="4" t="n">
        <v>82030</v>
      </c>
      <c r="Z31" s="4" t="n">
        <v>84800</v>
      </c>
      <c r="AA31" s="4" t="n">
        <v>86725</v>
      </c>
      <c r="AB31" s="4" t="n">
        <v>89283</v>
      </c>
      <c r="AC31" s="4" t="n">
        <v>91695</v>
      </c>
    </row>
    <row r="32">
      <c r="A32" s="3" t="inlineStr">
        <is>
          <t>Accumulated Other Comprehensive Income (Loss)</t>
        </is>
      </c>
      <c r="B32" s="4" t="n">
        <v>-2306</v>
      </c>
      <c r="C32" s="4" t="n">
        <v>-1780</v>
      </c>
      <c r="D32" s="4" t="n">
        <v>-1091</v>
      </c>
      <c r="E32" s="4" t="n">
        <v>-1196</v>
      </c>
      <c r="F32" s="4" t="n">
        <v>-1232</v>
      </c>
      <c r="G32" s="4" t="n">
        <v>-1097</v>
      </c>
      <c r="H32" s="4" t="n">
        <v>-296</v>
      </c>
      <c r="I32" s="4" t="n">
        <v>46</v>
      </c>
      <c r="J32" s="4" t="n">
        <v>633</v>
      </c>
      <c r="K32" s="4" t="n">
        <v>-3</v>
      </c>
      <c r="L32" s="4" t="n">
        <v>190</v>
      </c>
      <c r="M32" s="4" t="n">
        <v>-408</v>
      </c>
      <c r="N32" s="4" t="n">
        <v>-1623</v>
      </c>
      <c r="O32" s="4" t="n">
        <v>-4049</v>
      </c>
      <c r="P32" s="4" t="n">
        <v>-5828</v>
      </c>
      <c r="Q32" s="4" t="n">
        <v>-8852</v>
      </c>
      <c r="R32" s="4" t="n">
        <v>-7603</v>
      </c>
      <c r="S32" s="4" t="n">
        <v>-6000</v>
      </c>
      <c r="T32" s="4" t="n">
        <v>-5991</v>
      </c>
      <c r="U32" s="4" t="n">
        <v>-7036</v>
      </c>
      <c r="V32" s="4" t="n">
        <v>-4402</v>
      </c>
      <c r="W32" s="4" t="n">
        <v>-4839</v>
      </c>
      <c r="X32" s="4" t="n">
        <v>-5012</v>
      </c>
      <c r="Y32" s="4" t="n">
        <v>-3228</v>
      </c>
      <c r="Z32" s="4" t="n">
        <v>-4800</v>
      </c>
      <c r="AA32" s="4" t="n">
        <v>-4086</v>
      </c>
      <c r="AB32" s="4" t="n">
        <v>-2127</v>
      </c>
      <c r="AC32" s="4" t="n">
        <v>-2054</v>
      </c>
    </row>
    <row r="33">
      <c r="A33" s="3" t="inlineStr">
        <is>
          <t>Retained Earnings (Accumulated Deficit)</t>
        </is>
      </c>
      <c r="B33" s="4" t="n">
        <v>134885</v>
      </c>
      <c r="C33" s="4" t="n">
        <v>138720</v>
      </c>
      <c r="D33" s="4" t="n">
        <v>145346</v>
      </c>
      <c r="E33" s="4" t="n">
        <v>147125</v>
      </c>
      <c r="F33" s="4" t="n">
        <v>152122</v>
      </c>
      <c r="G33" s="4" t="n">
        <v>151068</v>
      </c>
      <c r="H33" s="4" t="n">
        <v>151681</v>
      </c>
      <c r="I33" s="4" t="n">
        <v>155567</v>
      </c>
      <c r="J33" s="4" t="n">
        <v>163401</v>
      </c>
      <c r="K33" s="4" t="n">
        <v>170580</v>
      </c>
      <c r="L33" s="4" t="n">
        <v>176939</v>
      </c>
      <c r="M33" s="4" t="n">
        <v>183782</v>
      </c>
      <c r="N33" s="4" t="n">
        <v>191484</v>
      </c>
      <c r="O33" s="4" t="n">
        <v>195221</v>
      </c>
      <c r="P33" s="4" t="n">
        <v>196845</v>
      </c>
      <c r="Q33" s="4" t="n">
        <v>196220</v>
      </c>
      <c r="R33" s="4" t="n">
        <v>195563</v>
      </c>
      <c r="S33" s="4" t="n">
        <v>196625</v>
      </c>
      <c r="T33" s="4" t="n">
        <v>200884</v>
      </c>
      <c r="U33" s="4" t="n">
        <v>205647</v>
      </c>
      <c r="V33" s="4" t="n">
        <v>211247</v>
      </c>
      <c r="W33" s="4" t="n">
        <v>219770</v>
      </c>
      <c r="X33" s="4" t="n">
        <v>226033</v>
      </c>
      <c r="Y33" s="4" t="n">
        <v>235317</v>
      </c>
      <c r="Z33" s="4" t="n">
        <v>245084</v>
      </c>
      <c r="AA33" s="4" t="n">
        <v>262628</v>
      </c>
      <c r="AB33" s="4" t="n">
        <v>275760</v>
      </c>
      <c r="AC33" s="4" t="n">
        <v>297226</v>
      </c>
    </row>
    <row r="34">
      <c r="A34" s="3" t="inlineStr">
        <is>
          <t>Total Stockholders' Equity</t>
        </is>
      </c>
      <c r="B34" s="6">
        <f>SUM(B30:B33)</f>
        <v/>
      </c>
      <c r="C34" s="6">
        <f>SUM(C30:C33)</f>
        <v/>
      </c>
      <c r="D34" s="6">
        <f>SUM(D30:D33)</f>
        <v/>
      </c>
      <c r="E34" s="6">
        <f>SUM(E30:E33)</f>
        <v/>
      </c>
      <c r="F34" s="6">
        <f>SUM(F30:F33)</f>
        <v/>
      </c>
      <c r="G34" s="6">
        <f>SUM(G30:G33)</f>
        <v/>
      </c>
      <c r="H34" s="6">
        <f>SUM(H30:H33)</f>
        <v/>
      </c>
      <c r="I34" s="6">
        <f>SUM(I30:I33)</f>
        <v/>
      </c>
      <c r="J34" s="6">
        <f>SUM(J30:J33)</f>
        <v/>
      </c>
      <c r="K34" s="6">
        <f>SUM(K30:K33)</f>
        <v/>
      </c>
      <c r="L34" s="6">
        <f>SUM(L30:L33)</f>
        <v/>
      </c>
      <c r="M34" s="6">
        <f>SUM(M30:M33)</f>
        <v/>
      </c>
      <c r="N34" s="6">
        <f>SUM(N30:N33)</f>
        <v/>
      </c>
      <c r="O34" s="6">
        <f>SUM(O30:O33)</f>
        <v/>
      </c>
      <c r="P34" s="6">
        <f>SUM(P30:P33)</f>
        <v/>
      </c>
      <c r="Q34" s="6">
        <f>SUM(Q30:Q33)</f>
        <v/>
      </c>
      <c r="R34" s="6">
        <f>SUM(R30:R33)</f>
        <v/>
      </c>
      <c r="S34" s="6">
        <f>SUM(S30:S33)</f>
        <v/>
      </c>
      <c r="T34" s="6">
        <f>SUM(T30:T33)</f>
        <v/>
      </c>
      <c r="U34" s="6">
        <f>SUM(U30:U33)</f>
        <v/>
      </c>
      <c r="V34" s="6">
        <f>SUM(V30:V33)</f>
        <v/>
      </c>
      <c r="W34" s="6">
        <f>SUM(W30:W33)</f>
        <v/>
      </c>
      <c r="X34" s="6">
        <f>SUM(X30:X33)</f>
        <v/>
      </c>
      <c r="Y34" s="6">
        <f>SUM(Y30:Y33)</f>
        <v/>
      </c>
      <c r="Z34" s="6">
        <f>SUM(Z30:Z33)</f>
        <v/>
      </c>
      <c r="AA34" s="6">
        <f>SUM(AA30:AA33)</f>
        <v/>
      </c>
      <c r="AB34" s="6">
        <f>SUM(AB30:AB33)</f>
        <v/>
      </c>
      <c r="AC34" s="6">
        <f>SUM(AC30:AC33)</f>
        <v/>
      </c>
    </row>
    <row r="35">
      <c r="A35" s="3" t="inlineStr">
        <is>
          <t>Total Liabilities, Mezzanine &amp; Stockholders' Equity</t>
        </is>
      </c>
      <c r="B35" s="6">
        <f>B29+B34</f>
        <v/>
      </c>
      <c r="C35" s="6">
        <f>C29+C34</f>
        <v/>
      </c>
      <c r="D35" s="6">
        <f>D29+D34</f>
        <v/>
      </c>
      <c r="E35" s="6">
        <f>E29+E34</f>
        <v/>
      </c>
      <c r="F35" s="6">
        <f>F29+F34</f>
        <v/>
      </c>
      <c r="G35" s="6">
        <f>G29+G34</f>
        <v/>
      </c>
      <c r="H35" s="6">
        <f>H29+H34</f>
        <v/>
      </c>
      <c r="I35" s="6">
        <f>I29+I34</f>
        <v/>
      </c>
      <c r="J35" s="6">
        <f>J29+J34</f>
        <v/>
      </c>
      <c r="K35" s="6">
        <f>K29+K34</f>
        <v/>
      </c>
      <c r="L35" s="6">
        <f>L29+L34</f>
        <v/>
      </c>
      <c r="M35" s="6">
        <f>M29+M34</f>
        <v/>
      </c>
      <c r="N35" s="6">
        <f>N29+N34</f>
        <v/>
      </c>
      <c r="O35" s="6">
        <f>O29+O34</f>
        <v/>
      </c>
      <c r="P35" s="6">
        <f>P29+P34</f>
        <v/>
      </c>
      <c r="Q35" s="6">
        <f>Q29+Q34</f>
        <v/>
      </c>
      <c r="R35" s="6">
        <f>R29+R34</f>
        <v/>
      </c>
      <c r="S35" s="6">
        <f>S29+S34</f>
        <v/>
      </c>
      <c r="T35" s="6">
        <f>T29+T34</f>
        <v/>
      </c>
      <c r="U35" s="6">
        <f>U29+U34</f>
        <v/>
      </c>
      <c r="V35" s="6">
        <f>V29+V34</f>
        <v/>
      </c>
      <c r="W35" s="6">
        <f>W29+W34</f>
        <v/>
      </c>
      <c r="X35" s="6">
        <f>X29+X34</f>
        <v/>
      </c>
      <c r="Y35" s="6">
        <f>Y29+Y34</f>
        <v/>
      </c>
      <c r="Z35" s="6">
        <f>Z29+Z34</f>
        <v/>
      </c>
      <c r="AA35" s="6">
        <f>AA29+AA34</f>
        <v/>
      </c>
      <c r="AB35" s="6">
        <f>AB29+AB34</f>
        <v/>
      </c>
      <c r="AC35" s="6">
        <f>AC29+AC34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/>
      <c r="B1" s="2" t="inlineStr">
        <is>
          <t>Q1 FY2018</t>
        </is>
      </c>
      <c r="C1" s="2" t="inlineStr">
        <is>
          <t>Q2 FY2018</t>
        </is>
      </c>
      <c r="D1" s="2" t="inlineStr">
        <is>
          <t>Q3 FY2018</t>
        </is>
      </c>
      <c r="E1" s="2" t="inlineStr">
        <is>
          <t>Q1 FY2019</t>
        </is>
      </c>
      <c r="F1" s="2" t="inlineStr">
        <is>
          <t>Q2 FY2019</t>
        </is>
      </c>
      <c r="G1" s="2" t="inlineStr">
        <is>
          <t>Q3 FY2019</t>
        </is>
      </c>
      <c r="H1" s="2" t="inlineStr">
        <is>
          <t>Q1 FY2020</t>
        </is>
      </c>
      <c r="I1" s="2" t="inlineStr">
        <is>
          <t>Q2 FY2020</t>
        </is>
      </c>
      <c r="J1" s="2" t="inlineStr">
        <is>
          <t>Q3 FY2020</t>
        </is>
      </c>
      <c r="K1" s="2" t="inlineStr">
        <is>
          <t>Q1 FY2021</t>
        </is>
      </c>
      <c r="L1" s="2" t="inlineStr">
        <is>
          <t>Q2 FY2021</t>
        </is>
      </c>
      <c r="M1" s="2" t="inlineStr">
        <is>
          <t>Q3 FY2021</t>
        </is>
      </c>
      <c r="N1" s="2" t="inlineStr">
        <is>
          <t>Q1 FY2022</t>
        </is>
      </c>
      <c r="O1" s="2" t="inlineStr">
        <is>
          <t>Q2 FY2022</t>
        </is>
      </c>
      <c r="P1" s="2" t="inlineStr">
        <is>
          <t>Q3 FY2022</t>
        </is>
      </c>
      <c r="Q1" s="2" t="inlineStr">
        <is>
          <t>Q1 FY2023</t>
        </is>
      </c>
      <c r="R1" s="2" t="inlineStr">
        <is>
          <t>Q2 FY2023</t>
        </is>
      </c>
      <c r="S1" s="2" t="inlineStr">
        <is>
          <t>Q3 FY2023</t>
        </is>
      </c>
      <c r="T1" s="2" t="inlineStr">
        <is>
          <t>Q1 FY2024</t>
        </is>
      </c>
      <c r="U1" s="2" t="inlineStr">
        <is>
          <t>Q2 FY2024</t>
        </is>
      </c>
      <c r="V1" s="2" t="inlineStr">
        <is>
          <t>Q3 FY2024</t>
        </is>
      </c>
      <c r="W1" s="2" t="inlineStr">
        <is>
          <t>Q1 FY2025</t>
        </is>
      </c>
      <c r="X1" s="2" t="inlineStr">
        <is>
          <t>Q2 FY2025</t>
        </is>
      </c>
      <c r="Y1" s="2" t="inlineStr">
        <is>
          <t>Q3 FY2025</t>
        </is>
      </c>
    </row>
    <row r="2">
      <c r="A2" s="3" t="inlineStr">
        <is>
          <t>Net Income (Loss)</t>
        </is>
      </c>
      <c r="B2" s="4" t="n">
        <v>9401</v>
      </c>
      <c r="C2" s="4" t="n">
        <v>12596</v>
      </c>
      <c r="D2" s="4" t="n">
        <v>21788</v>
      </c>
      <c r="E2" s="4" t="n">
        <v>6657</v>
      </c>
      <c r="F2" s="4" t="n">
        <v>16604</v>
      </c>
      <c r="G2" s="4" t="n">
        <v>23672</v>
      </c>
      <c r="H2" s="4" t="n">
        <v>6836</v>
      </c>
      <c r="I2" s="4" t="n">
        <v>13795</v>
      </c>
      <c r="J2" s="4" t="n">
        <v>25042</v>
      </c>
      <c r="K2" s="4" t="n">
        <v>17930</v>
      </c>
      <c r="L2" s="4" t="n">
        <v>36455</v>
      </c>
      <c r="M2" s="4" t="n">
        <v>55391</v>
      </c>
      <c r="N2" s="4" t="n">
        <v>16436</v>
      </c>
      <c r="O2" s="4" t="n">
        <v>32438</v>
      </c>
      <c r="P2" s="4" t="n">
        <v>46348</v>
      </c>
      <c r="Q2" s="4" t="n">
        <v>15051</v>
      </c>
      <c r="R2" s="4" t="n">
        <v>33419</v>
      </c>
      <c r="S2" s="4" t="n">
        <v>53108</v>
      </c>
      <c r="T2" s="4" t="n">
        <v>23662</v>
      </c>
      <c r="U2" s="4" t="n">
        <v>47281</v>
      </c>
      <c r="V2" s="4" t="n">
        <v>73582</v>
      </c>
      <c r="W2" s="4" t="n">
        <v>34540</v>
      </c>
      <c r="X2" s="4" t="n">
        <v>62736</v>
      </c>
      <c r="Y2" s="4" t="n">
        <v>97715</v>
      </c>
    </row>
    <row r="3">
      <c r="A3" s="3" t="inlineStr">
        <is>
          <t>Depreciation and Impairment of PP&amp;E</t>
        </is>
      </c>
      <c r="B3" s="4" t="n">
        <v>1791</v>
      </c>
      <c r="C3" s="4" t="n">
        <v>3653</v>
      </c>
      <c r="D3" s="4" t="n">
        <v>5791</v>
      </c>
      <c r="E3" s="4" t="n">
        <v>2416</v>
      </c>
      <c r="F3" s="4" t="n">
        <v>5042</v>
      </c>
      <c r="G3" s="4" t="n">
        <v>7774</v>
      </c>
      <c r="H3" s="4" t="n">
        <v>2899</v>
      </c>
      <c r="I3" s="4" t="n">
        <v>6077</v>
      </c>
      <c r="J3" s="4" t="n">
        <v>9366</v>
      </c>
      <c r="K3" s="4" t="n">
        <v>2525</v>
      </c>
      <c r="L3" s="4" t="n">
        <v>5255</v>
      </c>
      <c r="M3" s="4" t="n">
        <v>8340</v>
      </c>
      <c r="N3" s="4" t="n">
        <v>3591</v>
      </c>
      <c r="O3" s="4" t="n">
        <v>7289</v>
      </c>
      <c r="P3" s="4" t="n">
        <v>11222</v>
      </c>
      <c r="Q3" s="4" t="n">
        <v>3060</v>
      </c>
      <c r="R3" s="4" t="n">
        <v>6339</v>
      </c>
      <c r="S3" s="4" t="n">
        <v>10010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</row>
    <row r="4">
      <c r="A4" s="3" t="inlineStr">
        <is>
          <t>Amortization and Impairment of Intangibles</t>
        </is>
      </c>
      <c r="B4" s="4" t="n">
        <v>195</v>
      </c>
      <c r="C4" s="4" t="n">
        <v>447</v>
      </c>
      <c r="D4" s="4" t="n">
        <v>664</v>
      </c>
      <c r="E4" s="4" t="n">
        <v>197</v>
      </c>
      <c r="F4" s="4" t="n">
        <v>406</v>
      </c>
      <c r="G4" s="4" t="n">
        <v>594</v>
      </c>
      <c r="H4" s="4" t="n">
        <v>209</v>
      </c>
      <c r="I4" s="4" t="n">
        <v>417</v>
      </c>
      <c r="J4" s="4" t="n">
        <v>606</v>
      </c>
      <c r="K4" s="4" t="n">
        <v>228</v>
      </c>
      <c r="L4" s="4" t="n">
        <v>443</v>
      </c>
      <c r="M4" s="4" t="n">
        <v>662</v>
      </c>
      <c r="N4" s="4" t="n">
        <v>191</v>
      </c>
      <c r="O4" s="4" t="n">
        <v>392</v>
      </c>
      <c r="P4" s="4" t="n">
        <v>505</v>
      </c>
      <c r="Q4" s="4" t="n">
        <v>126</v>
      </c>
      <c r="R4" s="4" t="n">
        <v>244</v>
      </c>
      <c r="S4" s="4" t="n">
        <v>373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</row>
    <row r="5">
      <c r="A5" s="3" t="inlineStr">
        <is>
          <t>Depreciation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3413</v>
      </c>
      <c r="U5" s="4" t="n">
        <v>7121</v>
      </c>
      <c r="V5" s="4" t="n">
        <v>11106</v>
      </c>
      <c r="W5" s="4" t="n">
        <v>4487</v>
      </c>
      <c r="X5" s="4" t="n">
        <v>9485</v>
      </c>
      <c r="Y5" s="4" t="n">
        <v>15096</v>
      </c>
    </row>
    <row r="6">
      <c r="A6" s="3" t="inlineStr">
        <is>
          <t>Stock-Based Compensation</t>
        </is>
      </c>
      <c r="B6" s="4" t="n">
        <v>2457</v>
      </c>
      <c r="C6" s="4" t="n">
        <v>4870</v>
      </c>
      <c r="D6" s="4" t="n">
        <v>7100</v>
      </c>
      <c r="E6" s="4" t="n">
        <v>2769</v>
      </c>
      <c r="F6" s="4" t="n">
        <v>5525</v>
      </c>
      <c r="G6" s="4" t="n">
        <v>8149</v>
      </c>
      <c r="H6" s="4" t="n">
        <v>3191</v>
      </c>
      <c r="I6" s="4" t="n">
        <v>6573</v>
      </c>
      <c r="J6" s="4" t="n">
        <v>9768</v>
      </c>
      <c r="K6" s="4" t="n">
        <v>3745</v>
      </c>
      <c r="L6" s="4" t="n">
        <v>7548</v>
      </c>
      <c r="M6" s="4" t="n">
        <v>11422</v>
      </c>
      <c r="N6" s="4" t="n">
        <v>4504</v>
      </c>
      <c r="O6" s="4" t="n">
        <v>9286</v>
      </c>
      <c r="P6" s="4" t="n">
        <v>14262</v>
      </c>
      <c r="Q6" s="4" t="n">
        <v>5284</v>
      </c>
      <c r="R6" s="4" t="n">
        <v>11058</v>
      </c>
      <c r="S6" s="4" t="n">
        <v>16801</v>
      </c>
      <c r="T6" s="4" t="n">
        <v>5264</v>
      </c>
      <c r="U6" s="4" t="n">
        <v>11129</v>
      </c>
      <c r="V6" s="4" t="n">
        <v>16975</v>
      </c>
      <c r="W6" s="4" t="n">
        <v>5516</v>
      </c>
      <c r="X6" s="4" t="n">
        <v>11514</v>
      </c>
      <c r="Y6" s="4" t="n">
        <v>17882</v>
      </c>
    </row>
    <row r="7">
      <c r="A7" s="3" t="inlineStr">
        <is>
          <t>(Benefit) Provision for Deferred Income Taxes</t>
        </is>
      </c>
      <c r="B7" s="4" t="n">
        <v>-18</v>
      </c>
      <c r="C7" s="4" t="n">
        <v>-157</v>
      </c>
      <c r="D7" s="4" t="n">
        <v>723</v>
      </c>
      <c r="E7" s="4" t="n">
        <v>-73</v>
      </c>
      <c r="F7" s="4" t="n">
        <v>620</v>
      </c>
      <c r="G7" s="4" t="n">
        <v>381</v>
      </c>
      <c r="H7" s="4" t="n">
        <v>175</v>
      </c>
      <c r="I7" s="4" t="n">
        <v>-416</v>
      </c>
      <c r="J7" s="4" t="n">
        <v>-280</v>
      </c>
      <c r="K7" s="4" t="n">
        <v>1100</v>
      </c>
      <c r="L7" s="4" t="n">
        <v>1479</v>
      </c>
      <c r="M7" s="4" t="n">
        <v>192</v>
      </c>
      <c r="N7" s="4" t="n">
        <v>-2090</v>
      </c>
      <c r="O7" s="4" t="n">
        <v>-4237</v>
      </c>
      <c r="P7" s="4" t="n">
        <v>-6157</v>
      </c>
      <c r="Q7" s="4" t="n">
        <v>-1854</v>
      </c>
      <c r="R7" s="4" t="n">
        <v>-4269</v>
      </c>
      <c r="S7" s="4" t="n">
        <v>-6093</v>
      </c>
      <c r="T7" s="4" t="n">
        <v>419</v>
      </c>
      <c r="U7" s="4" t="n">
        <v>-2738</v>
      </c>
      <c r="V7" s="4" t="n">
        <v>-3809</v>
      </c>
      <c r="W7" s="4" t="n">
        <v>-1152</v>
      </c>
      <c r="X7" s="4" t="n">
        <v>-1596</v>
      </c>
      <c r="Y7" s="4" t="n">
        <v>7130</v>
      </c>
    </row>
    <row r="8">
      <c r="A8" s="3" t="inlineStr">
        <is>
          <t>Loss (Gain) on Equity and Debt Securities, Net</t>
        </is>
      </c>
      <c r="B8" s="4" t="n">
        <v>-2992</v>
      </c>
      <c r="C8" s="4" t="n">
        <v>-4060</v>
      </c>
      <c r="D8" s="4" t="n">
        <v>-5413</v>
      </c>
      <c r="E8" s="4" t="n">
        <v>-1081</v>
      </c>
      <c r="F8" s="4" t="n">
        <v>-3878</v>
      </c>
      <c r="G8" s="4" t="n">
        <v>-2399</v>
      </c>
      <c r="H8" s="4" t="n">
        <v>802</v>
      </c>
      <c r="I8" s="4" t="n">
        <v>-1040</v>
      </c>
      <c r="J8" s="4" t="n">
        <v>-3055</v>
      </c>
      <c r="K8" s="4" t="n">
        <v>-4751</v>
      </c>
      <c r="L8" s="4" t="n">
        <v>-7634</v>
      </c>
      <c r="M8" s="4" t="n">
        <v>-9792</v>
      </c>
      <c r="N8" s="4" t="n">
        <v>1437</v>
      </c>
      <c r="O8" s="4" t="n">
        <v>2478</v>
      </c>
      <c r="P8" s="4" t="n">
        <v>3856</v>
      </c>
      <c r="Q8" s="4" t="n">
        <v>-84</v>
      </c>
      <c r="R8" s="4" t="n">
        <v>425</v>
      </c>
      <c r="S8" s="4" t="n">
        <v>1294</v>
      </c>
      <c r="T8" s="4" t="n">
        <v>-1781</v>
      </c>
      <c r="U8" s="4" t="n">
        <v>-757</v>
      </c>
      <c r="V8" s="4" t="n">
        <v>-2738</v>
      </c>
      <c r="W8" s="4" t="n">
        <v>-9960</v>
      </c>
      <c r="X8" s="4" t="n">
        <v>-11411</v>
      </c>
      <c r="Y8" s="4" t="n">
        <v>-22266</v>
      </c>
    </row>
    <row r="9">
      <c r="A9" s="3" t="inlineStr">
        <is>
          <t>Other Operating Items</t>
        </is>
      </c>
      <c r="B9" s="4" t="n">
        <v>-498</v>
      </c>
      <c r="C9" s="4" t="n">
        <v>-876</v>
      </c>
      <c r="D9" s="4" t="n">
        <v>-1322</v>
      </c>
      <c r="E9" s="4" t="n">
        <v>-243</v>
      </c>
      <c r="F9" s="4" t="n">
        <v>-224</v>
      </c>
      <c r="G9" s="4" t="n">
        <v>-906</v>
      </c>
      <c r="H9" s="4" t="n">
        <v>182</v>
      </c>
      <c r="I9" s="4" t="n">
        <v>310</v>
      </c>
      <c r="J9" s="4" t="n">
        <v>283</v>
      </c>
      <c r="K9" s="4" t="n">
        <v>-248</v>
      </c>
      <c r="L9" s="4" t="n">
        <v>-455</v>
      </c>
      <c r="M9" s="4" t="n">
        <v>-1646</v>
      </c>
      <c r="N9" s="4" t="n">
        <v>-636</v>
      </c>
      <c r="O9" s="4" t="n">
        <v>-1419</v>
      </c>
      <c r="P9" s="4" t="n">
        <v>-3899</v>
      </c>
      <c r="Q9" s="4" t="n">
        <v>-193</v>
      </c>
      <c r="R9" s="4" t="n">
        <v>-609</v>
      </c>
      <c r="S9" s="4" t="n">
        <v>-1971</v>
      </c>
      <c r="T9" s="4" t="n">
        <v>-666</v>
      </c>
      <c r="U9" s="4" t="n">
        <v>-347</v>
      </c>
      <c r="V9" s="4" t="n">
        <v>258</v>
      </c>
      <c r="W9" s="4" t="n">
        <v>-807</v>
      </c>
      <c r="X9" s="4" t="n">
        <v>-1726</v>
      </c>
      <c r="Y9" s="4" t="n">
        <v>-3217</v>
      </c>
    </row>
    <row r="10">
      <c r="A10" s="3" t="inlineStr">
        <is>
          <t>Accounts Receivable</t>
        </is>
      </c>
      <c r="B10" s="4" t="n">
        <v>1700</v>
      </c>
      <c r="C10" s="4" t="n">
        <v>1388</v>
      </c>
      <c r="D10" s="4" t="n">
        <v>718</v>
      </c>
      <c r="E10" s="4" t="n">
        <v>1172</v>
      </c>
      <c r="F10" s="4" t="n">
        <v>26</v>
      </c>
      <c r="G10" s="4" t="n">
        <v>25</v>
      </c>
      <c r="H10" s="4" t="n">
        <v>2602</v>
      </c>
      <c r="I10" s="4" t="n">
        <v>2522</v>
      </c>
      <c r="J10" s="4" t="n">
        <v>-1079</v>
      </c>
      <c r="K10" s="4" t="n">
        <v>2794</v>
      </c>
      <c r="L10" s="4" t="n">
        <v>-867</v>
      </c>
      <c r="M10" s="4" t="n">
        <v>-3276</v>
      </c>
      <c r="N10" s="4" t="n">
        <v>4364</v>
      </c>
      <c r="O10" s="4" t="n">
        <v>2395</v>
      </c>
      <c r="P10" s="4" t="n">
        <v>2298</v>
      </c>
      <c r="Q10" s="4" t="n">
        <v>4454</v>
      </c>
      <c r="R10" s="4" t="n">
        <v>1506</v>
      </c>
      <c r="S10" s="4" t="n">
        <v>-1315</v>
      </c>
      <c r="T10" s="4" t="n">
        <v>3167</v>
      </c>
      <c r="U10" s="4" t="n">
        <v>110</v>
      </c>
      <c r="V10" s="4" t="n">
        <v>-1321</v>
      </c>
      <c r="W10" s="4" t="n">
        <v>1638</v>
      </c>
      <c r="X10" s="4" t="n">
        <v>-1201</v>
      </c>
      <c r="Y10" s="4" t="n">
        <v>-3582</v>
      </c>
    </row>
    <row r="11">
      <c r="A11" s="3" t="inlineStr">
        <is>
          <t>Change in Income Taxes</t>
        </is>
      </c>
      <c r="B11" s="4" t="n">
        <v>782</v>
      </c>
      <c r="C11" s="4" t="n">
        <v>-656</v>
      </c>
      <c r="D11" s="4" t="n">
        <v>-1891</v>
      </c>
      <c r="E11" s="4" t="n">
        <v>1068</v>
      </c>
      <c r="F11" s="4" t="n">
        <v>25</v>
      </c>
      <c r="G11" s="4" t="n">
        <v>210</v>
      </c>
      <c r="H11" s="4" t="n">
        <v>-245</v>
      </c>
      <c r="I11" s="4" t="n">
        <v>538</v>
      </c>
      <c r="J11" s="4" t="n">
        <v>469</v>
      </c>
      <c r="K11" s="4" t="n">
        <v>785</v>
      </c>
      <c r="L11" s="4" t="n">
        <v>-297</v>
      </c>
      <c r="M11" s="4" t="n">
        <v>2744</v>
      </c>
      <c r="N11" s="4" t="n">
        <v>3820</v>
      </c>
      <c r="O11" s="4" t="n">
        <v>-253</v>
      </c>
      <c r="P11" s="4" t="n">
        <v>-862</v>
      </c>
      <c r="Q11" s="4" t="n">
        <v>4069</v>
      </c>
      <c r="R11" s="4" t="n">
        <v>8520</v>
      </c>
      <c r="S11" s="4" t="n">
        <v>10392</v>
      </c>
      <c r="T11" s="4" t="n">
        <v>3011</v>
      </c>
      <c r="U11" s="4" t="n">
        <v>-889</v>
      </c>
      <c r="V11" s="4" t="n">
        <v>-2797</v>
      </c>
      <c r="W11" s="4" t="n">
        <v>7197</v>
      </c>
      <c r="X11" s="4" t="n">
        <v>-2434</v>
      </c>
      <c r="Y11" s="4" t="n">
        <v>-3292</v>
      </c>
    </row>
    <row r="12">
      <c r="A12" s="3" t="inlineStr">
        <is>
          <t>Accounts Payable</t>
        </is>
      </c>
      <c r="B12" s="4" t="n">
        <v>122</v>
      </c>
      <c r="C12" s="4" t="n">
        <v>-23</v>
      </c>
      <c r="D12" s="4" t="n">
        <v>293</v>
      </c>
      <c r="E12" s="4" t="n">
        <v>-425</v>
      </c>
      <c r="F12" s="4" t="n">
        <v>-443</v>
      </c>
      <c r="G12" s="4" t="n">
        <v>-386</v>
      </c>
      <c r="H12" s="4" t="n">
        <v>-835</v>
      </c>
      <c r="I12" s="4" t="n">
        <v>-689</v>
      </c>
      <c r="J12" s="4" t="n">
        <v>-269</v>
      </c>
      <c r="K12" s="4" t="n">
        <v>-982</v>
      </c>
      <c r="L12" s="4" t="n">
        <v>-1112</v>
      </c>
      <c r="M12" s="4" t="n">
        <v>-874</v>
      </c>
      <c r="N12" s="4" t="n">
        <v>-2373</v>
      </c>
      <c r="O12" s="4" t="n">
        <v>-1172</v>
      </c>
      <c r="P12" s="4" t="n">
        <v>735</v>
      </c>
      <c r="Q12" s="4" t="n">
        <v>-1105</v>
      </c>
      <c r="R12" s="4" t="n">
        <v>14</v>
      </c>
      <c r="S12" s="4" t="n">
        <v>237</v>
      </c>
      <c r="T12" s="4" t="n">
        <v>-2124</v>
      </c>
      <c r="U12" s="4" t="n">
        <v>-563</v>
      </c>
      <c r="V12" s="4" t="n">
        <v>-42</v>
      </c>
      <c r="W12" s="4" t="n">
        <v>-880</v>
      </c>
      <c r="X12" s="4" t="n">
        <v>-327</v>
      </c>
      <c r="Y12" s="4" t="n">
        <v>-771</v>
      </c>
    </row>
    <row r="13">
      <c r="A13" s="3" t="inlineStr">
        <is>
          <t>Accrued Expenses</t>
        </is>
      </c>
      <c r="B13" s="4" t="n">
        <v>-1142</v>
      </c>
      <c r="C13" s="4" t="n">
        <v>4600</v>
      </c>
      <c r="D13" s="4" t="n">
        <v>6457</v>
      </c>
      <c r="E13" s="4" t="n">
        <v>-229</v>
      </c>
      <c r="F13" s="4" t="n">
        <v>1074</v>
      </c>
      <c r="G13" s="4" t="n">
        <v>2927</v>
      </c>
      <c r="H13" s="4" t="n">
        <v>-3531</v>
      </c>
      <c r="I13" s="4" t="n">
        <v>-2099</v>
      </c>
      <c r="J13" s="4" t="n">
        <v>891</v>
      </c>
      <c r="K13" s="4" t="n">
        <v>-3530</v>
      </c>
      <c r="L13" s="4" t="n">
        <v>201</v>
      </c>
      <c r="M13" s="4" t="n">
        <v>2763</v>
      </c>
      <c r="N13" s="4" t="n">
        <v>-3216</v>
      </c>
      <c r="O13" s="4" t="n">
        <v>-1719</v>
      </c>
      <c r="P13" s="4" t="n">
        <v>491</v>
      </c>
      <c r="Q13" s="4" t="n">
        <v>-4496</v>
      </c>
      <c r="R13" s="4" t="n">
        <v>-4037</v>
      </c>
      <c r="S13" s="4" t="n">
        <v>-380</v>
      </c>
      <c r="T13" s="4" t="n">
        <v>-5054</v>
      </c>
      <c r="U13" s="4" t="n">
        <v>-5176</v>
      </c>
      <c r="V13" s="4" t="n">
        <v>-6366</v>
      </c>
      <c r="W13" s="4" t="n">
        <v>-5045</v>
      </c>
      <c r="X13" s="4" t="n">
        <v>-1560</v>
      </c>
      <c r="Y13" s="4" t="n">
        <v>6199</v>
      </c>
    </row>
    <row r="14">
      <c r="A14" s="3" t="inlineStr">
        <is>
          <t>Accrued Revenue Share</t>
        </is>
      </c>
      <c r="B14" s="4" t="n">
        <v>-286</v>
      </c>
      <c r="C14" s="4" t="n">
        <v>-303</v>
      </c>
      <c r="D14" s="4" t="n">
        <v>-196</v>
      </c>
      <c r="E14" s="4" t="n">
        <v>-147</v>
      </c>
      <c r="F14" s="4" t="n">
        <v>-60</v>
      </c>
      <c r="G14" s="4" t="n">
        <v>201</v>
      </c>
      <c r="H14" s="4" t="n">
        <v>-871</v>
      </c>
      <c r="I14" s="4" t="n">
        <v>-692</v>
      </c>
      <c r="J14" s="4" t="n">
        <v>277</v>
      </c>
      <c r="K14" s="4" t="n">
        <v>-444</v>
      </c>
      <c r="L14" s="4" t="n">
        <v>29</v>
      </c>
      <c r="M14" s="4" t="n">
        <v>386</v>
      </c>
      <c r="N14" s="4" t="n">
        <v>-828</v>
      </c>
      <c r="O14" s="4" t="n">
        <v>-942</v>
      </c>
      <c r="P14" s="4" t="n">
        <v>-1022</v>
      </c>
      <c r="Q14" s="4" t="n">
        <v>-602</v>
      </c>
      <c r="R14" s="4" t="n">
        <v>-418</v>
      </c>
      <c r="S14" s="4" t="n">
        <v>-315</v>
      </c>
      <c r="T14" s="4" t="n">
        <v>-322</v>
      </c>
      <c r="U14" s="4" t="n">
        <v>97</v>
      </c>
      <c r="V14" s="4" t="n">
        <v>478</v>
      </c>
      <c r="W14" s="4" t="n">
        <v>116</v>
      </c>
      <c r="X14" s="4" t="n">
        <v>-219</v>
      </c>
      <c r="Y14" s="4" t="n">
        <v>100</v>
      </c>
    </row>
    <row r="15">
      <c r="A15" s="3" t="inlineStr">
        <is>
          <t>Deferred Revenue</t>
        </is>
      </c>
      <c r="B15" s="4" t="n">
        <v>130</v>
      </c>
      <c r="C15" s="4" t="n">
        <v>295</v>
      </c>
      <c r="D15" s="4" t="n">
        <v>272</v>
      </c>
      <c r="E15" s="4" t="n">
        <v>-81</v>
      </c>
      <c r="F15" s="4" t="n">
        <v>-90</v>
      </c>
      <c r="G15" s="4" t="n">
        <v>-149</v>
      </c>
      <c r="H15" s="4" t="n">
        <v>37</v>
      </c>
      <c r="I15" s="4" t="n">
        <v>148</v>
      </c>
      <c r="J15" s="4" t="n">
        <v>428</v>
      </c>
      <c r="K15" s="4" t="n">
        <v>137</v>
      </c>
      <c r="L15" s="4" t="n">
        <v>134</v>
      </c>
      <c r="M15" s="4" t="n">
        <v>406</v>
      </c>
      <c r="N15" s="4" t="n">
        <v>-94</v>
      </c>
      <c r="O15" s="4" t="n">
        <v>-8</v>
      </c>
      <c r="P15" s="4" t="n">
        <v>104</v>
      </c>
      <c r="Q15" s="4" t="n">
        <v>-201</v>
      </c>
      <c r="R15" s="4" t="n">
        <v>-17</v>
      </c>
      <c r="S15" s="4" t="n">
        <v>690</v>
      </c>
      <c r="T15" s="4" t="n">
        <v>-141</v>
      </c>
      <c r="U15" s="4" t="n">
        <v>220</v>
      </c>
      <c r="V15" s="4" t="n">
        <v>860</v>
      </c>
      <c r="W15" s="4" t="n">
        <v>500</v>
      </c>
      <c r="X15" s="4" t="n">
        <v>636</v>
      </c>
      <c r="Y15" s="4" t="n">
        <v>1317</v>
      </c>
    </row>
    <row r="16">
      <c r="A16" s="3" t="inlineStr">
        <is>
          <t>Cash Flow from Operations</t>
        </is>
      </c>
      <c r="B16" s="6">
        <f>SUM(B2:B15)</f>
        <v/>
      </c>
      <c r="C16" s="6">
        <f>SUM(C2:C15)</f>
        <v/>
      </c>
      <c r="D16" s="6">
        <f>SUM(D2:D15)</f>
        <v/>
      </c>
      <c r="E16" s="6">
        <f>SUM(E2:E15)</f>
        <v/>
      </c>
      <c r="F16" s="6">
        <f>SUM(F2:F15)</f>
        <v/>
      </c>
      <c r="G16" s="6">
        <f>SUM(G2:G15)</f>
        <v/>
      </c>
      <c r="H16" s="6">
        <f>SUM(H2:H15)</f>
        <v/>
      </c>
      <c r="I16" s="6">
        <f>SUM(I2:I15)</f>
        <v/>
      </c>
      <c r="J16" s="6">
        <f>SUM(J2:J15)</f>
        <v/>
      </c>
      <c r="K16" s="6">
        <f>SUM(K2:K15)</f>
        <v/>
      </c>
      <c r="L16" s="6">
        <f>SUM(L2:L15)</f>
        <v/>
      </c>
      <c r="M16" s="6">
        <f>SUM(M2:M15)</f>
        <v/>
      </c>
      <c r="N16" s="6">
        <f>SUM(N2:N15)</f>
        <v/>
      </c>
      <c r="O16" s="6">
        <f>SUM(O2:O15)</f>
        <v/>
      </c>
      <c r="P16" s="6">
        <f>SUM(P2:P15)</f>
        <v/>
      </c>
      <c r="Q16" s="6">
        <f>SUM(Q2:Q15)</f>
        <v/>
      </c>
      <c r="R16" s="6">
        <f>SUM(R2:R15)</f>
        <v/>
      </c>
      <c r="S16" s="6">
        <f>SUM(S2:S15)</f>
        <v/>
      </c>
      <c r="T16" s="6">
        <f>SUM(T2:T15)</f>
        <v/>
      </c>
      <c r="U16" s="6">
        <f>SUM(U2:U15)</f>
        <v/>
      </c>
      <c r="V16" s="6">
        <f>SUM(V2:V15)</f>
        <v/>
      </c>
      <c r="W16" s="6">
        <f>SUM(W2:W15)</f>
        <v/>
      </c>
      <c r="X16" s="6">
        <f>SUM(X2:X15)</f>
        <v/>
      </c>
      <c r="Y16" s="6">
        <f>SUM(Y2:Y15)</f>
        <v/>
      </c>
    </row>
    <row r="17">
      <c r="A17" s="3" t="inlineStr">
        <is>
          <t>Purchase of PP&amp;E</t>
        </is>
      </c>
      <c r="B17" s="4" t="n">
        <v>-7299</v>
      </c>
      <c r="C17" s="4" t="n">
        <v>-12776</v>
      </c>
      <c r="D17" s="4" t="n">
        <v>-18058</v>
      </c>
      <c r="E17" s="4" t="n">
        <v>-4638</v>
      </c>
      <c r="F17" s="4" t="n">
        <v>-10764</v>
      </c>
      <c r="G17" s="4" t="n">
        <v>-17496</v>
      </c>
      <c r="H17" s="4" t="n">
        <v>-6005</v>
      </c>
      <c r="I17" s="4" t="n">
        <v>-11396</v>
      </c>
      <c r="J17" s="4" t="n">
        <v>-16802</v>
      </c>
      <c r="K17" s="4" t="n">
        <v>-5942</v>
      </c>
      <c r="L17" s="4" t="n">
        <v>-11438</v>
      </c>
      <c r="M17" s="4" t="n">
        <v>-18257</v>
      </c>
      <c r="N17" s="4" t="n">
        <v>-9786</v>
      </c>
      <c r="O17" s="4" t="n">
        <v>-16614</v>
      </c>
      <c r="P17" s="4" t="n">
        <v>-23890</v>
      </c>
      <c r="Q17" s="4" t="n">
        <v>-6289</v>
      </c>
      <c r="R17" s="4" t="n">
        <v>-13177</v>
      </c>
      <c r="S17" s="4" t="n">
        <v>-21232</v>
      </c>
      <c r="T17" s="4" t="n">
        <v>-12012</v>
      </c>
      <c r="U17" s="4" t="n">
        <v>-25198</v>
      </c>
      <c r="V17" s="4" t="n">
        <v>-38259</v>
      </c>
      <c r="W17" s="4" t="n">
        <v>-17197</v>
      </c>
      <c r="X17" s="4" t="n">
        <v>-39643</v>
      </c>
      <c r="Y17" s="4" t="n">
        <v>-63596</v>
      </c>
    </row>
    <row r="18">
      <c r="A18" s="3" t="inlineStr">
        <is>
          <t>Proceeds from Sale of Assets</t>
        </is>
      </c>
      <c r="B18" s="4" t="n">
        <v>30</v>
      </c>
      <c r="C18" s="4" t="n">
        <v>0</v>
      </c>
      <c r="D18" s="4" t="n">
        <v>0</v>
      </c>
      <c r="E18" s="4" t="n">
        <v>34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</row>
    <row r="19">
      <c r="A19" s="3" t="inlineStr">
        <is>
          <t>Net Change in Short-Term Investments</t>
        </is>
      </c>
      <c r="B19" s="4" t="n">
        <v>502</v>
      </c>
      <c r="C19" s="4" t="n">
        <v>2482</v>
      </c>
      <c r="D19" s="4" t="n">
        <v>-2414</v>
      </c>
      <c r="E19" s="4" t="n">
        <v>123</v>
      </c>
      <c r="F19" s="4" t="n">
        <v>-4032</v>
      </c>
      <c r="G19" s="4" t="n">
        <v>-6185</v>
      </c>
      <c r="H19" s="4" t="n">
        <v>4248</v>
      </c>
      <c r="I19" s="4" t="n">
        <v>1763</v>
      </c>
      <c r="J19" s="4" t="n">
        <v>-7181</v>
      </c>
      <c r="K19" s="4" t="n">
        <v>2822</v>
      </c>
      <c r="L19" s="4" t="n">
        <v>58</v>
      </c>
      <c r="M19" s="4" t="n">
        <v>-2980</v>
      </c>
      <c r="N19" s="4" t="n">
        <v>1317</v>
      </c>
      <c r="O19" s="4" t="n">
        <v>5175</v>
      </c>
      <c r="P19" s="4" t="n">
        <v>16834</v>
      </c>
      <c r="Q19" s="4" t="n">
        <v>4100</v>
      </c>
      <c r="R19" s="4" t="n">
        <v>1460</v>
      </c>
      <c r="S19" s="4" t="n">
        <v>3220</v>
      </c>
      <c r="T19" s="4" t="n">
        <v>4301</v>
      </c>
      <c r="U19" s="4" t="n">
        <v>15566</v>
      </c>
      <c r="V19" s="4" t="n">
        <v>16745</v>
      </c>
      <c r="W19" s="4" t="n">
        <v>1892</v>
      </c>
      <c r="X19" s="4" t="n">
        <v>1060</v>
      </c>
      <c r="Y19" s="4" t="n">
        <v>467</v>
      </c>
    </row>
    <row r="20">
      <c r="A20" s="3" t="inlineStr">
        <is>
          <t>Net Change in Long-Term Investments</t>
        </is>
      </c>
      <c r="B20" s="4" t="n">
        <v>171</v>
      </c>
      <c r="C20" s="4" t="n">
        <v>459</v>
      </c>
      <c r="D20" s="4" t="n">
        <v>227</v>
      </c>
      <c r="E20" s="4" t="n">
        <v>-808</v>
      </c>
      <c r="F20" s="4" t="n">
        <v>-889</v>
      </c>
      <c r="G20" s="4" t="n">
        <v>-1202</v>
      </c>
      <c r="H20" s="4" t="n">
        <v>-312</v>
      </c>
      <c r="I20" s="4" t="n">
        <v>-838</v>
      </c>
      <c r="J20" s="4" t="n">
        <v>-1266</v>
      </c>
      <c r="K20" s="4" t="n">
        <v>-627</v>
      </c>
      <c r="L20" s="4" t="n">
        <v>-1156</v>
      </c>
      <c r="M20" s="4" t="n">
        <v>-1478</v>
      </c>
      <c r="N20" s="4" t="n">
        <v>-764</v>
      </c>
      <c r="O20" s="4" t="n">
        <v>-1139</v>
      </c>
      <c r="P20" s="4" t="n">
        <v>-1497</v>
      </c>
      <c r="Q20" s="4" t="n">
        <v>-590</v>
      </c>
      <c r="R20" s="4" t="n">
        <v>-1332</v>
      </c>
      <c r="S20" s="4" t="n">
        <v>-1433</v>
      </c>
      <c r="T20" s="4" t="n">
        <v>-893</v>
      </c>
      <c r="U20" s="4" t="n">
        <v>-1594</v>
      </c>
      <c r="V20" s="4" t="n">
        <v>-2502</v>
      </c>
      <c r="W20" s="4" t="n">
        <v>-699</v>
      </c>
      <c r="X20" s="4" t="n">
        <v>-1439</v>
      </c>
      <c r="Y20" s="4" t="n">
        <v>-2116</v>
      </c>
    </row>
    <row r="21">
      <c r="A21" s="3" t="inlineStr">
        <is>
          <t>Acquisitions, Net of Cash Acquired</t>
        </is>
      </c>
      <c r="B21" s="4" t="n">
        <v>-1250</v>
      </c>
      <c r="C21" s="4" t="n">
        <v>-1434</v>
      </c>
      <c r="D21" s="4" t="n">
        <v>-1452</v>
      </c>
      <c r="E21" s="4" t="n">
        <v>-99</v>
      </c>
      <c r="F21" s="4" t="n">
        <v>-247</v>
      </c>
      <c r="G21" s="4" t="n">
        <v>-373</v>
      </c>
      <c r="H21" s="4" t="n">
        <v>-190</v>
      </c>
      <c r="I21" s="4" t="n">
        <v>-355</v>
      </c>
      <c r="J21" s="4" t="n">
        <v>-368</v>
      </c>
      <c r="K21" s="4" t="n">
        <v>-1666</v>
      </c>
      <c r="L21" s="4" t="n">
        <v>-1974</v>
      </c>
      <c r="M21" s="4" t="n">
        <v>-2233</v>
      </c>
      <c r="N21" s="4" t="n">
        <v>-173</v>
      </c>
      <c r="O21" s="4" t="n">
        <v>-1236</v>
      </c>
      <c r="P21" s="4" t="n">
        <v>-6885</v>
      </c>
      <c r="Q21" s="4" t="n">
        <v>-42</v>
      </c>
      <c r="R21" s="4" t="n">
        <v>-340</v>
      </c>
      <c r="S21" s="4" t="n">
        <v>-466</v>
      </c>
      <c r="T21" s="4" t="n">
        <v>-61</v>
      </c>
      <c r="U21" s="4" t="n">
        <v>-87</v>
      </c>
      <c r="V21" s="4" t="n">
        <v>-2840</v>
      </c>
      <c r="W21" s="4" t="n">
        <v>-340</v>
      </c>
      <c r="X21" s="4" t="n">
        <v>-353</v>
      </c>
      <c r="Y21" s="4" t="n">
        <v>-1425</v>
      </c>
    </row>
    <row r="22">
      <c r="A22" s="3" t="inlineStr">
        <is>
          <t>Collections from Note Receivable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</row>
    <row r="23">
      <c r="A23" s="3" t="inlineStr">
        <is>
          <t>Other Investing Activities</t>
        </is>
      </c>
      <c r="B23" s="4" t="n">
        <v>0</v>
      </c>
      <c r="C23" s="4" t="n">
        <v>49</v>
      </c>
      <c r="D23" s="4" t="n">
        <v>69</v>
      </c>
      <c r="E23" s="4" t="n">
        <v>0</v>
      </c>
      <c r="F23" s="4" t="n">
        <v>89</v>
      </c>
      <c r="G23" s="4" t="n">
        <v>468</v>
      </c>
      <c r="H23" s="4" t="n">
        <v>412</v>
      </c>
      <c r="I23" s="4" t="n">
        <v>531</v>
      </c>
      <c r="J23" s="4" t="n">
        <v>125</v>
      </c>
      <c r="K23" s="4" t="n">
        <v>30</v>
      </c>
      <c r="L23" s="4" t="n">
        <v>53</v>
      </c>
      <c r="M23" s="4" t="n">
        <v>441</v>
      </c>
      <c r="N23" s="4" t="n">
        <v>355</v>
      </c>
      <c r="O23" s="4" t="n">
        <v>576</v>
      </c>
      <c r="P23" s="4" t="n">
        <v>1367</v>
      </c>
      <c r="Q23" s="4" t="n">
        <v>-125</v>
      </c>
      <c r="R23" s="4" t="n">
        <v>-357</v>
      </c>
      <c r="S23" s="4" t="n">
        <v>-985</v>
      </c>
      <c r="T23" s="4" t="n">
        <v>101</v>
      </c>
      <c r="U23" s="4" t="n">
        <v>-32</v>
      </c>
      <c r="V23" s="4" t="n">
        <v>-2500</v>
      </c>
      <c r="W23" s="4" t="n">
        <v>150</v>
      </c>
      <c r="X23" s="4" t="n">
        <v>-363</v>
      </c>
      <c r="Y23" s="4" t="n">
        <v>-1845</v>
      </c>
    </row>
    <row r="24">
      <c r="A24" s="3" t="inlineStr">
        <is>
          <t>Cash Flow from Investing</t>
        </is>
      </c>
      <c r="B24" s="6">
        <f>SUM(B17:B23)</f>
        <v/>
      </c>
      <c r="C24" s="6">
        <f>SUM(C17:C23)</f>
        <v/>
      </c>
      <c r="D24" s="6">
        <f>SUM(D17:D23)</f>
        <v/>
      </c>
      <c r="E24" s="6">
        <f>SUM(E17:E23)</f>
        <v/>
      </c>
      <c r="F24" s="6">
        <f>SUM(F17:F23)</f>
        <v/>
      </c>
      <c r="G24" s="6">
        <f>SUM(G17:G23)</f>
        <v/>
      </c>
      <c r="H24" s="6">
        <f>SUM(H17:H23)</f>
        <v/>
      </c>
      <c r="I24" s="6">
        <f>SUM(I17:I23)</f>
        <v/>
      </c>
      <c r="J24" s="6">
        <f>SUM(J17:J23)</f>
        <v/>
      </c>
      <c r="K24" s="6">
        <f>SUM(K17:K23)</f>
        <v/>
      </c>
      <c r="L24" s="6">
        <f>SUM(L17:L23)</f>
        <v/>
      </c>
      <c r="M24" s="6">
        <f>SUM(M17:M23)</f>
        <v/>
      </c>
      <c r="N24" s="6">
        <f>SUM(N17:N23)</f>
        <v/>
      </c>
      <c r="O24" s="6">
        <f>SUM(O17:O23)</f>
        <v/>
      </c>
      <c r="P24" s="6">
        <f>SUM(P17:P23)</f>
        <v/>
      </c>
      <c r="Q24" s="6">
        <f>SUM(Q17:Q23)</f>
        <v/>
      </c>
      <c r="R24" s="6">
        <f>SUM(R17:R23)</f>
        <v/>
      </c>
      <c r="S24" s="6">
        <f>SUM(S17:S23)</f>
        <v/>
      </c>
      <c r="T24" s="6">
        <f>SUM(T17:T23)</f>
        <v/>
      </c>
      <c r="U24" s="6">
        <f>SUM(U17:U23)</f>
        <v/>
      </c>
      <c r="V24" s="6">
        <f>SUM(V17:V23)</f>
        <v/>
      </c>
      <c r="W24" s="6">
        <f>SUM(W17:W23)</f>
        <v/>
      </c>
      <c r="X24" s="6">
        <f>SUM(X17:X23)</f>
        <v/>
      </c>
      <c r="Y24" s="6">
        <f>SUM(Y17:Y23)</f>
        <v/>
      </c>
    </row>
    <row r="25">
      <c r="A25" s="3" t="inlineStr">
        <is>
          <t>Stock-Based Award Activities, Net</t>
        </is>
      </c>
      <c r="B25" s="4" t="n">
        <v>-1158</v>
      </c>
      <c r="C25" s="4" t="n">
        <v>-2699</v>
      </c>
      <c r="D25" s="4" t="n">
        <v>-3952</v>
      </c>
      <c r="E25" s="4" t="n">
        <v>-1175</v>
      </c>
      <c r="F25" s="4" t="n">
        <v>-2435</v>
      </c>
      <c r="G25" s="4" t="n">
        <v>-3566</v>
      </c>
      <c r="H25" s="4" t="n">
        <v>-1241</v>
      </c>
      <c r="I25" s="4" t="n">
        <v>-2716</v>
      </c>
      <c r="J25" s="4" t="n">
        <v>-4073</v>
      </c>
      <c r="K25" s="4" t="n">
        <v>-2184</v>
      </c>
      <c r="L25" s="4" t="n">
        <v>-4637</v>
      </c>
      <c r="M25" s="4" t="n">
        <v>-7239</v>
      </c>
      <c r="N25" s="4" t="n">
        <v>-2916</v>
      </c>
      <c r="O25" s="4" t="n">
        <v>-5180</v>
      </c>
      <c r="P25" s="4" t="n">
        <v>-7221</v>
      </c>
      <c r="Q25" s="4" t="n">
        <v>-1989</v>
      </c>
      <c r="R25" s="4" t="n">
        <v>-4725</v>
      </c>
      <c r="S25" s="4" t="n">
        <v>-7157</v>
      </c>
      <c r="T25" s="4" t="n">
        <v>-2929</v>
      </c>
      <c r="U25" s="4" t="n">
        <v>-6138</v>
      </c>
      <c r="V25" s="4" t="n">
        <v>-9141</v>
      </c>
      <c r="W25" s="4" t="n">
        <v>-3110</v>
      </c>
      <c r="X25" s="4" t="n">
        <v>-5731</v>
      </c>
      <c r="Y25" s="4" t="n">
        <v>-9001</v>
      </c>
    </row>
    <row r="26">
      <c r="A26" s="3" t="inlineStr">
        <is>
          <t>Share Repurchases</t>
        </is>
      </c>
      <c r="B26" s="4" t="n">
        <v>-2173</v>
      </c>
      <c r="C26" s="4" t="n">
        <v>-4225</v>
      </c>
      <c r="D26" s="4" t="n">
        <v>-6425</v>
      </c>
      <c r="E26" s="4" t="n">
        <v>-3025</v>
      </c>
      <c r="F26" s="4" t="n">
        <v>-6602</v>
      </c>
      <c r="G26" s="4" t="n">
        <v>-12298</v>
      </c>
      <c r="H26" s="4" t="n">
        <v>-8496</v>
      </c>
      <c r="I26" s="4" t="n">
        <v>-15348</v>
      </c>
      <c r="J26" s="4" t="n">
        <v>-23245</v>
      </c>
      <c r="K26" s="4" t="n">
        <v>-11395</v>
      </c>
      <c r="L26" s="4" t="n">
        <v>-24191</v>
      </c>
      <c r="M26" s="4" t="n">
        <v>-36801</v>
      </c>
      <c r="N26" s="4" t="n">
        <v>-13300</v>
      </c>
      <c r="O26" s="4" t="n">
        <v>-28497</v>
      </c>
      <c r="P26" s="4" t="n">
        <v>-43889</v>
      </c>
      <c r="Q26" s="4" t="n">
        <v>-14557</v>
      </c>
      <c r="R26" s="4" t="n">
        <v>-29526</v>
      </c>
      <c r="S26" s="4" t="n">
        <v>-45313</v>
      </c>
      <c r="T26" s="4" t="n">
        <v>-15696</v>
      </c>
      <c r="U26" s="4" t="n">
        <v>-31380</v>
      </c>
      <c r="V26" s="4" t="n">
        <v>-46671</v>
      </c>
      <c r="W26" s="4" t="n">
        <v>-15068</v>
      </c>
      <c r="X26" s="4" t="n">
        <v>-28706</v>
      </c>
      <c r="Y26" s="4" t="n">
        <v>-40210</v>
      </c>
    </row>
    <row r="27">
      <c r="A27" s="3" t="inlineStr">
        <is>
          <t>Common Dividends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-2466</v>
      </c>
      <c r="V27" s="4" t="n">
        <v>-4921</v>
      </c>
      <c r="W27" s="4" t="n">
        <v>-2434</v>
      </c>
      <c r="X27" s="4" t="n">
        <v>-4977</v>
      </c>
      <c r="Y27" s="4" t="n">
        <v>-7513</v>
      </c>
    </row>
    <row r="28">
      <c r="A28" s="3" t="inlineStr">
        <is>
          <t>Proceeds from Issuance of Long-Term Debt</t>
        </is>
      </c>
      <c r="B28" s="4" t="n">
        <v>4691</v>
      </c>
      <c r="C28" s="4" t="n">
        <v>6236</v>
      </c>
      <c r="D28" s="4" t="n">
        <v>6766</v>
      </c>
      <c r="E28" s="4" t="n">
        <v>315</v>
      </c>
      <c r="F28" s="4" t="n">
        <v>317</v>
      </c>
      <c r="G28" s="4" t="n">
        <v>317</v>
      </c>
      <c r="H28" s="4" t="n">
        <v>1898</v>
      </c>
      <c r="I28" s="4" t="n">
        <v>1898</v>
      </c>
      <c r="J28" s="4" t="n">
        <v>11761</v>
      </c>
      <c r="K28" s="4" t="n">
        <v>900</v>
      </c>
      <c r="L28" s="4" t="n">
        <v>7599</v>
      </c>
      <c r="M28" s="4" t="n">
        <v>13949</v>
      </c>
      <c r="N28" s="4" t="n">
        <v>16422</v>
      </c>
      <c r="O28" s="4" t="n">
        <v>29228</v>
      </c>
      <c r="P28" s="4" t="n">
        <v>44322</v>
      </c>
      <c r="Q28" s="4" t="n">
        <v>6927</v>
      </c>
      <c r="R28" s="4" t="n">
        <v>8050</v>
      </c>
      <c r="S28" s="4" t="n">
        <v>9298</v>
      </c>
      <c r="T28" s="4" t="n">
        <v>1982</v>
      </c>
      <c r="U28" s="4" t="n">
        <v>4875</v>
      </c>
      <c r="V28" s="4" t="n">
        <v>8694</v>
      </c>
      <c r="W28" s="4" t="n">
        <v>4532</v>
      </c>
      <c r="X28" s="4" t="n">
        <v>31378</v>
      </c>
      <c r="Y28" s="4" t="n">
        <v>38002</v>
      </c>
    </row>
    <row r="29">
      <c r="A29" s="3" t="inlineStr">
        <is>
          <t>Net Change in Other Short-Term Debt</t>
        </is>
      </c>
      <c r="B29" s="4" t="n">
        <v>-3378</v>
      </c>
      <c r="C29" s="4" t="n">
        <v>-6267</v>
      </c>
      <c r="D29" s="4" t="n">
        <v>-6822</v>
      </c>
      <c r="E29" s="4" t="n">
        <v>-345</v>
      </c>
      <c r="F29" s="4" t="n">
        <v>-393</v>
      </c>
      <c r="G29" s="4" t="n">
        <v>-538</v>
      </c>
      <c r="H29" s="4" t="n">
        <v>-1947</v>
      </c>
      <c r="I29" s="4" t="n">
        <v>-1982</v>
      </c>
      <c r="J29" s="4" t="n">
        <v>-2043</v>
      </c>
      <c r="K29" s="4" t="n">
        <v>-937</v>
      </c>
      <c r="L29" s="4" t="n">
        <v>-8678</v>
      </c>
      <c r="M29" s="4" t="n">
        <v>-15070</v>
      </c>
      <c r="N29" s="4" t="n">
        <v>-16420</v>
      </c>
      <c r="O29" s="4" t="n">
        <v>-29582</v>
      </c>
      <c r="P29" s="4" t="n">
        <v>-45350</v>
      </c>
      <c r="Q29" s="4" t="n">
        <v>-6952</v>
      </c>
      <c r="R29" s="4" t="n">
        <v>-8207</v>
      </c>
      <c r="S29" s="4" t="n">
        <v>-9621</v>
      </c>
      <c r="T29" s="4" t="n">
        <v>-3079</v>
      </c>
      <c r="U29" s="4" t="n">
        <v>-5502</v>
      </c>
      <c r="V29" s="4" t="n">
        <v>-8951</v>
      </c>
      <c r="W29" s="4" t="n">
        <v>-4521</v>
      </c>
      <c r="X29" s="4" t="n">
        <v>-18397</v>
      </c>
      <c r="Y29" s="4" t="n">
        <v>-26094</v>
      </c>
    </row>
    <row r="30">
      <c r="A30" s="3" t="inlineStr">
        <is>
          <t>Proceeds from Sale of Interest in Consolidated Entities</t>
        </is>
      </c>
      <c r="B30" s="4" t="n">
        <v>0</v>
      </c>
      <c r="C30" s="4" t="n">
        <v>0</v>
      </c>
      <c r="D30" s="4" t="n">
        <v>0</v>
      </c>
      <c r="E30" s="4" t="n">
        <v>47</v>
      </c>
      <c r="F30" s="4" t="n">
        <v>184</v>
      </c>
      <c r="G30" s="4" t="n">
        <v>202</v>
      </c>
      <c r="H30" s="4" t="n">
        <v>1600</v>
      </c>
      <c r="I30" s="4" t="n">
        <v>2464</v>
      </c>
      <c r="J30" s="4" t="n">
        <v>2462</v>
      </c>
      <c r="K30" s="4" t="n">
        <v>10</v>
      </c>
      <c r="L30" s="4" t="n">
        <v>310</v>
      </c>
      <c r="M30" s="4" t="n">
        <v>310</v>
      </c>
      <c r="N30" s="4" t="n">
        <v>0</v>
      </c>
      <c r="O30" s="4" t="n">
        <v>0</v>
      </c>
      <c r="P30" s="4" t="n">
        <v>10</v>
      </c>
      <c r="Q30" s="4" t="n">
        <v>3</v>
      </c>
      <c r="R30" s="4" t="n">
        <v>5</v>
      </c>
      <c r="S30" s="4" t="n">
        <v>8</v>
      </c>
      <c r="T30" s="4" t="n">
        <v>8</v>
      </c>
      <c r="U30" s="4" t="n">
        <v>8</v>
      </c>
      <c r="V30" s="4" t="n">
        <v>293</v>
      </c>
      <c r="W30" s="4" t="n">
        <v>400</v>
      </c>
      <c r="X30" s="4" t="n">
        <v>400</v>
      </c>
      <c r="Y30" s="4" t="n">
        <v>400</v>
      </c>
    </row>
    <row r="31">
      <c r="A31" s="3" t="inlineStr">
        <is>
          <t>Cash Flow from Financing</t>
        </is>
      </c>
      <c r="B31" s="6">
        <f>SUM(B25:B30)</f>
        <v/>
      </c>
      <c r="C31" s="6">
        <f>SUM(C25:C30)</f>
        <v/>
      </c>
      <c r="D31" s="6">
        <f>SUM(D25:D30)</f>
        <v/>
      </c>
      <c r="E31" s="6">
        <f>SUM(E25:E30)</f>
        <v/>
      </c>
      <c r="F31" s="6">
        <f>SUM(F25:F30)</f>
        <v/>
      </c>
      <c r="G31" s="6">
        <f>SUM(G25:G30)</f>
        <v/>
      </c>
      <c r="H31" s="6">
        <f>SUM(H25:H30)</f>
        <v/>
      </c>
      <c r="I31" s="6">
        <f>SUM(I25:I30)</f>
        <v/>
      </c>
      <c r="J31" s="6">
        <f>SUM(J25:J30)</f>
        <v/>
      </c>
      <c r="K31" s="6">
        <f>SUM(K25:K30)</f>
        <v/>
      </c>
      <c r="L31" s="6">
        <f>SUM(L25:L30)</f>
        <v/>
      </c>
      <c r="M31" s="6">
        <f>SUM(M25:M30)</f>
        <v/>
      </c>
      <c r="N31" s="6">
        <f>SUM(N25:N30)</f>
        <v/>
      </c>
      <c r="O31" s="6">
        <f>SUM(O25:O30)</f>
        <v/>
      </c>
      <c r="P31" s="6">
        <f>SUM(P25:P30)</f>
        <v/>
      </c>
      <c r="Q31" s="6">
        <f>SUM(Q25:Q30)</f>
        <v/>
      </c>
      <c r="R31" s="6">
        <f>SUM(R25:R30)</f>
        <v/>
      </c>
      <c r="S31" s="6">
        <f>SUM(S25:S30)</f>
        <v/>
      </c>
      <c r="T31" s="6">
        <f>SUM(T25:T30)</f>
        <v/>
      </c>
      <c r="U31" s="6">
        <f>SUM(U25:U30)</f>
        <v/>
      </c>
      <c r="V31" s="6">
        <f>SUM(V25:V30)</f>
        <v/>
      </c>
      <c r="W31" s="6">
        <f>SUM(W25:W30)</f>
        <v/>
      </c>
      <c r="X31" s="6">
        <f>SUM(X25:X30)</f>
        <v/>
      </c>
      <c r="Y31" s="6">
        <f>SUM(Y25:Y30)</f>
        <v/>
      </c>
    </row>
    <row r="32">
      <c r="A32" s="3" t="inlineStr">
        <is>
          <t>FX Effect on Cash</t>
        </is>
      </c>
      <c r="B32" s="4" t="n">
        <v>165</v>
      </c>
      <c r="C32" s="4" t="n">
        <v>-166</v>
      </c>
      <c r="D32" s="4" t="n">
        <v>-195</v>
      </c>
      <c r="E32" s="4" t="n">
        <v>18</v>
      </c>
      <c r="F32" s="4" t="n">
        <v>31</v>
      </c>
      <c r="G32" s="4" t="n">
        <v>-91</v>
      </c>
      <c r="H32" s="4" t="n">
        <v>-272</v>
      </c>
      <c r="I32" s="4" t="n">
        <v>-221</v>
      </c>
      <c r="J32" s="4" t="n">
        <v>-186</v>
      </c>
      <c r="K32" s="4" t="n">
        <v>-143</v>
      </c>
      <c r="L32" s="4" t="n">
        <v>40</v>
      </c>
      <c r="M32" s="4" t="n">
        <v>-106</v>
      </c>
      <c r="N32" s="4" t="n">
        <v>100</v>
      </c>
      <c r="O32" s="4" t="n">
        <v>-268</v>
      </c>
      <c r="P32" s="4" t="n">
        <v>-643</v>
      </c>
      <c r="Q32" s="4" t="n">
        <v>50</v>
      </c>
      <c r="R32" s="4" t="n">
        <v>24</v>
      </c>
      <c r="S32" s="4" t="n">
        <v>-327</v>
      </c>
      <c r="T32" s="4" t="n">
        <v>-125</v>
      </c>
      <c r="U32" s="4" t="n">
        <v>-363</v>
      </c>
      <c r="V32" s="4" t="n">
        <v>-222</v>
      </c>
      <c r="W32" s="4" t="n">
        <v>43</v>
      </c>
      <c r="X32" s="4" t="n">
        <v>444</v>
      </c>
      <c r="Y32" s="4" t="n">
        <v>244</v>
      </c>
    </row>
    <row r="33">
      <c r="A33" s="3" t="inlineStr">
        <is>
          <t>Net Change in Cash</t>
        </is>
      </c>
      <c r="B33" s="6">
        <f>B16+B24+B31+B32</f>
        <v/>
      </c>
      <c r="C33" s="6">
        <f>C16+C24+C31+C32</f>
        <v/>
      </c>
      <c r="D33" s="6">
        <f>D16+D24+D31+D32</f>
        <v/>
      </c>
      <c r="E33" s="6">
        <f>E16+E24+E31+E32</f>
        <v/>
      </c>
      <c r="F33" s="6">
        <f>F16+F24+F31+F32</f>
        <v/>
      </c>
      <c r="G33" s="6">
        <f>G16+G24+G31+G32</f>
        <v/>
      </c>
      <c r="H33" s="6">
        <f>H16+H24+H31+H32</f>
        <v/>
      </c>
      <c r="I33" s="6">
        <f>I16+I24+I31+I32</f>
        <v/>
      </c>
      <c r="J33" s="6">
        <f>J16+J24+J31+J32</f>
        <v/>
      </c>
      <c r="K33" s="6">
        <f>K16+K24+K31+K32</f>
        <v/>
      </c>
      <c r="L33" s="6">
        <f>L16+L24+L31+L32</f>
        <v/>
      </c>
      <c r="M33" s="6">
        <f>M16+M24+M31+M32</f>
        <v/>
      </c>
      <c r="N33" s="6">
        <f>N16+N24+N31+N32</f>
        <v/>
      </c>
      <c r="O33" s="6">
        <f>O16+O24+O31+O32</f>
        <v/>
      </c>
      <c r="P33" s="6">
        <f>P16+P24+P31+P32</f>
        <v/>
      </c>
      <c r="Q33" s="6">
        <f>Q16+Q24+Q31+Q32</f>
        <v/>
      </c>
      <c r="R33" s="6">
        <f>R16+R24+R31+R32</f>
        <v/>
      </c>
      <c r="S33" s="6">
        <f>S16+S24+S31+S32</f>
        <v/>
      </c>
      <c r="T33" s="6">
        <f>T16+T24+T31+T32</f>
        <v/>
      </c>
      <c r="U33" s="6">
        <f>U16+U24+U31+U32</f>
        <v/>
      </c>
      <c r="V33" s="6">
        <f>V16+V24+V31+V32</f>
        <v/>
      </c>
      <c r="W33" s="6">
        <f>W16+W24+W31+W32</f>
        <v/>
      </c>
      <c r="X33" s="6">
        <f>X16+X24+X31+X32</f>
        <v/>
      </c>
      <c r="Y33" s="6">
        <f>Y16+Y24+Y31+Y32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>
      <c r="A1" s="1" t="inlineStr"/>
      <c r="B1" s="2" t="inlineStr">
        <is>
          <t>Q1 FY2018</t>
        </is>
      </c>
      <c r="C1" s="2" t="inlineStr">
        <is>
          <t>Q2 FY2018</t>
        </is>
      </c>
      <c r="D1" s="2" t="inlineStr">
        <is>
          <t>Q3 FY2018</t>
        </is>
      </c>
      <c r="E1" s="2" t="inlineStr">
        <is>
          <t>Q4 FY2018</t>
        </is>
      </c>
      <c r="F1" s="2" t="inlineStr">
        <is>
          <t>Q1 FY2019</t>
        </is>
      </c>
      <c r="G1" s="2" t="inlineStr">
        <is>
          <t>Q2 FY2019</t>
        </is>
      </c>
      <c r="H1" s="2" t="inlineStr">
        <is>
          <t>Q3 FY2019</t>
        </is>
      </c>
      <c r="I1" s="2" t="inlineStr">
        <is>
          <t>Q4 FY2019</t>
        </is>
      </c>
      <c r="J1" s="2" t="inlineStr">
        <is>
          <t>Q1 FY2020</t>
        </is>
      </c>
      <c r="K1" s="2" t="inlineStr">
        <is>
          <t>Q2 FY2020</t>
        </is>
      </c>
      <c r="L1" s="2" t="inlineStr">
        <is>
          <t>Q3 FY2020</t>
        </is>
      </c>
      <c r="M1" s="2" t="inlineStr">
        <is>
          <t>Q4 FY2020</t>
        </is>
      </c>
      <c r="N1" s="2" t="inlineStr">
        <is>
          <t>Q1 FY2021</t>
        </is>
      </c>
      <c r="O1" s="2" t="inlineStr">
        <is>
          <t>Q2 FY2021</t>
        </is>
      </c>
      <c r="P1" s="2" t="inlineStr">
        <is>
          <t>Q3 FY2021</t>
        </is>
      </c>
      <c r="Q1" s="2" t="inlineStr">
        <is>
          <t>Q4 FY2021</t>
        </is>
      </c>
      <c r="R1" s="2" t="inlineStr">
        <is>
          <t>Q1 FY2022</t>
        </is>
      </c>
      <c r="S1" s="2" t="inlineStr">
        <is>
          <t>Q2 FY2022</t>
        </is>
      </c>
      <c r="T1" s="2" t="inlineStr">
        <is>
          <t>Q3 FY2022</t>
        </is>
      </c>
      <c r="U1" s="2" t="inlineStr">
        <is>
          <t>Q4 FY2022</t>
        </is>
      </c>
      <c r="V1" s="2" t="inlineStr">
        <is>
          <t>Q1 FY2023</t>
        </is>
      </c>
      <c r="W1" s="2" t="inlineStr">
        <is>
          <t>Q2 FY2023</t>
        </is>
      </c>
      <c r="X1" s="2" t="inlineStr">
        <is>
          <t>Q3 FY2023</t>
        </is>
      </c>
      <c r="Y1" s="2" t="inlineStr">
        <is>
          <t>Q4 FY2023</t>
        </is>
      </c>
      <c r="Z1" s="2" t="inlineStr">
        <is>
          <t>Q1 FY2024</t>
        </is>
      </c>
      <c r="AA1" s="2" t="inlineStr">
        <is>
          <t>Q2 FY2024</t>
        </is>
      </c>
      <c r="AB1" s="2" t="inlineStr">
        <is>
          <t>Q3 FY2024</t>
        </is>
      </c>
      <c r="AC1" s="2" t="inlineStr">
        <is>
          <t>Q4 FY2024</t>
        </is>
      </c>
      <c r="AD1" s="2" t="inlineStr">
        <is>
          <t>Q1 FY2025</t>
        </is>
      </c>
      <c r="AE1" s="2" t="inlineStr">
        <is>
          <t>Q2 FY2025</t>
        </is>
      </c>
      <c r="AF1" s="2" t="inlineStr">
        <is>
          <t>Q3 FY2025</t>
        </is>
      </c>
      <c r="AG1" s="2" t="inlineStr">
        <is>
          <t>Q4 FY2025</t>
        </is>
      </c>
      <c r="AH1" s="2" t="inlineStr">
        <is>
          <t>Q1 FY2026E</t>
        </is>
      </c>
      <c r="AI1" s="2" t="inlineStr">
        <is>
          <t>Q2 FY2026E</t>
        </is>
      </c>
      <c r="AJ1" s="2" t="inlineStr">
        <is>
          <t>Q3 FY2026E</t>
        </is>
      </c>
      <c r="AK1" s="2" t="inlineStr">
        <is>
          <t>Q4 FY2026E</t>
        </is>
      </c>
      <c r="AL1" s="2" t="inlineStr">
        <is>
          <t>Q1 FY2027E</t>
        </is>
      </c>
      <c r="AM1" s="2" t="inlineStr">
        <is>
          <t>Q2 FY2027E</t>
        </is>
      </c>
      <c r="AN1" s="2" t="inlineStr">
        <is>
          <t>Q3 FY2027E</t>
        </is>
      </c>
      <c r="AO1" s="2" t="inlineStr">
        <is>
          <t>Q4 FY2027E</t>
        </is>
      </c>
      <c r="AP1" s="2" t="inlineStr">
        <is>
          <t>Q1 FY2028E</t>
        </is>
      </c>
      <c r="AQ1" s="2" t="inlineStr">
        <is>
          <t>Q2 FY2028E</t>
        </is>
      </c>
      <c r="AR1" s="2" t="inlineStr">
        <is>
          <t>Q3 FY2028E</t>
        </is>
      </c>
      <c r="AS1" s="2" t="inlineStr">
        <is>
          <t>Q4 FY2028E</t>
        </is>
      </c>
      <c r="AT1" s="2" t="inlineStr">
        <is>
          <t>Q1 FY2029E</t>
        </is>
      </c>
      <c r="AU1" s="2" t="inlineStr">
        <is>
          <t>Q2 FY2029E</t>
        </is>
      </c>
      <c r="AV1" s="2" t="inlineStr">
        <is>
          <t>Q3 FY2029E</t>
        </is>
      </c>
      <c r="AW1" s="2" t="inlineStr">
        <is>
          <t>Q4 FY2029E</t>
        </is>
      </c>
      <c r="AX1" s="2" t="inlineStr">
        <is>
          <t>Q1 FY2030E</t>
        </is>
      </c>
      <c r="AY1" s="2" t="inlineStr">
        <is>
          <t>Q2 FY2030E</t>
        </is>
      </c>
      <c r="AZ1" s="2" t="inlineStr">
        <is>
          <t>Q3 FY2030E</t>
        </is>
      </c>
      <c r="BA1" s="2" t="inlineStr">
        <is>
          <t>Q4 FY2030E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4">
        <f>'YTD P&amp;L'!O2-'YTD P&amp;L'!N2</f>
        <v/>
      </c>
      <c r="T2" s="4">
        <f>'YTD P&amp;L'!P2-'YTD P&amp;L'!O2</f>
        <v/>
      </c>
      <c r="U2" s="4">
        <f>'ANNL P&amp;L'!G2-'YTD P&amp;L'!P2</f>
        <v/>
      </c>
      <c r="V2" s="4">
        <f>'YTD P&amp;L'!Q2</f>
        <v/>
      </c>
      <c r="W2" s="4">
        <f>'YTD P&amp;L'!R2-'YTD P&amp;L'!Q2</f>
        <v/>
      </c>
      <c r="X2" s="4">
        <f>'YTD P&amp;L'!S2-'YTD P&amp;L'!R2</f>
        <v/>
      </c>
      <c r="Y2" s="4">
        <f>'ANNL P&amp;L'!H2-'YTD P&amp;L'!S2</f>
        <v/>
      </c>
      <c r="Z2" s="4">
        <f>'YTD P&amp;L'!T2</f>
        <v/>
      </c>
      <c r="AA2" s="4">
        <f>'YTD P&amp;L'!U2-'YTD P&amp;L'!T2</f>
        <v/>
      </c>
      <c r="AB2" s="4">
        <f>'YTD P&amp;L'!V2-'YTD P&amp;L'!U2</f>
        <v/>
      </c>
      <c r="AC2" s="4">
        <f>'ANNL P&amp;L'!I2-'YTD P&amp;L'!V2</f>
        <v/>
      </c>
      <c r="AD2" s="4">
        <f>'YTD P&amp;L'!W2</f>
        <v/>
      </c>
      <c r="AE2" s="4">
        <f>'YTD P&amp;L'!X2-'YTD P&amp;L'!W2</f>
        <v/>
      </c>
      <c r="AF2" s="4">
        <f>'YTD P&amp;L'!Y2-'YTD P&amp;L'!X2</f>
        <v/>
      </c>
      <c r="AG2" s="4">
        <f>'ANNL P&amp;L'!J2-'YTD P&amp;L'!Y2</f>
        <v/>
      </c>
      <c r="AH2" s="11">
        <f>IF('IS DRIVERS'!$B2="QoQ",'QTR P&amp;L'!AG2,'QTR P&amp;L'!AD2)*(1+'IS DRIVERS'!AI2)</f>
        <v/>
      </c>
      <c r="AI2" s="11">
        <f>IF('IS DRIVERS'!$B2="QoQ",'QTR P&amp;L'!AH2,'QTR P&amp;L'!AE2)*(1+'IS DRIVERS'!AJ2)</f>
        <v/>
      </c>
      <c r="AJ2" s="11">
        <f>IF('IS DRIVERS'!$B2="QoQ",'QTR P&amp;L'!AI2,'QTR P&amp;L'!AF2)*(1+'IS DRIVERS'!AK2)</f>
        <v/>
      </c>
      <c r="AK2" s="11">
        <f>IF('IS DRIVERS'!$B2="QoQ",'QTR P&amp;L'!AJ2,'QTR P&amp;L'!AG2)*(1+'IS DRIVERS'!AL2)</f>
        <v/>
      </c>
      <c r="AL2" s="11">
        <f>IF('IS DRIVERS'!$B2="QoQ",'QTR P&amp;L'!AK2,'QTR P&amp;L'!AH2)*(1+'IS DRIVERS'!AM2)</f>
        <v/>
      </c>
      <c r="AM2" s="11">
        <f>IF('IS DRIVERS'!$B2="QoQ",'QTR P&amp;L'!AL2,'QTR P&amp;L'!AI2)*(1+'IS DRIVERS'!AN2)</f>
        <v/>
      </c>
      <c r="AN2" s="11">
        <f>IF('IS DRIVERS'!$B2="QoQ",'QTR P&amp;L'!AM2,'QTR P&amp;L'!AJ2)*(1+'IS DRIVERS'!AO2)</f>
        <v/>
      </c>
      <c r="AO2" s="11">
        <f>IF('IS DRIVERS'!$B2="QoQ",'QTR P&amp;L'!AN2,'QTR P&amp;L'!AK2)*(1+'IS DRIVERS'!AP2)</f>
        <v/>
      </c>
      <c r="AP2" s="11">
        <f>IF('IS DRIVERS'!$B2="QoQ",'QTR P&amp;L'!AO2,'QTR P&amp;L'!AL2)*(1+'IS DRIVERS'!AQ2)</f>
        <v/>
      </c>
      <c r="AQ2" s="11">
        <f>IF('IS DRIVERS'!$B2="QoQ",'QTR P&amp;L'!AP2,'QTR P&amp;L'!AM2)*(1+'IS DRIVERS'!AR2)</f>
        <v/>
      </c>
      <c r="AR2" s="11">
        <f>IF('IS DRIVERS'!$B2="QoQ",'QTR P&amp;L'!AQ2,'QTR P&amp;L'!AN2)*(1+'IS DRIVERS'!AS2)</f>
        <v/>
      </c>
      <c r="AS2" s="11">
        <f>IF('IS DRIVERS'!$B2="QoQ",'QTR P&amp;L'!AR2,'QTR P&amp;L'!AO2)*(1+'IS DRIVERS'!AT2)</f>
        <v/>
      </c>
      <c r="AT2" s="11">
        <f>IF('IS DRIVERS'!$B2="QoQ",'QTR P&amp;L'!AS2,'QTR P&amp;L'!AP2)*(1+'IS DRIVERS'!AU2)</f>
        <v/>
      </c>
      <c r="AU2" s="11">
        <f>IF('IS DRIVERS'!$B2="QoQ",'QTR P&amp;L'!AT2,'QTR P&amp;L'!AQ2)*(1+'IS DRIVERS'!AV2)</f>
        <v/>
      </c>
      <c r="AV2" s="11">
        <f>IF('IS DRIVERS'!$B2="QoQ",'QTR P&amp;L'!AU2,'QTR P&amp;L'!AR2)*(1+'IS DRIVERS'!AW2)</f>
        <v/>
      </c>
      <c r="AW2" s="11">
        <f>IF('IS DRIVERS'!$B2="QoQ",'QTR P&amp;L'!AV2,'QTR P&amp;L'!AS2)*(1+'IS DRIVERS'!AX2)</f>
        <v/>
      </c>
      <c r="AX2" s="11">
        <f>IF('IS DRIVERS'!$B2="QoQ",'QTR P&amp;L'!AW2,'QTR P&amp;L'!AT2)*(1+'IS DRIVERS'!AY2)</f>
        <v/>
      </c>
      <c r="AY2" s="11">
        <f>IF('IS DRIVERS'!$B2="QoQ",'QTR P&amp;L'!AX2,'QTR P&amp;L'!AU2)*(1+'IS DRIVERS'!AZ2)</f>
        <v/>
      </c>
      <c r="AZ2" s="11">
        <f>IF('IS DRIVERS'!$B2="QoQ",'QTR P&amp;L'!AY2,'QTR P&amp;L'!AV2)*(1+'IS DRIVERS'!BA2)</f>
        <v/>
      </c>
      <c r="BA2" s="11">
        <f>IF('IS DRIVERS'!$B2="QoQ",'QTR P&amp;L'!AZ2,'QTR P&amp;L'!AW2)*(1+'IS DRIVERS'!BB2)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4">
        <f>'YTD P&amp;L'!O3-'YTD P&amp;L'!N3</f>
        <v/>
      </c>
      <c r="T3" s="4">
        <f>'YTD P&amp;L'!P3-'YTD P&amp;L'!O3</f>
        <v/>
      </c>
      <c r="U3" s="4">
        <f>'ANNL P&amp;L'!G3-'YTD P&amp;L'!P3</f>
        <v/>
      </c>
      <c r="V3" s="4">
        <f>'YTD P&amp;L'!Q3</f>
        <v/>
      </c>
      <c r="W3" s="4">
        <f>'YTD P&amp;L'!R3-'YTD P&amp;L'!Q3</f>
        <v/>
      </c>
      <c r="X3" s="4">
        <f>'YTD P&amp;L'!S3-'YTD P&amp;L'!R3</f>
        <v/>
      </c>
      <c r="Y3" s="4">
        <f>'ANNL P&amp;L'!H3-'YTD P&amp;L'!S3</f>
        <v/>
      </c>
      <c r="Z3" s="4">
        <f>'YTD P&amp;L'!T3</f>
        <v/>
      </c>
      <c r="AA3" s="4">
        <f>'YTD P&amp;L'!U3-'YTD P&amp;L'!T3</f>
        <v/>
      </c>
      <c r="AB3" s="4">
        <f>'YTD P&amp;L'!V3-'YTD P&amp;L'!U3</f>
        <v/>
      </c>
      <c r="AC3" s="4">
        <f>'ANNL P&amp;L'!I3-'YTD P&amp;L'!V3</f>
        <v/>
      </c>
      <c r="AD3" s="4">
        <f>'YTD P&amp;L'!W3</f>
        <v/>
      </c>
      <c r="AE3" s="4">
        <f>'YTD P&amp;L'!X3-'YTD P&amp;L'!W3</f>
        <v/>
      </c>
      <c r="AF3" s="4">
        <f>'YTD P&amp;L'!Y3-'YTD P&amp;L'!X3</f>
        <v/>
      </c>
      <c r="AG3" s="4">
        <f>'ANNL P&amp;L'!J3-'YTD P&amp;L'!Y3</f>
        <v/>
      </c>
      <c r="AH3" s="11">
        <f>'QTR P&amp;L'!AH2*'IS DRIVERS'!AI3</f>
        <v/>
      </c>
      <c r="AI3" s="11">
        <f>'QTR P&amp;L'!AI2*'IS DRIVERS'!AJ3</f>
        <v/>
      </c>
      <c r="AJ3" s="11">
        <f>'QTR P&amp;L'!AJ2*'IS DRIVERS'!AK3</f>
        <v/>
      </c>
      <c r="AK3" s="11">
        <f>'QTR P&amp;L'!AK2*'IS DRIVERS'!AL3</f>
        <v/>
      </c>
      <c r="AL3" s="11">
        <f>'QTR P&amp;L'!AL2*'IS DRIVERS'!AM3</f>
        <v/>
      </c>
      <c r="AM3" s="11">
        <f>'QTR P&amp;L'!AM2*'IS DRIVERS'!AN3</f>
        <v/>
      </c>
      <c r="AN3" s="11">
        <f>'QTR P&amp;L'!AN2*'IS DRIVERS'!AO3</f>
        <v/>
      </c>
      <c r="AO3" s="11">
        <f>'QTR P&amp;L'!AO2*'IS DRIVERS'!AP3</f>
        <v/>
      </c>
      <c r="AP3" s="11">
        <f>'QTR P&amp;L'!AP2*'IS DRIVERS'!AQ3</f>
        <v/>
      </c>
      <c r="AQ3" s="11">
        <f>'QTR P&amp;L'!AQ2*'IS DRIVERS'!AR3</f>
        <v/>
      </c>
      <c r="AR3" s="11">
        <f>'QTR P&amp;L'!AR2*'IS DRIVERS'!AS3</f>
        <v/>
      </c>
      <c r="AS3" s="11">
        <f>'QTR P&amp;L'!AS2*'IS DRIVERS'!AT3</f>
        <v/>
      </c>
      <c r="AT3" s="11">
        <f>'QTR P&amp;L'!AT2*'IS DRIVERS'!AU3</f>
        <v/>
      </c>
      <c r="AU3" s="11">
        <f>'QTR P&amp;L'!AU2*'IS DRIVERS'!AV3</f>
        <v/>
      </c>
      <c r="AV3" s="11">
        <f>'QTR P&amp;L'!AV2*'IS DRIVERS'!AW3</f>
        <v/>
      </c>
      <c r="AW3" s="11">
        <f>'QTR P&amp;L'!AW2*'IS DRIVERS'!AX3</f>
        <v/>
      </c>
      <c r="AX3" s="11">
        <f>'QTR P&amp;L'!AX2*'IS DRIVERS'!AY3</f>
        <v/>
      </c>
      <c r="AY3" s="11">
        <f>'QTR P&amp;L'!AY2*'IS DRIVERS'!AZ3</f>
        <v/>
      </c>
      <c r="AZ3" s="11">
        <f>'QTR P&amp;L'!AZ2*'IS DRIVERS'!BA3</f>
        <v/>
      </c>
      <c r="BA3" s="11">
        <f>'QTR P&amp;L'!BA2*'IS DRIVERS'!BB3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6">
        <f>'YTD P&amp;L'!O4-'YTD P&amp;L'!N4</f>
        <v/>
      </c>
      <c r="T4" s="6">
        <f>'YTD P&amp;L'!P4-'YTD P&amp;L'!O4</f>
        <v/>
      </c>
      <c r="U4" s="6">
        <f>'ANNL P&amp;L'!G4-'YTD P&amp;L'!P4</f>
        <v/>
      </c>
      <c r="V4" s="6">
        <f>'YTD P&amp;L'!Q4</f>
        <v/>
      </c>
      <c r="W4" s="6">
        <f>'YTD P&amp;L'!R4-'YTD P&amp;L'!Q4</f>
        <v/>
      </c>
      <c r="X4" s="6">
        <f>'YTD P&amp;L'!S4-'YTD P&amp;L'!R4</f>
        <v/>
      </c>
      <c r="Y4" s="6">
        <f>'ANNL P&amp;L'!H4-'YTD P&amp;L'!S4</f>
        <v/>
      </c>
      <c r="Z4" s="6">
        <f>'YTD P&amp;L'!T4</f>
        <v/>
      </c>
      <c r="AA4" s="6">
        <f>'YTD P&amp;L'!U4-'YTD P&amp;L'!T4</f>
        <v/>
      </c>
      <c r="AB4" s="6">
        <f>'YTD P&amp;L'!V4-'YTD P&amp;L'!U4</f>
        <v/>
      </c>
      <c r="AC4" s="6">
        <f>'ANNL P&amp;L'!I4-'YTD P&amp;L'!V4</f>
        <v/>
      </c>
      <c r="AD4" s="6">
        <f>'YTD P&amp;L'!W4</f>
        <v/>
      </c>
      <c r="AE4" s="6">
        <f>'YTD P&amp;L'!X4-'YTD P&amp;L'!W4</f>
        <v/>
      </c>
      <c r="AF4" s="6">
        <f>'YTD P&amp;L'!Y4-'YTD P&amp;L'!X4</f>
        <v/>
      </c>
      <c r="AG4" s="6">
        <f>'ANNL P&amp;L'!J4-'YTD P&amp;L'!Y4</f>
        <v/>
      </c>
      <c r="AH4" s="7">
        <f>AH2+AH3</f>
        <v/>
      </c>
      <c r="AI4" s="7">
        <f>AI2+AI3</f>
        <v/>
      </c>
      <c r="AJ4" s="7">
        <f>AJ2+AJ3</f>
        <v/>
      </c>
      <c r="AK4" s="7">
        <f>AK2+AK3</f>
        <v/>
      </c>
      <c r="AL4" s="7">
        <f>AL2+AL3</f>
        <v/>
      </c>
      <c r="AM4" s="7">
        <f>AM2+AM3</f>
        <v/>
      </c>
      <c r="AN4" s="7">
        <f>AN2+AN3</f>
        <v/>
      </c>
      <c r="AO4" s="7">
        <f>AO2+AO3</f>
        <v/>
      </c>
      <c r="AP4" s="7">
        <f>AP2+AP3</f>
        <v/>
      </c>
      <c r="AQ4" s="7">
        <f>AQ2+AQ3</f>
        <v/>
      </c>
      <c r="AR4" s="7">
        <f>AR2+AR3</f>
        <v/>
      </c>
      <c r="AS4" s="7">
        <f>AS2+AS3</f>
        <v/>
      </c>
      <c r="AT4" s="7">
        <f>AT2+AT3</f>
        <v/>
      </c>
      <c r="AU4" s="7">
        <f>AU2+AU3</f>
        <v/>
      </c>
      <c r="AV4" s="7">
        <f>AV2+AV3</f>
        <v/>
      </c>
      <c r="AW4" s="7">
        <f>AW2+AW3</f>
        <v/>
      </c>
      <c r="AX4" s="7">
        <f>AX2+AX3</f>
        <v/>
      </c>
      <c r="AY4" s="7">
        <f>AY2+AY3</f>
        <v/>
      </c>
      <c r="AZ4" s="7">
        <f>AZ2+AZ3</f>
        <v/>
      </c>
      <c r="BA4" s="7">
        <f>BA2+BA3</f>
        <v/>
      </c>
    </row>
    <row r="5">
      <c r="A5" s="3" t="inlineStr">
        <is>
          <t>Research and Development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4">
        <f>'YTD P&amp;L'!O5-'YTD P&amp;L'!N5</f>
        <v/>
      </c>
      <c r="T5" s="4">
        <f>'YTD P&amp;L'!P5-'YTD P&amp;L'!O5</f>
        <v/>
      </c>
      <c r="U5" s="4">
        <f>'ANNL P&amp;L'!G5-'YTD P&amp;L'!P5</f>
        <v/>
      </c>
      <c r="V5" s="4">
        <f>'YTD P&amp;L'!Q5</f>
        <v/>
      </c>
      <c r="W5" s="4">
        <f>'YTD P&amp;L'!R5-'YTD P&amp;L'!Q5</f>
        <v/>
      </c>
      <c r="X5" s="4">
        <f>'YTD P&amp;L'!S5-'YTD P&amp;L'!R5</f>
        <v/>
      </c>
      <c r="Y5" s="4">
        <f>'ANNL P&amp;L'!H5-'YTD P&amp;L'!S5</f>
        <v/>
      </c>
      <c r="Z5" s="4">
        <f>'YTD P&amp;L'!T5</f>
        <v/>
      </c>
      <c r="AA5" s="4">
        <f>'YTD P&amp;L'!U5-'YTD P&amp;L'!T5</f>
        <v/>
      </c>
      <c r="AB5" s="4">
        <f>'YTD P&amp;L'!V5-'YTD P&amp;L'!U5</f>
        <v/>
      </c>
      <c r="AC5" s="4">
        <f>'ANNL P&amp;L'!I5-'YTD P&amp;L'!V5</f>
        <v/>
      </c>
      <c r="AD5" s="4">
        <f>'YTD P&amp;L'!W5</f>
        <v/>
      </c>
      <c r="AE5" s="4">
        <f>'YTD P&amp;L'!X5-'YTD P&amp;L'!W5</f>
        <v/>
      </c>
      <c r="AF5" s="4">
        <f>'YTD P&amp;L'!Y5-'YTD P&amp;L'!X5</f>
        <v/>
      </c>
      <c r="AG5" s="4">
        <f>'ANNL P&amp;L'!J5-'YTD P&amp;L'!Y5</f>
        <v/>
      </c>
      <c r="AH5" s="11">
        <f>'QTR P&amp;L'!AH2*'IS DRIVERS'!AI4</f>
        <v/>
      </c>
      <c r="AI5" s="11">
        <f>'QTR P&amp;L'!AI2*'IS DRIVERS'!AJ4</f>
        <v/>
      </c>
      <c r="AJ5" s="11">
        <f>'QTR P&amp;L'!AJ2*'IS DRIVERS'!AK4</f>
        <v/>
      </c>
      <c r="AK5" s="11">
        <f>'QTR P&amp;L'!AK2*'IS DRIVERS'!AL4</f>
        <v/>
      </c>
      <c r="AL5" s="11">
        <f>'QTR P&amp;L'!AL2*'IS DRIVERS'!AM4</f>
        <v/>
      </c>
      <c r="AM5" s="11">
        <f>'QTR P&amp;L'!AM2*'IS DRIVERS'!AN4</f>
        <v/>
      </c>
      <c r="AN5" s="11">
        <f>'QTR P&amp;L'!AN2*'IS DRIVERS'!AO4</f>
        <v/>
      </c>
      <c r="AO5" s="11">
        <f>'QTR P&amp;L'!AO2*'IS DRIVERS'!AP4</f>
        <v/>
      </c>
      <c r="AP5" s="11">
        <f>'QTR P&amp;L'!AP2*'IS DRIVERS'!AQ4</f>
        <v/>
      </c>
      <c r="AQ5" s="11">
        <f>'QTR P&amp;L'!AQ2*'IS DRIVERS'!AR4</f>
        <v/>
      </c>
      <c r="AR5" s="11">
        <f>'QTR P&amp;L'!AR2*'IS DRIVERS'!AS4</f>
        <v/>
      </c>
      <c r="AS5" s="11">
        <f>'QTR P&amp;L'!AS2*'IS DRIVERS'!AT4</f>
        <v/>
      </c>
      <c r="AT5" s="11">
        <f>'QTR P&amp;L'!AT2*'IS DRIVERS'!AU4</f>
        <v/>
      </c>
      <c r="AU5" s="11">
        <f>'QTR P&amp;L'!AU2*'IS DRIVERS'!AV4</f>
        <v/>
      </c>
      <c r="AV5" s="11">
        <f>'QTR P&amp;L'!AV2*'IS DRIVERS'!AW4</f>
        <v/>
      </c>
      <c r="AW5" s="11">
        <f>'QTR P&amp;L'!AW2*'IS DRIVERS'!AX4</f>
        <v/>
      </c>
      <c r="AX5" s="11">
        <f>'QTR P&amp;L'!AX2*'IS DRIVERS'!AY4</f>
        <v/>
      </c>
      <c r="AY5" s="11">
        <f>'QTR P&amp;L'!AY2*'IS DRIVERS'!AZ4</f>
        <v/>
      </c>
      <c r="AZ5" s="11">
        <f>'QTR P&amp;L'!AZ2*'IS DRIVERS'!BA4</f>
        <v/>
      </c>
      <c r="BA5" s="11">
        <f>'QTR P&amp;L'!BA2*'IS DRIVERS'!BB4</f>
        <v/>
      </c>
    </row>
    <row r="6">
      <c r="A6" s="3" t="inlineStr">
        <is>
          <t>Sales and Marketing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  <c r="S6" s="4">
        <f>'YTD P&amp;L'!O6-'YTD P&amp;L'!N6</f>
        <v/>
      </c>
      <c r="T6" s="4">
        <f>'YTD P&amp;L'!P6-'YTD P&amp;L'!O6</f>
        <v/>
      </c>
      <c r="U6" s="4">
        <f>'ANNL P&amp;L'!G6-'YTD P&amp;L'!P6</f>
        <v/>
      </c>
      <c r="V6" s="4">
        <f>'YTD P&amp;L'!Q6</f>
        <v/>
      </c>
      <c r="W6" s="4">
        <f>'YTD P&amp;L'!R6-'YTD P&amp;L'!Q6</f>
        <v/>
      </c>
      <c r="X6" s="4">
        <f>'YTD P&amp;L'!S6-'YTD P&amp;L'!R6</f>
        <v/>
      </c>
      <c r="Y6" s="4">
        <f>'ANNL P&amp;L'!H6-'YTD P&amp;L'!S6</f>
        <v/>
      </c>
      <c r="Z6" s="4">
        <f>'YTD P&amp;L'!T6</f>
        <v/>
      </c>
      <c r="AA6" s="4">
        <f>'YTD P&amp;L'!U6-'YTD P&amp;L'!T6</f>
        <v/>
      </c>
      <c r="AB6" s="4">
        <f>'YTD P&amp;L'!V6-'YTD P&amp;L'!U6</f>
        <v/>
      </c>
      <c r="AC6" s="4">
        <f>'ANNL P&amp;L'!I6-'YTD P&amp;L'!V6</f>
        <v/>
      </c>
      <c r="AD6" s="4">
        <f>'YTD P&amp;L'!W6</f>
        <v/>
      </c>
      <c r="AE6" s="4">
        <f>'YTD P&amp;L'!X6-'YTD P&amp;L'!W6</f>
        <v/>
      </c>
      <c r="AF6" s="4">
        <f>'YTD P&amp;L'!Y6-'YTD P&amp;L'!X6</f>
        <v/>
      </c>
      <c r="AG6" s="4">
        <f>'ANNL P&amp;L'!J6-'YTD P&amp;L'!Y6</f>
        <v/>
      </c>
      <c r="AH6" s="11">
        <f>'QTR P&amp;L'!AH2*'IS DRIVERS'!AI5</f>
        <v/>
      </c>
      <c r="AI6" s="11">
        <f>'QTR P&amp;L'!AI2*'IS DRIVERS'!AJ5</f>
        <v/>
      </c>
      <c r="AJ6" s="11">
        <f>'QTR P&amp;L'!AJ2*'IS DRIVERS'!AK5</f>
        <v/>
      </c>
      <c r="AK6" s="11">
        <f>'QTR P&amp;L'!AK2*'IS DRIVERS'!AL5</f>
        <v/>
      </c>
      <c r="AL6" s="11">
        <f>'QTR P&amp;L'!AL2*'IS DRIVERS'!AM5</f>
        <v/>
      </c>
      <c r="AM6" s="11">
        <f>'QTR P&amp;L'!AM2*'IS DRIVERS'!AN5</f>
        <v/>
      </c>
      <c r="AN6" s="11">
        <f>'QTR P&amp;L'!AN2*'IS DRIVERS'!AO5</f>
        <v/>
      </c>
      <c r="AO6" s="11">
        <f>'QTR P&amp;L'!AO2*'IS DRIVERS'!AP5</f>
        <v/>
      </c>
      <c r="AP6" s="11">
        <f>'QTR P&amp;L'!AP2*'IS DRIVERS'!AQ5</f>
        <v/>
      </c>
      <c r="AQ6" s="11">
        <f>'QTR P&amp;L'!AQ2*'IS DRIVERS'!AR5</f>
        <v/>
      </c>
      <c r="AR6" s="11">
        <f>'QTR P&amp;L'!AR2*'IS DRIVERS'!AS5</f>
        <v/>
      </c>
      <c r="AS6" s="11">
        <f>'QTR P&amp;L'!AS2*'IS DRIVERS'!AT5</f>
        <v/>
      </c>
      <c r="AT6" s="11">
        <f>'QTR P&amp;L'!AT2*'IS DRIVERS'!AU5</f>
        <v/>
      </c>
      <c r="AU6" s="11">
        <f>'QTR P&amp;L'!AU2*'IS DRIVERS'!AV5</f>
        <v/>
      </c>
      <c r="AV6" s="11">
        <f>'QTR P&amp;L'!AV2*'IS DRIVERS'!AW5</f>
        <v/>
      </c>
      <c r="AW6" s="11">
        <f>'QTR P&amp;L'!AW2*'IS DRIVERS'!AX5</f>
        <v/>
      </c>
      <c r="AX6" s="11">
        <f>'QTR P&amp;L'!AX2*'IS DRIVERS'!AY5</f>
        <v/>
      </c>
      <c r="AY6" s="11">
        <f>'QTR P&amp;L'!AY2*'IS DRIVERS'!AZ5</f>
        <v/>
      </c>
      <c r="AZ6" s="11">
        <f>'QTR P&amp;L'!AZ2*'IS DRIVERS'!BA5</f>
        <v/>
      </c>
      <c r="BA6" s="11">
        <f>'QTR P&amp;L'!BA2*'IS DRIVERS'!BB5</f>
        <v/>
      </c>
    </row>
    <row r="7">
      <c r="A7" s="3" t="inlineStr">
        <is>
          <t>General and Administrative</t>
        </is>
      </c>
      <c r="B7" s="4">
        <f>'YTD P&amp;L'!B7</f>
        <v/>
      </c>
      <c r="C7" s="4">
        <f>'YTD P&amp;L'!C7-'YTD P&amp;L'!B7</f>
        <v/>
      </c>
      <c r="D7" s="4">
        <f>'YTD P&amp;L'!D7-'YTD P&amp;L'!C7</f>
        <v/>
      </c>
      <c r="E7" s="4">
        <f>'ANNL P&amp;L'!C7-'YTD P&amp;L'!D7</f>
        <v/>
      </c>
      <c r="F7" s="4">
        <f>'YTD P&amp;L'!E7</f>
        <v/>
      </c>
      <c r="G7" s="4">
        <f>'YTD P&amp;L'!F7-'YTD P&amp;L'!E7</f>
        <v/>
      </c>
      <c r="H7" s="4">
        <f>'YTD P&amp;L'!G7-'YTD P&amp;L'!F7</f>
        <v/>
      </c>
      <c r="I7" s="4">
        <f>'ANNL P&amp;L'!D7-'YTD P&amp;L'!G7</f>
        <v/>
      </c>
      <c r="J7" s="4">
        <f>'YTD P&amp;L'!H7</f>
        <v/>
      </c>
      <c r="K7" s="4">
        <f>'YTD P&amp;L'!I7-'YTD P&amp;L'!H7</f>
        <v/>
      </c>
      <c r="L7" s="4">
        <f>'YTD P&amp;L'!J7-'YTD P&amp;L'!I7</f>
        <v/>
      </c>
      <c r="M7" s="4">
        <f>'ANNL P&amp;L'!E7-'YTD P&amp;L'!J7</f>
        <v/>
      </c>
      <c r="N7" s="4">
        <f>'YTD P&amp;L'!K7</f>
        <v/>
      </c>
      <c r="O7" s="4">
        <f>'YTD P&amp;L'!L7-'YTD P&amp;L'!K7</f>
        <v/>
      </c>
      <c r="P7" s="4">
        <f>'YTD P&amp;L'!M7-'YTD P&amp;L'!L7</f>
        <v/>
      </c>
      <c r="Q7" s="4">
        <f>'ANNL P&amp;L'!F7-'YTD P&amp;L'!M7</f>
        <v/>
      </c>
      <c r="R7" s="4">
        <f>'YTD P&amp;L'!N7</f>
        <v/>
      </c>
      <c r="S7" s="4">
        <f>'YTD P&amp;L'!O7-'YTD P&amp;L'!N7</f>
        <v/>
      </c>
      <c r="T7" s="4">
        <f>'YTD P&amp;L'!P7-'YTD P&amp;L'!O7</f>
        <v/>
      </c>
      <c r="U7" s="4">
        <f>'ANNL P&amp;L'!G7-'YTD P&amp;L'!P7</f>
        <v/>
      </c>
      <c r="V7" s="4">
        <f>'YTD P&amp;L'!Q7</f>
        <v/>
      </c>
      <c r="W7" s="4">
        <f>'YTD P&amp;L'!R7-'YTD P&amp;L'!Q7</f>
        <v/>
      </c>
      <c r="X7" s="4">
        <f>'YTD P&amp;L'!S7-'YTD P&amp;L'!R7</f>
        <v/>
      </c>
      <c r="Y7" s="4">
        <f>'ANNL P&amp;L'!H7-'YTD P&amp;L'!S7</f>
        <v/>
      </c>
      <c r="Z7" s="4">
        <f>'YTD P&amp;L'!T7</f>
        <v/>
      </c>
      <c r="AA7" s="4">
        <f>'YTD P&amp;L'!U7-'YTD P&amp;L'!T7</f>
        <v/>
      </c>
      <c r="AB7" s="4">
        <f>'YTD P&amp;L'!V7-'YTD P&amp;L'!U7</f>
        <v/>
      </c>
      <c r="AC7" s="4">
        <f>'ANNL P&amp;L'!I7-'YTD P&amp;L'!V7</f>
        <v/>
      </c>
      <c r="AD7" s="4">
        <f>'YTD P&amp;L'!W7</f>
        <v/>
      </c>
      <c r="AE7" s="4">
        <f>'YTD P&amp;L'!X7-'YTD P&amp;L'!W7</f>
        <v/>
      </c>
      <c r="AF7" s="4">
        <f>'YTD P&amp;L'!Y7-'YTD P&amp;L'!X7</f>
        <v/>
      </c>
      <c r="AG7" s="4">
        <f>'ANNL P&amp;L'!J7-'YTD P&amp;L'!Y7</f>
        <v/>
      </c>
      <c r="AH7" s="11">
        <f>'QTR P&amp;L'!AH2*'IS DRIVERS'!AI6</f>
        <v/>
      </c>
      <c r="AI7" s="11">
        <f>'QTR P&amp;L'!AI2*'IS DRIVERS'!AJ6</f>
        <v/>
      </c>
      <c r="AJ7" s="11">
        <f>'QTR P&amp;L'!AJ2*'IS DRIVERS'!AK6</f>
        <v/>
      </c>
      <c r="AK7" s="11">
        <f>'QTR P&amp;L'!AK2*'IS DRIVERS'!AL6</f>
        <v/>
      </c>
      <c r="AL7" s="11">
        <f>'QTR P&amp;L'!AL2*'IS DRIVERS'!AM6</f>
        <v/>
      </c>
      <c r="AM7" s="11">
        <f>'QTR P&amp;L'!AM2*'IS DRIVERS'!AN6</f>
        <v/>
      </c>
      <c r="AN7" s="11">
        <f>'QTR P&amp;L'!AN2*'IS DRIVERS'!AO6</f>
        <v/>
      </c>
      <c r="AO7" s="11">
        <f>'QTR P&amp;L'!AO2*'IS DRIVERS'!AP6</f>
        <v/>
      </c>
      <c r="AP7" s="11">
        <f>'QTR P&amp;L'!AP2*'IS DRIVERS'!AQ6</f>
        <v/>
      </c>
      <c r="AQ7" s="11">
        <f>'QTR P&amp;L'!AQ2*'IS DRIVERS'!AR6</f>
        <v/>
      </c>
      <c r="AR7" s="11">
        <f>'QTR P&amp;L'!AR2*'IS DRIVERS'!AS6</f>
        <v/>
      </c>
      <c r="AS7" s="11">
        <f>'QTR P&amp;L'!AS2*'IS DRIVERS'!AT6</f>
        <v/>
      </c>
      <c r="AT7" s="11">
        <f>'QTR P&amp;L'!AT2*'IS DRIVERS'!AU6</f>
        <v/>
      </c>
      <c r="AU7" s="11">
        <f>'QTR P&amp;L'!AU2*'IS DRIVERS'!AV6</f>
        <v/>
      </c>
      <c r="AV7" s="11">
        <f>'QTR P&amp;L'!AV2*'IS DRIVERS'!AW6</f>
        <v/>
      </c>
      <c r="AW7" s="11">
        <f>'QTR P&amp;L'!AW2*'IS DRIVERS'!AX6</f>
        <v/>
      </c>
      <c r="AX7" s="11">
        <f>'QTR P&amp;L'!AX2*'IS DRIVERS'!AY6</f>
        <v/>
      </c>
      <c r="AY7" s="11">
        <f>'QTR P&amp;L'!AY2*'IS DRIVERS'!AZ6</f>
        <v/>
      </c>
      <c r="AZ7" s="11">
        <f>'QTR P&amp;L'!AZ2*'IS DRIVERS'!BA6</f>
        <v/>
      </c>
      <c r="BA7" s="11">
        <f>'QTR P&amp;L'!BA2*'IS DRIVERS'!BB6</f>
        <v/>
      </c>
    </row>
    <row r="8">
      <c r="A8" s="3" t="inlineStr">
        <is>
          <t>Litigation and Regulatory Charges</t>
        </is>
      </c>
      <c r="B8" s="4">
        <f>'YTD P&amp;L'!B8</f>
        <v/>
      </c>
      <c r="C8" s="4">
        <f>'YTD P&amp;L'!C8-'YTD P&amp;L'!B8</f>
        <v/>
      </c>
      <c r="D8" s="4">
        <f>'YTD P&amp;L'!D8-'YTD P&amp;L'!C8</f>
        <v/>
      </c>
      <c r="E8" s="4">
        <f>'ANNL P&amp;L'!C8-'YTD P&amp;L'!D8</f>
        <v/>
      </c>
      <c r="F8" s="4">
        <f>'YTD P&amp;L'!E8</f>
        <v/>
      </c>
      <c r="G8" s="4">
        <f>'YTD P&amp;L'!F8-'YTD P&amp;L'!E8</f>
        <v/>
      </c>
      <c r="H8" s="4">
        <f>'YTD P&amp;L'!G8-'YTD P&amp;L'!F8</f>
        <v/>
      </c>
      <c r="I8" s="4">
        <f>'ANNL P&amp;L'!D8-'YTD P&amp;L'!G8</f>
        <v/>
      </c>
      <c r="J8" s="4">
        <f>'YTD P&amp;L'!H8</f>
        <v/>
      </c>
      <c r="K8" s="4">
        <f>'YTD P&amp;L'!I8-'YTD P&amp;L'!H8</f>
        <v/>
      </c>
      <c r="L8" s="4">
        <f>'YTD P&amp;L'!J8-'YTD P&amp;L'!I8</f>
        <v/>
      </c>
      <c r="M8" s="4">
        <f>'ANNL P&amp;L'!E8-'YTD P&amp;L'!J8</f>
        <v/>
      </c>
      <c r="N8" s="4">
        <f>'YTD P&amp;L'!K8</f>
        <v/>
      </c>
      <c r="O8" s="4">
        <f>'YTD P&amp;L'!L8-'YTD P&amp;L'!K8</f>
        <v/>
      </c>
      <c r="P8" s="4">
        <f>'YTD P&amp;L'!M8-'YTD P&amp;L'!L8</f>
        <v/>
      </c>
      <c r="Q8" s="4">
        <f>'ANNL P&amp;L'!F8-'YTD P&amp;L'!M8</f>
        <v/>
      </c>
      <c r="R8" s="4">
        <f>'YTD P&amp;L'!N8</f>
        <v/>
      </c>
      <c r="S8" s="4">
        <f>'YTD P&amp;L'!O8-'YTD P&amp;L'!N8</f>
        <v/>
      </c>
      <c r="T8" s="4">
        <f>'YTD P&amp;L'!P8-'YTD P&amp;L'!O8</f>
        <v/>
      </c>
      <c r="U8" s="4">
        <f>'ANNL P&amp;L'!G8-'YTD P&amp;L'!P8</f>
        <v/>
      </c>
      <c r="V8" s="4">
        <f>'YTD P&amp;L'!Q8</f>
        <v/>
      </c>
      <c r="W8" s="4">
        <f>'YTD P&amp;L'!R8-'YTD P&amp;L'!Q8</f>
        <v/>
      </c>
      <c r="X8" s="4">
        <f>'YTD P&amp;L'!S8-'YTD P&amp;L'!R8</f>
        <v/>
      </c>
      <c r="Y8" s="4">
        <f>'ANNL P&amp;L'!H8-'YTD P&amp;L'!S8</f>
        <v/>
      </c>
      <c r="Z8" s="4">
        <f>'YTD P&amp;L'!T8</f>
        <v/>
      </c>
      <c r="AA8" s="4">
        <f>'YTD P&amp;L'!U8-'YTD P&amp;L'!T8</f>
        <v/>
      </c>
      <c r="AB8" s="4">
        <f>'YTD P&amp;L'!V8-'YTD P&amp;L'!U8</f>
        <v/>
      </c>
      <c r="AC8" s="4">
        <f>'ANNL P&amp;L'!I8-'YTD P&amp;L'!V8</f>
        <v/>
      </c>
      <c r="AD8" s="4">
        <f>'YTD P&amp;L'!W8</f>
        <v/>
      </c>
      <c r="AE8" s="4">
        <f>'YTD P&amp;L'!X8-'YTD P&amp;L'!W8</f>
        <v/>
      </c>
      <c r="AF8" s="4">
        <f>'YTD P&amp;L'!Y8-'YTD P&amp;L'!X8</f>
        <v/>
      </c>
      <c r="AG8" s="4">
        <f>'ANNL P&amp;L'!J8-'YTD P&amp;L'!Y8</f>
        <v/>
      </c>
      <c r="AH8" s="11">
        <f>'QTR P&amp;L'!AH2*'IS DRIVERS'!AI7</f>
        <v/>
      </c>
      <c r="AI8" s="11">
        <f>'QTR P&amp;L'!AI2*'IS DRIVERS'!AJ7</f>
        <v/>
      </c>
      <c r="AJ8" s="11">
        <f>'QTR P&amp;L'!AJ2*'IS DRIVERS'!AK7</f>
        <v/>
      </c>
      <c r="AK8" s="11">
        <f>'QTR P&amp;L'!AK2*'IS DRIVERS'!AL7</f>
        <v/>
      </c>
      <c r="AL8" s="11">
        <f>'QTR P&amp;L'!AL2*'IS DRIVERS'!AM7</f>
        <v/>
      </c>
      <c r="AM8" s="11">
        <f>'QTR P&amp;L'!AM2*'IS DRIVERS'!AN7</f>
        <v/>
      </c>
      <c r="AN8" s="11">
        <f>'QTR P&amp;L'!AN2*'IS DRIVERS'!AO7</f>
        <v/>
      </c>
      <c r="AO8" s="11">
        <f>'QTR P&amp;L'!AO2*'IS DRIVERS'!AP7</f>
        <v/>
      </c>
      <c r="AP8" s="11">
        <f>'QTR P&amp;L'!AP2*'IS DRIVERS'!AQ7</f>
        <v/>
      </c>
      <c r="AQ8" s="11">
        <f>'QTR P&amp;L'!AQ2*'IS DRIVERS'!AR7</f>
        <v/>
      </c>
      <c r="AR8" s="11">
        <f>'QTR P&amp;L'!AR2*'IS DRIVERS'!AS7</f>
        <v/>
      </c>
      <c r="AS8" s="11">
        <f>'QTR P&amp;L'!AS2*'IS DRIVERS'!AT7</f>
        <v/>
      </c>
      <c r="AT8" s="11">
        <f>'QTR P&amp;L'!AT2*'IS DRIVERS'!AU7</f>
        <v/>
      </c>
      <c r="AU8" s="11">
        <f>'QTR P&amp;L'!AU2*'IS DRIVERS'!AV7</f>
        <v/>
      </c>
      <c r="AV8" s="11">
        <f>'QTR P&amp;L'!AV2*'IS DRIVERS'!AW7</f>
        <v/>
      </c>
      <c r="AW8" s="11">
        <f>'QTR P&amp;L'!AW2*'IS DRIVERS'!AX7</f>
        <v/>
      </c>
      <c r="AX8" s="11">
        <f>'QTR P&amp;L'!AX2*'IS DRIVERS'!AY7</f>
        <v/>
      </c>
      <c r="AY8" s="11">
        <f>'QTR P&amp;L'!AY2*'IS DRIVERS'!AZ7</f>
        <v/>
      </c>
      <c r="AZ8" s="11">
        <f>'QTR P&amp;L'!AZ2*'IS DRIVERS'!BA7</f>
        <v/>
      </c>
      <c r="BA8" s="11">
        <f>'QTR P&amp;L'!BA2*'IS DRIVERS'!BB7</f>
        <v/>
      </c>
    </row>
    <row r="9">
      <c r="A9" s="3" t="inlineStr">
        <is>
          <t>Income (Loss) from Operations</t>
        </is>
      </c>
      <c r="B9" s="6">
        <f>'YTD P&amp;L'!B9</f>
        <v/>
      </c>
      <c r="C9" s="6">
        <f>'YTD P&amp;L'!C9-'YTD P&amp;L'!B9</f>
        <v/>
      </c>
      <c r="D9" s="6">
        <f>'YTD P&amp;L'!D9-'YTD P&amp;L'!C9</f>
        <v/>
      </c>
      <c r="E9" s="6">
        <f>'ANNL P&amp;L'!C9-'YTD P&amp;L'!D9</f>
        <v/>
      </c>
      <c r="F9" s="6">
        <f>'YTD P&amp;L'!E9</f>
        <v/>
      </c>
      <c r="G9" s="6">
        <f>'YTD P&amp;L'!F9-'YTD P&amp;L'!E9</f>
        <v/>
      </c>
      <c r="H9" s="6">
        <f>'YTD P&amp;L'!G9-'YTD P&amp;L'!F9</f>
        <v/>
      </c>
      <c r="I9" s="6">
        <f>'ANNL P&amp;L'!D9-'YTD P&amp;L'!G9</f>
        <v/>
      </c>
      <c r="J9" s="6">
        <f>'YTD P&amp;L'!H9</f>
        <v/>
      </c>
      <c r="K9" s="6">
        <f>'YTD P&amp;L'!I9-'YTD P&amp;L'!H9</f>
        <v/>
      </c>
      <c r="L9" s="6">
        <f>'YTD P&amp;L'!J9-'YTD P&amp;L'!I9</f>
        <v/>
      </c>
      <c r="M9" s="6">
        <f>'ANNL P&amp;L'!E9-'YTD P&amp;L'!J9</f>
        <v/>
      </c>
      <c r="N9" s="6">
        <f>'YTD P&amp;L'!K9</f>
        <v/>
      </c>
      <c r="O9" s="6">
        <f>'YTD P&amp;L'!L9-'YTD P&amp;L'!K9</f>
        <v/>
      </c>
      <c r="P9" s="6">
        <f>'YTD P&amp;L'!M9-'YTD P&amp;L'!L9</f>
        <v/>
      </c>
      <c r="Q9" s="6">
        <f>'ANNL P&amp;L'!F9-'YTD P&amp;L'!M9</f>
        <v/>
      </c>
      <c r="R9" s="6">
        <f>'YTD P&amp;L'!N9</f>
        <v/>
      </c>
      <c r="S9" s="6">
        <f>'YTD P&amp;L'!O9-'YTD P&amp;L'!N9</f>
        <v/>
      </c>
      <c r="T9" s="6">
        <f>'YTD P&amp;L'!P9-'YTD P&amp;L'!O9</f>
        <v/>
      </c>
      <c r="U9" s="6">
        <f>'ANNL P&amp;L'!G9-'YTD P&amp;L'!P9</f>
        <v/>
      </c>
      <c r="V9" s="6">
        <f>'YTD P&amp;L'!Q9</f>
        <v/>
      </c>
      <c r="W9" s="6">
        <f>'YTD P&amp;L'!R9-'YTD P&amp;L'!Q9</f>
        <v/>
      </c>
      <c r="X9" s="6">
        <f>'YTD P&amp;L'!S9-'YTD P&amp;L'!R9</f>
        <v/>
      </c>
      <c r="Y9" s="6">
        <f>'ANNL P&amp;L'!H9-'YTD P&amp;L'!S9</f>
        <v/>
      </c>
      <c r="Z9" s="6">
        <f>'YTD P&amp;L'!T9</f>
        <v/>
      </c>
      <c r="AA9" s="6">
        <f>'YTD P&amp;L'!U9-'YTD P&amp;L'!T9</f>
        <v/>
      </c>
      <c r="AB9" s="6">
        <f>'YTD P&amp;L'!V9-'YTD P&amp;L'!U9</f>
        <v/>
      </c>
      <c r="AC9" s="6">
        <f>'ANNL P&amp;L'!I9-'YTD P&amp;L'!V9</f>
        <v/>
      </c>
      <c r="AD9" s="6">
        <f>'YTD P&amp;L'!W9</f>
        <v/>
      </c>
      <c r="AE9" s="6">
        <f>'YTD P&amp;L'!X9-'YTD P&amp;L'!W9</f>
        <v/>
      </c>
      <c r="AF9" s="6">
        <f>'YTD P&amp;L'!Y9-'YTD P&amp;L'!X9</f>
        <v/>
      </c>
      <c r="AG9" s="6">
        <f>'ANNL P&amp;L'!J9-'YTD P&amp;L'!Y9</f>
        <v/>
      </c>
      <c r="AH9" s="7">
        <f>AH4+SUM(AH5:AH8)</f>
        <v/>
      </c>
      <c r="AI9" s="7">
        <f>AI4+SUM(AI5:AI8)</f>
        <v/>
      </c>
      <c r="AJ9" s="7">
        <f>AJ4+SUM(AJ5:AJ8)</f>
        <v/>
      </c>
      <c r="AK9" s="7">
        <f>AK4+SUM(AK5:AK8)</f>
        <v/>
      </c>
      <c r="AL9" s="7">
        <f>AL4+SUM(AL5:AL8)</f>
        <v/>
      </c>
      <c r="AM9" s="7">
        <f>AM4+SUM(AM5:AM8)</f>
        <v/>
      </c>
      <c r="AN9" s="7">
        <f>AN4+SUM(AN5:AN8)</f>
        <v/>
      </c>
      <c r="AO9" s="7">
        <f>AO4+SUM(AO5:AO8)</f>
        <v/>
      </c>
      <c r="AP9" s="7">
        <f>AP4+SUM(AP5:AP8)</f>
        <v/>
      </c>
      <c r="AQ9" s="7">
        <f>AQ4+SUM(AQ5:AQ8)</f>
        <v/>
      </c>
      <c r="AR9" s="7">
        <f>AR4+SUM(AR5:AR8)</f>
        <v/>
      </c>
      <c r="AS9" s="7">
        <f>AS4+SUM(AS5:AS8)</f>
        <v/>
      </c>
      <c r="AT9" s="7">
        <f>AT4+SUM(AT5:AT8)</f>
        <v/>
      </c>
      <c r="AU9" s="7">
        <f>AU4+SUM(AU5:AU8)</f>
        <v/>
      </c>
      <c r="AV9" s="7">
        <f>AV4+SUM(AV5:AV8)</f>
        <v/>
      </c>
      <c r="AW9" s="7">
        <f>AW4+SUM(AW5:AW8)</f>
        <v/>
      </c>
      <c r="AX9" s="7">
        <f>AX4+SUM(AX5:AX8)</f>
        <v/>
      </c>
      <c r="AY9" s="7">
        <f>AY4+SUM(AY5:AY8)</f>
        <v/>
      </c>
      <c r="AZ9" s="7">
        <f>AZ4+SUM(AZ5:AZ8)</f>
        <v/>
      </c>
      <c r="BA9" s="7">
        <f>BA4+SUM(BA5:BA8)</f>
        <v/>
      </c>
    </row>
    <row r="10">
      <c r="A10" s="3" t="inlineStr">
        <is>
          <t>Other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  <c r="R10" s="4">
        <f>'YTD P&amp;L'!N10</f>
        <v/>
      </c>
      <c r="S10" s="4">
        <f>'YTD P&amp;L'!O10-'YTD P&amp;L'!N10</f>
        <v/>
      </c>
      <c r="T10" s="4">
        <f>'YTD P&amp;L'!P10-'YTD P&amp;L'!O10</f>
        <v/>
      </c>
      <c r="U10" s="4">
        <f>'ANNL P&amp;L'!G10-'YTD P&amp;L'!P10</f>
        <v/>
      </c>
      <c r="V10" s="4">
        <f>'YTD P&amp;L'!Q10</f>
        <v/>
      </c>
      <c r="W10" s="4">
        <f>'YTD P&amp;L'!R10-'YTD P&amp;L'!Q10</f>
        <v/>
      </c>
      <c r="X10" s="4">
        <f>'YTD P&amp;L'!S10-'YTD P&amp;L'!R10</f>
        <v/>
      </c>
      <c r="Y10" s="4">
        <f>'ANNL P&amp;L'!H10-'YTD P&amp;L'!S10</f>
        <v/>
      </c>
      <c r="Z10" s="4">
        <f>'YTD P&amp;L'!T10</f>
        <v/>
      </c>
      <c r="AA10" s="4">
        <f>'YTD P&amp;L'!U10-'YTD P&amp;L'!T10</f>
        <v/>
      </c>
      <c r="AB10" s="4">
        <f>'YTD P&amp;L'!V10-'YTD P&amp;L'!U10</f>
        <v/>
      </c>
      <c r="AC10" s="4">
        <f>'ANNL P&amp;L'!I10-'YTD P&amp;L'!V10</f>
        <v/>
      </c>
      <c r="AD10" s="4">
        <f>'YTD P&amp;L'!W10</f>
        <v/>
      </c>
      <c r="AE10" s="4">
        <f>'YTD P&amp;L'!X10-'YTD P&amp;L'!W10</f>
        <v/>
      </c>
      <c r="AF10" s="4">
        <f>'YTD P&amp;L'!Y10-'YTD P&amp;L'!X10</f>
        <v/>
      </c>
      <c r="AG10" s="4">
        <f>'ANNL P&amp;L'!J10-'YTD P&amp;L'!Y10</f>
        <v/>
      </c>
      <c r="AH10" s="11">
        <f>'IS DRIVERS'!AI8</f>
        <v/>
      </c>
      <c r="AI10" s="11">
        <f>'IS DRIVERS'!AJ8</f>
        <v/>
      </c>
      <c r="AJ10" s="11">
        <f>'IS DRIVERS'!AK8</f>
        <v/>
      </c>
      <c r="AK10" s="11">
        <f>'IS DRIVERS'!AL8</f>
        <v/>
      </c>
      <c r="AL10" s="11">
        <f>'IS DRIVERS'!AM8</f>
        <v/>
      </c>
      <c r="AM10" s="11">
        <f>'IS DRIVERS'!AN8</f>
        <v/>
      </c>
      <c r="AN10" s="11">
        <f>'IS DRIVERS'!AO8</f>
        <v/>
      </c>
      <c r="AO10" s="11">
        <f>'IS DRIVERS'!AP8</f>
        <v/>
      </c>
      <c r="AP10" s="11">
        <f>'IS DRIVERS'!AQ8</f>
        <v/>
      </c>
      <c r="AQ10" s="11">
        <f>'IS DRIVERS'!AR8</f>
        <v/>
      </c>
      <c r="AR10" s="11">
        <f>'IS DRIVERS'!AS8</f>
        <v/>
      </c>
      <c r="AS10" s="11">
        <f>'IS DRIVERS'!AT8</f>
        <v/>
      </c>
      <c r="AT10" s="11">
        <f>'IS DRIVERS'!AU8</f>
        <v/>
      </c>
      <c r="AU10" s="11">
        <f>'IS DRIVERS'!AV8</f>
        <v/>
      </c>
      <c r="AV10" s="11">
        <f>'IS DRIVERS'!AW8</f>
        <v/>
      </c>
      <c r="AW10" s="11">
        <f>'IS DRIVERS'!AX8</f>
        <v/>
      </c>
      <c r="AX10" s="11">
        <f>'IS DRIVERS'!AY8</f>
        <v/>
      </c>
      <c r="AY10" s="11">
        <f>'IS DRIVERS'!AZ8</f>
        <v/>
      </c>
      <c r="AZ10" s="11">
        <f>'IS DRIVERS'!BA8</f>
        <v/>
      </c>
      <c r="BA10" s="11">
        <f>'IS DRIVERS'!BB8</f>
        <v/>
      </c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  <c r="R11" s="6">
        <f>'YTD P&amp;L'!N11</f>
        <v/>
      </c>
      <c r="S11" s="6">
        <f>'YTD P&amp;L'!O11-'YTD P&amp;L'!N11</f>
        <v/>
      </c>
      <c r="T11" s="6">
        <f>'YTD P&amp;L'!P11-'YTD P&amp;L'!O11</f>
        <v/>
      </c>
      <c r="U11" s="6">
        <f>'ANNL P&amp;L'!G11-'YTD P&amp;L'!P11</f>
        <v/>
      </c>
      <c r="V11" s="6">
        <f>'YTD P&amp;L'!Q11</f>
        <v/>
      </c>
      <c r="W11" s="6">
        <f>'YTD P&amp;L'!R11-'YTD P&amp;L'!Q11</f>
        <v/>
      </c>
      <c r="X11" s="6">
        <f>'YTD P&amp;L'!S11-'YTD P&amp;L'!R11</f>
        <v/>
      </c>
      <c r="Y11" s="6">
        <f>'ANNL P&amp;L'!H11-'YTD P&amp;L'!S11</f>
        <v/>
      </c>
      <c r="Z11" s="6">
        <f>'YTD P&amp;L'!T11</f>
        <v/>
      </c>
      <c r="AA11" s="6">
        <f>'YTD P&amp;L'!U11-'YTD P&amp;L'!T11</f>
        <v/>
      </c>
      <c r="AB11" s="6">
        <f>'YTD P&amp;L'!V11-'YTD P&amp;L'!U11</f>
        <v/>
      </c>
      <c r="AC11" s="6">
        <f>'ANNL P&amp;L'!I11-'YTD P&amp;L'!V11</f>
        <v/>
      </c>
      <c r="AD11" s="6">
        <f>'YTD P&amp;L'!W11</f>
        <v/>
      </c>
      <c r="AE11" s="6">
        <f>'YTD P&amp;L'!X11-'YTD P&amp;L'!W11</f>
        <v/>
      </c>
      <c r="AF11" s="6">
        <f>'YTD P&amp;L'!Y11-'YTD P&amp;L'!X11</f>
        <v/>
      </c>
      <c r="AG11" s="6">
        <f>'ANNL P&amp;L'!J11-'YTD P&amp;L'!Y11</f>
        <v/>
      </c>
      <c r="AH11" s="7">
        <f>AH9+AH10</f>
        <v/>
      </c>
      <c r="AI11" s="7">
        <f>AI9+AI10</f>
        <v/>
      </c>
      <c r="AJ11" s="7">
        <f>AJ9+AJ10</f>
        <v/>
      </c>
      <c r="AK11" s="7">
        <f>AK9+AK10</f>
        <v/>
      </c>
      <c r="AL11" s="7">
        <f>AL9+AL10</f>
        <v/>
      </c>
      <c r="AM11" s="7">
        <f>AM9+AM10</f>
        <v/>
      </c>
      <c r="AN11" s="7">
        <f>AN9+AN10</f>
        <v/>
      </c>
      <c r="AO11" s="7">
        <f>AO9+AO10</f>
        <v/>
      </c>
      <c r="AP11" s="7">
        <f>AP9+AP10</f>
        <v/>
      </c>
      <c r="AQ11" s="7">
        <f>AQ9+AQ10</f>
        <v/>
      </c>
      <c r="AR11" s="7">
        <f>AR9+AR10</f>
        <v/>
      </c>
      <c r="AS11" s="7">
        <f>AS9+AS10</f>
        <v/>
      </c>
      <c r="AT11" s="7">
        <f>AT9+AT10</f>
        <v/>
      </c>
      <c r="AU11" s="7">
        <f>AU9+AU10</f>
        <v/>
      </c>
      <c r="AV11" s="7">
        <f>AV9+AV10</f>
        <v/>
      </c>
      <c r="AW11" s="7">
        <f>AW9+AW10</f>
        <v/>
      </c>
      <c r="AX11" s="7">
        <f>AX9+AX10</f>
        <v/>
      </c>
      <c r="AY11" s="7">
        <f>AY9+AY10</f>
        <v/>
      </c>
      <c r="AZ11" s="7">
        <f>AZ9+AZ10</f>
        <v/>
      </c>
      <c r="BA11" s="7">
        <f>BA9+BA10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  <c r="R12" s="4">
        <f>'YTD P&amp;L'!N12</f>
        <v/>
      </c>
      <c r="S12" s="4">
        <f>'YTD P&amp;L'!O12-'YTD P&amp;L'!N12</f>
        <v/>
      </c>
      <c r="T12" s="4">
        <f>'YTD P&amp;L'!P12-'YTD P&amp;L'!O12</f>
        <v/>
      </c>
      <c r="U12" s="4">
        <f>'ANNL P&amp;L'!G12-'YTD P&amp;L'!P12</f>
        <v/>
      </c>
      <c r="V12" s="4">
        <f>'YTD P&amp;L'!Q12</f>
        <v/>
      </c>
      <c r="W12" s="4">
        <f>'YTD P&amp;L'!R12-'YTD P&amp;L'!Q12</f>
        <v/>
      </c>
      <c r="X12" s="4">
        <f>'YTD P&amp;L'!S12-'YTD P&amp;L'!R12</f>
        <v/>
      </c>
      <c r="Y12" s="4">
        <f>'ANNL P&amp;L'!H12-'YTD P&amp;L'!S12</f>
        <v/>
      </c>
      <c r="Z12" s="4">
        <f>'YTD P&amp;L'!T12</f>
        <v/>
      </c>
      <c r="AA12" s="4">
        <f>'YTD P&amp;L'!U12-'YTD P&amp;L'!T12</f>
        <v/>
      </c>
      <c r="AB12" s="4">
        <f>'YTD P&amp;L'!V12-'YTD P&amp;L'!U12</f>
        <v/>
      </c>
      <c r="AC12" s="4">
        <f>'ANNL P&amp;L'!I12-'YTD P&amp;L'!V12</f>
        <v/>
      </c>
      <c r="AD12" s="4">
        <f>'YTD P&amp;L'!W12</f>
        <v/>
      </c>
      <c r="AE12" s="4">
        <f>'YTD P&amp;L'!X12-'YTD P&amp;L'!W12</f>
        <v/>
      </c>
      <c r="AF12" s="4">
        <f>'YTD P&amp;L'!Y12-'YTD P&amp;L'!X12</f>
        <v/>
      </c>
      <c r="AG12" s="4">
        <f>'ANNL P&amp;L'!J12-'YTD P&amp;L'!Y12</f>
        <v/>
      </c>
      <c r="AH12" s="11">
        <f>'QTR P&amp;L'!AH11*'IS DRIVERS'!AI9</f>
        <v/>
      </c>
      <c r="AI12" s="11">
        <f>'QTR P&amp;L'!AI11*'IS DRIVERS'!AJ9</f>
        <v/>
      </c>
      <c r="AJ12" s="11">
        <f>'QTR P&amp;L'!AJ11*'IS DRIVERS'!AK9</f>
        <v/>
      </c>
      <c r="AK12" s="11">
        <f>'QTR P&amp;L'!AK11*'IS DRIVERS'!AL9</f>
        <v/>
      </c>
      <c r="AL12" s="11">
        <f>'QTR P&amp;L'!AL11*'IS DRIVERS'!AM9</f>
        <v/>
      </c>
      <c r="AM12" s="11">
        <f>'QTR P&amp;L'!AM11*'IS DRIVERS'!AN9</f>
        <v/>
      </c>
      <c r="AN12" s="11">
        <f>'QTR P&amp;L'!AN11*'IS DRIVERS'!AO9</f>
        <v/>
      </c>
      <c r="AO12" s="11">
        <f>'QTR P&amp;L'!AO11*'IS DRIVERS'!AP9</f>
        <v/>
      </c>
      <c r="AP12" s="11">
        <f>'QTR P&amp;L'!AP11*'IS DRIVERS'!AQ9</f>
        <v/>
      </c>
      <c r="AQ12" s="11">
        <f>'QTR P&amp;L'!AQ11*'IS DRIVERS'!AR9</f>
        <v/>
      </c>
      <c r="AR12" s="11">
        <f>'QTR P&amp;L'!AR11*'IS DRIVERS'!AS9</f>
        <v/>
      </c>
      <c r="AS12" s="11">
        <f>'QTR P&amp;L'!AS11*'IS DRIVERS'!AT9</f>
        <v/>
      </c>
      <c r="AT12" s="11">
        <f>'QTR P&amp;L'!AT11*'IS DRIVERS'!AU9</f>
        <v/>
      </c>
      <c r="AU12" s="11">
        <f>'QTR P&amp;L'!AU11*'IS DRIVERS'!AV9</f>
        <v/>
      </c>
      <c r="AV12" s="11">
        <f>'QTR P&amp;L'!AV11*'IS DRIVERS'!AW9</f>
        <v/>
      </c>
      <c r="AW12" s="11">
        <f>'QTR P&amp;L'!AW11*'IS DRIVERS'!AX9</f>
        <v/>
      </c>
      <c r="AX12" s="11">
        <f>'QTR P&amp;L'!AX11*'IS DRIVERS'!AY9</f>
        <v/>
      </c>
      <c r="AY12" s="11">
        <f>'QTR P&amp;L'!AY11*'IS DRIVERS'!AZ9</f>
        <v/>
      </c>
      <c r="AZ12" s="11">
        <f>'QTR P&amp;L'!AZ11*'IS DRIVERS'!BA9</f>
        <v/>
      </c>
      <c r="BA12" s="11">
        <f>'QTR P&amp;L'!BA11*'IS DRIVERS'!BB9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  <c r="R13" s="6">
        <f>'YTD P&amp;L'!N13</f>
        <v/>
      </c>
      <c r="S13" s="6">
        <f>'YTD P&amp;L'!O13-'YTD P&amp;L'!N13</f>
        <v/>
      </c>
      <c r="T13" s="6">
        <f>'YTD P&amp;L'!P13-'YTD P&amp;L'!O13</f>
        <v/>
      </c>
      <c r="U13" s="6">
        <f>'ANNL P&amp;L'!G13-'YTD P&amp;L'!P13</f>
        <v/>
      </c>
      <c r="V13" s="6">
        <f>'YTD P&amp;L'!Q13</f>
        <v/>
      </c>
      <c r="W13" s="6">
        <f>'YTD P&amp;L'!R13-'YTD P&amp;L'!Q13</f>
        <v/>
      </c>
      <c r="X13" s="6">
        <f>'YTD P&amp;L'!S13-'YTD P&amp;L'!R13</f>
        <v/>
      </c>
      <c r="Y13" s="6">
        <f>'ANNL P&amp;L'!H13-'YTD P&amp;L'!S13</f>
        <v/>
      </c>
      <c r="Z13" s="6">
        <f>'YTD P&amp;L'!T13</f>
        <v/>
      </c>
      <c r="AA13" s="6">
        <f>'YTD P&amp;L'!U13-'YTD P&amp;L'!T13</f>
        <v/>
      </c>
      <c r="AB13" s="6">
        <f>'YTD P&amp;L'!V13-'YTD P&amp;L'!U13</f>
        <v/>
      </c>
      <c r="AC13" s="6">
        <f>'ANNL P&amp;L'!I13-'YTD P&amp;L'!V13</f>
        <v/>
      </c>
      <c r="AD13" s="6">
        <f>'YTD P&amp;L'!W13</f>
        <v/>
      </c>
      <c r="AE13" s="6">
        <f>'YTD P&amp;L'!X13-'YTD P&amp;L'!W13</f>
        <v/>
      </c>
      <c r="AF13" s="6">
        <f>'YTD P&amp;L'!Y13-'YTD P&amp;L'!X13</f>
        <v/>
      </c>
      <c r="AG13" s="6">
        <f>'ANNL P&amp;L'!J13-'YTD P&amp;L'!Y13</f>
        <v/>
      </c>
      <c r="AH13" s="7">
        <f>AH11+AH12</f>
        <v/>
      </c>
      <c r="AI13" s="7">
        <f>AI11+AI12</f>
        <v/>
      </c>
      <c r="AJ13" s="7">
        <f>AJ11+AJ12</f>
        <v/>
      </c>
      <c r="AK13" s="7">
        <f>AK11+AK12</f>
        <v/>
      </c>
      <c r="AL13" s="7">
        <f>AL11+AL12</f>
        <v/>
      </c>
      <c r="AM13" s="7">
        <f>AM11+AM12</f>
        <v/>
      </c>
      <c r="AN13" s="7">
        <f>AN11+AN12</f>
        <v/>
      </c>
      <c r="AO13" s="7">
        <f>AO11+AO12</f>
        <v/>
      </c>
      <c r="AP13" s="7">
        <f>AP11+AP12</f>
        <v/>
      </c>
      <c r="AQ13" s="7">
        <f>AQ11+AQ12</f>
        <v/>
      </c>
      <c r="AR13" s="7">
        <f>AR11+AR12</f>
        <v/>
      </c>
      <c r="AS13" s="7">
        <f>AS11+AS12</f>
        <v/>
      </c>
      <c r="AT13" s="7">
        <f>AT11+AT12</f>
        <v/>
      </c>
      <c r="AU13" s="7">
        <f>AU11+AU12</f>
        <v/>
      </c>
      <c r="AV13" s="7">
        <f>AV11+AV12</f>
        <v/>
      </c>
      <c r="AW13" s="7">
        <f>AW11+AW12</f>
        <v/>
      </c>
      <c r="AX13" s="7">
        <f>AX11+AX12</f>
        <v/>
      </c>
      <c r="AY13" s="7">
        <f>AY11+AY12</f>
        <v/>
      </c>
      <c r="AZ13" s="7">
        <f>AZ11+AZ12</f>
        <v/>
      </c>
      <c r="BA13" s="7">
        <f>BA11+BA12</f>
        <v/>
      </c>
    </row>
    <row r="14">
      <c r="A14" s="3" t="inlineStr">
        <is>
          <t>Basic Earnings (Loss) per Share</t>
        </is>
      </c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</row>
    <row r="15">
      <c r="A15" s="3" t="inlineStr">
        <is>
          <t>Diluted Earnings (Loss) per Share</t>
        </is>
      </c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>
      <c r="A1" s="1" t="inlineStr"/>
      <c r="B1" s="2" t="inlineStr">
        <is>
          <t>Q4 FY2018</t>
        </is>
      </c>
      <c r="C1" s="2" t="inlineStr">
        <is>
          <t>Q1 FY2019</t>
        </is>
      </c>
      <c r="D1" s="2" t="inlineStr">
        <is>
          <t>Q2 FY2019</t>
        </is>
      </c>
      <c r="E1" s="2" t="inlineStr">
        <is>
          <t>Q3 FY2019</t>
        </is>
      </c>
      <c r="F1" s="2" t="inlineStr">
        <is>
          <t>Q4 FY2019</t>
        </is>
      </c>
      <c r="G1" s="2" t="inlineStr">
        <is>
          <t>Q1 FY2020</t>
        </is>
      </c>
      <c r="H1" s="2" t="inlineStr">
        <is>
          <t>Q2 FY2020</t>
        </is>
      </c>
      <c r="I1" s="2" t="inlineStr">
        <is>
          <t>Q3 FY2020</t>
        </is>
      </c>
      <c r="J1" s="2" t="inlineStr">
        <is>
          <t>Q4 FY2020</t>
        </is>
      </c>
      <c r="K1" s="2" t="inlineStr">
        <is>
          <t>Q1 FY2021</t>
        </is>
      </c>
      <c r="L1" s="2" t="inlineStr">
        <is>
          <t>Q2 FY2021</t>
        </is>
      </c>
      <c r="M1" s="2" t="inlineStr">
        <is>
          <t>Q3 FY2021</t>
        </is>
      </c>
      <c r="N1" s="2" t="inlineStr">
        <is>
          <t>Q4 FY2021</t>
        </is>
      </c>
      <c r="O1" s="2" t="inlineStr">
        <is>
          <t>Q1 FY2022</t>
        </is>
      </c>
      <c r="P1" s="2" t="inlineStr">
        <is>
          <t>Q2 FY2022</t>
        </is>
      </c>
      <c r="Q1" s="2" t="inlineStr">
        <is>
          <t>Q3 FY2022</t>
        </is>
      </c>
      <c r="R1" s="2" t="inlineStr">
        <is>
          <t>Q4 FY2022</t>
        </is>
      </c>
      <c r="S1" s="2" t="inlineStr">
        <is>
          <t>Q1 FY2023</t>
        </is>
      </c>
      <c r="T1" s="2" t="inlineStr">
        <is>
          <t>Q2 FY2023</t>
        </is>
      </c>
      <c r="U1" s="2" t="inlineStr">
        <is>
          <t>Q3 FY2023</t>
        </is>
      </c>
      <c r="V1" s="2" t="inlineStr">
        <is>
          <t>Q4 FY2023</t>
        </is>
      </c>
      <c r="W1" s="2" t="inlineStr">
        <is>
          <t>Q1 FY2024</t>
        </is>
      </c>
      <c r="X1" s="2" t="inlineStr">
        <is>
          <t>Q2 FY2024</t>
        </is>
      </c>
      <c r="Y1" s="2" t="inlineStr">
        <is>
          <t>Q3 FY2024</t>
        </is>
      </c>
      <c r="Z1" s="2" t="inlineStr">
        <is>
          <t>Q4 FY2024</t>
        </is>
      </c>
      <c r="AA1" s="2" t="inlineStr">
        <is>
          <t>Q1 FY2025</t>
        </is>
      </c>
      <c r="AB1" s="2" t="inlineStr">
        <is>
          <t>Q2 FY2025</t>
        </is>
      </c>
      <c r="AC1" s="2" t="inlineStr">
        <is>
          <t>Q3 FY2025</t>
        </is>
      </c>
      <c r="AD1" s="2" t="inlineStr">
        <is>
          <t>Q4 FY2025</t>
        </is>
      </c>
      <c r="AE1" s="2" t="inlineStr">
        <is>
          <t>Q1 FY2026E</t>
        </is>
      </c>
      <c r="AF1" s="2" t="inlineStr">
        <is>
          <t>Q2 FY2026E</t>
        </is>
      </c>
      <c r="AG1" s="2" t="inlineStr">
        <is>
          <t>Q3 FY2026E</t>
        </is>
      </c>
      <c r="AH1" s="2" t="inlineStr">
        <is>
          <t>Q4 FY2026E</t>
        </is>
      </c>
      <c r="AI1" s="2" t="inlineStr">
        <is>
          <t>Q1 FY2027E</t>
        </is>
      </c>
      <c r="AJ1" s="2" t="inlineStr">
        <is>
          <t>Q2 FY2027E</t>
        </is>
      </c>
      <c r="AK1" s="2" t="inlineStr">
        <is>
          <t>Q3 FY2027E</t>
        </is>
      </c>
      <c r="AL1" s="2" t="inlineStr">
        <is>
          <t>Q4 FY2027E</t>
        </is>
      </c>
      <c r="AM1" s="2" t="inlineStr">
        <is>
          <t>Q1 FY2028E</t>
        </is>
      </c>
      <c r="AN1" s="2" t="inlineStr">
        <is>
          <t>Q2 FY2028E</t>
        </is>
      </c>
      <c r="AO1" s="2" t="inlineStr">
        <is>
          <t>Q3 FY2028E</t>
        </is>
      </c>
      <c r="AP1" s="2" t="inlineStr">
        <is>
          <t>Q4 FY2028E</t>
        </is>
      </c>
      <c r="AQ1" s="2" t="inlineStr">
        <is>
          <t>Q1 FY2029E</t>
        </is>
      </c>
      <c r="AR1" s="2" t="inlineStr">
        <is>
          <t>Q2 FY2029E</t>
        </is>
      </c>
      <c r="AS1" s="2" t="inlineStr">
        <is>
          <t>Q3 FY2029E</t>
        </is>
      </c>
      <c r="AT1" s="2" t="inlineStr">
        <is>
          <t>Q4 FY2029E</t>
        </is>
      </c>
      <c r="AU1" s="2" t="inlineStr">
        <is>
          <t>Q1 FY2030E</t>
        </is>
      </c>
      <c r="AV1" s="2" t="inlineStr">
        <is>
          <t>Q2 FY2030E</t>
        </is>
      </c>
      <c r="AW1" s="2" t="inlineStr">
        <is>
          <t>Q3 FY2030E</t>
        </is>
      </c>
      <c r="AX1" s="2" t="inlineStr">
        <is>
          <t>Q4 FY2030E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4">
        <f>'YTD BS'!P2</f>
        <v/>
      </c>
      <c r="Q2" s="4">
        <f>'YTD BS'!Q2</f>
        <v/>
      </c>
      <c r="R2" s="4">
        <f>'BALANCE SHEET'!F2</f>
        <v/>
      </c>
      <c r="S2" s="4">
        <f>'YTD BS'!S2</f>
        <v/>
      </c>
      <c r="T2" s="4">
        <f>'YTD BS'!T2</f>
        <v/>
      </c>
      <c r="U2" s="4">
        <f>'YTD BS'!U2</f>
        <v/>
      </c>
      <c r="V2" s="4">
        <f>'BALANCE SHEET'!G2</f>
        <v/>
      </c>
      <c r="W2" s="4">
        <f>'YTD BS'!W2</f>
        <v/>
      </c>
      <c r="X2" s="4">
        <f>'YTD BS'!X2</f>
        <v/>
      </c>
      <c r="Y2" s="4">
        <f>'YTD BS'!Y2</f>
        <v/>
      </c>
      <c r="Z2" s="4">
        <f>'BALANCE SHEET'!H2</f>
        <v/>
      </c>
      <c r="AA2" s="4">
        <f>'YTD BS'!AA2</f>
        <v/>
      </c>
      <c r="AB2" s="4">
        <f>'YTD BS'!AB2</f>
        <v/>
      </c>
      <c r="AC2" s="4">
        <f>'YTD BS'!AC2</f>
        <v/>
      </c>
      <c r="AD2" s="4">
        <f>'BALANCE SHEET'!I2</f>
        <v/>
      </c>
      <c r="AE2" s="11">
        <f>'BS DRIVERS'!AE2</f>
        <v/>
      </c>
      <c r="AF2" s="11">
        <f>'BS DRIVERS'!AF2</f>
        <v/>
      </c>
      <c r="AG2" s="11">
        <f>'BS DRIVERS'!AG2</f>
        <v/>
      </c>
      <c r="AH2" s="11">
        <f>'BS DRIVERS'!AH2</f>
        <v/>
      </c>
      <c r="AI2" s="11">
        <f>'BS DRIVERS'!AI2</f>
        <v/>
      </c>
      <c r="AJ2" s="11">
        <f>'BS DRIVERS'!AJ2</f>
        <v/>
      </c>
      <c r="AK2" s="11">
        <f>'BS DRIVERS'!AK2</f>
        <v/>
      </c>
      <c r="AL2" s="11">
        <f>'BS DRIVERS'!AL2</f>
        <v/>
      </c>
      <c r="AM2" s="11">
        <f>'BS DRIVERS'!AM2</f>
        <v/>
      </c>
      <c r="AN2" s="11">
        <f>'BS DRIVERS'!AN2</f>
        <v/>
      </c>
      <c r="AO2" s="11">
        <f>'BS DRIVERS'!AO2</f>
        <v/>
      </c>
      <c r="AP2" s="11">
        <f>'BS DRIVERS'!AP2</f>
        <v/>
      </c>
      <c r="AQ2" s="11">
        <f>'BS DRIVERS'!AQ2</f>
        <v/>
      </c>
      <c r="AR2" s="11">
        <f>'BS DRIVERS'!AR2</f>
        <v/>
      </c>
      <c r="AS2" s="11">
        <f>'BS DRIVERS'!AS2</f>
        <v/>
      </c>
      <c r="AT2" s="11">
        <f>'BS DRIVERS'!AT2</f>
        <v/>
      </c>
      <c r="AU2" s="11">
        <f>'BS DRIVERS'!AU2</f>
        <v/>
      </c>
      <c r="AV2" s="11">
        <f>'BS DRIVERS'!AV2</f>
        <v/>
      </c>
      <c r="AW2" s="11">
        <f>'BS DRIVERS'!AW2</f>
        <v/>
      </c>
      <c r="AX2" s="11">
        <f>'BS DRIVERS'!AX2</f>
        <v/>
      </c>
    </row>
    <row r="3">
      <c r="A3" s="3" t="inlineStr">
        <is>
          <t>Short-Term Investments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4">
        <f>'YTD BS'!P3</f>
        <v/>
      </c>
      <c r="Q3" s="4">
        <f>'YTD BS'!Q3</f>
        <v/>
      </c>
      <c r="R3" s="4">
        <f>'BALANCE SHEET'!F3</f>
        <v/>
      </c>
      <c r="S3" s="4">
        <f>'YTD BS'!S3</f>
        <v/>
      </c>
      <c r="T3" s="4">
        <f>'YTD BS'!T3</f>
        <v/>
      </c>
      <c r="U3" s="4">
        <f>'YTD BS'!U3</f>
        <v/>
      </c>
      <c r="V3" s="4">
        <f>'BALANCE SHEET'!G3</f>
        <v/>
      </c>
      <c r="W3" s="4">
        <f>'YTD BS'!W3</f>
        <v/>
      </c>
      <c r="X3" s="4">
        <f>'YTD BS'!X3</f>
        <v/>
      </c>
      <c r="Y3" s="4">
        <f>'YTD BS'!Y3</f>
        <v/>
      </c>
      <c r="Z3" s="4">
        <f>'BALANCE SHEET'!H3</f>
        <v/>
      </c>
      <c r="AA3" s="4">
        <f>'YTD BS'!AA3</f>
        <v/>
      </c>
      <c r="AB3" s="4">
        <f>'YTD BS'!AB3</f>
        <v/>
      </c>
      <c r="AC3" s="4">
        <f>'YTD BS'!AC3</f>
        <v/>
      </c>
      <c r="AD3" s="4">
        <f>'BALANCE SHEET'!I3</f>
        <v/>
      </c>
      <c r="AE3" s="11">
        <f>'BS DRIVERS'!AE3</f>
        <v/>
      </c>
      <c r="AF3" s="11">
        <f>'BS DRIVERS'!AF3</f>
        <v/>
      </c>
      <c r="AG3" s="11">
        <f>'BS DRIVERS'!AG3</f>
        <v/>
      </c>
      <c r="AH3" s="11">
        <f>'BS DRIVERS'!AH3</f>
        <v/>
      </c>
      <c r="AI3" s="11">
        <f>'BS DRIVERS'!AI3</f>
        <v/>
      </c>
      <c r="AJ3" s="11">
        <f>'BS DRIVERS'!AJ3</f>
        <v/>
      </c>
      <c r="AK3" s="11">
        <f>'BS DRIVERS'!AK3</f>
        <v/>
      </c>
      <c r="AL3" s="11">
        <f>'BS DRIVERS'!AL3</f>
        <v/>
      </c>
      <c r="AM3" s="11">
        <f>'BS DRIVERS'!AM3</f>
        <v/>
      </c>
      <c r="AN3" s="11">
        <f>'BS DRIVERS'!AN3</f>
        <v/>
      </c>
      <c r="AO3" s="11">
        <f>'BS DRIVERS'!AO3</f>
        <v/>
      </c>
      <c r="AP3" s="11">
        <f>'BS DRIVERS'!AP3</f>
        <v/>
      </c>
      <c r="AQ3" s="11">
        <f>'BS DRIVERS'!AQ3</f>
        <v/>
      </c>
      <c r="AR3" s="11">
        <f>'BS DRIVERS'!AR3</f>
        <v/>
      </c>
      <c r="AS3" s="11">
        <f>'BS DRIVERS'!AS3</f>
        <v/>
      </c>
      <c r="AT3" s="11">
        <f>'BS DRIVERS'!AT3</f>
        <v/>
      </c>
      <c r="AU3" s="11">
        <f>'BS DRIVERS'!AU3</f>
        <v/>
      </c>
      <c r="AV3" s="11">
        <f>'BS DRIVERS'!AV3</f>
        <v/>
      </c>
      <c r="AW3" s="11">
        <f>'BS DRIVERS'!AW3</f>
        <v/>
      </c>
      <c r="AX3" s="11">
        <f>'BS DRIVERS'!AX3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4">
        <f>'YTD BS'!P4</f>
        <v/>
      </c>
      <c r="Q4" s="4">
        <f>'YTD BS'!Q4</f>
        <v/>
      </c>
      <c r="R4" s="4">
        <f>'BALANCE SHEET'!F4</f>
        <v/>
      </c>
      <c r="S4" s="4">
        <f>'YTD BS'!S4</f>
        <v/>
      </c>
      <c r="T4" s="4">
        <f>'YTD BS'!T4</f>
        <v/>
      </c>
      <c r="U4" s="4">
        <f>'YTD BS'!U4</f>
        <v/>
      </c>
      <c r="V4" s="4">
        <f>'BALANCE SHEET'!G4</f>
        <v/>
      </c>
      <c r="W4" s="4">
        <f>'YTD BS'!W4</f>
        <v/>
      </c>
      <c r="X4" s="4">
        <f>'YTD BS'!X4</f>
        <v/>
      </c>
      <c r="Y4" s="4">
        <f>'YTD BS'!Y4</f>
        <v/>
      </c>
      <c r="Z4" s="4">
        <f>'BALANCE SHEET'!H4</f>
        <v/>
      </c>
      <c r="AA4" s="4">
        <f>'YTD BS'!AA4</f>
        <v/>
      </c>
      <c r="AB4" s="4">
        <f>'YTD BS'!AB4</f>
        <v/>
      </c>
      <c r="AC4" s="4">
        <f>'YTD BS'!AC4</f>
        <v/>
      </c>
      <c r="AD4" s="4">
        <f>'BALANCE SHEET'!I4</f>
        <v/>
      </c>
      <c r="AE4" s="11">
        <f>'QTR P&amp;L'!AH2*'BS DRIVERS'!AE4/ASSUMPTIONS!$B$2</f>
        <v/>
      </c>
      <c r="AF4" s="11">
        <f>'QTR P&amp;L'!AI2*'BS DRIVERS'!AF4/ASSUMPTIONS!$B$2</f>
        <v/>
      </c>
      <c r="AG4" s="11">
        <f>'QTR P&amp;L'!AJ2*'BS DRIVERS'!AG4/ASSUMPTIONS!$B$2</f>
        <v/>
      </c>
      <c r="AH4" s="11">
        <f>'QTR P&amp;L'!AK2*'BS DRIVERS'!AH4/ASSUMPTIONS!$B$2</f>
        <v/>
      </c>
      <c r="AI4" s="11">
        <f>'QTR P&amp;L'!AL2*'BS DRIVERS'!AI4/ASSUMPTIONS!$B$2</f>
        <v/>
      </c>
      <c r="AJ4" s="11">
        <f>'QTR P&amp;L'!AM2*'BS DRIVERS'!AJ4/ASSUMPTIONS!$B$2</f>
        <v/>
      </c>
      <c r="AK4" s="11">
        <f>'QTR P&amp;L'!AN2*'BS DRIVERS'!AK4/ASSUMPTIONS!$B$2</f>
        <v/>
      </c>
      <c r="AL4" s="11">
        <f>'QTR P&amp;L'!AO2*'BS DRIVERS'!AL4/ASSUMPTIONS!$B$2</f>
        <v/>
      </c>
      <c r="AM4" s="11">
        <f>'QTR P&amp;L'!AP2*'BS DRIVERS'!AM4/ASSUMPTIONS!$B$2</f>
        <v/>
      </c>
      <c r="AN4" s="11">
        <f>'QTR P&amp;L'!AQ2*'BS DRIVERS'!AN4/ASSUMPTIONS!$B$2</f>
        <v/>
      </c>
      <c r="AO4" s="11">
        <f>'QTR P&amp;L'!AR2*'BS DRIVERS'!AO4/ASSUMPTIONS!$B$2</f>
        <v/>
      </c>
      <c r="AP4" s="11">
        <f>'QTR P&amp;L'!AS2*'BS DRIVERS'!AP4/ASSUMPTIONS!$B$2</f>
        <v/>
      </c>
      <c r="AQ4" s="11">
        <f>'QTR P&amp;L'!AT2*'BS DRIVERS'!AQ4/ASSUMPTIONS!$B$2</f>
        <v/>
      </c>
      <c r="AR4" s="11">
        <f>'QTR P&amp;L'!AU2*'BS DRIVERS'!AR4/ASSUMPTIONS!$B$2</f>
        <v/>
      </c>
      <c r="AS4" s="11">
        <f>'QTR P&amp;L'!AV2*'BS DRIVERS'!AS4/ASSUMPTIONS!$B$2</f>
        <v/>
      </c>
      <c r="AT4" s="11">
        <f>'QTR P&amp;L'!AW2*'BS DRIVERS'!AT4/ASSUMPTIONS!$B$2</f>
        <v/>
      </c>
      <c r="AU4" s="11">
        <f>'QTR P&amp;L'!AX2*'BS DRIVERS'!AU4/ASSUMPTIONS!$B$2</f>
        <v/>
      </c>
      <c r="AV4" s="11">
        <f>'QTR P&amp;L'!AY2*'BS DRIVERS'!AV4/ASSUMPTIONS!$B$2</f>
        <v/>
      </c>
      <c r="AW4" s="11">
        <f>'QTR P&amp;L'!AZ2*'BS DRIVERS'!AW4/ASSUMPTIONS!$B$2</f>
        <v/>
      </c>
      <c r="AX4" s="11">
        <f>'QTR P&amp;L'!BA2*'BS DRIVERS'!AX4/ASSUMPTIONS!$B$2</f>
        <v/>
      </c>
    </row>
    <row r="5">
      <c r="A5" s="3" t="inlineStr">
        <is>
          <t>Note Receivable - Current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4">
        <f>'YTD BS'!P5</f>
        <v/>
      </c>
      <c r="Q5" s="4">
        <f>'YTD BS'!Q5</f>
        <v/>
      </c>
      <c r="R5" s="4">
        <f>'BALANCE SHEET'!F5</f>
        <v/>
      </c>
      <c r="S5" s="4">
        <f>'YTD BS'!S5</f>
        <v/>
      </c>
      <c r="T5" s="4">
        <f>'YTD BS'!T5</f>
        <v/>
      </c>
      <c r="U5" s="4">
        <f>'YTD BS'!U5</f>
        <v/>
      </c>
      <c r="V5" s="4">
        <f>'BALANCE SHEET'!G5</f>
        <v/>
      </c>
      <c r="W5" s="4">
        <f>'YTD BS'!W5</f>
        <v/>
      </c>
      <c r="X5" s="4">
        <f>'YTD BS'!X5</f>
        <v/>
      </c>
      <c r="Y5" s="4">
        <f>'YTD BS'!Y5</f>
        <v/>
      </c>
      <c r="Z5" s="4">
        <f>'BALANCE SHEET'!H5</f>
        <v/>
      </c>
      <c r="AA5" s="4">
        <f>'YTD BS'!AA5</f>
        <v/>
      </c>
      <c r="AB5" s="4">
        <f>'YTD BS'!AB5</f>
        <v/>
      </c>
      <c r="AC5" s="4">
        <f>'YTD BS'!AC5</f>
        <v/>
      </c>
      <c r="AD5" s="4">
        <f>'BALANCE SHEET'!I5</f>
        <v/>
      </c>
      <c r="AE5" s="11">
        <f>'QTR P&amp;L'!AH2*'BS DRIVERS'!AE5/ASSUMPTIONS!$B$2</f>
        <v/>
      </c>
      <c r="AF5" s="11">
        <f>'QTR P&amp;L'!AI2*'BS DRIVERS'!AF5/ASSUMPTIONS!$B$2</f>
        <v/>
      </c>
      <c r="AG5" s="11">
        <f>'QTR P&amp;L'!AJ2*'BS DRIVERS'!AG5/ASSUMPTIONS!$B$2</f>
        <v/>
      </c>
      <c r="AH5" s="11">
        <f>'QTR P&amp;L'!AK2*'BS DRIVERS'!AH5/ASSUMPTIONS!$B$2</f>
        <v/>
      </c>
      <c r="AI5" s="11">
        <f>'QTR P&amp;L'!AL2*'BS DRIVERS'!AI5/ASSUMPTIONS!$B$2</f>
        <v/>
      </c>
      <c r="AJ5" s="11">
        <f>'QTR P&amp;L'!AM2*'BS DRIVERS'!AJ5/ASSUMPTIONS!$B$2</f>
        <v/>
      </c>
      <c r="AK5" s="11">
        <f>'QTR P&amp;L'!AN2*'BS DRIVERS'!AK5/ASSUMPTIONS!$B$2</f>
        <v/>
      </c>
      <c r="AL5" s="11">
        <f>'QTR P&amp;L'!AO2*'BS DRIVERS'!AL5/ASSUMPTIONS!$B$2</f>
        <v/>
      </c>
      <c r="AM5" s="11">
        <f>'QTR P&amp;L'!AP2*'BS DRIVERS'!AM5/ASSUMPTIONS!$B$2</f>
        <v/>
      </c>
      <c r="AN5" s="11">
        <f>'QTR P&amp;L'!AQ2*'BS DRIVERS'!AN5/ASSUMPTIONS!$B$2</f>
        <v/>
      </c>
      <c r="AO5" s="11">
        <f>'QTR P&amp;L'!AR2*'BS DRIVERS'!AO5/ASSUMPTIONS!$B$2</f>
        <v/>
      </c>
      <c r="AP5" s="11">
        <f>'QTR P&amp;L'!AS2*'BS DRIVERS'!AP5/ASSUMPTIONS!$B$2</f>
        <v/>
      </c>
      <c r="AQ5" s="11">
        <f>'QTR P&amp;L'!AT2*'BS DRIVERS'!AQ5/ASSUMPTIONS!$B$2</f>
        <v/>
      </c>
      <c r="AR5" s="11">
        <f>'QTR P&amp;L'!AU2*'BS DRIVERS'!AR5/ASSUMPTIONS!$B$2</f>
        <v/>
      </c>
      <c r="AS5" s="11">
        <f>'QTR P&amp;L'!AV2*'BS DRIVERS'!AS5/ASSUMPTIONS!$B$2</f>
        <v/>
      </c>
      <c r="AT5" s="11">
        <f>'QTR P&amp;L'!AW2*'BS DRIVERS'!AT5/ASSUMPTIONS!$B$2</f>
        <v/>
      </c>
      <c r="AU5" s="11">
        <f>'QTR P&amp;L'!AX2*'BS DRIVERS'!AU5/ASSUMPTIONS!$B$2</f>
        <v/>
      </c>
      <c r="AV5" s="11">
        <f>'QTR P&amp;L'!AY2*'BS DRIVERS'!AV5/ASSUMPTIONS!$B$2</f>
        <v/>
      </c>
      <c r="AW5" s="11">
        <f>'QTR P&amp;L'!AZ2*'BS DRIVERS'!AW5/ASSUMPTIONS!$B$2</f>
        <v/>
      </c>
      <c r="AX5" s="11">
        <f>'QTR P&amp;L'!BA2*'BS DRIVERS'!AX5/ASSUMPTIONS!$B$2</f>
        <v/>
      </c>
    </row>
    <row r="6">
      <c r="A6" s="3" t="inlineStr">
        <is>
          <t>Inventories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  <c r="P6" s="4">
        <f>'YTD BS'!P6</f>
        <v/>
      </c>
      <c r="Q6" s="4">
        <f>'YTD BS'!Q6</f>
        <v/>
      </c>
      <c r="R6" s="4">
        <f>'BALANCE SHEET'!F6</f>
        <v/>
      </c>
      <c r="S6" s="4">
        <f>'YTD BS'!S6</f>
        <v/>
      </c>
      <c r="T6" s="4">
        <f>'YTD BS'!T6</f>
        <v/>
      </c>
      <c r="U6" s="4">
        <f>'YTD BS'!U6</f>
        <v/>
      </c>
      <c r="V6" s="4">
        <f>'BALANCE SHEET'!G6</f>
        <v/>
      </c>
      <c r="W6" s="4">
        <f>'YTD BS'!W6</f>
        <v/>
      </c>
      <c r="X6" s="4">
        <f>'YTD BS'!X6</f>
        <v/>
      </c>
      <c r="Y6" s="4">
        <f>'YTD BS'!Y6</f>
        <v/>
      </c>
      <c r="Z6" s="4">
        <f>'BALANCE SHEET'!H6</f>
        <v/>
      </c>
      <c r="AA6" s="4">
        <f>'YTD BS'!AA6</f>
        <v/>
      </c>
      <c r="AB6" s="4">
        <f>'YTD BS'!AB6</f>
        <v/>
      </c>
      <c r="AC6" s="4">
        <f>'YTD BS'!AC6</f>
        <v/>
      </c>
      <c r="AD6" s="4">
        <f>'BALANCE SHEET'!I6</f>
        <v/>
      </c>
      <c r="AE6" s="11">
        <f>'QTR P&amp;L'!AH3*'BS DRIVERS'!AE6/ASSUMPTIONS!$B$2</f>
        <v/>
      </c>
      <c r="AF6" s="11">
        <f>'QTR P&amp;L'!AI3*'BS DRIVERS'!AF6/ASSUMPTIONS!$B$2</f>
        <v/>
      </c>
      <c r="AG6" s="11">
        <f>'QTR P&amp;L'!AJ3*'BS DRIVERS'!AG6/ASSUMPTIONS!$B$2</f>
        <v/>
      </c>
      <c r="AH6" s="11">
        <f>'QTR P&amp;L'!AK3*'BS DRIVERS'!AH6/ASSUMPTIONS!$B$2</f>
        <v/>
      </c>
      <c r="AI6" s="11">
        <f>'QTR P&amp;L'!AL3*'BS DRIVERS'!AI6/ASSUMPTIONS!$B$2</f>
        <v/>
      </c>
      <c r="AJ6" s="11">
        <f>'QTR P&amp;L'!AM3*'BS DRIVERS'!AJ6/ASSUMPTIONS!$B$2</f>
        <v/>
      </c>
      <c r="AK6" s="11">
        <f>'QTR P&amp;L'!AN3*'BS DRIVERS'!AK6/ASSUMPTIONS!$B$2</f>
        <v/>
      </c>
      <c r="AL6" s="11">
        <f>'QTR P&amp;L'!AO3*'BS DRIVERS'!AL6/ASSUMPTIONS!$B$2</f>
        <v/>
      </c>
      <c r="AM6" s="11">
        <f>'QTR P&amp;L'!AP3*'BS DRIVERS'!AM6/ASSUMPTIONS!$B$2</f>
        <v/>
      </c>
      <c r="AN6" s="11">
        <f>'QTR P&amp;L'!AQ3*'BS DRIVERS'!AN6/ASSUMPTIONS!$B$2</f>
        <v/>
      </c>
      <c r="AO6" s="11">
        <f>'QTR P&amp;L'!AR3*'BS DRIVERS'!AO6/ASSUMPTIONS!$B$2</f>
        <v/>
      </c>
      <c r="AP6" s="11">
        <f>'QTR P&amp;L'!AS3*'BS DRIVERS'!AP6/ASSUMPTIONS!$B$2</f>
        <v/>
      </c>
      <c r="AQ6" s="11">
        <f>'QTR P&amp;L'!AT3*'BS DRIVERS'!AQ6/ASSUMPTIONS!$B$2</f>
        <v/>
      </c>
      <c r="AR6" s="11">
        <f>'QTR P&amp;L'!AU3*'BS DRIVERS'!AR6/ASSUMPTIONS!$B$2</f>
        <v/>
      </c>
      <c r="AS6" s="11">
        <f>'QTR P&amp;L'!AV3*'BS DRIVERS'!AS6/ASSUMPTIONS!$B$2</f>
        <v/>
      </c>
      <c r="AT6" s="11">
        <f>'QTR P&amp;L'!AW3*'BS DRIVERS'!AT6/ASSUMPTIONS!$B$2</f>
        <v/>
      </c>
      <c r="AU6" s="11">
        <f>'QTR P&amp;L'!AX3*'BS DRIVERS'!AU6/ASSUMPTIONS!$B$2</f>
        <v/>
      </c>
      <c r="AV6" s="11">
        <f>'QTR P&amp;L'!AY3*'BS DRIVERS'!AV6/ASSUMPTIONS!$B$2</f>
        <v/>
      </c>
      <c r="AW6" s="11">
        <f>'QTR P&amp;L'!AZ3*'BS DRIVERS'!AW6/ASSUMPTIONS!$B$2</f>
        <v/>
      </c>
      <c r="AX6" s="11">
        <f>'QTR P&amp;L'!BA3*'BS DRIVERS'!AX6/ASSUMPTIONS!$B$2</f>
        <v/>
      </c>
    </row>
    <row r="7">
      <c r="A7" s="3" t="inlineStr">
        <is>
          <t>Other Current Assets</t>
        </is>
      </c>
      <c r="B7" s="4">
        <f>'BALANCE SHEET'!B7</f>
        <v/>
      </c>
      <c r="C7" s="4">
        <f>'YTD BS'!C7</f>
        <v/>
      </c>
      <c r="D7" s="4">
        <f>'YTD BS'!D7</f>
        <v/>
      </c>
      <c r="E7" s="4">
        <f>'YTD BS'!E7</f>
        <v/>
      </c>
      <c r="F7" s="4">
        <f>'BALANCE SHEET'!C7</f>
        <v/>
      </c>
      <c r="G7" s="4">
        <f>'YTD BS'!G7</f>
        <v/>
      </c>
      <c r="H7" s="4">
        <f>'YTD BS'!H7</f>
        <v/>
      </c>
      <c r="I7" s="4">
        <f>'YTD BS'!I7</f>
        <v/>
      </c>
      <c r="J7" s="4">
        <f>'BALANCE SHEET'!D7</f>
        <v/>
      </c>
      <c r="K7" s="4">
        <f>'YTD BS'!K7</f>
        <v/>
      </c>
      <c r="L7" s="4">
        <f>'YTD BS'!L7</f>
        <v/>
      </c>
      <c r="M7" s="4">
        <f>'YTD BS'!M7</f>
        <v/>
      </c>
      <c r="N7" s="4">
        <f>'BALANCE SHEET'!E7</f>
        <v/>
      </c>
      <c r="O7" s="4">
        <f>'YTD BS'!O7</f>
        <v/>
      </c>
      <c r="P7" s="4">
        <f>'YTD BS'!P7</f>
        <v/>
      </c>
      <c r="Q7" s="4">
        <f>'YTD BS'!Q7</f>
        <v/>
      </c>
      <c r="R7" s="4">
        <f>'BALANCE SHEET'!F7</f>
        <v/>
      </c>
      <c r="S7" s="4">
        <f>'YTD BS'!S7</f>
        <v/>
      </c>
      <c r="T7" s="4">
        <f>'YTD BS'!T7</f>
        <v/>
      </c>
      <c r="U7" s="4">
        <f>'YTD BS'!U7</f>
        <v/>
      </c>
      <c r="V7" s="4">
        <f>'BALANCE SHEET'!G7</f>
        <v/>
      </c>
      <c r="W7" s="4">
        <f>'YTD BS'!W7</f>
        <v/>
      </c>
      <c r="X7" s="4">
        <f>'YTD BS'!X7</f>
        <v/>
      </c>
      <c r="Y7" s="4">
        <f>'YTD BS'!Y7</f>
        <v/>
      </c>
      <c r="Z7" s="4">
        <f>'BALANCE SHEET'!H7</f>
        <v/>
      </c>
      <c r="AA7" s="4">
        <f>'YTD BS'!AA7</f>
        <v/>
      </c>
      <c r="AB7" s="4">
        <f>'YTD BS'!AB7</f>
        <v/>
      </c>
      <c r="AC7" s="4">
        <f>'YTD BS'!AC7</f>
        <v/>
      </c>
      <c r="AD7" s="4">
        <f>'BALANCE SHEET'!I7</f>
        <v/>
      </c>
      <c r="AE7" s="11">
        <f>'QTR P&amp;L'!AH2*'BS DRIVERS'!AE7</f>
        <v/>
      </c>
      <c r="AF7" s="11">
        <f>'QTR P&amp;L'!AI2*'BS DRIVERS'!AF7</f>
        <v/>
      </c>
      <c r="AG7" s="11">
        <f>'QTR P&amp;L'!AJ2*'BS DRIVERS'!AG7</f>
        <v/>
      </c>
      <c r="AH7" s="11">
        <f>'QTR P&amp;L'!AK2*'BS DRIVERS'!AH7</f>
        <v/>
      </c>
      <c r="AI7" s="11">
        <f>'QTR P&amp;L'!AL2*'BS DRIVERS'!AI7</f>
        <v/>
      </c>
      <c r="AJ7" s="11">
        <f>'QTR P&amp;L'!AM2*'BS DRIVERS'!AJ7</f>
        <v/>
      </c>
      <c r="AK7" s="11">
        <f>'QTR P&amp;L'!AN2*'BS DRIVERS'!AK7</f>
        <v/>
      </c>
      <c r="AL7" s="11">
        <f>'QTR P&amp;L'!AO2*'BS DRIVERS'!AL7</f>
        <v/>
      </c>
      <c r="AM7" s="11">
        <f>'QTR P&amp;L'!AP2*'BS DRIVERS'!AM7</f>
        <v/>
      </c>
      <c r="AN7" s="11">
        <f>'QTR P&amp;L'!AQ2*'BS DRIVERS'!AN7</f>
        <v/>
      </c>
      <c r="AO7" s="11">
        <f>'QTR P&amp;L'!AR2*'BS DRIVERS'!AO7</f>
        <v/>
      </c>
      <c r="AP7" s="11">
        <f>'QTR P&amp;L'!AS2*'BS DRIVERS'!AP7</f>
        <v/>
      </c>
      <c r="AQ7" s="11">
        <f>'QTR P&amp;L'!AT2*'BS DRIVERS'!AQ7</f>
        <v/>
      </c>
      <c r="AR7" s="11">
        <f>'QTR P&amp;L'!AU2*'BS DRIVERS'!AR7</f>
        <v/>
      </c>
      <c r="AS7" s="11">
        <f>'QTR P&amp;L'!AV2*'BS DRIVERS'!AS7</f>
        <v/>
      </c>
      <c r="AT7" s="11">
        <f>'QTR P&amp;L'!AW2*'BS DRIVERS'!AT7</f>
        <v/>
      </c>
      <c r="AU7" s="11">
        <f>'QTR P&amp;L'!AX2*'BS DRIVERS'!AU7</f>
        <v/>
      </c>
      <c r="AV7" s="11">
        <f>'QTR P&amp;L'!AY2*'BS DRIVERS'!AV7</f>
        <v/>
      </c>
      <c r="AW7" s="11">
        <f>'QTR P&amp;L'!AZ2*'BS DRIVERS'!AW7</f>
        <v/>
      </c>
      <c r="AX7" s="11">
        <f>'QTR P&amp;L'!BA2*'BS DRIVERS'!AX7</f>
        <v/>
      </c>
    </row>
    <row r="8">
      <c r="A8" s="3" t="inlineStr">
        <is>
          <t>Total Current Assets</t>
        </is>
      </c>
      <c r="B8" s="6">
        <f>'BALANCE SHEET'!B8</f>
        <v/>
      </c>
      <c r="C8" s="6">
        <f>'YTD BS'!C8</f>
        <v/>
      </c>
      <c r="D8" s="6">
        <f>'YTD BS'!D8</f>
        <v/>
      </c>
      <c r="E8" s="6">
        <f>'YTD BS'!E8</f>
        <v/>
      </c>
      <c r="F8" s="6">
        <f>'BALANCE SHEET'!C8</f>
        <v/>
      </c>
      <c r="G8" s="6">
        <f>'YTD BS'!G8</f>
        <v/>
      </c>
      <c r="H8" s="6">
        <f>'YTD BS'!H8</f>
        <v/>
      </c>
      <c r="I8" s="6">
        <f>'YTD BS'!I8</f>
        <v/>
      </c>
      <c r="J8" s="6">
        <f>'BALANCE SHEET'!D8</f>
        <v/>
      </c>
      <c r="K8" s="6">
        <f>'YTD BS'!K8</f>
        <v/>
      </c>
      <c r="L8" s="6">
        <f>'YTD BS'!L8</f>
        <v/>
      </c>
      <c r="M8" s="6">
        <f>'YTD BS'!M8</f>
        <v/>
      </c>
      <c r="N8" s="6">
        <f>'BALANCE SHEET'!E8</f>
        <v/>
      </c>
      <c r="O8" s="6">
        <f>'YTD BS'!O8</f>
        <v/>
      </c>
      <c r="P8" s="6">
        <f>'YTD BS'!P8</f>
        <v/>
      </c>
      <c r="Q8" s="6">
        <f>'YTD BS'!Q8</f>
        <v/>
      </c>
      <c r="R8" s="6">
        <f>'BALANCE SHEET'!F8</f>
        <v/>
      </c>
      <c r="S8" s="6">
        <f>'YTD BS'!S8</f>
        <v/>
      </c>
      <c r="T8" s="6">
        <f>'YTD BS'!T8</f>
        <v/>
      </c>
      <c r="U8" s="6">
        <f>'YTD BS'!U8</f>
        <v/>
      </c>
      <c r="V8" s="6">
        <f>'BALANCE SHEET'!G8</f>
        <v/>
      </c>
      <c r="W8" s="6">
        <f>'YTD BS'!W8</f>
        <v/>
      </c>
      <c r="X8" s="6">
        <f>'YTD BS'!X8</f>
        <v/>
      </c>
      <c r="Y8" s="6">
        <f>'YTD BS'!Y8</f>
        <v/>
      </c>
      <c r="Z8" s="6">
        <f>'BALANCE SHEET'!H8</f>
        <v/>
      </c>
      <c r="AA8" s="6">
        <f>'YTD BS'!AA8</f>
        <v/>
      </c>
      <c r="AB8" s="6">
        <f>'YTD BS'!AB8</f>
        <v/>
      </c>
      <c r="AC8" s="6">
        <f>'YTD BS'!AC8</f>
        <v/>
      </c>
      <c r="AD8" s="6">
        <f>'BALANCE SHEET'!I8</f>
        <v/>
      </c>
      <c r="AE8" s="7">
        <f>SUM(AE2:AE7)</f>
        <v/>
      </c>
      <c r="AF8" s="7">
        <f>SUM(AF2:AF7)</f>
        <v/>
      </c>
      <c r="AG8" s="7">
        <f>SUM(AG2:AG7)</f>
        <v/>
      </c>
      <c r="AH8" s="7">
        <f>SUM(AH2:AH7)</f>
        <v/>
      </c>
      <c r="AI8" s="7">
        <f>SUM(AI2:AI7)</f>
        <v/>
      </c>
      <c r="AJ8" s="7">
        <f>SUM(AJ2:AJ7)</f>
        <v/>
      </c>
      <c r="AK8" s="7">
        <f>SUM(AK2:AK7)</f>
        <v/>
      </c>
      <c r="AL8" s="7">
        <f>SUM(AL2:AL7)</f>
        <v/>
      </c>
      <c r="AM8" s="7">
        <f>SUM(AM2:AM7)</f>
        <v/>
      </c>
      <c r="AN8" s="7">
        <f>SUM(AN2:AN7)</f>
        <v/>
      </c>
      <c r="AO8" s="7">
        <f>SUM(AO2:AO7)</f>
        <v/>
      </c>
      <c r="AP8" s="7">
        <f>SUM(AP2:AP7)</f>
        <v/>
      </c>
      <c r="AQ8" s="7">
        <f>SUM(AQ2:AQ7)</f>
        <v/>
      </c>
      <c r="AR8" s="7">
        <f>SUM(AR2:AR7)</f>
        <v/>
      </c>
      <c r="AS8" s="7">
        <f>SUM(AS2:AS7)</f>
        <v/>
      </c>
      <c r="AT8" s="7">
        <f>SUM(AT2:AT7)</f>
        <v/>
      </c>
      <c r="AU8" s="7">
        <f>SUM(AU2:AU7)</f>
        <v/>
      </c>
      <c r="AV8" s="7">
        <f>SUM(AV2:AV7)</f>
        <v/>
      </c>
      <c r="AW8" s="7">
        <f>SUM(AW2:AW7)</f>
        <v/>
      </c>
      <c r="AX8" s="7">
        <f>SUM(AX2:AX7)</f>
        <v/>
      </c>
    </row>
    <row r="9">
      <c r="A9" s="3" t="inlineStr">
        <is>
          <t>Long-Term Investments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4">
        <f>'YTD BS'!P9</f>
        <v/>
      </c>
      <c r="Q9" s="4">
        <f>'YTD BS'!Q9</f>
        <v/>
      </c>
      <c r="R9" s="4">
        <f>'BALANCE SHEET'!F9</f>
        <v/>
      </c>
      <c r="S9" s="4">
        <f>'YTD BS'!S9</f>
        <v/>
      </c>
      <c r="T9" s="4">
        <f>'YTD BS'!T9</f>
        <v/>
      </c>
      <c r="U9" s="4">
        <f>'YTD BS'!U9</f>
        <v/>
      </c>
      <c r="V9" s="4">
        <f>'BALANCE SHEET'!G9</f>
        <v/>
      </c>
      <c r="W9" s="4">
        <f>'YTD BS'!W9</f>
        <v/>
      </c>
      <c r="X9" s="4">
        <f>'YTD BS'!X9</f>
        <v/>
      </c>
      <c r="Y9" s="4">
        <f>'YTD BS'!Y9</f>
        <v/>
      </c>
      <c r="Z9" s="4">
        <f>'BALANCE SHEET'!H9</f>
        <v/>
      </c>
      <c r="AA9" s="4">
        <f>'YTD BS'!AA9</f>
        <v/>
      </c>
      <c r="AB9" s="4">
        <f>'YTD BS'!AB9</f>
        <v/>
      </c>
      <c r="AC9" s="4">
        <f>'YTD BS'!AC9</f>
        <v/>
      </c>
      <c r="AD9" s="4">
        <f>'BALANCE SHEET'!I9</f>
        <v/>
      </c>
      <c r="AE9" s="11">
        <f>'QTR P&amp;L'!AH2*'BS DRIVERS'!AE8</f>
        <v/>
      </c>
      <c r="AF9" s="11">
        <f>'QTR P&amp;L'!AI2*'BS DRIVERS'!AF8</f>
        <v/>
      </c>
      <c r="AG9" s="11">
        <f>'QTR P&amp;L'!AJ2*'BS DRIVERS'!AG8</f>
        <v/>
      </c>
      <c r="AH9" s="11">
        <f>'QTR P&amp;L'!AK2*'BS DRIVERS'!AH8</f>
        <v/>
      </c>
      <c r="AI9" s="11">
        <f>'QTR P&amp;L'!AL2*'BS DRIVERS'!AI8</f>
        <v/>
      </c>
      <c r="AJ9" s="11">
        <f>'QTR P&amp;L'!AM2*'BS DRIVERS'!AJ8</f>
        <v/>
      </c>
      <c r="AK9" s="11">
        <f>'QTR P&amp;L'!AN2*'BS DRIVERS'!AK8</f>
        <v/>
      </c>
      <c r="AL9" s="11">
        <f>'QTR P&amp;L'!AO2*'BS DRIVERS'!AL8</f>
        <v/>
      </c>
      <c r="AM9" s="11">
        <f>'QTR P&amp;L'!AP2*'BS DRIVERS'!AM8</f>
        <v/>
      </c>
      <c r="AN9" s="11">
        <f>'QTR P&amp;L'!AQ2*'BS DRIVERS'!AN8</f>
        <v/>
      </c>
      <c r="AO9" s="11">
        <f>'QTR P&amp;L'!AR2*'BS DRIVERS'!AO8</f>
        <v/>
      </c>
      <c r="AP9" s="11">
        <f>'QTR P&amp;L'!AS2*'BS DRIVERS'!AP8</f>
        <v/>
      </c>
      <c r="AQ9" s="11">
        <f>'QTR P&amp;L'!AT2*'BS DRIVERS'!AQ8</f>
        <v/>
      </c>
      <c r="AR9" s="11">
        <f>'QTR P&amp;L'!AU2*'BS DRIVERS'!AR8</f>
        <v/>
      </c>
      <c r="AS9" s="11">
        <f>'QTR P&amp;L'!AV2*'BS DRIVERS'!AS8</f>
        <v/>
      </c>
      <c r="AT9" s="11">
        <f>'QTR P&amp;L'!AW2*'BS DRIVERS'!AT8</f>
        <v/>
      </c>
      <c r="AU9" s="11">
        <f>'QTR P&amp;L'!AX2*'BS DRIVERS'!AU8</f>
        <v/>
      </c>
      <c r="AV9" s="11">
        <f>'QTR P&amp;L'!AY2*'BS DRIVERS'!AV8</f>
        <v/>
      </c>
      <c r="AW9" s="11">
        <f>'QTR P&amp;L'!AZ2*'BS DRIVERS'!AW8</f>
        <v/>
      </c>
      <c r="AX9" s="11">
        <f>'QTR P&amp;L'!BA2*'BS DRIVERS'!AX8</f>
        <v/>
      </c>
    </row>
    <row r="10">
      <c r="A10" s="3" t="inlineStr">
        <is>
          <t>Deferred Tax Assets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4">
        <f>'YTD BS'!P10</f>
        <v/>
      </c>
      <c r="Q10" s="4">
        <f>'YTD BS'!Q10</f>
        <v/>
      </c>
      <c r="R10" s="4">
        <f>'BALANCE SHEET'!F10</f>
        <v/>
      </c>
      <c r="S10" s="4">
        <f>'YTD BS'!S10</f>
        <v/>
      </c>
      <c r="T10" s="4">
        <f>'YTD BS'!T10</f>
        <v/>
      </c>
      <c r="U10" s="4">
        <f>'YTD BS'!U10</f>
        <v/>
      </c>
      <c r="V10" s="4">
        <f>'BALANCE SHEET'!G10</f>
        <v/>
      </c>
      <c r="W10" s="4">
        <f>'YTD BS'!W10</f>
        <v/>
      </c>
      <c r="X10" s="4">
        <f>'YTD BS'!X10</f>
        <v/>
      </c>
      <c r="Y10" s="4">
        <f>'YTD BS'!Y10</f>
        <v/>
      </c>
      <c r="Z10" s="4">
        <f>'BALANCE SHEET'!H10</f>
        <v/>
      </c>
      <c r="AA10" s="4">
        <f>'YTD BS'!AA10</f>
        <v/>
      </c>
      <c r="AB10" s="4">
        <f>'YTD BS'!AB10</f>
        <v/>
      </c>
      <c r="AC10" s="4">
        <f>'YTD BS'!AC10</f>
        <v/>
      </c>
      <c r="AD10" s="4">
        <f>'BALANCE SHEET'!I10</f>
        <v/>
      </c>
      <c r="AE10" s="11">
        <f>'BS DRIVERS'!AE9</f>
        <v/>
      </c>
      <c r="AF10" s="11">
        <f>'BS DRIVERS'!AF9</f>
        <v/>
      </c>
      <c r="AG10" s="11">
        <f>'BS DRIVERS'!AG9</f>
        <v/>
      </c>
      <c r="AH10" s="11">
        <f>'BS DRIVERS'!AH9</f>
        <v/>
      </c>
      <c r="AI10" s="11">
        <f>'BS DRIVERS'!AI9</f>
        <v/>
      </c>
      <c r="AJ10" s="11">
        <f>'BS DRIVERS'!AJ9</f>
        <v/>
      </c>
      <c r="AK10" s="11">
        <f>'BS DRIVERS'!AK9</f>
        <v/>
      </c>
      <c r="AL10" s="11">
        <f>'BS DRIVERS'!AL9</f>
        <v/>
      </c>
      <c r="AM10" s="11">
        <f>'BS DRIVERS'!AM9</f>
        <v/>
      </c>
      <c r="AN10" s="11">
        <f>'BS DRIVERS'!AN9</f>
        <v/>
      </c>
      <c r="AO10" s="11">
        <f>'BS DRIVERS'!AO9</f>
        <v/>
      </c>
      <c r="AP10" s="11">
        <f>'BS DRIVERS'!AP9</f>
        <v/>
      </c>
      <c r="AQ10" s="11">
        <f>'BS DRIVERS'!AQ9</f>
        <v/>
      </c>
      <c r="AR10" s="11">
        <f>'BS DRIVERS'!AR9</f>
        <v/>
      </c>
      <c r="AS10" s="11">
        <f>'BS DRIVERS'!AS9</f>
        <v/>
      </c>
      <c r="AT10" s="11">
        <f>'BS DRIVERS'!AT9</f>
        <v/>
      </c>
      <c r="AU10" s="11">
        <f>'BS DRIVERS'!AU9</f>
        <v/>
      </c>
      <c r="AV10" s="11">
        <f>'BS DRIVERS'!AV9</f>
        <v/>
      </c>
      <c r="AW10" s="11">
        <f>'BS DRIVERS'!AW9</f>
        <v/>
      </c>
      <c r="AX10" s="11">
        <f>'BS DRIVERS'!AX9</f>
        <v/>
      </c>
    </row>
    <row r="11">
      <c r="A11" s="3" t="inlineStr">
        <is>
          <t>Net PP&amp;E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  <c r="P11" s="4">
        <f>'YTD BS'!P11</f>
        <v/>
      </c>
      <c r="Q11" s="4">
        <f>'YTD BS'!Q11</f>
        <v/>
      </c>
      <c r="R11" s="4">
        <f>'BALANCE SHEET'!F11</f>
        <v/>
      </c>
      <c r="S11" s="4">
        <f>'YTD BS'!S11</f>
        <v/>
      </c>
      <c r="T11" s="4">
        <f>'YTD BS'!T11</f>
        <v/>
      </c>
      <c r="U11" s="4">
        <f>'YTD BS'!U11</f>
        <v/>
      </c>
      <c r="V11" s="4">
        <f>'BALANCE SHEET'!G11</f>
        <v/>
      </c>
      <c r="W11" s="4">
        <f>'YTD BS'!W11</f>
        <v/>
      </c>
      <c r="X11" s="4">
        <f>'YTD BS'!X11</f>
        <v/>
      </c>
      <c r="Y11" s="4">
        <f>'YTD BS'!Y11</f>
        <v/>
      </c>
      <c r="Z11" s="4">
        <f>'BALANCE SHEET'!H11</f>
        <v/>
      </c>
      <c r="AA11" s="4">
        <f>'YTD BS'!AA11</f>
        <v/>
      </c>
      <c r="AB11" s="4">
        <f>'YTD BS'!AB11</f>
        <v/>
      </c>
      <c r="AC11" s="4">
        <f>'YTD BS'!AC11</f>
        <v/>
      </c>
      <c r="AD11" s="4">
        <f>'BALANCE SHEET'!I11</f>
        <v/>
      </c>
      <c r="AE11" s="11">
        <f>'BS DRIVERS'!AE10</f>
        <v/>
      </c>
      <c r="AF11" s="11">
        <f>'BS DRIVERS'!AF10</f>
        <v/>
      </c>
      <c r="AG11" s="11">
        <f>'BS DRIVERS'!AG10</f>
        <v/>
      </c>
      <c r="AH11" s="11">
        <f>'BS DRIVERS'!AH10</f>
        <v/>
      </c>
      <c r="AI11" s="11">
        <f>'BS DRIVERS'!AI10</f>
        <v/>
      </c>
      <c r="AJ11" s="11">
        <f>'BS DRIVERS'!AJ10</f>
        <v/>
      </c>
      <c r="AK11" s="11">
        <f>'BS DRIVERS'!AK10</f>
        <v/>
      </c>
      <c r="AL11" s="11">
        <f>'BS DRIVERS'!AL10</f>
        <v/>
      </c>
      <c r="AM11" s="11">
        <f>'BS DRIVERS'!AM10</f>
        <v/>
      </c>
      <c r="AN11" s="11">
        <f>'BS DRIVERS'!AN10</f>
        <v/>
      </c>
      <c r="AO11" s="11">
        <f>'BS DRIVERS'!AO10</f>
        <v/>
      </c>
      <c r="AP11" s="11">
        <f>'BS DRIVERS'!AP10</f>
        <v/>
      </c>
      <c r="AQ11" s="11">
        <f>'BS DRIVERS'!AQ10</f>
        <v/>
      </c>
      <c r="AR11" s="11">
        <f>'BS DRIVERS'!AR10</f>
        <v/>
      </c>
      <c r="AS11" s="11">
        <f>'BS DRIVERS'!AS10</f>
        <v/>
      </c>
      <c r="AT11" s="11">
        <f>'BS DRIVERS'!AT10</f>
        <v/>
      </c>
      <c r="AU11" s="11">
        <f>'BS DRIVERS'!AU10</f>
        <v/>
      </c>
      <c r="AV11" s="11">
        <f>'BS DRIVERS'!AV10</f>
        <v/>
      </c>
      <c r="AW11" s="11">
        <f>'BS DRIVERS'!AW10</f>
        <v/>
      </c>
      <c r="AX11" s="11">
        <f>'BS DRIVERS'!AX10</f>
        <v/>
      </c>
    </row>
    <row r="12">
      <c r="A12" s="3" t="inlineStr">
        <is>
          <t>ROU Assets - Operating - Non-Current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4">
        <f>'YTD BS'!P12</f>
        <v/>
      </c>
      <c r="Q12" s="4">
        <f>'YTD BS'!Q12</f>
        <v/>
      </c>
      <c r="R12" s="4">
        <f>'BALANCE SHEET'!F12</f>
        <v/>
      </c>
      <c r="S12" s="4">
        <f>'YTD BS'!S12</f>
        <v/>
      </c>
      <c r="T12" s="4">
        <f>'YTD BS'!T12</f>
        <v/>
      </c>
      <c r="U12" s="4">
        <f>'YTD BS'!U12</f>
        <v/>
      </c>
      <c r="V12" s="4">
        <f>'BALANCE SHEET'!G12</f>
        <v/>
      </c>
      <c r="W12" s="4">
        <f>'YTD BS'!W12</f>
        <v/>
      </c>
      <c r="X12" s="4">
        <f>'YTD BS'!X12</f>
        <v/>
      </c>
      <c r="Y12" s="4">
        <f>'YTD BS'!Y12</f>
        <v/>
      </c>
      <c r="Z12" s="4">
        <f>'BALANCE SHEET'!H12</f>
        <v/>
      </c>
      <c r="AA12" s="4">
        <f>'YTD BS'!AA12</f>
        <v/>
      </c>
      <c r="AB12" s="4">
        <f>'YTD BS'!AB12</f>
        <v/>
      </c>
      <c r="AC12" s="4">
        <f>'YTD BS'!AC12</f>
        <v/>
      </c>
      <c r="AD12" s="4">
        <f>'BALANCE SHEET'!I12</f>
        <v/>
      </c>
      <c r="AE12" s="11">
        <f>'QTR P&amp;L'!AH2*'BS DRIVERS'!AE11</f>
        <v/>
      </c>
      <c r="AF12" s="11">
        <f>'QTR P&amp;L'!AI2*'BS DRIVERS'!AF11</f>
        <v/>
      </c>
      <c r="AG12" s="11">
        <f>'QTR P&amp;L'!AJ2*'BS DRIVERS'!AG11</f>
        <v/>
      </c>
      <c r="AH12" s="11">
        <f>'QTR P&amp;L'!AK2*'BS DRIVERS'!AH11</f>
        <v/>
      </c>
      <c r="AI12" s="11">
        <f>'QTR P&amp;L'!AL2*'BS DRIVERS'!AI11</f>
        <v/>
      </c>
      <c r="AJ12" s="11">
        <f>'QTR P&amp;L'!AM2*'BS DRIVERS'!AJ11</f>
        <v/>
      </c>
      <c r="AK12" s="11">
        <f>'QTR P&amp;L'!AN2*'BS DRIVERS'!AK11</f>
        <v/>
      </c>
      <c r="AL12" s="11">
        <f>'QTR P&amp;L'!AO2*'BS DRIVERS'!AL11</f>
        <v/>
      </c>
      <c r="AM12" s="11">
        <f>'QTR P&amp;L'!AP2*'BS DRIVERS'!AM11</f>
        <v/>
      </c>
      <c r="AN12" s="11">
        <f>'QTR P&amp;L'!AQ2*'BS DRIVERS'!AN11</f>
        <v/>
      </c>
      <c r="AO12" s="11">
        <f>'QTR P&amp;L'!AR2*'BS DRIVERS'!AO11</f>
        <v/>
      </c>
      <c r="AP12" s="11">
        <f>'QTR P&amp;L'!AS2*'BS DRIVERS'!AP11</f>
        <v/>
      </c>
      <c r="AQ12" s="11">
        <f>'QTR P&amp;L'!AT2*'BS DRIVERS'!AQ11</f>
        <v/>
      </c>
      <c r="AR12" s="11">
        <f>'QTR P&amp;L'!AU2*'BS DRIVERS'!AR11</f>
        <v/>
      </c>
      <c r="AS12" s="11">
        <f>'QTR P&amp;L'!AV2*'BS DRIVERS'!AS11</f>
        <v/>
      </c>
      <c r="AT12" s="11">
        <f>'QTR P&amp;L'!AW2*'BS DRIVERS'!AT11</f>
        <v/>
      </c>
      <c r="AU12" s="11">
        <f>'QTR P&amp;L'!AX2*'BS DRIVERS'!AU11</f>
        <v/>
      </c>
      <c r="AV12" s="11">
        <f>'QTR P&amp;L'!AY2*'BS DRIVERS'!AV11</f>
        <v/>
      </c>
      <c r="AW12" s="11">
        <f>'QTR P&amp;L'!AZ2*'BS DRIVERS'!AW11</f>
        <v/>
      </c>
      <c r="AX12" s="11">
        <f>'QTR P&amp;L'!BA2*'BS DRIVERS'!AX11</f>
        <v/>
      </c>
    </row>
    <row r="13">
      <c r="A13" s="3" t="inlineStr">
        <is>
          <t>Intangible Assets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4">
        <f>'YTD BS'!P13</f>
        <v/>
      </c>
      <c r="Q13" s="4">
        <f>'YTD BS'!Q13</f>
        <v/>
      </c>
      <c r="R13" s="4">
        <f>'BALANCE SHEET'!F13</f>
        <v/>
      </c>
      <c r="S13" s="4">
        <f>'YTD BS'!S13</f>
        <v/>
      </c>
      <c r="T13" s="4">
        <f>'YTD BS'!T13</f>
        <v/>
      </c>
      <c r="U13" s="4">
        <f>'YTD BS'!U13</f>
        <v/>
      </c>
      <c r="V13" s="4">
        <f>'BALANCE SHEET'!G13</f>
        <v/>
      </c>
      <c r="W13" s="4">
        <f>'YTD BS'!W13</f>
        <v/>
      </c>
      <c r="X13" s="4">
        <f>'YTD BS'!X13</f>
        <v/>
      </c>
      <c r="Y13" s="4">
        <f>'YTD BS'!Y13</f>
        <v/>
      </c>
      <c r="Z13" s="4">
        <f>'BALANCE SHEET'!H13</f>
        <v/>
      </c>
      <c r="AA13" s="4">
        <f>'YTD BS'!AA13</f>
        <v/>
      </c>
      <c r="AB13" s="4">
        <f>'YTD BS'!AB13</f>
        <v/>
      </c>
      <c r="AC13" s="4">
        <f>'YTD BS'!AC13</f>
        <v/>
      </c>
      <c r="AD13" s="4">
        <f>'BALANCE SHEET'!I13</f>
        <v/>
      </c>
      <c r="AE13" s="11">
        <f>'BS DRIVERS'!AE12</f>
        <v/>
      </c>
      <c r="AF13" s="11">
        <f>'BS DRIVERS'!AF12</f>
        <v/>
      </c>
      <c r="AG13" s="11">
        <f>'BS DRIVERS'!AG12</f>
        <v/>
      </c>
      <c r="AH13" s="11">
        <f>'BS DRIVERS'!AH12</f>
        <v/>
      </c>
      <c r="AI13" s="11">
        <f>'BS DRIVERS'!AI12</f>
        <v/>
      </c>
      <c r="AJ13" s="11">
        <f>'BS DRIVERS'!AJ12</f>
        <v/>
      </c>
      <c r="AK13" s="11">
        <f>'BS DRIVERS'!AK12</f>
        <v/>
      </c>
      <c r="AL13" s="11">
        <f>'BS DRIVERS'!AL12</f>
        <v/>
      </c>
      <c r="AM13" s="11">
        <f>'BS DRIVERS'!AM12</f>
        <v/>
      </c>
      <c r="AN13" s="11">
        <f>'BS DRIVERS'!AN12</f>
        <v/>
      </c>
      <c r="AO13" s="11">
        <f>'BS DRIVERS'!AO12</f>
        <v/>
      </c>
      <c r="AP13" s="11">
        <f>'BS DRIVERS'!AP12</f>
        <v/>
      </c>
      <c r="AQ13" s="11">
        <f>'BS DRIVERS'!AQ12</f>
        <v/>
      </c>
      <c r="AR13" s="11">
        <f>'BS DRIVERS'!AR12</f>
        <v/>
      </c>
      <c r="AS13" s="11">
        <f>'BS DRIVERS'!AS12</f>
        <v/>
      </c>
      <c r="AT13" s="11">
        <f>'BS DRIVERS'!AT12</f>
        <v/>
      </c>
      <c r="AU13" s="11">
        <f>'BS DRIVERS'!AU12</f>
        <v/>
      </c>
      <c r="AV13" s="11">
        <f>'BS DRIVERS'!AV12</f>
        <v/>
      </c>
      <c r="AW13" s="11">
        <f>'BS DRIVERS'!AW12</f>
        <v/>
      </c>
      <c r="AX13" s="11">
        <f>'BS DRIVERS'!AX12</f>
        <v/>
      </c>
    </row>
    <row r="14">
      <c r="A14" s="3" t="inlineStr">
        <is>
          <t>Goodwill</t>
        </is>
      </c>
      <c r="B14" s="4">
        <f>'BALANCE SHEET'!B14</f>
        <v/>
      </c>
      <c r="C14" s="4">
        <f>'YTD BS'!C14</f>
        <v/>
      </c>
      <c r="D14" s="4">
        <f>'YTD BS'!D14</f>
        <v/>
      </c>
      <c r="E14" s="4">
        <f>'YTD BS'!E14</f>
        <v/>
      </c>
      <c r="F14" s="4">
        <f>'BALANCE SHEET'!C14</f>
        <v/>
      </c>
      <c r="G14" s="4">
        <f>'YTD BS'!G14</f>
        <v/>
      </c>
      <c r="H14" s="4">
        <f>'YTD BS'!H14</f>
        <v/>
      </c>
      <c r="I14" s="4">
        <f>'YTD BS'!I14</f>
        <v/>
      </c>
      <c r="J14" s="4">
        <f>'BALANCE SHEET'!D14</f>
        <v/>
      </c>
      <c r="K14" s="4">
        <f>'YTD BS'!K14</f>
        <v/>
      </c>
      <c r="L14" s="4">
        <f>'YTD BS'!L14</f>
        <v/>
      </c>
      <c r="M14" s="4">
        <f>'YTD BS'!M14</f>
        <v/>
      </c>
      <c r="N14" s="4">
        <f>'BALANCE SHEET'!E14</f>
        <v/>
      </c>
      <c r="O14" s="4">
        <f>'YTD BS'!O14</f>
        <v/>
      </c>
      <c r="P14" s="4">
        <f>'YTD BS'!P14</f>
        <v/>
      </c>
      <c r="Q14" s="4">
        <f>'YTD BS'!Q14</f>
        <v/>
      </c>
      <c r="R14" s="4">
        <f>'BALANCE SHEET'!F14</f>
        <v/>
      </c>
      <c r="S14" s="4">
        <f>'YTD BS'!S14</f>
        <v/>
      </c>
      <c r="T14" s="4">
        <f>'YTD BS'!T14</f>
        <v/>
      </c>
      <c r="U14" s="4">
        <f>'YTD BS'!U14</f>
        <v/>
      </c>
      <c r="V14" s="4">
        <f>'BALANCE SHEET'!G14</f>
        <v/>
      </c>
      <c r="W14" s="4">
        <f>'YTD BS'!W14</f>
        <v/>
      </c>
      <c r="X14" s="4">
        <f>'YTD BS'!X14</f>
        <v/>
      </c>
      <c r="Y14" s="4">
        <f>'YTD BS'!Y14</f>
        <v/>
      </c>
      <c r="Z14" s="4">
        <f>'BALANCE SHEET'!H14</f>
        <v/>
      </c>
      <c r="AA14" s="4">
        <f>'YTD BS'!AA14</f>
        <v/>
      </c>
      <c r="AB14" s="4">
        <f>'YTD BS'!AB14</f>
        <v/>
      </c>
      <c r="AC14" s="4">
        <f>'YTD BS'!AC14</f>
        <v/>
      </c>
      <c r="AD14" s="4">
        <f>'BALANCE SHEET'!I14</f>
        <v/>
      </c>
      <c r="AE14" s="11">
        <f>'BS DRIVERS'!AE13</f>
        <v/>
      </c>
      <c r="AF14" s="11">
        <f>'BS DRIVERS'!AF13</f>
        <v/>
      </c>
      <c r="AG14" s="11">
        <f>'BS DRIVERS'!AG13</f>
        <v/>
      </c>
      <c r="AH14" s="11">
        <f>'BS DRIVERS'!AH13</f>
        <v/>
      </c>
      <c r="AI14" s="11">
        <f>'BS DRIVERS'!AI13</f>
        <v/>
      </c>
      <c r="AJ14" s="11">
        <f>'BS DRIVERS'!AJ13</f>
        <v/>
      </c>
      <c r="AK14" s="11">
        <f>'BS DRIVERS'!AK13</f>
        <v/>
      </c>
      <c r="AL14" s="11">
        <f>'BS DRIVERS'!AL13</f>
        <v/>
      </c>
      <c r="AM14" s="11">
        <f>'BS DRIVERS'!AM13</f>
        <v/>
      </c>
      <c r="AN14" s="11">
        <f>'BS DRIVERS'!AN13</f>
        <v/>
      </c>
      <c r="AO14" s="11">
        <f>'BS DRIVERS'!AO13</f>
        <v/>
      </c>
      <c r="AP14" s="11">
        <f>'BS DRIVERS'!AP13</f>
        <v/>
      </c>
      <c r="AQ14" s="11">
        <f>'BS DRIVERS'!AQ13</f>
        <v/>
      </c>
      <c r="AR14" s="11">
        <f>'BS DRIVERS'!AR13</f>
        <v/>
      </c>
      <c r="AS14" s="11">
        <f>'BS DRIVERS'!AS13</f>
        <v/>
      </c>
      <c r="AT14" s="11">
        <f>'BS DRIVERS'!AT13</f>
        <v/>
      </c>
      <c r="AU14" s="11">
        <f>'BS DRIVERS'!AU13</f>
        <v/>
      </c>
      <c r="AV14" s="11">
        <f>'BS DRIVERS'!AV13</f>
        <v/>
      </c>
      <c r="AW14" s="11">
        <f>'BS DRIVERS'!AW13</f>
        <v/>
      </c>
      <c r="AX14" s="11">
        <f>'BS DRIVERS'!AX13</f>
        <v/>
      </c>
    </row>
    <row r="15">
      <c r="A15" s="3" t="inlineStr">
        <is>
          <t>Other Non-Current Assets</t>
        </is>
      </c>
      <c r="B15" s="4">
        <f>'BALANCE SHEET'!B15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SHEET'!C15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SHEET'!D15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SHEET'!E15</f>
        <v/>
      </c>
      <c r="O15" s="4">
        <f>'YTD BS'!O15</f>
        <v/>
      </c>
      <c r="P15" s="4">
        <f>'YTD BS'!P15</f>
        <v/>
      </c>
      <c r="Q15" s="4">
        <f>'YTD BS'!Q15</f>
        <v/>
      </c>
      <c r="R15" s="4">
        <f>'BALANCE SHEET'!F15</f>
        <v/>
      </c>
      <c r="S15" s="4">
        <f>'YTD BS'!S15</f>
        <v/>
      </c>
      <c r="T15" s="4">
        <f>'YTD BS'!T15</f>
        <v/>
      </c>
      <c r="U15" s="4">
        <f>'YTD BS'!U15</f>
        <v/>
      </c>
      <c r="V15" s="4">
        <f>'BALANCE SHEET'!G15</f>
        <v/>
      </c>
      <c r="W15" s="4">
        <f>'YTD BS'!W15</f>
        <v/>
      </c>
      <c r="X15" s="4">
        <f>'YTD BS'!X15</f>
        <v/>
      </c>
      <c r="Y15" s="4">
        <f>'YTD BS'!Y15</f>
        <v/>
      </c>
      <c r="Z15" s="4">
        <f>'BALANCE SHEET'!H15</f>
        <v/>
      </c>
      <c r="AA15" s="4">
        <f>'YTD BS'!AA15</f>
        <v/>
      </c>
      <c r="AB15" s="4">
        <f>'YTD BS'!AB15</f>
        <v/>
      </c>
      <c r="AC15" s="4">
        <f>'YTD BS'!AC15</f>
        <v/>
      </c>
      <c r="AD15" s="4">
        <f>'BALANCE SHEET'!I15</f>
        <v/>
      </c>
      <c r="AE15" s="11">
        <f>'QTR P&amp;L'!AH2*'BS DRIVERS'!AE14</f>
        <v/>
      </c>
      <c r="AF15" s="11">
        <f>'QTR P&amp;L'!AI2*'BS DRIVERS'!AF14</f>
        <v/>
      </c>
      <c r="AG15" s="11">
        <f>'QTR P&amp;L'!AJ2*'BS DRIVERS'!AG14</f>
        <v/>
      </c>
      <c r="AH15" s="11">
        <f>'QTR P&amp;L'!AK2*'BS DRIVERS'!AH14</f>
        <v/>
      </c>
      <c r="AI15" s="11">
        <f>'QTR P&amp;L'!AL2*'BS DRIVERS'!AI14</f>
        <v/>
      </c>
      <c r="AJ15" s="11">
        <f>'QTR P&amp;L'!AM2*'BS DRIVERS'!AJ14</f>
        <v/>
      </c>
      <c r="AK15" s="11">
        <f>'QTR P&amp;L'!AN2*'BS DRIVERS'!AK14</f>
        <v/>
      </c>
      <c r="AL15" s="11">
        <f>'QTR P&amp;L'!AO2*'BS DRIVERS'!AL14</f>
        <v/>
      </c>
      <c r="AM15" s="11">
        <f>'QTR P&amp;L'!AP2*'BS DRIVERS'!AM14</f>
        <v/>
      </c>
      <c r="AN15" s="11">
        <f>'QTR P&amp;L'!AQ2*'BS DRIVERS'!AN14</f>
        <v/>
      </c>
      <c r="AO15" s="11">
        <f>'QTR P&amp;L'!AR2*'BS DRIVERS'!AO14</f>
        <v/>
      </c>
      <c r="AP15" s="11">
        <f>'QTR P&amp;L'!AS2*'BS DRIVERS'!AP14</f>
        <v/>
      </c>
      <c r="AQ15" s="11">
        <f>'QTR P&amp;L'!AT2*'BS DRIVERS'!AQ14</f>
        <v/>
      </c>
      <c r="AR15" s="11">
        <f>'QTR P&amp;L'!AU2*'BS DRIVERS'!AR14</f>
        <v/>
      </c>
      <c r="AS15" s="11">
        <f>'QTR P&amp;L'!AV2*'BS DRIVERS'!AS14</f>
        <v/>
      </c>
      <c r="AT15" s="11">
        <f>'QTR P&amp;L'!AW2*'BS DRIVERS'!AT14</f>
        <v/>
      </c>
      <c r="AU15" s="11">
        <f>'QTR P&amp;L'!AX2*'BS DRIVERS'!AU14</f>
        <v/>
      </c>
      <c r="AV15" s="11">
        <f>'QTR P&amp;L'!AY2*'BS DRIVERS'!AV14</f>
        <v/>
      </c>
      <c r="AW15" s="11">
        <f>'QTR P&amp;L'!AZ2*'BS DRIVERS'!AW14</f>
        <v/>
      </c>
      <c r="AX15" s="11">
        <f>'QTR P&amp;L'!BA2*'BS DRIVERS'!AX14</f>
        <v/>
      </c>
    </row>
    <row r="16">
      <c r="A16" s="3" t="inlineStr">
        <is>
          <t>Total Assets</t>
        </is>
      </c>
      <c r="B16" s="6">
        <f>'BALANCE SHEET'!B16</f>
        <v/>
      </c>
      <c r="C16" s="6">
        <f>'YTD BS'!C16</f>
        <v/>
      </c>
      <c r="D16" s="6">
        <f>'YTD BS'!D16</f>
        <v/>
      </c>
      <c r="E16" s="6">
        <f>'YTD BS'!E16</f>
        <v/>
      </c>
      <c r="F16" s="6">
        <f>'BALANCE SHEET'!C16</f>
        <v/>
      </c>
      <c r="G16" s="6">
        <f>'YTD BS'!G16</f>
        <v/>
      </c>
      <c r="H16" s="6">
        <f>'YTD BS'!H16</f>
        <v/>
      </c>
      <c r="I16" s="6">
        <f>'YTD BS'!I16</f>
        <v/>
      </c>
      <c r="J16" s="6">
        <f>'BALANCE SHEET'!D16</f>
        <v/>
      </c>
      <c r="K16" s="6">
        <f>'YTD BS'!K16</f>
        <v/>
      </c>
      <c r="L16" s="6">
        <f>'YTD BS'!L16</f>
        <v/>
      </c>
      <c r="M16" s="6">
        <f>'YTD BS'!M16</f>
        <v/>
      </c>
      <c r="N16" s="6">
        <f>'BALANCE SHEET'!E16</f>
        <v/>
      </c>
      <c r="O16" s="6">
        <f>'YTD BS'!O16</f>
        <v/>
      </c>
      <c r="P16" s="6">
        <f>'YTD BS'!P16</f>
        <v/>
      </c>
      <c r="Q16" s="6">
        <f>'YTD BS'!Q16</f>
        <v/>
      </c>
      <c r="R16" s="6">
        <f>'BALANCE SHEET'!F16</f>
        <v/>
      </c>
      <c r="S16" s="6">
        <f>'YTD BS'!S16</f>
        <v/>
      </c>
      <c r="T16" s="6">
        <f>'YTD BS'!T16</f>
        <v/>
      </c>
      <c r="U16" s="6">
        <f>'YTD BS'!U16</f>
        <v/>
      </c>
      <c r="V16" s="6">
        <f>'BALANCE SHEET'!G16</f>
        <v/>
      </c>
      <c r="W16" s="6">
        <f>'YTD BS'!W16</f>
        <v/>
      </c>
      <c r="X16" s="6">
        <f>'YTD BS'!X16</f>
        <v/>
      </c>
      <c r="Y16" s="6">
        <f>'YTD BS'!Y16</f>
        <v/>
      </c>
      <c r="Z16" s="6">
        <f>'BALANCE SHEET'!H16</f>
        <v/>
      </c>
      <c r="AA16" s="6">
        <f>'YTD BS'!AA16</f>
        <v/>
      </c>
      <c r="AB16" s="6">
        <f>'YTD BS'!AB16</f>
        <v/>
      </c>
      <c r="AC16" s="6">
        <f>'YTD BS'!AC16</f>
        <v/>
      </c>
      <c r="AD16" s="6">
        <f>'BALANCE SHEET'!I16</f>
        <v/>
      </c>
      <c r="AE16" s="7">
        <f>AE8+SUM(AE9:AE15)</f>
        <v/>
      </c>
      <c r="AF16" s="7">
        <f>AF8+SUM(AF9:AF15)</f>
        <v/>
      </c>
      <c r="AG16" s="7">
        <f>AG8+SUM(AG9:AG15)</f>
        <v/>
      </c>
      <c r="AH16" s="7">
        <f>AH8+SUM(AH9:AH15)</f>
        <v/>
      </c>
      <c r="AI16" s="7">
        <f>AI8+SUM(AI9:AI15)</f>
        <v/>
      </c>
      <c r="AJ16" s="7">
        <f>AJ8+SUM(AJ9:AJ15)</f>
        <v/>
      </c>
      <c r="AK16" s="7">
        <f>AK8+SUM(AK9:AK15)</f>
        <v/>
      </c>
      <c r="AL16" s="7">
        <f>AL8+SUM(AL9:AL15)</f>
        <v/>
      </c>
      <c r="AM16" s="7">
        <f>AM8+SUM(AM9:AM15)</f>
        <v/>
      </c>
      <c r="AN16" s="7">
        <f>AN8+SUM(AN9:AN15)</f>
        <v/>
      </c>
      <c r="AO16" s="7">
        <f>AO8+SUM(AO9:AO15)</f>
        <v/>
      </c>
      <c r="AP16" s="7">
        <f>AP8+SUM(AP9:AP15)</f>
        <v/>
      </c>
      <c r="AQ16" s="7">
        <f>AQ8+SUM(AQ9:AQ15)</f>
        <v/>
      </c>
      <c r="AR16" s="7">
        <f>AR8+SUM(AR9:AR15)</f>
        <v/>
      </c>
      <c r="AS16" s="7">
        <f>AS8+SUM(AS9:AS15)</f>
        <v/>
      </c>
      <c r="AT16" s="7">
        <f>AT8+SUM(AT9:AT15)</f>
        <v/>
      </c>
      <c r="AU16" s="7">
        <f>AU8+SUM(AU9:AU15)</f>
        <v/>
      </c>
      <c r="AV16" s="7">
        <f>AV8+SUM(AV9:AV15)</f>
        <v/>
      </c>
      <c r="AW16" s="7">
        <f>AW8+SUM(AW9:AW15)</f>
        <v/>
      </c>
      <c r="AX16" s="7">
        <f>AX8+SUM(AX9:AX15)</f>
        <v/>
      </c>
    </row>
    <row r="17">
      <c r="A17" s="3" t="inlineStr">
        <is>
          <t>Accounts Payable</t>
        </is>
      </c>
      <c r="B17" s="4">
        <f>'BALANCE SHEET'!B17</f>
        <v/>
      </c>
      <c r="C17" s="4">
        <f>'YTD BS'!C17</f>
        <v/>
      </c>
      <c r="D17" s="4">
        <f>'YTD BS'!D17</f>
        <v/>
      </c>
      <c r="E17" s="4">
        <f>'YTD BS'!E17</f>
        <v/>
      </c>
      <c r="F17" s="4">
        <f>'BALANCE SHEET'!C17</f>
        <v/>
      </c>
      <c r="G17" s="4">
        <f>'YTD BS'!G17</f>
        <v/>
      </c>
      <c r="H17" s="4">
        <f>'YTD BS'!H17</f>
        <v/>
      </c>
      <c r="I17" s="4">
        <f>'YTD BS'!I17</f>
        <v/>
      </c>
      <c r="J17" s="4">
        <f>'BALANCE SHEET'!D17</f>
        <v/>
      </c>
      <c r="K17" s="4">
        <f>'YTD BS'!K17</f>
        <v/>
      </c>
      <c r="L17" s="4">
        <f>'YTD BS'!L17</f>
        <v/>
      </c>
      <c r="M17" s="4">
        <f>'YTD BS'!M17</f>
        <v/>
      </c>
      <c r="N17" s="4">
        <f>'BALANCE SHEET'!E17</f>
        <v/>
      </c>
      <c r="O17" s="4">
        <f>'YTD BS'!O17</f>
        <v/>
      </c>
      <c r="P17" s="4">
        <f>'YTD BS'!P17</f>
        <v/>
      </c>
      <c r="Q17" s="4">
        <f>'YTD BS'!Q17</f>
        <v/>
      </c>
      <c r="R17" s="4">
        <f>'BALANCE SHEET'!F17</f>
        <v/>
      </c>
      <c r="S17" s="4">
        <f>'YTD BS'!S17</f>
        <v/>
      </c>
      <c r="T17" s="4">
        <f>'YTD BS'!T17</f>
        <v/>
      </c>
      <c r="U17" s="4">
        <f>'YTD BS'!U17</f>
        <v/>
      </c>
      <c r="V17" s="4">
        <f>'BALANCE SHEET'!G17</f>
        <v/>
      </c>
      <c r="W17" s="4">
        <f>'YTD BS'!W17</f>
        <v/>
      </c>
      <c r="X17" s="4">
        <f>'YTD BS'!X17</f>
        <v/>
      </c>
      <c r="Y17" s="4">
        <f>'YTD BS'!Y17</f>
        <v/>
      </c>
      <c r="Z17" s="4">
        <f>'BALANCE SHEET'!H17</f>
        <v/>
      </c>
      <c r="AA17" s="4">
        <f>'YTD BS'!AA17</f>
        <v/>
      </c>
      <c r="AB17" s="4">
        <f>'YTD BS'!AB17</f>
        <v/>
      </c>
      <c r="AC17" s="4">
        <f>'YTD BS'!AC17</f>
        <v/>
      </c>
      <c r="AD17" s="4">
        <f>'BALANCE SHEET'!I17</f>
        <v/>
      </c>
      <c r="AE17" s="11">
        <f>'QTR P&amp;L'!AH3*'BS DRIVERS'!AE15/ASSUMPTIONS!$B$2</f>
        <v/>
      </c>
      <c r="AF17" s="11">
        <f>'QTR P&amp;L'!AI3*'BS DRIVERS'!AF15/ASSUMPTIONS!$B$2</f>
        <v/>
      </c>
      <c r="AG17" s="11">
        <f>'QTR P&amp;L'!AJ3*'BS DRIVERS'!AG15/ASSUMPTIONS!$B$2</f>
        <v/>
      </c>
      <c r="AH17" s="11">
        <f>'QTR P&amp;L'!AK3*'BS DRIVERS'!AH15/ASSUMPTIONS!$B$2</f>
        <v/>
      </c>
      <c r="AI17" s="11">
        <f>'QTR P&amp;L'!AL3*'BS DRIVERS'!AI15/ASSUMPTIONS!$B$2</f>
        <v/>
      </c>
      <c r="AJ17" s="11">
        <f>'QTR P&amp;L'!AM3*'BS DRIVERS'!AJ15/ASSUMPTIONS!$B$2</f>
        <v/>
      </c>
      <c r="AK17" s="11">
        <f>'QTR P&amp;L'!AN3*'BS DRIVERS'!AK15/ASSUMPTIONS!$B$2</f>
        <v/>
      </c>
      <c r="AL17" s="11">
        <f>'QTR P&amp;L'!AO3*'BS DRIVERS'!AL15/ASSUMPTIONS!$B$2</f>
        <v/>
      </c>
      <c r="AM17" s="11">
        <f>'QTR P&amp;L'!AP3*'BS DRIVERS'!AM15/ASSUMPTIONS!$B$2</f>
        <v/>
      </c>
      <c r="AN17" s="11">
        <f>'QTR P&amp;L'!AQ3*'BS DRIVERS'!AN15/ASSUMPTIONS!$B$2</f>
        <v/>
      </c>
      <c r="AO17" s="11">
        <f>'QTR P&amp;L'!AR3*'BS DRIVERS'!AO15/ASSUMPTIONS!$B$2</f>
        <v/>
      </c>
      <c r="AP17" s="11">
        <f>'QTR P&amp;L'!AS3*'BS DRIVERS'!AP15/ASSUMPTIONS!$B$2</f>
        <v/>
      </c>
      <c r="AQ17" s="11">
        <f>'QTR P&amp;L'!AT3*'BS DRIVERS'!AQ15/ASSUMPTIONS!$B$2</f>
        <v/>
      </c>
      <c r="AR17" s="11">
        <f>'QTR P&amp;L'!AU3*'BS DRIVERS'!AR15/ASSUMPTIONS!$B$2</f>
        <v/>
      </c>
      <c r="AS17" s="11">
        <f>'QTR P&amp;L'!AV3*'BS DRIVERS'!AS15/ASSUMPTIONS!$B$2</f>
        <v/>
      </c>
      <c r="AT17" s="11">
        <f>'QTR P&amp;L'!AW3*'BS DRIVERS'!AT15/ASSUMPTIONS!$B$2</f>
        <v/>
      </c>
      <c r="AU17" s="11">
        <f>'QTR P&amp;L'!AX3*'BS DRIVERS'!AU15/ASSUMPTIONS!$B$2</f>
        <v/>
      </c>
      <c r="AV17" s="11">
        <f>'QTR P&amp;L'!AY3*'BS DRIVERS'!AV15/ASSUMPTIONS!$B$2</f>
        <v/>
      </c>
      <c r="AW17" s="11">
        <f>'QTR P&amp;L'!AZ3*'BS DRIVERS'!AW15/ASSUMPTIONS!$B$2</f>
        <v/>
      </c>
      <c r="AX17" s="11">
        <f>'QTR P&amp;L'!BA3*'BS DRIVERS'!AX15/ASSUMPTIONS!$B$2</f>
        <v/>
      </c>
    </row>
    <row r="18">
      <c r="A18" s="3" t="inlineStr">
        <is>
          <t>Accrued Compensation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  <c r="P18" s="4">
        <f>'YTD BS'!P18</f>
        <v/>
      </c>
      <c r="Q18" s="4">
        <f>'YTD BS'!Q18</f>
        <v/>
      </c>
      <c r="R18" s="4">
        <f>'BALANCE SHEET'!F18</f>
        <v/>
      </c>
      <c r="S18" s="4">
        <f>'YTD BS'!S18</f>
        <v/>
      </c>
      <c r="T18" s="4">
        <f>'YTD BS'!T18</f>
        <v/>
      </c>
      <c r="U18" s="4">
        <f>'YTD BS'!U18</f>
        <v/>
      </c>
      <c r="V18" s="4">
        <f>'BALANCE SHEET'!G18</f>
        <v/>
      </c>
      <c r="W18" s="4">
        <f>'YTD BS'!W18</f>
        <v/>
      </c>
      <c r="X18" s="4">
        <f>'YTD BS'!X18</f>
        <v/>
      </c>
      <c r="Y18" s="4">
        <f>'YTD BS'!Y18</f>
        <v/>
      </c>
      <c r="Z18" s="4">
        <f>'BALANCE SHEET'!H18</f>
        <v/>
      </c>
      <c r="AA18" s="4">
        <f>'YTD BS'!AA18</f>
        <v/>
      </c>
      <c r="AB18" s="4">
        <f>'YTD BS'!AB18</f>
        <v/>
      </c>
      <c r="AC18" s="4">
        <f>'YTD BS'!AC18</f>
        <v/>
      </c>
      <c r="AD18" s="4">
        <f>'BALANCE SHEET'!I18</f>
        <v/>
      </c>
      <c r="AE18" s="11">
        <f>'QTR P&amp;L'!AH2*'BS DRIVERS'!AE16</f>
        <v/>
      </c>
      <c r="AF18" s="11">
        <f>'QTR P&amp;L'!AI2*'BS DRIVERS'!AF16</f>
        <v/>
      </c>
      <c r="AG18" s="11">
        <f>'QTR P&amp;L'!AJ2*'BS DRIVERS'!AG16</f>
        <v/>
      </c>
      <c r="AH18" s="11">
        <f>'QTR P&amp;L'!AK2*'BS DRIVERS'!AH16</f>
        <v/>
      </c>
      <c r="AI18" s="11">
        <f>'QTR P&amp;L'!AL2*'BS DRIVERS'!AI16</f>
        <v/>
      </c>
      <c r="AJ18" s="11">
        <f>'QTR P&amp;L'!AM2*'BS DRIVERS'!AJ16</f>
        <v/>
      </c>
      <c r="AK18" s="11">
        <f>'QTR P&amp;L'!AN2*'BS DRIVERS'!AK16</f>
        <v/>
      </c>
      <c r="AL18" s="11">
        <f>'QTR P&amp;L'!AO2*'BS DRIVERS'!AL16</f>
        <v/>
      </c>
      <c r="AM18" s="11">
        <f>'QTR P&amp;L'!AP2*'BS DRIVERS'!AM16</f>
        <v/>
      </c>
      <c r="AN18" s="11">
        <f>'QTR P&amp;L'!AQ2*'BS DRIVERS'!AN16</f>
        <v/>
      </c>
      <c r="AO18" s="11">
        <f>'QTR P&amp;L'!AR2*'BS DRIVERS'!AO16</f>
        <v/>
      </c>
      <c r="AP18" s="11">
        <f>'QTR P&amp;L'!AS2*'BS DRIVERS'!AP16</f>
        <v/>
      </c>
      <c r="AQ18" s="11">
        <f>'QTR P&amp;L'!AT2*'BS DRIVERS'!AQ16</f>
        <v/>
      </c>
      <c r="AR18" s="11">
        <f>'QTR P&amp;L'!AU2*'BS DRIVERS'!AR16</f>
        <v/>
      </c>
      <c r="AS18" s="11">
        <f>'QTR P&amp;L'!AV2*'BS DRIVERS'!AS16</f>
        <v/>
      </c>
      <c r="AT18" s="11">
        <f>'QTR P&amp;L'!AW2*'BS DRIVERS'!AT16</f>
        <v/>
      </c>
      <c r="AU18" s="11">
        <f>'QTR P&amp;L'!AX2*'BS DRIVERS'!AU16</f>
        <v/>
      </c>
      <c r="AV18" s="11">
        <f>'QTR P&amp;L'!AY2*'BS DRIVERS'!AV16</f>
        <v/>
      </c>
      <c r="AW18" s="11">
        <f>'QTR P&amp;L'!AZ2*'BS DRIVERS'!AW16</f>
        <v/>
      </c>
      <c r="AX18" s="11">
        <f>'QTR P&amp;L'!BA2*'BS DRIVERS'!AX16</f>
        <v/>
      </c>
    </row>
    <row r="19">
      <c r="A19" s="3" t="inlineStr">
        <is>
          <t>Accrued Expenses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  <c r="P19" s="4">
        <f>'YTD BS'!P19</f>
        <v/>
      </c>
      <c r="Q19" s="4">
        <f>'YTD BS'!Q19</f>
        <v/>
      </c>
      <c r="R19" s="4">
        <f>'BALANCE SHEET'!F19</f>
        <v/>
      </c>
      <c r="S19" s="4">
        <f>'YTD BS'!S19</f>
        <v/>
      </c>
      <c r="T19" s="4">
        <f>'YTD BS'!T19</f>
        <v/>
      </c>
      <c r="U19" s="4">
        <f>'YTD BS'!U19</f>
        <v/>
      </c>
      <c r="V19" s="4">
        <f>'BALANCE SHEET'!G19</f>
        <v/>
      </c>
      <c r="W19" s="4">
        <f>'YTD BS'!W19</f>
        <v/>
      </c>
      <c r="X19" s="4">
        <f>'YTD BS'!X19</f>
        <v/>
      </c>
      <c r="Y19" s="4">
        <f>'YTD BS'!Y19</f>
        <v/>
      </c>
      <c r="Z19" s="4">
        <f>'BALANCE SHEET'!H19</f>
        <v/>
      </c>
      <c r="AA19" s="4">
        <f>'YTD BS'!AA19</f>
        <v/>
      </c>
      <c r="AB19" s="4">
        <f>'YTD BS'!AB19</f>
        <v/>
      </c>
      <c r="AC19" s="4">
        <f>'YTD BS'!AC19</f>
        <v/>
      </c>
      <c r="AD19" s="4">
        <f>'BALANCE SHEET'!I19</f>
        <v/>
      </c>
      <c r="AE19" s="11">
        <f>'QTR P&amp;L'!AH2*'BS DRIVERS'!AE17</f>
        <v/>
      </c>
      <c r="AF19" s="11">
        <f>'QTR P&amp;L'!AI2*'BS DRIVERS'!AF17</f>
        <v/>
      </c>
      <c r="AG19" s="11">
        <f>'QTR P&amp;L'!AJ2*'BS DRIVERS'!AG17</f>
        <v/>
      </c>
      <c r="AH19" s="11">
        <f>'QTR P&amp;L'!AK2*'BS DRIVERS'!AH17</f>
        <v/>
      </c>
      <c r="AI19" s="11">
        <f>'QTR P&amp;L'!AL2*'BS DRIVERS'!AI17</f>
        <v/>
      </c>
      <c r="AJ19" s="11">
        <f>'QTR P&amp;L'!AM2*'BS DRIVERS'!AJ17</f>
        <v/>
      </c>
      <c r="AK19" s="11">
        <f>'QTR P&amp;L'!AN2*'BS DRIVERS'!AK17</f>
        <v/>
      </c>
      <c r="AL19" s="11">
        <f>'QTR P&amp;L'!AO2*'BS DRIVERS'!AL17</f>
        <v/>
      </c>
      <c r="AM19" s="11">
        <f>'QTR P&amp;L'!AP2*'BS DRIVERS'!AM17</f>
        <v/>
      </c>
      <c r="AN19" s="11">
        <f>'QTR P&amp;L'!AQ2*'BS DRIVERS'!AN17</f>
        <v/>
      </c>
      <c r="AO19" s="11">
        <f>'QTR P&amp;L'!AR2*'BS DRIVERS'!AO17</f>
        <v/>
      </c>
      <c r="AP19" s="11">
        <f>'QTR P&amp;L'!AS2*'BS DRIVERS'!AP17</f>
        <v/>
      </c>
      <c r="AQ19" s="11">
        <f>'QTR P&amp;L'!AT2*'BS DRIVERS'!AQ17</f>
        <v/>
      </c>
      <c r="AR19" s="11">
        <f>'QTR P&amp;L'!AU2*'BS DRIVERS'!AR17</f>
        <v/>
      </c>
      <c r="AS19" s="11">
        <f>'QTR P&amp;L'!AV2*'BS DRIVERS'!AS17</f>
        <v/>
      </c>
      <c r="AT19" s="11">
        <f>'QTR P&amp;L'!AW2*'BS DRIVERS'!AT17</f>
        <v/>
      </c>
      <c r="AU19" s="11">
        <f>'QTR P&amp;L'!AX2*'BS DRIVERS'!AU17</f>
        <v/>
      </c>
      <c r="AV19" s="11">
        <f>'QTR P&amp;L'!AY2*'BS DRIVERS'!AV17</f>
        <v/>
      </c>
      <c r="AW19" s="11">
        <f>'QTR P&amp;L'!AZ2*'BS DRIVERS'!AW17</f>
        <v/>
      </c>
      <c r="AX19" s="11">
        <f>'QTR P&amp;L'!BA2*'BS DRIVERS'!AX17</f>
        <v/>
      </c>
    </row>
    <row r="20">
      <c r="A20" s="3" t="inlineStr">
        <is>
          <t>Accrued Revenue Share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4">
        <f>'YTD BS'!P20</f>
        <v/>
      </c>
      <c r="Q20" s="4">
        <f>'YTD BS'!Q20</f>
        <v/>
      </c>
      <c r="R20" s="4">
        <f>'BALANCE SHEET'!F20</f>
        <v/>
      </c>
      <c r="S20" s="4">
        <f>'YTD BS'!S20</f>
        <v/>
      </c>
      <c r="T20" s="4">
        <f>'YTD BS'!T20</f>
        <v/>
      </c>
      <c r="U20" s="4">
        <f>'YTD BS'!U20</f>
        <v/>
      </c>
      <c r="V20" s="4">
        <f>'BALANCE SHEET'!G20</f>
        <v/>
      </c>
      <c r="W20" s="4">
        <f>'YTD BS'!W20</f>
        <v/>
      </c>
      <c r="X20" s="4">
        <f>'YTD BS'!X20</f>
        <v/>
      </c>
      <c r="Y20" s="4">
        <f>'YTD BS'!Y20</f>
        <v/>
      </c>
      <c r="Z20" s="4">
        <f>'BALANCE SHEET'!H20</f>
        <v/>
      </c>
      <c r="AA20" s="4">
        <f>'YTD BS'!AA20</f>
        <v/>
      </c>
      <c r="AB20" s="4">
        <f>'YTD BS'!AB20</f>
        <v/>
      </c>
      <c r="AC20" s="4">
        <f>'YTD BS'!AC20</f>
        <v/>
      </c>
      <c r="AD20" s="4">
        <f>'BALANCE SHEET'!I20</f>
        <v/>
      </c>
      <c r="AE20" s="11">
        <f>'QTR P&amp;L'!AH2*'BS DRIVERS'!AE18</f>
        <v/>
      </c>
      <c r="AF20" s="11">
        <f>'QTR P&amp;L'!AI2*'BS DRIVERS'!AF18</f>
        <v/>
      </c>
      <c r="AG20" s="11">
        <f>'QTR P&amp;L'!AJ2*'BS DRIVERS'!AG18</f>
        <v/>
      </c>
      <c r="AH20" s="11">
        <f>'QTR P&amp;L'!AK2*'BS DRIVERS'!AH18</f>
        <v/>
      </c>
      <c r="AI20" s="11">
        <f>'QTR P&amp;L'!AL2*'BS DRIVERS'!AI18</f>
        <v/>
      </c>
      <c r="AJ20" s="11">
        <f>'QTR P&amp;L'!AM2*'BS DRIVERS'!AJ18</f>
        <v/>
      </c>
      <c r="AK20" s="11">
        <f>'QTR P&amp;L'!AN2*'BS DRIVERS'!AK18</f>
        <v/>
      </c>
      <c r="AL20" s="11">
        <f>'QTR P&amp;L'!AO2*'BS DRIVERS'!AL18</f>
        <v/>
      </c>
      <c r="AM20" s="11">
        <f>'QTR P&amp;L'!AP2*'BS DRIVERS'!AM18</f>
        <v/>
      </c>
      <c r="AN20" s="11">
        <f>'QTR P&amp;L'!AQ2*'BS DRIVERS'!AN18</f>
        <v/>
      </c>
      <c r="AO20" s="11">
        <f>'QTR P&amp;L'!AR2*'BS DRIVERS'!AO18</f>
        <v/>
      </c>
      <c r="AP20" s="11">
        <f>'QTR P&amp;L'!AS2*'BS DRIVERS'!AP18</f>
        <v/>
      </c>
      <c r="AQ20" s="11">
        <f>'QTR P&amp;L'!AT2*'BS DRIVERS'!AQ18</f>
        <v/>
      </c>
      <c r="AR20" s="11">
        <f>'QTR P&amp;L'!AU2*'BS DRIVERS'!AR18</f>
        <v/>
      </c>
      <c r="AS20" s="11">
        <f>'QTR P&amp;L'!AV2*'BS DRIVERS'!AS18</f>
        <v/>
      </c>
      <c r="AT20" s="11">
        <f>'QTR P&amp;L'!AW2*'BS DRIVERS'!AT18</f>
        <v/>
      </c>
      <c r="AU20" s="11">
        <f>'QTR P&amp;L'!AX2*'BS DRIVERS'!AU18</f>
        <v/>
      </c>
      <c r="AV20" s="11">
        <f>'QTR P&amp;L'!AY2*'BS DRIVERS'!AV18</f>
        <v/>
      </c>
      <c r="AW20" s="11">
        <f>'QTR P&amp;L'!AZ2*'BS DRIVERS'!AW18</f>
        <v/>
      </c>
      <c r="AX20" s="11">
        <f>'QTR P&amp;L'!BA2*'BS DRIVERS'!AX18</f>
        <v/>
      </c>
    </row>
    <row r="21">
      <c r="A21" s="3" t="inlineStr">
        <is>
          <t>Deferred Revenue - Current</t>
        </is>
      </c>
      <c r="B21" s="4">
        <f>'BALANCE SHEET'!B21</f>
        <v/>
      </c>
      <c r="C21" s="4">
        <f>'YTD BS'!C21</f>
        <v/>
      </c>
      <c r="D21" s="4">
        <f>'YTD BS'!D21</f>
        <v/>
      </c>
      <c r="E21" s="4">
        <f>'YTD BS'!E21</f>
        <v/>
      </c>
      <c r="F21" s="4">
        <f>'BALANCE SHEET'!C21</f>
        <v/>
      </c>
      <c r="G21" s="4">
        <f>'YTD BS'!G21</f>
        <v/>
      </c>
      <c r="H21" s="4">
        <f>'YTD BS'!H21</f>
        <v/>
      </c>
      <c r="I21" s="4">
        <f>'YTD BS'!I21</f>
        <v/>
      </c>
      <c r="J21" s="4">
        <f>'BALANCE SHEET'!D21</f>
        <v/>
      </c>
      <c r="K21" s="4">
        <f>'YTD BS'!K21</f>
        <v/>
      </c>
      <c r="L21" s="4">
        <f>'YTD BS'!L21</f>
        <v/>
      </c>
      <c r="M21" s="4">
        <f>'YTD BS'!M21</f>
        <v/>
      </c>
      <c r="N21" s="4">
        <f>'BALANCE SHEET'!E21</f>
        <v/>
      </c>
      <c r="O21" s="4">
        <f>'YTD BS'!O21</f>
        <v/>
      </c>
      <c r="P21" s="4">
        <f>'YTD BS'!P21</f>
        <v/>
      </c>
      <c r="Q21" s="4">
        <f>'YTD BS'!Q21</f>
        <v/>
      </c>
      <c r="R21" s="4">
        <f>'BALANCE SHEET'!F21</f>
        <v/>
      </c>
      <c r="S21" s="4">
        <f>'YTD BS'!S21</f>
        <v/>
      </c>
      <c r="T21" s="4">
        <f>'YTD BS'!T21</f>
        <v/>
      </c>
      <c r="U21" s="4">
        <f>'YTD BS'!U21</f>
        <v/>
      </c>
      <c r="V21" s="4">
        <f>'BALANCE SHEET'!G21</f>
        <v/>
      </c>
      <c r="W21" s="4">
        <f>'YTD BS'!W21</f>
        <v/>
      </c>
      <c r="X21" s="4">
        <f>'YTD BS'!X21</f>
        <v/>
      </c>
      <c r="Y21" s="4">
        <f>'YTD BS'!Y21</f>
        <v/>
      </c>
      <c r="Z21" s="4">
        <f>'BALANCE SHEET'!H21</f>
        <v/>
      </c>
      <c r="AA21" s="4">
        <f>'YTD BS'!AA21</f>
        <v/>
      </c>
      <c r="AB21" s="4">
        <f>'YTD BS'!AB21</f>
        <v/>
      </c>
      <c r="AC21" s="4">
        <f>'YTD BS'!AC21</f>
        <v/>
      </c>
      <c r="AD21" s="4">
        <f>'BALANCE SHEET'!I21</f>
        <v/>
      </c>
      <c r="AE21" s="11">
        <f>'QTR P&amp;L'!AH2*'BS DRIVERS'!AE19</f>
        <v/>
      </c>
      <c r="AF21" s="11">
        <f>'QTR P&amp;L'!AI2*'BS DRIVERS'!AF19</f>
        <v/>
      </c>
      <c r="AG21" s="11">
        <f>'QTR P&amp;L'!AJ2*'BS DRIVERS'!AG19</f>
        <v/>
      </c>
      <c r="AH21" s="11">
        <f>'QTR P&amp;L'!AK2*'BS DRIVERS'!AH19</f>
        <v/>
      </c>
      <c r="AI21" s="11">
        <f>'QTR P&amp;L'!AL2*'BS DRIVERS'!AI19</f>
        <v/>
      </c>
      <c r="AJ21" s="11">
        <f>'QTR P&amp;L'!AM2*'BS DRIVERS'!AJ19</f>
        <v/>
      </c>
      <c r="AK21" s="11">
        <f>'QTR P&amp;L'!AN2*'BS DRIVERS'!AK19</f>
        <v/>
      </c>
      <c r="AL21" s="11">
        <f>'QTR P&amp;L'!AO2*'BS DRIVERS'!AL19</f>
        <v/>
      </c>
      <c r="AM21" s="11">
        <f>'QTR P&amp;L'!AP2*'BS DRIVERS'!AM19</f>
        <v/>
      </c>
      <c r="AN21" s="11">
        <f>'QTR P&amp;L'!AQ2*'BS DRIVERS'!AN19</f>
        <v/>
      </c>
      <c r="AO21" s="11">
        <f>'QTR P&amp;L'!AR2*'BS DRIVERS'!AO19</f>
        <v/>
      </c>
      <c r="AP21" s="11">
        <f>'QTR P&amp;L'!AS2*'BS DRIVERS'!AP19</f>
        <v/>
      </c>
      <c r="AQ21" s="11">
        <f>'QTR P&amp;L'!AT2*'BS DRIVERS'!AQ19</f>
        <v/>
      </c>
      <c r="AR21" s="11">
        <f>'QTR P&amp;L'!AU2*'BS DRIVERS'!AR19</f>
        <v/>
      </c>
      <c r="AS21" s="11">
        <f>'QTR P&amp;L'!AV2*'BS DRIVERS'!AS19</f>
        <v/>
      </c>
      <c r="AT21" s="11">
        <f>'QTR P&amp;L'!AW2*'BS DRIVERS'!AT19</f>
        <v/>
      </c>
      <c r="AU21" s="11">
        <f>'QTR P&amp;L'!AX2*'BS DRIVERS'!AU19</f>
        <v/>
      </c>
      <c r="AV21" s="11">
        <f>'QTR P&amp;L'!AY2*'BS DRIVERS'!AV19</f>
        <v/>
      </c>
      <c r="AW21" s="11">
        <f>'QTR P&amp;L'!AZ2*'BS DRIVERS'!AW19</f>
        <v/>
      </c>
      <c r="AX21" s="11">
        <f>'QTR P&amp;L'!BA2*'BS DRIVERS'!AX19</f>
        <v/>
      </c>
    </row>
    <row r="22">
      <c r="A22" s="3" t="inlineStr">
        <is>
          <t>Income Taxes Payable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  <c r="P22" s="4">
        <f>'YTD BS'!P22</f>
        <v/>
      </c>
      <c r="Q22" s="4">
        <f>'YTD BS'!Q22</f>
        <v/>
      </c>
      <c r="R22" s="4">
        <f>'BALANCE SHEET'!F22</f>
        <v/>
      </c>
      <c r="S22" s="4">
        <f>'YTD BS'!S22</f>
        <v/>
      </c>
      <c r="T22" s="4">
        <f>'YTD BS'!T22</f>
        <v/>
      </c>
      <c r="U22" s="4">
        <f>'YTD BS'!U22</f>
        <v/>
      </c>
      <c r="V22" s="4">
        <f>'BALANCE SHEET'!G22</f>
        <v/>
      </c>
      <c r="W22" s="4">
        <f>'YTD BS'!W22</f>
        <v/>
      </c>
      <c r="X22" s="4">
        <f>'YTD BS'!X22</f>
        <v/>
      </c>
      <c r="Y22" s="4">
        <f>'YTD BS'!Y22</f>
        <v/>
      </c>
      <c r="Z22" s="4">
        <f>'BALANCE SHEET'!H22</f>
        <v/>
      </c>
      <c r="AA22" s="4">
        <f>'YTD BS'!AA22</f>
        <v/>
      </c>
      <c r="AB22" s="4">
        <f>'YTD BS'!AB22</f>
        <v/>
      </c>
      <c r="AC22" s="4">
        <f>'YTD BS'!AC22</f>
        <v/>
      </c>
      <c r="AD22" s="4">
        <f>'BALANCE SHEET'!I22</f>
        <v/>
      </c>
      <c r="AE22" s="11">
        <f>'QTR P&amp;L'!AH2*'BS DRIVERS'!AE20</f>
        <v/>
      </c>
      <c r="AF22" s="11">
        <f>'QTR P&amp;L'!AI2*'BS DRIVERS'!AF20</f>
        <v/>
      </c>
      <c r="AG22" s="11">
        <f>'QTR P&amp;L'!AJ2*'BS DRIVERS'!AG20</f>
        <v/>
      </c>
      <c r="AH22" s="11">
        <f>'QTR P&amp;L'!AK2*'BS DRIVERS'!AH20</f>
        <v/>
      </c>
      <c r="AI22" s="11">
        <f>'QTR P&amp;L'!AL2*'BS DRIVERS'!AI20</f>
        <v/>
      </c>
      <c r="AJ22" s="11">
        <f>'QTR P&amp;L'!AM2*'BS DRIVERS'!AJ20</f>
        <v/>
      </c>
      <c r="AK22" s="11">
        <f>'QTR P&amp;L'!AN2*'BS DRIVERS'!AK20</f>
        <v/>
      </c>
      <c r="AL22" s="11">
        <f>'QTR P&amp;L'!AO2*'BS DRIVERS'!AL20</f>
        <v/>
      </c>
      <c r="AM22" s="11">
        <f>'QTR P&amp;L'!AP2*'BS DRIVERS'!AM20</f>
        <v/>
      </c>
      <c r="AN22" s="11">
        <f>'QTR P&amp;L'!AQ2*'BS DRIVERS'!AN20</f>
        <v/>
      </c>
      <c r="AO22" s="11">
        <f>'QTR P&amp;L'!AR2*'BS DRIVERS'!AO20</f>
        <v/>
      </c>
      <c r="AP22" s="11">
        <f>'QTR P&amp;L'!AS2*'BS DRIVERS'!AP20</f>
        <v/>
      </c>
      <c r="AQ22" s="11">
        <f>'QTR P&amp;L'!AT2*'BS DRIVERS'!AQ20</f>
        <v/>
      </c>
      <c r="AR22" s="11">
        <f>'QTR P&amp;L'!AU2*'BS DRIVERS'!AR20</f>
        <v/>
      </c>
      <c r="AS22" s="11">
        <f>'QTR P&amp;L'!AV2*'BS DRIVERS'!AS20</f>
        <v/>
      </c>
      <c r="AT22" s="11">
        <f>'QTR P&amp;L'!AW2*'BS DRIVERS'!AT20</f>
        <v/>
      </c>
      <c r="AU22" s="11">
        <f>'QTR P&amp;L'!AX2*'BS DRIVERS'!AU20</f>
        <v/>
      </c>
      <c r="AV22" s="11">
        <f>'QTR P&amp;L'!AY2*'BS DRIVERS'!AV20</f>
        <v/>
      </c>
      <c r="AW22" s="11">
        <f>'QTR P&amp;L'!AZ2*'BS DRIVERS'!AW20</f>
        <v/>
      </c>
      <c r="AX22" s="11">
        <f>'QTR P&amp;L'!BA2*'BS DRIVERS'!AX20</f>
        <v/>
      </c>
    </row>
    <row r="23">
      <c r="A23" s="3" t="inlineStr">
        <is>
          <t>Total Current Liabilities</t>
        </is>
      </c>
      <c r="B23" s="6">
        <f>'BALANCE SHEET'!B23</f>
        <v/>
      </c>
      <c r="C23" s="6">
        <f>'YTD BS'!C23</f>
        <v/>
      </c>
      <c r="D23" s="6">
        <f>'YTD BS'!D23</f>
        <v/>
      </c>
      <c r="E23" s="6">
        <f>'YTD BS'!E23</f>
        <v/>
      </c>
      <c r="F23" s="6">
        <f>'BALANCE SHEET'!C23</f>
        <v/>
      </c>
      <c r="G23" s="6">
        <f>'YTD BS'!G23</f>
        <v/>
      </c>
      <c r="H23" s="6">
        <f>'YTD BS'!H23</f>
        <v/>
      </c>
      <c r="I23" s="6">
        <f>'YTD BS'!I23</f>
        <v/>
      </c>
      <c r="J23" s="6">
        <f>'BALANCE SHEET'!D23</f>
        <v/>
      </c>
      <c r="K23" s="6">
        <f>'YTD BS'!K23</f>
        <v/>
      </c>
      <c r="L23" s="6">
        <f>'YTD BS'!L23</f>
        <v/>
      </c>
      <c r="M23" s="6">
        <f>'YTD BS'!M23</f>
        <v/>
      </c>
      <c r="N23" s="6">
        <f>'BALANCE SHEET'!E23</f>
        <v/>
      </c>
      <c r="O23" s="6">
        <f>'YTD BS'!O23</f>
        <v/>
      </c>
      <c r="P23" s="6">
        <f>'YTD BS'!P23</f>
        <v/>
      </c>
      <c r="Q23" s="6">
        <f>'YTD BS'!Q23</f>
        <v/>
      </c>
      <c r="R23" s="6">
        <f>'BALANCE SHEET'!F23</f>
        <v/>
      </c>
      <c r="S23" s="6">
        <f>'YTD BS'!S23</f>
        <v/>
      </c>
      <c r="T23" s="6">
        <f>'YTD BS'!T23</f>
        <v/>
      </c>
      <c r="U23" s="6">
        <f>'YTD BS'!U23</f>
        <v/>
      </c>
      <c r="V23" s="6">
        <f>'BALANCE SHEET'!G23</f>
        <v/>
      </c>
      <c r="W23" s="6">
        <f>'YTD BS'!W23</f>
        <v/>
      </c>
      <c r="X23" s="6">
        <f>'YTD BS'!X23</f>
        <v/>
      </c>
      <c r="Y23" s="6">
        <f>'YTD BS'!Y23</f>
        <v/>
      </c>
      <c r="Z23" s="6">
        <f>'BALANCE SHEET'!H23</f>
        <v/>
      </c>
      <c r="AA23" s="6">
        <f>'YTD BS'!AA23</f>
        <v/>
      </c>
      <c r="AB23" s="6">
        <f>'YTD BS'!AB23</f>
        <v/>
      </c>
      <c r="AC23" s="6">
        <f>'YTD BS'!AC23</f>
        <v/>
      </c>
      <c r="AD23" s="6">
        <f>'BALANCE SHEET'!I23</f>
        <v/>
      </c>
      <c r="AE23" s="7">
        <f>SUM(AE17:AE22)</f>
        <v/>
      </c>
      <c r="AF23" s="7">
        <f>SUM(AF17:AF22)</f>
        <v/>
      </c>
      <c r="AG23" s="7">
        <f>SUM(AG17:AG22)</f>
        <v/>
      </c>
      <c r="AH23" s="7">
        <f>SUM(AH17:AH22)</f>
        <v/>
      </c>
      <c r="AI23" s="7">
        <f>SUM(AI17:AI22)</f>
        <v/>
      </c>
      <c r="AJ23" s="7">
        <f>SUM(AJ17:AJ22)</f>
        <v/>
      </c>
      <c r="AK23" s="7">
        <f>SUM(AK17:AK22)</f>
        <v/>
      </c>
      <c r="AL23" s="7">
        <f>SUM(AL17:AL22)</f>
        <v/>
      </c>
      <c r="AM23" s="7">
        <f>SUM(AM17:AM22)</f>
        <v/>
      </c>
      <c r="AN23" s="7">
        <f>SUM(AN17:AN22)</f>
        <v/>
      </c>
      <c r="AO23" s="7">
        <f>SUM(AO17:AO22)</f>
        <v/>
      </c>
      <c r="AP23" s="7">
        <f>SUM(AP17:AP22)</f>
        <v/>
      </c>
      <c r="AQ23" s="7">
        <f>SUM(AQ17:AQ22)</f>
        <v/>
      </c>
      <c r="AR23" s="7">
        <f>SUM(AR17:AR22)</f>
        <v/>
      </c>
      <c r="AS23" s="7">
        <f>SUM(AS17:AS22)</f>
        <v/>
      </c>
      <c r="AT23" s="7">
        <f>SUM(AT17:AT22)</f>
        <v/>
      </c>
      <c r="AU23" s="7">
        <f>SUM(AU17:AU22)</f>
        <v/>
      </c>
      <c r="AV23" s="7">
        <f>SUM(AV17:AV22)</f>
        <v/>
      </c>
      <c r="AW23" s="7">
        <f>SUM(AW17:AW22)</f>
        <v/>
      </c>
      <c r="AX23" s="7">
        <f>SUM(AX17:AX22)</f>
        <v/>
      </c>
    </row>
    <row r="24">
      <c r="A24" s="3" t="inlineStr">
        <is>
          <t>Long-Term Debt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4">
        <f>'YTD BS'!P24</f>
        <v/>
      </c>
      <c r="Q24" s="4">
        <f>'YTD BS'!Q24</f>
        <v/>
      </c>
      <c r="R24" s="4">
        <f>'BALANCE SHEET'!F24</f>
        <v/>
      </c>
      <c r="S24" s="4">
        <f>'YTD BS'!S24</f>
        <v/>
      </c>
      <c r="T24" s="4">
        <f>'YTD BS'!T24</f>
        <v/>
      </c>
      <c r="U24" s="4">
        <f>'YTD BS'!U24</f>
        <v/>
      </c>
      <c r="V24" s="4">
        <f>'BALANCE SHEET'!G24</f>
        <v/>
      </c>
      <c r="W24" s="4">
        <f>'YTD BS'!W24</f>
        <v/>
      </c>
      <c r="X24" s="4">
        <f>'YTD BS'!X24</f>
        <v/>
      </c>
      <c r="Y24" s="4">
        <f>'YTD BS'!Y24</f>
        <v/>
      </c>
      <c r="Z24" s="4">
        <f>'BALANCE SHEET'!H24</f>
        <v/>
      </c>
      <c r="AA24" s="4">
        <f>'YTD BS'!AA24</f>
        <v/>
      </c>
      <c r="AB24" s="4">
        <f>'YTD BS'!AB24</f>
        <v/>
      </c>
      <c r="AC24" s="4">
        <f>'YTD BS'!AC24</f>
        <v/>
      </c>
      <c r="AD24" s="4">
        <f>'BALANCE SHEET'!I24</f>
        <v/>
      </c>
      <c r="AE24" s="11">
        <f>'BS DRIVERS'!AE21</f>
        <v/>
      </c>
      <c r="AF24" s="11">
        <f>'BS DRIVERS'!AF21</f>
        <v/>
      </c>
      <c r="AG24" s="11">
        <f>'BS DRIVERS'!AG21</f>
        <v/>
      </c>
      <c r="AH24" s="11">
        <f>'BS DRIVERS'!AH21</f>
        <v/>
      </c>
      <c r="AI24" s="11">
        <f>'BS DRIVERS'!AI21</f>
        <v/>
      </c>
      <c r="AJ24" s="11">
        <f>'BS DRIVERS'!AJ21</f>
        <v/>
      </c>
      <c r="AK24" s="11">
        <f>'BS DRIVERS'!AK21</f>
        <v/>
      </c>
      <c r="AL24" s="11">
        <f>'BS DRIVERS'!AL21</f>
        <v/>
      </c>
      <c r="AM24" s="11">
        <f>'BS DRIVERS'!AM21</f>
        <v/>
      </c>
      <c r="AN24" s="11">
        <f>'BS DRIVERS'!AN21</f>
        <v/>
      </c>
      <c r="AO24" s="11">
        <f>'BS DRIVERS'!AO21</f>
        <v/>
      </c>
      <c r="AP24" s="11">
        <f>'BS DRIVERS'!AP21</f>
        <v/>
      </c>
      <c r="AQ24" s="11">
        <f>'BS DRIVERS'!AQ21</f>
        <v/>
      </c>
      <c r="AR24" s="11">
        <f>'BS DRIVERS'!AR21</f>
        <v/>
      </c>
      <c r="AS24" s="11">
        <f>'BS DRIVERS'!AS21</f>
        <v/>
      </c>
      <c r="AT24" s="11">
        <f>'BS DRIVERS'!AT21</f>
        <v/>
      </c>
      <c r="AU24" s="11">
        <f>'BS DRIVERS'!AU21</f>
        <v/>
      </c>
      <c r="AV24" s="11">
        <f>'BS DRIVERS'!AV21</f>
        <v/>
      </c>
      <c r="AW24" s="11">
        <f>'BS DRIVERS'!AW21</f>
        <v/>
      </c>
      <c r="AX24" s="11">
        <f>'BS DRIVERS'!AX21</f>
        <v/>
      </c>
    </row>
    <row r="25">
      <c r="A25" s="3" t="inlineStr">
        <is>
          <t>Deferred Revenue - Non-Current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  <c r="P25" s="4">
        <f>'YTD BS'!P25</f>
        <v/>
      </c>
      <c r="Q25" s="4">
        <f>'YTD BS'!Q25</f>
        <v/>
      </c>
      <c r="R25" s="4">
        <f>'BALANCE SHEET'!F25</f>
        <v/>
      </c>
      <c r="S25" s="4">
        <f>'YTD BS'!S25</f>
        <v/>
      </c>
      <c r="T25" s="4">
        <f>'YTD BS'!T25</f>
        <v/>
      </c>
      <c r="U25" s="4">
        <f>'YTD BS'!U25</f>
        <v/>
      </c>
      <c r="V25" s="4">
        <f>'BALANCE SHEET'!G25</f>
        <v/>
      </c>
      <c r="W25" s="4">
        <f>'YTD BS'!W25</f>
        <v/>
      </c>
      <c r="X25" s="4">
        <f>'YTD BS'!X25</f>
        <v/>
      </c>
      <c r="Y25" s="4">
        <f>'YTD BS'!Y25</f>
        <v/>
      </c>
      <c r="Z25" s="4">
        <f>'BALANCE SHEET'!H25</f>
        <v/>
      </c>
      <c r="AA25" s="4">
        <f>'YTD BS'!AA25</f>
        <v/>
      </c>
      <c r="AB25" s="4">
        <f>'YTD BS'!AB25</f>
        <v/>
      </c>
      <c r="AC25" s="4">
        <f>'YTD BS'!AC25</f>
        <v/>
      </c>
      <c r="AD25" s="4">
        <f>'BALANCE SHEET'!I25</f>
        <v/>
      </c>
      <c r="AE25" s="11">
        <f>'QTR P&amp;L'!AH2*'BS DRIVERS'!AE22</f>
        <v/>
      </c>
      <c r="AF25" s="11">
        <f>'QTR P&amp;L'!AI2*'BS DRIVERS'!AF22</f>
        <v/>
      </c>
      <c r="AG25" s="11">
        <f>'QTR P&amp;L'!AJ2*'BS DRIVERS'!AG22</f>
        <v/>
      </c>
      <c r="AH25" s="11">
        <f>'QTR P&amp;L'!AK2*'BS DRIVERS'!AH22</f>
        <v/>
      </c>
      <c r="AI25" s="11">
        <f>'QTR P&amp;L'!AL2*'BS DRIVERS'!AI22</f>
        <v/>
      </c>
      <c r="AJ25" s="11">
        <f>'QTR P&amp;L'!AM2*'BS DRIVERS'!AJ22</f>
        <v/>
      </c>
      <c r="AK25" s="11">
        <f>'QTR P&amp;L'!AN2*'BS DRIVERS'!AK22</f>
        <v/>
      </c>
      <c r="AL25" s="11">
        <f>'QTR P&amp;L'!AO2*'BS DRIVERS'!AL22</f>
        <v/>
      </c>
      <c r="AM25" s="11">
        <f>'QTR P&amp;L'!AP2*'BS DRIVERS'!AM22</f>
        <v/>
      </c>
      <c r="AN25" s="11">
        <f>'QTR P&amp;L'!AQ2*'BS DRIVERS'!AN22</f>
        <v/>
      </c>
      <c r="AO25" s="11">
        <f>'QTR P&amp;L'!AR2*'BS DRIVERS'!AO22</f>
        <v/>
      </c>
      <c r="AP25" s="11">
        <f>'QTR P&amp;L'!AS2*'BS DRIVERS'!AP22</f>
        <v/>
      </c>
      <c r="AQ25" s="11">
        <f>'QTR P&amp;L'!AT2*'BS DRIVERS'!AQ22</f>
        <v/>
      </c>
      <c r="AR25" s="11">
        <f>'QTR P&amp;L'!AU2*'BS DRIVERS'!AR22</f>
        <v/>
      </c>
      <c r="AS25" s="11">
        <f>'QTR P&amp;L'!AV2*'BS DRIVERS'!AS22</f>
        <v/>
      </c>
      <c r="AT25" s="11">
        <f>'QTR P&amp;L'!AW2*'BS DRIVERS'!AT22</f>
        <v/>
      </c>
      <c r="AU25" s="11">
        <f>'QTR P&amp;L'!AX2*'BS DRIVERS'!AU22</f>
        <v/>
      </c>
      <c r="AV25" s="11">
        <f>'QTR P&amp;L'!AY2*'BS DRIVERS'!AV22</f>
        <v/>
      </c>
      <c r="AW25" s="11">
        <f>'QTR P&amp;L'!AZ2*'BS DRIVERS'!AW22</f>
        <v/>
      </c>
      <c r="AX25" s="11">
        <f>'QTR P&amp;L'!BA2*'BS DRIVERS'!AX22</f>
        <v/>
      </c>
    </row>
    <row r="26">
      <c r="A26" s="3" t="inlineStr">
        <is>
          <t>Deferred Tax Liability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  <c r="P26" s="4">
        <f>'YTD BS'!P26</f>
        <v/>
      </c>
      <c r="Q26" s="4">
        <f>'YTD BS'!Q26</f>
        <v/>
      </c>
      <c r="R26" s="4">
        <f>'BALANCE SHEET'!F26</f>
        <v/>
      </c>
      <c r="S26" s="4">
        <f>'YTD BS'!S26</f>
        <v/>
      </c>
      <c r="T26" s="4">
        <f>'YTD BS'!T26</f>
        <v/>
      </c>
      <c r="U26" s="4">
        <f>'YTD BS'!U26</f>
        <v/>
      </c>
      <c r="V26" s="4">
        <f>'BALANCE SHEET'!G26</f>
        <v/>
      </c>
      <c r="W26" s="4">
        <f>'YTD BS'!W26</f>
        <v/>
      </c>
      <c r="X26" s="4">
        <f>'YTD BS'!X26</f>
        <v/>
      </c>
      <c r="Y26" s="4">
        <f>'YTD BS'!Y26</f>
        <v/>
      </c>
      <c r="Z26" s="4">
        <f>'BALANCE SHEET'!H26</f>
        <v/>
      </c>
      <c r="AA26" s="4">
        <f>'YTD BS'!AA26</f>
        <v/>
      </c>
      <c r="AB26" s="4">
        <f>'YTD BS'!AB26</f>
        <v/>
      </c>
      <c r="AC26" s="4">
        <f>'YTD BS'!AC26</f>
        <v/>
      </c>
      <c r="AD26" s="4">
        <f>'BALANCE SHEET'!I26</f>
        <v/>
      </c>
      <c r="AE26" s="11">
        <f>'BS DRIVERS'!AE23</f>
        <v/>
      </c>
      <c r="AF26" s="11">
        <f>'BS DRIVERS'!AF23</f>
        <v/>
      </c>
      <c r="AG26" s="11">
        <f>'BS DRIVERS'!AG23</f>
        <v/>
      </c>
      <c r="AH26" s="11">
        <f>'BS DRIVERS'!AH23</f>
        <v/>
      </c>
      <c r="AI26" s="11">
        <f>'BS DRIVERS'!AI23</f>
        <v/>
      </c>
      <c r="AJ26" s="11">
        <f>'BS DRIVERS'!AJ23</f>
        <v/>
      </c>
      <c r="AK26" s="11">
        <f>'BS DRIVERS'!AK23</f>
        <v/>
      </c>
      <c r="AL26" s="11">
        <f>'BS DRIVERS'!AL23</f>
        <v/>
      </c>
      <c r="AM26" s="11">
        <f>'BS DRIVERS'!AM23</f>
        <v/>
      </c>
      <c r="AN26" s="11">
        <f>'BS DRIVERS'!AN23</f>
        <v/>
      </c>
      <c r="AO26" s="11">
        <f>'BS DRIVERS'!AO23</f>
        <v/>
      </c>
      <c r="AP26" s="11">
        <f>'BS DRIVERS'!AP23</f>
        <v/>
      </c>
      <c r="AQ26" s="11">
        <f>'BS DRIVERS'!AQ23</f>
        <v/>
      </c>
      <c r="AR26" s="11">
        <f>'BS DRIVERS'!AR23</f>
        <v/>
      </c>
      <c r="AS26" s="11">
        <f>'BS DRIVERS'!AS23</f>
        <v/>
      </c>
      <c r="AT26" s="11">
        <f>'BS DRIVERS'!AT23</f>
        <v/>
      </c>
      <c r="AU26" s="11">
        <f>'BS DRIVERS'!AU23</f>
        <v/>
      </c>
      <c r="AV26" s="11">
        <f>'BS DRIVERS'!AV23</f>
        <v/>
      </c>
      <c r="AW26" s="11">
        <f>'BS DRIVERS'!AW23</f>
        <v/>
      </c>
      <c r="AX26" s="11">
        <f>'BS DRIVERS'!AX23</f>
        <v/>
      </c>
    </row>
    <row r="27">
      <c r="A27" s="3" t="inlineStr">
        <is>
          <t>Lease Liability - Operating - Non-Current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4">
        <f>'YTD BS'!P27</f>
        <v/>
      </c>
      <c r="Q27" s="4">
        <f>'YTD BS'!Q27</f>
        <v/>
      </c>
      <c r="R27" s="4">
        <f>'BALANCE SHEET'!F27</f>
        <v/>
      </c>
      <c r="S27" s="4">
        <f>'YTD BS'!S27</f>
        <v/>
      </c>
      <c r="T27" s="4">
        <f>'YTD BS'!T27</f>
        <v/>
      </c>
      <c r="U27" s="4">
        <f>'YTD BS'!U27</f>
        <v/>
      </c>
      <c r="V27" s="4">
        <f>'BALANCE SHEET'!G27</f>
        <v/>
      </c>
      <c r="W27" s="4">
        <f>'YTD BS'!W27</f>
        <v/>
      </c>
      <c r="X27" s="4">
        <f>'YTD BS'!X27</f>
        <v/>
      </c>
      <c r="Y27" s="4">
        <f>'YTD BS'!Y27</f>
        <v/>
      </c>
      <c r="Z27" s="4">
        <f>'BALANCE SHEET'!H27</f>
        <v/>
      </c>
      <c r="AA27" s="4">
        <f>'YTD BS'!AA27</f>
        <v/>
      </c>
      <c r="AB27" s="4">
        <f>'YTD BS'!AB27</f>
        <v/>
      </c>
      <c r="AC27" s="4">
        <f>'YTD BS'!AC27</f>
        <v/>
      </c>
      <c r="AD27" s="4">
        <f>'BALANCE SHEET'!I27</f>
        <v/>
      </c>
      <c r="AE27" s="11">
        <f>'QTR P&amp;L'!AH2*'BS DRIVERS'!AE24</f>
        <v/>
      </c>
      <c r="AF27" s="11">
        <f>'QTR P&amp;L'!AI2*'BS DRIVERS'!AF24</f>
        <v/>
      </c>
      <c r="AG27" s="11">
        <f>'QTR P&amp;L'!AJ2*'BS DRIVERS'!AG24</f>
        <v/>
      </c>
      <c r="AH27" s="11">
        <f>'QTR P&amp;L'!AK2*'BS DRIVERS'!AH24</f>
        <v/>
      </c>
      <c r="AI27" s="11">
        <f>'QTR P&amp;L'!AL2*'BS DRIVERS'!AI24</f>
        <v/>
      </c>
      <c r="AJ27" s="11">
        <f>'QTR P&amp;L'!AM2*'BS DRIVERS'!AJ24</f>
        <v/>
      </c>
      <c r="AK27" s="11">
        <f>'QTR P&amp;L'!AN2*'BS DRIVERS'!AK24</f>
        <v/>
      </c>
      <c r="AL27" s="11">
        <f>'QTR P&amp;L'!AO2*'BS DRIVERS'!AL24</f>
        <v/>
      </c>
      <c r="AM27" s="11">
        <f>'QTR P&amp;L'!AP2*'BS DRIVERS'!AM24</f>
        <v/>
      </c>
      <c r="AN27" s="11">
        <f>'QTR P&amp;L'!AQ2*'BS DRIVERS'!AN24</f>
        <v/>
      </c>
      <c r="AO27" s="11">
        <f>'QTR P&amp;L'!AR2*'BS DRIVERS'!AO24</f>
        <v/>
      </c>
      <c r="AP27" s="11">
        <f>'QTR P&amp;L'!AS2*'BS DRIVERS'!AP24</f>
        <v/>
      </c>
      <c r="AQ27" s="11">
        <f>'QTR P&amp;L'!AT2*'BS DRIVERS'!AQ24</f>
        <v/>
      </c>
      <c r="AR27" s="11">
        <f>'QTR P&amp;L'!AU2*'BS DRIVERS'!AR24</f>
        <v/>
      </c>
      <c r="AS27" s="11">
        <f>'QTR P&amp;L'!AV2*'BS DRIVERS'!AS24</f>
        <v/>
      </c>
      <c r="AT27" s="11">
        <f>'QTR P&amp;L'!AW2*'BS DRIVERS'!AT24</f>
        <v/>
      </c>
      <c r="AU27" s="11">
        <f>'QTR P&amp;L'!AX2*'BS DRIVERS'!AU24</f>
        <v/>
      </c>
      <c r="AV27" s="11">
        <f>'QTR P&amp;L'!AY2*'BS DRIVERS'!AV24</f>
        <v/>
      </c>
      <c r="AW27" s="11">
        <f>'QTR P&amp;L'!AZ2*'BS DRIVERS'!AW24</f>
        <v/>
      </c>
      <c r="AX27" s="11">
        <f>'QTR P&amp;L'!BA2*'BS DRIVERS'!AX24</f>
        <v/>
      </c>
    </row>
    <row r="28">
      <c r="A28" s="3" t="inlineStr">
        <is>
          <t>Other Non-Current Liabilities</t>
        </is>
      </c>
      <c r="B28" s="4">
        <f>'BALANCE SHEET'!B28</f>
        <v/>
      </c>
      <c r="C28" s="4">
        <f>'YTD BS'!C28</f>
        <v/>
      </c>
      <c r="D28" s="4">
        <f>'YTD BS'!D28</f>
        <v/>
      </c>
      <c r="E28" s="4">
        <f>'YTD BS'!E28</f>
        <v/>
      </c>
      <c r="F28" s="4">
        <f>'BALANCE SHEET'!C28</f>
        <v/>
      </c>
      <c r="G28" s="4">
        <f>'YTD BS'!G28</f>
        <v/>
      </c>
      <c r="H28" s="4">
        <f>'YTD BS'!H28</f>
        <v/>
      </c>
      <c r="I28" s="4">
        <f>'YTD BS'!I28</f>
        <v/>
      </c>
      <c r="J28" s="4">
        <f>'BALANCE SHEET'!D28</f>
        <v/>
      </c>
      <c r="K28" s="4">
        <f>'YTD BS'!K28</f>
        <v/>
      </c>
      <c r="L28" s="4">
        <f>'YTD BS'!L28</f>
        <v/>
      </c>
      <c r="M28" s="4">
        <f>'YTD BS'!M28</f>
        <v/>
      </c>
      <c r="N28" s="4">
        <f>'BALANCE SHEET'!E28</f>
        <v/>
      </c>
      <c r="O28" s="4">
        <f>'YTD BS'!O28</f>
        <v/>
      </c>
      <c r="P28" s="4">
        <f>'YTD BS'!P28</f>
        <v/>
      </c>
      <c r="Q28" s="4">
        <f>'YTD BS'!Q28</f>
        <v/>
      </c>
      <c r="R28" s="4">
        <f>'BALANCE SHEET'!F28</f>
        <v/>
      </c>
      <c r="S28" s="4">
        <f>'YTD BS'!S28</f>
        <v/>
      </c>
      <c r="T28" s="4">
        <f>'YTD BS'!T28</f>
        <v/>
      </c>
      <c r="U28" s="4">
        <f>'YTD BS'!U28</f>
        <v/>
      </c>
      <c r="V28" s="4">
        <f>'BALANCE SHEET'!G28</f>
        <v/>
      </c>
      <c r="W28" s="4">
        <f>'YTD BS'!W28</f>
        <v/>
      </c>
      <c r="X28" s="4">
        <f>'YTD BS'!X28</f>
        <v/>
      </c>
      <c r="Y28" s="4">
        <f>'YTD BS'!Y28</f>
        <v/>
      </c>
      <c r="Z28" s="4">
        <f>'BALANCE SHEET'!H28</f>
        <v/>
      </c>
      <c r="AA28" s="4">
        <f>'YTD BS'!AA28</f>
        <v/>
      </c>
      <c r="AB28" s="4">
        <f>'YTD BS'!AB28</f>
        <v/>
      </c>
      <c r="AC28" s="4">
        <f>'YTD BS'!AC28</f>
        <v/>
      </c>
      <c r="AD28" s="4">
        <f>'BALANCE SHEET'!I28</f>
        <v/>
      </c>
      <c r="AE28" s="11">
        <f>'QTR P&amp;L'!AH2*'BS DRIVERS'!AE25</f>
        <v/>
      </c>
      <c r="AF28" s="11">
        <f>'QTR P&amp;L'!AI2*'BS DRIVERS'!AF25</f>
        <v/>
      </c>
      <c r="AG28" s="11">
        <f>'QTR P&amp;L'!AJ2*'BS DRIVERS'!AG25</f>
        <v/>
      </c>
      <c r="AH28" s="11">
        <f>'QTR P&amp;L'!AK2*'BS DRIVERS'!AH25</f>
        <v/>
      </c>
      <c r="AI28" s="11">
        <f>'QTR P&amp;L'!AL2*'BS DRIVERS'!AI25</f>
        <v/>
      </c>
      <c r="AJ28" s="11">
        <f>'QTR P&amp;L'!AM2*'BS DRIVERS'!AJ25</f>
        <v/>
      </c>
      <c r="AK28" s="11">
        <f>'QTR P&amp;L'!AN2*'BS DRIVERS'!AK25</f>
        <v/>
      </c>
      <c r="AL28" s="11">
        <f>'QTR P&amp;L'!AO2*'BS DRIVERS'!AL25</f>
        <v/>
      </c>
      <c r="AM28" s="11">
        <f>'QTR P&amp;L'!AP2*'BS DRIVERS'!AM25</f>
        <v/>
      </c>
      <c r="AN28" s="11">
        <f>'QTR P&amp;L'!AQ2*'BS DRIVERS'!AN25</f>
        <v/>
      </c>
      <c r="AO28" s="11">
        <f>'QTR P&amp;L'!AR2*'BS DRIVERS'!AO25</f>
        <v/>
      </c>
      <c r="AP28" s="11">
        <f>'QTR P&amp;L'!AS2*'BS DRIVERS'!AP25</f>
        <v/>
      </c>
      <c r="AQ28" s="11">
        <f>'QTR P&amp;L'!AT2*'BS DRIVERS'!AQ25</f>
        <v/>
      </c>
      <c r="AR28" s="11">
        <f>'QTR P&amp;L'!AU2*'BS DRIVERS'!AR25</f>
        <v/>
      </c>
      <c r="AS28" s="11">
        <f>'QTR P&amp;L'!AV2*'BS DRIVERS'!AS25</f>
        <v/>
      </c>
      <c r="AT28" s="11">
        <f>'QTR P&amp;L'!AW2*'BS DRIVERS'!AT25</f>
        <v/>
      </c>
      <c r="AU28" s="11">
        <f>'QTR P&amp;L'!AX2*'BS DRIVERS'!AU25</f>
        <v/>
      </c>
      <c r="AV28" s="11">
        <f>'QTR P&amp;L'!AY2*'BS DRIVERS'!AV25</f>
        <v/>
      </c>
      <c r="AW28" s="11">
        <f>'QTR P&amp;L'!AZ2*'BS DRIVERS'!AW25</f>
        <v/>
      </c>
      <c r="AX28" s="11">
        <f>'QTR P&amp;L'!BA2*'BS DRIVERS'!AX25</f>
        <v/>
      </c>
    </row>
    <row r="29">
      <c r="A29" s="3" t="inlineStr">
        <is>
          <t>Total Liabilities</t>
        </is>
      </c>
      <c r="B29" s="6">
        <f>'BALANCE SHEET'!B29</f>
        <v/>
      </c>
      <c r="C29" s="6">
        <f>'YTD BS'!C29</f>
        <v/>
      </c>
      <c r="D29" s="6">
        <f>'YTD BS'!D29</f>
        <v/>
      </c>
      <c r="E29" s="6">
        <f>'YTD BS'!E29</f>
        <v/>
      </c>
      <c r="F29" s="6">
        <f>'BALANCE SHEET'!C29</f>
        <v/>
      </c>
      <c r="G29" s="6">
        <f>'YTD BS'!G29</f>
        <v/>
      </c>
      <c r="H29" s="6">
        <f>'YTD BS'!H29</f>
        <v/>
      </c>
      <c r="I29" s="6">
        <f>'YTD BS'!I29</f>
        <v/>
      </c>
      <c r="J29" s="6">
        <f>'BALANCE SHEET'!D29</f>
        <v/>
      </c>
      <c r="K29" s="6">
        <f>'YTD BS'!K29</f>
        <v/>
      </c>
      <c r="L29" s="6">
        <f>'YTD BS'!L29</f>
        <v/>
      </c>
      <c r="M29" s="6">
        <f>'YTD BS'!M29</f>
        <v/>
      </c>
      <c r="N29" s="6">
        <f>'BALANCE SHEET'!E29</f>
        <v/>
      </c>
      <c r="O29" s="6">
        <f>'YTD BS'!O29</f>
        <v/>
      </c>
      <c r="P29" s="6">
        <f>'YTD BS'!P29</f>
        <v/>
      </c>
      <c r="Q29" s="6">
        <f>'YTD BS'!Q29</f>
        <v/>
      </c>
      <c r="R29" s="6">
        <f>'BALANCE SHEET'!F29</f>
        <v/>
      </c>
      <c r="S29" s="6">
        <f>'YTD BS'!S29</f>
        <v/>
      </c>
      <c r="T29" s="6">
        <f>'YTD BS'!T29</f>
        <v/>
      </c>
      <c r="U29" s="6">
        <f>'YTD BS'!U29</f>
        <v/>
      </c>
      <c r="V29" s="6">
        <f>'BALANCE SHEET'!G29</f>
        <v/>
      </c>
      <c r="W29" s="6">
        <f>'YTD BS'!W29</f>
        <v/>
      </c>
      <c r="X29" s="6">
        <f>'YTD BS'!X29</f>
        <v/>
      </c>
      <c r="Y29" s="6">
        <f>'YTD BS'!Y29</f>
        <v/>
      </c>
      <c r="Z29" s="6">
        <f>'BALANCE SHEET'!H29</f>
        <v/>
      </c>
      <c r="AA29" s="6">
        <f>'YTD BS'!AA29</f>
        <v/>
      </c>
      <c r="AB29" s="6">
        <f>'YTD BS'!AB29</f>
        <v/>
      </c>
      <c r="AC29" s="6">
        <f>'YTD BS'!AC29</f>
        <v/>
      </c>
      <c r="AD29" s="6">
        <f>'BALANCE SHEET'!I29</f>
        <v/>
      </c>
      <c r="AE29" s="7">
        <f>AE23+SUM(AE24:AE28)</f>
        <v/>
      </c>
      <c r="AF29" s="7">
        <f>AF23+SUM(AF24:AF28)</f>
        <v/>
      </c>
      <c r="AG29" s="7">
        <f>AG23+SUM(AG24:AG28)</f>
        <v/>
      </c>
      <c r="AH29" s="7">
        <f>AH23+SUM(AH24:AH28)</f>
        <v/>
      </c>
      <c r="AI29" s="7">
        <f>AI23+SUM(AI24:AI28)</f>
        <v/>
      </c>
      <c r="AJ29" s="7">
        <f>AJ23+SUM(AJ24:AJ28)</f>
        <v/>
      </c>
      <c r="AK29" s="7">
        <f>AK23+SUM(AK24:AK28)</f>
        <v/>
      </c>
      <c r="AL29" s="7">
        <f>AL23+SUM(AL24:AL28)</f>
        <v/>
      </c>
      <c r="AM29" s="7">
        <f>AM23+SUM(AM24:AM28)</f>
        <v/>
      </c>
      <c r="AN29" s="7">
        <f>AN23+SUM(AN24:AN28)</f>
        <v/>
      </c>
      <c r="AO29" s="7">
        <f>AO23+SUM(AO24:AO28)</f>
        <v/>
      </c>
      <c r="AP29" s="7">
        <f>AP23+SUM(AP24:AP28)</f>
        <v/>
      </c>
      <c r="AQ29" s="7">
        <f>AQ23+SUM(AQ24:AQ28)</f>
        <v/>
      </c>
      <c r="AR29" s="7">
        <f>AR23+SUM(AR24:AR28)</f>
        <v/>
      </c>
      <c r="AS29" s="7">
        <f>AS23+SUM(AS24:AS28)</f>
        <v/>
      </c>
      <c r="AT29" s="7">
        <f>AT23+SUM(AT24:AT28)</f>
        <v/>
      </c>
      <c r="AU29" s="7">
        <f>AU23+SUM(AU24:AU28)</f>
        <v/>
      </c>
      <c r="AV29" s="7">
        <f>AV23+SUM(AV24:AV28)</f>
        <v/>
      </c>
      <c r="AW29" s="7">
        <f>AW23+SUM(AW24:AW28)</f>
        <v/>
      </c>
      <c r="AX29" s="7">
        <f>AX23+SUM(AX24:AX28)</f>
        <v/>
      </c>
    </row>
    <row r="30">
      <c r="A30" s="3" t="inlineStr">
        <is>
          <t>Convertible Preferred Stock</t>
        </is>
      </c>
      <c r="B30" s="4">
        <f>'BALANCE SHEET'!B30</f>
        <v/>
      </c>
      <c r="C30" s="4">
        <f>'YTD BS'!C30</f>
        <v/>
      </c>
      <c r="D30" s="4">
        <f>'YTD BS'!D30</f>
        <v/>
      </c>
      <c r="E30" s="4">
        <f>'YTD BS'!E30</f>
        <v/>
      </c>
      <c r="F30" s="4">
        <f>'BALANCE SHEET'!C30</f>
        <v/>
      </c>
      <c r="G30" s="4">
        <f>'YTD BS'!G30</f>
        <v/>
      </c>
      <c r="H30" s="4">
        <f>'YTD BS'!H30</f>
        <v/>
      </c>
      <c r="I30" s="4">
        <f>'YTD BS'!I30</f>
        <v/>
      </c>
      <c r="J30" s="4">
        <f>'BALANCE SHEET'!D30</f>
        <v/>
      </c>
      <c r="K30" s="4">
        <f>'YTD BS'!K30</f>
        <v/>
      </c>
      <c r="L30" s="4">
        <f>'YTD BS'!L30</f>
        <v/>
      </c>
      <c r="M30" s="4">
        <f>'YTD BS'!M30</f>
        <v/>
      </c>
      <c r="N30" s="4">
        <f>'BALANCE SHEET'!E30</f>
        <v/>
      </c>
      <c r="O30" s="4">
        <f>'YTD BS'!O30</f>
        <v/>
      </c>
      <c r="P30" s="4">
        <f>'YTD BS'!P30</f>
        <v/>
      </c>
      <c r="Q30" s="4">
        <f>'YTD BS'!Q30</f>
        <v/>
      </c>
      <c r="R30" s="4">
        <f>'BALANCE SHEET'!F30</f>
        <v/>
      </c>
      <c r="S30" s="4">
        <f>'YTD BS'!S30</f>
        <v/>
      </c>
      <c r="T30" s="4">
        <f>'YTD BS'!T30</f>
        <v/>
      </c>
      <c r="U30" s="4">
        <f>'YTD BS'!U30</f>
        <v/>
      </c>
      <c r="V30" s="4">
        <f>'BALANCE SHEET'!G30</f>
        <v/>
      </c>
      <c r="W30" s="4">
        <f>'YTD BS'!W30</f>
        <v/>
      </c>
      <c r="X30" s="4">
        <f>'YTD BS'!X30</f>
        <v/>
      </c>
      <c r="Y30" s="4">
        <f>'YTD BS'!Y30</f>
        <v/>
      </c>
      <c r="Z30" s="4">
        <f>'BALANCE SHEET'!H30</f>
        <v/>
      </c>
      <c r="AA30" s="4">
        <f>'YTD BS'!AA30</f>
        <v/>
      </c>
      <c r="AB30" s="4">
        <f>'YTD BS'!AB30</f>
        <v/>
      </c>
      <c r="AC30" s="4">
        <f>'YTD BS'!AC30</f>
        <v/>
      </c>
      <c r="AD30" s="4">
        <f>'BALANCE SHEET'!I30</f>
        <v/>
      </c>
      <c r="AE30" s="11">
        <f>'BS DRIVERS'!AE26</f>
        <v/>
      </c>
      <c r="AF30" s="11">
        <f>'BS DRIVERS'!AF26</f>
        <v/>
      </c>
      <c r="AG30" s="11">
        <f>'BS DRIVERS'!AG26</f>
        <v/>
      </c>
      <c r="AH30" s="11">
        <f>'BS DRIVERS'!AH26</f>
        <v/>
      </c>
      <c r="AI30" s="11">
        <f>'BS DRIVERS'!AI26</f>
        <v/>
      </c>
      <c r="AJ30" s="11">
        <f>'BS DRIVERS'!AJ26</f>
        <v/>
      </c>
      <c r="AK30" s="11">
        <f>'BS DRIVERS'!AK26</f>
        <v/>
      </c>
      <c r="AL30" s="11">
        <f>'BS DRIVERS'!AL26</f>
        <v/>
      </c>
      <c r="AM30" s="11">
        <f>'BS DRIVERS'!AM26</f>
        <v/>
      </c>
      <c r="AN30" s="11">
        <f>'BS DRIVERS'!AN26</f>
        <v/>
      </c>
      <c r="AO30" s="11">
        <f>'BS DRIVERS'!AO26</f>
        <v/>
      </c>
      <c r="AP30" s="11">
        <f>'BS DRIVERS'!AP26</f>
        <v/>
      </c>
      <c r="AQ30" s="11">
        <f>'BS DRIVERS'!AQ26</f>
        <v/>
      </c>
      <c r="AR30" s="11">
        <f>'BS DRIVERS'!AR26</f>
        <v/>
      </c>
      <c r="AS30" s="11">
        <f>'BS DRIVERS'!AS26</f>
        <v/>
      </c>
      <c r="AT30" s="11">
        <f>'BS DRIVERS'!AT26</f>
        <v/>
      </c>
      <c r="AU30" s="11">
        <f>'BS DRIVERS'!AU26</f>
        <v/>
      </c>
      <c r="AV30" s="11">
        <f>'BS DRIVERS'!AV26</f>
        <v/>
      </c>
      <c r="AW30" s="11">
        <f>'BS DRIVERS'!AW26</f>
        <v/>
      </c>
      <c r="AX30" s="11">
        <f>'BS DRIVERS'!AX26</f>
        <v/>
      </c>
    </row>
    <row r="31">
      <c r="A31" s="3" t="inlineStr">
        <is>
          <t>Common Stock and Additional Paid-in Capital</t>
        </is>
      </c>
      <c r="B31" s="4">
        <f>'BALANCE SHEET'!B31</f>
        <v/>
      </c>
      <c r="C31" s="4">
        <f>'YTD BS'!C31</f>
        <v/>
      </c>
      <c r="D31" s="4">
        <f>'YTD BS'!D31</f>
        <v/>
      </c>
      <c r="E31" s="4">
        <f>'YTD BS'!E31</f>
        <v/>
      </c>
      <c r="F31" s="4">
        <f>'BALANCE SHEET'!C31</f>
        <v/>
      </c>
      <c r="G31" s="4">
        <f>'YTD BS'!G31</f>
        <v/>
      </c>
      <c r="H31" s="4">
        <f>'YTD BS'!H31</f>
        <v/>
      </c>
      <c r="I31" s="4">
        <f>'YTD BS'!I31</f>
        <v/>
      </c>
      <c r="J31" s="4">
        <f>'BALANCE SHEET'!D31</f>
        <v/>
      </c>
      <c r="K31" s="4">
        <f>'YTD BS'!K31</f>
        <v/>
      </c>
      <c r="L31" s="4">
        <f>'YTD BS'!L31</f>
        <v/>
      </c>
      <c r="M31" s="4">
        <f>'YTD BS'!M31</f>
        <v/>
      </c>
      <c r="N31" s="4">
        <f>'BALANCE SHEET'!E31</f>
        <v/>
      </c>
      <c r="O31" s="4">
        <f>'YTD BS'!O31</f>
        <v/>
      </c>
      <c r="P31" s="4">
        <f>'YTD BS'!P31</f>
        <v/>
      </c>
      <c r="Q31" s="4">
        <f>'YTD BS'!Q31</f>
        <v/>
      </c>
      <c r="R31" s="4">
        <f>'BALANCE SHEET'!F31</f>
        <v/>
      </c>
      <c r="S31" s="4">
        <f>'YTD BS'!S31</f>
        <v/>
      </c>
      <c r="T31" s="4">
        <f>'YTD BS'!T31</f>
        <v/>
      </c>
      <c r="U31" s="4">
        <f>'YTD BS'!U31</f>
        <v/>
      </c>
      <c r="V31" s="4">
        <f>'BALANCE SHEET'!G31</f>
        <v/>
      </c>
      <c r="W31" s="4">
        <f>'YTD BS'!W31</f>
        <v/>
      </c>
      <c r="X31" s="4">
        <f>'YTD BS'!X31</f>
        <v/>
      </c>
      <c r="Y31" s="4">
        <f>'YTD BS'!Y31</f>
        <v/>
      </c>
      <c r="Z31" s="4">
        <f>'BALANCE SHEET'!H31</f>
        <v/>
      </c>
      <c r="AA31" s="4">
        <f>'YTD BS'!AA31</f>
        <v/>
      </c>
      <c r="AB31" s="4">
        <f>'YTD BS'!AB31</f>
        <v/>
      </c>
      <c r="AC31" s="4">
        <f>'YTD BS'!AC31</f>
        <v/>
      </c>
      <c r="AD31" s="4">
        <f>'BALANCE SHEET'!I31</f>
        <v/>
      </c>
      <c r="AE31" s="11">
        <f>'BS DRIVERS'!AE27</f>
        <v/>
      </c>
      <c r="AF31" s="11">
        <f>'BS DRIVERS'!AF27</f>
        <v/>
      </c>
      <c r="AG31" s="11">
        <f>'BS DRIVERS'!AG27</f>
        <v/>
      </c>
      <c r="AH31" s="11">
        <f>'BS DRIVERS'!AH27</f>
        <v/>
      </c>
      <c r="AI31" s="11">
        <f>'BS DRIVERS'!AI27</f>
        <v/>
      </c>
      <c r="AJ31" s="11">
        <f>'BS DRIVERS'!AJ27</f>
        <v/>
      </c>
      <c r="AK31" s="11">
        <f>'BS DRIVERS'!AK27</f>
        <v/>
      </c>
      <c r="AL31" s="11">
        <f>'BS DRIVERS'!AL27</f>
        <v/>
      </c>
      <c r="AM31" s="11">
        <f>'BS DRIVERS'!AM27</f>
        <v/>
      </c>
      <c r="AN31" s="11">
        <f>'BS DRIVERS'!AN27</f>
        <v/>
      </c>
      <c r="AO31" s="11">
        <f>'BS DRIVERS'!AO27</f>
        <v/>
      </c>
      <c r="AP31" s="11">
        <f>'BS DRIVERS'!AP27</f>
        <v/>
      </c>
      <c r="AQ31" s="11">
        <f>'BS DRIVERS'!AQ27</f>
        <v/>
      </c>
      <c r="AR31" s="11">
        <f>'BS DRIVERS'!AR27</f>
        <v/>
      </c>
      <c r="AS31" s="11">
        <f>'BS DRIVERS'!AS27</f>
        <v/>
      </c>
      <c r="AT31" s="11">
        <f>'BS DRIVERS'!AT27</f>
        <v/>
      </c>
      <c r="AU31" s="11">
        <f>'BS DRIVERS'!AU27</f>
        <v/>
      </c>
      <c r="AV31" s="11">
        <f>'BS DRIVERS'!AV27</f>
        <v/>
      </c>
      <c r="AW31" s="11">
        <f>'BS DRIVERS'!AW27</f>
        <v/>
      </c>
      <c r="AX31" s="11">
        <f>'BS DRIVERS'!AX27</f>
        <v/>
      </c>
    </row>
    <row r="32">
      <c r="A32" s="3" t="inlineStr">
        <is>
          <t>Accumulated Other Comprehensive Income (Loss)</t>
        </is>
      </c>
      <c r="B32" s="4">
        <f>'BALANCE SHEET'!B32</f>
        <v/>
      </c>
      <c r="C32" s="4">
        <f>'YTD BS'!C32</f>
        <v/>
      </c>
      <c r="D32" s="4">
        <f>'YTD BS'!D32</f>
        <v/>
      </c>
      <c r="E32" s="4">
        <f>'YTD BS'!E32</f>
        <v/>
      </c>
      <c r="F32" s="4">
        <f>'BALANCE SHEET'!C32</f>
        <v/>
      </c>
      <c r="G32" s="4">
        <f>'YTD BS'!G32</f>
        <v/>
      </c>
      <c r="H32" s="4">
        <f>'YTD BS'!H32</f>
        <v/>
      </c>
      <c r="I32" s="4">
        <f>'YTD BS'!I32</f>
        <v/>
      </c>
      <c r="J32" s="4">
        <f>'BALANCE SHEET'!D32</f>
        <v/>
      </c>
      <c r="K32" s="4">
        <f>'YTD BS'!K32</f>
        <v/>
      </c>
      <c r="L32" s="4">
        <f>'YTD BS'!L32</f>
        <v/>
      </c>
      <c r="M32" s="4">
        <f>'YTD BS'!M32</f>
        <v/>
      </c>
      <c r="N32" s="4">
        <f>'BALANCE SHEET'!E32</f>
        <v/>
      </c>
      <c r="O32" s="4">
        <f>'YTD BS'!O32</f>
        <v/>
      </c>
      <c r="P32" s="4">
        <f>'YTD BS'!P32</f>
        <v/>
      </c>
      <c r="Q32" s="4">
        <f>'YTD BS'!Q32</f>
        <v/>
      </c>
      <c r="R32" s="4">
        <f>'BALANCE SHEET'!F32</f>
        <v/>
      </c>
      <c r="S32" s="4">
        <f>'YTD BS'!S32</f>
        <v/>
      </c>
      <c r="T32" s="4">
        <f>'YTD BS'!T32</f>
        <v/>
      </c>
      <c r="U32" s="4">
        <f>'YTD BS'!U32</f>
        <v/>
      </c>
      <c r="V32" s="4">
        <f>'BALANCE SHEET'!G32</f>
        <v/>
      </c>
      <c r="W32" s="4">
        <f>'YTD BS'!W32</f>
        <v/>
      </c>
      <c r="X32" s="4">
        <f>'YTD BS'!X32</f>
        <v/>
      </c>
      <c r="Y32" s="4">
        <f>'YTD BS'!Y32</f>
        <v/>
      </c>
      <c r="Z32" s="4">
        <f>'BALANCE SHEET'!H32</f>
        <v/>
      </c>
      <c r="AA32" s="4">
        <f>'YTD BS'!AA32</f>
        <v/>
      </c>
      <c r="AB32" s="4">
        <f>'YTD BS'!AB32</f>
        <v/>
      </c>
      <c r="AC32" s="4">
        <f>'YTD BS'!AC32</f>
        <v/>
      </c>
      <c r="AD32" s="4">
        <f>'BALANCE SHEET'!I32</f>
        <v/>
      </c>
      <c r="AE32" s="11">
        <f>'BS DRIVERS'!AE28</f>
        <v/>
      </c>
      <c r="AF32" s="11">
        <f>'BS DRIVERS'!AF28</f>
        <v/>
      </c>
      <c r="AG32" s="11">
        <f>'BS DRIVERS'!AG28</f>
        <v/>
      </c>
      <c r="AH32" s="11">
        <f>'BS DRIVERS'!AH28</f>
        <v/>
      </c>
      <c r="AI32" s="11">
        <f>'BS DRIVERS'!AI28</f>
        <v/>
      </c>
      <c r="AJ32" s="11">
        <f>'BS DRIVERS'!AJ28</f>
        <v/>
      </c>
      <c r="AK32" s="11">
        <f>'BS DRIVERS'!AK28</f>
        <v/>
      </c>
      <c r="AL32" s="11">
        <f>'BS DRIVERS'!AL28</f>
        <v/>
      </c>
      <c r="AM32" s="11">
        <f>'BS DRIVERS'!AM28</f>
        <v/>
      </c>
      <c r="AN32" s="11">
        <f>'BS DRIVERS'!AN28</f>
        <v/>
      </c>
      <c r="AO32" s="11">
        <f>'BS DRIVERS'!AO28</f>
        <v/>
      </c>
      <c r="AP32" s="11">
        <f>'BS DRIVERS'!AP28</f>
        <v/>
      </c>
      <c r="AQ32" s="11">
        <f>'BS DRIVERS'!AQ28</f>
        <v/>
      </c>
      <c r="AR32" s="11">
        <f>'BS DRIVERS'!AR28</f>
        <v/>
      </c>
      <c r="AS32" s="11">
        <f>'BS DRIVERS'!AS28</f>
        <v/>
      </c>
      <c r="AT32" s="11">
        <f>'BS DRIVERS'!AT28</f>
        <v/>
      </c>
      <c r="AU32" s="11">
        <f>'BS DRIVERS'!AU28</f>
        <v/>
      </c>
      <c r="AV32" s="11">
        <f>'BS DRIVERS'!AV28</f>
        <v/>
      </c>
      <c r="AW32" s="11">
        <f>'BS DRIVERS'!AW28</f>
        <v/>
      </c>
      <c r="AX32" s="11">
        <f>'BS DRIVERS'!AX28</f>
        <v/>
      </c>
    </row>
    <row r="33">
      <c r="A33" s="3" t="inlineStr">
        <is>
          <t>Retained Earnings (Accumulated Deficit)</t>
        </is>
      </c>
      <c r="B33" s="4">
        <f>'BALANCE SHEET'!B33</f>
        <v/>
      </c>
      <c r="C33" s="4">
        <f>'YTD BS'!C33</f>
        <v/>
      </c>
      <c r="D33" s="4">
        <f>'YTD BS'!D33</f>
        <v/>
      </c>
      <c r="E33" s="4">
        <f>'YTD BS'!E33</f>
        <v/>
      </c>
      <c r="F33" s="4">
        <f>'BALANCE SHEET'!C33</f>
        <v/>
      </c>
      <c r="G33" s="4">
        <f>'YTD BS'!G33</f>
        <v/>
      </c>
      <c r="H33" s="4">
        <f>'YTD BS'!H33</f>
        <v/>
      </c>
      <c r="I33" s="4">
        <f>'YTD BS'!I33</f>
        <v/>
      </c>
      <c r="J33" s="4">
        <f>'BALANCE SHEET'!D33</f>
        <v/>
      </c>
      <c r="K33" s="4">
        <f>'YTD BS'!K33</f>
        <v/>
      </c>
      <c r="L33" s="4">
        <f>'YTD BS'!L33</f>
        <v/>
      </c>
      <c r="M33" s="4">
        <f>'YTD BS'!M33</f>
        <v/>
      </c>
      <c r="N33" s="4">
        <f>'BALANCE SHEET'!E33</f>
        <v/>
      </c>
      <c r="O33" s="4">
        <f>'YTD BS'!O33</f>
        <v/>
      </c>
      <c r="P33" s="4">
        <f>'YTD BS'!P33</f>
        <v/>
      </c>
      <c r="Q33" s="4">
        <f>'YTD BS'!Q33</f>
        <v/>
      </c>
      <c r="R33" s="4">
        <f>'BALANCE SHEET'!F33</f>
        <v/>
      </c>
      <c r="S33" s="4">
        <f>'YTD BS'!S33</f>
        <v/>
      </c>
      <c r="T33" s="4">
        <f>'YTD BS'!T33</f>
        <v/>
      </c>
      <c r="U33" s="4">
        <f>'YTD BS'!U33</f>
        <v/>
      </c>
      <c r="V33" s="4">
        <f>'BALANCE SHEET'!G33</f>
        <v/>
      </c>
      <c r="W33" s="4">
        <f>'YTD BS'!W33</f>
        <v/>
      </c>
      <c r="X33" s="4">
        <f>'YTD BS'!X33</f>
        <v/>
      </c>
      <c r="Y33" s="4">
        <f>'YTD BS'!Y33</f>
        <v/>
      </c>
      <c r="Z33" s="4">
        <f>'BALANCE SHEET'!H33</f>
        <v/>
      </c>
      <c r="AA33" s="4">
        <f>'YTD BS'!AA33</f>
        <v/>
      </c>
      <c r="AB33" s="4">
        <f>'YTD BS'!AB33</f>
        <v/>
      </c>
      <c r="AC33" s="4">
        <f>'YTD BS'!AC33</f>
        <v/>
      </c>
      <c r="AD33" s="4">
        <f>'BALANCE SHEET'!I33</f>
        <v/>
      </c>
      <c r="AE33" s="11">
        <f>'BS DRIVERS'!AE29</f>
        <v/>
      </c>
      <c r="AF33" s="11">
        <f>'BS DRIVERS'!AF29</f>
        <v/>
      </c>
      <c r="AG33" s="11">
        <f>'BS DRIVERS'!AG29</f>
        <v/>
      </c>
      <c r="AH33" s="11">
        <f>'BS DRIVERS'!AH29</f>
        <v/>
      </c>
      <c r="AI33" s="11">
        <f>'BS DRIVERS'!AI29</f>
        <v/>
      </c>
      <c r="AJ33" s="11">
        <f>'BS DRIVERS'!AJ29</f>
        <v/>
      </c>
      <c r="AK33" s="11">
        <f>'BS DRIVERS'!AK29</f>
        <v/>
      </c>
      <c r="AL33" s="11">
        <f>'BS DRIVERS'!AL29</f>
        <v/>
      </c>
      <c r="AM33" s="11">
        <f>'BS DRIVERS'!AM29</f>
        <v/>
      </c>
      <c r="AN33" s="11">
        <f>'BS DRIVERS'!AN29</f>
        <v/>
      </c>
      <c r="AO33" s="11">
        <f>'BS DRIVERS'!AO29</f>
        <v/>
      </c>
      <c r="AP33" s="11">
        <f>'BS DRIVERS'!AP29</f>
        <v/>
      </c>
      <c r="AQ33" s="11">
        <f>'BS DRIVERS'!AQ29</f>
        <v/>
      </c>
      <c r="AR33" s="11">
        <f>'BS DRIVERS'!AR29</f>
        <v/>
      </c>
      <c r="AS33" s="11">
        <f>'BS DRIVERS'!AS29</f>
        <v/>
      </c>
      <c r="AT33" s="11">
        <f>'BS DRIVERS'!AT29</f>
        <v/>
      </c>
      <c r="AU33" s="11">
        <f>'BS DRIVERS'!AU29</f>
        <v/>
      </c>
      <c r="AV33" s="11">
        <f>'BS DRIVERS'!AV29</f>
        <v/>
      </c>
      <c r="AW33" s="11">
        <f>'BS DRIVERS'!AW29</f>
        <v/>
      </c>
      <c r="AX33" s="11">
        <f>'BS DRIVERS'!AX29</f>
        <v/>
      </c>
    </row>
    <row r="34">
      <c r="A34" s="3" t="inlineStr">
        <is>
          <t>Total Stockholders' Equity</t>
        </is>
      </c>
      <c r="B34" s="6">
        <f>'BALANCE SHEET'!B34</f>
        <v/>
      </c>
      <c r="C34" s="6">
        <f>'YTD BS'!C34</f>
        <v/>
      </c>
      <c r="D34" s="6">
        <f>'YTD BS'!D34</f>
        <v/>
      </c>
      <c r="E34" s="6">
        <f>'YTD BS'!E34</f>
        <v/>
      </c>
      <c r="F34" s="6">
        <f>'BALANCE SHEET'!C34</f>
        <v/>
      </c>
      <c r="G34" s="6">
        <f>'YTD BS'!G34</f>
        <v/>
      </c>
      <c r="H34" s="6">
        <f>'YTD BS'!H34</f>
        <v/>
      </c>
      <c r="I34" s="6">
        <f>'YTD BS'!I34</f>
        <v/>
      </c>
      <c r="J34" s="6">
        <f>'BALANCE SHEET'!D34</f>
        <v/>
      </c>
      <c r="K34" s="6">
        <f>'YTD BS'!K34</f>
        <v/>
      </c>
      <c r="L34" s="6">
        <f>'YTD BS'!L34</f>
        <v/>
      </c>
      <c r="M34" s="6">
        <f>'YTD BS'!M34</f>
        <v/>
      </c>
      <c r="N34" s="6">
        <f>'BALANCE SHEET'!E34</f>
        <v/>
      </c>
      <c r="O34" s="6">
        <f>'YTD BS'!O34</f>
        <v/>
      </c>
      <c r="P34" s="6">
        <f>'YTD BS'!P34</f>
        <v/>
      </c>
      <c r="Q34" s="6">
        <f>'YTD BS'!Q34</f>
        <v/>
      </c>
      <c r="R34" s="6">
        <f>'BALANCE SHEET'!F34</f>
        <v/>
      </c>
      <c r="S34" s="6">
        <f>'YTD BS'!S34</f>
        <v/>
      </c>
      <c r="T34" s="6">
        <f>'YTD BS'!T34</f>
        <v/>
      </c>
      <c r="U34" s="6">
        <f>'YTD BS'!U34</f>
        <v/>
      </c>
      <c r="V34" s="6">
        <f>'BALANCE SHEET'!G34</f>
        <v/>
      </c>
      <c r="W34" s="6">
        <f>'YTD BS'!W34</f>
        <v/>
      </c>
      <c r="X34" s="6">
        <f>'YTD BS'!X34</f>
        <v/>
      </c>
      <c r="Y34" s="6">
        <f>'YTD BS'!Y34</f>
        <v/>
      </c>
      <c r="Z34" s="6">
        <f>'BALANCE SHEET'!H34</f>
        <v/>
      </c>
      <c r="AA34" s="6">
        <f>'YTD BS'!AA34</f>
        <v/>
      </c>
      <c r="AB34" s="6">
        <f>'YTD BS'!AB34</f>
        <v/>
      </c>
      <c r="AC34" s="6">
        <f>'YTD BS'!AC34</f>
        <v/>
      </c>
      <c r="AD34" s="6">
        <f>'BALANCE SHEET'!I34</f>
        <v/>
      </c>
      <c r="AE34" s="7">
        <f>SUM(AE30:AE33)</f>
        <v/>
      </c>
      <c r="AF34" s="7">
        <f>SUM(AF30:AF33)</f>
        <v/>
      </c>
      <c r="AG34" s="7">
        <f>SUM(AG30:AG33)</f>
        <v/>
      </c>
      <c r="AH34" s="7">
        <f>SUM(AH30:AH33)</f>
        <v/>
      </c>
      <c r="AI34" s="7">
        <f>SUM(AI30:AI33)</f>
        <v/>
      </c>
      <c r="AJ34" s="7">
        <f>SUM(AJ30:AJ33)</f>
        <v/>
      </c>
      <c r="AK34" s="7">
        <f>SUM(AK30:AK33)</f>
        <v/>
      </c>
      <c r="AL34" s="7">
        <f>SUM(AL30:AL33)</f>
        <v/>
      </c>
      <c r="AM34" s="7">
        <f>SUM(AM30:AM33)</f>
        <v/>
      </c>
      <c r="AN34" s="7">
        <f>SUM(AN30:AN33)</f>
        <v/>
      </c>
      <c r="AO34" s="7">
        <f>SUM(AO30:AO33)</f>
        <v/>
      </c>
      <c r="AP34" s="7">
        <f>SUM(AP30:AP33)</f>
        <v/>
      </c>
      <c r="AQ34" s="7">
        <f>SUM(AQ30:AQ33)</f>
        <v/>
      </c>
      <c r="AR34" s="7">
        <f>SUM(AR30:AR33)</f>
        <v/>
      </c>
      <c r="AS34" s="7">
        <f>SUM(AS30:AS33)</f>
        <v/>
      </c>
      <c r="AT34" s="7">
        <f>SUM(AT30:AT33)</f>
        <v/>
      </c>
      <c r="AU34" s="7">
        <f>SUM(AU30:AU33)</f>
        <v/>
      </c>
      <c r="AV34" s="7">
        <f>SUM(AV30:AV33)</f>
        <v/>
      </c>
      <c r="AW34" s="7">
        <f>SUM(AW30:AW33)</f>
        <v/>
      </c>
      <c r="AX34" s="7">
        <f>SUM(AX30:AX33)</f>
        <v/>
      </c>
    </row>
    <row r="35">
      <c r="A35" s="3" t="inlineStr">
        <is>
          <t>Total Liabilities, Mezzanine &amp; Stockholders' Equity</t>
        </is>
      </c>
      <c r="B35" s="6">
        <f>'BALANCE SHEET'!B35</f>
        <v/>
      </c>
      <c r="C35" s="6">
        <f>'YTD BS'!C35</f>
        <v/>
      </c>
      <c r="D35" s="6">
        <f>'YTD BS'!D35</f>
        <v/>
      </c>
      <c r="E35" s="6">
        <f>'YTD BS'!E35</f>
        <v/>
      </c>
      <c r="F35" s="6">
        <f>'BALANCE SHEET'!C35</f>
        <v/>
      </c>
      <c r="G35" s="6">
        <f>'YTD BS'!G35</f>
        <v/>
      </c>
      <c r="H35" s="6">
        <f>'YTD BS'!H35</f>
        <v/>
      </c>
      <c r="I35" s="6">
        <f>'YTD BS'!I35</f>
        <v/>
      </c>
      <c r="J35" s="6">
        <f>'BALANCE SHEET'!D35</f>
        <v/>
      </c>
      <c r="K35" s="6">
        <f>'YTD BS'!K35</f>
        <v/>
      </c>
      <c r="L35" s="6">
        <f>'YTD BS'!L35</f>
        <v/>
      </c>
      <c r="M35" s="6">
        <f>'YTD BS'!M35</f>
        <v/>
      </c>
      <c r="N35" s="6">
        <f>'BALANCE SHEET'!E35</f>
        <v/>
      </c>
      <c r="O35" s="6">
        <f>'YTD BS'!O35</f>
        <v/>
      </c>
      <c r="P35" s="6">
        <f>'YTD BS'!P35</f>
        <v/>
      </c>
      <c r="Q35" s="6">
        <f>'YTD BS'!Q35</f>
        <v/>
      </c>
      <c r="R35" s="6">
        <f>'BALANCE SHEET'!F35</f>
        <v/>
      </c>
      <c r="S35" s="6">
        <f>'YTD BS'!S35</f>
        <v/>
      </c>
      <c r="T35" s="6">
        <f>'YTD BS'!T35</f>
        <v/>
      </c>
      <c r="U35" s="6">
        <f>'YTD BS'!U35</f>
        <v/>
      </c>
      <c r="V35" s="6">
        <f>'BALANCE SHEET'!G35</f>
        <v/>
      </c>
      <c r="W35" s="6">
        <f>'YTD BS'!W35</f>
        <v/>
      </c>
      <c r="X35" s="6">
        <f>'YTD BS'!X35</f>
        <v/>
      </c>
      <c r="Y35" s="6">
        <f>'YTD BS'!Y35</f>
        <v/>
      </c>
      <c r="Z35" s="6">
        <f>'BALANCE SHEET'!H35</f>
        <v/>
      </c>
      <c r="AA35" s="6">
        <f>'YTD BS'!AA35</f>
        <v/>
      </c>
      <c r="AB35" s="6">
        <f>'YTD BS'!AB35</f>
        <v/>
      </c>
      <c r="AC35" s="6">
        <f>'YTD BS'!AC35</f>
        <v/>
      </c>
      <c r="AD35" s="6">
        <f>'BALANCE SHEET'!I35</f>
        <v/>
      </c>
      <c r="AE35" s="7">
        <f>AE29+AE34</f>
        <v/>
      </c>
      <c r="AF35" s="7">
        <f>AF29+AF34</f>
        <v/>
      </c>
      <c r="AG35" s="7">
        <f>AG29+AG34</f>
        <v/>
      </c>
      <c r="AH35" s="7">
        <f>AH29+AH34</f>
        <v/>
      </c>
      <c r="AI35" s="7">
        <f>AI29+AI34</f>
        <v/>
      </c>
      <c r="AJ35" s="7">
        <f>AJ29+AJ34</f>
        <v/>
      </c>
      <c r="AK35" s="7">
        <f>AK29+AK34</f>
        <v/>
      </c>
      <c r="AL35" s="7">
        <f>AL29+AL34</f>
        <v/>
      </c>
      <c r="AM35" s="7">
        <f>AM29+AM34</f>
        <v/>
      </c>
      <c r="AN35" s="7">
        <f>AN29+AN34</f>
        <v/>
      </c>
      <c r="AO35" s="7">
        <f>AO29+AO34</f>
        <v/>
      </c>
      <c r="AP35" s="7">
        <f>AP29+AP34</f>
        <v/>
      </c>
      <c r="AQ35" s="7">
        <f>AQ29+AQ34</f>
        <v/>
      </c>
      <c r="AR35" s="7">
        <f>AR29+AR34</f>
        <v/>
      </c>
      <c r="AS35" s="7">
        <f>AS29+AS34</f>
        <v/>
      </c>
      <c r="AT35" s="7">
        <f>AT29+AT34</f>
        <v/>
      </c>
      <c r="AU35" s="7">
        <f>AU29+AU34</f>
        <v/>
      </c>
      <c r="AV35" s="7">
        <f>AV29+AV34</f>
        <v/>
      </c>
      <c r="AW35" s="7">
        <f>AW29+AW34</f>
        <v/>
      </c>
      <c r="AX35" s="7">
        <f>AX29+AX34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>
      <c r="A1" s="1" t="inlineStr"/>
      <c r="B1" s="2" t="inlineStr">
        <is>
          <t>Q1 FY2018</t>
        </is>
      </c>
      <c r="C1" s="2" t="inlineStr">
        <is>
          <t>Q2 FY2018</t>
        </is>
      </c>
      <c r="D1" s="2" t="inlineStr">
        <is>
          <t>Q3 FY2018</t>
        </is>
      </c>
      <c r="E1" s="2" t="inlineStr">
        <is>
          <t>Q4 FY2018</t>
        </is>
      </c>
      <c r="F1" s="2" t="inlineStr">
        <is>
          <t>Q1 FY2019</t>
        </is>
      </c>
      <c r="G1" s="2" t="inlineStr">
        <is>
          <t>Q2 FY2019</t>
        </is>
      </c>
      <c r="H1" s="2" t="inlineStr">
        <is>
          <t>Q3 FY2019</t>
        </is>
      </c>
      <c r="I1" s="2" t="inlineStr">
        <is>
          <t>Q4 FY2019</t>
        </is>
      </c>
      <c r="J1" s="2" t="inlineStr">
        <is>
          <t>Q1 FY2020</t>
        </is>
      </c>
      <c r="K1" s="2" t="inlineStr">
        <is>
          <t>Q2 FY2020</t>
        </is>
      </c>
      <c r="L1" s="2" t="inlineStr">
        <is>
          <t>Q3 FY2020</t>
        </is>
      </c>
      <c r="M1" s="2" t="inlineStr">
        <is>
          <t>Q4 FY2020</t>
        </is>
      </c>
      <c r="N1" s="2" t="inlineStr">
        <is>
          <t>Q1 FY2021</t>
        </is>
      </c>
      <c r="O1" s="2" t="inlineStr">
        <is>
          <t>Q2 FY2021</t>
        </is>
      </c>
      <c r="P1" s="2" t="inlineStr">
        <is>
          <t>Q3 FY2021</t>
        </is>
      </c>
      <c r="Q1" s="2" t="inlineStr">
        <is>
          <t>Q4 FY2021</t>
        </is>
      </c>
      <c r="R1" s="2" t="inlineStr">
        <is>
          <t>Q1 FY2022</t>
        </is>
      </c>
      <c r="S1" s="2" t="inlineStr">
        <is>
          <t>Q2 FY2022</t>
        </is>
      </c>
      <c r="T1" s="2" t="inlineStr">
        <is>
          <t>Q3 FY2022</t>
        </is>
      </c>
      <c r="U1" s="2" t="inlineStr">
        <is>
          <t>Q4 FY2022</t>
        </is>
      </c>
      <c r="V1" s="2" t="inlineStr">
        <is>
          <t>Q1 FY2023</t>
        </is>
      </c>
      <c r="W1" s="2" t="inlineStr">
        <is>
          <t>Q2 FY2023</t>
        </is>
      </c>
      <c r="X1" s="2" t="inlineStr">
        <is>
          <t>Q3 FY2023</t>
        </is>
      </c>
      <c r="Y1" s="2" t="inlineStr">
        <is>
          <t>Q4 FY2023</t>
        </is>
      </c>
      <c r="Z1" s="2" t="inlineStr">
        <is>
          <t>Q1 FY2024</t>
        </is>
      </c>
      <c r="AA1" s="2" t="inlineStr">
        <is>
          <t>Q2 FY2024</t>
        </is>
      </c>
      <c r="AB1" s="2" t="inlineStr">
        <is>
          <t>Q3 FY2024</t>
        </is>
      </c>
      <c r="AC1" s="2" t="inlineStr">
        <is>
          <t>Q4 FY2024</t>
        </is>
      </c>
      <c r="AD1" s="2" t="inlineStr">
        <is>
          <t>Q1 FY2025</t>
        </is>
      </c>
      <c r="AE1" s="2" t="inlineStr">
        <is>
          <t>Q2 FY2025</t>
        </is>
      </c>
      <c r="AF1" s="2" t="inlineStr">
        <is>
          <t>Q3 FY2025</t>
        </is>
      </c>
      <c r="AG1" s="2" t="inlineStr">
        <is>
          <t>Q4 FY2025</t>
        </is>
      </c>
      <c r="AH1" s="2" t="inlineStr">
        <is>
          <t>Q1 FY2026E</t>
        </is>
      </c>
      <c r="AI1" s="2" t="inlineStr">
        <is>
          <t>Q2 FY2026E</t>
        </is>
      </c>
      <c r="AJ1" s="2" t="inlineStr">
        <is>
          <t>Q3 FY2026E</t>
        </is>
      </c>
      <c r="AK1" s="2" t="inlineStr">
        <is>
          <t>Q4 FY2026E</t>
        </is>
      </c>
      <c r="AL1" s="2" t="inlineStr">
        <is>
          <t>Q1 FY2027E</t>
        </is>
      </c>
      <c r="AM1" s="2" t="inlineStr">
        <is>
          <t>Q2 FY2027E</t>
        </is>
      </c>
      <c r="AN1" s="2" t="inlineStr">
        <is>
          <t>Q3 FY2027E</t>
        </is>
      </c>
      <c r="AO1" s="2" t="inlineStr">
        <is>
          <t>Q4 FY2027E</t>
        </is>
      </c>
      <c r="AP1" s="2" t="inlineStr">
        <is>
          <t>Q1 FY2028E</t>
        </is>
      </c>
      <c r="AQ1" s="2" t="inlineStr">
        <is>
          <t>Q2 FY2028E</t>
        </is>
      </c>
      <c r="AR1" s="2" t="inlineStr">
        <is>
          <t>Q3 FY2028E</t>
        </is>
      </c>
      <c r="AS1" s="2" t="inlineStr">
        <is>
          <t>Q4 FY2028E</t>
        </is>
      </c>
      <c r="AT1" s="2" t="inlineStr">
        <is>
          <t>Q1 FY2029E</t>
        </is>
      </c>
      <c r="AU1" s="2" t="inlineStr">
        <is>
          <t>Q2 FY2029E</t>
        </is>
      </c>
      <c r="AV1" s="2" t="inlineStr">
        <is>
          <t>Q3 FY2029E</t>
        </is>
      </c>
      <c r="AW1" s="2" t="inlineStr">
        <is>
          <t>Q4 FY2029E</t>
        </is>
      </c>
      <c r="AX1" s="2" t="inlineStr">
        <is>
          <t>Q1 FY2030E</t>
        </is>
      </c>
      <c r="AY1" s="2" t="inlineStr">
        <is>
          <t>Q2 FY2030E</t>
        </is>
      </c>
      <c r="AZ1" s="2" t="inlineStr">
        <is>
          <t>Q3 FY2030E</t>
        </is>
      </c>
      <c r="BA1" s="2" t="inlineStr">
        <is>
          <t>Q4 FY2030E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4">
        <f>'YTD CF'!O2-'YTD CF'!N2</f>
        <v/>
      </c>
      <c r="T2" s="4">
        <f>'YTD CF'!P2-'YTD CF'!O2</f>
        <v/>
      </c>
      <c r="U2" s="4">
        <f>'CASH FLOW'!G2-'YTD CF'!P2</f>
        <v/>
      </c>
      <c r="V2" s="4">
        <f>'YTD CF'!Q2</f>
        <v/>
      </c>
      <c r="W2" s="4">
        <f>'YTD CF'!R2-'YTD CF'!Q2</f>
        <v/>
      </c>
      <c r="X2" s="4">
        <f>'YTD CF'!S2-'YTD CF'!R2</f>
        <v/>
      </c>
      <c r="Y2" s="4">
        <f>'CASH FLOW'!H2-'YTD CF'!S2</f>
        <v/>
      </c>
      <c r="Z2" s="4">
        <f>'YTD CF'!T2</f>
        <v/>
      </c>
      <c r="AA2" s="4">
        <f>'YTD CF'!U2-'YTD CF'!T2</f>
        <v/>
      </c>
      <c r="AB2" s="4">
        <f>'YTD CF'!V2-'YTD CF'!U2</f>
        <v/>
      </c>
      <c r="AC2" s="4">
        <f>'CASH FLOW'!I2-'YTD CF'!V2</f>
        <v/>
      </c>
      <c r="AD2" s="4">
        <f>'YTD CF'!W2</f>
        <v/>
      </c>
      <c r="AE2" s="4">
        <f>'YTD CF'!X2-'YTD CF'!W2</f>
        <v/>
      </c>
      <c r="AF2" s="4">
        <f>'YTD CF'!Y2-'YTD CF'!X2</f>
        <v/>
      </c>
      <c r="AG2" s="4">
        <f>'CASH FLOW'!J2-'YTD CF'!Y2</f>
        <v/>
      </c>
      <c r="AH2" s="11">
        <f>'CF DRIVERS'!AH2</f>
        <v/>
      </c>
      <c r="AI2" s="11">
        <f>'CF DRIVERS'!AI2</f>
        <v/>
      </c>
      <c r="AJ2" s="11">
        <f>'CF DRIVERS'!AJ2</f>
        <v/>
      </c>
      <c r="AK2" s="11">
        <f>'CF DRIVERS'!AK2</f>
        <v/>
      </c>
      <c r="AL2" s="11">
        <f>'CF DRIVERS'!AL2</f>
        <v/>
      </c>
      <c r="AM2" s="11">
        <f>'CF DRIVERS'!AM2</f>
        <v/>
      </c>
      <c r="AN2" s="11">
        <f>'CF DRIVERS'!AN2</f>
        <v/>
      </c>
      <c r="AO2" s="11">
        <f>'CF DRIVERS'!AO2</f>
        <v/>
      </c>
      <c r="AP2" s="11">
        <f>'CF DRIVERS'!AP2</f>
        <v/>
      </c>
      <c r="AQ2" s="11">
        <f>'CF DRIVERS'!AQ2</f>
        <v/>
      </c>
      <c r="AR2" s="11">
        <f>'CF DRIVERS'!AR2</f>
        <v/>
      </c>
      <c r="AS2" s="11">
        <f>'CF DRIVERS'!AS2</f>
        <v/>
      </c>
      <c r="AT2" s="11">
        <f>'CF DRIVERS'!AT2</f>
        <v/>
      </c>
      <c r="AU2" s="11">
        <f>'CF DRIVERS'!AU2</f>
        <v/>
      </c>
      <c r="AV2" s="11">
        <f>'CF DRIVERS'!AV2</f>
        <v/>
      </c>
      <c r="AW2" s="11">
        <f>'CF DRIVERS'!AW2</f>
        <v/>
      </c>
      <c r="AX2" s="11">
        <f>'CF DRIVERS'!AX2</f>
        <v/>
      </c>
      <c r="AY2" s="11">
        <f>'CF DRIVERS'!AY2</f>
        <v/>
      </c>
      <c r="AZ2" s="11">
        <f>'CF DRIVERS'!AZ2</f>
        <v/>
      </c>
      <c r="BA2" s="11">
        <f>'CF DRIVERS'!BA2</f>
        <v/>
      </c>
    </row>
    <row r="3">
      <c r="A3" s="3" t="inlineStr">
        <is>
          <t>Depreciation and Impairment of PP&amp;E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4">
        <f>'YTD CF'!O3-'YTD CF'!N3</f>
        <v/>
      </c>
      <c r="T3" s="4">
        <f>'YTD CF'!P3-'YTD CF'!O3</f>
        <v/>
      </c>
      <c r="U3" s="4">
        <f>'CASH FLOW'!G3-'YTD CF'!P3</f>
        <v/>
      </c>
      <c r="V3" s="4">
        <f>'YTD CF'!Q3</f>
        <v/>
      </c>
      <c r="W3" s="4">
        <f>'YTD CF'!R3-'YTD CF'!Q3</f>
        <v/>
      </c>
      <c r="X3" s="4">
        <f>'YTD CF'!S3-'YTD CF'!R3</f>
        <v/>
      </c>
      <c r="Y3" s="4">
        <f>'CASH FLOW'!H3-'YTD CF'!S3</f>
        <v/>
      </c>
      <c r="Z3" s="4">
        <f>'YTD CF'!T3</f>
        <v/>
      </c>
      <c r="AA3" s="4">
        <f>'YTD CF'!U3-'YTD CF'!T3</f>
        <v/>
      </c>
      <c r="AB3" s="4">
        <f>'YTD CF'!V3-'YTD CF'!U3</f>
        <v/>
      </c>
      <c r="AC3" s="4">
        <f>'CASH FLOW'!I3-'YTD CF'!V3</f>
        <v/>
      </c>
      <c r="AD3" s="4">
        <f>'YTD CF'!W3</f>
        <v/>
      </c>
      <c r="AE3" s="4">
        <f>'YTD CF'!X3-'YTD CF'!W3</f>
        <v/>
      </c>
      <c r="AF3" s="4">
        <f>'YTD CF'!Y3-'YTD CF'!X3</f>
        <v/>
      </c>
      <c r="AG3" s="4">
        <f>'CASH FLOW'!J3-'YTD CF'!Y3</f>
        <v/>
      </c>
      <c r="AH3" s="11">
        <f>'CF DRIVERS'!AH3</f>
        <v/>
      </c>
      <c r="AI3" s="11">
        <f>'CF DRIVERS'!AI3</f>
        <v/>
      </c>
      <c r="AJ3" s="11">
        <f>'CF DRIVERS'!AJ3</f>
        <v/>
      </c>
      <c r="AK3" s="11">
        <f>'CF DRIVERS'!AK3</f>
        <v/>
      </c>
      <c r="AL3" s="11">
        <f>'CF DRIVERS'!AL3</f>
        <v/>
      </c>
      <c r="AM3" s="11">
        <f>'CF DRIVERS'!AM3</f>
        <v/>
      </c>
      <c r="AN3" s="11">
        <f>'CF DRIVERS'!AN3</f>
        <v/>
      </c>
      <c r="AO3" s="11">
        <f>'CF DRIVERS'!AO3</f>
        <v/>
      </c>
      <c r="AP3" s="11">
        <f>'CF DRIVERS'!AP3</f>
        <v/>
      </c>
      <c r="AQ3" s="11">
        <f>'CF DRIVERS'!AQ3</f>
        <v/>
      </c>
      <c r="AR3" s="11">
        <f>'CF DRIVERS'!AR3</f>
        <v/>
      </c>
      <c r="AS3" s="11">
        <f>'CF DRIVERS'!AS3</f>
        <v/>
      </c>
      <c r="AT3" s="11">
        <f>'CF DRIVERS'!AT3</f>
        <v/>
      </c>
      <c r="AU3" s="11">
        <f>'CF DRIVERS'!AU3</f>
        <v/>
      </c>
      <c r="AV3" s="11">
        <f>'CF DRIVERS'!AV3</f>
        <v/>
      </c>
      <c r="AW3" s="11">
        <f>'CF DRIVERS'!AW3</f>
        <v/>
      </c>
      <c r="AX3" s="11">
        <f>'CF DRIVERS'!AX3</f>
        <v/>
      </c>
      <c r="AY3" s="11">
        <f>'CF DRIVERS'!AY3</f>
        <v/>
      </c>
      <c r="AZ3" s="11">
        <f>'CF DRIVERS'!AZ3</f>
        <v/>
      </c>
      <c r="BA3" s="11">
        <f>'CF DRIVERS'!BA3</f>
        <v/>
      </c>
    </row>
    <row r="4">
      <c r="A4" s="3" t="inlineStr">
        <is>
          <t>Amortization and Impairment of Intangibles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4">
        <f>'YTD CF'!O4-'YTD CF'!N4</f>
        <v/>
      </c>
      <c r="T4" s="4">
        <f>'YTD CF'!P4-'YTD CF'!O4</f>
        <v/>
      </c>
      <c r="U4" s="4">
        <f>'CASH FLOW'!G4-'YTD CF'!P4</f>
        <v/>
      </c>
      <c r="V4" s="4">
        <f>'YTD CF'!Q4</f>
        <v/>
      </c>
      <c r="W4" s="4">
        <f>'YTD CF'!R4-'YTD CF'!Q4</f>
        <v/>
      </c>
      <c r="X4" s="4">
        <f>'YTD CF'!S4-'YTD CF'!R4</f>
        <v/>
      </c>
      <c r="Y4" s="4">
        <f>'CASH FLOW'!H4-'YTD CF'!S4</f>
        <v/>
      </c>
      <c r="Z4" s="4">
        <f>'YTD CF'!T4</f>
        <v/>
      </c>
      <c r="AA4" s="4">
        <f>'YTD CF'!U4-'YTD CF'!T4</f>
        <v/>
      </c>
      <c r="AB4" s="4">
        <f>'YTD CF'!V4-'YTD CF'!U4</f>
        <v/>
      </c>
      <c r="AC4" s="4">
        <f>'CASH FLOW'!I4-'YTD CF'!V4</f>
        <v/>
      </c>
      <c r="AD4" s="4">
        <f>'YTD CF'!W4</f>
        <v/>
      </c>
      <c r="AE4" s="4">
        <f>'YTD CF'!X4-'YTD CF'!W4</f>
        <v/>
      </c>
      <c r="AF4" s="4">
        <f>'YTD CF'!Y4-'YTD CF'!X4</f>
        <v/>
      </c>
      <c r="AG4" s="4">
        <f>'CASH FLOW'!J4-'YTD CF'!Y4</f>
        <v/>
      </c>
      <c r="AH4" s="11">
        <f>'CF DRIVERS'!AH4</f>
        <v/>
      </c>
      <c r="AI4" s="11">
        <f>'CF DRIVERS'!AI4</f>
        <v/>
      </c>
      <c r="AJ4" s="11">
        <f>'CF DRIVERS'!AJ4</f>
        <v/>
      </c>
      <c r="AK4" s="11">
        <f>'CF DRIVERS'!AK4</f>
        <v/>
      </c>
      <c r="AL4" s="11">
        <f>'CF DRIVERS'!AL4</f>
        <v/>
      </c>
      <c r="AM4" s="11">
        <f>'CF DRIVERS'!AM4</f>
        <v/>
      </c>
      <c r="AN4" s="11">
        <f>'CF DRIVERS'!AN4</f>
        <v/>
      </c>
      <c r="AO4" s="11">
        <f>'CF DRIVERS'!AO4</f>
        <v/>
      </c>
      <c r="AP4" s="11">
        <f>'CF DRIVERS'!AP4</f>
        <v/>
      </c>
      <c r="AQ4" s="11">
        <f>'CF DRIVERS'!AQ4</f>
        <v/>
      </c>
      <c r="AR4" s="11">
        <f>'CF DRIVERS'!AR4</f>
        <v/>
      </c>
      <c r="AS4" s="11">
        <f>'CF DRIVERS'!AS4</f>
        <v/>
      </c>
      <c r="AT4" s="11">
        <f>'CF DRIVERS'!AT4</f>
        <v/>
      </c>
      <c r="AU4" s="11">
        <f>'CF DRIVERS'!AU4</f>
        <v/>
      </c>
      <c r="AV4" s="11">
        <f>'CF DRIVERS'!AV4</f>
        <v/>
      </c>
      <c r="AW4" s="11">
        <f>'CF DRIVERS'!AW4</f>
        <v/>
      </c>
      <c r="AX4" s="11">
        <f>'CF DRIVERS'!AX4</f>
        <v/>
      </c>
      <c r="AY4" s="11">
        <f>'CF DRIVERS'!AY4</f>
        <v/>
      </c>
      <c r="AZ4" s="11">
        <f>'CF DRIVERS'!AZ4</f>
        <v/>
      </c>
      <c r="BA4" s="11">
        <f>'CF DRIVERS'!BA4</f>
        <v/>
      </c>
    </row>
    <row r="5">
      <c r="A5" s="3" t="inlineStr">
        <is>
          <t>Depreciation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  <c r="S5" s="4">
        <f>'YTD CF'!O5-'YTD CF'!N5</f>
        <v/>
      </c>
      <c r="T5" s="4">
        <f>'YTD CF'!P5-'YTD CF'!O5</f>
        <v/>
      </c>
      <c r="U5" s="4">
        <f>'CASH FLOW'!G5-'YTD CF'!P5</f>
        <v/>
      </c>
      <c r="V5" s="4">
        <f>'YTD CF'!Q5</f>
        <v/>
      </c>
      <c r="W5" s="4">
        <f>'YTD CF'!R5-'YTD CF'!Q5</f>
        <v/>
      </c>
      <c r="X5" s="4">
        <f>'YTD CF'!S5-'YTD CF'!R5</f>
        <v/>
      </c>
      <c r="Y5" s="4">
        <f>'CASH FLOW'!H5-'YTD CF'!S5</f>
        <v/>
      </c>
      <c r="Z5" s="4">
        <f>'YTD CF'!T5</f>
        <v/>
      </c>
      <c r="AA5" s="4">
        <f>'YTD CF'!U5-'YTD CF'!T5</f>
        <v/>
      </c>
      <c r="AB5" s="4">
        <f>'YTD CF'!V5-'YTD CF'!U5</f>
        <v/>
      </c>
      <c r="AC5" s="4">
        <f>'CASH FLOW'!I5-'YTD CF'!V5</f>
        <v/>
      </c>
      <c r="AD5" s="4">
        <f>'YTD CF'!W5</f>
        <v/>
      </c>
      <c r="AE5" s="4">
        <f>'YTD CF'!X5-'YTD CF'!W5</f>
        <v/>
      </c>
      <c r="AF5" s="4">
        <f>'YTD CF'!Y5-'YTD CF'!X5</f>
        <v/>
      </c>
      <c r="AG5" s="4">
        <f>'CASH FLOW'!J5-'YTD CF'!Y5</f>
        <v/>
      </c>
      <c r="AH5" s="11">
        <f>'CF DRIVERS'!AH5</f>
        <v/>
      </c>
      <c r="AI5" s="11">
        <f>'CF DRIVERS'!AI5</f>
        <v/>
      </c>
      <c r="AJ5" s="11">
        <f>'CF DRIVERS'!AJ5</f>
        <v/>
      </c>
      <c r="AK5" s="11">
        <f>'CF DRIVERS'!AK5</f>
        <v/>
      </c>
      <c r="AL5" s="11">
        <f>'CF DRIVERS'!AL5</f>
        <v/>
      </c>
      <c r="AM5" s="11">
        <f>'CF DRIVERS'!AM5</f>
        <v/>
      </c>
      <c r="AN5" s="11">
        <f>'CF DRIVERS'!AN5</f>
        <v/>
      </c>
      <c r="AO5" s="11">
        <f>'CF DRIVERS'!AO5</f>
        <v/>
      </c>
      <c r="AP5" s="11">
        <f>'CF DRIVERS'!AP5</f>
        <v/>
      </c>
      <c r="AQ5" s="11">
        <f>'CF DRIVERS'!AQ5</f>
        <v/>
      </c>
      <c r="AR5" s="11">
        <f>'CF DRIVERS'!AR5</f>
        <v/>
      </c>
      <c r="AS5" s="11">
        <f>'CF DRIVERS'!AS5</f>
        <v/>
      </c>
      <c r="AT5" s="11">
        <f>'CF DRIVERS'!AT5</f>
        <v/>
      </c>
      <c r="AU5" s="11">
        <f>'CF DRIVERS'!AU5</f>
        <v/>
      </c>
      <c r="AV5" s="11">
        <f>'CF DRIVERS'!AV5</f>
        <v/>
      </c>
      <c r="AW5" s="11">
        <f>'CF DRIVERS'!AW5</f>
        <v/>
      </c>
      <c r="AX5" s="11">
        <f>'CF DRIVERS'!AX5</f>
        <v/>
      </c>
      <c r="AY5" s="11">
        <f>'CF DRIVERS'!AY5</f>
        <v/>
      </c>
      <c r="AZ5" s="11">
        <f>'CF DRIVERS'!AZ5</f>
        <v/>
      </c>
      <c r="BA5" s="11">
        <f>'CF DRIVERS'!BA5</f>
        <v/>
      </c>
    </row>
    <row r="6">
      <c r="A6" s="3" t="inlineStr">
        <is>
          <t>Stock-Based Compensation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FLOW'!C6-'YTD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FLOW'!D6-'YTD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FLOW'!E6-'YTD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FLOW'!F6-'YTD CF'!M6</f>
        <v/>
      </c>
      <c r="R6" s="4">
        <f>'YTD CF'!N6</f>
        <v/>
      </c>
      <c r="S6" s="4">
        <f>'YTD CF'!O6-'YTD CF'!N6</f>
        <v/>
      </c>
      <c r="T6" s="4">
        <f>'YTD CF'!P6-'YTD CF'!O6</f>
        <v/>
      </c>
      <c r="U6" s="4">
        <f>'CASH FLOW'!G6-'YTD CF'!P6</f>
        <v/>
      </c>
      <c r="V6" s="4">
        <f>'YTD CF'!Q6</f>
        <v/>
      </c>
      <c r="W6" s="4">
        <f>'YTD CF'!R6-'YTD CF'!Q6</f>
        <v/>
      </c>
      <c r="X6" s="4">
        <f>'YTD CF'!S6-'YTD CF'!R6</f>
        <v/>
      </c>
      <c r="Y6" s="4">
        <f>'CASH FLOW'!H6-'YTD CF'!S6</f>
        <v/>
      </c>
      <c r="Z6" s="4">
        <f>'YTD CF'!T6</f>
        <v/>
      </c>
      <c r="AA6" s="4">
        <f>'YTD CF'!U6-'YTD CF'!T6</f>
        <v/>
      </c>
      <c r="AB6" s="4">
        <f>'YTD CF'!V6-'YTD CF'!U6</f>
        <v/>
      </c>
      <c r="AC6" s="4">
        <f>'CASH FLOW'!I6-'YTD CF'!V6</f>
        <v/>
      </c>
      <c r="AD6" s="4">
        <f>'YTD CF'!W6</f>
        <v/>
      </c>
      <c r="AE6" s="4">
        <f>'YTD CF'!X6-'YTD CF'!W6</f>
        <v/>
      </c>
      <c r="AF6" s="4">
        <f>'YTD CF'!Y6-'YTD CF'!X6</f>
        <v/>
      </c>
      <c r="AG6" s="4">
        <f>'CASH FLOW'!J6-'YTD CF'!Y6</f>
        <v/>
      </c>
      <c r="AH6" s="11">
        <f>'QTR P&amp;L'!AH2*'CF DRIVERS'!AH6</f>
        <v/>
      </c>
      <c r="AI6" s="11">
        <f>'QTR P&amp;L'!AI2*'CF DRIVERS'!AI6</f>
        <v/>
      </c>
      <c r="AJ6" s="11">
        <f>'QTR P&amp;L'!AJ2*'CF DRIVERS'!AJ6</f>
        <v/>
      </c>
      <c r="AK6" s="11">
        <f>'QTR P&amp;L'!AK2*'CF DRIVERS'!AK6</f>
        <v/>
      </c>
      <c r="AL6" s="11">
        <f>'QTR P&amp;L'!AL2*'CF DRIVERS'!AL6</f>
        <v/>
      </c>
      <c r="AM6" s="11">
        <f>'QTR P&amp;L'!AM2*'CF DRIVERS'!AM6</f>
        <v/>
      </c>
      <c r="AN6" s="11">
        <f>'QTR P&amp;L'!AN2*'CF DRIVERS'!AN6</f>
        <v/>
      </c>
      <c r="AO6" s="11">
        <f>'QTR P&amp;L'!AO2*'CF DRIVERS'!AO6</f>
        <v/>
      </c>
      <c r="AP6" s="11">
        <f>'QTR P&amp;L'!AP2*'CF DRIVERS'!AP6</f>
        <v/>
      </c>
      <c r="AQ6" s="11">
        <f>'QTR P&amp;L'!AQ2*'CF DRIVERS'!AQ6</f>
        <v/>
      </c>
      <c r="AR6" s="11">
        <f>'QTR P&amp;L'!AR2*'CF DRIVERS'!AR6</f>
        <v/>
      </c>
      <c r="AS6" s="11">
        <f>'QTR P&amp;L'!AS2*'CF DRIVERS'!AS6</f>
        <v/>
      </c>
      <c r="AT6" s="11">
        <f>'QTR P&amp;L'!AT2*'CF DRIVERS'!AT6</f>
        <v/>
      </c>
      <c r="AU6" s="11">
        <f>'QTR P&amp;L'!AU2*'CF DRIVERS'!AU6</f>
        <v/>
      </c>
      <c r="AV6" s="11">
        <f>'QTR P&amp;L'!AV2*'CF DRIVERS'!AV6</f>
        <v/>
      </c>
      <c r="AW6" s="11">
        <f>'QTR P&amp;L'!AW2*'CF DRIVERS'!AW6</f>
        <v/>
      </c>
      <c r="AX6" s="11">
        <f>'QTR P&amp;L'!AX2*'CF DRIVERS'!AX6</f>
        <v/>
      </c>
      <c r="AY6" s="11">
        <f>'QTR P&amp;L'!AY2*'CF DRIVERS'!AY6</f>
        <v/>
      </c>
      <c r="AZ6" s="11">
        <f>'QTR P&amp;L'!AZ2*'CF DRIVERS'!AZ6</f>
        <v/>
      </c>
      <c r="BA6" s="11">
        <f>'QTR P&amp;L'!BA2*'CF DRIVERS'!BA6</f>
        <v/>
      </c>
    </row>
    <row r="7">
      <c r="A7" s="3" t="inlineStr">
        <is>
          <t>(Benefit) Provision for Deferred Income Taxes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FLOW'!C7-'YTD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FLOW'!D7-'YTD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FLOW'!E7-'YTD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FLOW'!F7-'YTD CF'!M7</f>
        <v/>
      </c>
      <c r="R7" s="4">
        <f>'YTD CF'!N7</f>
        <v/>
      </c>
      <c r="S7" s="4">
        <f>'YTD CF'!O7-'YTD CF'!N7</f>
        <v/>
      </c>
      <c r="T7" s="4">
        <f>'YTD CF'!P7-'YTD CF'!O7</f>
        <v/>
      </c>
      <c r="U7" s="4">
        <f>'CASH FLOW'!G7-'YTD CF'!P7</f>
        <v/>
      </c>
      <c r="V7" s="4">
        <f>'YTD CF'!Q7</f>
        <v/>
      </c>
      <c r="W7" s="4">
        <f>'YTD CF'!R7-'YTD CF'!Q7</f>
        <v/>
      </c>
      <c r="X7" s="4">
        <f>'YTD CF'!S7-'YTD CF'!R7</f>
        <v/>
      </c>
      <c r="Y7" s="4">
        <f>'CASH FLOW'!H7-'YTD CF'!S7</f>
        <v/>
      </c>
      <c r="Z7" s="4">
        <f>'YTD CF'!T7</f>
        <v/>
      </c>
      <c r="AA7" s="4">
        <f>'YTD CF'!U7-'YTD CF'!T7</f>
        <v/>
      </c>
      <c r="AB7" s="4">
        <f>'YTD CF'!V7-'YTD CF'!U7</f>
        <v/>
      </c>
      <c r="AC7" s="4">
        <f>'CASH FLOW'!I7-'YTD CF'!V7</f>
        <v/>
      </c>
      <c r="AD7" s="4">
        <f>'YTD CF'!W7</f>
        <v/>
      </c>
      <c r="AE7" s="4">
        <f>'YTD CF'!X7-'YTD CF'!W7</f>
        <v/>
      </c>
      <c r="AF7" s="4">
        <f>'YTD CF'!Y7-'YTD CF'!X7</f>
        <v/>
      </c>
      <c r="AG7" s="4">
        <f>'CASH FLOW'!J7-'YTD CF'!Y7</f>
        <v/>
      </c>
      <c r="AH7" s="11">
        <f>'CF DRIVERS'!AH7</f>
        <v/>
      </c>
      <c r="AI7" s="11">
        <f>'CF DRIVERS'!AI7</f>
        <v/>
      </c>
      <c r="AJ7" s="11">
        <f>'CF DRIVERS'!AJ7</f>
        <v/>
      </c>
      <c r="AK7" s="11">
        <f>'CF DRIVERS'!AK7</f>
        <v/>
      </c>
      <c r="AL7" s="11">
        <f>'CF DRIVERS'!AL7</f>
        <v/>
      </c>
      <c r="AM7" s="11">
        <f>'CF DRIVERS'!AM7</f>
        <v/>
      </c>
      <c r="AN7" s="11">
        <f>'CF DRIVERS'!AN7</f>
        <v/>
      </c>
      <c r="AO7" s="11">
        <f>'CF DRIVERS'!AO7</f>
        <v/>
      </c>
      <c r="AP7" s="11">
        <f>'CF DRIVERS'!AP7</f>
        <v/>
      </c>
      <c r="AQ7" s="11">
        <f>'CF DRIVERS'!AQ7</f>
        <v/>
      </c>
      <c r="AR7" s="11">
        <f>'CF DRIVERS'!AR7</f>
        <v/>
      </c>
      <c r="AS7" s="11">
        <f>'CF DRIVERS'!AS7</f>
        <v/>
      </c>
      <c r="AT7" s="11">
        <f>'CF DRIVERS'!AT7</f>
        <v/>
      </c>
      <c r="AU7" s="11">
        <f>'CF DRIVERS'!AU7</f>
        <v/>
      </c>
      <c r="AV7" s="11">
        <f>'CF DRIVERS'!AV7</f>
        <v/>
      </c>
      <c r="AW7" s="11">
        <f>'CF DRIVERS'!AW7</f>
        <v/>
      </c>
      <c r="AX7" s="11">
        <f>'CF DRIVERS'!AX7</f>
        <v/>
      </c>
      <c r="AY7" s="11">
        <f>'CF DRIVERS'!AY7</f>
        <v/>
      </c>
      <c r="AZ7" s="11">
        <f>'CF DRIVERS'!AZ7</f>
        <v/>
      </c>
      <c r="BA7" s="11">
        <f>'CF DRIVERS'!BA7</f>
        <v/>
      </c>
    </row>
    <row r="8">
      <c r="A8" s="3" t="inlineStr">
        <is>
          <t>Loss (Gain) on Equity and Debt Securities, Net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FLOW'!C8-'YTD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FLOW'!D8-'YTD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FLOW'!E8-'YTD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FLOW'!F8-'YTD CF'!M8</f>
        <v/>
      </c>
      <c r="R8" s="4">
        <f>'YTD CF'!N8</f>
        <v/>
      </c>
      <c r="S8" s="4">
        <f>'YTD CF'!O8-'YTD CF'!N8</f>
        <v/>
      </c>
      <c r="T8" s="4">
        <f>'YTD CF'!P8-'YTD CF'!O8</f>
        <v/>
      </c>
      <c r="U8" s="4">
        <f>'CASH FLOW'!G8-'YTD CF'!P8</f>
        <v/>
      </c>
      <c r="V8" s="4">
        <f>'YTD CF'!Q8</f>
        <v/>
      </c>
      <c r="W8" s="4">
        <f>'YTD CF'!R8-'YTD CF'!Q8</f>
        <v/>
      </c>
      <c r="X8" s="4">
        <f>'YTD CF'!S8-'YTD CF'!R8</f>
        <v/>
      </c>
      <c r="Y8" s="4">
        <f>'CASH FLOW'!H8-'YTD CF'!S8</f>
        <v/>
      </c>
      <c r="Z8" s="4">
        <f>'YTD CF'!T8</f>
        <v/>
      </c>
      <c r="AA8" s="4">
        <f>'YTD CF'!U8-'YTD CF'!T8</f>
        <v/>
      </c>
      <c r="AB8" s="4">
        <f>'YTD CF'!V8-'YTD CF'!U8</f>
        <v/>
      </c>
      <c r="AC8" s="4">
        <f>'CASH FLOW'!I8-'YTD CF'!V8</f>
        <v/>
      </c>
      <c r="AD8" s="4">
        <f>'YTD CF'!W8</f>
        <v/>
      </c>
      <c r="AE8" s="4">
        <f>'YTD CF'!X8-'YTD CF'!W8</f>
        <v/>
      </c>
      <c r="AF8" s="4">
        <f>'YTD CF'!Y8-'YTD CF'!X8</f>
        <v/>
      </c>
      <c r="AG8" s="4">
        <f>'CASH FLOW'!J8-'YTD CF'!Y8</f>
        <v/>
      </c>
      <c r="AH8" s="11">
        <f>'CF DRIVERS'!AH8</f>
        <v/>
      </c>
      <c r="AI8" s="11">
        <f>'CF DRIVERS'!AI8</f>
        <v/>
      </c>
      <c r="AJ8" s="11">
        <f>'CF DRIVERS'!AJ8</f>
        <v/>
      </c>
      <c r="AK8" s="11">
        <f>'CF DRIVERS'!AK8</f>
        <v/>
      </c>
      <c r="AL8" s="11">
        <f>'CF DRIVERS'!AL8</f>
        <v/>
      </c>
      <c r="AM8" s="11">
        <f>'CF DRIVERS'!AM8</f>
        <v/>
      </c>
      <c r="AN8" s="11">
        <f>'CF DRIVERS'!AN8</f>
        <v/>
      </c>
      <c r="AO8" s="11">
        <f>'CF DRIVERS'!AO8</f>
        <v/>
      </c>
      <c r="AP8" s="11">
        <f>'CF DRIVERS'!AP8</f>
        <v/>
      </c>
      <c r="AQ8" s="11">
        <f>'CF DRIVERS'!AQ8</f>
        <v/>
      </c>
      <c r="AR8" s="11">
        <f>'CF DRIVERS'!AR8</f>
        <v/>
      </c>
      <c r="AS8" s="11">
        <f>'CF DRIVERS'!AS8</f>
        <v/>
      </c>
      <c r="AT8" s="11">
        <f>'CF DRIVERS'!AT8</f>
        <v/>
      </c>
      <c r="AU8" s="11">
        <f>'CF DRIVERS'!AU8</f>
        <v/>
      </c>
      <c r="AV8" s="11">
        <f>'CF DRIVERS'!AV8</f>
        <v/>
      </c>
      <c r="AW8" s="11">
        <f>'CF DRIVERS'!AW8</f>
        <v/>
      </c>
      <c r="AX8" s="11">
        <f>'CF DRIVERS'!AX8</f>
        <v/>
      </c>
      <c r="AY8" s="11">
        <f>'CF DRIVERS'!AY8</f>
        <v/>
      </c>
      <c r="AZ8" s="11">
        <f>'CF DRIVERS'!AZ8</f>
        <v/>
      </c>
      <c r="BA8" s="11">
        <f>'CF DRIVERS'!BA8</f>
        <v/>
      </c>
    </row>
    <row r="9">
      <c r="A9" s="3" t="inlineStr">
        <is>
          <t>Other Operating Items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FLOW'!C9-'YTD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FLOW'!D9-'YTD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FLOW'!E9-'YTD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FLOW'!F9-'YTD CF'!M9</f>
        <v/>
      </c>
      <c r="R9" s="4">
        <f>'YTD CF'!N9</f>
        <v/>
      </c>
      <c r="S9" s="4">
        <f>'YTD CF'!O9-'YTD CF'!N9</f>
        <v/>
      </c>
      <c r="T9" s="4">
        <f>'YTD CF'!P9-'YTD CF'!O9</f>
        <v/>
      </c>
      <c r="U9" s="4">
        <f>'CASH FLOW'!G9-'YTD CF'!P9</f>
        <v/>
      </c>
      <c r="V9" s="4">
        <f>'YTD CF'!Q9</f>
        <v/>
      </c>
      <c r="W9" s="4">
        <f>'YTD CF'!R9-'YTD CF'!Q9</f>
        <v/>
      </c>
      <c r="X9" s="4">
        <f>'YTD CF'!S9-'YTD CF'!R9</f>
        <v/>
      </c>
      <c r="Y9" s="4">
        <f>'CASH FLOW'!H9-'YTD CF'!S9</f>
        <v/>
      </c>
      <c r="Z9" s="4">
        <f>'YTD CF'!T9</f>
        <v/>
      </c>
      <c r="AA9" s="4">
        <f>'YTD CF'!U9-'YTD CF'!T9</f>
        <v/>
      </c>
      <c r="AB9" s="4">
        <f>'YTD CF'!V9-'YTD CF'!U9</f>
        <v/>
      </c>
      <c r="AC9" s="4">
        <f>'CASH FLOW'!I9-'YTD CF'!V9</f>
        <v/>
      </c>
      <c r="AD9" s="4">
        <f>'YTD CF'!W9</f>
        <v/>
      </c>
      <c r="AE9" s="4">
        <f>'YTD CF'!X9-'YTD CF'!W9</f>
        <v/>
      </c>
      <c r="AF9" s="4">
        <f>'YTD CF'!Y9-'YTD CF'!X9</f>
        <v/>
      </c>
      <c r="AG9" s="4">
        <f>'CASH FLOW'!J9-'YTD CF'!Y9</f>
        <v/>
      </c>
      <c r="AH9" s="11">
        <f>'CF DRIVERS'!AH9</f>
        <v/>
      </c>
      <c r="AI9" s="11">
        <f>'CF DRIVERS'!AI9</f>
        <v/>
      </c>
      <c r="AJ9" s="11">
        <f>'CF DRIVERS'!AJ9</f>
        <v/>
      </c>
      <c r="AK9" s="11">
        <f>'CF DRIVERS'!AK9</f>
        <v/>
      </c>
      <c r="AL9" s="11">
        <f>'CF DRIVERS'!AL9</f>
        <v/>
      </c>
      <c r="AM9" s="11">
        <f>'CF DRIVERS'!AM9</f>
        <v/>
      </c>
      <c r="AN9" s="11">
        <f>'CF DRIVERS'!AN9</f>
        <v/>
      </c>
      <c r="AO9" s="11">
        <f>'CF DRIVERS'!AO9</f>
        <v/>
      </c>
      <c r="AP9" s="11">
        <f>'CF DRIVERS'!AP9</f>
        <v/>
      </c>
      <c r="AQ9" s="11">
        <f>'CF DRIVERS'!AQ9</f>
        <v/>
      </c>
      <c r="AR9" s="11">
        <f>'CF DRIVERS'!AR9</f>
        <v/>
      </c>
      <c r="AS9" s="11">
        <f>'CF DRIVERS'!AS9</f>
        <v/>
      </c>
      <c r="AT9" s="11">
        <f>'CF DRIVERS'!AT9</f>
        <v/>
      </c>
      <c r="AU9" s="11">
        <f>'CF DRIVERS'!AU9</f>
        <v/>
      </c>
      <c r="AV9" s="11">
        <f>'CF DRIVERS'!AV9</f>
        <v/>
      </c>
      <c r="AW9" s="11">
        <f>'CF DRIVERS'!AW9</f>
        <v/>
      </c>
      <c r="AX9" s="11">
        <f>'CF DRIVERS'!AX9</f>
        <v/>
      </c>
      <c r="AY9" s="11">
        <f>'CF DRIVERS'!AY9</f>
        <v/>
      </c>
      <c r="AZ9" s="11">
        <f>'CF DRIVERS'!AZ9</f>
        <v/>
      </c>
      <c r="BA9" s="11">
        <f>'CF DRIVERS'!BA9</f>
        <v/>
      </c>
    </row>
    <row r="10">
      <c r="A10" s="3" t="inlineStr">
        <is>
          <t>Accounts Receivable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FLOW'!C10-'YTD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FLOW'!D10-'YTD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FLOW'!E10-'YTD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FLOW'!F10-'YTD CF'!M10</f>
        <v/>
      </c>
      <c r="R10" s="4">
        <f>'YTD CF'!N10</f>
        <v/>
      </c>
      <c r="S10" s="4">
        <f>'YTD CF'!O10-'YTD CF'!N10</f>
        <v/>
      </c>
      <c r="T10" s="4">
        <f>'YTD CF'!P10-'YTD CF'!O10</f>
        <v/>
      </c>
      <c r="U10" s="4">
        <f>'CASH FLOW'!G10-'YTD CF'!P10</f>
        <v/>
      </c>
      <c r="V10" s="4">
        <f>'YTD CF'!Q10</f>
        <v/>
      </c>
      <c r="W10" s="4">
        <f>'YTD CF'!R10-'YTD CF'!Q10</f>
        <v/>
      </c>
      <c r="X10" s="4">
        <f>'YTD CF'!S10-'YTD CF'!R10</f>
        <v/>
      </c>
      <c r="Y10" s="4">
        <f>'CASH FLOW'!H10-'YTD CF'!S10</f>
        <v/>
      </c>
      <c r="Z10" s="4">
        <f>'YTD CF'!T10</f>
        <v/>
      </c>
      <c r="AA10" s="4">
        <f>'YTD CF'!U10-'YTD CF'!T10</f>
        <v/>
      </c>
      <c r="AB10" s="4">
        <f>'YTD CF'!V10-'YTD CF'!U10</f>
        <v/>
      </c>
      <c r="AC10" s="4">
        <f>'CASH FLOW'!I10-'YTD CF'!V10</f>
        <v/>
      </c>
      <c r="AD10" s="4">
        <f>'YTD CF'!W10</f>
        <v/>
      </c>
      <c r="AE10" s="4">
        <f>'YTD CF'!X10-'YTD CF'!W10</f>
        <v/>
      </c>
      <c r="AF10" s="4">
        <f>'YTD CF'!Y10-'YTD CF'!X10</f>
        <v/>
      </c>
      <c r="AG10" s="4">
        <f>'CASH FLOW'!J10-'YTD CF'!Y10</f>
        <v/>
      </c>
      <c r="AH10" s="11">
        <f>'CF DRIVERS'!AH10</f>
        <v/>
      </c>
      <c r="AI10" s="11">
        <f>'CF DRIVERS'!AI10</f>
        <v/>
      </c>
      <c r="AJ10" s="11">
        <f>'CF DRIVERS'!AJ10</f>
        <v/>
      </c>
      <c r="AK10" s="11">
        <f>'CF DRIVERS'!AK10</f>
        <v/>
      </c>
      <c r="AL10" s="11">
        <f>'CF DRIVERS'!AL10</f>
        <v/>
      </c>
      <c r="AM10" s="11">
        <f>'CF DRIVERS'!AM10</f>
        <v/>
      </c>
      <c r="AN10" s="11">
        <f>'CF DRIVERS'!AN10</f>
        <v/>
      </c>
      <c r="AO10" s="11">
        <f>'CF DRIVERS'!AO10</f>
        <v/>
      </c>
      <c r="AP10" s="11">
        <f>'CF DRIVERS'!AP10</f>
        <v/>
      </c>
      <c r="AQ10" s="11">
        <f>'CF DRIVERS'!AQ10</f>
        <v/>
      </c>
      <c r="AR10" s="11">
        <f>'CF DRIVERS'!AR10</f>
        <v/>
      </c>
      <c r="AS10" s="11">
        <f>'CF DRIVERS'!AS10</f>
        <v/>
      </c>
      <c r="AT10" s="11">
        <f>'CF DRIVERS'!AT10</f>
        <v/>
      </c>
      <c r="AU10" s="11">
        <f>'CF DRIVERS'!AU10</f>
        <v/>
      </c>
      <c r="AV10" s="11">
        <f>'CF DRIVERS'!AV10</f>
        <v/>
      </c>
      <c r="AW10" s="11">
        <f>'CF DRIVERS'!AW10</f>
        <v/>
      </c>
      <c r="AX10" s="11">
        <f>'CF DRIVERS'!AX10</f>
        <v/>
      </c>
      <c r="AY10" s="11">
        <f>'CF DRIVERS'!AY10</f>
        <v/>
      </c>
      <c r="AZ10" s="11">
        <f>'CF DRIVERS'!AZ10</f>
        <v/>
      </c>
      <c r="BA10" s="11">
        <f>'CF DRIVERS'!BA10</f>
        <v/>
      </c>
    </row>
    <row r="11">
      <c r="A11" s="3" t="inlineStr">
        <is>
          <t>Change in Income Taxes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FLOW'!C11-'YTD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FLOW'!D11-'YTD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FLOW'!E11-'YTD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FLOW'!F11-'YTD CF'!M11</f>
        <v/>
      </c>
      <c r="R11" s="4">
        <f>'YTD CF'!N11</f>
        <v/>
      </c>
      <c r="S11" s="4">
        <f>'YTD CF'!O11-'YTD CF'!N11</f>
        <v/>
      </c>
      <c r="T11" s="4">
        <f>'YTD CF'!P11-'YTD CF'!O11</f>
        <v/>
      </c>
      <c r="U11" s="4">
        <f>'CASH FLOW'!G11-'YTD CF'!P11</f>
        <v/>
      </c>
      <c r="V11" s="4">
        <f>'YTD CF'!Q11</f>
        <v/>
      </c>
      <c r="W11" s="4">
        <f>'YTD CF'!R11-'YTD CF'!Q11</f>
        <v/>
      </c>
      <c r="X11" s="4">
        <f>'YTD CF'!S11-'YTD CF'!R11</f>
        <v/>
      </c>
      <c r="Y11" s="4">
        <f>'CASH FLOW'!H11-'YTD CF'!S11</f>
        <v/>
      </c>
      <c r="Z11" s="4">
        <f>'YTD CF'!T11</f>
        <v/>
      </c>
      <c r="AA11" s="4">
        <f>'YTD CF'!U11-'YTD CF'!T11</f>
        <v/>
      </c>
      <c r="AB11" s="4">
        <f>'YTD CF'!V11-'YTD CF'!U11</f>
        <v/>
      </c>
      <c r="AC11" s="4">
        <f>'CASH FLOW'!I11-'YTD CF'!V11</f>
        <v/>
      </c>
      <c r="AD11" s="4">
        <f>'YTD CF'!W11</f>
        <v/>
      </c>
      <c r="AE11" s="4">
        <f>'YTD CF'!X11-'YTD CF'!W11</f>
        <v/>
      </c>
      <c r="AF11" s="4">
        <f>'YTD CF'!Y11-'YTD CF'!X11</f>
        <v/>
      </c>
      <c r="AG11" s="4">
        <f>'CASH FLOW'!J11-'YTD CF'!Y11</f>
        <v/>
      </c>
      <c r="AH11" s="11">
        <f>'CF DRIVERS'!AH11</f>
        <v/>
      </c>
      <c r="AI11" s="11">
        <f>'CF DRIVERS'!AI11</f>
        <v/>
      </c>
      <c r="AJ11" s="11">
        <f>'CF DRIVERS'!AJ11</f>
        <v/>
      </c>
      <c r="AK11" s="11">
        <f>'CF DRIVERS'!AK11</f>
        <v/>
      </c>
      <c r="AL11" s="11">
        <f>'CF DRIVERS'!AL11</f>
        <v/>
      </c>
      <c r="AM11" s="11">
        <f>'CF DRIVERS'!AM11</f>
        <v/>
      </c>
      <c r="AN11" s="11">
        <f>'CF DRIVERS'!AN11</f>
        <v/>
      </c>
      <c r="AO11" s="11">
        <f>'CF DRIVERS'!AO11</f>
        <v/>
      </c>
      <c r="AP11" s="11">
        <f>'CF DRIVERS'!AP11</f>
        <v/>
      </c>
      <c r="AQ11" s="11">
        <f>'CF DRIVERS'!AQ11</f>
        <v/>
      </c>
      <c r="AR11" s="11">
        <f>'CF DRIVERS'!AR11</f>
        <v/>
      </c>
      <c r="AS11" s="11">
        <f>'CF DRIVERS'!AS11</f>
        <v/>
      </c>
      <c r="AT11" s="11">
        <f>'CF DRIVERS'!AT11</f>
        <v/>
      </c>
      <c r="AU11" s="11">
        <f>'CF DRIVERS'!AU11</f>
        <v/>
      </c>
      <c r="AV11" s="11">
        <f>'CF DRIVERS'!AV11</f>
        <v/>
      </c>
      <c r="AW11" s="11">
        <f>'CF DRIVERS'!AW11</f>
        <v/>
      </c>
      <c r="AX11" s="11">
        <f>'CF DRIVERS'!AX11</f>
        <v/>
      </c>
      <c r="AY11" s="11">
        <f>'CF DRIVERS'!AY11</f>
        <v/>
      </c>
      <c r="AZ11" s="11">
        <f>'CF DRIVERS'!AZ11</f>
        <v/>
      </c>
      <c r="BA11" s="11">
        <f>'CF DRIVERS'!BA11</f>
        <v/>
      </c>
    </row>
    <row r="12">
      <c r="A12" s="3" t="inlineStr">
        <is>
          <t>Accounts Payable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FLOW'!C12-'YTD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FLOW'!D12-'YTD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FLOW'!E12-'YTD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FLOW'!F12-'YTD CF'!M12</f>
        <v/>
      </c>
      <c r="R12" s="4">
        <f>'YTD CF'!N12</f>
        <v/>
      </c>
      <c r="S12" s="4">
        <f>'YTD CF'!O12-'YTD CF'!N12</f>
        <v/>
      </c>
      <c r="T12" s="4">
        <f>'YTD CF'!P12-'YTD CF'!O12</f>
        <v/>
      </c>
      <c r="U12" s="4">
        <f>'CASH FLOW'!G12-'YTD CF'!P12</f>
        <v/>
      </c>
      <c r="V12" s="4">
        <f>'YTD CF'!Q12</f>
        <v/>
      </c>
      <c r="W12" s="4">
        <f>'YTD CF'!R12-'YTD CF'!Q12</f>
        <v/>
      </c>
      <c r="X12" s="4">
        <f>'YTD CF'!S12-'YTD CF'!R12</f>
        <v/>
      </c>
      <c r="Y12" s="4">
        <f>'CASH FLOW'!H12-'YTD CF'!S12</f>
        <v/>
      </c>
      <c r="Z12" s="4">
        <f>'YTD CF'!T12</f>
        <v/>
      </c>
      <c r="AA12" s="4">
        <f>'YTD CF'!U12-'YTD CF'!T12</f>
        <v/>
      </c>
      <c r="AB12" s="4">
        <f>'YTD CF'!V12-'YTD CF'!U12</f>
        <v/>
      </c>
      <c r="AC12" s="4">
        <f>'CASH FLOW'!I12-'YTD CF'!V12</f>
        <v/>
      </c>
      <c r="AD12" s="4">
        <f>'YTD CF'!W12</f>
        <v/>
      </c>
      <c r="AE12" s="4">
        <f>'YTD CF'!X12-'YTD CF'!W12</f>
        <v/>
      </c>
      <c r="AF12" s="4">
        <f>'YTD CF'!Y12-'YTD CF'!X12</f>
        <v/>
      </c>
      <c r="AG12" s="4">
        <f>'CASH FLOW'!J12-'YTD CF'!Y12</f>
        <v/>
      </c>
      <c r="AH12" s="11">
        <f>'CF DRIVERS'!AH12</f>
        <v/>
      </c>
      <c r="AI12" s="11">
        <f>'CF DRIVERS'!AI12</f>
        <v/>
      </c>
      <c r="AJ12" s="11">
        <f>'CF DRIVERS'!AJ12</f>
        <v/>
      </c>
      <c r="AK12" s="11">
        <f>'CF DRIVERS'!AK12</f>
        <v/>
      </c>
      <c r="AL12" s="11">
        <f>'CF DRIVERS'!AL12</f>
        <v/>
      </c>
      <c r="AM12" s="11">
        <f>'CF DRIVERS'!AM12</f>
        <v/>
      </c>
      <c r="AN12" s="11">
        <f>'CF DRIVERS'!AN12</f>
        <v/>
      </c>
      <c r="AO12" s="11">
        <f>'CF DRIVERS'!AO12</f>
        <v/>
      </c>
      <c r="AP12" s="11">
        <f>'CF DRIVERS'!AP12</f>
        <v/>
      </c>
      <c r="AQ12" s="11">
        <f>'CF DRIVERS'!AQ12</f>
        <v/>
      </c>
      <c r="AR12" s="11">
        <f>'CF DRIVERS'!AR12</f>
        <v/>
      </c>
      <c r="AS12" s="11">
        <f>'CF DRIVERS'!AS12</f>
        <v/>
      </c>
      <c r="AT12" s="11">
        <f>'CF DRIVERS'!AT12</f>
        <v/>
      </c>
      <c r="AU12" s="11">
        <f>'CF DRIVERS'!AU12</f>
        <v/>
      </c>
      <c r="AV12" s="11">
        <f>'CF DRIVERS'!AV12</f>
        <v/>
      </c>
      <c r="AW12" s="11">
        <f>'CF DRIVERS'!AW12</f>
        <v/>
      </c>
      <c r="AX12" s="11">
        <f>'CF DRIVERS'!AX12</f>
        <v/>
      </c>
      <c r="AY12" s="11">
        <f>'CF DRIVERS'!AY12</f>
        <v/>
      </c>
      <c r="AZ12" s="11">
        <f>'CF DRIVERS'!AZ12</f>
        <v/>
      </c>
      <c r="BA12" s="11">
        <f>'CF DRIVERS'!BA12</f>
        <v/>
      </c>
    </row>
    <row r="13">
      <c r="A13" s="3" t="inlineStr">
        <is>
          <t>Accrued Expenses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FLOW'!C13-'YTD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FLOW'!D13-'YTD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FLOW'!E13-'YTD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FLOW'!F13-'YTD CF'!M13</f>
        <v/>
      </c>
      <c r="R13" s="4">
        <f>'YTD CF'!N13</f>
        <v/>
      </c>
      <c r="S13" s="4">
        <f>'YTD CF'!O13-'YTD CF'!N13</f>
        <v/>
      </c>
      <c r="T13" s="4">
        <f>'YTD CF'!P13-'YTD CF'!O13</f>
        <v/>
      </c>
      <c r="U13" s="4">
        <f>'CASH FLOW'!G13-'YTD CF'!P13</f>
        <v/>
      </c>
      <c r="V13" s="4">
        <f>'YTD CF'!Q13</f>
        <v/>
      </c>
      <c r="W13" s="4">
        <f>'YTD CF'!R13-'YTD CF'!Q13</f>
        <v/>
      </c>
      <c r="X13" s="4">
        <f>'YTD CF'!S13-'YTD CF'!R13</f>
        <v/>
      </c>
      <c r="Y13" s="4">
        <f>'CASH FLOW'!H13-'YTD CF'!S13</f>
        <v/>
      </c>
      <c r="Z13" s="4">
        <f>'YTD CF'!T13</f>
        <v/>
      </c>
      <c r="AA13" s="4">
        <f>'YTD CF'!U13-'YTD CF'!T13</f>
        <v/>
      </c>
      <c r="AB13" s="4">
        <f>'YTD CF'!V13-'YTD CF'!U13</f>
        <v/>
      </c>
      <c r="AC13" s="4">
        <f>'CASH FLOW'!I13-'YTD CF'!V13</f>
        <v/>
      </c>
      <c r="AD13" s="4">
        <f>'YTD CF'!W13</f>
        <v/>
      </c>
      <c r="AE13" s="4">
        <f>'YTD CF'!X13-'YTD CF'!W13</f>
        <v/>
      </c>
      <c r="AF13" s="4">
        <f>'YTD CF'!Y13-'YTD CF'!X13</f>
        <v/>
      </c>
      <c r="AG13" s="4">
        <f>'CASH FLOW'!J13-'YTD CF'!Y13</f>
        <v/>
      </c>
      <c r="AH13" s="11">
        <f>'CF DRIVERS'!AH13</f>
        <v/>
      </c>
      <c r="AI13" s="11">
        <f>'CF DRIVERS'!AI13</f>
        <v/>
      </c>
      <c r="AJ13" s="11">
        <f>'CF DRIVERS'!AJ13</f>
        <v/>
      </c>
      <c r="AK13" s="11">
        <f>'CF DRIVERS'!AK13</f>
        <v/>
      </c>
      <c r="AL13" s="11">
        <f>'CF DRIVERS'!AL13</f>
        <v/>
      </c>
      <c r="AM13" s="11">
        <f>'CF DRIVERS'!AM13</f>
        <v/>
      </c>
      <c r="AN13" s="11">
        <f>'CF DRIVERS'!AN13</f>
        <v/>
      </c>
      <c r="AO13" s="11">
        <f>'CF DRIVERS'!AO13</f>
        <v/>
      </c>
      <c r="AP13" s="11">
        <f>'CF DRIVERS'!AP13</f>
        <v/>
      </c>
      <c r="AQ13" s="11">
        <f>'CF DRIVERS'!AQ13</f>
        <v/>
      </c>
      <c r="AR13" s="11">
        <f>'CF DRIVERS'!AR13</f>
        <v/>
      </c>
      <c r="AS13" s="11">
        <f>'CF DRIVERS'!AS13</f>
        <v/>
      </c>
      <c r="AT13" s="11">
        <f>'CF DRIVERS'!AT13</f>
        <v/>
      </c>
      <c r="AU13" s="11">
        <f>'CF DRIVERS'!AU13</f>
        <v/>
      </c>
      <c r="AV13" s="11">
        <f>'CF DRIVERS'!AV13</f>
        <v/>
      </c>
      <c r="AW13" s="11">
        <f>'CF DRIVERS'!AW13</f>
        <v/>
      </c>
      <c r="AX13" s="11">
        <f>'CF DRIVERS'!AX13</f>
        <v/>
      </c>
      <c r="AY13" s="11">
        <f>'CF DRIVERS'!AY13</f>
        <v/>
      </c>
      <c r="AZ13" s="11">
        <f>'CF DRIVERS'!AZ13</f>
        <v/>
      </c>
      <c r="BA13" s="11">
        <f>'CF DRIVERS'!BA13</f>
        <v/>
      </c>
    </row>
    <row r="14">
      <c r="A14" s="3" t="inlineStr">
        <is>
          <t>Accrued Revenue Share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FLOW'!C14-'YTD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FLOW'!D14-'YTD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FLOW'!E14-'YTD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FLOW'!F14-'YTD CF'!M14</f>
        <v/>
      </c>
      <c r="R14" s="4">
        <f>'YTD CF'!N14</f>
        <v/>
      </c>
      <c r="S14" s="4">
        <f>'YTD CF'!O14-'YTD CF'!N14</f>
        <v/>
      </c>
      <c r="T14" s="4">
        <f>'YTD CF'!P14-'YTD CF'!O14</f>
        <v/>
      </c>
      <c r="U14" s="4">
        <f>'CASH FLOW'!G14-'YTD CF'!P14</f>
        <v/>
      </c>
      <c r="V14" s="4">
        <f>'YTD CF'!Q14</f>
        <v/>
      </c>
      <c r="W14" s="4">
        <f>'YTD CF'!R14-'YTD CF'!Q14</f>
        <v/>
      </c>
      <c r="X14" s="4">
        <f>'YTD CF'!S14-'YTD CF'!R14</f>
        <v/>
      </c>
      <c r="Y14" s="4">
        <f>'CASH FLOW'!H14-'YTD CF'!S14</f>
        <v/>
      </c>
      <c r="Z14" s="4">
        <f>'YTD CF'!T14</f>
        <v/>
      </c>
      <c r="AA14" s="4">
        <f>'YTD CF'!U14-'YTD CF'!T14</f>
        <v/>
      </c>
      <c r="AB14" s="4">
        <f>'YTD CF'!V14-'YTD CF'!U14</f>
        <v/>
      </c>
      <c r="AC14" s="4">
        <f>'CASH FLOW'!I14-'YTD CF'!V14</f>
        <v/>
      </c>
      <c r="AD14" s="4">
        <f>'YTD CF'!W14</f>
        <v/>
      </c>
      <c r="AE14" s="4">
        <f>'YTD CF'!X14-'YTD CF'!W14</f>
        <v/>
      </c>
      <c r="AF14" s="4">
        <f>'YTD CF'!Y14-'YTD CF'!X14</f>
        <v/>
      </c>
      <c r="AG14" s="4">
        <f>'CASH FLOW'!J14-'YTD CF'!Y14</f>
        <v/>
      </c>
      <c r="AH14" s="11">
        <f>'CF DRIVERS'!AH14</f>
        <v/>
      </c>
      <c r="AI14" s="11">
        <f>'CF DRIVERS'!AI14</f>
        <v/>
      </c>
      <c r="AJ14" s="11">
        <f>'CF DRIVERS'!AJ14</f>
        <v/>
      </c>
      <c r="AK14" s="11">
        <f>'CF DRIVERS'!AK14</f>
        <v/>
      </c>
      <c r="AL14" s="11">
        <f>'CF DRIVERS'!AL14</f>
        <v/>
      </c>
      <c r="AM14" s="11">
        <f>'CF DRIVERS'!AM14</f>
        <v/>
      </c>
      <c r="AN14" s="11">
        <f>'CF DRIVERS'!AN14</f>
        <v/>
      </c>
      <c r="AO14" s="11">
        <f>'CF DRIVERS'!AO14</f>
        <v/>
      </c>
      <c r="AP14" s="11">
        <f>'CF DRIVERS'!AP14</f>
        <v/>
      </c>
      <c r="AQ14" s="11">
        <f>'CF DRIVERS'!AQ14</f>
        <v/>
      </c>
      <c r="AR14" s="11">
        <f>'CF DRIVERS'!AR14</f>
        <v/>
      </c>
      <c r="AS14" s="11">
        <f>'CF DRIVERS'!AS14</f>
        <v/>
      </c>
      <c r="AT14" s="11">
        <f>'CF DRIVERS'!AT14</f>
        <v/>
      </c>
      <c r="AU14" s="11">
        <f>'CF DRIVERS'!AU14</f>
        <v/>
      </c>
      <c r="AV14" s="11">
        <f>'CF DRIVERS'!AV14</f>
        <v/>
      </c>
      <c r="AW14" s="11">
        <f>'CF DRIVERS'!AW14</f>
        <v/>
      </c>
      <c r="AX14" s="11">
        <f>'CF DRIVERS'!AX14</f>
        <v/>
      </c>
      <c r="AY14" s="11">
        <f>'CF DRIVERS'!AY14</f>
        <v/>
      </c>
      <c r="AZ14" s="11">
        <f>'CF DRIVERS'!AZ14</f>
        <v/>
      </c>
      <c r="BA14" s="11">
        <f>'CF DRIVERS'!BA14</f>
        <v/>
      </c>
    </row>
    <row r="15">
      <c r="A15" s="3" t="inlineStr">
        <is>
          <t>Deferred Revenue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FLOW'!C15-'YTD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FLOW'!D15-'YTD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FLOW'!E15-'YTD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FLOW'!F15-'YTD CF'!M15</f>
        <v/>
      </c>
      <c r="R15" s="4">
        <f>'YTD CF'!N15</f>
        <v/>
      </c>
      <c r="S15" s="4">
        <f>'YTD CF'!O15-'YTD CF'!N15</f>
        <v/>
      </c>
      <c r="T15" s="4">
        <f>'YTD CF'!P15-'YTD CF'!O15</f>
        <v/>
      </c>
      <c r="U15" s="4">
        <f>'CASH FLOW'!G15-'YTD CF'!P15</f>
        <v/>
      </c>
      <c r="V15" s="4">
        <f>'YTD CF'!Q15</f>
        <v/>
      </c>
      <c r="W15" s="4">
        <f>'YTD CF'!R15-'YTD CF'!Q15</f>
        <v/>
      </c>
      <c r="X15" s="4">
        <f>'YTD CF'!S15-'YTD CF'!R15</f>
        <v/>
      </c>
      <c r="Y15" s="4">
        <f>'CASH FLOW'!H15-'YTD CF'!S15</f>
        <v/>
      </c>
      <c r="Z15" s="4">
        <f>'YTD CF'!T15</f>
        <v/>
      </c>
      <c r="AA15" s="4">
        <f>'YTD CF'!U15-'YTD CF'!T15</f>
        <v/>
      </c>
      <c r="AB15" s="4">
        <f>'YTD CF'!V15-'YTD CF'!U15</f>
        <v/>
      </c>
      <c r="AC15" s="4">
        <f>'CASH FLOW'!I15-'YTD CF'!V15</f>
        <v/>
      </c>
      <c r="AD15" s="4">
        <f>'YTD CF'!W15</f>
        <v/>
      </c>
      <c r="AE15" s="4">
        <f>'YTD CF'!X15-'YTD CF'!W15</f>
        <v/>
      </c>
      <c r="AF15" s="4">
        <f>'YTD CF'!Y15-'YTD CF'!X15</f>
        <v/>
      </c>
      <c r="AG15" s="4">
        <f>'CASH FLOW'!J15-'YTD CF'!Y15</f>
        <v/>
      </c>
      <c r="AH15" s="11">
        <f>'CF DRIVERS'!AH15</f>
        <v/>
      </c>
      <c r="AI15" s="11">
        <f>'CF DRIVERS'!AI15</f>
        <v/>
      </c>
      <c r="AJ15" s="11">
        <f>'CF DRIVERS'!AJ15</f>
        <v/>
      </c>
      <c r="AK15" s="11">
        <f>'CF DRIVERS'!AK15</f>
        <v/>
      </c>
      <c r="AL15" s="11">
        <f>'CF DRIVERS'!AL15</f>
        <v/>
      </c>
      <c r="AM15" s="11">
        <f>'CF DRIVERS'!AM15</f>
        <v/>
      </c>
      <c r="AN15" s="11">
        <f>'CF DRIVERS'!AN15</f>
        <v/>
      </c>
      <c r="AO15" s="11">
        <f>'CF DRIVERS'!AO15</f>
        <v/>
      </c>
      <c r="AP15" s="11">
        <f>'CF DRIVERS'!AP15</f>
        <v/>
      </c>
      <c r="AQ15" s="11">
        <f>'CF DRIVERS'!AQ15</f>
        <v/>
      </c>
      <c r="AR15" s="11">
        <f>'CF DRIVERS'!AR15</f>
        <v/>
      </c>
      <c r="AS15" s="11">
        <f>'CF DRIVERS'!AS15</f>
        <v/>
      </c>
      <c r="AT15" s="11">
        <f>'CF DRIVERS'!AT15</f>
        <v/>
      </c>
      <c r="AU15" s="11">
        <f>'CF DRIVERS'!AU15</f>
        <v/>
      </c>
      <c r="AV15" s="11">
        <f>'CF DRIVERS'!AV15</f>
        <v/>
      </c>
      <c r="AW15" s="11">
        <f>'CF DRIVERS'!AW15</f>
        <v/>
      </c>
      <c r="AX15" s="11">
        <f>'CF DRIVERS'!AX15</f>
        <v/>
      </c>
      <c r="AY15" s="11">
        <f>'CF DRIVERS'!AY15</f>
        <v/>
      </c>
      <c r="AZ15" s="11">
        <f>'CF DRIVERS'!AZ15</f>
        <v/>
      </c>
      <c r="BA15" s="11">
        <f>'CF DRIVERS'!BA15</f>
        <v/>
      </c>
    </row>
    <row r="16">
      <c r="A16" s="3" t="inlineStr">
        <is>
          <t>Cash Flow from Operations</t>
        </is>
      </c>
      <c r="B16" s="6">
        <f>'YTD CF'!B16</f>
        <v/>
      </c>
      <c r="C16" s="6">
        <f>'YTD CF'!C16-'YTD CF'!B16</f>
        <v/>
      </c>
      <c r="D16" s="6">
        <f>'YTD CF'!D16-'YTD CF'!C16</f>
        <v/>
      </c>
      <c r="E16" s="6">
        <f>'CASH FLOW'!C16-'YTD CF'!D16</f>
        <v/>
      </c>
      <c r="F16" s="6">
        <f>'YTD CF'!E16</f>
        <v/>
      </c>
      <c r="G16" s="6">
        <f>'YTD CF'!F16-'YTD CF'!E16</f>
        <v/>
      </c>
      <c r="H16" s="6">
        <f>'YTD CF'!G16-'YTD CF'!F16</f>
        <v/>
      </c>
      <c r="I16" s="6">
        <f>'CASH FLOW'!D16-'YTD CF'!G16</f>
        <v/>
      </c>
      <c r="J16" s="6">
        <f>'YTD CF'!H16</f>
        <v/>
      </c>
      <c r="K16" s="6">
        <f>'YTD CF'!I16-'YTD CF'!H16</f>
        <v/>
      </c>
      <c r="L16" s="6">
        <f>'YTD CF'!J16-'YTD CF'!I16</f>
        <v/>
      </c>
      <c r="M16" s="6">
        <f>'CASH FLOW'!E16-'YTD CF'!J16</f>
        <v/>
      </c>
      <c r="N16" s="6">
        <f>'YTD CF'!K16</f>
        <v/>
      </c>
      <c r="O16" s="6">
        <f>'YTD CF'!L16-'YTD CF'!K16</f>
        <v/>
      </c>
      <c r="P16" s="6">
        <f>'YTD CF'!M16-'YTD CF'!L16</f>
        <v/>
      </c>
      <c r="Q16" s="6">
        <f>'CASH FLOW'!F16-'YTD CF'!M16</f>
        <v/>
      </c>
      <c r="R16" s="6">
        <f>'YTD CF'!N16</f>
        <v/>
      </c>
      <c r="S16" s="6">
        <f>'YTD CF'!O16-'YTD CF'!N16</f>
        <v/>
      </c>
      <c r="T16" s="6">
        <f>'YTD CF'!P16-'YTD CF'!O16</f>
        <v/>
      </c>
      <c r="U16" s="6">
        <f>'CASH FLOW'!G16-'YTD CF'!P16</f>
        <v/>
      </c>
      <c r="V16" s="6">
        <f>'YTD CF'!Q16</f>
        <v/>
      </c>
      <c r="W16" s="6">
        <f>'YTD CF'!R16-'YTD CF'!Q16</f>
        <v/>
      </c>
      <c r="X16" s="6">
        <f>'YTD CF'!S16-'YTD CF'!R16</f>
        <v/>
      </c>
      <c r="Y16" s="6">
        <f>'CASH FLOW'!H16-'YTD CF'!S16</f>
        <v/>
      </c>
      <c r="Z16" s="6">
        <f>'YTD CF'!T16</f>
        <v/>
      </c>
      <c r="AA16" s="6">
        <f>'YTD CF'!U16-'YTD CF'!T16</f>
        <v/>
      </c>
      <c r="AB16" s="6">
        <f>'YTD CF'!V16-'YTD CF'!U16</f>
        <v/>
      </c>
      <c r="AC16" s="6">
        <f>'CASH FLOW'!I16-'YTD CF'!V16</f>
        <v/>
      </c>
      <c r="AD16" s="6">
        <f>'YTD CF'!W16</f>
        <v/>
      </c>
      <c r="AE16" s="6">
        <f>'YTD CF'!X16-'YTD CF'!W16</f>
        <v/>
      </c>
      <c r="AF16" s="6">
        <f>'YTD CF'!Y16-'YTD CF'!X16</f>
        <v/>
      </c>
      <c r="AG16" s="6">
        <f>'CASH FLOW'!J16-'YTD CF'!Y16</f>
        <v/>
      </c>
      <c r="AH16" s="7">
        <f>SUM(AH2:AH15)</f>
        <v/>
      </c>
      <c r="AI16" s="7">
        <f>SUM(AI2:AI15)</f>
        <v/>
      </c>
      <c r="AJ16" s="7">
        <f>SUM(AJ2:AJ15)</f>
        <v/>
      </c>
      <c r="AK16" s="7">
        <f>SUM(AK2:AK15)</f>
        <v/>
      </c>
      <c r="AL16" s="7">
        <f>SUM(AL2:AL15)</f>
        <v/>
      </c>
      <c r="AM16" s="7">
        <f>SUM(AM2:AM15)</f>
        <v/>
      </c>
      <c r="AN16" s="7">
        <f>SUM(AN2:AN15)</f>
        <v/>
      </c>
      <c r="AO16" s="7">
        <f>SUM(AO2:AO15)</f>
        <v/>
      </c>
      <c r="AP16" s="7">
        <f>SUM(AP2:AP15)</f>
        <v/>
      </c>
      <c r="AQ16" s="7">
        <f>SUM(AQ2:AQ15)</f>
        <v/>
      </c>
      <c r="AR16" s="7">
        <f>SUM(AR2:AR15)</f>
        <v/>
      </c>
      <c r="AS16" s="7">
        <f>SUM(AS2:AS15)</f>
        <v/>
      </c>
      <c r="AT16" s="7">
        <f>SUM(AT2:AT15)</f>
        <v/>
      </c>
      <c r="AU16" s="7">
        <f>SUM(AU2:AU15)</f>
        <v/>
      </c>
      <c r="AV16" s="7">
        <f>SUM(AV2:AV15)</f>
        <v/>
      </c>
      <c r="AW16" s="7">
        <f>SUM(AW2:AW15)</f>
        <v/>
      </c>
      <c r="AX16" s="7">
        <f>SUM(AX2:AX15)</f>
        <v/>
      </c>
      <c r="AY16" s="7">
        <f>SUM(AY2:AY15)</f>
        <v/>
      </c>
      <c r="AZ16" s="7">
        <f>SUM(AZ2:AZ15)</f>
        <v/>
      </c>
      <c r="BA16" s="7">
        <f>SUM(BA2:BA15)</f>
        <v/>
      </c>
    </row>
    <row r="17">
      <c r="A17" s="3" t="inlineStr">
        <is>
          <t>Purchase of PP&amp;E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FLOW'!C17-'YTD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FLOW'!D17-'YTD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FLOW'!E17-'YTD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FLOW'!F17-'YTD CF'!M17</f>
        <v/>
      </c>
      <c r="R17" s="4">
        <f>'YTD CF'!N17</f>
        <v/>
      </c>
      <c r="S17" s="4">
        <f>'YTD CF'!O17-'YTD CF'!N17</f>
        <v/>
      </c>
      <c r="T17" s="4">
        <f>'YTD CF'!P17-'YTD CF'!O17</f>
        <v/>
      </c>
      <c r="U17" s="4">
        <f>'CASH FLOW'!G17-'YTD CF'!P17</f>
        <v/>
      </c>
      <c r="V17" s="4">
        <f>'YTD CF'!Q17</f>
        <v/>
      </c>
      <c r="W17" s="4">
        <f>'YTD CF'!R17-'YTD CF'!Q17</f>
        <v/>
      </c>
      <c r="X17" s="4">
        <f>'YTD CF'!S17-'YTD CF'!R17</f>
        <v/>
      </c>
      <c r="Y17" s="4">
        <f>'CASH FLOW'!H17-'YTD CF'!S17</f>
        <v/>
      </c>
      <c r="Z17" s="4">
        <f>'YTD CF'!T17</f>
        <v/>
      </c>
      <c r="AA17" s="4">
        <f>'YTD CF'!U17-'YTD CF'!T17</f>
        <v/>
      </c>
      <c r="AB17" s="4">
        <f>'YTD CF'!V17-'YTD CF'!U17</f>
        <v/>
      </c>
      <c r="AC17" s="4">
        <f>'CASH FLOW'!I17-'YTD CF'!V17</f>
        <v/>
      </c>
      <c r="AD17" s="4">
        <f>'YTD CF'!W17</f>
        <v/>
      </c>
      <c r="AE17" s="4">
        <f>'YTD CF'!X17-'YTD CF'!W17</f>
        <v/>
      </c>
      <c r="AF17" s="4">
        <f>'YTD CF'!Y17-'YTD CF'!X17</f>
        <v/>
      </c>
      <c r="AG17" s="4">
        <f>'CASH FLOW'!J17-'YTD CF'!Y17</f>
        <v/>
      </c>
      <c r="AH17" s="11">
        <f>'QTR P&amp;L'!AH2*'CF DRIVERS'!AH16</f>
        <v/>
      </c>
      <c r="AI17" s="11">
        <f>'QTR P&amp;L'!AI2*'CF DRIVERS'!AI16</f>
        <v/>
      </c>
      <c r="AJ17" s="11">
        <f>'QTR P&amp;L'!AJ2*'CF DRIVERS'!AJ16</f>
        <v/>
      </c>
      <c r="AK17" s="11">
        <f>'QTR P&amp;L'!AK2*'CF DRIVERS'!AK16</f>
        <v/>
      </c>
      <c r="AL17" s="11">
        <f>'QTR P&amp;L'!AL2*'CF DRIVERS'!AL16</f>
        <v/>
      </c>
      <c r="AM17" s="11">
        <f>'QTR P&amp;L'!AM2*'CF DRIVERS'!AM16</f>
        <v/>
      </c>
      <c r="AN17" s="11">
        <f>'QTR P&amp;L'!AN2*'CF DRIVERS'!AN16</f>
        <v/>
      </c>
      <c r="AO17" s="11">
        <f>'QTR P&amp;L'!AO2*'CF DRIVERS'!AO16</f>
        <v/>
      </c>
      <c r="AP17" s="11">
        <f>'QTR P&amp;L'!AP2*'CF DRIVERS'!AP16</f>
        <v/>
      </c>
      <c r="AQ17" s="11">
        <f>'QTR P&amp;L'!AQ2*'CF DRIVERS'!AQ16</f>
        <v/>
      </c>
      <c r="AR17" s="11">
        <f>'QTR P&amp;L'!AR2*'CF DRIVERS'!AR16</f>
        <v/>
      </c>
      <c r="AS17" s="11">
        <f>'QTR P&amp;L'!AS2*'CF DRIVERS'!AS16</f>
        <v/>
      </c>
      <c r="AT17" s="11">
        <f>'QTR P&amp;L'!AT2*'CF DRIVERS'!AT16</f>
        <v/>
      </c>
      <c r="AU17" s="11">
        <f>'QTR P&amp;L'!AU2*'CF DRIVERS'!AU16</f>
        <v/>
      </c>
      <c r="AV17" s="11">
        <f>'QTR P&amp;L'!AV2*'CF DRIVERS'!AV16</f>
        <v/>
      </c>
      <c r="AW17" s="11">
        <f>'QTR P&amp;L'!AW2*'CF DRIVERS'!AW16</f>
        <v/>
      </c>
      <c r="AX17" s="11">
        <f>'QTR P&amp;L'!AX2*'CF DRIVERS'!AX16</f>
        <v/>
      </c>
      <c r="AY17" s="11">
        <f>'QTR P&amp;L'!AY2*'CF DRIVERS'!AY16</f>
        <v/>
      </c>
      <c r="AZ17" s="11">
        <f>'QTR P&amp;L'!AZ2*'CF DRIVERS'!AZ16</f>
        <v/>
      </c>
      <c r="BA17" s="11">
        <f>'QTR P&amp;L'!BA2*'CF DRIVERS'!BA16</f>
        <v/>
      </c>
    </row>
    <row r="18">
      <c r="A18" s="3" t="inlineStr">
        <is>
          <t>Proceeds from Sale of Assets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R18" s="4">
        <f>'YTD CF'!N18</f>
        <v/>
      </c>
      <c r="S18" s="4">
        <f>'YTD CF'!O18-'YTD CF'!N18</f>
        <v/>
      </c>
      <c r="T18" s="4">
        <f>'YTD CF'!P18-'YTD CF'!O18</f>
        <v/>
      </c>
      <c r="V18" s="4">
        <f>'YTD CF'!Q18</f>
        <v/>
      </c>
      <c r="W18" s="4">
        <f>'YTD CF'!R18-'YTD CF'!Q18</f>
        <v/>
      </c>
      <c r="X18" s="4">
        <f>'YTD CF'!S18-'YTD CF'!R18</f>
        <v/>
      </c>
      <c r="Z18" s="4">
        <f>'YTD CF'!T18</f>
        <v/>
      </c>
      <c r="AA18" s="4">
        <f>'YTD CF'!U18-'YTD CF'!T18</f>
        <v/>
      </c>
      <c r="AB18" s="4">
        <f>'YTD CF'!V18-'YTD CF'!U18</f>
        <v/>
      </c>
      <c r="AD18" s="4">
        <f>'YTD CF'!W18</f>
        <v/>
      </c>
      <c r="AE18" s="4">
        <f>'YTD CF'!X18-'YTD CF'!W18</f>
        <v/>
      </c>
      <c r="AF18" s="4">
        <f>'YTD CF'!Y18-'YTD CF'!X18</f>
        <v/>
      </c>
      <c r="AH18" s="11">
        <f>'CF DRIVERS'!AH17</f>
        <v/>
      </c>
      <c r="AI18" s="11">
        <f>'CF DRIVERS'!AI17</f>
        <v/>
      </c>
      <c r="AJ18" s="11">
        <f>'CF DRIVERS'!AJ17</f>
        <v/>
      </c>
      <c r="AK18" s="11">
        <f>'CF DRIVERS'!AK17</f>
        <v/>
      </c>
      <c r="AL18" s="11">
        <f>'CF DRIVERS'!AL17</f>
        <v/>
      </c>
      <c r="AM18" s="11">
        <f>'CF DRIVERS'!AM17</f>
        <v/>
      </c>
      <c r="AN18" s="11">
        <f>'CF DRIVERS'!AN17</f>
        <v/>
      </c>
      <c r="AO18" s="11">
        <f>'CF DRIVERS'!AO17</f>
        <v/>
      </c>
      <c r="AP18" s="11">
        <f>'CF DRIVERS'!AP17</f>
        <v/>
      </c>
      <c r="AQ18" s="11">
        <f>'CF DRIVERS'!AQ17</f>
        <v/>
      </c>
      <c r="AR18" s="11">
        <f>'CF DRIVERS'!AR17</f>
        <v/>
      </c>
      <c r="AS18" s="11">
        <f>'CF DRIVERS'!AS17</f>
        <v/>
      </c>
      <c r="AT18" s="11">
        <f>'CF DRIVERS'!AT17</f>
        <v/>
      </c>
      <c r="AU18" s="11">
        <f>'CF DRIVERS'!AU17</f>
        <v/>
      </c>
      <c r="AV18" s="11">
        <f>'CF DRIVERS'!AV17</f>
        <v/>
      </c>
      <c r="AW18" s="11">
        <f>'CF DRIVERS'!AW17</f>
        <v/>
      </c>
      <c r="AX18" s="11">
        <f>'CF DRIVERS'!AX17</f>
        <v/>
      </c>
      <c r="AY18" s="11">
        <f>'CF DRIVERS'!AY17</f>
        <v/>
      </c>
      <c r="AZ18" s="11">
        <f>'CF DRIVERS'!AZ17</f>
        <v/>
      </c>
      <c r="BA18" s="11">
        <f>'CF DRIVERS'!BA17</f>
        <v/>
      </c>
    </row>
    <row r="19">
      <c r="A19" s="3" t="inlineStr">
        <is>
          <t>Net Change in Short-Term Investments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FLOW'!C18-'YTD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FLOW'!D18-'YTD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FLOW'!E18-'YTD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FLOW'!F18-'YTD CF'!M19</f>
        <v/>
      </c>
      <c r="R19" s="4">
        <f>'YTD CF'!N19</f>
        <v/>
      </c>
      <c r="S19" s="4">
        <f>'YTD CF'!O19-'YTD CF'!N19</f>
        <v/>
      </c>
      <c r="T19" s="4">
        <f>'YTD CF'!P19-'YTD CF'!O19</f>
        <v/>
      </c>
      <c r="U19" s="4">
        <f>'CASH FLOW'!G18-'YTD CF'!P19</f>
        <v/>
      </c>
      <c r="V19" s="4">
        <f>'YTD CF'!Q19</f>
        <v/>
      </c>
      <c r="W19" s="4">
        <f>'YTD CF'!R19-'YTD CF'!Q19</f>
        <v/>
      </c>
      <c r="X19" s="4">
        <f>'YTD CF'!S19-'YTD CF'!R19</f>
        <v/>
      </c>
      <c r="Y19" s="4">
        <f>'CASH FLOW'!H18-'YTD CF'!S19</f>
        <v/>
      </c>
      <c r="Z19" s="4">
        <f>'YTD CF'!T19</f>
        <v/>
      </c>
      <c r="AA19" s="4">
        <f>'YTD CF'!U19-'YTD CF'!T19</f>
        <v/>
      </c>
      <c r="AB19" s="4">
        <f>'YTD CF'!V19-'YTD CF'!U19</f>
        <v/>
      </c>
      <c r="AC19" s="4">
        <f>'CASH FLOW'!I18-'YTD CF'!V19</f>
        <v/>
      </c>
      <c r="AD19" s="4">
        <f>'YTD CF'!W19</f>
        <v/>
      </c>
      <c r="AE19" s="4">
        <f>'YTD CF'!X19-'YTD CF'!W19</f>
        <v/>
      </c>
      <c r="AF19" s="4">
        <f>'YTD CF'!Y19-'YTD CF'!X19</f>
        <v/>
      </c>
      <c r="AG19" s="4">
        <f>'CASH FLOW'!J18-'YTD CF'!Y19</f>
        <v/>
      </c>
      <c r="AH19" s="11">
        <f>'CF DRIVERS'!AH18</f>
        <v/>
      </c>
      <c r="AI19" s="11">
        <f>'CF DRIVERS'!AI18</f>
        <v/>
      </c>
      <c r="AJ19" s="11">
        <f>'CF DRIVERS'!AJ18</f>
        <v/>
      </c>
      <c r="AK19" s="11">
        <f>'CF DRIVERS'!AK18</f>
        <v/>
      </c>
      <c r="AL19" s="11">
        <f>'CF DRIVERS'!AL18</f>
        <v/>
      </c>
      <c r="AM19" s="11">
        <f>'CF DRIVERS'!AM18</f>
        <v/>
      </c>
      <c r="AN19" s="11">
        <f>'CF DRIVERS'!AN18</f>
        <v/>
      </c>
      <c r="AO19" s="11">
        <f>'CF DRIVERS'!AO18</f>
        <v/>
      </c>
      <c r="AP19" s="11">
        <f>'CF DRIVERS'!AP18</f>
        <v/>
      </c>
      <c r="AQ19" s="11">
        <f>'CF DRIVERS'!AQ18</f>
        <v/>
      </c>
      <c r="AR19" s="11">
        <f>'CF DRIVERS'!AR18</f>
        <v/>
      </c>
      <c r="AS19" s="11">
        <f>'CF DRIVERS'!AS18</f>
        <v/>
      </c>
      <c r="AT19" s="11">
        <f>'CF DRIVERS'!AT18</f>
        <v/>
      </c>
      <c r="AU19" s="11">
        <f>'CF DRIVERS'!AU18</f>
        <v/>
      </c>
      <c r="AV19" s="11">
        <f>'CF DRIVERS'!AV18</f>
        <v/>
      </c>
      <c r="AW19" s="11">
        <f>'CF DRIVERS'!AW18</f>
        <v/>
      </c>
      <c r="AX19" s="11">
        <f>'CF DRIVERS'!AX18</f>
        <v/>
      </c>
      <c r="AY19" s="11">
        <f>'CF DRIVERS'!AY18</f>
        <v/>
      </c>
      <c r="AZ19" s="11">
        <f>'CF DRIVERS'!AZ18</f>
        <v/>
      </c>
      <c r="BA19" s="11">
        <f>'CF DRIVERS'!BA18</f>
        <v/>
      </c>
    </row>
    <row r="20">
      <c r="A20" s="3" t="inlineStr">
        <is>
          <t>Net Change in Long-Term Investments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FLOW'!C19-'YTD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FLOW'!D19-'YTD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FLOW'!E19-'YTD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FLOW'!F19-'YTD CF'!M20</f>
        <v/>
      </c>
      <c r="R20" s="4">
        <f>'YTD CF'!N20</f>
        <v/>
      </c>
      <c r="S20" s="4">
        <f>'YTD CF'!O20-'YTD CF'!N20</f>
        <v/>
      </c>
      <c r="T20" s="4">
        <f>'YTD CF'!P20-'YTD CF'!O20</f>
        <v/>
      </c>
      <c r="U20" s="4">
        <f>'CASH FLOW'!G19-'YTD CF'!P20</f>
        <v/>
      </c>
      <c r="V20" s="4">
        <f>'YTD CF'!Q20</f>
        <v/>
      </c>
      <c r="W20" s="4">
        <f>'YTD CF'!R20-'YTD CF'!Q20</f>
        <v/>
      </c>
      <c r="X20" s="4">
        <f>'YTD CF'!S20-'YTD CF'!R20</f>
        <v/>
      </c>
      <c r="Y20" s="4">
        <f>'CASH FLOW'!H19-'YTD CF'!S20</f>
        <v/>
      </c>
      <c r="Z20" s="4">
        <f>'YTD CF'!T20</f>
        <v/>
      </c>
      <c r="AA20" s="4">
        <f>'YTD CF'!U20-'YTD CF'!T20</f>
        <v/>
      </c>
      <c r="AB20" s="4">
        <f>'YTD CF'!V20-'YTD CF'!U20</f>
        <v/>
      </c>
      <c r="AC20" s="4">
        <f>'CASH FLOW'!I19-'YTD CF'!V20</f>
        <v/>
      </c>
      <c r="AD20" s="4">
        <f>'YTD CF'!W20</f>
        <v/>
      </c>
      <c r="AE20" s="4">
        <f>'YTD CF'!X20-'YTD CF'!W20</f>
        <v/>
      </c>
      <c r="AF20" s="4">
        <f>'YTD CF'!Y20-'YTD CF'!X20</f>
        <v/>
      </c>
      <c r="AG20" s="4">
        <f>'CASH FLOW'!J19-'YTD CF'!Y20</f>
        <v/>
      </c>
      <c r="AH20" s="11">
        <f>'CF DRIVERS'!AH19</f>
        <v/>
      </c>
      <c r="AI20" s="11">
        <f>'CF DRIVERS'!AI19</f>
        <v/>
      </c>
      <c r="AJ20" s="11">
        <f>'CF DRIVERS'!AJ19</f>
        <v/>
      </c>
      <c r="AK20" s="11">
        <f>'CF DRIVERS'!AK19</f>
        <v/>
      </c>
      <c r="AL20" s="11">
        <f>'CF DRIVERS'!AL19</f>
        <v/>
      </c>
      <c r="AM20" s="11">
        <f>'CF DRIVERS'!AM19</f>
        <v/>
      </c>
      <c r="AN20" s="11">
        <f>'CF DRIVERS'!AN19</f>
        <v/>
      </c>
      <c r="AO20" s="11">
        <f>'CF DRIVERS'!AO19</f>
        <v/>
      </c>
      <c r="AP20" s="11">
        <f>'CF DRIVERS'!AP19</f>
        <v/>
      </c>
      <c r="AQ20" s="11">
        <f>'CF DRIVERS'!AQ19</f>
        <v/>
      </c>
      <c r="AR20" s="11">
        <f>'CF DRIVERS'!AR19</f>
        <v/>
      </c>
      <c r="AS20" s="11">
        <f>'CF DRIVERS'!AS19</f>
        <v/>
      </c>
      <c r="AT20" s="11">
        <f>'CF DRIVERS'!AT19</f>
        <v/>
      </c>
      <c r="AU20" s="11">
        <f>'CF DRIVERS'!AU19</f>
        <v/>
      </c>
      <c r="AV20" s="11">
        <f>'CF DRIVERS'!AV19</f>
        <v/>
      </c>
      <c r="AW20" s="11">
        <f>'CF DRIVERS'!AW19</f>
        <v/>
      </c>
      <c r="AX20" s="11">
        <f>'CF DRIVERS'!AX19</f>
        <v/>
      </c>
      <c r="AY20" s="11">
        <f>'CF DRIVERS'!AY19</f>
        <v/>
      </c>
      <c r="AZ20" s="11">
        <f>'CF DRIVERS'!AZ19</f>
        <v/>
      </c>
      <c r="BA20" s="11">
        <f>'CF DRIVERS'!BA19</f>
        <v/>
      </c>
    </row>
    <row r="21">
      <c r="A21" s="3" t="inlineStr">
        <is>
          <t>Acquisitions, Net of Cash Acquired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FLOW'!C20-'YTD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FLOW'!D20-'YTD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FLOW'!E20-'YTD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FLOW'!F20-'YTD CF'!M21</f>
        <v/>
      </c>
      <c r="R21" s="4">
        <f>'YTD CF'!N21</f>
        <v/>
      </c>
      <c r="S21" s="4">
        <f>'YTD CF'!O21-'YTD CF'!N21</f>
        <v/>
      </c>
      <c r="T21" s="4">
        <f>'YTD CF'!P21-'YTD CF'!O21</f>
        <v/>
      </c>
      <c r="U21" s="4">
        <f>'CASH FLOW'!G20-'YTD CF'!P21</f>
        <v/>
      </c>
      <c r="V21" s="4">
        <f>'YTD CF'!Q21</f>
        <v/>
      </c>
      <c r="W21" s="4">
        <f>'YTD CF'!R21-'YTD CF'!Q21</f>
        <v/>
      </c>
      <c r="X21" s="4">
        <f>'YTD CF'!S21-'YTD CF'!R21</f>
        <v/>
      </c>
      <c r="Y21" s="4">
        <f>'CASH FLOW'!H20-'YTD CF'!S21</f>
        <v/>
      </c>
      <c r="Z21" s="4">
        <f>'YTD CF'!T21</f>
        <v/>
      </c>
      <c r="AA21" s="4">
        <f>'YTD CF'!U21-'YTD CF'!T21</f>
        <v/>
      </c>
      <c r="AB21" s="4">
        <f>'YTD CF'!V21-'YTD CF'!U21</f>
        <v/>
      </c>
      <c r="AC21" s="4">
        <f>'CASH FLOW'!I20-'YTD CF'!V21</f>
        <v/>
      </c>
      <c r="AD21" s="4">
        <f>'YTD CF'!W21</f>
        <v/>
      </c>
      <c r="AE21" s="4">
        <f>'YTD CF'!X21-'YTD CF'!W21</f>
        <v/>
      </c>
      <c r="AF21" s="4">
        <f>'YTD CF'!Y21-'YTD CF'!X21</f>
        <v/>
      </c>
      <c r="AG21" s="4">
        <f>'CASH FLOW'!J20-'YTD CF'!Y21</f>
        <v/>
      </c>
      <c r="AH21" s="11">
        <f>'CF DRIVERS'!AH20</f>
        <v/>
      </c>
      <c r="AI21" s="11">
        <f>'CF DRIVERS'!AI20</f>
        <v/>
      </c>
      <c r="AJ21" s="11">
        <f>'CF DRIVERS'!AJ20</f>
        <v/>
      </c>
      <c r="AK21" s="11">
        <f>'CF DRIVERS'!AK20</f>
        <v/>
      </c>
      <c r="AL21" s="11">
        <f>'CF DRIVERS'!AL20</f>
        <v/>
      </c>
      <c r="AM21" s="11">
        <f>'CF DRIVERS'!AM20</f>
        <v/>
      </c>
      <c r="AN21" s="11">
        <f>'CF DRIVERS'!AN20</f>
        <v/>
      </c>
      <c r="AO21" s="11">
        <f>'CF DRIVERS'!AO20</f>
        <v/>
      </c>
      <c r="AP21" s="11">
        <f>'CF DRIVERS'!AP20</f>
        <v/>
      </c>
      <c r="AQ21" s="11">
        <f>'CF DRIVERS'!AQ20</f>
        <v/>
      </c>
      <c r="AR21" s="11">
        <f>'CF DRIVERS'!AR20</f>
        <v/>
      </c>
      <c r="AS21" s="11">
        <f>'CF DRIVERS'!AS20</f>
        <v/>
      </c>
      <c r="AT21" s="11">
        <f>'CF DRIVERS'!AT20</f>
        <v/>
      </c>
      <c r="AU21" s="11">
        <f>'CF DRIVERS'!AU20</f>
        <v/>
      </c>
      <c r="AV21" s="11">
        <f>'CF DRIVERS'!AV20</f>
        <v/>
      </c>
      <c r="AW21" s="11">
        <f>'CF DRIVERS'!AW20</f>
        <v/>
      </c>
      <c r="AX21" s="11">
        <f>'CF DRIVERS'!AX20</f>
        <v/>
      </c>
      <c r="AY21" s="11">
        <f>'CF DRIVERS'!AY20</f>
        <v/>
      </c>
      <c r="AZ21" s="11">
        <f>'CF DRIVERS'!AZ20</f>
        <v/>
      </c>
      <c r="BA21" s="11">
        <f>'CF DRIVERS'!BA20</f>
        <v/>
      </c>
    </row>
    <row r="22">
      <c r="A22" s="3" t="inlineStr">
        <is>
          <t>Collections from Note Receivable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FLOW'!C21-'YTD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FLOW'!D21-'YTD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FLOW'!E21-'YTD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FLOW'!F21-'YTD CF'!M22</f>
        <v/>
      </c>
      <c r="R22" s="4">
        <f>'YTD CF'!N22</f>
        <v/>
      </c>
      <c r="S22" s="4">
        <f>'YTD CF'!O22-'YTD CF'!N22</f>
        <v/>
      </c>
      <c r="T22" s="4">
        <f>'YTD CF'!P22-'YTD CF'!O22</f>
        <v/>
      </c>
      <c r="U22" s="4">
        <f>'CASH FLOW'!G21-'YTD CF'!P22</f>
        <v/>
      </c>
      <c r="V22" s="4">
        <f>'YTD CF'!Q22</f>
        <v/>
      </c>
      <c r="W22" s="4">
        <f>'YTD CF'!R22-'YTD CF'!Q22</f>
        <v/>
      </c>
      <c r="X22" s="4">
        <f>'YTD CF'!S22-'YTD CF'!R22</f>
        <v/>
      </c>
      <c r="Y22" s="4">
        <f>'CASH FLOW'!H21-'YTD CF'!S22</f>
        <v/>
      </c>
      <c r="Z22" s="4">
        <f>'YTD CF'!T22</f>
        <v/>
      </c>
      <c r="AA22" s="4">
        <f>'YTD CF'!U22-'YTD CF'!T22</f>
        <v/>
      </c>
      <c r="AB22" s="4">
        <f>'YTD CF'!V22-'YTD CF'!U22</f>
        <v/>
      </c>
      <c r="AC22" s="4">
        <f>'CASH FLOW'!I21-'YTD CF'!V22</f>
        <v/>
      </c>
      <c r="AD22" s="4">
        <f>'YTD CF'!W22</f>
        <v/>
      </c>
      <c r="AE22" s="4">
        <f>'YTD CF'!X22-'YTD CF'!W22</f>
        <v/>
      </c>
      <c r="AF22" s="4">
        <f>'YTD CF'!Y22-'YTD CF'!X22</f>
        <v/>
      </c>
      <c r="AG22" s="4">
        <f>'CASH FLOW'!J21-'YTD CF'!Y22</f>
        <v/>
      </c>
      <c r="AH22" s="11">
        <f>'CF DRIVERS'!AH21</f>
        <v/>
      </c>
      <c r="AI22" s="11">
        <f>'CF DRIVERS'!AI21</f>
        <v/>
      </c>
      <c r="AJ22" s="11">
        <f>'CF DRIVERS'!AJ21</f>
        <v/>
      </c>
      <c r="AK22" s="11">
        <f>'CF DRIVERS'!AK21</f>
        <v/>
      </c>
      <c r="AL22" s="11">
        <f>'CF DRIVERS'!AL21</f>
        <v/>
      </c>
      <c r="AM22" s="11">
        <f>'CF DRIVERS'!AM21</f>
        <v/>
      </c>
      <c r="AN22" s="11">
        <f>'CF DRIVERS'!AN21</f>
        <v/>
      </c>
      <c r="AO22" s="11">
        <f>'CF DRIVERS'!AO21</f>
        <v/>
      </c>
      <c r="AP22" s="11">
        <f>'CF DRIVERS'!AP21</f>
        <v/>
      </c>
      <c r="AQ22" s="11">
        <f>'CF DRIVERS'!AQ21</f>
        <v/>
      </c>
      <c r="AR22" s="11">
        <f>'CF DRIVERS'!AR21</f>
        <v/>
      </c>
      <c r="AS22" s="11">
        <f>'CF DRIVERS'!AS21</f>
        <v/>
      </c>
      <c r="AT22" s="11">
        <f>'CF DRIVERS'!AT21</f>
        <v/>
      </c>
      <c r="AU22" s="11">
        <f>'CF DRIVERS'!AU21</f>
        <v/>
      </c>
      <c r="AV22" s="11">
        <f>'CF DRIVERS'!AV21</f>
        <v/>
      </c>
      <c r="AW22" s="11">
        <f>'CF DRIVERS'!AW21</f>
        <v/>
      </c>
      <c r="AX22" s="11">
        <f>'CF DRIVERS'!AX21</f>
        <v/>
      </c>
      <c r="AY22" s="11">
        <f>'CF DRIVERS'!AY21</f>
        <v/>
      </c>
      <c r="AZ22" s="11">
        <f>'CF DRIVERS'!AZ21</f>
        <v/>
      </c>
      <c r="BA22" s="11">
        <f>'CF DRIVERS'!BA21</f>
        <v/>
      </c>
    </row>
    <row r="23">
      <c r="A23" s="3" t="inlineStr">
        <is>
          <t>Other Investing Activities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FLOW'!C22-'YTD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FLOW'!D22-'YTD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FLOW'!E22-'YTD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FLOW'!F22-'YTD CF'!M23</f>
        <v/>
      </c>
      <c r="R23" s="4">
        <f>'YTD CF'!N23</f>
        <v/>
      </c>
      <c r="S23" s="4">
        <f>'YTD CF'!O23-'YTD CF'!N23</f>
        <v/>
      </c>
      <c r="T23" s="4">
        <f>'YTD CF'!P23-'YTD CF'!O23</f>
        <v/>
      </c>
      <c r="U23" s="4">
        <f>'CASH FLOW'!G22-'YTD CF'!P23</f>
        <v/>
      </c>
      <c r="V23" s="4">
        <f>'YTD CF'!Q23</f>
        <v/>
      </c>
      <c r="W23" s="4">
        <f>'YTD CF'!R23-'YTD CF'!Q23</f>
        <v/>
      </c>
      <c r="X23" s="4">
        <f>'YTD CF'!S23-'YTD CF'!R23</f>
        <v/>
      </c>
      <c r="Y23" s="4">
        <f>'CASH FLOW'!H22-'YTD CF'!S23</f>
        <v/>
      </c>
      <c r="Z23" s="4">
        <f>'YTD CF'!T23</f>
        <v/>
      </c>
      <c r="AA23" s="4">
        <f>'YTD CF'!U23-'YTD CF'!T23</f>
        <v/>
      </c>
      <c r="AB23" s="4">
        <f>'YTD CF'!V23-'YTD CF'!U23</f>
        <v/>
      </c>
      <c r="AC23" s="4">
        <f>'CASH FLOW'!I22-'YTD CF'!V23</f>
        <v/>
      </c>
      <c r="AD23" s="4">
        <f>'YTD CF'!W23</f>
        <v/>
      </c>
      <c r="AE23" s="4">
        <f>'YTD CF'!X23-'YTD CF'!W23</f>
        <v/>
      </c>
      <c r="AF23" s="4">
        <f>'YTD CF'!Y23-'YTD CF'!X23</f>
        <v/>
      </c>
      <c r="AG23" s="4">
        <f>'CASH FLOW'!J22-'YTD CF'!Y23</f>
        <v/>
      </c>
      <c r="AH23" s="11">
        <f>'CF DRIVERS'!AH22</f>
        <v/>
      </c>
      <c r="AI23" s="11">
        <f>'CF DRIVERS'!AI22</f>
        <v/>
      </c>
      <c r="AJ23" s="11">
        <f>'CF DRIVERS'!AJ22</f>
        <v/>
      </c>
      <c r="AK23" s="11">
        <f>'CF DRIVERS'!AK22</f>
        <v/>
      </c>
      <c r="AL23" s="11">
        <f>'CF DRIVERS'!AL22</f>
        <v/>
      </c>
      <c r="AM23" s="11">
        <f>'CF DRIVERS'!AM22</f>
        <v/>
      </c>
      <c r="AN23" s="11">
        <f>'CF DRIVERS'!AN22</f>
        <v/>
      </c>
      <c r="AO23" s="11">
        <f>'CF DRIVERS'!AO22</f>
        <v/>
      </c>
      <c r="AP23" s="11">
        <f>'CF DRIVERS'!AP22</f>
        <v/>
      </c>
      <c r="AQ23" s="11">
        <f>'CF DRIVERS'!AQ22</f>
        <v/>
      </c>
      <c r="AR23" s="11">
        <f>'CF DRIVERS'!AR22</f>
        <v/>
      </c>
      <c r="AS23" s="11">
        <f>'CF DRIVERS'!AS22</f>
        <v/>
      </c>
      <c r="AT23" s="11">
        <f>'CF DRIVERS'!AT22</f>
        <v/>
      </c>
      <c r="AU23" s="11">
        <f>'CF DRIVERS'!AU22</f>
        <v/>
      </c>
      <c r="AV23" s="11">
        <f>'CF DRIVERS'!AV22</f>
        <v/>
      </c>
      <c r="AW23" s="11">
        <f>'CF DRIVERS'!AW22</f>
        <v/>
      </c>
      <c r="AX23" s="11">
        <f>'CF DRIVERS'!AX22</f>
        <v/>
      </c>
      <c r="AY23" s="11">
        <f>'CF DRIVERS'!AY22</f>
        <v/>
      </c>
      <c r="AZ23" s="11">
        <f>'CF DRIVERS'!AZ22</f>
        <v/>
      </c>
      <c r="BA23" s="11">
        <f>'CF DRIVERS'!BA22</f>
        <v/>
      </c>
    </row>
    <row r="24">
      <c r="A24" s="3" t="inlineStr">
        <is>
          <t>Cash Flow from Investing</t>
        </is>
      </c>
      <c r="B24" s="6">
        <f>'YTD CF'!B24</f>
        <v/>
      </c>
      <c r="C24" s="6">
        <f>'YTD CF'!C24-'YTD CF'!B24</f>
        <v/>
      </c>
      <c r="D24" s="6">
        <f>'YTD CF'!D24-'YTD CF'!C24</f>
        <v/>
      </c>
      <c r="E24" s="6">
        <f>'CASH FLOW'!C23-'YTD CF'!D24</f>
        <v/>
      </c>
      <c r="F24" s="6">
        <f>'YTD CF'!E24</f>
        <v/>
      </c>
      <c r="G24" s="6">
        <f>'YTD CF'!F24-'YTD CF'!E24</f>
        <v/>
      </c>
      <c r="H24" s="6">
        <f>'YTD CF'!G24-'YTD CF'!F24</f>
        <v/>
      </c>
      <c r="I24" s="6">
        <f>'CASH FLOW'!D23-'YTD CF'!G24</f>
        <v/>
      </c>
      <c r="J24" s="6">
        <f>'YTD CF'!H24</f>
        <v/>
      </c>
      <c r="K24" s="6">
        <f>'YTD CF'!I24-'YTD CF'!H24</f>
        <v/>
      </c>
      <c r="L24" s="6">
        <f>'YTD CF'!J24-'YTD CF'!I24</f>
        <v/>
      </c>
      <c r="M24" s="6">
        <f>'CASH FLOW'!E23-'YTD CF'!J24</f>
        <v/>
      </c>
      <c r="N24" s="6">
        <f>'YTD CF'!K24</f>
        <v/>
      </c>
      <c r="O24" s="6">
        <f>'YTD CF'!L24-'YTD CF'!K24</f>
        <v/>
      </c>
      <c r="P24" s="6">
        <f>'YTD CF'!M24-'YTD CF'!L24</f>
        <v/>
      </c>
      <c r="Q24" s="6">
        <f>'CASH FLOW'!F23-'YTD CF'!M24</f>
        <v/>
      </c>
      <c r="R24" s="6">
        <f>'YTD CF'!N24</f>
        <v/>
      </c>
      <c r="S24" s="6">
        <f>'YTD CF'!O24-'YTD CF'!N24</f>
        <v/>
      </c>
      <c r="T24" s="6">
        <f>'YTD CF'!P24-'YTD CF'!O24</f>
        <v/>
      </c>
      <c r="U24" s="6">
        <f>'CASH FLOW'!G23-'YTD CF'!P24</f>
        <v/>
      </c>
      <c r="V24" s="6">
        <f>'YTD CF'!Q24</f>
        <v/>
      </c>
      <c r="W24" s="6">
        <f>'YTD CF'!R24-'YTD CF'!Q24</f>
        <v/>
      </c>
      <c r="X24" s="6">
        <f>'YTD CF'!S24-'YTD CF'!R24</f>
        <v/>
      </c>
      <c r="Y24" s="6">
        <f>'CASH FLOW'!H23-'YTD CF'!S24</f>
        <v/>
      </c>
      <c r="Z24" s="6">
        <f>'YTD CF'!T24</f>
        <v/>
      </c>
      <c r="AA24" s="6">
        <f>'YTD CF'!U24-'YTD CF'!T24</f>
        <v/>
      </c>
      <c r="AB24" s="6">
        <f>'YTD CF'!V24-'YTD CF'!U24</f>
        <v/>
      </c>
      <c r="AC24" s="6">
        <f>'CASH FLOW'!I23-'YTD CF'!V24</f>
        <v/>
      </c>
      <c r="AD24" s="6">
        <f>'YTD CF'!W24</f>
        <v/>
      </c>
      <c r="AE24" s="6">
        <f>'YTD CF'!X24-'YTD CF'!W24</f>
        <v/>
      </c>
      <c r="AF24" s="6">
        <f>'YTD CF'!Y24-'YTD CF'!X24</f>
        <v/>
      </c>
      <c r="AG24" s="6">
        <f>'CASH FLOW'!J23-'YTD CF'!Y24</f>
        <v/>
      </c>
      <c r="AH24" s="7">
        <f>SUM(AH17:AH23)</f>
        <v/>
      </c>
      <c r="AI24" s="7">
        <f>SUM(AI17:AI23)</f>
        <v/>
      </c>
      <c r="AJ24" s="7">
        <f>SUM(AJ17:AJ23)</f>
        <v/>
      </c>
      <c r="AK24" s="7">
        <f>SUM(AK17:AK23)</f>
        <v/>
      </c>
      <c r="AL24" s="7">
        <f>SUM(AL17:AL23)</f>
        <v/>
      </c>
      <c r="AM24" s="7">
        <f>SUM(AM17:AM23)</f>
        <v/>
      </c>
      <c r="AN24" s="7">
        <f>SUM(AN17:AN23)</f>
        <v/>
      </c>
      <c r="AO24" s="7">
        <f>SUM(AO17:AO23)</f>
        <v/>
      </c>
      <c r="AP24" s="7">
        <f>SUM(AP17:AP23)</f>
        <v/>
      </c>
      <c r="AQ24" s="7">
        <f>SUM(AQ17:AQ23)</f>
        <v/>
      </c>
      <c r="AR24" s="7">
        <f>SUM(AR17:AR23)</f>
        <v/>
      </c>
      <c r="AS24" s="7">
        <f>SUM(AS17:AS23)</f>
        <v/>
      </c>
      <c r="AT24" s="7">
        <f>SUM(AT17:AT23)</f>
        <v/>
      </c>
      <c r="AU24" s="7">
        <f>SUM(AU17:AU23)</f>
        <v/>
      </c>
      <c r="AV24" s="7">
        <f>SUM(AV17:AV23)</f>
        <v/>
      </c>
      <c r="AW24" s="7">
        <f>SUM(AW17:AW23)</f>
        <v/>
      </c>
      <c r="AX24" s="7">
        <f>SUM(AX17:AX23)</f>
        <v/>
      </c>
      <c r="AY24" s="7">
        <f>SUM(AY17:AY23)</f>
        <v/>
      </c>
      <c r="AZ24" s="7">
        <f>SUM(AZ17:AZ23)</f>
        <v/>
      </c>
      <c r="BA24" s="7">
        <f>SUM(BA17:BA23)</f>
        <v/>
      </c>
    </row>
    <row r="25">
      <c r="A25" s="3" t="inlineStr">
        <is>
          <t>Stock-Based Award Activities, Net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FLOW'!C24-'YTD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FLOW'!D24-'YTD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FLOW'!E24-'YTD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FLOW'!F24-'YTD CF'!M25</f>
        <v/>
      </c>
      <c r="R25" s="4">
        <f>'YTD CF'!N25</f>
        <v/>
      </c>
      <c r="S25" s="4">
        <f>'YTD CF'!O25-'YTD CF'!N25</f>
        <v/>
      </c>
      <c r="T25" s="4">
        <f>'YTD CF'!P25-'YTD CF'!O25</f>
        <v/>
      </c>
      <c r="U25" s="4">
        <f>'CASH FLOW'!G24-'YTD CF'!P25</f>
        <v/>
      </c>
      <c r="V25" s="4">
        <f>'YTD CF'!Q25</f>
        <v/>
      </c>
      <c r="W25" s="4">
        <f>'YTD CF'!R25-'YTD CF'!Q25</f>
        <v/>
      </c>
      <c r="X25" s="4">
        <f>'YTD CF'!S25-'YTD CF'!R25</f>
        <v/>
      </c>
      <c r="Y25" s="4">
        <f>'CASH FLOW'!H24-'YTD CF'!S25</f>
        <v/>
      </c>
      <c r="Z25" s="4">
        <f>'YTD CF'!T25</f>
        <v/>
      </c>
      <c r="AA25" s="4">
        <f>'YTD CF'!U25-'YTD CF'!T25</f>
        <v/>
      </c>
      <c r="AB25" s="4">
        <f>'YTD CF'!V25-'YTD CF'!U25</f>
        <v/>
      </c>
      <c r="AC25" s="4">
        <f>'CASH FLOW'!I24-'YTD CF'!V25</f>
        <v/>
      </c>
      <c r="AD25" s="4">
        <f>'YTD CF'!W25</f>
        <v/>
      </c>
      <c r="AE25" s="4">
        <f>'YTD CF'!X25-'YTD CF'!W25</f>
        <v/>
      </c>
      <c r="AF25" s="4">
        <f>'YTD CF'!Y25-'YTD CF'!X25</f>
        <v/>
      </c>
      <c r="AG25" s="4">
        <f>'CASH FLOW'!J24-'YTD CF'!Y25</f>
        <v/>
      </c>
      <c r="AH25" s="11">
        <f>'CF DRIVERS'!AH23</f>
        <v/>
      </c>
      <c r="AI25" s="11">
        <f>'CF DRIVERS'!AI23</f>
        <v/>
      </c>
      <c r="AJ25" s="11">
        <f>'CF DRIVERS'!AJ23</f>
        <v/>
      </c>
      <c r="AK25" s="11">
        <f>'CF DRIVERS'!AK23</f>
        <v/>
      </c>
      <c r="AL25" s="11">
        <f>'CF DRIVERS'!AL23</f>
        <v/>
      </c>
      <c r="AM25" s="11">
        <f>'CF DRIVERS'!AM23</f>
        <v/>
      </c>
      <c r="AN25" s="11">
        <f>'CF DRIVERS'!AN23</f>
        <v/>
      </c>
      <c r="AO25" s="11">
        <f>'CF DRIVERS'!AO23</f>
        <v/>
      </c>
      <c r="AP25" s="11">
        <f>'CF DRIVERS'!AP23</f>
        <v/>
      </c>
      <c r="AQ25" s="11">
        <f>'CF DRIVERS'!AQ23</f>
        <v/>
      </c>
      <c r="AR25" s="11">
        <f>'CF DRIVERS'!AR23</f>
        <v/>
      </c>
      <c r="AS25" s="11">
        <f>'CF DRIVERS'!AS23</f>
        <v/>
      </c>
      <c r="AT25" s="11">
        <f>'CF DRIVERS'!AT23</f>
        <v/>
      </c>
      <c r="AU25" s="11">
        <f>'CF DRIVERS'!AU23</f>
        <v/>
      </c>
      <c r="AV25" s="11">
        <f>'CF DRIVERS'!AV23</f>
        <v/>
      </c>
      <c r="AW25" s="11">
        <f>'CF DRIVERS'!AW23</f>
        <v/>
      </c>
      <c r="AX25" s="11">
        <f>'CF DRIVERS'!AX23</f>
        <v/>
      </c>
      <c r="AY25" s="11">
        <f>'CF DRIVERS'!AY23</f>
        <v/>
      </c>
      <c r="AZ25" s="11">
        <f>'CF DRIVERS'!AZ23</f>
        <v/>
      </c>
      <c r="BA25" s="11">
        <f>'CF DRIVERS'!BA23</f>
        <v/>
      </c>
    </row>
    <row r="26">
      <c r="A26" s="3" t="inlineStr">
        <is>
          <t>Share Repurchases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FLOW'!C25-'YTD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FLOW'!D25-'YTD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FLOW'!E25-'YTD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FLOW'!F25-'YTD CF'!M26</f>
        <v/>
      </c>
      <c r="R26" s="4">
        <f>'YTD CF'!N26</f>
        <v/>
      </c>
      <c r="S26" s="4">
        <f>'YTD CF'!O26-'YTD CF'!N26</f>
        <v/>
      </c>
      <c r="T26" s="4">
        <f>'YTD CF'!P26-'YTD CF'!O26</f>
        <v/>
      </c>
      <c r="U26" s="4">
        <f>'CASH FLOW'!G25-'YTD CF'!P26</f>
        <v/>
      </c>
      <c r="V26" s="4">
        <f>'YTD CF'!Q26</f>
        <v/>
      </c>
      <c r="W26" s="4">
        <f>'YTD CF'!R26-'YTD CF'!Q26</f>
        <v/>
      </c>
      <c r="X26" s="4">
        <f>'YTD CF'!S26-'YTD CF'!R26</f>
        <v/>
      </c>
      <c r="Y26" s="4">
        <f>'CASH FLOW'!H25-'YTD CF'!S26</f>
        <v/>
      </c>
      <c r="Z26" s="4">
        <f>'YTD CF'!T26</f>
        <v/>
      </c>
      <c r="AA26" s="4">
        <f>'YTD CF'!U26-'YTD CF'!T26</f>
        <v/>
      </c>
      <c r="AB26" s="4">
        <f>'YTD CF'!V26-'YTD CF'!U26</f>
        <v/>
      </c>
      <c r="AC26" s="4">
        <f>'CASH FLOW'!I25-'YTD CF'!V26</f>
        <v/>
      </c>
      <c r="AD26" s="4">
        <f>'YTD CF'!W26</f>
        <v/>
      </c>
      <c r="AE26" s="4">
        <f>'YTD CF'!X26-'YTD CF'!W26</f>
        <v/>
      </c>
      <c r="AF26" s="4">
        <f>'YTD CF'!Y26-'YTD CF'!X26</f>
        <v/>
      </c>
      <c r="AG26" s="4">
        <f>'CASH FLOW'!J25-'YTD CF'!Y26</f>
        <v/>
      </c>
      <c r="AH26" s="11">
        <f>'CF DRIVERS'!AH24</f>
        <v/>
      </c>
      <c r="AI26" s="11">
        <f>'CF DRIVERS'!AI24</f>
        <v/>
      </c>
      <c r="AJ26" s="11">
        <f>'CF DRIVERS'!AJ24</f>
        <v/>
      </c>
      <c r="AK26" s="11">
        <f>'CF DRIVERS'!AK24</f>
        <v/>
      </c>
      <c r="AL26" s="11">
        <f>'CF DRIVERS'!AL24</f>
        <v/>
      </c>
      <c r="AM26" s="11">
        <f>'CF DRIVERS'!AM24</f>
        <v/>
      </c>
      <c r="AN26" s="11">
        <f>'CF DRIVERS'!AN24</f>
        <v/>
      </c>
      <c r="AO26" s="11">
        <f>'CF DRIVERS'!AO24</f>
        <v/>
      </c>
      <c r="AP26" s="11">
        <f>'CF DRIVERS'!AP24</f>
        <v/>
      </c>
      <c r="AQ26" s="11">
        <f>'CF DRIVERS'!AQ24</f>
        <v/>
      </c>
      <c r="AR26" s="11">
        <f>'CF DRIVERS'!AR24</f>
        <v/>
      </c>
      <c r="AS26" s="11">
        <f>'CF DRIVERS'!AS24</f>
        <v/>
      </c>
      <c r="AT26" s="11">
        <f>'CF DRIVERS'!AT24</f>
        <v/>
      </c>
      <c r="AU26" s="11">
        <f>'CF DRIVERS'!AU24</f>
        <v/>
      </c>
      <c r="AV26" s="11">
        <f>'CF DRIVERS'!AV24</f>
        <v/>
      </c>
      <c r="AW26" s="11">
        <f>'CF DRIVERS'!AW24</f>
        <v/>
      </c>
      <c r="AX26" s="11">
        <f>'CF DRIVERS'!AX24</f>
        <v/>
      </c>
      <c r="AY26" s="11">
        <f>'CF DRIVERS'!AY24</f>
        <v/>
      </c>
      <c r="AZ26" s="11">
        <f>'CF DRIVERS'!AZ24</f>
        <v/>
      </c>
      <c r="BA26" s="11">
        <f>'CF DRIVERS'!BA24</f>
        <v/>
      </c>
    </row>
    <row r="27">
      <c r="A27" s="3" t="inlineStr">
        <is>
          <t>Common Dividends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FLOW'!C26-'YTD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FLOW'!D26-'YTD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FLOW'!E26-'YTD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FLOW'!F26-'YTD CF'!M27</f>
        <v/>
      </c>
      <c r="R27" s="4">
        <f>'YTD CF'!N27</f>
        <v/>
      </c>
      <c r="S27" s="4">
        <f>'YTD CF'!O27-'YTD CF'!N27</f>
        <v/>
      </c>
      <c r="T27" s="4">
        <f>'YTD CF'!P27-'YTD CF'!O27</f>
        <v/>
      </c>
      <c r="U27" s="4">
        <f>'CASH FLOW'!G26-'YTD CF'!P27</f>
        <v/>
      </c>
      <c r="V27" s="4">
        <f>'YTD CF'!Q27</f>
        <v/>
      </c>
      <c r="W27" s="4">
        <f>'YTD CF'!R27-'YTD CF'!Q27</f>
        <v/>
      </c>
      <c r="X27" s="4">
        <f>'YTD CF'!S27-'YTD CF'!R27</f>
        <v/>
      </c>
      <c r="Y27" s="4">
        <f>'CASH FLOW'!H26-'YTD CF'!S27</f>
        <v/>
      </c>
      <c r="Z27" s="4">
        <f>'YTD CF'!T27</f>
        <v/>
      </c>
      <c r="AA27" s="4">
        <f>'YTD CF'!U27-'YTD CF'!T27</f>
        <v/>
      </c>
      <c r="AB27" s="4">
        <f>'YTD CF'!V27-'YTD CF'!U27</f>
        <v/>
      </c>
      <c r="AC27" s="4">
        <f>'CASH FLOW'!I26-'YTD CF'!V27</f>
        <v/>
      </c>
      <c r="AD27" s="4">
        <f>'YTD CF'!W27</f>
        <v/>
      </c>
      <c r="AE27" s="4">
        <f>'YTD CF'!X27-'YTD CF'!W27</f>
        <v/>
      </c>
      <c r="AF27" s="4">
        <f>'YTD CF'!Y27-'YTD CF'!X27</f>
        <v/>
      </c>
      <c r="AG27" s="4">
        <f>'CASH FLOW'!J26-'YTD CF'!Y27</f>
        <v/>
      </c>
      <c r="AH27" s="11">
        <f>'QTR P&amp;L'!AH13*'CF DRIVERS'!AH25</f>
        <v/>
      </c>
      <c r="AI27" s="11">
        <f>'QTR P&amp;L'!AI13*'CF DRIVERS'!AI25</f>
        <v/>
      </c>
      <c r="AJ27" s="11">
        <f>'QTR P&amp;L'!AJ13*'CF DRIVERS'!AJ25</f>
        <v/>
      </c>
      <c r="AK27" s="11">
        <f>'QTR P&amp;L'!AK13*'CF DRIVERS'!AK25</f>
        <v/>
      </c>
      <c r="AL27" s="11">
        <f>'QTR P&amp;L'!AL13*'CF DRIVERS'!AL25</f>
        <v/>
      </c>
      <c r="AM27" s="11">
        <f>'QTR P&amp;L'!AM13*'CF DRIVERS'!AM25</f>
        <v/>
      </c>
      <c r="AN27" s="11">
        <f>'QTR P&amp;L'!AN13*'CF DRIVERS'!AN25</f>
        <v/>
      </c>
      <c r="AO27" s="11">
        <f>'QTR P&amp;L'!AO13*'CF DRIVERS'!AO25</f>
        <v/>
      </c>
      <c r="AP27" s="11">
        <f>'QTR P&amp;L'!AP13*'CF DRIVERS'!AP25</f>
        <v/>
      </c>
      <c r="AQ27" s="11">
        <f>'QTR P&amp;L'!AQ13*'CF DRIVERS'!AQ25</f>
        <v/>
      </c>
      <c r="AR27" s="11">
        <f>'QTR P&amp;L'!AR13*'CF DRIVERS'!AR25</f>
        <v/>
      </c>
      <c r="AS27" s="11">
        <f>'QTR P&amp;L'!AS13*'CF DRIVERS'!AS25</f>
        <v/>
      </c>
      <c r="AT27" s="11">
        <f>'QTR P&amp;L'!AT13*'CF DRIVERS'!AT25</f>
        <v/>
      </c>
      <c r="AU27" s="11">
        <f>'QTR P&amp;L'!AU13*'CF DRIVERS'!AU25</f>
        <v/>
      </c>
      <c r="AV27" s="11">
        <f>'QTR P&amp;L'!AV13*'CF DRIVERS'!AV25</f>
        <v/>
      </c>
      <c r="AW27" s="11">
        <f>'QTR P&amp;L'!AW13*'CF DRIVERS'!AW25</f>
        <v/>
      </c>
      <c r="AX27" s="11">
        <f>'QTR P&amp;L'!AX13*'CF DRIVERS'!AX25</f>
        <v/>
      </c>
      <c r="AY27" s="11">
        <f>'QTR P&amp;L'!AY13*'CF DRIVERS'!AY25</f>
        <v/>
      </c>
      <c r="AZ27" s="11">
        <f>'QTR P&amp;L'!AZ13*'CF DRIVERS'!AZ25</f>
        <v/>
      </c>
      <c r="BA27" s="11">
        <f>'QTR P&amp;L'!BA13*'CF DRIVERS'!BA25</f>
        <v/>
      </c>
    </row>
    <row r="28">
      <c r="A28" s="3" t="inlineStr">
        <is>
          <t>Proceeds from Issuance of Long-Term Debt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FLOW'!C27-'YTD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FLOW'!D27-'YTD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FLOW'!E27-'YTD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FLOW'!F27-'YTD CF'!M28</f>
        <v/>
      </c>
      <c r="R28" s="4">
        <f>'YTD CF'!N28</f>
        <v/>
      </c>
      <c r="S28" s="4">
        <f>'YTD CF'!O28-'YTD CF'!N28</f>
        <v/>
      </c>
      <c r="T28" s="4">
        <f>'YTD CF'!P28-'YTD CF'!O28</f>
        <v/>
      </c>
      <c r="U28" s="4">
        <f>'CASH FLOW'!G27-'YTD CF'!P28</f>
        <v/>
      </c>
      <c r="V28" s="4">
        <f>'YTD CF'!Q28</f>
        <v/>
      </c>
      <c r="W28" s="4">
        <f>'YTD CF'!R28-'YTD CF'!Q28</f>
        <v/>
      </c>
      <c r="X28" s="4">
        <f>'YTD CF'!S28-'YTD CF'!R28</f>
        <v/>
      </c>
      <c r="Y28" s="4">
        <f>'CASH FLOW'!H27-'YTD CF'!S28</f>
        <v/>
      </c>
      <c r="Z28" s="4">
        <f>'YTD CF'!T28</f>
        <v/>
      </c>
      <c r="AA28" s="4">
        <f>'YTD CF'!U28-'YTD CF'!T28</f>
        <v/>
      </c>
      <c r="AB28" s="4">
        <f>'YTD CF'!V28-'YTD CF'!U28</f>
        <v/>
      </c>
      <c r="AC28" s="4">
        <f>'CASH FLOW'!I27-'YTD CF'!V28</f>
        <v/>
      </c>
      <c r="AD28" s="4">
        <f>'YTD CF'!W28</f>
        <v/>
      </c>
      <c r="AE28" s="4">
        <f>'YTD CF'!X28-'YTD CF'!W28</f>
        <v/>
      </c>
      <c r="AF28" s="4">
        <f>'YTD CF'!Y28-'YTD CF'!X28</f>
        <v/>
      </c>
      <c r="AG28" s="4">
        <f>'CASH FLOW'!J27-'YTD CF'!Y28</f>
        <v/>
      </c>
      <c r="AH28" s="11">
        <f>'CF DRIVERS'!AH26</f>
        <v/>
      </c>
      <c r="AI28" s="11">
        <f>'CF DRIVERS'!AI26</f>
        <v/>
      </c>
      <c r="AJ28" s="11">
        <f>'CF DRIVERS'!AJ26</f>
        <v/>
      </c>
      <c r="AK28" s="11">
        <f>'CF DRIVERS'!AK26</f>
        <v/>
      </c>
      <c r="AL28" s="11">
        <f>'CF DRIVERS'!AL26</f>
        <v/>
      </c>
      <c r="AM28" s="11">
        <f>'CF DRIVERS'!AM26</f>
        <v/>
      </c>
      <c r="AN28" s="11">
        <f>'CF DRIVERS'!AN26</f>
        <v/>
      </c>
      <c r="AO28" s="11">
        <f>'CF DRIVERS'!AO26</f>
        <v/>
      </c>
      <c r="AP28" s="11">
        <f>'CF DRIVERS'!AP26</f>
        <v/>
      </c>
      <c r="AQ28" s="11">
        <f>'CF DRIVERS'!AQ26</f>
        <v/>
      </c>
      <c r="AR28" s="11">
        <f>'CF DRIVERS'!AR26</f>
        <v/>
      </c>
      <c r="AS28" s="11">
        <f>'CF DRIVERS'!AS26</f>
        <v/>
      </c>
      <c r="AT28" s="11">
        <f>'CF DRIVERS'!AT26</f>
        <v/>
      </c>
      <c r="AU28" s="11">
        <f>'CF DRIVERS'!AU26</f>
        <v/>
      </c>
      <c r="AV28" s="11">
        <f>'CF DRIVERS'!AV26</f>
        <v/>
      </c>
      <c r="AW28" s="11">
        <f>'CF DRIVERS'!AW26</f>
        <v/>
      </c>
      <c r="AX28" s="11">
        <f>'CF DRIVERS'!AX26</f>
        <v/>
      </c>
      <c r="AY28" s="11">
        <f>'CF DRIVERS'!AY26</f>
        <v/>
      </c>
      <c r="AZ28" s="11">
        <f>'CF DRIVERS'!AZ26</f>
        <v/>
      </c>
      <c r="BA28" s="11">
        <f>'CF DRIVERS'!BA26</f>
        <v/>
      </c>
    </row>
    <row r="29">
      <c r="A29" s="3" t="inlineStr">
        <is>
          <t>Net Change in Other Short-Term Debt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FLOW'!C28-'YTD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FLOW'!D28-'YTD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FLOW'!E28-'YTD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FLOW'!F28-'YTD CF'!M29</f>
        <v/>
      </c>
      <c r="R29" s="4">
        <f>'YTD CF'!N29</f>
        <v/>
      </c>
      <c r="S29" s="4">
        <f>'YTD CF'!O29-'YTD CF'!N29</f>
        <v/>
      </c>
      <c r="T29" s="4">
        <f>'YTD CF'!P29-'YTD CF'!O29</f>
        <v/>
      </c>
      <c r="U29" s="4">
        <f>'CASH FLOW'!G28-'YTD CF'!P29</f>
        <v/>
      </c>
      <c r="V29" s="4">
        <f>'YTD CF'!Q29</f>
        <v/>
      </c>
      <c r="W29" s="4">
        <f>'YTD CF'!R29-'YTD CF'!Q29</f>
        <v/>
      </c>
      <c r="X29" s="4">
        <f>'YTD CF'!S29-'YTD CF'!R29</f>
        <v/>
      </c>
      <c r="Y29" s="4">
        <f>'CASH FLOW'!H28-'YTD CF'!S29</f>
        <v/>
      </c>
      <c r="Z29" s="4">
        <f>'YTD CF'!T29</f>
        <v/>
      </c>
      <c r="AA29" s="4">
        <f>'YTD CF'!U29-'YTD CF'!T29</f>
        <v/>
      </c>
      <c r="AB29" s="4">
        <f>'YTD CF'!V29-'YTD CF'!U29</f>
        <v/>
      </c>
      <c r="AC29" s="4">
        <f>'CASH FLOW'!I28-'YTD CF'!V29</f>
        <v/>
      </c>
      <c r="AD29" s="4">
        <f>'YTD CF'!W29</f>
        <v/>
      </c>
      <c r="AE29" s="4">
        <f>'YTD CF'!X29-'YTD CF'!W29</f>
        <v/>
      </c>
      <c r="AF29" s="4">
        <f>'YTD CF'!Y29-'YTD CF'!X29</f>
        <v/>
      </c>
      <c r="AG29" s="4">
        <f>'CASH FLOW'!J28-'YTD CF'!Y29</f>
        <v/>
      </c>
      <c r="AH29" s="11">
        <f>'CF DRIVERS'!AH27</f>
        <v/>
      </c>
      <c r="AI29" s="11">
        <f>'CF DRIVERS'!AI27</f>
        <v/>
      </c>
      <c r="AJ29" s="11">
        <f>'CF DRIVERS'!AJ27</f>
        <v/>
      </c>
      <c r="AK29" s="11">
        <f>'CF DRIVERS'!AK27</f>
        <v/>
      </c>
      <c r="AL29" s="11">
        <f>'CF DRIVERS'!AL27</f>
        <v/>
      </c>
      <c r="AM29" s="11">
        <f>'CF DRIVERS'!AM27</f>
        <v/>
      </c>
      <c r="AN29" s="11">
        <f>'CF DRIVERS'!AN27</f>
        <v/>
      </c>
      <c r="AO29" s="11">
        <f>'CF DRIVERS'!AO27</f>
        <v/>
      </c>
      <c r="AP29" s="11">
        <f>'CF DRIVERS'!AP27</f>
        <v/>
      </c>
      <c r="AQ29" s="11">
        <f>'CF DRIVERS'!AQ27</f>
        <v/>
      </c>
      <c r="AR29" s="11">
        <f>'CF DRIVERS'!AR27</f>
        <v/>
      </c>
      <c r="AS29" s="11">
        <f>'CF DRIVERS'!AS27</f>
        <v/>
      </c>
      <c r="AT29" s="11">
        <f>'CF DRIVERS'!AT27</f>
        <v/>
      </c>
      <c r="AU29" s="11">
        <f>'CF DRIVERS'!AU27</f>
        <v/>
      </c>
      <c r="AV29" s="11">
        <f>'CF DRIVERS'!AV27</f>
        <v/>
      </c>
      <c r="AW29" s="11">
        <f>'CF DRIVERS'!AW27</f>
        <v/>
      </c>
      <c r="AX29" s="11">
        <f>'CF DRIVERS'!AX27</f>
        <v/>
      </c>
      <c r="AY29" s="11">
        <f>'CF DRIVERS'!AY27</f>
        <v/>
      </c>
      <c r="AZ29" s="11">
        <f>'CF DRIVERS'!AZ27</f>
        <v/>
      </c>
      <c r="BA29" s="11">
        <f>'CF DRIVERS'!BA27</f>
        <v/>
      </c>
    </row>
    <row r="30">
      <c r="A30" s="3" t="inlineStr">
        <is>
          <t>Proceeds from Sale of Interest in Consolidated Entities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FLOW'!C29-'YTD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FLOW'!D29-'YTD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FLOW'!E29-'YTD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FLOW'!F29-'YTD CF'!M30</f>
        <v/>
      </c>
      <c r="R30" s="4">
        <f>'YTD CF'!N30</f>
        <v/>
      </c>
      <c r="S30" s="4">
        <f>'YTD CF'!O30-'YTD CF'!N30</f>
        <v/>
      </c>
      <c r="T30" s="4">
        <f>'YTD CF'!P30-'YTD CF'!O30</f>
        <v/>
      </c>
      <c r="U30" s="4">
        <f>'CASH FLOW'!G29-'YTD CF'!P30</f>
        <v/>
      </c>
      <c r="V30" s="4">
        <f>'YTD CF'!Q30</f>
        <v/>
      </c>
      <c r="W30" s="4">
        <f>'YTD CF'!R30-'YTD CF'!Q30</f>
        <v/>
      </c>
      <c r="X30" s="4">
        <f>'YTD CF'!S30-'YTD CF'!R30</f>
        <v/>
      </c>
      <c r="Y30" s="4">
        <f>'CASH FLOW'!H29-'YTD CF'!S30</f>
        <v/>
      </c>
      <c r="Z30" s="4">
        <f>'YTD CF'!T30</f>
        <v/>
      </c>
      <c r="AA30" s="4">
        <f>'YTD CF'!U30-'YTD CF'!T30</f>
        <v/>
      </c>
      <c r="AB30" s="4">
        <f>'YTD CF'!V30-'YTD CF'!U30</f>
        <v/>
      </c>
      <c r="AC30" s="4">
        <f>'CASH FLOW'!I29-'YTD CF'!V30</f>
        <v/>
      </c>
      <c r="AD30" s="4">
        <f>'YTD CF'!W30</f>
        <v/>
      </c>
      <c r="AE30" s="4">
        <f>'YTD CF'!X30-'YTD CF'!W30</f>
        <v/>
      </c>
      <c r="AF30" s="4">
        <f>'YTD CF'!Y30-'YTD CF'!X30</f>
        <v/>
      </c>
      <c r="AG30" s="4">
        <f>'CASH FLOW'!J29-'YTD CF'!Y30</f>
        <v/>
      </c>
      <c r="AH30" s="11">
        <f>'CF DRIVERS'!AH28</f>
        <v/>
      </c>
      <c r="AI30" s="11">
        <f>'CF DRIVERS'!AI28</f>
        <v/>
      </c>
      <c r="AJ30" s="11">
        <f>'CF DRIVERS'!AJ28</f>
        <v/>
      </c>
      <c r="AK30" s="11">
        <f>'CF DRIVERS'!AK28</f>
        <v/>
      </c>
      <c r="AL30" s="11">
        <f>'CF DRIVERS'!AL28</f>
        <v/>
      </c>
      <c r="AM30" s="11">
        <f>'CF DRIVERS'!AM28</f>
        <v/>
      </c>
      <c r="AN30" s="11">
        <f>'CF DRIVERS'!AN28</f>
        <v/>
      </c>
      <c r="AO30" s="11">
        <f>'CF DRIVERS'!AO28</f>
        <v/>
      </c>
      <c r="AP30" s="11">
        <f>'CF DRIVERS'!AP28</f>
        <v/>
      </c>
      <c r="AQ30" s="11">
        <f>'CF DRIVERS'!AQ28</f>
        <v/>
      </c>
      <c r="AR30" s="11">
        <f>'CF DRIVERS'!AR28</f>
        <v/>
      </c>
      <c r="AS30" s="11">
        <f>'CF DRIVERS'!AS28</f>
        <v/>
      </c>
      <c r="AT30" s="11">
        <f>'CF DRIVERS'!AT28</f>
        <v/>
      </c>
      <c r="AU30" s="11">
        <f>'CF DRIVERS'!AU28</f>
        <v/>
      </c>
      <c r="AV30" s="11">
        <f>'CF DRIVERS'!AV28</f>
        <v/>
      </c>
      <c r="AW30" s="11">
        <f>'CF DRIVERS'!AW28</f>
        <v/>
      </c>
      <c r="AX30" s="11">
        <f>'CF DRIVERS'!AX28</f>
        <v/>
      </c>
      <c r="AY30" s="11">
        <f>'CF DRIVERS'!AY28</f>
        <v/>
      </c>
      <c r="AZ30" s="11">
        <f>'CF DRIVERS'!AZ28</f>
        <v/>
      </c>
      <c r="BA30" s="11">
        <f>'CF DRIVERS'!BA28</f>
        <v/>
      </c>
    </row>
    <row r="31">
      <c r="A31" s="3" t="inlineStr">
        <is>
          <t>Cash Flow from Financing</t>
        </is>
      </c>
      <c r="B31" s="6">
        <f>'YTD CF'!B31</f>
        <v/>
      </c>
      <c r="C31" s="6">
        <f>'YTD CF'!C31-'YTD CF'!B31</f>
        <v/>
      </c>
      <c r="D31" s="6">
        <f>'YTD CF'!D31-'YTD CF'!C31</f>
        <v/>
      </c>
      <c r="E31" s="6">
        <f>'CASH FLOW'!C30-'YTD CF'!D31</f>
        <v/>
      </c>
      <c r="F31" s="6">
        <f>'YTD CF'!E31</f>
        <v/>
      </c>
      <c r="G31" s="6">
        <f>'YTD CF'!F31-'YTD CF'!E31</f>
        <v/>
      </c>
      <c r="H31" s="6">
        <f>'YTD CF'!G31-'YTD CF'!F31</f>
        <v/>
      </c>
      <c r="I31" s="6">
        <f>'CASH FLOW'!D30-'YTD CF'!G31</f>
        <v/>
      </c>
      <c r="J31" s="6">
        <f>'YTD CF'!H31</f>
        <v/>
      </c>
      <c r="K31" s="6">
        <f>'YTD CF'!I31-'YTD CF'!H31</f>
        <v/>
      </c>
      <c r="L31" s="6">
        <f>'YTD CF'!J31-'YTD CF'!I31</f>
        <v/>
      </c>
      <c r="M31" s="6">
        <f>'CASH FLOW'!E30-'YTD CF'!J31</f>
        <v/>
      </c>
      <c r="N31" s="6">
        <f>'YTD CF'!K31</f>
        <v/>
      </c>
      <c r="O31" s="6">
        <f>'YTD CF'!L31-'YTD CF'!K31</f>
        <v/>
      </c>
      <c r="P31" s="6">
        <f>'YTD CF'!M31-'YTD CF'!L31</f>
        <v/>
      </c>
      <c r="Q31" s="6">
        <f>'CASH FLOW'!F30-'YTD CF'!M31</f>
        <v/>
      </c>
      <c r="R31" s="6">
        <f>'YTD CF'!N31</f>
        <v/>
      </c>
      <c r="S31" s="6">
        <f>'YTD CF'!O31-'YTD CF'!N31</f>
        <v/>
      </c>
      <c r="T31" s="6">
        <f>'YTD CF'!P31-'YTD CF'!O31</f>
        <v/>
      </c>
      <c r="U31" s="6">
        <f>'CASH FLOW'!G30-'YTD CF'!P31</f>
        <v/>
      </c>
      <c r="V31" s="6">
        <f>'YTD CF'!Q31</f>
        <v/>
      </c>
      <c r="W31" s="6">
        <f>'YTD CF'!R31-'YTD CF'!Q31</f>
        <v/>
      </c>
      <c r="X31" s="6">
        <f>'YTD CF'!S31-'YTD CF'!R31</f>
        <v/>
      </c>
      <c r="Y31" s="6">
        <f>'CASH FLOW'!H30-'YTD CF'!S31</f>
        <v/>
      </c>
      <c r="Z31" s="6">
        <f>'YTD CF'!T31</f>
        <v/>
      </c>
      <c r="AA31" s="6">
        <f>'YTD CF'!U31-'YTD CF'!T31</f>
        <v/>
      </c>
      <c r="AB31" s="6">
        <f>'YTD CF'!V31-'YTD CF'!U31</f>
        <v/>
      </c>
      <c r="AC31" s="6">
        <f>'CASH FLOW'!I30-'YTD CF'!V31</f>
        <v/>
      </c>
      <c r="AD31" s="6">
        <f>'YTD CF'!W31</f>
        <v/>
      </c>
      <c r="AE31" s="6">
        <f>'YTD CF'!X31-'YTD CF'!W31</f>
        <v/>
      </c>
      <c r="AF31" s="6">
        <f>'YTD CF'!Y31-'YTD CF'!X31</f>
        <v/>
      </c>
      <c r="AG31" s="6">
        <f>'CASH FLOW'!J30-'YTD CF'!Y31</f>
        <v/>
      </c>
      <c r="AH31" s="7">
        <f>SUM(AH25:AH30)</f>
        <v/>
      </c>
      <c r="AI31" s="7">
        <f>SUM(AI25:AI30)</f>
        <v/>
      </c>
      <c r="AJ31" s="7">
        <f>SUM(AJ25:AJ30)</f>
        <v/>
      </c>
      <c r="AK31" s="7">
        <f>SUM(AK25:AK30)</f>
        <v/>
      </c>
      <c r="AL31" s="7">
        <f>SUM(AL25:AL30)</f>
        <v/>
      </c>
      <c r="AM31" s="7">
        <f>SUM(AM25:AM30)</f>
        <v/>
      </c>
      <c r="AN31" s="7">
        <f>SUM(AN25:AN30)</f>
        <v/>
      </c>
      <c r="AO31" s="7">
        <f>SUM(AO25:AO30)</f>
        <v/>
      </c>
      <c r="AP31" s="7">
        <f>SUM(AP25:AP30)</f>
        <v/>
      </c>
      <c r="AQ31" s="7">
        <f>SUM(AQ25:AQ30)</f>
        <v/>
      </c>
      <c r="AR31" s="7">
        <f>SUM(AR25:AR30)</f>
        <v/>
      </c>
      <c r="AS31" s="7">
        <f>SUM(AS25:AS30)</f>
        <v/>
      </c>
      <c r="AT31" s="7">
        <f>SUM(AT25:AT30)</f>
        <v/>
      </c>
      <c r="AU31" s="7">
        <f>SUM(AU25:AU30)</f>
        <v/>
      </c>
      <c r="AV31" s="7">
        <f>SUM(AV25:AV30)</f>
        <v/>
      </c>
      <c r="AW31" s="7">
        <f>SUM(AW25:AW30)</f>
        <v/>
      </c>
      <c r="AX31" s="7">
        <f>SUM(AX25:AX30)</f>
        <v/>
      </c>
      <c r="AY31" s="7">
        <f>SUM(AY25:AY30)</f>
        <v/>
      </c>
      <c r="AZ31" s="7">
        <f>SUM(AZ25:AZ30)</f>
        <v/>
      </c>
      <c r="BA31" s="7">
        <f>SUM(BA25:BA30)</f>
        <v/>
      </c>
    </row>
    <row r="32">
      <c r="A32" s="3" t="inlineStr">
        <is>
          <t>FX Effect on Cash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FLOW'!C31-'YTD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FLOW'!D31-'YTD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FLOW'!E31-'YTD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FLOW'!F31-'YTD CF'!M32</f>
        <v/>
      </c>
      <c r="R32" s="4">
        <f>'YTD CF'!N32</f>
        <v/>
      </c>
      <c r="S32" s="4">
        <f>'YTD CF'!O32-'YTD CF'!N32</f>
        <v/>
      </c>
      <c r="T32" s="4">
        <f>'YTD CF'!P32-'YTD CF'!O32</f>
        <v/>
      </c>
      <c r="U32" s="4">
        <f>'CASH FLOW'!G31-'YTD CF'!P32</f>
        <v/>
      </c>
      <c r="V32" s="4">
        <f>'YTD CF'!Q32</f>
        <v/>
      </c>
      <c r="W32" s="4">
        <f>'YTD CF'!R32-'YTD CF'!Q32</f>
        <v/>
      </c>
      <c r="X32" s="4">
        <f>'YTD CF'!S32-'YTD CF'!R32</f>
        <v/>
      </c>
      <c r="Y32" s="4">
        <f>'CASH FLOW'!H31-'YTD CF'!S32</f>
        <v/>
      </c>
      <c r="Z32" s="4">
        <f>'YTD CF'!T32</f>
        <v/>
      </c>
      <c r="AA32" s="4">
        <f>'YTD CF'!U32-'YTD CF'!T32</f>
        <v/>
      </c>
      <c r="AB32" s="4">
        <f>'YTD CF'!V32-'YTD CF'!U32</f>
        <v/>
      </c>
      <c r="AC32" s="4">
        <f>'CASH FLOW'!I31-'YTD CF'!V32</f>
        <v/>
      </c>
      <c r="AD32" s="4">
        <f>'YTD CF'!W32</f>
        <v/>
      </c>
      <c r="AE32" s="4">
        <f>'YTD CF'!X32-'YTD CF'!W32</f>
        <v/>
      </c>
      <c r="AF32" s="4">
        <f>'YTD CF'!Y32-'YTD CF'!X32</f>
        <v/>
      </c>
      <c r="AG32" s="4">
        <f>'CASH FLOW'!J31-'YTD CF'!Y32</f>
        <v/>
      </c>
      <c r="AH32" s="11">
        <f>'CF DRIVERS'!AH29</f>
        <v/>
      </c>
      <c r="AI32" s="11">
        <f>'CF DRIVERS'!AI29</f>
        <v/>
      </c>
      <c r="AJ32" s="11">
        <f>'CF DRIVERS'!AJ29</f>
        <v/>
      </c>
      <c r="AK32" s="11">
        <f>'CF DRIVERS'!AK29</f>
        <v/>
      </c>
      <c r="AL32" s="11">
        <f>'CF DRIVERS'!AL29</f>
        <v/>
      </c>
      <c r="AM32" s="11">
        <f>'CF DRIVERS'!AM29</f>
        <v/>
      </c>
      <c r="AN32" s="11">
        <f>'CF DRIVERS'!AN29</f>
        <v/>
      </c>
      <c r="AO32" s="11">
        <f>'CF DRIVERS'!AO29</f>
        <v/>
      </c>
      <c r="AP32" s="11">
        <f>'CF DRIVERS'!AP29</f>
        <v/>
      </c>
      <c r="AQ32" s="11">
        <f>'CF DRIVERS'!AQ29</f>
        <v/>
      </c>
      <c r="AR32" s="11">
        <f>'CF DRIVERS'!AR29</f>
        <v/>
      </c>
      <c r="AS32" s="11">
        <f>'CF DRIVERS'!AS29</f>
        <v/>
      </c>
      <c r="AT32" s="11">
        <f>'CF DRIVERS'!AT29</f>
        <v/>
      </c>
      <c r="AU32" s="11">
        <f>'CF DRIVERS'!AU29</f>
        <v/>
      </c>
      <c r="AV32" s="11">
        <f>'CF DRIVERS'!AV29</f>
        <v/>
      </c>
      <c r="AW32" s="11">
        <f>'CF DRIVERS'!AW29</f>
        <v/>
      </c>
      <c r="AX32" s="11">
        <f>'CF DRIVERS'!AX29</f>
        <v/>
      </c>
      <c r="AY32" s="11">
        <f>'CF DRIVERS'!AY29</f>
        <v/>
      </c>
      <c r="AZ32" s="11">
        <f>'CF DRIVERS'!AZ29</f>
        <v/>
      </c>
      <c r="BA32" s="11">
        <f>'CF DRIVERS'!BA29</f>
        <v/>
      </c>
    </row>
    <row r="33">
      <c r="A33" s="3" t="inlineStr">
        <is>
          <t>Net Change in Cash</t>
        </is>
      </c>
      <c r="B33" s="6">
        <f>'YTD CF'!B33</f>
        <v/>
      </c>
      <c r="C33" s="6">
        <f>'YTD CF'!C33-'YTD CF'!B33</f>
        <v/>
      </c>
      <c r="D33" s="6">
        <f>'YTD CF'!D33-'YTD CF'!C33</f>
        <v/>
      </c>
      <c r="E33" s="6">
        <f>'CASH FLOW'!C32-'YTD CF'!D33</f>
        <v/>
      </c>
      <c r="F33" s="6">
        <f>'YTD CF'!E33</f>
        <v/>
      </c>
      <c r="G33" s="6">
        <f>'YTD CF'!F33-'YTD CF'!E33</f>
        <v/>
      </c>
      <c r="H33" s="6">
        <f>'YTD CF'!G33-'YTD CF'!F33</f>
        <v/>
      </c>
      <c r="I33" s="6">
        <f>'CASH FLOW'!D32-'YTD CF'!G33</f>
        <v/>
      </c>
      <c r="J33" s="6">
        <f>'YTD CF'!H33</f>
        <v/>
      </c>
      <c r="K33" s="6">
        <f>'YTD CF'!I33-'YTD CF'!H33</f>
        <v/>
      </c>
      <c r="L33" s="6">
        <f>'YTD CF'!J33-'YTD CF'!I33</f>
        <v/>
      </c>
      <c r="M33" s="6">
        <f>'CASH FLOW'!E32-'YTD CF'!J33</f>
        <v/>
      </c>
      <c r="N33" s="6">
        <f>'YTD CF'!K33</f>
        <v/>
      </c>
      <c r="O33" s="6">
        <f>'YTD CF'!L33-'YTD CF'!K33</f>
        <v/>
      </c>
      <c r="P33" s="6">
        <f>'YTD CF'!M33-'YTD CF'!L33</f>
        <v/>
      </c>
      <c r="Q33" s="6">
        <f>'CASH FLOW'!F32-'YTD CF'!M33</f>
        <v/>
      </c>
      <c r="R33" s="6">
        <f>'YTD CF'!N33</f>
        <v/>
      </c>
      <c r="S33" s="6">
        <f>'YTD CF'!O33-'YTD CF'!N33</f>
        <v/>
      </c>
      <c r="T33" s="6">
        <f>'YTD CF'!P33-'YTD CF'!O33</f>
        <v/>
      </c>
      <c r="U33" s="6">
        <f>'CASH FLOW'!G32-'YTD CF'!P33</f>
        <v/>
      </c>
      <c r="V33" s="6">
        <f>'YTD CF'!Q33</f>
        <v/>
      </c>
      <c r="W33" s="6">
        <f>'YTD CF'!R33-'YTD CF'!Q33</f>
        <v/>
      </c>
      <c r="X33" s="6">
        <f>'YTD CF'!S33-'YTD CF'!R33</f>
        <v/>
      </c>
      <c r="Y33" s="6">
        <f>'CASH FLOW'!H32-'YTD CF'!S33</f>
        <v/>
      </c>
      <c r="Z33" s="6">
        <f>'YTD CF'!T33</f>
        <v/>
      </c>
      <c r="AA33" s="6">
        <f>'YTD CF'!U33-'YTD CF'!T33</f>
        <v/>
      </c>
      <c r="AB33" s="6">
        <f>'YTD CF'!V33-'YTD CF'!U33</f>
        <v/>
      </c>
      <c r="AC33" s="6">
        <f>'CASH FLOW'!I32-'YTD CF'!V33</f>
        <v/>
      </c>
      <c r="AD33" s="6">
        <f>'YTD CF'!W33</f>
        <v/>
      </c>
      <c r="AE33" s="6">
        <f>'YTD CF'!X33-'YTD CF'!W33</f>
        <v/>
      </c>
      <c r="AF33" s="6">
        <f>'YTD CF'!Y33-'YTD CF'!X33</f>
        <v/>
      </c>
      <c r="AG33" s="6">
        <f>'CASH FLOW'!J32-'YTD CF'!Y33</f>
        <v/>
      </c>
      <c r="AH33" s="7">
        <f>AH16+AH24+AH31+AH32</f>
        <v/>
      </c>
      <c r="AI33" s="7">
        <f>AI16+AI24+AI31+AI32</f>
        <v/>
      </c>
      <c r="AJ33" s="7">
        <f>AJ16+AJ24+AJ31+AJ32</f>
        <v/>
      </c>
      <c r="AK33" s="7">
        <f>AK16+AK24+AK31+AK32</f>
        <v/>
      </c>
      <c r="AL33" s="7">
        <f>AL16+AL24+AL31+AL32</f>
        <v/>
      </c>
      <c r="AM33" s="7">
        <f>AM16+AM24+AM31+AM32</f>
        <v/>
      </c>
      <c r="AN33" s="7">
        <f>AN16+AN24+AN31+AN32</f>
        <v/>
      </c>
      <c r="AO33" s="7">
        <f>AO16+AO24+AO31+AO32</f>
        <v/>
      </c>
      <c r="AP33" s="7">
        <f>AP16+AP24+AP31+AP32</f>
        <v/>
      </c>
      <c r="AQ33" s="7">
        <f>AQ16+AQ24+AQ31+AQ32</f>
        <v/>
      </c>
      <c r="AR33" s="7">
        <f>AR16+AR24+AR31+AR32</f>
        <v/>
      </c>
      <c r="AS33" s="7">
        <f>AS16+AS24+AS31+AS32</f>
        <v/>
      </c>
      <c r="AT33" s="7">
        <f>AT16+AT24+AT31+AT32</f>
        <v/>
      </c>
      <c r="AU33" s="7">
        <f>AU16+AU24+AU31+AU32</f>
        <v/>
      </c>
      <c r="AV33" s="7">
        <f>AV16+AV24+AV31+AV32</f>
        <v/>
      </c>
      <c r="AW33" s="7">
        <f>AW16+AW24+AW31+AW32</f>
        <v/>
      </c>
      <c r="AX33" s="7">
        <f>AX16+AX24+AX31+AX32</f>
        <v/>
      </c>
      <c r="AY33" s="7">
        <f>AY16+AY24+AY31+AY32</f>
        <v/>
      </c>
      <c r="AZ33" s="7">
        <f>AZ16+AZ24+AZ31+AZ32</f>
        <v/>
      </c>
      <c r="BA33" s="7">
        <f>BA16+BA24+BA31+BA32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1" t="inlineStr">
        <is>
          <t>Driver</t>
        </is>
      </c>
      <c r="B1" s="2" t="inlineStr">
        <is>
          <t>Basis</t>
        </is>
      </c>
      <c r="C1" s="2" t="inlineStr">
        <is>
          <t>Q1 FY2018</t>
        </is>
      </c>
      <c r="D1" s="2" t="inlineStr">
        <is>
          <t>Q2 FY2018</t>
        </is>
      </c>
      <c r="E1" s="2" t="inlineStr">
        <is>
          <t>Q3 FY2018</t>
        </is>
      </c>
      <c r="F1" s="2" t="inlineStr">
        <is>
          <t>Q4 FY2018</t>
        </is>
      </c>
      <c r="G1" s="2" t="inlineStr">
        <is>
          <t>Q1 FY2019</t>
        </is>
      </c>
      <c r="H1" s="2" t="inlineStr">
        <is>
          <t>Q2 FY2019</t>
        </is>
      </c>
      <c r="I1" s="2" t="inlineStr">
        <is>
          <t>Q3 FY2019</t>
        </is>
      </c>
      <c r="J1" s="2" t="inlineStr">
        <is>
          <t>Q4 FY2019</t>
        </is>
      </c>
      <c r="K1" s="2" t="inlineStr">
        <is>
          <t>Q1 FY2020</t>
        </is>
      </c>
      <c r="L1" s="2" t="inlineStr">
        <is>
          <t>Q2 FY2020</t>
        </is>
      </c>
      <c r="M1" s="2" t="inlineStr">
        <is>
          <t>Q3 FY2020</t>
        </is>
      </c>
      <c r="N1" s="2" t="inlineStr">
        <is>
          <t>Q4 FY2020</t>
        </is>
      </c>
      <c r="O1" s="2" t="inlineStr">
        <is>
          <t>Q1 FY2021</t>
        </is>
      </c>
      <c r="P1" s="2" t="inlineStr">
        <is>
          <t>Q2 FY2021</t>
        </is>
      </c>
      <c r="Q1" s="2" t="inlineStr">
        <is>
          <t>Q3 FY2021</t>
        </is>
      </c>
      <c r="R1" s="2" t="inlineStr">
        <is>
          <t>Q4 FY2021</t>
        </is>
      </c>
      <c r="S1" s="2" t="inlineStr">
        <is>
          <t>Q1 FY2022</t>
        </is>
      </c>
      <c r="T1" s="2" t="inlineStr">
        <is>
          <t>Q2 FY2022</t>
        </is>
      </c>
      <c r="U1" s="2" t="inlineStr">
        <is>
          <t>Q3 FY2022</t>
        </is>
      </c>
      <c r="V1" s="2" t="inlineStr">
        <is>
          <t>Q4 FY2022</t>
        </is>
      </c>
      <c r="W1" s="2" t="inlineStr">
        <is>
          <t>Q1 FY2023</t>
        </is>
      </c>
      <c r="X1" s="2" t="inlineStr">
        <is>
          <t>Q2 FY2023</t>
        </is>
      </c>
      <c r="Y1" s="2" t="inlineStr">
        <is>
          <t>Q3 FY2023</t>
        </is>
      </c>
      <c r="Z1" s="2" t="inlineStr">
        <is>
          <t>Q4 FY2023</t>
        </is>
      </c>
      <c r="AA1" s="2" t="inlineStr">
        <is>
          <t>Q1 FY2024</t>
        </is>
      </c>
      <c r="AB1" s="2" t="inlineStr">
        <is>
          <t>Q2 FY2024</t>
        </is>
      </c>
      <c r="AC1" s="2" t="inlineStr">
        <is>
          <t>Q3 FY2024</t>
        </is>
      </c>
      <c r="AD1" s="2" t="inlineStr">
        <is>
          <t>Q4 FY2024</t>
        </is>
      </c>
      <c r="AE1" s="2" t="inlineStr">
        <is>
          <t>Q1 FY2025</t>
        </is>
      </c>
      <c r="AF1" s="2" t="inlineStr">
        <is>
          <t>Q2 FY2025</t>
        </is>
      </c>
      <c r="AG1" s="2" t="inlineStr">
        <is>
          <t>Q3 FY2025</t>
        </is>
      </c>
      <c r="AH1" s="2" t="inlineStr">
        <is>
          <t>Q4 FY2025</t>
        </is>
      </c>
      <c r="AI1" s="2" t="inlineStr">
        <is>
          <t>Q1 FY2026E</t>
        </is>
      </c>
      <c r="AJ1" s="2" t="inlineStr">
        <is>
          <t>Q2 FY2026E</t>
        </is>
      </c>
      <c r="AK1" s="2" t="inlineStr">
        <is>
          <t>Q3 FY2026E</t>
        </is>
      </c>
      <c r="AL1" s="2" t="inlineStr">
        <is>
          <t>Q4 FY2026E</t>
        </is>
      </c>
      <c r="AM1" s="2" t="inlineStr">
        <is>
          <t>Q1 FY2027E</t>
        </is>
      </c>
      <c r="AN1" s="2" t="inlineStr">
        <is>
          <t>Q2 FY2027E</t>
        </is>
      </c>
      <c r="AO1" s="2" t="inlineStr">
        <is>
          <t>Q3 FY2027E</t>
        </is>
      </c>
      <c r="AP1" s="2" t="inlineStr">
        <is>
          <t>Q4 FY2027E</t>
        </is>
      </c>
      <c r="AQ1" s="2" t="inlineStr">
        <is>
          <t>Q1 FY2028E</t>
        </is>
      </c>
      <c r="AR1" s="2" t="inlineStr">
        <is>
          <t>Q2 FY2028E</t>
        </is>
      </c>
      <c r="AS1" s="2" t="inlineStr">
        <is>
          <t>Q3 FY2028E</t>
        </is>
      </c>
      <c r="AT1" s="2" t="inlineStr">
        <is>
          <t>Q4 FY2028E</t>
        </is>
      </c>
      <c r="AU1" s="2" t="inlineStr">
        <is>
          <t>Q1 FY2029E</t>
        </is>
      </c>
      <c r="AV1" s="2" t="inlineStr">
        <is>
          <t>Q2 FY2029E</t>
        </is>
      </c>
      <c r="AW1" s="2" t="inlineStr">
        <is>
          <t>Q3 FY2029E</t>
        </is>
      </c>
      <c r="AX1" s="2" t="inlineStr">
        <is>
          <t>Q4 FY2029E</t>
        </is>
      </c>
      <c r="AY1" s="2" t="inlineStr">
        <is>
          <t>Q1 FY2030E</t>
        </is>
      </c>
      <c r="AZ1" s="2" t="inlineStr">
        <is>
          <t>Q2 FY2030E</t>
        </is>
      </c>
      <c r="BA1" s="2" t="inlineStr">
        <is>
          <t>Q3 FY2030E</t>
        </is>
      </c>
      <c r="BB1" s="2" t="inlineStr">
        <is>
          <t>Q4 FY2030E</t>
        </is>
      </c>
    </row>
    <row r="2">
      <c r="A2" s="3" t="inlineStr">
        <is>
          <t>Net Sales / Revenue — Growth %</t>
        </is>
      </c>
      <c r="B2" s="12" t="inlineStr">
        <is>
          <t>YoY</t>
        </is>
      </c>
      <c r="D2" s="13">
        <f>IFERROR('QTR P&amp;L'!C2/'QTR P&amp;L'!B2-1,"")</f>
        <v/>
      </c>
      <c r="E2" s="13">
        <f>IFERROR('QTR P&amp;L'!D2/'QTR P&amp;L'!C2-1,"")</f>
        <v/>
      </c>
      <c r="F2" s="13">
        <f>IFERROR('QTR P&amp;L'!E2/'QTR P&amp;L'!D2-1,"")</f>
        <v/>
      </c>
      <c r="G2" s="13">
        <f>IFERROR('QTR P&amp;L'!F2/IF($B2="QoQ",'QTR P&amp;L'!E2,'QTR P&amp;L'!B2)-1,"")</f>
        <v/>
      </c>
      <c r="H2" s="13">
        <f>IFERROR('QTR P&amp;L'!G2/IF($B2="QoQ",'QTR P&amp;L'!F2,'QTR P&amp;L'!C2)-1,"")</f>
        <v/>
      </c>
      <c r="I2" s="13">
        <f>IFERROR('QTR P&amp;L'!H2/IF($B2="QoQ",'QTR P&amp;L'!G2,'QTR P&amp;L'!D2)-1,"")</f>
        <v/>
      </c>
      <c r="J2" s="13">
        <f>IFERROR('QTR P&amp;L'!I2/IF($B2="QoQ",'QTR P&amp;L'!H2,'QTR P&amp;L'!E2)-1,"")</f>
        <v/>
      </c>
      <c r="K2" s="13">
        <f>IFERROR('QTR P&amp;L'!J2/IF($B2="QoQ",'QTR P&amp;L'!I2,'QTR P&amp;L'!F2)-1,"")</f>
        <v/>
      </c>
      <c r="L2" s="13">
        <f>IFERROR('QTR P&amp;L'!K2/IF($B2="QoQ",'QTR P&amp;L'!J2,'QTR P&amp;L'!G2)-1,"")</f>
        <v/>
      </c>
      <c r="M2" s="13">
        <f>IFERROR('QTR P&amp;L'!L2/IF($B2="QoQ",'QTR P&amp;L'!K2,'QTR P&amp;L'!H2)-1,"")</f>
        <v/>
      </c>
      <c r="N2" s="13">
        <f>IFERROR('QTR P&amp;L'!M2/IF($B2="QoQ",'QTR P&amp;L'!L2,'QTR P&amp;L'!I2)-1,"")</f>
        <v/>
      </c>
      <c r="O2" s="13">
        <f>IFERROR('QTR P&amp;L'!N2/IF($B2="QoQ",'QTR P&amp;L'!M2,'QTR P&amp;L'!J2)-1,"")</f>
        <v/>
      </c>
      <c r="P2" s="13">
        <f>IFERROR('QTR P&amp;L'!O2/IF($B2="QoQ",'QTR P&amp;L'!N2,'QTR P&amp;L'!K2)-1,"")</f>
        <v/>
      </c>
      <c r="Q2" s="13">
        <f>IFERROR('QTR P&amp;L'!P2/IF($B2="QoQ",'QTR P&amp;L'!O2,'QTR P&amp;L'!L2)-1,"")</f>
        <v/>
      </c>
      <c r="R2" s="13">
        <f>IFERROR('QTR P&amp;L'!Q2/IF($B2="QoQ",'QTR P&amp;L'!P2,'QTR P&amp;L'!M2)-1,"")</f>
        <v/>
      </c>
      <c r="S2" s="13">
        <f>IFERROR('QTR P&amp;L'!R2/IF($B2="QoQ",'QTR P&amp;L'!Q2,'QTR P&amp;L'!N2)-1,"")</f>
        <v/>
      </c>
      <c r="T2" s="13">
        <f>IFERROR('QTR P&amp;L'!S2/IF($B2="QoQ",'QTR P&amp;L'!R2,'QTR P&amp;L'!O2)-1,"")</f>
        <v/>
      </c>
      <c r="U2" s="13">
        <f>IFERROR('QTR P&amp;L'!T2/IF($B2="QoQ",'QTR P&amp;L'!S2,'QTR P&amp;L'!P2)-1,"")</f>
        <v/>
      </c>
      <c r="V2" s="13">
        <f>IFERROR('QTR P&amp;L'!U2/IF($B2="QoQ",'QTR P&amp;L'!T2,'QTR P&amp;L'!Q2)-1,"")</f>
        <v/>
      </c>
      <c r="W2" s="13">
        <f>IFERROR('QTR P&amp;L'!V2/IF($B2="QoQ",'QTR P&amp;L'!U2,'QTR P&amp;L'!R2)-1,"")</f>
        <v/>
      </c>
      <c r="X2" s="13">
        <f>IFERROR('QTR P&amp;L'!W2/IF($B2="QoQ",'QTR P&amp;L'!V2,'QTR P&amp;L'!S2)-1,"")</f>
        <v/>
      </c>
      <c r="Y2" s="13">
        <f>IFERROR('QTR P&amp;L'!X2/IF($B2="QoQ",'QTR P&amp;L'!W2,'QTR P&amp;L'!T2)-1,"")</f>
        <v/>
      </c>
      <c r="Z2" s="13">
        <f>IFERROR('QTR P&amp;L'!Y2/IF($B2="QoQ",'QTR P&amp;L'!X2,'QTR P&amp;L'!U2)-1,"")</f>
        <v/>
      </c>
      <c r="AA2" s="13">
        <f>IFERROR('QTR P&amp;L'!Z2/IF($B2="QoQ",'QTR P&amp;L'!Y2,'QTR P&amp;L'!V2)-1,"")</f>
        <v/>
      </c>
      <c r="AB2" s="13">
        <f>IFERROR('QTR P&amp;L'!AA2/IF($B2="QoQ",'QTR P&amp;L'!Z2,'QTR P&amp;L'!W2)-1,"")</f>
        <v/>
      </c>
      <c r="AC2" s="13">
        <f>IFERROR('QTR P&amp;L'!AB2/IF($B2="QoQ",'QTR P&amp;L'!AA2,'QTR P&amp;L'!X2)-1,"")</f>
        <v/>
      </c>
      <c r="AD2" s="13">
        <f>IFERROR('QTR P&amp;L'!AC2/IF($B2="QoQ",'QTR P&amp;L'!AB2,'QTR P&amp;L'!Y2)-1,"")</f>
        <v/>
      </c>
      <c r="AE2" s="13">
        <f>IFERROR('QTR P&amp;L'!AD2/IF($B2="QoQ",'QTR P&amp;L'!AC2,'QTR P&amp;L'!Z2)-1,"")</f>
        <v/>
      </c>
      <c r="AF2" s="13">
        <f>IFERROR('QTR P&amp;L'!AE2/IF($B2="QoQ",'QTR P&amp;L'!AD2,'QTR P&amp;L'!AA2)-1,"")</f>
        <v/>
      </c>
      <c r="AG2" s="13">
        <f>IFERROR('QTR P&amp;L'!AF2/IF($B2="QoQ",'QTR P&amp;L'!AE2,'QTR P&amp;L'!AB2)-1,"")</f>
        <v/>
      </c>
      <c r="AH2" s="13">
        <f>IFERROR('QTR P&amp;L'!AG2/IF($B2="QoQ",'QTR P&amp;L'!AF2,'QTR P&amp;L'!AC2)-1,"")</f>
        <v/>
      </c>
      <c r="AI2" s="14">
        <f>AH2</f>
        <v/>
      </c>
      <c r="AJ2" s="14">
        <f>AI2</f>
        <v/>
      </c>
      <c r="AK2" s="14">
        <f>AJ2</f>
        <v/>
      </c>
      <c r="AL2" s="14">
        <f>AK2</f>
        <v/>
      </c>
      <c r="AM2" s="14">
        <f>AL2</f>
        <v/>
      </c>
      <c r="AN2" s="14">
        <f>AM2</f>
        <v/>
      </c>
      <c r="AO2" s="14">
        <f>AN2</f>
        <v/>
      </c>
      <c r="AP2" s="14">
        <f>AO2</f>
        <v/>
      </c>
      <c r="AQ2" s="14">
        <f>AP2</f>
        <v/>
      </c>
      <c r="AR2" s="14">
        <f>AQ2</f>
        <v/>
      </c>
      <c r="AS2" s="14">
        <f>AR2</f>
        <v/>
      </c>
      <c r="AT2" s="14">
        <f>AS2</f>
        <v/>
      </c>
      <c r="AU2" s="14">
        <f>AT2</f>
        <v/>
      </c>
      <c r="AV2" s="14">
        <f>AU2</f>
        <v/>
      </c>
      <c r="AW2" s="14">
        <f>AV2</f>
        <v/>
      </c>
      <c r="AX2" s="14">
        <f>AW2</f>
        <v/>
      </c>
      <c r="AY2" s="14">
        <f>AX2</f>
        <v/>
      </c>
      <c r="AZ2" s="14">
        <f>AY2</f>
        <v/>
      </c>
      <c r="BA2" s="14">
        <f>AZ2</f>
        <v/>
      </c>
      <c r="BB2" s="14">
        <f>BA2</f>
        <v/>
      </c>
    </row>
    <row r="3">
      <c r="A3" s="3" t="inlineStr">
        <is>
          <t>COGS — % of Revenue</t>
        </is>
      </c>
      <c r="C3" s="13">
        <f>IFERROR('QTR P&amp;L'!B3/'QTR P&amp;L'!B2,"")</f>
        <v/>
      </c>
      <c r="D3" s="13">
        <f>IFERROR('QTR P&amp;L'!C3/'QTR P&amp;L'!C2,"")</f>
        <v/>
      </c>
      <c r="E3" s="13">
        <f>IFERROR('QTR P&amp;L'!D3/'QTR P&amp;L'!D2,"")</f>
        <v/>
      </c>
      <c r="F3" s="13">
        <f>IFERROR('QTR P&amp;L'!E3/'QTR P&amp;L'!E2,"")</f>
        <v/>
      </c>
      <c r="G3" s="13">
        <f>IFERROR('QTR P&amp;L'!F3/'QTR P&amp;L'!F2,"")</f>
        <v/>
      </c>
      <c r="H3" s="13">
        <f>IFERROR('QTR P&amp;L'!G3/'QTR P&amp;L'!G2,"")</f>
        <v/>
      </c>
      <c r="I3" s="13">
        <f>IFERROR('QTR P&amp;L'!H3/'QTR P&amp;L'!H2,"")</f>
        <v/>
      </c>
      <c r="J3" s="13">
        <f>IFERROR('QTR P&amp;L'!I3/'QTR P&amp;L'!I2,"")</f>
        <v/>
      </c>
      <c r="K3" s="13">
        <f>IFERROR('QTR P&amp;L'!J3/'QTR P&amp;L'!J2,"")</f>
        <v/>
      </c>
      <c r="L3" s="13">
        <f>IFERROR('QTR P&amp;L'!K3/'QTR P&amp;L'!K2,"")</f>
        <v/>
      </c>
      <c r="M3" s="13">
        <f>IFERROR('QTR P&amp;L'!L3/'QTR P&amp;L'!L2,"")</f>
        <v/>
      </c>
      <c r="N3" s="13">
        <f>IFERROR('QTR P&amp;L'!M3/'QTR P&amp;L'!M2,"")</f>
        <v/>
      </c>
      <c r="O3" s="13">
        <f>IFERROR('QTR P&amp;L'!N3/'QTR P&amp;L'!N2,"")</f>
        <v/>
      </c>
      <c r="P3" s="13">
        <f>IFERROR('QTR P&amp;L'!O3/'QTR P&amp;L'!O2,"")</f>
        <v/>
      </c>
      <c r="Q3" s="13">
        <f>IFERROR('QTR P&amp;L'!P3/'QTR P&amp;L'!P2,"")</f>
        <v/>
      </c>
      <c r="R3" s="13">
        <f>IFERROR('QTR P&amp;L'!Q3/'QTR P&amp;L'!Q2,"")</f>
        <v/>
      </c>
      <c r="S3" s="13">
        <f>IFERROR('QTR P&amp;L'!R3/'QTR P&amp;L'!R2,"")</f>
        <v/>
      </c>
      <c r="T3" s="13">
        <f>IFERROR('QTR P&amp;L'!S3/'QTR P&amp;L'!S2,"")</f>
        <v/>
      </c>
      <c r="U3" s="13">
        <f>IFERROR('QTR P&amp;L'!T3/'QTR P&amp;L'!T2,"")</f>
        <v/>
      </c>
      <c r="V3" s="13">
        <f>IFERROR('QTR P&amp;L'!U3/'QTR P&amp;L'!U2,"")</f>
        <v/>
      </c>
      <c r="W3" s="13">
        <f>IFERROR('QTR P&amp;L'!V3/'QTR P&amp;L'!V2,"")</f>
        <v/>
      </c>
      <c r="X3" s="13">
        <f>IFERROR('QTR P&amp;L'!W3/'QTR P&amp;L'!W2,"")</f>
        <v/>
      </c>
      <c r="Y3" s="13">
        <f>IFERROR('QTR P&amp;L'!X3/'QTR P&amp;L'!X2,"")</f>
        <v/>
      </c>
      <c r="Z3" s="13">
        <f>IFERROR('QTR P&amp;L'!Y3/'QTR P&amp;L'!Y2,"")</f>
        <v/>
      </c>
      <c r="AA3" s="13">
        <f>IFERROR('QTR P&amp;L'!Z3/'QTR P&amp;L'!Z2,"")</f>
        <v/>
      </c>
      <c r="AB3" s="13">
        <f>IFERROR('QTR P&amp;L'!AA3/'QTR P&amp;L'!AA2,"")</f>
        <v/>
      </c>
      <c r="AC3" s="13">
        <f>IFERROR('QTR P&amp;L'!AB3/'QTR P&amp;L'!AB2,"")</f>
        <v/>
      </c>
      <c r="AD3" s="13">
        <f>IFERROR('QTR P&amp;L'!AC3/'QTR P&amp;L'!AC2,"")</f>
        <v/>
      </c>
      <c r="AE3" s="13">
        <f>IFERROR('QTR P&amp;L'!AD3/'QTR P&amp;L'!AD2,"")</f>
        <v/>
      </c>
      <c r="AF3" s="13">
        <f>IFERROR('QTR P&amp;L'!AE3/'QTR P&amp;L'!AE2,"")</f>
        <v/>
      </c>
      <c r="AG3" s="13">
        <f>IFERROR('QTR P&amp;L'!AF3/'QTR P&amp;L'!AF2,"")</f>
        <v/>
      </c>
      <c r="AH3" s="13">
        <f>IFERROR('QTR P&amp;L'!AG3/'QTR P&amp;L'!AG2,"")</f>
        <v/>
      </c>
      <c r="AI3" s="14">
        <f>AH3</f>
        <v/>
      </c>
      <c r="AJ3" s="14">
        <f>AI3</f>
        <v/>
      </c>
      <c r="AK3" s="14">
        <f>AJ3</f>
        <v/>
      </c>
      <c r="AL3" s="14">
        <f>AK3</f>
        <v/>
      </c>
      <c r="AM3" s="14">
        <f>AL3</f>
        <v/>
      </c>
      <c r="AN3" s="14">
        <f>AM3</f>
        <v/>
      </c>
      <c r="AO3" s="14">
        <f>AN3</f>
        <v/>
      </c>
      <c r="AP3" s="14">
        <f>AO3</f>
        <v/>
      </c>
      <c r="AQ3" s="14">
        <f>AP3</f>
        <v/>
      </c>
      <c r="AR3" s="14">
        <f>AQ3</f>
        <v/>
      </c>
      <c r="AS3" s="14">
        <f>AR3</f>
        <v/>
      </c>
      <c r="AT3" s="14">
        <f>AS3</f>
        <v/>
      </c>
      <c r="AU3" s="14">
        <f>AT3</f>
        <v/>
      </c>
      <c r="AV3" s="14">
        <f>AU3</f>
        <v/>
      </c>
      <c r="AW3" s="14">
        <f>AV3</f>
        <v/>
      </c>
      <c r="AX3" s="14">
        <f>AW3</f>
        <v/>
      </c>
      <c r="AY3" s="14">
        <f>AX3</f>
        <v/>
      </c>
      <c r="AZ3" s="14">
        <f>AY3</f>
        <v/>
      </c>
      <c r="BA3" s="14">
        <f>AZ3</f>
        <v/>
      </c>
      <c r="BB3" s="14">
        <f>BA3</f>
        <v/>
      </c>
    </row>
    <row r="4">
      <c r="A4" s="3" t="inlineStr">
        <is>
          <t>Research and Development — % of Revenue</t>
        </is>
      </c>
      <c r="C4" s="13">
        <f>IFERROR('QTR P&amp;L'!B5/'QTR P&amp;L'!B2,"")</f>
        <v/>
      </c>
      <c r="D4" s="13">
        <f>IFERROR('QTR P&amp;L'!C5/'QTR P&amp;L'!C2,"")</f>
        <v/>
      </c>
      <c r="E4" s="13">
        <f>IFERROR('QTR P&amp;L'!D5/'QTR P&amp;L'!D2,"")</f>
        <v/>
      </c>
      <c r="F4" s="13">
        <f>IFERROR('QTR P&amp;L'!E5/'QTR P&amp;L'!E2,"")</f>
        <v/>
      </c>
      <c r="G4" s="13">
        <f>IFERROR('QTR P&amp;L'!F5/'QTR P&amp;L'!F2,"")</f>
        <v/>
      </c>
      <c r="H4" s="13">
        <f>IFERROR('QTR P&amp;L'!G5/'QTR P&amp;L'!G2,"")</f>
        <v/>
      </c>
      <c r="I4" s="13">
        <f>IFERROR('QTR P&amp;L'!H5/'QTR P&amp;L'!H2,"")</f>
        <v/>
      </c>
      <c r="J4" s="13">
        <f>IFERROR('QTR P&amp;L'!I5/'QTR P&amp;L'!I2,"")</f>
        <v/>
      </c>
      <c r="K4" s="13">
        <f>IFERROR('QTR P&amp;L'!J5/'QTR P&amp;L'!J2,"")</f>
        <v/>
      </c>
      <c r="L4" s="13">
        <f>IFERROR('QTR P&amp;L'!K5/'QTR P&amp;L'!K2,"")</f>
        <v/>
      </c>
      <c r="M4" s="13">
        <f>IFERROR('QTR P&amp;L'!L5/'QTR P&amp;L'!L2,"")</f>
        <v/>
      </c>
      <c r="N4" s="13">
        <f>IFERROR('QTR P&amp;L'!M5/'QTR P&amp;L'!M2,"")</f>
        <v/>
      </c>
      <c r="O4" s="13">
        <f>IFERROR('QTR P&amp;L'!N5/'QTR P&amp;L'!N2,"")</f>
        <v/>
      </c>
      <c r="P4" s="13">
        <f>IFERROR('QTR P&amp;L'!O5/'QTR P&amp;L'!O2,"")</f>
        <v/>
      </c>
      <c r="Q4" s="13">
        <f>IFERROR('QTR P&amp;L'!P5/'QTR P&amp;L'!P2,"")</f>
        <v/>
      </c>
      <c r="R4" s="13">
        <f>IFERROR('QTR P&amp;L'!Q5/'QTR P&amp;L'!Q2,"")</f>
        <v/>
      </c>
      <c r="S4" s="13">
        <f>IFERROR('QTR P&amp;L'!R5/'QTR P&amp;L'!R2,"")</f>
        <v/>
      </c>
      <c r="T4" s="13">
        <f>IFERROR('QTR P&amp;L'!S5/'QTR P&amp;L'!S2,"")</f>
        <v/>
      </c>
      <c r="U4" s="13">
        <f>IFERROR('QTR P&amp;L'!T5/'QTR P&amp;L'!T2,"")</f>
        <v/>
      </c>
      <c r="V4" s="13">
        <f>IFERROR('QTR P&amp;L'!U5/'QTR P&amp;L'!U2,"")</f>
        <v/>
      </c>
      <c r="W4" s="13">
        <f>IFERROR('QTR P&amp;L'!V5/'QTR P&amp;L'!V2,"")</f>
        <v/>
      </c>
      <c r="X4" s="13">
        <f>IFERROR('QTR P&amp;L'!W5/'QTR P&amp;L'!W2,"")</f>
        <v/>
      </c>
      <c r="Y4" s="13">
        <f>IFERROR('QTR P&amp;L'!X5/'QTR P&amp;L'!X2,"")</f>
        <v/>
      </c>
      <c r="Z4" s="13">
        <f>IFERROR('QTR P&amp;L'!Y5/'QTR P&amp;L'!Y2,"")</f>
        <v/>
      </c>
      <c r="AA4" s="13">
        <f>IFERROR('QTR P&amp;L'!Z5/'QTR P&amp;L'!Z2,"")</f>
        <v/>
      </c>
      <c r="AB4" s="13">
        <f>IFERROR('QTR P&amp;L'!AA5/'QTR P&amp;L'!AA2,"")</f>
        <v/>
      </c>
      <c r="AC4" s="13">
        <f>IFERROR('QTR P&amp;L'!AB5/'QTR P&amp;L'!AB2,"")</f>
        <v/>
      </c>
      <c r="AD4" s="13">
        <f>IFERROR('QTR P&amp;L'!AC5/'QTR P&amp;L'!AC2,"")</f>
        <v/>
      </c>
      <c r="AE4" s="13">
        <f>IFERROR('QTR P&amp;L'!AD5/'QTR P&amp;L'!AD2,"")</f>
        <v/>
      </c>
      <c r="AF4" s="13">
        <f>IFERROR('QTR P&amp;L'!AE5/'QTR P&amp;L'!AE2,"")</f>
        <v/>
      </c>
      <c r="AG4" s="13">
        <f>IFERROR('QTR P&amp;L'!AF5/'QTR P&amp;L'!AF2,"")</f>
        <v/>
      </c>
      <c r="AH4" s="13">
        <f>IFERROR('QTR P&amp;L'!AG5/'QTR P&amp;L'!AG2,"")</f>
        <v/>
      </c>
      <c r="AI4" s="14">
        <f>AH4</f>
        <v/>
      </c>
      <c r="AJ4" s="14">
        <f>AI4</f>
        <v/>
      </c>
      <c r="AK4" s="14">
        <f>AJ4</f>
        <v/>
      </c>
      <c r="AL4" s="14">
        <f>AK4</f>
        <v/>
      </c>
      <c r="AM4" s="14">
        <f>AL4</f>
        <v/>
      </c>
      <c r="AN4" s="14">
        <f>AM4</f>
        <v/>
      </c>
      <c r="AO4" s="14">
        <f>AN4</f>
        <v/>
      </c>
      <c r="AP4" s="14">
        <f>AO4</f>
        <v/>
      </c>
      <c r="AQ4" s="14">
        <f>AP4</f>
        <v/>
      </c>
      <c r="AR4" s="14">
        <f>AQ4</f>
        <v/>
      </c>
      <c r="AS4" s="14">
        <f>AR4</f>
        <v/>
      </c>
      <c r="AT4" s="14">
        <f>AS4</f>
        <v/>
      </c>
      <c r="AU4" s="14">
        <f>AT4</f>
        <v/>
      </c>
      <c r="AV4" s="14">
        <f>AU4</f>
        <v/>
      </c>
      <c r="AW4" s="14">
        <f>AV4</f>
        <v/>
      </c>
      <c r="AX4" s="14">
        <f>AW4</f>
        <v/>
      </c>
      <c r="AY4" s="14">
        <f>AX4</f>
        <v/>
      </c>
      <c r="AZ4" s="14">
        <f>AY4</f>
        <v/>
      </c>
      <c r="BA4" s="14">
        <f>AZ4</f>
        <v/>
      </c>
      <c r="BB4" s="14">
        <f>BA4</f>
        <v/>
      </c>
    </row>
    <row r="5">
      <c r="A5" s="3" t="inlineStr">
        <is>
          <t>Sales and Marketing — % of Revenue</t>
        </is>
      </c>
      <c r="C5" s="13">
        <f>IFERROR('QTR P&amp;L'!B6/'QTR P&amp;L'!B2,"")</f>
        <v/>
      </c>
      <c r="D5" s="13">
        <f>IFERROR('QTR P&amp;L'!C6/'QTR P&amp;L'!C2,"")</f>
        <v/>
      </c>
      <c r="E5" s="13">
        <f>IFERROR('QTR P&amp;L'!D6/'QTR P&amp;L'!D2,"")</f>
        <v/>
      </c>
      <c r="F5" s="13">
        <f>IFERROR('QTR P&amp;L'!E6/'QTR P&amp;L'!E2,"")</f>
        <v/>
      </c>
      <c r="G5" s="13">
        <f>IFERROR('QTR P&amp;L'!F6/'QTR P&amp;L'!F2,"")</f>
        <v/>
      </c>
      <c r="H5" s="13">
        <f>IFERROR('QTR P&amp;L'!G6/'QTR P&amp;L'!G2,"")</f>
        <v/>
      </c>
      <c r="I5" s="13">
        <f>IFERROR('QTR P&amp;L'!H6/'QTR P&amp;L'!H2,"")</f>
        <v/>
      </c>
      <c r="J5" s="13">
        <f>IFERROR('QTR P&amp;L'!I6/'QTR P&amp;L'!I2,"")</f>
        <v/>
      </c>
      <c r="K5" s="13">
        <f>IFERROR('QTR P&amp;L'!J6/'QTR P&amp;L'!J2,"")</f>
        <v/>
      </c>
      <c r="L5" s="13">
        <f>IFERROR('QTR P&amp;L'!K6/'QTR P&amp;L'!K2,"")</f>
        <v/>
      </c>
      <c r="M5" s="13">
        <f>IFERROR('QTR P&amp;L'!L6/'QTR P&amp;L'!L2,"")</f>
        <v/>
      </c>
      <c r="N5" s="13">
        <f>IFERROR('QTR P&amp;L'!M6/'QTR P&amp;L'!M2,"")</f>
        <v/>
      </c>
      <c r="O5" s="13">
        <f>IFERROR('QTR P&amp;L'!N6/'QTR P&amp;L'!N2,"")</f>
        <v/>
      </c>
      <c r="P5" s="13">
        <f>IFERROR('QTR P&amp;L'!O6/'QTR P&amp;L'!O2,"")</f>
        <v/>
      </c>
      <c r="Q5" s="13">
        <f>IFERROR('QTR P&amp;L'!P6/'QTR P&amp;L'!P2,"")</f>
        <v/>
      </c>
      <c r="R5" s="13">
        <f>IFERROR('QTR P&amp;L'!Q6/'QTR P&amp;L'!Q2,"")</f>
        <v/>
      </c>
      <c r="S5" s="13">
        <f>IFERROR('QTR P&amp;L'!R6/'QTR P&amp;L'!R2,"")</f>
        <v/>
      </c>
      <c r="T5" s="13">
        <f>IFERROR('QTR P&amp;L'!S6/'QTR P&amp;L'!S2,"")</f>
        <v/>
      </c>
      <c r="U5" s="13">
        <f>IFERROR('QTR P&amp;L'!T6/'QTR P&amp;L'!T2,"")</f>
        <v/>
      </c>
      <c r="V5" s="13">
        <f>IFERROR('QTR P&amp;L'!U6/'QTR P&amp;L'!U2,"")</f>
        <v/>
      </c>
      <c r="W5" s="13">
        <f>IFERROR('QTR P&amp;L'!V6/'QTR P&amp;L'!V2,"")</f>
        <v/>
      </c>
      <c r="X5" s="13">
        <f>IFERROR('QTR P&amp;L'!W6/'QTR P&amp;L'!W2,"")</f>
        <v/>
      </c>
      <c r="Y5" s="13">
        <f>IFERROR('QTR P&amp;L'!X6/'QTR P&amp;L'!X2,"")</f>
        <v/>
      </c>
      <c r="Z5" s="13">
        <f>IFERROR('QTR P&amp;L'!Y6/'QTR P&amp;L'!Y2,"")</f>
        <v/>
      </c>
      <c r="AA5" s="13">
        <f>IFERROR('QTR P&amp;L'!Z6/'QTR P&amp;L'!Z2,"")</f>
        <v/>
      </c>
      <c r="AB5" s="13">
        <f>IFERROR('QTR P&amp;L'!AA6/'QTR P&amp;L'!AA2,"")</f>
        <v/>
      </c>
      <c r="AC5" s="13">
        <f>IFERROR('QTR P&amp;L'!AB6/'QTR P&amp;L'!AB2,"")</f>
        <v/>
      </c>
      <c r="AD5" s="13">
        <f>IFERROR('QTR P&amp;L'!AC6/'QTR P&amp;L'!AC2,"")</f>
        <v/>
      </c>
      <c r="AE5" s="13">
        <f>IFERROR('QTR P&amp;L'!AD6/'QTR P&amp;L'!AD2,"")</f>
        <v/>
      </c>
      <c r="AF5" s="13">
        <f>IFERROR('QTR P&amp;L'!AE6/'QTR P&amp;L'!AE2,"")</f>
        <v/>
      </c>
      <c r="AG5" s="13">
        <f>IFERROR('QTR P&amp;L'!AF6/'QTR P&amp;L'!AF2,"")</f>
        <v/>
      </c>
      <c r="AH5" s="13">
        <f>IFERROR('QTR P&amp;L'!AG6/'QTR P&amp;L'!AG2,"")</f>
        <v/>
      </c>
      <c r="AI5" s="14">
        <f>AH5</f>
        <v/>
      </c>
      <c r="AJ5" s="14">
        <f>AI5</f>
        <v/>
      </c>
      <c r="AK5" s="14">
        <f>AJ5</f>
        <v/>
      </c>
      <c r="AL5" s="14">
        <f>AK5</f>
        <v/>
      </c>
      <c r="AM5" s="14">
        <f>AL5</f>
        <v/>
      </c>
      <c r="AN5" s="14">
        <f>AM5</f>
        <v/>
      </c>
      <c r="AO5" s="14">
        <f>AN5</f>
        <v/>
      </c>
      <c r="AP5" s="14">
        <f>AO5</f>
        <v/>
      </c>
      <c r="AQ5" s="14">
        <f>AP5</f>
        <v/>
      </c>
      <c r="AR5" s="14">
        <f>AQ5</f>
        <v/>
      </c>
      <c r="AS5" s="14">
        <f>AR5</f>
        <v/>
      </c>
      <c r="AT5" s="14">
        <f>AS5</f>
        <v/>
      </c>
      <c r="AU5" s="14">
        <f>AT5</f>
        <v/>
      </c>
      <c r="AV5" s="14">
        <f>AU5</f>
        <v/>
      </c>
      <c r="AW5" s="14">
        <f>AV5</f>
        <v/>
      </c>
      <c r="AX5" s="14">
        <f>AW5</f>
        <v/>
      </c>
      <c r="AY5" s="14">
        <f>AX5</f>
        <v/>
      </c>
      <c r="AZ5" s="14">
        <f>AY5</f>
        <v/>
      </c>
      <c r="BA5" s="14">
        <f>AZ5</f>
        <v/>
      </c>
      <c r="BB5" s="14">
        <f>BA5</f>
        <v/>
      </c>
    </row>
    <row r="6">
      <c r="A6" s="3" t="inlineStr">
        <is>
          <t>General and Administrative — % of Revenue</t>
        </is>
      </c>
      <c r="C6" s="13">
        <f>IFERROR('QTR P&amp;L'!B7/'QTR P&amp;L'!B2,"")</f>
        <v/>
      </c>
      <c r="D6" s="13">
        <f>IFERROR('QTR P&amp;L'!C7/'QTR P&amp;L'!C2,"")</f>
        <v/>
      </c>
      <c r="E6" s="13">
        <f>IFERROR('QTR P&amp;L'!D7/'QTR P&amp;L'!D2,"")</f>
        <v/>
      </c>
      <c r="F6" s="13">
        <f>IFERROR('QTR P&amp;L'!E7/'QTR P&amp;L'!E2,"")</f>
        <v/>
      </c>
      <c r="G6" s="13">
        <f>IFERROR('QTR P&amp;L'!F7/'QTR P&amp;L'!F2,"")</f>
        <v/>
      </c>
      <c r="H6" s="13">
        <f>IFERROR('QTR P&amp;L'!G7/'QTR P&amp;L'!G2,"")</f>
        <v/>
      </c>
      <c r="I6" s="13">
        <f>IFERROR('QTR P&amp;L'!H7/'QTR P&amp;L'!H2,"")</f>
        <v/>
      </c>
      <c r="J6" s="13">
        <f>IFERROR('QTR P&amp;L'!I7/'QTR P&amp;L'!I2,"")</f>
        <v/>
      </c>
      <c r="K6" s="13">
        <f>IFERROR('QTR P&amp;L'!J7/'QTR P&amp;L'!J2,"")</f>
        <v/>
      </c>
      <c r="L6" s="13">
        <f>IFERROR('QTR P&amp;L'!K7/'QTR P&amp;L'!K2,"")</f>
        <v/>
      </c>
      <c r="M6" s="13">
        <f>IFERROR('QTR P&amp;L'!L7/'QTR P&amp;L'!L2,"")</f>
        <v/>
      </c>
      <c r="N6" s="13">
        <f>IFERROR('QTR P&amp;L'!M7/'QTR P&amp;L'!M2,"")</f>
        <v/>
      </c>
      <c r="O6" s="13">
        <f>IFERROR('QTR P&amp;L'!N7/'QTR P&amp;L'!N2,"")</f>
        <v/>
      </c>
      <c r="P6" s="13">
        <f>IFERROR('QTR P&amp;L'!O7/'QTR P&amp;L'!O2,"")</f>
        <v/>
      </c>
      <c r="Q6" s="13">
        <f>IFERROR('QTR P&amp;L'!P7/'QTR P&amp;L'!P2,"")</f>
        <v/>
      </c>
      <c r="R6" s="13">
        <f>IFERROR('QTR P&amp;L'!Q7/'QTR P&amp;L'!Q2,"")</f>
        <v/>
      </c>
      <c r="S6" s="13">
        <f>IFERROR('QTR P&amp;L'!R7/'QTR P&amp;L'!R2,"")</f>
        <v/>
      </c>
      <c r="T6" s="13">
        <f>IFERROR('QTR P&amp;L'!S7/'QTR P&amp;L'!S2,"")</f>
        <v/>
      </c>
      <c r="U6" s="13">
        <f>IFERROR('QTR P&amp;L'!T7/'QTR P&amp;L'!T2,"")</f>
        <v/>
      </c>
      <c r="V6" s="13">
        <f>IFERROR('QTR P&amp;L'!U7/'QTR P&amp;L'!U2,"")</f>
        <v/>
      </c>
      <c r="W6" s="13">
        <f>IFERROR('QTR P&amp;L'!V7/'QTR P&amp;L'!V2,"")</f>
        <v/>
      </c>
      <c r="X6" s="13">
        <f>IFERROR('QTR P&amp;L'!W7/'QTR P&amp;L'!W2,"")</f>
        <v/>
      </c>
      <c r="Y6" s="13">
        <f>IFERROR('QTR P&amp;L'!X7/'QTR P&amp;L'!X2,"")</f>
        <v/>
      </c>
      <c r="Z6" s="13">
        <f>IFERROR('QTR P&amp;L'!Y7/'QTR P&amp;L'!Y2,"")</f>
        <v/>
      </c>
      <c r="AA6" s="13">
        <f>IFERROR('QTR P&amp;L'!Z7/'QTR P&amp;L'!Z2,"")</f>
        <v/>
      </c>
      <c r="AB6" s="13">
        <f>IFERROR('QTR P&amp;L'!AA7/'QTR P&amp;L'!AA2,"")</f>
        <v/>
      </c>
      <c r="AC6" s="13">
        <f>IFERROR('QTR P&amp;L'!AB7/'QTR P&amp;L'!AB2,"")</f>
        <v/>
      </c>
      <c r="AD6" s="13">
        <f>IFERROR('QTR P&amp;L'!AC7/'QTR P&amp;L'!AC2,"")</f>
        <v/>
      </c>
      <c r="AE6" s="13">
        <f>IFERROR('QTR P&amp;L'!AD7/'QTR P&amp;L'!AD2,"")</f>
        <v/>
      </c>
      <c r="AF6" s="13">
        <f>IFERROR('QTR P&amp;L'!AE7/'QTR P&amp;L'!AE2,"")</f>
        <v/>
      </c>
      <c r="AG6" s="13">
        <f>IFERROR('QTR P&amp;L'!AF7/'QTR P&amp;L'!AF2,"")</f>
        <v/>
      </c>
      <c r="AH6" s="13">
        <f>IFERROR('QTR P&amp;L'!AG7/'QTR P&amp;L'!AG2,"")</f>
        <v/>
      </c>
      <c r="AI6" s="14">
        <f>AH6</f>
        <v/>
      </c>
      <c r="AJ6" s="14">
        <f>AI6</f>
        <v/>
      </c>
      <c r="AK6" s="14">
        <f>AJ6</f>
        <v/>
      </c>
      <c r="AL6" s="14">
        <f>AK6</f>
        <v/>
      </c>
      <c r="AM6" s="14">
        <f>AL6</f>
        <v/>
      </c>
      <c r="AN6" s="14">
        <f>AM6</f>
        <v/>
      </c>
      <c r="AO6" s="14">
        <f>AN6</f>
        <v/>
      </c>
      <c r="AP6" s="14">
        <f>AO6</f>
        <v/>
      </c>
      <c r="AQ6" s="14">
        <f>AP6</f>
        <v/>
      </c>
      <c r="AR6" s="14">
        <f>AQ6</f>
        <v/>
      </c>
      <c r="AS6" s="14">
        <f>AR6</f>
        <v/>
      </c>
      <c r="AT6" s="14">
        <f>AS6</f>
        <v/>
      </c>
      <c r="AU6" s="14">
        <f>AT6</f>
        <v/>
      </c>
      <c r="AV6" s="14">
        <f>AU6</f>
        <v/>
      </c>
      <c r="AW6" s="14">
        <f>AV6</f>
        <v/>
      </c>
      <c r="AX6" s="14">
        <f>AW6</f>
        <v/>
      </c>
      <c r="AY6" s="14">
        <f>AX6</f>
        <v/>
      </c>
      <c r="AZ6" s="14">
        <f>AY6</f>
        <v/>
      </c>
      <c r="BA6" s="14">
        <f>AZ6</f>
        <v/>
      </c>
      <c r="BB6" s="14">
        <f>BA6</f>
        <v/>
      </c>
    </row>
    <row r="7">
      <c r="A7" s="3" t="inlineStr">
        <is>
          <t>Litigation and Regulatory Charges — % of Revenue</t>
        </is>
      </c>
      <c r="C7" s="13">
        <f>IFERROR('QTR P&amp;L'!B8/'QTR P&amp;L'!B2,"")</f>
        <v/>
      </c>
      <c r="D7" s="13">
        <f>IFERROR('QTR P&amp;L'!C8/'QTR P&amp;L'!C2,"")</f>
        <v/>
      </c>
      <c r="E7" s="13">
        <f>IFERROR('QTR P&amp;L'!D8/'QTR P&amp;L'!D2,"")</f>
        <v/>
      </c>
      <c r="F7" s="13">
        <f>IFERROR('QTR P&amp;L'!E8/'QTR P&amp;L'!E2,"")</f>
        <v/>
      </c>
      <c r="G7" s="13">
        <f>IFERROR('QTR P&amp;L'!F8/'QTR P&amp;L'!F2,"")</f>
        <v/>
      </c>
      <c r="H7" s="13">
        <f>IFERROR('QTR P&amp;L'!G8/'QTR P&amp;L'!G2,"")</f>
        <v/>
      </c>
      <c r="I7" s="13">
        <f>IFERROR('QTR P&amp;L'!H8/'QTR P&amp;L'!H2,"")</f>
        <v/>
      </c>
      <c r="J7" s="13">
        <f>IFERROR('QTR P&amp;L'!I8/'QTR P&amp;L'!I2,"")</f>
        <v/>
      </c>
      <c r="K7" s="13">
        <f>IFERROR('QTR P&amp;L'!J8/'QTR P&amp;L'!J2,"")</f>
        <v/>
      </c>
      <c r="L7" s="13">
        <f>IFERROR('QTR P&amp;L'!K8/'QTR P&amp;L'!K2,"")</f>
        <v/>
      </c>
      <c r="M7" s="13">
        <f>IFERROR('QTR P&amp;L'!L8/'QTR P&amp;L'!L2,"")</f>
        <v/>
      </c>
      <c r="N7" s="13">
        <f>IFERROR('QTR P&amp;L'!M8/'QTR P&amp;L'!M2,"")</f>
        <v/>
      </c>
      <c r="O7" s="13">
        <f>IFERROR('QTR P&amp;L'!N8/'QTR P&amp;L'!N2,"")</f>
        <v/>
      </c>
      <c r="P7" s="13">
        <f>IFERROR('QTR P&amp;L'!O8/'QTR P&amp;L'!O2,"")</f>
        <v/>
      </c>
      <c r="Q7" s="13">
        <f>IFERROR('QTR P&amp;L'!P8/'QTR P&amp;L'!P2,"")</f>
        <v/>
      </c>
      <c r="R7" s="13">
        <f>IFERROR('QTR P&amp;L'!Q8/'QTR P&amp;L'!Q2,"")</f>
        <v/>
      </c>
      <c r="S7" s="13">
        <f>IFERROR('QTR P&amp;L'!R8/'QTR P&amp;L'!R2,"")</f>
        <v/>
      </c>
      <c r="T7" s="13">
        <f>IFERROR('QTR P&amp;L'!S8/'QTR P&amp;L'!S2,"")</f>
        <v/>
      </c>
      <c r="U7" s="13">
        <f>IFERROR('QTR P&amp;L'!T8/'QTR P&amp;L'!T2,"")</f>
        <v/>
      </c>
      <c r="V7" s="13">
        <f>IFERROR('QTR P&amp;L'!U8/'QTR P&amp;L'!U2,"")</f>
        <v/>
      </c>
      <c r="W7" s="13">
        <f>IFERROR('QTR P&amp;L'!V8/'QTR P&amp;L'!V2,"")</f>
        <v/>
      </c>
      <c r="X7" s="13">
        <f>IFERROR('QTR P&amp;L'!W8/'QTR P&amp;L'!W2,"")</f>
        <v/>
      </c>
      <c r="Y7" s="13">
        <f>IFERROR('QTR P&amp;L'!X8/'QTR P&amp;L'!X2,"")</f>
        <v/>
      </c>
      <c r="Z7" s="13">
        <f>IFERROR('QTR P&amp;L'!Y8/'QTR P&amp;L'!Y2,"")</f>
        <v/>
      </c>
      <c r="AA7" s="13">
        <f>IFERROR('QTR P&amp;L'!Z8/'QTR P&amp;L'!Z2,"")</f>
        <v/>
      </c>
      <c r="AB7" s="13">
        <f>IFERROR('QTR P&amp;L'!AA8/'QTR P&amp;L'!AA2,"")</f>
        <v/>
      </c>
      <c r="AC7" s="13">
        <f>IFERROR('QTR P&amp;L'!AB8/'QTR P&amp;L'!AB2,"")</f>
        <v/>
      </c>
      <c r="AD7" s="13">
        <f>IFERROR('QTR P&amp;L'!AC8/'QTR P&amp;L'!AC2,"")</f>
        <v/>
      </c>
      <c r="AE7" s="13">
        <f>IFERROR('QTR P&amp;L'!AD8/'QTR P&amp;L'!AD2,"")</f>
        <v/>
      </c>
      <c r="AF7" s="13">
        <f>IFERROR('QTR P&amp;L'!AE8/'QTR P&amp;L'!AE2,"")</f>
        <v/>
      </c>
      <c r="AG7" s="13">
        <f>IFERROR('QTR P&amp;L'!AF8/'QTR P&amp;L'!AF2,"")</f>
        <v/>
      </c>
      <c r="AH7" s="13">
        <f>IFERROR('QTR P&amp;L'!AG8/'QTR P&amp;L'!AG2,"")</f>
        <v/>
      </c>
      <c r="AI7" s="14">
        <f>AH7</f>
        <v/>
      </c>
      <c r="AJ7" s="14">
        <f>AI7</f>
        <v/>
      </c>
      <c r="AK7" s="14">
        <f>AJ7</f>
        <v/>
      </c>
      <c r="AL7" s="14">
        <f>AK7</f>
        <v/>
      </c>
      <c r="AM7" s="14">
        <f>AL7</f>
        <v/>
      </c>
      <c r="AN7" s="14">
        <f>AM7</f>
        <v/>
      </c>
      <c r="AO7" s="14">
        <f>AN7</f>
        <v/>
      </c>
      <c r="AP7" s="14">
        <f>AO7</f>
        <v/>
      </c>
      <c r="AQ7" s="14">
        <f>AP7</f>
        <v/>
      </c>
      <c r="AR7" s="14">
        <f>AQ7</f>
        <v/>
      </c>
      <c r="AS7" s="14">
        <f>AR7</f>
        <v/>
      </c>
      <c r="AT7" s="14">
        <f>AS7</f>
        <v/>
      </c>
      <c r="AU7" s="14">
        <f>AT7</f>
        <v/>
      </c>
      <c r="AV7" s="14">
        <f>AU7</f>
        <v/>
      </c>
      <c r="AW7" s="14">
        <f>AV7</f>
        <v/>
      </c>
      <c r="AX7" s="14">
        <f>AW7</f>
        <v/>
      </c>
      <c r="AY7" s="14">
        <f>AX7</f>
        <v/>
      </c>
      <c r="AZ7" s="14">
        <f>AY7</f>
        <v/>
      </c>
      <c r="BA7" s="14">
        <f>AZ7</f>
        <v/>
      </c>
      <c r="BB7" s="14">
        <f>BA7</f>
        <v/>
      </c>
    </row>
    <row r="8">
      <c r="A8" s="3" t="inlineStr">
        <is>
          <t>Other Income (Expense)</t>
        </is>
      </c>
      <c r="C8" s="4">
        <f>'QTR P&amp;L'!B10</f>
        <v/>
      </c>
      <c r="D8" s="4">
        <f>'QTR P&amp;L'!C10</f>
        <v/>
      </c>
      <c r="E8" s="4">
        <f>'QTR P&amp;L'!D10</f>
        <v/>
      </c>
      <c r="F8" s="4">
        <f>'QTR P&amp;L'!E10</f>
        <v/>
      </c>
      <c r="G8" s="4">
        <f>'QTR P&amp;L'!F10</f>
        <v/>
      </c>
      <c r="H8" s="4">
        <f>'QTR P&amp;L'!G10</f>
        <v/>
      </c>
      <c r="I8" s="4">
        <f>'QTR P&amp;L'!H10</f>
        <v/>
      </c>
      <c r="J8" s="4">
        <f>'QTR P&amp;L'!I10</f>
        <v/>
      </c>
      <c r="K8" s="4">
        <f>'QTR P&amp;L'!J10</f>
        <v/>
      </c>
      <c r="L8" s="4">
        <f>'QTR P&amp;L'!K10</f>
        <v/>
      </c>
      <c r="M8" s="4">
        <f>'QTR P&amp;L'!L10</f>
        <v/>
      </c>
      <c r="N8" s="4">
        <f>'QTR P&amp;L'!M10</f>
        <v/>
      </c>
      <c r="O8" s="4">
        <f>'QTR P&amp;L'!N10</f>
        <v/>
      </c>
      <c r="P8" s="4">
        <f>'QTR P&amp;L'!O10</f>
        <v/>
      </c>
      <c r="Q8" s="4">
        <f>'QTR P&amp;L'!P10</f>
        <v/>
      </c>
      <c r="R8" s="4">
        <f>'QTR P&amp;L'!Q10</f>
        <v/>
      </c>
      <c r="S8" s="4">
        <f>'QTR P&amp;L'!R10</f>
        <v/>
      </c>
      <c r="T8" s="4">
        <f>'QTR P&amp;L'!S10</f>
        <v/>
      </c>
      <c r="U8" s="4">
        <f>'QTR P&amp;L'!T10</f>
        <v/>
      </c>
      <c r="V8" s="4">
        <f>'QTR P&amp;L'!U10</f>
        <v/>
      </c>
      <c r="W8" s="4">
        <f>'QTR P&amp;L'!V10</f>
        <v/>
      </c>
      <c r="X8" s="4">
        <f>'QTR P&amp;L'!W10</f>
        <v/>
      </c>
      <c r="Y8" s="4">
        <f>'QTR P&amp;L'!X10</f>
        <v/>
      </c>
      <c r="Z8" s="4">
        <f>'QTR P&amp;L'!Y10</f>
        <v/>
      </c>
      <c r="AA8" s="4">
        <f>'QTR P&amp;L'!Z10</f>
        <v/>
      </c>
      <c r="AB8" s="4">
        <f>'QTR P&amp;L'!AA10</f>
        <v/>
      </c>
      <c r="AC8" s="4">
        <f>'QTR P&amp;L'!AB10</f>
        <v/>
      </c>
      <c r="AD8" s="4">
        <f>'QTR P&amp;L'!AC10</f>
        <v/>
      </c>
      <c r="AE8" s="4">
        <f>'QTR P&amp;L'!AD10</f>
        <v/>
      </c>
      <c r="AF8" s="4">
        <f>'QTR P&amp;L'!AE10</f>
        <v/>
      </c>
      <c r="AG8" s="4">
        <f>'QTR P&amp;L'!AF10</f>
        <v/>
      </c>
      <c r="AH8" s="4">
        <f>'QTR P&amp;L'!AG10</f>
        <v/>
      </c>
      <c r="AI8" s="15">
        <f>AH8</f>
        <v/>
      </c>
      <c r="AJ8" s="15">
        <f>AI8</f>
        <v/>
      </c>
      <c r="AK8" s="15">
        <f>AJ8</f>
        <v/>
      </c>
      <c r="AL8" s="15">
        <f>AK8</f>
        <v/>
      </c>
      <c r="AM8" s="15">
        <f>AL8</f>
        <v/>
      </c>
      <c r="AN8" s="15">
        <f>AM8</f>
        <v/>
      </c>
      <c r="AO8" s="15">
        <f>AN8</f>
        <v/>
      </c>
      <c r="AP8" s="15">
        <f>AO8</f>
        <v/>
      </c>
      <c r="AQ8" s="15">
        <f>AP8</f>
        <v/>
      </c>
      <c r="AR8" s="15">
        <f>AQ8</f>
        <v/>
      </c>
      <c r="AS8" s="15">
        <f>AR8</f>
        <v/>
      </c>
      <c r="AT8" s="15">
        <f>AS8</f>
        <v/>
      </c>
      <c r="AU8" s="15">
        <f>AT8</f>
        <v/>
      </c>
      <c r="AV8" s="15">
        <f>AU8</f>
        <v/>
      </c>
      <c r="AW8" s="15">
        <f>AV8</f>
        <v/>
      </c>
      <c r="AX8" s="15">
        <f>AW8</f>
        <v/>
      </c>
      <c r="AY8" s="15">
        <f>AX8</f>
        <v/>
      </c>
      <c r="AZ8" s="15">
        <f>AY8</f>
        <v/>
      </c>
      <c r="BA8" s="15">
        <f>AZ8</f>
        <v/>
      </c>
      <c r="BB8" s="15">
        <f>BA8</f>
        <v/>
      </c>
    </row>
    <row r="9">
      <c r="A9" s="3" t="inlineStr">
        <is>
          <t>Income Tax (Expense) Benefit — Effective Tax Rate %</t>
        </is>
      </c>
      <c r="C9" s="13">
        <f>IFERROR('QTR P&amp;L'!B12/'QTR P&amp;L'!B11,"")</f>
        <v/>
      </c>
      <c r="D9" s="13">
        <f>IFERROR('QTR P&amp;L'!C12/'QTR P&amp;L'!C11,"")</f>
        <v/>
      </c>
      <c r="E9" s="13">
        <f>IFERROR('QTR P&amp;L'!D12/'QTR P&amp;L'!D11,"")</f>
        <v/>
      </c>
      <c r="F9" s="13">
        <f>IFERROR('QTR P&amp;L'!E12/'QTR P&amp;L'!E11,"")</f>
        <v/>
      </c>
      <c r="G9" s="13">
        <f>IFERROR('QTR P&amp;L'!F12/'QTR P&amp;L'!F11,"")</f>
        <v/>
      </c>
      <c r="H9" s="13">
        <f>IFERROR('QTR P&amp;L'!G12/'QTR P&amp;L'!G11,"")</f>
        <v/>
      </c>
      <c r="I9" s="13">
        <f>IFERROR('QTR P&amp;L'!H12/'QTR P&amp;L'!H11,"")</f>
        <v/>
      </c>
      <c r="J9" s="13">
        <f>IFERROR('QTR P&amp;L'!I12/'QTR P&amp;L'!I11,"")</f>
        <v/>
      </c>
      <c r="K9" s="13">
        <f>IFERROR('QTR P&amp;L'!J12/'QTR P&amp;L'!J11,"")</f>
        <v/>
      </c>
      <c r="L9" s="13">
        <f>IFERROR('QTR P&amp;L'!K12/'QTR P&amp;L'!K11,"")</f>
        <v/>
      </c>
      <c r="M9" s="13">
        <f>IFERROR('QTR P&amp;L'!L12/'QTR P&amp;L'!L11,"")</f>
        <v/>
      </c>
      <c r="N9" s="13">
        <f>IFERROR('QTR P&amp;L'!M12/'QTR P&amp;L'!M11,"")</f>
        <v/>
      </c>
      <c r="O9" s="13">
        <f>IFERROR('QTR P&amp;L'!N12/'QTR P&amp;L'!N11,"")</f>
        <v/>
      </c>
      <c r="P9" s="13">
        <f>IFERROR('QTR P&amp;L'!O12/'QTR P&amp;L'!O11,"")</f>
        <v/>
      </c>
      <c r="Q9" s="13">
        <f>IFERROR('QTR P&amp;L'!P12/'QTR P&amp;L'!P11,"")</f>
        <v/>
      </c>
      <c r="R9" s="13">
        <f>IFERROR('QTR P&amp;L'!Q12/'QTR P&amp;L'!Q11,"")</f>
        <v/>
      </c>
      <c r="S9" s="13">
        <f>IFERROR('QTR P&amp;L'!R12/'QTR P&amp;L'!R11,"")</f>
        <v/>
      </c>
      <c r="T9" s="13">
        <f>IFERROR('QTR P&amp;L'!S12/'QTR P&amp;L'!S11,"")</f>
        <v/>
      </c>
      <c r="U9" s="13">
        <f>IFERROR('QTR P&amp;L'!T12/'QTR P&amp;L'!T11,"")</f>
        <v/>
      </c>
      <c r="V9" s="13">
        <f>IFERROR('QTR P&amp;L'!U12/'QTR P&amp;L'!U11,"")</f>
        <v/>
      </c>
      <c r="W9" s="13">
        <f>IFERROR('QTR P&amp;L'!V12/'QTR P&amp;L'!V11,"")</f>
        <v/>
      </c>
      <c r="X9" s="13">
        <f>IFERROR('QTR P&amp;L'!W12/'QTR P&amp;L'!W11,"")</f>
        <v/>
      </c>
      <c r="Y9" s="13">
        <f>IFERROR('QTR P&amp;L'!X12/'QTR P&amp;L'!X11,"")</f>
        <v/>
      </c>
      <c r="Z9" s="13">
        <f>IFERROR('QTR P&amp;L'!Y12/'QTR P&amp;L'!Y11,"")</f>
        <v/>
      </c>
      <c r="AA9" s="13">
        <f>IFERROR('QTR P&amp;L'!Z12/'QTR P&amp;L'!Z11,"")</f>
        <v/>
      </c>
      <c r="AB9" s="13">
        <f>IFERROR('QTR P&amp;L'!AA12/'QTR P&amp;L'!AA11,"")</f>
        <v/>
      </c>
      <c r="AC9" s="13">
        <f>IFERROR('QTR P&amp;L'!AB12/'QTR P&amp;L'!AB11,"")</f>
        <v/>
      </c>
      <c r="AD9" s="13">
        <f>IFERROR('QTR P&amp;L'!AC12/'QTR P&amp;L'!AC11,"")</f>
        <v/>
      </c>
      <c r="AE9" s="13">
        <f>IFERROR('QTR P&amp;L'!AD12/'QTR P&amp;L'!AD11,"")</f>
        <v/>
      </c>
      <c r="AF9" s="13">
        <f>IFERROR('QTR P&amp;L'!AE12/'QTR P&amp;L'!AE11,"")</f>
        <v/>
      </c>
      <c r="AG9" s="13">
        <f>IFERROR('QTR P&amp;L'!AF12/'QTR P&amp;L'!AF11,"")</f>
        <v/>
      </c>
      <c r="AH9" s="13">
        <f>IFERROR('QTR P&amp;L'!AG12/'QTR P&amp;L'!AG11,"")</f>
        <v/>
      </c>
      <c r="AI9" s="14">
        <f>AH9</f>
        <v/>
      </c>
      <c r="AJ9" s="14">
        <f>AI9</f>
        <v/>
      </c>
      <c r="AK9" s="14">
        <f>AJ9</f>
        <v/>
      </c>
      <c r="AL9" s="14">
        <f>AK9</f>
        <v/>
      </c>
      <c r="AM9" s="14">
        <f>AL9</f>
        <v/>
      </c>
      <c r="AN9" s="14">
        <f>AM9</f>
        <v/>
      </c>
      <c r="AO9" s="14">
        <f>AN9</f>
        <v/>
      </c>
      <c r="AP9" s="14">
        <f>AO9</f>
        <v/>
      </c>
      <c r="AQ9" s="14">
        <f>AP9</f>
        <v/>
      </c>
      <c r="AR9" s="14">
        <f>AQ9</f>
        <v/>
      </c>
      <c r="AS9" s="14">
        <f>AR9</f>
        <v/>
      </c>
      <c r="AT9" s="14">
        <f>AS9</f>
        <v/>
      </c>
      <c r="AU9" s="14">
        <f>AT9</f>
        <v/>
      </c>
      <c r="AV9" s="14">
        <f>AU9</f>
        <v/>
      </c>
      <c r="AW9" s="14">
        <f>AV9</f>
        <v/>
      </c>
      <c r="AX9" s="14">
        <f>AW9</f>
        <v/>
      </c>
      <c r="AY9" s="14">
        <f>AX9</f>
        <v/>
      </c>
      <c r="AZ9" s="14">
        <f>AY9</f>
        <v/>
      </c>
      <c r="BA9" s="14">
        <f>AZ9</f>
        <v/>
      </c>
      <c r="BB9" s="14">
        <f>BA9</f>
        <v/>
      </c>
    </row>
  </sheetData>
  <dataValidations count="1">
    <dataValidation sqref="B2" showDropDown="0" showInputMessage="0" showErrorMessage="0" allowBlank="0" errorTitle="Invalid basis" error="Basis must be YoY or QoQ" type="list">
      <formula1>"YoY,QoQ"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>
      <c r="A1" s="1" t="inlineStr">
        <is>
          <t>Driver</t>
        </is>
      </c>
      <c r="B1" s="2" t="inlineStr">
        <is>
          <t>Q4 FY2018</t>
        </is>
      </c>
      <c r="C1" s="2" t="inlineStr">
        <is>
          <t>Q1 FY2019</t>
        </is>
      </c>
      <c r="D1" s="2" t="inlineStr">
        <is>
          <t>Q2 FY2019</t>
        </is>
      </c>
      <c r="E1" s="2" t="inlineStr">
        <is>
          <t>Q3 FY2019</t>
        </is>
      </c>
      <c r="F1" s="2" t="inlineStr">
        <is>
          <t>Q4 FY2019</t>
        </is>
      </c>
      <c r="G1" s="2" t="inlineStr">
        <is>
          <t>Q1 FY2020</t>
        </is>
      </c>
      <c r="H1" s="2" t="inlineStr">
        <is>
          <t>Q2 FY2020</t>
        </is>
      </c>
      <c r="I1" s="2" t="inlineStr">
        <is>
          <t>Q3 FY2020</t>
        </is>
      </c>
      <c r="J1" s="2" t="inlineStr">
        <is>
          <t>Q4 FY2020</t>
        </is>
      </c>
      <c r="K1" s="2" t="inlineStr">
        <is>
          <t>Q1 FY2021</t>
        </is>
      </c>
      <c r="L1" s="2" t="inlineStr">
        <is>
          <t>Q2 FY2021</t>
        </is>
      </c>
      <c r="M1" s="2" t="inlineStr">
        <is>
          <t>Q3 FY2021</t>
        </is>
      </c>
      <c r="N1" s="2" t="inlineStr">
        <is>
          <t>Q4 FY2021</t>
        </is>
      </c>
      <c r="O1" s="2" t="inlineStr">
        <is>
          <t>Q1 FY2022</t>
        </is>
      </c>
      <c r="P1" s="2" t="inlineStr">
        <is>
          <t>Q2 FY2022</t>
        </is>
      </c>
      <c r="Q1" s="2" t="inlineStr">
        <is>
          <t>Q3 FY2022</t>
        </is>
      </c>
      <c r="R1" s="2" t="inlineStr">
        <is>
          <t>Q4 FY2022</t>
        </is>
      </c>
      <c r="S1" s="2" t="inlineStr">
        <is>
          <t>Q1 FY2023</t>
        </is>
      </c>
      <c r="T1" s="2" t="inlineStr">
        <is>
          <t>Q2 FY2023</t>
        </is>
      </c>
      <c r="U1" s="2" t="inlineStr">
        <is>
          <t>Q3 FY2023</t>
        </is>
      </c>
      <c r="V1" s="2" t="inlineStr">
        <is>
          <t>Q4 FY2023</t>
        </is>
      </c>
      <c r="W1" s="2" t="inlineStr">
        <is>
          <t>Q1 FY2024</t>
        </is>
      </c>
      <c r="X1" s="2" t="inlineStr">
        <is>
          <t>Q2 FY2024</t>
        </is>
      </c>
      <c r="Y1" s="2" t="inlineStr">
        <is>
          <t>Q3 FY2024</t>
        </is>
      </c>
      <c r="Z1" s="2" t="inlineStr">
        <is>
          <t>Q4 FY2024</t>
        </is>
      </c>
      <c r="AA1" s="2" t="inlineStr">
        <is>
          <t>Q1 FY2025</t>
        </is>
      </c>
      <c r="AB1" s="2" t="inlineStr">
        <is>
          <t>Q2 FY2025</t>
        </is>
      </c>
      <c r="AC1" s="2" t="inlineStr">
        <is>
          <t>Q3 FY2025</t>
        </is>
      </c>
      <c r="AD1" s="2" t="inlineStr">
        <is>
          <t>Q4 FY2025</t>
        </is>
      </c>
      <c r="AE1" s="2" t="inlineStr">
        <is>
          <t>Q1 FY2026E</t>
        </is>
      </c>
      <c r="AF1" s="2" t="inlineStr">
        <is>
          <t>Q2 FY2026E</t>
        </is>
      </c>
      <c r="AG1" s="2" t="inlineStr">
        <is>
          <t>Q3 FY2026E</t>
        </is>
      </c>
      <c r="AH1" s="2" t="inlineStr">
        <is>
          <t>Q4 FY2026E</t>
        </is>
      </c>
      <c r="AI1" s="2" t="inlineStr">
        <is>
          <t>Q1 FY2027E</t>
        </is>
      </c>
      <c r="AJ1" s="2" t="inlineStr">
        <is>
          <t>Q2 FY2027E</t>
        </is>
      </c>
      <c r="AK1" s="2" t="inlineStr">
        <is>
          <t>Q3 FY2027E</t>
        </is>
      </c>
      <c r="AL1" s="2" t="inlineStr">
        <is>
          <t>Q4 FY2027E</t>
        </is>
      </c>
      <c r="AM1" s="2" t="inlineStr">
        <is>
          <t>Q1 FY2028E</t>
        </is>
      </c>
      <c r="AN1" s="2" t="inlineStr">
        <is>
          <t>Q2 FY2028E</t>
        </is>
      </c>
      <c r="AO1" s="2" t="inlineStr">
        <is>
          <t>Q3 FY2028E</t>
        </is>
      </c>
      <c r="AP1" s="2" t="inlineStr">
        <is>
          <t>Q4 FY2028E</t>
        </is>
      </c>
      <c r="AQ1" s="2" t="inlineStr">
        <is>
          <t>Q1 FY2029E</t>
        </is>
      </c>
      <c r="AR1" s="2" t="inlineStr">
        <is>
          <t>Q2 FY2029E</t>
        </is>
      </c>
      <c r="AS1" s="2" t="inlineStr">
        <is>
          <t>Q3 FY2029E</t>
        </is>
      </c>
      <c r="AT1" s="2" t="inlineStr">
        <is>
          <t>Q4 FY2029E</t>
        </is>
      </c>
      <c r="AU1" s="2" t="inlineStr">
        <is>
          <t>Q1 FY2030E</t>
        </is>
      </c>
      <c r="AV1" s="2" t="inlineStr">
        <is>
          <t>Q2 FY2030E</t>
        </is>
      </c>
      <c r="AW1" s="2" t="inlineStr">
        <is>
          <t>Q3 FY2030E</t>
        </is>
      </c>
      <c r="AX1" s="2" t="inlineStr">
        <is>
          <t>Q4 FY2030E</t>
        </is>
      </c>
    </row>
    <row r="2">
      <c r="A2" s="3" t="inlineStr">
        <is>
          <t>Cash &amp; Cash Equivalents</t>
        </is>
      </c>
      <c r="B2" s="4">
        <f>'QTR BS'!B2</f>
        <v/>
      </c>
      <c r="C2" s="4">
        <f>'QTR BS'!C2</f>
        <v/>
      </c>
      <c r="D2" s="4">
        <f>'QTR BS'!D2</f>
        <v/>
      </c>
      <c r="E2" s="4">
        <f>'QTR BS'!E2</f>
        <v/>
      </c>
      <c r="F2" s="4">
        <f>'QTR BS'!F2</f>
        <v/>
      </c>
      <c r="G2" s="4">
        <f>'QTR BS'!G2</f>
        <v/>
      </c>
      <c r="H2" s="4">
        <f>'QTR BS'!H2</f>
        <v/>
      </c>
      <c r="I2" s="4">
        <f>'QTR BS'!I2</f>
        <v/>
      </c>
      <c r="J2" s="4">
        <f>'QTR BS'!J2</f>
        <v/>
      </c>
      <c r="K2" s="4">
        <f>'QTR BS'!K2</f>
        <v/>
      </c>
      <c r="L2" s="4">
        <f>'QTR BS'!L2</f>
        <v/>
      </c>
      <c r="M2" s="4">
        <f>'QTR BS'!M2</f>
        <v/>
      </c>
      <c r="N2" s="4">
        <f>'QTR BS'!N2</f>
        <v/>
      </c>
      <c r="O2" s="4">
        <f>'QTR BS'!O2</f>
        <v/>
      </c>
      <c r="P2" s="4">
        <f>'QTR BS'!P2</f>
        <v/>
      </c>
      <c r="Q2" s="4">
        <f>'QTR BS'!Q2</f>
        <v/>
      </c>
      <c r="R2" s="4">
        <f>'QTR BS'!R2</f>
        <v/>
      </c>
      <c r="S2" s="4">
        <f>'QTR BS'!S2</f>
        <v/>
      </c>
      <c r="T2" s="4">
        <f>'QTR BS'!T2</f>
        <v/>
      </c>
      <c r="U2" s="4">
        <f>'QTR BS'!U2</f>
        <v/>
      </c>
      <c r="V2" s="4">
        <f>'QTR BS'!V2</f>
        <v/>
      </c>
      <c r="W2" s="4">
        <f>'QTR BS'!W2</f>
        <v/>
      </c>
      <c r="X2" s="4">
        <f>'QTR BS'!X2</f>
        <v/>
      </c>
      <c r="Y2" s="4">
        <f>'QTR BS'!Y2</f>
        <v/>
      </c>
      <c r="Z2" s="4">
        <f>'QTR BS'!Z2</f>
        <v/>
      </c>
      <c r="AA2" s="4">
        <f>'QTR BS'!AA2</f>
        <v/>
      </c>
      <c r="AB2" s="4">
        <f>'QTR BS'!AB2</f>
        <v/>
      </c>
      <c r="AC2" s="4">
        <f>'QTR BS'!AC2</f>
        <v/>
      </c>
      <c r="AD2" s="4">
        <f>'QTR BS'!AD2</f>
        <v/>
      </c>
      <c r="AE2" s="4">
        <f>AD2+'QTR CF'!AH33</f>
        <v/>
      </c>
      <c r="AF2" s="4">
        <f>AE2+'QTR CF'!AI33</f>
        <v/>
      </c>
      <c r="AG2" s="4">
        <f>AF2+'QTR CF'!AJ33</f>
        <v/>
      </c>
      <c r="AH2" s="4">
        <f>AG2+'QTR CF'!AK33</f>
        <v/>
      </c>
      <c r="AI2" s="4">
        <f>AH2+'QTR CF'!AL33</f>
        <v/>
      </c>
      <c r="AJ2" s="4">
        <f>AI2+'QTR CF'!AM33</f>
        <v/>
      </c>
      <c r="AK2" s="4">
        <f>AJ2+'QTR CF'!AN33</f>
        <v/>
      </c>
      <c r="AL2" s="4">
        <f>AK2+'QTR CF'!AO33</f>
        <v/>
      </c>
      <c r="AM2" s="4">
        <f>AL2+'QTR CF'!AP33</f>
        <v/>
      </c>
      <c r="AN2" s="4">
        <f>AM2+'QTR CF'!AQ33</f>
        <v/>
      </c>
      <c r="AO2" s="4">
        <f>AN2+'QTR CF'!AR33</f>
        <v/>
      </c>
      <c r="AP2" s="4">
        <f>AO2+'QTR CF'!AS33</f>
        <v/>
      </c>
      <c r="AQ2" s="4">
        <f>AP2+'QTR CF'!AT33</f>
        <v/>
      </c>
      <c r="AR2" s="4">
        <f>AQ2+'QTR CF'!AU33</f>
        <v/>
      </c>
      <c r="AS2" s="4">
        <f>AR2+'QTR CF'!AV33</f>
        <v/>
      </c>
      <c r="AT2" s="4">
        <f>AS2+'QTR CF'!AW33</f>
        <v/>
      </c>
      <c r="AU2" s="4">
        <f>AT2+'QTR CF'!AX33</f>
        <v/>
      </c>
      <c r="AV2" s="4">
        <f>AU2+'QTR CF'!AY33</f>
        <v/>
      </c>
      <c r="AW2" s="4">
        <f>AV2+'QTR CF'!AZ33</f>
        <v/>
      </c>
      <c r="AX2" s="4">
        <f>AW2+'QTR CF'!BA33</f>
        <v/>
      </c>
    </row>
    <row r="3">
      <c r="A3" s="3" t="inlineStr">
        <is>
          <t>Short-Term Investments</t>
        </is>
      </c>
      <c r="B3" s="4">
        <f>'QTR BS'!B3</f>
        <v/>
      </c>
      <c r="C3" s="4">
        <f>'QTR BS'!C3</f>
        <v/>
      </c>
      <c r="D3" s="4">
        <f>'QTR BS'!D3</f>
        <v/>
      </c>
      <c r="E3" s="4">
        <f>'QTR BS'!E3</f>
        <v/>
      </c>
      <c r="F3" s="4">
        <f>'QTR BS'!F3</f>
        <v/>
      </c>
      <c r="G3" s="4">
        <f>'QTR BS'!G3</f>
        <v/>
      </c>
      <c r="H3" s="4">
        <f>'QTR BS'!H3</f>
        <v/>
      </c>
      <c r="I3" s="4">
        <f>'QTR BS'!I3</f>
        <v/>
      </c>
      <c r="J3" s="4">
        <f>'QTR BS'!J3</f>
        <v/>
      </c>
      <c r="K3" s="4">
        <f>'QTR BS'!K3</f>
        <v/>
      </c>
      <c r="L3" s="4">
        <f>'QTR BS'!L3</f>
        <v/>
      </c>
      <c r="M3" s="4">
        <f>'QTR BS'!M3</f>
        <v/>
      </c>
      <c r="N3" s="4">
        <f>'QTR BS'!N3</f>
        <v/>
      </c>
      <c r="O3" s="4">
        <f>'QTR BS'!O3</f>
        <v/>
      </c>
      <c r="P3" s="4">
        <f>'QTR BS'!P3</f>
        <v/>
      </c>
      <c r="Q3" s="4">
        <f>'QTR BS'!Q3</f>
        <v/>
      </c>
      <c r="R3" s="4">
        <f>'QTR BS'!R3</f>
        <v/>
      </c>
      <c r="S3" s="4">
        <f>'QTR BS'!S3</f>
        <v/>
      </c>
      <c r="T3" s="4">
        <f>'QTR BS'!T3</f>
        <v/>
      </c>
      <c r="U3" s="4">
        <f>'QTR BS'!U3</f>
        <v/>
      </c>
      <c r="V3" s="4">
        <f>'QTR BS'!V3</f>
        <v/>
      </c>
      <c r="W3" s="4">
        <f>'QTR BS'!W3</f>
        <v/>
      </c>
      <c r="X3" s="4">
        <f>'QTR BS'!X3</f>
        <v/>
      </c>
      <c r="Y3" s="4">
        <f>'QTR BS'!Y3</f>
        <v/>
      </c>
      <c r="Z3" s="4">
        <f>'QTR BS'!Z3</f>
        <v/>
      </c>
      <c r="AA3" s="4">
        <f>'QTR BS'!AA3</f>
        <v/>
      </c>
      <c r="AB3" s="4">
        <f>'QTR BS'!AB3</f>
        <v/>
      </c>
      <c r="AC3" s="4">
        <f>'QTR BS'!AC3</f>
        <v/>
      </c>
      <c r="AD3" s="4">
        <f>'QTR BS'!AD3</f>
        <v/>
      </c>
      <c r="AE3" s="15">
        <f>AD3</f>
        <v/>
      </c>
      <c r="AF3" s="15">
        <f>AE3</f>
        <v/>
      </c>
      <c r="AG3" s="15">
        <f>AF3</f>
        <v/>
      </c>
      <c r="AH3" s="15">
        <f>AG3</f>
        <v/>
      </c>
      <c r="AI3" s="15">
        <f>AH3</f>
        <v/>
      </c>
      <c r="AJ3" s="15">
        <f>AI3</f>
        <v/>
      </c>
      <c r="AK3" s="15">
        <f>AJ3</f>
        <v/>
      </c>
      <c r="AL3" s="15">
        <f>AK3</f>
        <v/>
      </c>
      <c r="AM3" s="15">
        <f>AL3</f>
        <v/>
      </c>
      <c r="AN3" s="15">
        <f>AM3</f>
        <v/>
      </c>
      <c r="AO3" s="15">
        <f>AN3</f>
        <v/>
      </c>
      <c r="AP3" s="15">
        <f>AO3</f>
        <v/>
      </c>
      <c r="AQ3" s="15">
        <f>AP3</f>
        <v/>
      </c>
      <c r="AR3" s="15">
        <f>AQ3</f>
        <v/>
      </c>
      <c r="AS3" s="15">
        <f>AR3</f>
        <v/>
      </c>
      <c r="AT3" s="15">
        <f>AS3</f>
        <v/>
      </c>
      <c r="AU3" s="15">
        <f>AT3</f>
        <v/>
      </c>
      <c r="AV3" s="15">
        <f>AU3</f>
        <v/>
      </c>
      <c r="AW3" s="15">
        <f>AV3</f>
        <v/>
      </c>
      <c r="AX3" s="15">
        <f>AW3</f>
        <v/>
      </c>
    </row>
    <row r="4">
      <c r="A4" s="3" t="inlineStr">
        <is>
          <t>Accounts Receivable — DSO (days)</t>
        </is>
      </c>
      <c r="B4" s="16">
        <f>IFERROR('QTR BS'!B4/'QTR P&amp;L'!E2*ASSUMPTIONS!$B$2,"")</f>
        <v/>
      </c>
      <c r="C4" s="16">
        <f>IFERROR('QTR BS'!C4/'QTR P&amp;L'!F2*ASSUMPTIONS!$B$2,"")</f>
        <v/>
      </c>
      <c r="D4" s="16">
        <f>IFERROR('QTR BS'!D4/'QTR P&amp;L'!G2*ASSUMPTIONS!$B$2,"")</f>
        <v/>
      </c>
      <c r="E4" s="16">
        <f>IFERROR('QTR BS'!E4/'QTR P&amp;L'!H2*ASSUMPTIONS!$B$2,"")</f>
        <v/>
      </c>
      <c r="F4" s="16">
        <f>IFERROR('QTR BS'!F4/'QTR P&amp;L'!I2*ASSUMPTIONS!$B$2,"")</f>
        <v/>
      </c>
      <c r="G4" s="16">
        <f>IFERROR('QTR BS'!G4/'QTR P&amp;L'!J2*ASSUMPTIONS!$B$2,"")</f>
        <v/>
      </c>
      <c r="H4" s="16">
        <f>IFERROR('QTR BS'!H4/'QTR P&amp;L'!K2*ASSUMPTIONS!$B$2,"")</f>
        <v/>
      </c>
      <c r="I4" s="16">
        <f>IFERROR('QTR BS'!I4/'QTR P&amp;L'!L2*ASSUMPTIONS!$B$2,"")</f>
        <v/>
      </c>
      <c r="J4" s="16">
        <f>IFERROR('QTR BS'!J4/'QTR P&amp;L'!M2*ASSUMPTIONS!$B$2,"")</f>
        <v/>
      </c>
      <c r="K4" s="16">
        <f>IFERROR('QTR BS'!K4/'QTR P&amp;L'!N2*ASSUMPTIONS!$B$2,"")</f>
        <v/>
      </c>
      <c r="L4" s="16">
        <f>IFERROR('QTR BS'!L4/'QTR P&amp;L'!O2*ASSUMPTIONS!$B$2,"")</f>
        <v/>
      </c>
      <c r="M4" s="16">
        <f>IFERROR('QTR BS'!M4/'QTR P&amp;L'!P2*ASSUMPTIONS!$B$2,"")</f>
        <v/>
      </c>
      <c r="N4" s="16">
        <f>IFERROR('QTR BS'!N4/'QTR P&amp;L'!Q2*ASSUMPTIONS!$B$2,"")</f>
        <v/>
      </c>
      <c r="O4" s="16">
        <f>IFERROR('QTR BS'!O4/'QTR P&amp;L'!R2*ASSUMPTIONS!$B$2,"")</f>
        <v/>
      </c>
      <c r="P4" s="16">
        <f>IFERROR('QTR BS'!P4/'QTR P&amp;L'!S2*ASSUMPTIONS!$B$2,"")</f>
        <v/>
      </c>
      <c r="Q4" s="16">
        <f>IFERROR('QTR BS'!Q4/'QTR P&amp;L'!T2*ASSUMPTIONS!$B$2,"")</f>
        <v/>
      </c>
      <c r="R4" s="16">
        <f>IFERROR('QTR BS'!R4/'QTR P&amp;L'!U2*ASSUMPTIONS!$B$2,"")</f>
        <v/>
      </c>
      <c r="S4" s="16">
        <f>IFERROR('QTR BS'!S4/'QTR P&amp;L'!V2*ASSUMPTIONS!$B$2,"")</f>
        <v/>
      </c>
      <c r="T4" s="16">
        <f>IFERROR('QTR BS'!T4/'QTR P&amp;L'!W2*ASSUMPTIONS!$B$2,"")</f>
        <v/>
      </c>
      <c r="U4" s="16">
        <f>IFERROR('QTR BS'!U4/'QTR P&amp;L'!X2*ASSUMPTIONS!$B$2,"")</f>
        <v/>
      </c>
      <c r="V4" s="16">
        <f>IFERROR('QTR BS'!V4/'QTR P&amp;L'!Y2*ASSUMPTIONS!$B$2,"")</f>
        <v/>
      </c>
      <c r="W4" s="16">
        <f>IFERROR('QTR BS'!W4/'QTR P&amp;L'!Z2*ASSUMPTIONS!$B$2,"")</f>
        <v/>
      </c>
      <c r="X4" s="16">
        <f>IFERROR('QTR BS'!X4/'QTR P&amp;L'!AA2*ASSUMPTIONS!$B$2,"")</f>
        <v/>
      </c>
      <c r="Y4" s="16">
        <f>IFERROR('QTR BS'!Y4/'QTR P&amp;L'!AB2*ASSUMPTIONS!$B$2,"")</f>
        <v/>
      </c>
      <c r="Z4" s="16">
        <f>IFERROR('QTR BS'!Z4/'QTR P&amp;L'!AC2*ASSUMPTIONS!$B$2,"")</f>
        <v/>
      </c>
      <c r="AA4" s="16">
        <f>IFERROR('QTR BS'!AA4/'QTR P&amp;L'!AD2*ASSUMPTIONS!$B$2,"")</f>
        <v/>
      </c>
      <c r="AB4" s="16">
        <f>IFERROR('QTR BS'!AB4/'QTR P&amp;L'!AE2*ASSUMPTIONS!$B$2,"")</f>
        <v/>
      </c>
      <c r="AC4" s="16">
        <f>IFERROR('QTR BS'!AC4/'QTR P&amp;L'!AF2*ASSUMPTIONS!$B$2,"")</f>
        <v/>
      </c>
      <c r="AD4" s="16">
        <f>IFERROR('QTR BS'!AD4/'QTR P&amp;L'!AG2*ASSUMPTIONS!$B$2,"")</f>
        <v/>
      </c>
      <c r="AE4" s="17">
        <f>AD4</f>
        <v/>
      </c>
      <c r="AF4" s="17">
        <f>AE4</f>
        <v/>
      </c>
      <c r="AG4" s="17">
        <f>AF4</f>
        <v/>
      </c>
      <c r="AH4" s="17">
        <f>AG4</f>
        <v/>
      </c>
      <c r="AI4" s="17">
        <f>AH4</f>
        <v/>
      </c>
      <c r="AJ4" s="17">
        <f>AI4</f>
        <v/>
      </c>
      <c r="AK4" s="17">
        <f>AJ4</f>
        <v/>
      </c>
      <c r="AL4" s="17">
        <f>AK4</f>
        <v/>
      </c>
      <c r="AM4" s="17">
        <f>AL4</f>
        <v/>
      </c>
      <c r="AN4" s="17">
        <f>AM4</f>
        <v/>
      </c>
      <c r="AO4" s="17">
        <f>AN4</f>
        <v/>
      </c>
      <c r="AP4" s="17">
        <f>AO4</f>
        <v/>
      </c>
      <c r="AQ4" s="17">
        <f>AP4</f>
        <v/>
      </c>
      <c r="AR4" s="17">
        <f>AQ4</f>
        <v/>
      </c>
      <c r="AS4" s="17">
        <f>AR4</f>
        <v/>
      </c>
      <c r="AT4" s="17">
        <f>AS4</f>
        <v/>
      </c>
      <c r="AU4" s="17">
        <f>AT4</f>
        <v/>
      </c>
      <c r="AV4" s="17">
        <f>AU4</f>
        <v/>
      </c>
      <c r="AW4" s="17">
        <f>AV4</f>
        <v/>
      </c>
      <c r="AX4" s="17">
        <f>AW4</f>
        <v/>
      </c>
    </row>
    <row r="5">
      <c r="A5" s="3" t="inlineStr">
        <is>
          <t>Note Receivable - Current — DSO (days)</t>
        </is>
      </c>
      <c r="B5" s="16">
        <f>IFERROR('QTR BS'!B5/'QTR P&amp;L'!E2*ASSUMPTIONS!$B$2,"")</f>
        <v/>
      </c>
      <c r="C5" s="16">
        <f>IFERROR('QTR BS'!C5/'QTR P&amp;L'!F2*ASSUMPTIONS!$B$2,"")</f>
        <v/>
      </c>
      <c r="D5" s="16">
        <f>IFERROR('QTR BS'!D5/'QTR P&amp;L'!G2*ASSUMPTIONS!$B$2,"")</f>
        <v/>
      </c>
      <c r="E5" s="16">
        <f>IFERROR('QTR BS'!E5/'QTR P&amp;L'!H2*ASSUMPTIONS!$B$2,"")</f>
        <v/>
      </c>
      <c r="F5" s="16">
        <f>IFERROR('QTR BS'!F5/'QTR P&amp;L'!I2*ASSUMPTIONS!$B$2,"")</f>
        <v/>
      </c>
      <c r="G5" s="16">
        <f>IFERROR('QTR BS'!G5/'QTR P&amp;L'!J2*ASSUMPTIONS!$B$2,"")</f>
        <v/>
      </c>
      <c r="H5" s="16">
        <f>IFERROR('QTR BS'!H5/'QTR P&amp;L'!K2*ASSUMPTIONS!$B$2,"")</f>
        <v/>
      </c>
      <c r="I5" s="16">
        <f>IFERROR('QTR BS'!I5/'QTR P&amp;L'!L2*ASSUMPTIONS!$B$2,"")</f>
        <v/>
      </c>
      <c r="J5" s="16">
        <f>IFERROR('QTR BS'!J5/'QTR P&amp;L'!M2*ASSUMPTIONS!$B$2,"")</f>
        <v/>
      </c>
      <c r="K5" s="16">
        <f>IFERROR('QTR BS'!K5/'QTR P&amp;L'!N2*ASSUMPTIONS!$B$2,"")</f>
        <v/>
      </c>
      <c r="L5" s="16">
        <f>IFERROR('QTR BS'!L5/'QTR P&amp;L'!O2*ASSUMPTIONS!$B$2,"")</f>
        <v/>
      </c>
      <c r="M5" s="16">
        <f>IFERROR('QTR BS'!M5/'QTR P&amp;L'!P2*ASSUMPTIONS!$B$2,"")</f>
        <v/>
      </c>
      <c r="N5" s="16">
        <f>IFERROR('QTR BS'!N5/'QTR P&amp;L'!Q2*ASSUMPTIONS!$B$2,"")</f>
        <v/>
      </c>
      <c r="O5" s="16">
        <f>IFERROR('QTR BS'!O5/'QTR P&amp;L'!R2*ASSUMPTIONS!$B$2,"")</f>
        <v/>
      </c>
      <c r="P5" s="16">
        <f>IFERROR('QTR BS'!P5/'QTR P&amp;L'!S2*ASSUMPTIONS!$B$2,"")</f>
        <v/>
      </c>
      <c r="Q5" s="16">
        <f>IFERROR('QTR BS'!Q5/'QTR P&amp;L'!T2*ASSUMPTIONS!$B$2,"")</f>
        <v/>
      </c>
      <c r="R5" s="16">
        <f>IFERROR('QTR BS'!R5/'QTR P&amp;L'!U2*ASSUMPTIONS!$B$2,"")</f>
        <v/>
      </c>
      <c r="S5" s="16">
        <f>IFERROR('QTR BS'!S5/'QTR P&amp;L'!V2*ASSUMPTIONS!$B$2,"")</f>
        <v/>
      </c>
      <c r="T5" s="16">
        <f>IFERROR('QTR BS'!T5/'QTR P&amp;L'!W2*ASSUMPTIONS!$B$2,"")</f>
        <v/>
      </c>
      <c r="U5" s="16">
        <f>IFERROR('QTR BS'!U5/'QTR P&amp;L'!X2*ASSUMPTIONS!$B$2,"")</f>
        <v/>
      </c>
      <c r="V5" s="16">
        <f>IFERROR('QTR BS'!V5/'QTR P&amp;L'!Y2*ASSUMPTIONS!$B$2,"")</f>
        <v/>
      </c>
      <c r="W5" s="16">
        <f>IFERROR('QTR BS'!W5/'QTR P&amp;L'!Z2*ASSUMPTIONS!$B$2,"")</f>
        <v/>
      </c>
      <c r="X5" s="16">
        <f>IFERROR('QTR BS'!X5/'QTR P&amp;L'!AA2*ASSUMPTIONS!$B$2,"")</f>
        <v/>
      </c>
      <c r="Y5" s="16">
        <f>IFERROR('QTR BS'!Y5/'QTR P&amp;L'!AB2*ASSUMPTIONS!$B$2,"")</f>
        <v/>
      </c>
      <c r="Z5" s="16">
        <f>IFERROR('QTR BS'!Z5/'QTR P&amp;L'!AC2*ASSUMPTIONS!$B$2,"")</f>
        <v/>
      </c>
      <c r="AA5" s="16">
        <f>IFERROR('QTR BS'!AA5/'QTR P&amp;L'!AD2*ASSUMPTIONS!$B$2,"")</f>
        <v/>
      </c>
      <c r="AB5" s="16">
        <f>IFERROR('QTR BS'!AB5/'QTR P&amp;L'!AE2*ASSUMPTIONS!$B$2,"")</f>
        <v/>
      </c>
      <c r="AC5" s="16">
        <f>IFERROR('QTR BS'!AC5/'QTR P&amp;L'!AF2*ASSUMPTIONS!$B$2,"")</f>
        <v/>
      </c>
      <c r="AD5" s="16">
        <f>IFERROR('QTR BS'!AD5/'QTR P&amp;L'!AG2*ASSUMPTIONS!$B$2,"")</f>
        <v/>
      </c>
      <c r="AE5" s="17">
        <f>AD5</f>
        <v/>
      </c>
      <c r="AF5" s="17">
        <f>AE5</f>
        <v/>
      </c>
      <c r="AG5" s="17">
        <f>AF5</f>
        <v/>
      </c>
      <c r="AH5" s="17">
        <f>AG5</f>
        <v/>
      </c>
      <c r="AI5" s="17">
        <f>AH5</f>
        <v/>
      </c>
      <c r="AJ5" s="17">
        <f>AI5</f>
        <v/>
      </c>
      <c r="AK5" s="17">
        <f>AJ5</f>
        <v/>
      </c>
      <c r="AL5" s="17">
        <f>AK5</f>
        <v/>
      </c>
      <c r="AM5" s="17">
        <f>AL5</f>
        <v/>
      </c>
      <c r="AN5" s="17">
        <f>AM5</f>
        <v/>
      </c>
      <c r="AO5" s="17">
        <f>AN5</f>
        <v/>
      </c>
      <c r="AP5" s="17">
        <f>AO5</f>
        <v/>
      </c>
      <c r="AQ5" s="17">
        <f>AP5</f>
        <v/>
      </c>
      <c r="AR5" s="17">
        <f>AQ5</f>
        <v/>
      </c>
      <c r="AS5" s="17">
        <f>AR5</f>
        <v/>
      </c>
      <c r="AT5" s="17">
        <f>AS5</f>
        <v/>
      </c>
      <c r="AU5" s="17">
        <f>AT5</f>
        <v/>
      </c>
      <c r="AV5" s="17">
        <f>AU5</f>
        <v/>
      </c>
      <c r="AW5" s="17">
        <f>AV5</f>
        <v/>
      </c>
      <c r="AX5" s="17">
        <f>AW5</f>
        <v/>
      </c>
    </row>
    <row r="6">
      <c r="A6" s="3" t="inlineStr">
        <is>
          <t>Inventories — DIO (days)</t>
        </is>
      </c>
      <c r="B6" s="16">
        <f>IFERROR('QTR BS'!B6/'QTR P&amp;L'!E3*ASSUMPTIONS!$B$2,"")</f>
        <v/>
      </c>
      <c r="C6" s="16">
        <f>IFERROR('QTR BS'!C6/'QTR P&amp;L'!F3*ASSUMPTIONS!$B$2,"")</f>
        <v/>
      </c>
      <c r="D6" s="16">
        <f>IFERROR('QTR BS'!D6/'QTR P&amp;L'!G3*ASSUMPTIONS!$B$2,"")</f>
        <v/>
      </c>
      <c r="E6" s="16">
        <f>IFERROR('QTR BS'!E6/'QTR P&amp;L'!H3*ASSUMPTIONS!$B$2,"")</f>
        <v/>
      </c>
      <c r="F6" s="16">
        <f>IFERROR('QTR BS'!F6/'QTR P&amp;L'!I3*ASSUMPTIONS!$B$2,"")</f>
        <v/>
      </c>
      <c r="G6" s="16">
        <f>IFERROR('QTR BS'!G6/'QTR P&amp;L'!J3*ASSUMPTIONS!$B$2,"")</f>
        <v/>
      </c>
      <c r="H6" s="16">
        <f>IFERROR('QTR BS'!H6/'QTR P&amp;L'!K3*ASSUMPTIONS!$B$2,"")</f>
        <v/>
      </c>
      <c r="I6" s="16">
        <f>IFERROR('QTR BS'!I6/'QTR P&amp;L'!L3*ASSUMPTIONS!$B$2,"")</f>
        <v/>
      </c>
      <c r="J6" s="16">
        <f>IFERROR('QTR BS'!J6/'QTR P&amp;L'!M3*ASSUMPTIONS!$B$2,"")</f>
        <v/>
      </c>
      <c r="K6" s="16">
        <f>IFERROR('QTR BS'!K6/'QTR P&amp;L'!N3*ASSUMPTIONS!$B$2,"")</f>
        <v/>
      </c>
      <c r="L6" s="16">
        <f>IFERROR('QTR BS'!L6/'QTR P&amp;L'!O3*ASSUMPTIONS!$B$2,"")</f>
        <v/>
      </c>
      <c r="M6" s="16">
        <f>IFERROR('QTR BS'!M6/'QTR P&amp;L'!P3*ASSUMPTIONS!$B$2,"")</f>
        <v/>
      </c>
      <c r="N6" s="16">
        <f>IFERROR('QTR BS'!N6/'QTR P&amp;L'!Q3*ASSUMPTIONS!$B$2,"")</f>
        <v/>
      </c>
      <c r="O6" s="16">
        <f>IFERROR('QTR BS'!O6/'QTR P&amp;L'!R3*ASSUMPTIONS!$B$2,"")</f>
        <v/>
      </c>
      <c r="P6" s="16">
        <f>IFERROR('QTR BS'!P6/'QTR P&amp;L'!S3*ASSUMPTIONS!$B$2,"")</f>
        <v/>
      </c>
      <c r="Q6" s="16">
        <f>IFERROR('QTR BS'!Q6/'QTR P&amp;L'!T3*ASSUMPTIONS!$B$2,"")</f>
        <v/>
      </c>
      <c r="R6" s="16">
        <f>IFERROR('QTR BS'!R6/'QTR P&amp;L'!U3*ASSUMPTIONS!$B$2,"")</f>
        <v/>
      </c>
      <c r="S6" s="16">
        <f>IFERROR('QTR BS'!S6/'QTR P&amp;L'!V3*ASSUMPTIONS!$B$2,"")</f>
        <v/>
      </c>
      <c r="T6" s="16">
        <f>IFERROR('QTR BS'!T6/'QTR P&amp;L'!W3*ASSUMPTIONS!$B$2,"")</f>
        <v/>
      </c>
      <c r="U6" s="16">
        <f>IFERROR('QTR BS'!U6/'QTR P&amp;L'!X3*ASSUMPTIONS!$B$2,"")</f>
        <v/>
      </c>
      <c r="V6" s="16">
        <f>IFERROR('QTR BS'!V6/'QTR P&amp;L'!Y3*ASSUMPTIONS!$B$2,"")</f>
        <v/>
      </c>
      <c r="W6" s="16">
        <f>IFERROR('QTR BS'!W6/'QTR P&amp;L'!Z3*ASSUMPTIONS!$B$2,"")</f>
        <v/>
      </c>
      <c r="X6" s="16">
        <f>IFERROR('QTR BS'!X6/'QTR P&amp;L'!AA3*ASSUMPTIONS!$B$2,"")</f>
        <v/>
      </c>
      <c r="Y6" s="16">
        <f>IFERROR('QTR BS'!Y6/'QTR P&amp;L'!AB3*ASSUMPTIONS!$B$2,"")</f>
        <v/>
      </c>
      <c r="Z6" s="16">
        <f>IFERROR('QTR BS'!Z6/'QTR P&amp;L'!AC3*ASSUMPTIONS!$B$2,"")</f>
        <v/>
      </c>
      <c r="AA6" s="16">
        <f>IFERROR('QTR BS'!AA6/'QTR P&amp;L'!AD3*ASSUMPTIONS!$B$2,"")</f>
        <v/>
      </c>
      <c r="AB6" s="16">
        <f>IFERROR('QTR BS'!AB6/'QTR P&amp;L'!AE3*ASSUMPTIONS!$B$2,"")</f>
        <v/>
      </c>
      <c r="AC6" s="16">
        <f>IFERROR('QTR BS'!AC6/'QTR P&amp;L'!AF3*ASSUMPTIONS!$B$2,"")</f>
        <v/>
      </c>
      <c r="AD6" s="16">
        <f>IFERROR('QTR BS'!AD6/'QTR P&amp;L'!AG3*ASSUMPTIONS!$B$2,"")</f>
        <v/>
      </c>
      <c r="AE6" s="17">
        <f>AD6</f>
        <v/>
      </c>
      <c r="AF6" s="17">
        <f>AE6</f>
        <v/>
      </c>
      <c r="AG6" s="17">
        <f>AF6</f>
        <v/>
      </c>
      <c r="AH6" s="17">
        <f>AG6</f>
        <v/>
      </c>
      <c r="AI6" s="17">
        <f>AH6</f>
        <v/>
      </c>
      <c r="AJ6" s="17">
        <f>AI6</f>
        <v/>
      </c>
      <c r="AK6" s="17">
        <f>AJ6</f>
        <v/>
      </c>
      <c r="AL6" s="17">
        <f>AK6</f>
        <v/>
      </c>
      <c r="AM6" s="17">
        <f>AL6</f>
        <v/>
      </c>
      <c r="AN6" s="17">
        <f>AM6</f>
        <v/>
      </c>
      <c r="AO6" s="17">
        <f>AN6</f>
        <v/>
      </c>
      <c r="AP6" s="17">
        <f>AO6</f>
        <v/>
      </c>
      <c r="AQ6" s="17">
        <f>AP6</f>
        <v/>
      </c>
      <c r="AR6" s="17">
        <f>AQ6</f>
        <v/>
      </c>
      <c r="AS6" s="17">
        <f>AR6</f>
        <v/>
      </c>
      <c r="AT6" s="17">
        <f>AS6</f>
        <v/>
      </c>
      <c r="AU6" s="17">
        <f>AT6</f>
        <v/>
      </c>
      <c r="AV6" s="17">
        <f>AU6</f>
        <v/>
      </c>
      <c r="AW6" s="17">
        <f>AV6</f>
        <v/>
      </c>
      <c r="AX6" s="17">
        <f>AW6</f>
        <v/>
      </c>
    </row>
    <row r="7">
      <c r="A7" s="3" t="inlineStr">
        <is>
          <t>Other Current Assets — % of Revenue</t>
        </is>
      </c>
      <c r="B7" s="13">
        <f>IFERROR('QTR BS'!B7/'QTR P&amp;L'!E2,"")</f>
        <v/>
      </c>
      <c r="C7" s="13">
        <f>IFERROR('QTR BS'!C7/'QTR P&amp;L'!F2,"")</f>
        <v/>
      </c>
      <c r="D7" s="13">
        <f>IFERROR('QTR BS'!D7/'QTR P&amp;L'!G2,"")</f>
        <v/>
      </c>
      <c r="E7" s="13">
        <f>IFERROR('QTR BS'!E7/'QTR P&amp;L'!H2,"")</f>
        <v/>
      </c>
      <c r="F7" s="13">
        <f>IFERROR('QTR BS'!F7/'QTR P&amp;L'!I2,"")</f>
        <v/>
      </c>
      <c r="G7" s="13">
        <f>IFERROR('QTR BS'!G7/'QTR P&amp;L'!J2,"")</f>
        <v/>
      </c>
      <c r="H7" s="13">
        <f>IFERROR('QTR BS'!H7/'QTR P&amp;L'!K2,"")</f>
        <v/>
      </c>
      <c r="I7" s="13">
        <f>IFERROR('QTR BS'!I7/'QTR P&amp;L'!L2,"")</f>
        <v/>
      </c>
      <c r="J7" s="13">
        <f>IFERROR('QTR BS'!J7/'QTR P&amp;L'!M2,"")</f>
        <v/>
      </c>
      <c r="K7" s="13">
        <f>IFERROR('QTR BS'!K7/'QTR P&amp;L'!N2,"")</f>
        <v/>
      </c>
      <c r="L7" s="13">
        <f>IFERROR('QTR BS'!L7/'QTR P&amp;L'!O2,"")</f>
        <v/>
      </c>
      <c r="M7" s="13">
        <f>IFERROR('QTR BS'!M7/'QTR P&amp;L'!P2,"")</f>
        <v/>
      </c>
      <c r="N7" s="13">
        <f>IFERROR('QTR BS'!N7/'QTR P&amp;L'!Q2,"")</f>
        <v/>
      </c>
      <c r="O7" s="13">
        <f>IFERROR('QTR BS'!O7/'QTR P&amp;L'!R2,"")</f>
        <v/>
      </c>
      <c r="P7" s="13">
        <f>IFERROR('QTR BS'!P7/'QTR P&amp;L'!S2,"")</f>
        <v/>
      </c>
      <c r="Q7" s="13">
        <f>IFERROR('QTR BS'!Q7/'QTR P&amp;L'!T2,"")</f>
        <v/>
      </c>
      <c r="R7" s="13">
        <f>IFERROR('QTR BS'!R7/'QTR P&amp;L'!U2,"")</f>
        <v/>
      </c>
      <c r="S7" s="13">
        <f>IFERROR('QTR BS'!S7/'QTR P&amp;L'!V2,"")</f>
        <v/>
      </c>
      <c r="T7" s="13">
        <f>IFERROR('QTR BS'!T7/'QTR P&amp;L'!W2,"")</f>
        <v/>
      </c>
      <c r="U7" s="13">
        <f>IFERROR('QTR BS'!U7/'QTR P&amp;L'!X2,"")</f>
        <v/>
      </c>
      <c r="V7" s="13">
        <f>IFERROR('QTR BS'!V7/'QTR P&amp;L'!Y2,"")</f>
        <v/>
      </c>
      <c r="W7" s="13">
        <f>IFERROR('QTR BS'!W7/'QTR P&amp;L'!Z2,"")</f>
        <v/>
      </c>
      <c r="X7" s="13">
        <f>IFERROR('QTR BS'!X7/'QTR P&amp;L'!AA2,"")</f>
        <v/>
      </c>
      <c r="Y7" s="13">
        <f>IFERROR('QTR BS'!Y7/'QTR P&amp;L'!AB2,"")</f>
        <v/>
      </c>
      <c r="Z7" s="13">
        <f>IFERROR('QTR BS'!Z7/'QTR P&amp;L'!AC2,"")</f>
        <v/>
      </c>
      <c r="AA7" s="13">
        <f>IFERROR('QTR BS'!AA7/'QTR P&amp;L'!AD2,"")</f>
        <v/>
      </c>
      <c r="AB7" s="13">
        <f>IFERROR('QTR BS'!AB7/'QTR P&amp;L'!AE2,"")</f>
        <v/>
      </c>
      <c r="AC7" s="13">
        <f>IFERROR('QTR BS'!AC7/'QTR P&amp;L'!AF2,"")</f>
        <v/>
      </c>
      <c r="AD7" s="13">
        <f>IFERROR('QTR BS'!AD7/'QTR P&amp;L'!AG2,"")</f>
        <v/>
      </c>
      <c r="AE7" s="14">
        <f>AD7</f>
        <v/>
      </c>
      <c r="AF7" s="14">
        <f>AE7</f>
        <v/>
      </c>
      <c r="AG7" s="14">
        <f>AF7</f>
        <v/>
      </c>
      <c r="AH7" s="14">
        <f>AG7</f>
        <v/>
      </c>
      <c r="AI7" s="14">
        <f>AH7</f>
        <v/>
      </c>
      <c r="AJ7" s="14">
        <f>AI7</f>
        <v/>
      </c>
      <c r="AK7" s="14">
        <f>AJ7</f>
        <v/>
      </c>
      <c r="AL7" s="14">
        <f>AK7</f>
        <v/>
      </c>
      <c r="AM7" s="14">
        <f>AL7</f>
        <v/>
      </c>
      <c r="AN7" s="14">
        <f>AM7</f>
        <v/>
      </c>
      <c r="AO7" s="14">
        <f>AN7</f>
        <v/>
      </c>
      <c r="AP7" s="14">
        <f>AO7</f>
        <v/>
      </c>
      <c r="AQ7" s="14">
        <f>AP7</f>
        <v/>
      </c>
      <c r="AR7" s="14">
        <f>AQ7</f>
        <v/>
      </c>
      <c r="AS7" s="14">
        <f>AR7</f>
        <v/>
      </c>
      <c r="AT7" s="14">
        <f>AS7</f>
        <v/>
      </c>
      <c r="AU7" s="14">
        <f>AT7</f>
        <v/>
      </c>
      <c r="AV7" s="14">
        <f>AU7</f>
        <v/>
      </c>
      <c r="AW7" s="14">
        <f>AV7</f>
        <v/>
      </c>
      <c r="AX7" s="14">
        <f>AW7</f>
        <v/>
      </c>
    </row>
    <row r="8">
      <c r="A8" s="3" t="inlineStr">
        <is>
          <t>Long-Term Investments — % of Revenue</t>
        </is>
      </c>
      <c r="B8" s="13">
        <f>IFERROR('QTR BS'!B9/'QTR P&amp;L'!E2,"")</f>
        <v/>
      </c>
      <c r="C8" s="13">
        <f>IFERROR('QTR BS'!C9/'QTR P&amp;L'!F2,"")</f>
        <v/>
      </c>
      <c r="D8" s="13">
        <f>IFERROR('QTR BS'!D9/'QTR P&amp;L'!G2,"")</f>
        <v/>
      </c>
      <c r="E8" s="13">
        <f>IFERROR('QTR BS'!E9/'QTR P&amp;L'!H2,"")</f>
        <v/>
      </c>
      <c r="F8" s="13">
        <f>IFERROR('QTR BS'!F9/'QTR P&amp;L'!I2,"")</f>
        <v/>
      </c>
      <c r="G8" s="13">
        <f>IFERROR('QTR BS'!G9/'QTR P&amp;L'!J2,"")</f>
        <v/>
      </c>
      <c r="H8" s="13">
        <f>IFERROR('QTR BS'!H9/'QTR P&amp;L'!K2,"")</f>
        <v/>
      </c>
      <c r="I8" s="13">
        <f>IFERROR('QTR BS'!I9/'QTR P&amp;L'!L2,"")</f>
        <v/>
      </c>
      <c r="J8" s="13">
        <f>IFERROR('QTR BS'!J9/'QTR P&amp;L'!M2,"")</f>
        <v/>
      </c>
      <c r="K8" s="13">
        <f>IFERROR('QTR BS'!K9/'QTR P&amp;L'!N2,"")</f>
        <v/>
      </c>
      <c r="L8" s="13">
        <f>IFERROR('QTR BS'!L9/'QTR P&amp;L'!O2,"")</f>
        <v/>
      </c>
      <c r="M8" s="13">
        <f>IFERROR('QTR BS'!M9/'QTR P&amp;L'!P2,"")</f>
        <v/>
      </c>
      <c r="N8" s="13">
        <f>IFERROR('QTR BS'!N9/'QTR P&amp;L'!Q2,"")</f>
        <v/>
      </c>
      <c r="O8" s="13">
        <f>IFERROR('QTR BS'!O9/'QTR P&amp;L'!R2,"")</f>
        <v/>
      </c>
      <c r="P8" s="13">
        <f>IFERROR('QTR BS'!P9/'QTR P&amp;L'!S2,"")</f>
        <v/>
      </c>
      <c r="Q8" s="13">
        <f>IFERROR('QTR BS'!Q9/'QTR P&amp;L'!T2,"")</f>
        <v/>
      </c>
      <c r="R8" s="13">
        <f>IFERROR('QTR BS'!R9/'QTR P&amp;L'!U2,"")</f>
        <v/>
      </c>
      <c r="S8" s="13">
        <f>IFERROR('QTR BS'!S9/'QTR P&amp;L'!V2,"")</f>
        <v/>
      </c>
      <c r="T8" s="13">
        <f>IFERROR('QTR BS'!T9/'QTR P&amp;L'!W2,"")</f>
        <v/>
      </c>
      <c r="U8" s="13">
        <f>IFERROR('QTR BS'!U9/'QTR P&amp;L'!X2,"")</f>
        <v/>
      </c>
      <c r="V8" s="13">
        <f>IFERROR('QTR BS'!V9/'QTR P&amp;L'!Y2,"")</f>
        <v/>
      </c>
      <c r="W8" s="13">
        <f>IFERROR('QTR BS'!W9/'QTR P&amp;L'!Z2,"")</f>
        <v/>
      </c>
      <c r="X8" s="13">
        <f>IFERROR('QTR BS'!X9/'QTR P&amp;L'!AA2,"")</f>
        <v/>
      </c>
      <c r="Y8" s="13">
        <f>IFERROR('QTR BS'!Y9/'QTR P&amp;L'!AB2,"")</f>
        <v/>
      </c>
      <c r="Z8" s="13">
        <f>IFERROR('QTR BS'!Z9/'QTR P&amp;L'!AC2,"")</f>
        <v/>
      </c>
      <c r="AA8" s="13">
        <f>IFERROR('QTR BS'!AA9/'QTR P&amp;L'!AD2,"")</f>
        <v/>
      </c>
      <c r="AB8" s="13">
        <f>IFERROR('QTR BS'!AB9/'QTR P&amp;L'!AE2,"")</f>
        <v/>
      </c>
      <c r="AC8" s="13">
        <f>IFERROR('QTR BS'!AC9/'QTR P&amp;L'!AF2,"")</f>
        <v/>
      </c>
      <c r="AD8" s="13">
        <f>IFERROR('QTR BS'!AD9/'QTR P&amp;L'!AG2,"")</f>
        <v/>
      </c>
      <c r="AE8" s="14">
        <f>AD8</f>
        <v/>
      </c>
      <c r="AF8" s="14">
        <f>AE8</f>
        <v/>
      </c>
      <c r="AG8" s="14">
        <f>AF8</f>
        <v/>
      </c>
      <c r="AH8" s="14">
        <f>AG8</f>
        <v/>
      </c>
      <c r="AI8" s="14">
        <f>AH8</f>
        <v/>
      </c>
      <c r="AJ8" s="14">
        <f>AI8</f>
        <v/>
      </c>
      <c r="AK8" s="14">
        <f>AJ8</f>
        <v/>
      </c>
      <c r="AL8" s="14">
        <f>AK8</f>
        <v/>
      </c>
      <c r="AM8" s="14">
        <f>AL8</f>
        <v/>
      </c>
      <c r="AN8" s="14">
        <f>AM8</f>
        <v/>
      </c>
      <c r="AO8" s="14">
        <f>AN8</f>
        <v/>
      </c>
      <c r="AP8" s="14">
        <f>AO8</f>
        <v/>
      </c>
      <c r="AQ8" s="14">
        <f>AP8</f>
        <v/>
      </c>
      <c r="AR8" s="14">
        <f>AQ8</f>
        <v/>
      </c>
      <c r="AS8" s="14">
        <f>AR8</f>
        <v/>
      </c>
      <c r="AT8" s="14">
        <f>AS8</f>
        <v/>
      </c>
      <c r="AU8" s="14">
        <f>AT8</f>
        <v/>
      </c>
      <c r="AV8" s="14">
        <f>AU8</f>
        <v/>
      </c>
      <c r="AW8" s="14">
        <f>AV8</f>
        <v/>
      </c>
      <c r="AX8" s="14">
        <f>AW8</f>
        <v/>
      </c>
    </row>
    <row r="9">
      <c r="A9" s="3" t="inlineStr">
        <is>
          <t>Deferred Tax Assets</t>
        </is>
      </c>
      <c r="B9" s="4">
        <f>'QTR BS'!B10</f>
        <v/>
      </c>
      <c r="C9" s="4">
        <f>'QTR BS'!C10</f>
        <v/>
      </c>
      <c r="D9" s="4">
        <f>'QTR BS'!D10</f>
        <v/>
      </c>
      <c r="E9" s="4">
        <f>'QTR BS'!E10</f>
        <v/>
      </c>
      <c r="F9" s="4">
        <f>'QTR BS'!F10</f>
        <v/>
      </c>
      <c r="G9" s="4">
        <f>'QTR BS'!G10</f>
        <v/>
      </c>
      <c r="H9" s="4">
        <f>'QTR BS'!H10</f>
        <v/>
      </c>
      <c r="I9" s="4">
        <f>'QTR BS'!I10</f>
        <v/>
      </c>
      <c r="J9" s="4">
        <f>'QTR BS'!J10</f>
        <v/>
      </c>
      <c r="K9" s="4">
        <f>'QTR BS'!K10</f>
        <v/>
      </c>
      <c r="L9" s="4">
        <f>'QTR BS'!L10</f>
        <v/>
      </c>
      <c r="M9" s="4">
        <f>'QTR BS'!M10</f>
        <v/>
      </c>
      <c r="N9" s="4">
        <f>'QTR BS'!N10</f>
        <v/>
      </c>
      <c r="O9" s="4">
        <f>'QTR BS'!O10</f>
        <v/>
      </c>
      <c r="P9" s="4">
        <f>'QTR BS'!P10</f>
        <v/>
      </c>
      <c r="Q9" s="4">
        <f>'QTR BS'!Q10</f>
        <v/>
      </c>
      <c r="R9" s="4">
        <f>'QTR BS'!R10</f>
        <v/>
      </c>
      <c r="S9" s="4">
        <f>'QTR BS'!S10</f>
        <v/>
      </c>
      <c r="T9" s="4">
        <f>'QTR BS'!T10</f>
        <v/>
      </c>
      <c r="U9" s="4">
        <f>'QTR BS'!U10</f>
        <v/>
      </c>
      <c r="V9" s="4">
        <f>'QTR BS'!V10</f>
        <v/>
      </c>
      <c r="W9" s="4">
        <f>'QTR BS'!W10</f>
        <v/>
      </c>
      <c r="X9" s="4">
        <f>'QTR BS'!X10</f>
        <v/>
      </c>
      <c r="Y9" s="4">
        <f>'QTR BS'!Y10</f>
        <v/>
      </c>
      <c r="Z9" s="4">
        <f>'QTR BS'!Z10</f>
        <v/>
      </c>
      <c r="AA9" s="4">
        <f>'QTR BS'!AA10</f>
        <v/>
      </c>
      <c r="AB9" s="4">
        <f>'QTR BS'!AB10</f>
        <v/>
      </c>
      <c r="AC9" s="4">
        <f>'QTR BS'!AC10</f>
        <v/>
      </c>
      <c r="AD9" s="4">
        <f>'QTR BS'!AD10</f>
        <v/>
      </c>
      <c r="AE9" s="4">
        <f>AD9-'QTR CF'!AH7</f>
        <v/>
      </c>
      <c r="AF9" s="4">
        <f>AE9-'QTR CF'!AI7</f>
        <v/>
      </c>
      <c r="AG9" s="4">
        <f>AF9-'QTR CF'!AJ7</f>
        <v/>
      </c>
      <c r="AH9" s="4">
        <f>AG9-'QTR CF'!AK7</f>
        <v/>
      </c>
      <c r="AI9" s="4">
        <f>AH9-'QTR CF'!AL7</f>
        <v/>
      </c>
      <c r="AJ9" s="4">
        <f>AI9-'QTR CF'!AM7</f>
        <v/>
      </c>
      <c r="AK9" s="4">
        <f>AJ9-'QTR CF'!AN7</f>
        <v/>
      </c>
      <c r="AL9" s="4">
        <f>AK9-'QTR CF'!AO7</f>
        <v/>
      </c>
      <c r="AM9" s="4">
        <f>AL9-'QTR CF'!AP7</f>
        <v/>
      </c>
      <c r="AN9" s="4">
        <f>AM9-'QTR CF'!AQ7</f>
        <v/>
      </c>
      <c r="AO9" s="4">
        <f>AN9-'QTR CF'!AR7</f>
        <v/>
      </c>
      <c r="AP9" s="4">
        <f>AO9-'QTR CF'!AS7</f>
        <v/>
      </c>
      <c r="AQ9" s="4">
        <f>AP9-'QTR CF'!AT7</f>
        <v/>
      </c>
      <c r="AR9" s="4">
        <f>AQ9-'QTR CF'!AU7</f>
        <v/>
      </c>
      <c r="AS9" s="4">
        <f>AR9-'QTR CF'!AV7</f>
        <v/>
      </c>
      <c r="AT9" s="4">
        <f>AS9-'QTR CF'!AW7</f>
        <v/>
      </c>
      <c r="AU9" s="4">
        <f>AT9-'QTR CF'!AX7</f>
        <v/>
      </c>
      <c r="AV9" s="4">
        <f>AU9-'QTR CF'!AY7</f>
        <v/>
      </c>
      <c r="AW9" s="4">
        <f>AV9-'QTR CF'!AZ7</f>
        <v/>
      </c>
      <c r="AX9" s="4">
        <f>AW9-'QTR CF'!BA7</f>
        <v/>
      </c>
    </row>
    <row r="10">
      <c r="A10" s="3" t="inlineStr">
        <is>
          <t>Net PP&amp;E</t>
        </is>
      </c>
      <c r="B10" s="4">
        <f>'QTR BS'!B11</f>
        <v/>
      </c>
      <c r="C10" s="4">
        <f>'QTR BS'!C11</f>
        <v/>
      </c>
      <c r="D10" s="4">
        <f>'QTR BS'!D11</f>
        <v/>
      </c>
      <c r="E10" s="4">
        <f>'QTR BS'!E11</f>
        <v/>
      </c>
      <c r="F10" s="4">
        <f>'QTR BS'!F11</f>
        <v/>
      </c>
      <c r="G10" s="4">
        <f>'QTR BS'!G11</f>
        <v/>
      </c>
      <c r="H10" s="4">
        <f>'QTR BS'!H11</f>
        <v/>
      </c>
      <c r="I10" s="4">
        <f>'QTR BS'!I11</f>
        <v/>
      </c>
      <c r="J10" s="4">
        <f>'QTR BS'!J11</f>
        <v/>
      </c>
      <c r="K10" s="4">
        <f>'QTR BS'!K11</f>
        <v/>
      </c>
      <c r="L10" s="4">
        <f>'QTR BS'!L11</f>
        <v/>
      </c>
      <c r="M10" s="4">
        <f>'QTR BS'!M11</f>
        <v/>
      </c>
      <c r="N10" s="4">
        <f>'QTR BS'!N11</f>
        <v/>
      </c>
      <c r="O10" s="4">
        <f>'QTR BS'!O11</f>
        <v/>
      </c>
      <c r="P10" s="4">
        <f>'QTR BS'!P11</f>
        <v/>
      </c>
      <c r="Q10" s="4">
        <f>'QTR BS'!Q11</f>
        <v/>
      </c>
      <c r="R10" s="4">
        <f>'QTR BS'!R11</f>
        <v/>
      </c>
      <c r="S10" s="4">
        <f>'QTR BS'!S11</f>
        <v/>
      </c>
      <c r="T10" s="4">
        <f>'QTR BS'!T11</f>
        <v/>
      </c>
      <c r="U10" s="4">
        <f>'QTR BS'!U11</f>
        <v/>
      </c>
      <c r="V10" s="4">
        <f>'QTR BS'!V11</f>
        <v/>
      </c>
      <c r="W10" s="4">
        <f>'QTR BS'!W11</f>
        <v/>
      </c>
      <c r="X10" s="4">
        <f>'QTR BS'!X11</f>
        <v/>
      </c>
      <c r="Y10" s="4">
        <f>'QTR BS'!Y11</f>
        <v/>
      </c>
      <c r="Z10" s="4">
        <f>'QTR BS'!Z11</f>
        <v/>
      </c>
      <c r="AA10" s="4">
        <f>'QTR BS'!AA11</f>
        <v/>
      </c>
      <c r="AB10" s="4">
        <f>'QTR BS'!AB11</f>
        <v/>
      </c>
      <c r="AC10" s="4">
        <f>'QTR BS'!AC11</f>
        <v/>
      </c>
      <c r="AD10" s="4">
        <f>'QTR BS'!AD11</f>
        <v/>
      </c>
      <c r="AE10" s="4">
        <f>AD10-'QTR CF'!AH17</f>
        <v/>
      </c>
      <c r="AF10" s="4">
        <f>AE10-'QTR CF'!AI17</f>
        <v/>
      </c>
      <c r="AG10" s="4">
        <f>AF10-'QTR CF'!AJ17</f>
        <v/>
      </c>
      <c r="AH10" s="4">
        <f>AG10-'QTR CF'!AK17</f>
        <v/>
      </c>
      <c r="AI10" s="4">
        <f>AH10-'QTR CF'!AL17</f>
        <v/>
      </c>
      <c r="AJ10" s="4">
        <f>AI10-'QTR CF'!AM17</f>
        <v/>
      </c>
      <c r="AK10" s="4">
        <f>AJ10-'QTR CF'!AN17</f>
        <v/>
      </c>
      <c r="AL10" s="4">
        <f>AK10-'QTR CF'!AO17</f>
        <v/>
      </c>
      <c r="AM10" s="4">
        <f>AL10-'QTR CF'!AP17</f>
        <v/>
      </c>
      <c r="AN10" s="4">
        <f>AM10-'QTR CF'!AQ17</f>
        <v/>
      </c>
      <c r="AO10" s="4">
        <f>AN10-'QTR CF'!AR17</f>
        <v/>
      </c>
      <c r="AP10" s="4">
        <f>AO10-'QTR CF'!AS17</f>
        <v/>
      </c>
      <c r="AQ10" s="4">
        <f>AP10-'QTR CF'!AT17</f>
        <v/>
      </c>
      <c r="AR10" s="4">
        <f>AQ10-'QTR CF'!AU17</f>
        <v/>
      </c>
      <c r="AS10" s="4">
        <f>AR10-'QTR CF'!AV17</f>
        <v/>
      </c>
      <c r="AT10" s="4">
        <f>AS10-'QTR CF'!AW17</f>
        <v/>
      </c>
      <c r="AU10" s="4">
        <f>AT10-'QTR CF'!AX17</f>
        <v/>
      </c>
      <c r="AV10" s="4">
        <f>AU10-'QTR CF'!AY17</f>
        <v/>
      </c>
      <c r="AW10" s="4">
        <f>AV10-'QTR CF'!AZ17</f>
        <v/>
      </c>
      <c r="AX10" s="4">
        <f>AW10-'QTR CF'!BA17</f>
        <v/>
      </c>
    </row>
    <row r="11">
      <c r="A11" s="3" t="inlineStr">
        <is>
          <t>ROU Assets - Operating - Non-Current — % of Revenue</t>
        </is>
      </c>
      <c r="B11" s="13">
        <f>IFERROR('QTR BS'!B12/'QTR P&amp;L'!E2,"")</f>
        <v/>
      </c>
      <c r="C11" s="13">
        <f>IFERROR('QTR BS'!C12/'QTR P&amp;L'!F2,"")</f>
        <v/>
      </c>
      <c r="D11" s="13">
        <f>IFERROR('QTR BS'!D12/'QTR P&amp;L'!G2,"")</f>
        <v/>
      </c>
      <c r="E11" s="13">
        <f>IFERROR('QTR BS'!E12/'QTR P&amp;L'!H2,"")</f>
        <v/>
      </c>
      <c r="F11" s="13">
        <f>IFERROR('QTR BS'!F12/'QTR P&amp;L'!I2,"")</f>
        <v/>
      </c>
      <c r="G11" s="13">
        <f>IFERROR('QTR BS'!G12/'QTR P&amp;L'!J2,"")</f>
        <v/>
      </c>
      <c r="H11" s="13">
        <f>IFERROR('QTR BS'!H12/'QTR P&amp;L'!K2,"")</f>
        <v/>
      </c>
      <c r="I11" s="13">
        <f>IFERROR('QTR BS'!I12/'QTR P&amp;L'!L2,"")</f>
        <v/>
      </c>
      <c r="J11" s="13">
        <f>IFERROR('QTR BS'!J12/'QTR P&amp;L'!M2,"")</f>
        <v/>
      </c>
      <c r="K11" s="13">
        <f>IFERROR('QTR BS'!K12/'QTR P&amp;L'!N2,"")</f>
        <v/>
      </c>
      <c r="L11" s="13">
        <f>IFERROR('QTR BS'!L12/'QTR P&amp;L'!O2,"")</f>
        <v/>
      </c>
      <c r="M11" s="13">
        <f>IFERROR('QTR BS'!M12/'QTR P&amp;L'!P2,"")</f>
        <v/>
      </c>
      <c r="N11" s="13">
        <f>IFERROR('QTR BS'!N12/'QTR P&amp;L'!Q2,"")</f>
        <v/>
      </c>
      <c r="O11" s="13">
        <f>IFERROR('QTR BS'!O12/'QTR P&amp;L'!R2,"")</f>
        <v/>
      </c>
      <c r="P11" s="13">
        <f>IFERROR('QTR BS'!P12/'QTR P&amp;L'!S2,"")</f>
        <v/>
      </c>
      <c r="Q11" s="13">
        <f>IFERROR('QTR BS'!Q12/'QTR P&amp;L'!T2,"")</f>
        <v/>
      </c>
      <c r="R11" s="13">
        <f>IFERROR('QTR BS'!R12/'QTR P&amp;L'!U2,"")</f>
        <v/>
      </c>
      <c r="S11" s="13">
        <f>IFERROR('QTR BS'!S12/'QTR P&amp;L'!V2,"")</f>
        <v/>
      </c>
      <c r="T11" s="13">
        <f>IFERROR('QTR BS'!T12/'QTR P&amp;L'!W2,"")</f>
        <v/>
      </c>
      <c r="U11" s="13">
        <f>IFERROR('QTR BS'!U12/'QTR P&amp;L'!X2,"")</f>
        <v/>
      </c>
      <c r="V11" s="13">
        <f>IFERROR('QTR BS'!V12/'QTR P&amp;L'!Y2,"")</f>
        <v/>
      </c>
      <c r="W11" s="13">
        <f>IFERROR('QTR BS'!W12/'QTR P&amp;L'!Z2,"")</f>
        <v/>
      </c>
      <c r="X11" s="13">
        <f>IFERROR('QTR BS'!X12/'QTR P&amp;L'!AA2,"")</f>
        <v/>
      </c>
      <c r="Y11" s="13">
        <f>IFERROR('QTR BS'!Y12/'QTR P&amp;L'!AB2,"")</f>
        <v/>
      </c>
      <c r="Z11" s="13">
        <f>IFERROR('QTR BS'!Z12/'QTR P&amp;L'!AC2,"")</f>
        <v/>
      </c>
      <c r="AA11" s="13">
        <f>IFERROR('QTR BS'!AA12/'QTR P&amp;L'!AD2,"")</f>
        <v/>
      </c>
      <c r="AB11" s="13">
        <f>IFERROR('QTR BS'!AB12/'QTR P&amp;L'!AE2,"")</f>
        <v/>
      </c>
      <c r="AC11" s="13">
        <f>IFERROR('QTR BS'!AC12/'QTR P&amp;L'!AF2,"")</f>
        <v/>
      </c>
      <c r="AD11" s="13">
        <f>IFERROR('QTR BS'!AD12/'QTR P&amp;L'!AG2,"")</f>
        <v/>
      </c>
      <c r="AE11" s="14">
        <f>AD11</f>
        <v/>
      </c>
      <c r="AF11" s="14">
        <f>AE11</f>
        <v/>
      </c>
      <c r="AG11" s="14">
        <f>AF11</f>
        <v/>
      </c>
      <c r="AH11" s="14">
        <f>AG11</f>
        <v/>
      </c>
      <c r="AI11" s="14">
        <f>AH11</f>
        <v/>
      </c>
      <c r="AJ11" s="14">
        <f>AI11</f>
        <v/>
      </c>
      <c r="AK11" s="14">
        <f>AJ11</f>
        <v/>
      </c>
      <c r="AL11" s="14">
        <f>AK11</f>
        <v/>
      </c>
      <c r="AM11" s="14">
        <f>AL11</f>
        <v/>
      </c>
      <c r="AN11" s="14">
        <f>AM11</f>
        <v/>
      </c>
      <c r="AO11" s="14">
        <f>AN11</f>
        <v/>
      </c>
      <c r="AP11" s="14">
        <f>AO11</f>
        <v/>
      </c>
      <c r="AQ11" s="14">
        <f>AP11</f>
        <v/>
      </c>
      <c r="AR11" s="14">
        <f>AQ11</f>
        <v/>
      </c>
      <c r="AS11" s="14">
        <f>AR11</f>
        <v/>
      </c>
      <c r="AT11" s="14">
        <f>AS11</f>
        <v/>
      </c>
      <c r="AU11" s="14">
        <f>AT11</f>
        <v/>
      </c>
      <c r="AV11" s="14">
        <f>AU11</f>
        <v/>
      </c>
      <c r="AW11" s="14">
        <f>AV11</f>
        <v/>
      </c>
      <c r="AX11" s="14">
        <f>AW11</f>
        <v/>
      </c>
    </row>
    <row r="12">
      <c r="A12" s="3" t="inlineStr">
        <is>
          <t>Intangible Assets</t>
        </is>
      </c>
      <c r="B12" s="4">
        <f>'QTR BS'!B13</f>
        <v/>
      </c>
      <c r="C12" s="4">
        <f>'QTR BS'!C13</f>
        <v/>
      </c>
      <c r="D12" s="4">
        <f>'QTR BS'!D13</f>
        <v/>
      </c>
      <c r="E12" s="4">
        <f>'QTR BS'!E13</f>
        <v/>
      </c>
      <c r="F12" s="4">
        <f>'QTR BS'!F13</f>
        <v/>
      </c>
      <c r="G12" s="4">
        <f>'QTR BS'!G13</f>
        <v/>
      </c>
      <c r="H12" s="4">
        <f>'QTR BS'!H13</f>
        <v/>
      </c>
      <c r="I12" s="4">
        <f>'QTR BS'!I13</f>
        <v/>
      </c>
      <c r="J12" s="4">
        <f>'QTR BS'!J13</f>
        <v/>
      </c>
      <c r="K12" s="4">
        <f>'QTR BS'!K13</f>
        <v/>
      </c>
      <c r="L12" s="4">
        <f>'QTR BS'!L13</f>
        <v/>
      </c>
      <c r="M12" s="4">
        <f>'QTR BS'!M13</f>
        <v/>
      </c>
      <c r="N12" s="4">
        <f>'QTR BS'!N13</f>
        <v/>
      </c>
      <c r="O12" s="4">
        <f>'QTR BS'!O13</f>
        <v/>
      </c>
      <c r="P12" s="4">
        <f>'QTR BS'!P13</f>
        <v/>
      </c>
      <c r="Q12" s="4">
        <f>'QTR BS'!Q13</f>
        <v/>
      </c>
      <c r="R12" s="4">
        <f>'QTR BS'!R13</f>
        <v/>
      </c>
      <c r="S12" s="4">
        <f>'QTR BS'!S13</f>
        <v/>
      </c>
      <c r="T12" s="4">
        <f>'QTR BS'!T13</f>
        <v/>
      </c>
      <c r="U12" s="4">
        <f>'QTR BS'!U13</f>
        <v/>
      </c>
      <c r="V12" s="4">
        <f>'QTR BS'!V13</f>
        <v/>
      </c>
      <c r="W12" s="4">
        <f>'QTR BS'!W13</f>
        <v/>
      </c>
      <c r="X12" s="4">
        <f>'QTR BS'!X13</f>
        <v/>
      </c>
      <c r="Y12" s="4">
        <f>'QTR BS'!Y13</f>
        <v/>
      </c>
      <c r="Z12" s="4">
        <f>'QTR BS'!Z13</f>
        <v/>
      </c>
      <c r="AA12" s="4">
        <f>'QTR BS'!AA13</f>
        <v/>
      </c>
      <c r="AB12" s="4">
        <f>'QTR BS'!AB13</f>
        <v/>
      </c>
      <c r="AC12" s="4">
        <f>'QTR BS'!AC13</f>
        <v/>
      </c>
      <c r="AD12" s="4">
        <f>'QTR BS'!AD13</f>
        <v/>
      </c>
      <c r="AE12" s="15">
        <f>AD12</f>
        <v/>
      </c>
      <c r="AF12" s="15">
        <f>AE12</f>
        <v/>
      </c>
      <c r="AG12" s="15">
        <f>AF12</f>
        <v/>
      </c>
      <c r="AH12" s="15">
        <f>AG12</f>
        <v/>
      </c>
      <c r="AI12" s="15">
        <f>AH12</f>
        <v/>
      </c>
      <c r="AJ12" s="15">
        <f>AI12</f>
        <v/>
      </c>
      <c r="AK12" s="15">
        <f>AJ12</f>
        <v/>
      </c>
      <c r="AL12" s="15">
        <f>AK12</f>
        <v/>
      </c>
      <c r="AM12" s="15">
        <f>AL12</f>
        <v/>
      </c>
      <c r="AN12" s="15">
        <f>AM12</f>
        <v/>
      </c>
      <c r="AO12" s="15">
        <f>AN12</f>
        <v/>
      </c>
      <c r="AP12" s="15">
        <f>AO12</f>
        <v/>
      </c>
      <c r="AQ12" s="15">
        <f>AP12</f>
        <v/>
      </c>
      <c r="AR12" s="15">
        <f>AQ12</f>
        <v/>
      </c>
      <c r="AS12" s="15">
        <f>AR12</f>
        <v/>
      </c>
      <c r="AT12" s="15">
        <f>AS12</f>
        <v/>
      </c>
      <c r="AU12" s="15">
        <f>AT12</f>
        <v/>
      </c>
      <c r="AV12" s="15">
        <f>AU12</f>
        <v/>
      </c>
      <c r="AW12" s="15">
        <f>AV12</f>
        <v/>
      </c>
      <c r="AX12" s="15">
        <f>AW12</f>
        <v/>
      </c>
    </row>
    <row r="13">
      <c r="A13" s="3" t="inlineStr">
        <is>
          <t>Goodwill</t>
        </is>
      </c>
      <c r="B13" s="4">
        <f>'QTR BS'!B14</f>
        <v/>
      </c>
      <c r="C13" s="4">
        <f>'QTR BS'!C14</f>
        <v/>
      </c>
      <c r="D13" s="4">
        <f>'QTR BS'!D14</f>
        <v/>
      </c>
      <c r="E13" s="4">
        <f>'QTR BS'!E14</f>
        <v/>
      </c>
      <c r="F13" s="4">
        <f>'QTR BS'!F14</f>
        <v/>
      </c>
      <c r="G13" s="4">
        <f>'QTR BS'!G14</f>
        <v/>
      </c>
      <c r="H13" s="4">
        <f>'QTR BS'!H14</f>
        <v/>
      </c>
      <c r="I13" s="4">
        <f>'QTR BS'!I14</f>
        <v/>
      </c>
      <c r="J13" s="4">
        <f>'QTR BS'!J14</f>
        <v/>
      </c>
      <c r="K13" s="4">
        <f>'QTR BS'!K14</f>
        <v/>
      </c>
      <c r="L13" s="4">
        <f>'QTR BS'!L14</f>
        <v/>
      </c>
      <c r="M13" s="4">
        <f>'QTR BS'!M14</f>
        <v/>
      </c>
      <c r="N13" s="4">
        <f>'QTR BS'!N14</f>
        <v/>
      </c>
      <c r="O13" s="4">
        <f>'QTR BS'!O14</f>
        <v/>
      </c>
      <c r="P13" s="4">
        <f>'QTR BS'!P14</f>
        <v/>
      </c>
      <c r="Q13" s="4">
        <f>'QTR BS'!Q14</f>
        <v/>
      </c>
      <c r="R13" s="4">
        <f>'QTR BS'!R14</f>
        <v/>
      </c>
      <c r="S13" s="4">
        <f>'QTR BS'!S14</f>
        <v/>
      </c>
      <c r="T13" s="4">
        <f>'QTR BS'!T14</f>
        <v/>
      </c>
      <c r="U13" s="4">
        <f>'QTR BS'!U14</f>
        <v/>
      </c>
      <c r="V13" s="4">
        <f>'QTR BS'!V14</f>
        <v/>
      </c>
      <c r="W13" s="4">
        <f>'QTR BS'!W14</f>
        <v/>
      </c>
      <c r="X13" s="4">
        <f>'QTR BS'!X14</f>
        <v/>
      </c>
      <c r="Y13" s="4">
        <f>'QTR BS'!Y14</f>
        <v/>
      </c>
      <c r="Z13" s="4">
        <f>'QTR BS'!Z14</f>
        <v/>
      </c>
      <c r="AA13" s="4">
        <f>'QTR BS'!AA14</f>
        <v/>
      </c>
      <c r="AB13" s="4">
        <f>'QTR BS'!AB14</f>
        <v/>
      </c>
      <c r="AC13" s="4">
        <f>'QTR BS'!AC14</f>
        <v/>
      </c>
      <c r="AD13" s="4">
        <f>'QTR BS'!AD14</f>
        <v/>
      </c>
      <c r="AE13" s="15">
        <f>AD13</f>
        <v/>
      </c>
      <c r="AF13" s="15">
        <f>AE13</f>
        <v/>
      </c>
      <c r="AG13" s="15">
        <f>AF13</f>
        <v/>
      </c>
      <c r="AH13" s="15">
        <f>AG13</f>
        <v/>
      </c>
      <c r="AI13" s="15">
        <f>AH13</f>
        <v/>
      </c>
      <c r="AJ13" s="15">
        <f>AI13</f>
        <v/>
      </c>
      <c r="AK13" s="15">
        <f>AJ13</f>
        <v/>
      </c>
      <c r="AL13" s="15">
        <f>AK13</f>
        <v/>
      </c>
      <c r="AM13" s="15">
        <f>AL13</f>
        <v/>
      </c>
      <c r="AN13" s="15">
        <f>AM13</f>
        <v/>
      </c>
      <c r="AO13" s="15">
        <f>AN13</f>
        <v/>
      </c>
      <c r="AP13" s="15">
        <f>AO13</f>
        <v/>
      </c>
      <c r="AQ13" s="15">
        <f>AP13</f>
        <v/>
      </c>
      <c r="AR13" s="15">
        <f>AQ13</f>
        <v/>
      </c>
      <c r="AS13" s="15">
        <f>AR13</f>
        <v/>
      </c>
      <c r="AT13" s="15">
        <f>AS13</f>
        <v/>
      </c>
      <c r="AU13" s="15">
        <f>AT13</f>
        <v/>
      </c>
      <c r="AV13" s="15">
        <f>AU13</f>
        <v/>
      </c>
      <c r="AW13" s="15">
        <f>AV13</f>
        <v/>
      </c>
      <c r="AX13" s="15">
        <f>AW13</f>
        <v/>
      </c>
    </row>
    <row r="14">
      <c r="A14" s="3" t="inlineStr">
        <is>
          <t>Other Non-Current Assets — % of Revenue</t>
        </is>
      </c>
      <c r="B14" s="13">
        <f>IFERROR('QTR BS'!B15/'QTR P&amp;L'!E2,"")</f>
        <v/>
      </c>
      <c r="C14" s="13">
        <f>IFERROR('QTR BS'!C15/'QTR P&amp;L'!F2,"")</f>
        <v/>
      </c>
      <c r="D14" s="13">
        <f>IFERROR('QTR BS'!D15/'QTR P&amp;L'!G2,"")</f>
        <v/>
      </c>
      <c r="E14" s="13">
        <f>IFERROR('QTR BS'!E15/'QTR P&amp;L'!H2,"")</f>
        <v/>
      </c>
      <c r="F14" s="13">
        <f>IFERROR('QTR BS'!F15/'QTR P&amp;L'!I2,"")</f>
        <v/>
      </c>
      <c r="G14" s="13">
        <f>IFERROR('QTR BS'!G15/'QTR P&amp;L'!J2,"")</f>
        <v/>
      </c>
      <c r="H14" s="13">
        <f>IFERROR('QTR BS'!H15/'QTR P&amp;L'!K2,"")</f>
        <v/>
      </c>
      <c r="I14" s="13">
        <f>IFERROR('QTR BS'!I15/'QTR P&amp;L'!L2,"")</f>
        <v/>
      </c>
      <c r="J14" s="13">
        <f>IFERROR('QTR BS'!J15/'QTR P&amp;L'!M2,"")</f>
        <v/>
      </c>
      <c r="K14" s="13">
        <f>IFERROR('QTR BS'!K15/'QTR P&amp;L'!N2,"")</f>
        <v/>
      </c>
      <c r="L14" s="13">
        <f>IFERROR('QTR BS'!L15/'QTR P&amp;L'!O2,"")</f>
        <v/>
      </c>
      <c r="M14" s="13">
        <f>IFERROR('QTR BS'!M15/'QTR P&amp;L'!P2,"")</f>
        <v/>
      </c>
      <c r="N14" s="13">
        <f>IFERROR('QTR BS'!N15/'QTR P&amp;L'!Q2,"")</f>
        <v/>
      </c>
      <c r="O14" s="13">
        <f>IFERROR('QTR BS'!O15/'QTR P&amp;L'!R2,"")</f>
        <v/>
      </c>
      <c r="P14" s="13">
        <f>IFERROR('QTR BS'!P15/'QTR P&amp;L'!S2,"")</f>
        <v/>
      </c>
      <c r="Q14" s="13">
        <f>IFERROR('QTR BS'!Q15/'QTR P&amp;L'!T2,"")</f>
        <v/>
      </c>
      <c r="R14" s="13">
        <f>IFERROR('QTR BS'!R15/'QTR P&amp;L'!U2,"")</f>
        <v/>
      </c>
      <c r="S14" s="13">
        <f>IFERROR('QTR BS'!S15/'QTR P&amp;L'!V2,"")</f>
        <v/>
      </c>
      <c r="T14" s="13">
        <f>IFERROR('QTR BS'!T15/'QTR P&amp;L'!W2,"")</f>
        <v/>
      </c>
      <c r="U14" s="13">
        <f>IFERROR('QTR BS'!U15/'QTR P&amp;L'!X2,"")</f>
        <v/>
      </c>
      <c r="V14" s="13">
        <f>IFERROR('QTR BS'!V15/'QTR P&amp;L'!Y2,"")</f>
        <v/>
      </c>
      <c r="W14" s="13">
        <f>IFERROR('QTR BS'!W15/'QTR P&amp;L'!Z2,"")</f>
        <v/>
      </c>
      <c r="X14" s="13">
        <f>IFERROR('QTR BS'!X15/'QTR P&amp;L'!AA2,"")</f>
        <v/>
      </c>
      <c r="Y14" s="13">
        <f>IFERROR('QTR BS'!Y15/'QTR P&amp;L'!AB2,"")</f>
        <v/>
      </c>
      <c r="Z14" s="13">
        <f>IFERROR('QTR BS'!Z15/'QTR P&amp;L'!AC2,"")</f>
        <v/>
      </c>
      <c r="AA14" s="13">
        <f>IFERROR('QTR BS'!AA15/'QTR P&amp;L'!AD2,"")</f>
        <v/>
      </c>
      <c r="AB14" s="13">
        <f>IFERROR('QTR BS'!AB15/'QTR P&amp;L'!AE2,"")</f>
        <v/>
      </c>
      <c r="AC14" s="13">
        <f>IFERROR('QTR BS'!AC15/'QTR P&amp;L'!AF2,"")</f>
        <v/>
      </c>
      <c r="AD14" s="13">
        <f>IFERROR('QTR BS'!AD15/'QTR P&amp;L'!AG2,"")</f>
        <v/>
      </c>
      <c r="AE14" s="14">
        <f>AD14</f>
        <v/>
      </c>
      <c r="AF14" s="14">
        <f>AE14</f>
        <v/>
      </c>
      <c r="AG14" s="14">
        <f>AF14</f>
        <v/>
      </c>
      <c r="AH14" s="14">
        <f>AG14</f>
        <v/>
      </c>
      <c r="AI14" s="14">
        <f>AH14</f>
        <v/>
      </c>
      <c r="AJ14" s="14">
        <f>AI14</f>
        <v/>
      </c>
      <c r="AK14" s="14">
        <f>AJ14</f>
        <v/>
      </c>
      <c r="AL14" s="14">
        <f>AK14</f>
        <v/>
      </c>
      <c r="AM14" s="14">
        <f>AL14</f>
        <v/>
      </c>
      <c r="AN14" s="14">
        <f>AM14</f>
        <v/>
      </c>
      <c r="AO14" s="14">
        <f>AN14</f>
        <v/>
      </c>
      <c r="AP14" s="14">
        <f>AO14</f>
        <v/>
      </c>
      <c r="AQ14" s="14">
        <f>AP14</f>
        <v/>
      </c>
      <c r="AR14" s="14">
        <f>AQ14</f>
        <v/>
      </c>
      <c r="AS14" s="14">
        <f>AR14</f>
        <v/>
      </c>
      <c r="AT14" s="14">
        <f>AS14</f>
        <v/>
      </c>
      <c r="AU14" s="14">
        <f>AT14</f>
        <v/>
      </c>
      <c r="AV14" s="14">
        <f>AU14</f>
        <v/>
      </c>
      <c r="AW14" s="14">
        <f>AV14</f>
        <v/>
      </c>
      <c r="AX14" s="14">
        <f>AW14</f>
        <v/>
      </c>
    </row>
    <row r="15">
      <c r="A15" s="3" t="inlineStr">
        <is>
          <t>Accounts Payable — DPO (days)</t>
        </is>
      </c>
      <c r="B15" s="16">
        <f>IFERROR('QTR BS'!B17/'QTR P&amp;L'!E3*ASSUMPTIONS!$B$2,"")</f>
        <v/>
      </c>
      <c r="C15" s="16">
        <f>IFERROR('QTR BS'!C17/'QTR P&amp;L'!F3*ASSUMPTIONS!$B$2,"")</f>
        <v/>
      </c>
      <c r="D15" s="16">
        <f>IFERROR('QTR BS'!D17/'QTR P&amp;L'!G3*ASSUMPTIONS!$B$2,"")</f>
        <v/>
      </c>
      <c r="E15" s="16">
        <f>IFERROR('QTR BS'!E17/'QTR P&amp;L'!H3*ASSUMPTIONS!$B$2,"")</f>
        <v/>
      </c>
      <c r="F15" s="16">
        <f>IFERROR('QTR BS'!F17/'QTR P&amp;L'!I3*ASSUMPTIONS!$B$2,"")</f>
        <v/>
      </c>
      <c r="G15" s="16">
        <f>IFERROR('QTR BS'!G17/'QTR P&amp;L'!J3*ASSUMPTIONS!$B$2,"")</f>
        <v/>
      </c>
      <c r="H15" s="16">
        <f>IFERROR('QTR BS'!H17/'QTR P&amp;L'!K3*ASSUMPTIONS!$B$2,"")</f>
        <v/>
      </c>
      <c r="I15" s="16">
        <f>IFERROR('QTR BS'!I17/'QTR P&amp;L'!L3*ASSUMPTIONS!$B$2,"")</f>
        <v/>
      </c>
      <c r="J15" s="16">
        <f>IFERROR('QTR BS'!J17/'QTR P&amp;L'!M3*ASSUMPTIONS!$B$2,"")</f>
        <v/>
      </c>
      <c r="K15" s="16">
        <f>IFERROR('QTR BS'!K17/'QTR P&amp;L'!N3*ASSUMPTIONS!$B$2,"")</f>
        <v/>
      </c>
      <c r="L15" s="16">
        <f>IFERROR('QTR BS'!L17/'QTR P&amp;L'!O3*ASSUMPTIONS!$B$2,"")</f>
        <v/>
      </c>
      <c r="M15" s="16">
        <f>IFERROR('QTR BS'!M17/'QTR P&amp;L'!P3*ASSUMPTIONS!$B$2,"")</f>
        <v/>
      </c>
      <c r="N15" s="16">
        <f>IFERROR('QTR BS'!N17/'QTR P&amp;L'!Q3*ASSUMPTIONS!$B$2,"")</f>
        <v/>
      </c>
      <c r="O15" s="16">
        <f>IFERROR('QTR BS'!O17/'QTR P&amp;L'!R3*ASSUMPTIONS!$B$2,"")</f>
        <v/>
      </c>
      <c r="P15" s="16">
        <f>IFERROR('QTR BS'!P17/'QTR P&amp;L'!S3*ASSUMPTIONS!$B$2,"")</f>
        <v/>
      </c>
      <c r="Q15" s="16">
        <f>IFERROR('QTR BS'!Q17/'QTR P&amp;L'!T3*ASSUMPTIONS!$B$2,"")</f>
        <v/>
      </c>
      <c r="R15" s="16">
        <f>IFERROR('QTR BS'!R17/'QTR P&amp;L'!U3*ASSUMPTIONS!$B$2,"")</f>
        <v/>
      </c>
      <c r="S15" s="16">
        <f>IFERROR('QTR BS'!S17/'QTR P&amp;L'!V3*ASSUMPTIONS!$B$2,"")</f>
        <v/>
      </c>
      <c r="T15" s="16">
        <f>IFERROR('QTR BS'!T17/'QTR P&amp;L'!W3*ASSUMPTIONS!$B$2,"")</f>
        <v/>
      </c>
      <c r="U15" s="16">
        <f>IFERROR('QTR BS'!U17/'QTR P&amp;L'!X3*ASSUMPTIONS!$B$2,"")</f>
        <v/>
      </c>
      <c r="V15" s="16">
        <f>IFERROR('QTR BS'!V17/'QTR P&amp;L'!Y3*ASSUMPTIONS!$B$2,"")</f>
        <v/>
      </c>
      <c r="W15" s="16">
        <f>IFERROR('QTR BS'!W17/'QTR P&amp;L'!Z3*ASSUMPTIONS!$B$2,"")</f>
        <v/>
      </c>
      <c r="X15" s="16">
        <f>IFERROR('QTR BS'!X17/'QTR P&amp;L'!AA3*ASSUMPTIONS!$B$2,"")</f>
        <v/>
      </c>
      <c r="Y15" s="16">
        <f>IFERROR('QTR BS'!Y17/'QTR P&amp;L'!AB3*ASSUMPTIONS!$B$2,"")</f>
        <v/>
      </c>
      <c r="Z15" s="16">
        <f>IFERROR('QTR BS'!Z17/'QTR P&amp;L'!AC3*ASSUMPTIONS!$B$2,"")</f>
        <v/>
      </c>
      <c r="AA15" s="16">
        <f>IFERROR('QTR BS'!AA17/'QTR P&amp;L'!AD3*ASSUMPTIONS!$B$2,"")</f>
        <v/>
      </c>
      <c r="AB15" s="16">
        <f>IFERROR('QTR BS'!AB17/'QTR P&amp;L'!AE3*ASSUMPTIONS!$B$2,"")</f>
        <v/>
      </c>
      <c r="AC15" s="16">
        <f>IFERROR('QTR BS'!AC17/'QTR P&amp;L'!AF3*ASSUMPTIONS!$B$2,"")</f>
        <v/>
      </c>
      <c r="AD15" s="16">
        <f>IFERROR('QTR BS'!AD17/'QTR P&amp;L'!AG3*ASSUMPTIONS!$B$2,"")</f>
        <v/>
      </c>
      <c r="AE15" s="17">
        <f>AD15</f>
        <v/>
      </c>
      <c r="AF15" s="17">
        <f>AE15</f>
        <v/>
      </c>
      <c r="AG15" s="17">
        <f>AF15</f>
        <v/>
      </c>
      <c r="AH15" s="17">
        <f>AG15</f>
        <v/>
      </c>
      <c r="AI15" s="17">
        <f>AH15</f>
        <v/>
      </c>
      <c r="AJ15" s="17">
        <f>AI15</f>
        <v/>
      </c>
      <c r="AK15" s="17">
        <f>AJ15</f>
        <v/>
      </c>
      <c r="AL15" s="17">
        <f>AK15</f>
        <v/>
      </c>
      <c r="AM15" s="17">
        <f>AL15</f>
        <v/>
      </c>
      <c r="AN15" s="17">
        <f>AM15</f>
        <v/>
      </c>
      <c r="AO15" s="17">
        <f>AN15</f>
        <v/>
      </c>
      <c r="AP15" s="17">
        <f>AO15</f>
        <v/>
      </c>
      <c r="AQ15" s="17">
        <f>AP15</f>
        <v/>
      </c>
      <c r="AR15" s="17">
        <f>AQ15</f>
        <v/>
      </c>
      <c r="AS15" s="17">
        <f>AR15</f>
        <v/>
      </c>
      <c r="AT15" s="17">
        <f>AS15</f>
        <v/>
      </c>
      <c r="AU15" s="17">
        <f>AT15</f>
        <v/>
      </c>
      <c r="AV15" s="17">
        <f>AU15</f>
        <v/>
      </c>
      <c r="AW15" s="17">
        <f>AV15</f>
        <v/>
      </c>
      <c r="AX15" s="17">
        <f>AW15</f>
        <v/>
      </c>
    </row>
    <row r="16">
      <c r="A16" s="3" t="inlineStr">
        <is>
          <t>Accrued Compensation — % of Revenue</t>
        </is>
      </c>
      <c r="B16" s="13">
        <f>IFERROR('QTR BS'!B18/'QTR P&amp;L'!E2,"")</f>
        <v/>
      </c>
      <c r="C16" s="13">
        <f>IFERROR('QTR BS'!C18/'QTR P&amp;L'!F2,"")</f>
        <v/>
      </c>
      <c r="D16" s="13">
        <f>IFERROR('QTR BS'!D18/'QTR P&amp;L'!G2,"")</f>
        <v/>
      </c>
      <c r="E16" s="13">
        <f>IFERROR('QTR BS'!E18/'QTR P&amp;L'!H2,"")</f>
        <v/>
      </c>
      <c r="F16" s="13">
        <f>IFERROR('QTR BS'!F18/'QTR P&amp;L'!I2,"")</f>
        <v/>
      </c>
      <c r="G16" s="13">
        <f>IFERROR('QTR BS'!G18/'QTR P&amp;L'!J2,"")</f>
        <v/>
      </c>
      <c r="H16" s="13">
        <f>IFERROR('QTR BS'!H18/'QTR P&amp;L'!K2,"")</f>
        <v/>
      </c>
      <c r="I16" s="13">
        <f>IFERROR('QTR BS'!I18/'QTR P&amp;L'!L2,"")</f>
        <v/>
      </c>
      <c r="J16" s="13">
        <f>IFERROR('QTR BS'!J18/'QTR P&amp;L'!M2,"")</f>
        <v/>
      </c>
      <c r="K16" s="13">
        <f>IFERROR('QTR BS'!K18/'QTR P&amp;L'!N2,"")</f>
        <v/>
      </c>
      <c r="L16" s="13">
        <f>IFERROR('QTR BS'!L18/'QTR P&amp;L'!O2,"")</f>
        <v/>
      </c>
      <c r="M16" s="13">
        <f>IFERROR('QTR BS'!M18/'QTR P&amp;L'!P2,"")</f>
        <v/>
      </c>
      <c r="N16" s="13">
        <f>IFERROR('QTR BS'!N18/'QTR P&amp;L'!Q2,"")</f>
        <v/>
      </c>
      <c r="O16" s="13">
        <f>IFERROR('QTR BS'!O18/'QTR P&amp;L'!R2,"")</f>
        <v/>
      </c>
      <c r="P16" s="13">
        <f>IFERROR('QTR BS'!P18/'QTR P&amp;L'!S2,"")</f>
        <v/>
      </c>
      <c r="Q16" s="13">
        <f>IFERROR('QTR BS'!Q18/'QTR P&amp;L'!T2,"")</f>
        <v/>
      </c>
      <c r="R16" s="13">
        <f>IFERROR('QTR BS'!R18/'QTR P&amp;L'!U2,"")</f>
        <v/>
      </c>
      <c r="S16" s="13">
        <f>IFERROR('QTR BS'!S18/'QTR P&amp;L'!V2,"")</f>
        <v/>
      </c>
      <c r="T16" s="13">
        <f>IFERROR('QTR BS'!T18/'QTR P&amp;L'!W2,"")</f>
        <v/>
      </c>
      <c r="U16" s="13">
        <f>IFERROR('QTR BS'!U18/'QTR P&amp;L'!X2,"")</f>
        <v/>
      </c>
      <c r="V16" s="13">
        <f>IFERROR('QTR BS'!V18/'QTR P&amp;L'!Y2,"")</f>
        <v/>
      </c>
      <c r="W16" s="13">
        <f>IFERROR('QTR BS'!W18/'QTR P&amp;L'!Z2,"")</f>
        <v/>
      </c>
      <c r="X16" s="13">
        <f>IFERROR('QTR BS'!X18/'QTR P&amp;L'!AA2,"")</f>
        <v/>
      </c>
      <c r="Y16" s="13">
        <f>IFERROR('QTR BS'!Y18/'QTR P&amp;L'!AB2,"")</f>
        <v/>
      </c>
      <c r="Z16" s="13">
        <f>IFERROR('QTR BS'!Z18/'QTR P&amp;L'!AC2,"")</f>
        <v/>
      </c>
      <c r="AA16" s="13">
        <f>IFERROR('QTR BS'!AA18/'QTR P&amp;L'!AD2,"")</f>
        <v/>
      </c>
      <c r="AB16" s="13">
        <f>IFERROR('QTR BS'!AB18/'QTR P&amp;L'!AE2,"")</f>
        <v/>
      </c>
      <c r="AC16" s="13">
        <f>IFERROR('QTR BS'!AC18/'QTR P&amp;L'!AF2,"")</f>
        <v/>
      </c>
      <c r="AD16" s="13">
        <f>IFERROR('QTR BS'!AD18/'QTR P&amp;L'!AG2,"")</f>
        <v/>
      </c>
      <c r="AE16" s="14">
        <f>AD16</f>
        <v/>
      </c>
      <c r="AF16" s="14">
        <f>AE16</f>
        <v/>
      </c>
      <c r="AG16" s="14">
        <f>AF16</f>
        <v/>
      </c>
      <c r="AH16" s="14">
        <f>AG16</f>
        <v/>
      </c>
      <c r="AI16" s="14">
        <f>AH16</f>
        <v/>
      </c>
      <c r="AJ16" s="14">
        <f>AI16</f>
        <v/>
      </c>
      <c r="AK16" s="14">
        <f>AJ16</f>
        <v/>
      </c>
      <c r="AL16" s="14">
        <f>AK16</f>
        <v/>
      </c>
      <c r="AM16" s="14">
        <f>AL16</f>
        <v/>
      </c>
      <c r="AN16" s="14">
        <f>AM16</f>
        <v/>
      </c>
      <c r="AO16" s="14">
        <f>AN16</f>
        <v/>
      </c>
      <c r="AP16" s="14">
        <f>AO16</f>
        <v/>
      </c>
      <c r="AQ16" s="14">
        <f>AP16</f>
        <v/>
      </c>
      <c r="AR16" s="14">
        <f>AQ16</f>
        <v/>
      </c>
      <c r="AS16" s="14">
        <f>AR16</f>
        <v/>
      </c>
      <c r="AT16" s="14">
        <f>AS16</f>
        <v/>
      </c>
      <c r="AU16" s="14">
        <f>AT16</f>
        <v/>
      </c>
      <c r="AV16" s="14">
        <f>AU16</f>
        <v/>
      </c>
      <c r="AW16" s="14">
        <f>AV16</f>
        <v/>
      </c>
      <c r="AX16" s="14">
        <f>AW16</f>
        <v/>
      </c>
    </row>
    <row r="17">
      <c r="A17" s="3" t="inlineStr">
        <is>
          <t>Accrued Expenses — % of Revenue</t>
        </is>
      </c>
      <c r="B17" s="13">
        <f>IFERROR('QTR BS'!B19/'QTR P&amp;L'!E2,"")</f>
        <v/>
      </c>
      <c r="C17" s="13">
        <f>IFERROR('QTR BS'!C19/'QTR P&amp;L'!F2,"")</f>
        <v/>
      </c>
      <c r="D17" s="13">
        <f>IFERROR('QTR BS'!D19/'QTR P&amp;L'!G2,"")</f>
        <v/>
      </c>
      <c r="E17" s="13">
        <f>IFERROR('QTR BS'!E19/'QTR P&amp;L'!H2,"")</f>
        <v/>
      </c>
      <c r="F17" s="13">
        <f>IFERROR('QTR BS'!F19/'QTR P&amp;L'!I2,"")</f>
        <v/>
      </c>
      <c r="G17" s="13">
        <f>IFERROR('QTR BS'!G19/'QTR P&amp;L'!J2,"")</f>
        <v/>
      </c>
      <c r="H17" s="13">
        <f>IFERROR('QTR BS'!H19/'QTR P&amp;L'!K2,"")</f>
        <v/>
      </c>
      <c r="I17" s="13">
        <f>IFERROR('QTR BS'!I19/'QTR P&amp;L'!L2,"")</f>
        <v/>
      </c>
      <c r="J17" s="13">
        <f>IFERROR('QTR BS'!J19/'QTR P&amp;L'!M2,"")</f>
        <v/>
      </c>
      <c r="K17" s="13">
        <f>IFERROR('QTR BS'!K19/'QTR P&amp;L'!N2,"")</f>
        <v/>
      </c>
      <c r="L17" s="13">
        <f>IFERROR('QTR BS'!L19/'QTR P&amp;L'!O2,"")</f>
        <v/>
      </c>
      <c r="M17" s="13">
        <f>IFERROR('QTR BS'!M19/'QTR P&amp;L'!P2,"")</f>
        <v/>
      </c>
      <c r="N17" s="13">
        <f>IFERROR('QTR BS'!N19/'QTR P&amp;L'!Q2,"")</f>
        <v/>
      </c>
      <c r="O17" s="13">
        <f>IFERROR('QTR BS'!O19/'QTR P&amp;L'!R2,"")</f>
        <v/>
      </c>
      <c r="P17" s="13">
        <f>IFERROR('QTR BS'!P19/'QTR P&amp;L'!S2,"")</f>
        <v/>
      </c>
      <c r="Q17" s="13">
        <f>IFERROR('QTR BS'!Q19/'QTR P&amp;L'!T2,"")</f>
        <v/>
      </c>
      <c r="R17" s="13">
        <f>IFERROR('QTR BS'!R19/'QTR P&amp;L'!U2,"")</f>
        <v/>
      </c>
      <c r="S17" s="13">
        <f>IFERROR('QTR BS'!S19/'QTR P&amp;L'!V2,"")</f>
        <v/>
      </c>
      <c r="T17" s="13">
        <f>IFERROR('QTR BS'!T19/'QTR P&amp;L'!W2,"")</f>
        <v/>
      </c>
      <c r="U17" s="13">
        <f>IFERROR('QTR BS'!U19/'QTR P&amp;L'!X2,"")</f>
        <v/>
      </c>
      <c r="V17" s="13">
        <f>IFERROR('QTR BS'!V19/'QTR P&amp;L'!Y2,"")</f>
        <v/>
      </c>
      <c r="W17" s="13">
        <f>IFERROR('QTR BS'!W19/'QTR P&amp;L'!Z2,"")</f>
        <v/>
      </c>
      <c r="X17" s="13">
        <f>IFERROR('QTR BS'!X19/'QTR P&amp;L'!AA2,"")</f>
        <v/>
      </c>
      <c r="Y17" s="13">
        <f>IFERROR('QTR BS'!Y19/'QTR P&amp;L'!AB2,"")</f>
        <v/>
      </c>
      <c r="Z17" s="13">
        <f>IFERROR('QTR BS'!Z19/'QTR P&amp;L'!AC2,"")</f>
        <v/>
      </c>
      <c r="AA17" s="13">
        <f>IFERROR('QTR BS'!AA19/'QTR P&amp;L'!AD2,"")</f>
        <v/>
      </c>
      <c r="AB17" s="13">
        <f>IFERROR('QTR BS'!AB19/'QTR P&amp;L'!AE2,"")</f>
        <v/>
      </c>
      <c r="AC17" s="13">
        <f>IFERROR('QTR BS'!AC19/'QTR P&amp;L'!AF2,"")</f>
        <v/>
      </c>
      <c r="AD17" s="13">
        <f>IFERROR('QTR BS'!AD19/'QTR P&amp;L'!AG2,"")</f>
        <v/>
      </c>
      <c r="AE17" s="14">
        <f>AD17</f>
        <v/>
      </c>
      <c r="AF17" s="14">
        <f>AE17</f>
        <v/>
      </c>
      <c r="AG17" s="14">
        <f>AF17</f>
        <v/>
      </c>
      <c r="AH17" s="14">
        <f>AG17</f>
        <v/>
      </c>
      <c r="AI17" s="14">
        <f>AH17</f>
        <v/>
      </c>
      <c r="AJ17" s="14">
        <f>AI17</f>
        <v/>
      </c>
      <c r="AK17" s="14">
        <f>AJ17</f>
        <v/>
      </c>
      <c r="AL17" s="14">
        <f>AK17</f>
        <v/>
      </c>
      <c r="AM17" s="14">
        <f>AL17</f>
        <v/>
      </c>
      <c r="AN17" s="14">
        <f>AM17</f>
        <v/>
      </c>
      <c r="AO17" s="14">
        <f>AN17</f>
        <v/>
      </c>
      <c r="AP17" s="14">
        <f>AO17</f>
        <v/>
      </c>
      <c r="AQ17" s="14">
        <f>AP17</f>
        <v/>
      </c>
      <c r="AR17" s="14">
        <f>AQ17</f>
        <v/>
      </c>
      <c r="AS17" s="14">
        <f>AR17</f>
        <v/>
      </c>
      <c r="AT17" s="14">
        <f>AS17</f>
        <v/>
      </c>
      <c r="AU17" s="14">
        <f>AT17</f>
        <v/>
      </c>
      <c r="AV17" s="14">
        <f>AU17</f>
        <v/>
      </c>
      <c r="AW17" s="14">
        <f>AV17</f>
        <v/>
      </c>
      <c r="AX17" s="14">
        <f>AW17</f>
        <v/>
      </c>
    </row>
    <row r="18">
      <c r="A18" s="3" t="inlineStr">
        <is>
          <t>Accrued Revenue Share — % of Revenue</t>
        </is>
      </c>
      <c r="B18" s="13">
        <f>IFERROR('QTR BS'!B20/'QTR P&amp;L'!E2,"")</f>
        <v/>
      </c>
      <c r="C18" s="13">
        <f>IFERROR('QTR BS'!C20/'QTR P&amp;L'!F2,"")</f>
        <v/>
      </c>
      <c r="D18" s="13">
        <f>IFERROR('QTR BS'!D20/'QTR P&amp;L'!G2,"")</f>
        <v/>
      </c>
      <c r="E18" s="13">
        <f>IFERROR('QTR BS'!E20/'QTR P&amp;L'!H2,"")</f>
        <v/>
      </c>
      <c r="F18" s="13">
        <f>IFERROR('QTR BS'!F20/'QTR P&amp;L'!I2,"")</f>
        <v/>
      </c>
      <c r="G18" s="13">
        <f>IFERROR('QTR BS'!G20/'QTR P&amp;L'!J2,"")</f>
        <v/>
      </c>
      <c r="H18" s="13">
        <f>IFERROR('QTR BS'!H20/'QTR P&amp;L'!K2,"")</f>
        <v/>
      </c>
      <c r="I18" s="13">
        <f>IFERROR('QTR BS'!I20/'QTR P&amp;L'!L2,"")</f>
        <v/>
      </c>
      <c r="J18" s="13">
        <f>IFERROR('QTR BS'!J20/'QTR P&amp;L'!M2,"")</f>
        <v/>
      </c>
      <c r="K18" s="13">
        <f>IFERROR('QTR BS'!K20/'QTR P&amp;L'!N2,"")</f>
        <v/>
      </c>
      <c r="L18" s="13">
        <f>IFERROR('QTR BS'!L20/'QTR P&amp;L'!O2,"")</f>
        <v/>
      </c>
      <c r="M18" s="13">
        <f>IFERROR('QTR BS'!M20/'QTR P&amp;L'!P2,"")</f>
        <v/>
      </c>
      <c r="N18" s="13">
        <f>IFERROR('QTR BS'!N20/'QTR P&amp;L'!Q2,"")</f>
        <v/>
      </c>
      <c r="O18" s="13">
        <f>IFERROR('QTR BS'!O20/'QTR P&amp;L'!R2,"")</f>
        <v/>
      </c>
      <c r="P18" s="13">
        <f>IFERROR('QTR BS'!P20/'QTR P&amp;L'!S2,"")</f>
        <v/>
      </c>
      <c r="Q18" s="13">
        <f>IFERROR('QTR BS'!Q20/'QTR P&amp;L'!T2,"")</f>
        <v/>
      </c>
      <c r="R18" s="13">
        <f>IFERROR('QTR BS'!R20/'QTR P&amp;L'!U2,"")</f>
        <v/>
      </c>
      <c r="S18" s="13">
        <f>IFERROR('QTR BS'!S20/'QTR P&amp;L'!V2,"")</f>
        <v/>
      </c>
      <c r="T18" s="13">
        <f>IFERROR('QTR BS'!T20/'QTR P&amp;L'!W2,"")</f>
        <v/>
      </c>
      <c r="U18" s="13">
        <f>IFERROR('QTR BS'!U20/'QTR P&amp;L'!X2,"")</f>
        <v/>
      </c>
      <c r="V18" s="13">
        <f>IFERROR('QTR BS'!V20/'QTR P&amp;L'!Y2,"")</f>
        <v/>
      </c>
      <c r="W18" s="13">
        <f>IFERROR('QTR BS'!W20/'QTR P&amp;L'!Z2,"")</f>
        <v/>
      </c>
      <c r="X18" s="13">
        <f>IFERROR('QTR BS'!X20/'QTR P&amp;L'!AA2,"")</f>
        <v/>
      </c>
      <c r="Y18" s="13">
        <f>IFERROR('QTR BS'!Y20/'QTR P&amp;L'!AB2,"")</f>
        <v/>
      </c>
      <c r="Z18" s="13">
        <f>IFERROR('QTR BS'!Z20/'QTR P&amp;L'!AC2,"")</f>
        <v/>
      </c>
      <c r="AA18" s="13">
        <f>IFERROR('QTR BS'!AA20/'QTR P&amp;L'!AD2,"")</f>
        <v/>
      </c>
      <c r="AB18" s="13">
        <f>IFERROR('QTR BS'!AB20/'QTR P&amp;L'!AE2,"")</f>
        <v/>
      </c>
      <c r="AC18" s="13">
        <f>IFERROR('QTR BS'!AC20/'QTR P&amp;L'!AF2,"")</f>
        <v/>
      </c>
      <c r="AD18" s="13">
        <f>IFERROR('QTR BS'!AD20/'QTR P&amp;L'!AG2,"")</f>
        <v/>
      </c>
      <c r="AE18" s="14">
        <f>AD18</f>
        <v/>
      </c>
      <c r="AF18" s="14">
        <f>AE18</f>
        <v/>
      </c>
      <c r="AG18" s="14">
        <f>AF18</f>
        <v/>
      </c>
      <c r="AH18" s="14">
        <f>AG18</f>
        <v/>
      </c>
      <c r="AI18" s="14">
        <f>AH18</f>
        <v/>
      </c>
      <c r="AJ18" s="14">
        <f>AI18</f>
        <v/>
      </c>
      <c r="AK18" s="14">
        <f>AJ18</f>
        <v/>
      </c>
      <c r="AL18" s="14">
        <f>AK18</f>
        <v/>
      </c>
      <c r="AM18" s="14">
        <f>AL18</f>
        <v/>
      </c>
      <c r="AN18" s="14">
        <f>AM18</f>
        <v/>
      </c>
      <c r="AO18" s="14">
        <f>AN18</f>
        <v/>
      </c>
      <c r="AP18" s="14">
        <f>AO18</f>
        <v/>
      </c>
      <c r="AQ18" s="14">
        <f>AP18</f>
        <v/>
      </c>
      <c r="AR18" s="14">
        <f>AQ18</f>
        <v/>
      </c>
      <c r="AS18" s="14">
        <f>AR18</f>
        <v/>
      </c>
      <c r="AT18" s="14">
        <f>AS18</f>
        <v/>
      </c>
      <c r="AU18" s="14">
        <f>AT18</f>
        <v/>
      </c>
      <c r="AV18" s="14">
        <f>AU18</f>
        <v/>
      </c>
      <c r="AW18" s="14">
        <f>AV18</f>
        <v/>
      </c>
      <c r="AX18" s="14">
        <f>AW18</f>
        <v/>
      </c>
    </row>
    <row r="19">
      <c r="A19" s="3" t="inlineStr">
        <is>
          <t>Deferred Revenue - Current — % of Revenue</t>
        </is>
      </c>
      <c r="B19" s="13">
        <f>IFERROR('QTR BS'!B21/'QTR P&amp;L'!E2,"")</f>
        <v/>
      </c>
      <c r="C19" s="13">
        <f>IFERROR('QTR BS'!C21/'QTR P&amp;L'!F2,"")</f>
        <v/>
      </c>
      <c r="D19" s="13">
        <f>IFERROR('QTR BS'!D21/'QTR P&amp;L'!G2,"")</f>
        <v/>
      </c>
      <c r="E19" s="13">
        <f>IFERROR('QTR BS'!E21/'QTR P&amp;L'!H2,"")</f>
        <v/>
      </c>
      <c r="F19" s="13">
        <f>IFERROR('QTR BS'!F21/'QTR P&amp;L'!I2,"")</f>
        <v/>
      </c>
      <c r="G19" s="13">
        <f>IFERROR('QTR BS'!G21/'QTR P&amp;L'!J2,"")</f>
        <v/>
      </c>
      <c r="H19" s="13">
        <f>IFERROR('QTR BS'!H21/'QTR P&amp;L'!K2,"")</f>
        <v/>
      </c>
      <c r="I19" s="13">
        <f>IFERROR('QTR BS'!I21/'QTR P&amp;L'!L2,"")</f>
        <v/>
      </c>
      <c r="J19" s="13">
        <f>IFERROR('QTR BS'!J21/'QTR P&amp;L'!M2,"")</f>
        <v/>
      </c>
      <c r="K19" s="13">
        <f>IFERROR('QTR BS'!K21/'QTR P&amp;L'!N2,"")</f>
        <v/>
      </c>
      <c r="L19" s="13">
        <f>IFERROR('QTR BS'!L21/'QTR P&amp;L'!O2,"")</f>
        <v/>
      </c>
      <c r="M19" s="13">
        <f>IFERROR('QTR BS'!M21/'QTR P&amp;L'!P2,"")</f>
        <v/>
      </c>
      <c r="N19" s="13">
        <f>IFERROR('QTR BS'!N21/'QTR P&amp;L'!Q2,"")</f>
        <v/>
      </c>
      <c r="O19" s="13">
        <f>IFERROR('QTR BS'!O21/'QTR P&amp;L'!R2,"")</f>
        <v/>
      </c>
      <c r="P19" s="13">
        <f>IFERROR('QTR BS'!P21/'QTR P&amp;L'!S2,"")</f>
        <v/>
      </c>
      <c r="Q19" s="13">
        <f>IFERROR('QTR BS'!Q21/'QTR P&amp;L'!T2,"")</f>
        <v/>
      </c>
      <c r="R19" s="13">
        <f>IFERROR('QTR BS'!R21/'QTR P&amp;L'!U2,"")</f>
        <v/>
      </c>
      <c r="S19" s="13">
        <f>IFERROR('QTR BS'!S21/'QTR P&amp;L'!V2,"")</f>
        <v/>
      </c>
      <c r="T19" s="13">
        <f>IFERROR('QTR BS'!T21/'QTR P&amp;L'!W2,"")</f>
        <v/>
      </c>
      <c r="U19" s="13">
        <f>IFERROR('QTR BS'!U21/'QTR P&amp;L'!X2,"")</f>
        <v/>
      </c>
      <c r="V19" s="13">
        <f>IFERROR('QTR BS'!V21/'QTR P&amp;L'!Y2,"")</f>
        <v/>
      </c>
      <c r="W19" s="13">
        <f>IFERROR('QTR BS'!W21/'QTR P&amp;L'!Z2,"")</f>
        <v/>
      </c>
      <c r="X19" s="13">
        <f>IFERROR('QTR BS'!X21/'QTR P&amp;L'!AA2,"")</f>
        <v/>
      </c>
      <c r="Y19" s="13">
        <f>IFERROR('QTR BS'!Y21/'QTR P&amp;L'!AB2,"")</f>
        <v/>
      </c>
      <c r="Z19" s="13">
        <f>IFERROR('QTR BS'!Z21/'QTR P&amp;L'!AC2,"")</f>
        <v/>
      </c>
      <c r="AA19" s="13">
        <f>IFERROR('QTR BS'!AA21/'QTR P&amp;L'!AD2,"")</f>
        <v/>
      </c>
      <c r="AB19" s="13">
        <f>IFERROR('QTR BS'!AB21/'QTR P&amp;L'!AE2,"")</f>
        <v/>
      </c>
      <c r="AC19" s="13">
        <f>IFERROR('QTR BS'!AC21/'QTR P&amp;L'!AF2,"")</f>
        <v/>
      </c>
      <c r="AD19" s="13">
        <f>IFERROR('QTR BS'!AD21/'QTR P&amp;L'!AG2,"")</f>
        <v/>
      </c>
      <c r="AE19" s="14">
        <f>AD19</f>
        <v/>
      </c>
      <c r="AF19" s="14">
        <f>AE19</f>
        <v/>
      </c>
      <c r="AG19" s="14">
        <f>AF19</f>
        <v/>
      </c>
      <c r="AH19" s="14">
        <f>AG19</f>
        <v/>
      </c>
      <c r="AI19" s="14">
        <f>AH19</f>
        <v/>
      </c>
      <c r="AJ19" s="14">
        <f>AI19</f>
        <v/>
      </c>
      <c r="AK19" s="14">
        <f>AJ19</f>
        <v/>
      </c>
      <c r="AL19" s="14">
        <f>AK19</f>
        <v/>
      </c>
      <c r="AM19" s="14">
        <f>AL19</f>
        <v/>
      </c>
      <c r="AN19" s="14">
        <f>AM19</f>
        <v/>
      </c>
      <c r="AO19" s="14">
        <f>AN19</f>
        <v/>
      </c>
      <c r="AP19" s="14">
        <f>AO19</f>
        <v/>
      </c>
      <c r="AQ19" s="14">
        <f>AP19</f>
        <v/>
      </c>
      <c r="AR19" s="14">
        <f>AQ19</f>
        <v/>
      </c>
      <c r="AS19" s="14">
        <f>AR19</f>
        <v/>
      </c>
      <c r="AT19" s="14">
        <f>AS19</f>
        <v/>
      </c>
      <c r="AU19" s="14">
        <f>AT19</f>
        <v/>
      </c>
      <c r="AV19" s="14">
        <f>AU19</f>
        <v/>
      </c>
      <c r="AW19" s="14">
        <f>AV19</f>
        <v/>
      </c>
      <c r="AX19" s="14">
        <f>AW19</f>
        <v/>
      </c>
    </row>
    <row r="20">
      <c r="A20" s="3" t="inlineStr">
        <is>
          <t>Income Taxes Payable — % of Revenue</t>
        </is>
      </c>
      <c r="B20" s="13">
        <f>IFERROR('QTR BS'!B22/'QTR P&amp;L'!E2,"")</f>
        <v/>
      </c>
      <c r="C20" s="13">
        <f>IFERROR('QTR BS'!C22/'QTR P&amp;L'!F2,"")</f>
        <v/>
      </c>
      <c r="D20" s="13">
        <f>IFERROR('QTR BS'!D22/'QTR P&amp;L'!G2,"")</f>
        <v/>
      </c>
      <c r="E20" s="13">
        <f>IFERROR('QTR BS'!E22/'QTR P&amp;L'!H2,"")</f>
        <v/>
      </c>
      <c r="F20" s="13">
        <f>IFERROR('QTR BS'!F22/'QTR P&amp;L'!I2,"")</f>
        <v/>
      </c>
      <c r="G20" s="13">
        <f>IFERROR('QTR BS'!G22/'QTR P&amp;L'!J2,"")</f>
        <v/>
      </c>
      <c r="H20" s="13">
        <f>IFERROR('QTR BS'!H22/'QTR P&amp;L'!K2,"")</f>
        <v/>
      </c>
      <c r="I20" s="13">
        <f>IFERROR('QTR BS'!I22/'QTR P&amp;L'!L2,"")</f>
        <v/>
      </c>
      <c r="J20" s="13">
        <f>IFERROR('QTR BS'!J22/'QTR P&amp;L'!M2,"")</f>
        <v/>
      </c>
      <c r="K20" s="13">
        <f>IFERROR('QTR BS'!K22/'QTR P&amp;L'!N2,"")</f>
        <v/>
      </c>
      <c r="L20" s="13">
        <f>IFERROR('QTR BS'!L22/'QTR P&amp;L'!O2,"")</f>
        <v/>
      </c>
      <c r="M20" s="13">
        <f>IFERROR('QTR BS'!M22/'QTR P&amp;L'!P2,"")</f>
        <v/>
      </c>
      <c r="N20" s="13">
        <f>IFERROR('QTR BS'!N22/'QTR P&amp;L'!Q2,"")</f>
        <v/>
      </c>
      <c r="O20" s="13">
        <f>IFERROR('QTR BS'!O22/'QTR P&amp;L'!R2,"")</f>
        <v/>
      </c>
      <c r="P20" s="13">
        <f>IFERROR('QTR BS'!P22/'QTR P&amp;L'!S2,"")</f>
        <v/>
      </c>
      <c r="Q20" s="13">
        <f>IFERROR('QTR BS'!Q22/'QTR P&amp;L'!T2,"")</f>
        <v/>
      </c>
      <c r="R20" s="13">
        <f>IFERROR('QTR BS'!R22/'QTR P&amp;L'!U2,"")</f>
        <v/>
      </c>
      <c r="S20" s="13">
        <f>IFERROR('QTR BS'!S22/'QTR P&amp;L'!V2,"")</f>
        <v/>
      </c>
      <c r="T20" s="13">
        <f>IFERROR('QTR BS'!T22/'QTR P&amp;L'!W2,"")</f>
        <v/>
      </c>
      <c r="U20" s="13">
        <f>IFERROR('QTR BS'!U22/'QTR P&amp;L'!X2,"")</f>
        <v/>
      </c>
      <c r="V20" s="13">
        <f>IFERROR('QTR BS'!V22/'QTR P&amp;L'!Y2,"")</f>
        <v/>
      </c>
      <c r="W20" s="13">
        <f>IFERROR('QTR BS'!W22/'QTR P&amp;L'!Z2,"")</f>
        <v/>
      </c>
      <c r="X20" s="13">
        <f>IFERROR('QTR BS'!X22/'QTR P&amp;L'!AA2,"")</f>
        <v/>
      </c>
      <c r="Y20" s="13">
        <f>IFERROR('QTR BS'!Y22/'QTR P&amp;L'!AB2,"")</f>
        <v/>
      </c>
      <c r="Z20" s="13">
        <f>IFERROR('QTR BS'!Z22/'QTR P&amp;L'!AC2,"")</f>
        <v/>
      </c>
      <c r="AA20" s="13">
        <f>IFERROR('QTR BS'!AA22/'QTR P&amp;L'!AD2,"")</f>
        <v/>
      </c>
      <c r="AB20" s="13">
        <f>IFERROR('QTR BS'!AB22/'QTR P&amp;L'!AE2,"")</f>
        <v/>
      </c>
      <c r="AC20" s="13">
        <f>IFERROR('QTR BS'!AC22/'QTR P&amp;L'!AF2,"")</f>
        <v/>
      </c>
      <c r="AD20" s="13">
        <f>IFERROR('QTR BS'!AD22/'QTR P&amp;L'!AG2,"")</f>
        <v/>
      </c>
      <c r="AE20" s="14">
        <f>AD20</f>
        <v/>
      </c>
      <c r="AF20" s="14">
        <f>AE20</f>
        <v/>
      </c>
      <c r="AG20" s="14">
        <f>AF20</f>
        <v/>
      </c>
      <c r="AH20" s="14">
        <f>AG20</f>
        <v/>
      </c>
      <c r="AI20" s="14">
        <f>AH20</f>
        <v/>
      </c>
      <c r="AJ20" s="14">
        <f>AI20</f>
        <v/>
      </c>
      <c r="AK20" s="14">
        <f>AJ20</f>
        <v/>
      </c>
      <c r="AL20" s="14">
        <f>AK20</f>
        <v/>
      </c>
      <c r="AM20" s="14">
        <f>AL20</f>
        <v/>
      </c>
      <c r="AN20" s="14">
        <f>AM20</f>
        <v/>
      </c>
      <c r="AO20" s="14">
        <f>AN20</f>
        <v/>
      </c>
      <c r="AP20" s="14">
        <f>AO20</f>
        <v/>
      </c>
      <c r="AQ20" s="14">
        <f>AP20</f>
        <v/>
      </c>
      <c r="AR20" s="14">
        <f>AQ20</f>
        <v/>
      </c>
      <c r="AS20" s="14">
        <f>AR20</f>
        <v/>
      </c>
      <c r="AT20" s="14">
        <f>AS20</f>
        <v/>
      </c>
      <c r="AU20" s="14">
        <f>AT20</f>
        <v/>
      </c>
      <c r="AV20" s="14">
        <f>AU20</f>
        <v/>
      </c>
      <c r="AW20" s="14">
        <f>AV20</f>
        <v/>
      </c>
      <c r="AX20" s="14">
        <f>AW20</f>
        <v/>
      </c>
    </row>
    <row r="21">
      <c r="A21" s="3" t="inlineStr">
        <is>
          <t>Long-Term Debt</t>
        </is>
      </c>
      <c r="B21" s="4">
        <f>'QTR BS'!B24</f>
        <v/>
      </c>
      <c r="C21" s="4">
        <f>'QTR BS'!C24</f>
        <v/>
      </c>
      <c r="D21" s="4">
        <f>'QTR BS'!D24</f>
        <v/>
      </c>
      <c r="E21" s="4">
        <f>'QTR BS'!E24</f>
        <v/>
      </c>
      <c r="F21" s="4">
        <f>'QTR BS'!F24</f>
        <v/>
      </c>
      <c r="G21" s="4">
        <f>'QTR BS'!G24</f>
        <v/>
      </c>
      <c r="H21" s="4">
        <f>'QTR BS'!H24</f>
        <v/>
      </c>
      <c r="I21" s="4">
        <f>'QTR BS'!I24</f>
        <v/>
      </c>
      <c r="J21" s="4">
        <f>'QTR BS'!J24</f>
        <v/>
      </c>
      <c r="K21" s="4">
        <f>'QTR BS'!K24</f>
        <v/>
      </c>
      <c r="L21" s="4">
        <f>'QTR BS'!L24</f>
        <v/>
      </c>
      <c r="M21" s="4">
        <f>'QTR BS'!M24</f>
        <v/>
      </c>
      <c r="N21" s="4">
        <f>'QTR BS'!N24</f>
        <v/>
      </c>
      <c r="O21" s="4">
        <f>'QTR BS'!O24</f>
        <v/>
      </c>
      <c r="P21" s="4">
        <f>'QTR BS'!P24</f>
        <v/>
      </c>
      <c r="Q21" s="4">
        <f>'QTR BS'!Q24</f>
        <v/>
      </c>
      <c r="R21" s="4">
        <f>'QTR BS'!R24</f>
        <v/>
      </c>
      <c r="S21" s="4">
        <f>'QTR BS'!S24</f>
        <v/>
      </c>
      <c r="T21" s="4">
        <f>'QTR BS'!T24</f>
        <v/>
      </c>
      <c r="U21" s="4">
        <f>'QTR BS'!U24</f>
        <v/>
      </c>
      <c r="V21" s="4">
        <f>'QTR BS'!V24</f>
        <v/>
      </c>
      <c r="W21" s="4">
        <f>'QTR BS'!W24</f>
        <v/>
      </c>
      <c r="X21" s="4">
        <f>'QTR BS'!X24</f>
        <v/>
      </c>
      <c r="Y21" s="4">
        <f>'QTR BS'!Y24</f>
        <v/>
      </c>
      <c r="Z21" s="4">
        <f>'QTR BS'!Z24</f>
        <v/>
      </c>
      <c r="AA21" s="4">
        <f>'QTR BS'!AA24</f>
        <v/>
      </c>
      <c r="AB21" s="4">
        <f>'QTR BS'!AB24</f>
        <v/>
      </c>
      <c r="AC21" s="4">
        <f>'QTR BS'!AC24</f>
        <v/>
      </c>
      <c r="AD21" s="4">
        <f>'QTR BS'!AD24</f>
        <v/>
      </c>
      <c r="AE21" s="15">
        <f>AD21</f>
        <v/>
      </c>
      <c r="AF21" s="15">
        <f>AE21</f>
        <v/>
      </c>
      <c r="AG21" s="15">
        <f>AF21</f>
        <v/>
      </c>
      <c r="AH21" s="15">
        <f>AG21</f>
        <v/>
      </c>
      <c r="AI21" s="15">
        <f>AH21</f>
        <v/>
      </c>
      <c r="AJ21" s="15">
        <f>AI21</f>
        <v/>
      </c>
      <c r="AK21" s="15">
        <f>AJ21</f>
        <v/>
      </c>
      <c r="AL21" s="15">
        <f>AK21</f>
        <v/>
      </c>
      <c r="AM21" s="15">
        <f>AL21</f>
        <v/>
      </c>
      <c r="AN21" s="15">
        <f>AM21</f>
        <v/>
      </c>
      <c r="AO21" s="15">
        <f>AN21</f>
        <v/>
      </c>
      <c r="AP21" s="15">
        <f>AO21</f>
        <v/>
      </c>
      <c r="AQ21" s="15">
        <f>AP21</f>
        <v/>
      </c>
      <c r="AR21" s="15">
        <f>AQ21</f>
        <v/>
      </c>
      <c r="AS21" s="15">
        <f>AR21</f>
        <v/>
      </c>
      <c r="AT21" s="15">
        <f>AS21</f>
        <v/>
      </c>
      <c r="AU21" s="15">
        <f>AT21</f>
        <v/>
      </c>
      <c r="AV21" s="15">
        <f>AU21</f>
        <v/>
      </c>
      <c r="AW21" s="15">
        <f>AV21</f>
        <v/>
      </c>
      <c r="AX21" s="15">
        <f>AW21</f>
        <v/>
      </c>
    </row>
    <row r="22">
      <c r="A22" s="3" t="inlineStr">
        <is>
          <t>Deferred Revenue - Non-Current — % of Revenue</t>
        </is>
      </c>
      <c r="B22" s="13">
        <f>IFERROR('QTR BS'!B25/'QTR P&amp;L'!E2,"")</f>
        <v/>
      </c>
      <c r="C22" s="13">
        <f>IFERROR('QTR BS'!C25/'QTR P&amp;L'!F2,"")</f>
        <v/>
      </c>
      <c r="D22" s="13">
        <f>IFERROR('QTR BS'!D25/'QTR P&amp;L'!G2,"")</f>
        <v/>
      </c>
      <c r="E22" s="13">
        <f>IFERROR('QTR BS'!E25/'QTR P&amp;L'!H2,"")</f>
        <v/>
      </c>
      <c r="F22" s="13">
        <f>IFERROR('QTR BS'!F25/'QTR P&amp;L'!I2,"")</f>
        <v/>
      </c>
      <c r="G22" s="13">
        <f>IFERROR('QTR BS'!G25/'QTR P&amp;L'!J2,"")</f>
        <v/>
      </c>
      <c r="H22" s="13">
        <f>IFERROR('QTR BS'!H25/'QTR P&amp;L'!K2,"")</f>
        <v/>
      </c>
      <c r="I22" s="13">
        <f>IFERROR('QTR BS'!I25/'QTR P&amp;L'!L2,"")</f>
        <v/>
      </c>
      <c r="J22" s="13">
        <f>IFERROR('QTR BS'!J25/'QTR P&amp;L'!M2,"")</f>
        <v/>
      </c>
      <c r="K22" s="13">
        <f>IFERROR('QTR BS'!K25/'QTR P&amp;L'!N2,"")</f>
        <v/>
      </c>
      <c r="L22" s="13">
        <f>IFERROR('QTR BS'!L25/'QTR P&amp;L'!O2,"")</f>
        <v/>
      </c>
      <c r="M22" s="13">
        <f>IFERROR('QTR BS'!M25/'QTR P&amp;L'!P2,"")</f>
        <v/>
      </c>
      <c r="N22" s="13">
        <f>IFERROR('QTR BS'!N25/'QTR P&amp;L'!Q2,"")</f>
        <v/>
      </c>
      <c r="O22" s="13">
        <f>IFERROR('QTR BS'!O25/'QTR P&amp;L'!R2,"")</f>
        <v/>
      </c>
      <c r="P22" s="13">
        <f>IFERROR('QTR BS'!P25/'QTR P&amp;L'!S2,"")</f>
        <v/>
      </c>
      <c r="Q22" s="13">
        <f>IFERROR('QTR BS'!Q25/'QTR P&amp;L'!T2,"")</f>
        <v/>
      </c>
      <c r="R22" s="13">
        <f>IFERROR('QTR BS'!R25/'QTR P&amp;L'!U2,"")</f>
        <v/>
      </c>
      <c r="S22" s="13">
        <f>IFERROR('QTR BS'!S25/'QTR P&amp;L'!V2,"")</f>
        <v/>
      </c>
      <c r="T22" s="13">
        <f>IFERROR('QTR BS'!T25/'QTR P&amp;L'!W2,"")</f>
        <v/>
      </c>
      <c r="U22" s="13">
        <f>IFERROR('QTR BS'!U25/'QTR P&amp;L'!X2,"")</f>
        <v/>
      </c>
      <c r="V22" s="13">
        <f>IFERROR('QTR BS'!V25/'QTR P&amp;L'!Y2,"")</f>
        <v/>
      </c>
      <c r="W22" s="13">
        <f>IFERROR('QTR BS'!W25/'QTR P&amp;L'!Z2,"")</f>
        <v/>
      </c>
      <c r="X22" s="13">
        <f>IFERROR('QTR BS'!X25/'QTR P&amp;L'!AA2,"")</f>
        <v/>
      </c>
      <c r="Y22" s="13">
        <f>IFERROR('QTR BS'!Y25/'QTR P&amp;L'!AB2,"")</f>
        <v/>
      </c>
      <c r="Z22" s="13">
        <f>IFERROR('QTR BS'!Z25/'QTR P&amp;L'!AC2,"")</f>
        <v/>
      </c>
      <c r="AA22" s="13">
        <f>IFERROR('QTR BS'!AA25/'QTR P&amp;L'!AD2,"")</f>
        <v/>
      </c>
      <c r="AB22" s="13">
        <f>IFERROR('QTR BS'!AB25/'QTR P&amp;L'!AE2,"")</f>
        <v/>
      </c>
      <c r="AC22" s="13">
        <f>IFERROR('QTR BS'!AC25/'QTR P&amp;L'!AF2,"")</f>
        <v/>
      </c>
      <c r="AD22" s="13">
        <f>IFERROR('QTR BS'!AD25/'QTR P&amp;L'!AG2,"")</f>
        <v/>
      </c>
      <c r="AE22" s="14">
        <f>AD22</f>
        <v/>
      </c>
      <c r="AF22" s="14">
        <f>AE22</f>
        <v/>
      </c>
      <c r="AG22" s="14">
        <f>AF22</f>
        <v/>
      </c>
      <c r="AH22" s="14">
        <f>AG22</f>
        <v/>
      </c>
      <c r="AI22" s="14">
        <f>AH22</f>
        <v/>
      </c>
      <c r="AJ22" s="14">
        <f>AI22</f>
        <v/>
      </c>
      <c r="AK22" s="14">
        <f>AJ22</f>
        <v/>
      </c>
      <c r="AL22" s="14">
        <f>AK22</f>
        <v/>
      </c>
      <c r="AM22" s="14">
        <f>AL22</f>
        <v/>
      </c>
      <c r="AN22" s="14">
        <f>AM22</f>
        <v/>
      </c>
      <c r="AO22" s="14">
        <f>AN22</f>
        <v/>
      </c>
      <c r="AP22" s="14">
        <f>AO22</f>
        <v/>
      </c>
      <c r="AQ22" s="14">
        <f>AP22</f>
        <v/>
      </c>
      <c r="AR22" s="14">
        <f>AQ22</f>
        <v/>
      </c>
      <c r="AS22" s="14">
        <f>AR22</f>
        <v/>
      </c>
      <c r="AT22" s="14">
        <f>AS22</f>
        <v/>
      </c>
      <c r="AU22" s="14">
        <f>AT22</f>
        <v/>
      </c>
      <c r="AV22" s="14">
        <f>AU22</f>
        <v/>
      </c>
      <c r="AW22" s="14">
        <f>AV22</f>
        <v/>
      </c>
      <c r="AX22" s="14">
        <f>AW22</f>
        <v/>
      </c>
    </row>
    <row r="23">
      <c r="A23" s="3" t="inlineStr">
        <is>
          <t>Deferred Tax Liability</t>
        </is>
      </c>
      <c r="B23" s="4">
        <f>'QTR BS'!B26</f>
        <v/>
      </c>
      <c r="C23" s="4">
        <f>'QTR BS'!C26</f>
        <v/>
      </c>
      <c r="D23" s="4">
        <f>'QTR BS'!D26</f>
        <v/>
      </c>
      <c r="E23" s="4">
        <f>'QTR BS'!E26</f>
        <v/>
      </c>
      <c r="F23" s="4">
        <f>'QTR BS'!F26</f>
        <v/>
      </c>
      <c r="G23" s="4">
        <f>'QTR BS'!G26</f>
        <v/>
      </c>
      <c r="H23" s="4">
        <f>'QTR BS'!H26</f>
        <v/>
      </c>
      <c r="I23" s="4">
        <f>'QTR BS'!I26</f>
        <v/>
      </c>
      <c r="J23" s="4">
        <f>'QTR BS'!J26</f>
        <v/>
      </c>
      <c r="K23" s="4">
        <f>'QTR BS'!K26</f>
        <v/>
      </c>
      <c r="L23" s="4">
        <f>'QTR BS'!L26</f>
        <v/>
      </c>
      <c r="M23" s="4">
        <f>'QTR BS'!M26</f>
        <v/>
      </c>
      <c r="N23" s="4">
        <f>'QTR BS'!N26</f>
        <v/>
      </c>
      <c r="O23" s="4">
        <f>'QTR BS'!O26</f>
        <v/>
      </c>
      <c r="P23" s="4">
        <f>'QTR BS'!P26</f>
        <v/>
      </c>
      <c r="Q23" s="4">
        <f>'QTR BS'!Q26</f>
        <v/>
      </c>
      <c r="R23" s="4">
        <f>'QTR BS'!R26</f>
        <v/>
      </c>
      <c r="S23" s="4">
        <f>'QTR BS'!S26</f>
        <v/>
      </c>
      <c r="T23" s="4">
        <f>'QTR BS'!T26</f>
        <v/>
      </c>
      <c r="U23" s="4">
        <f>'QTR BS'!U26</f>
        <v/>
      </c>
      <c r="V23" s="4">
        <f>'QTR BS'!V26</f>
        <v/>
      </c>
      <c r="W23" s="4">
        <f>'QTR BS'!W26</f>
        <v/>
      </c>
      <c r="X23" s="4">
        <f>'QTR BS'!X26</f>
        <v/>
      </c>
      <c r="Y23" s="4">
        <f>'QTR BS'!Y26</f>
        <v/>
      </c>
      <c r="Z23" s="4">
        <f>'QTR BS'!Z26</f>
        <v/>
      </c>
      <c r="AA23" s="4">
        <f>'QTR BS'!AA26</f>
        <v/>
      </c>
      <c r="AB23" s="4">
        <f>'QTR BS'!AB26</f>
        <v/>
      </c>
      <c r="AC23" s="4">
        <f>'QTR BS'!AC26</f>
        <v/>
      </c>
      <c r="AD23" s="4">
        <f>'QTR BS'!AD26</f>
        <v/>
      </c>
      <c r="AE23" s="15">
        <f>AD23</f>
        <v/>
      </c>
      <c r="AF23" s="15">
        <f>AE23</f>
        <v/>
      </c>
      <c r="AG23" s="15">
        <f>AF23</f>
        <v/>
      </c>
      <c r="AH23" s="15">
        <f>AG23</f>
        <v/>
      </c>
      <c r="AI23" s="15">
        <f>AH23</f>
        <v/>
      </c>
      <c r="AJ23" s="15">
        <f>AI23</f>
        <v/>
      </c>
      <c r="AK23" s="15">
        <f>AJ23</f>
        <v/>
      </c>
      <c r="AL23" s="15">
        <f>AK23</f>
        <v/>
      </c>
      <c r="AM23" s="15">
        <f>AL23</f>
        <v/>
      </c>
      <c r="AN23" s="15">
        <f>AM23</f>
        <v/>
      </c>
      <c r="AO23" s="15">
        <f>AN23</f>
        <v/>
      </c>
      <c r="AP23" s="15">
        <f>AO23</f>
        <v/>
      </c>
      <c r="AQ23" s="15">
        <f>AP23</f>
        <v/>
      </c>
      <c r="AR23" s="15">
        <f>AQ23</f>
        <v/>
      </c>
      <c r="AS23" s="15">
        <f>AR23</f>
        <v/>
      </c>
      <c r="AT23" s="15">
        <f>AS23</f>
        <v/>
      </c>
      <c r="AU23" s="15">
        <f>AT23</f>
        <v/>
      </c>
      <c r="AV23" s="15">
        <f>AU23</f>
        <v/>
      </c>
      <c r="AW23" s="15">
        <f>AV23</f>
        <v/>
      </c>
      <c r="AX23" s="15">
        <f>AW23</f>
        <v/>
      </c>
    </row>
    <row r="24">
      <c r="A24" s="3" t="inlineStr">
        <is>
          <t>Lease Liability - Operating - Non-Current — % of Revenue</t>
        </is>
      </c>
      <c r="B24" s="13">
        <f>IFERROR('QTR BS'!B27/'QTR P&amp;L'!E2,"")</f>
        <v/>
      </c>
      <c r="C24" s="13">
        <f>IFERROR('QTR BS'!C27/'QTR P&amp;L'!F2,"")</f>
        <v/>
      </c>
      <c r="D24" s="13">
        <f>IFERROR('QTR BS'!D27/'QTR P&amp;L'!G2,"")</f>
        <v/>
      </c>
      <c r="E24" s="13">
        <f>IFERROR('QTR BS'!E27/'QTR P&amp;L'!H2,"")</f>
        <v/>
      </c>
      <c r="F24" s="13">
        <f>IFERROR('QTR BS'!F27/'QTR P&amp;L'!I2,"")</f>
        <v/>
      </c>
      <c r="G24" s="13">
        <f>IFERROR('QTR BS'!G27/'QTR P&amp;L'!J2,"")</f>
        <v/>
      </c>
      <c r="H24" s="13">
        <f>IFERROR('QTR BS'!H27/'QTR P&amp;L'!K2,"")</f>
        <v/>
      </c>
      <c r="I24" s="13">
        <f>IFERROR('QTR BS'!I27/'QTR P&amp;L'!L2,"")</f>
        <v/>
      </c>
      <c r="J24" s="13">
        <f>IFERROR('QTR BS'!J27/'QTR P&amp;L'!M2,"")</f>
        <v/>
      </c>
      <c r="K24" s="13">
        <f>IFERROR('QTR BS'!K27/'QTR P&amp;L'!N2,"")</f>
        <v/>
      </c>
      <c r="L24" s="13">
        <f>IFERROR('QTR BS'!L27/'QTR P&amp;L'!O2,"")</f>
        <v/>
      </c>
      <c r="M24" s="13">
        <f>IFERROR('QTR BS'!M27/'QTR P&amp;L'!P2,"")</f>
        <v/>
      </c>
      <c r="N24" s="13">
        <f>IFERROR('QTR BS'!N27/'QTR P&amp;L'!Q2,"")</f>
        <v/>
      </c>
      <c r="O24" s="13">
        <f>IFERROR('QTR BS'!O27/'QTR P&amp;L'!R2,"")</f>
        <v/>
      </c>
      <c r="P24" s="13">
        <f>IFERROR('QTR BS'!P27/'QTR P&amp;L'!S2,"")</f>
        <v/>
      </c>
      <c r="Q24" s="13">
        <f>IFERROR('QTR BS'!Q27/'QTR P&amp;L'!T2,"")</f>
        <v/>
      </c>
      <c r="R24" s="13">
        <f>IFERROR('QTR BS'!R27/'QTR P&amp;L'!U2,"")</f>
        <v/>
      </c>
      <c r="S24" s="13">
        <f>IFERROR('QTR BS'!S27/'QTR P&amp;L'!V2,"")</f>
        <v/>
      </c>
      <c r="T24" s="13">
        <f>IFERROR('QTR BS'!T27/'QTR P&amp;L'!W2,"")</f>
        <v/>
      </c>
      <c r="U24" s="13">
        <f>IFERROR('QTR BS'!U27/'QTR P&amp;L'!X2,"")</f>
        <v/>
      </c>
      <c r="V24" s="13">
        <f>IFERROR('QTR BS'!V27/'QTR P&amp;L'!Y2,"")</f>
        <v/>
      </c>
      <c r="W24" s="13">
        <f>IFERROR('QTR BS'!W27/'QTR P&amp;L'!Z2,"")</f>
        <v/>
      </c>
      <c r="X24" s="13">
        <f>IFERROR('QTR BS'!X27/'QTR P&amp;L'!AA2,"")</f>
        <v/>
      </c>
      <c r="Y24" s="13">
        <f>IFERROR('QTR BS'!Y27/'QTR P&amp;L'!AB2,"")</f>
        <v/>
      </c>
      <c r="Z24" s="13">
        <f>IFERROR('QTR BS'!Z27/'QTR P&amp;L'!AC2,"")</f>
        <v/>
      </c>
      <c r="AA24" s="13">
        <f>IFERROR('QTR BS'!AA27/'QTR P&amp;L'!AD2,"")</f>
        <v/>
      </c>
      <c r="AB24" s="13">
        <f>IFERROR('QTR BS'!AB27/'QTR P&amp;L'!AE2,"")</f>
        <v/>
      </c>
      <c r="AC24" s="13">
        <f>IFERROR('QTR BS'!AC27/'QTR P&amp;L'!AF2,"")</f>
        <v/>
      </c>
      <c r="AD24" s="13">
        <f>IFERROR('QTR BS'!AD27/'QTR P&amp;L'!AG2,"")</f>
        <v/>
      </c>
      <c r="AE24" s="14">
        <f>AD24</f>
        <v/>
      </c>
      <c r="AF24" s="14">
        <f>AE24</f>
        <v/>
      </c>
      <c r="AG24" s="14">
        <f>AF24</f>
        <v/>
      </c>
      <c r="AH24" s="14">
        <f>AG24</f>
        <v/>
      </c>
      <c r="AI24" s="14">
        <f>AH24</f>
        <v/>
      </c>
      <c r="AJ24" s="14">
        <f>AI24</f>
        <v/>
      </c>
      <c r="AK24" s="14">
        <f>AJ24</f>
        <v/>
      </c>
      <c r="AL24" s="14">
        <f>AK24</f>
        <v/>
      </c>
      <c r="AM24" s="14">
        <f>AL24</f>
        <v/>
      </c>
      <c r="AN24" s="14">
        <f>AM24</f>
        <v/>
      </c>
      <c r="AO24" s="14">
        <f>AN24</f>
        <v/>
      </c>
      <c r="AP24" s="14">
        <f>AO24</f>
        <v/>
      </c>
      <c r="AQ24" s="14">
        <f>AP24</f>
        <v/>
      </c>
      <c r="AR24" s="14">
        <f>AQ24</f>
        <v/>
      </c>
      <c r="AS24" s="14">
        <f>AR24</f>
        <v/>
      </c>
      <c r="AT24" s="14">
        <f>AS24</f>
        <v/>
      </c>
      <c r="AU24" s="14">
        <f>AT24</f>
        <v/>
      </c>
      <c r="AV24" s="14">
        <f>AU24</f>
        <v/>
      </c>
      <c r="AW24" s="14">
        <f>AV24</f>
        <v/>
      </c>
      <c r="AX24" s="14">
        <f>AW24</f>
        <v/>
      </c>
    </row>
    <row r="25">
      <c r="A25" s="3" t="inlineStr">
        <is>
          <t>Other Non-Current Liabilities — % of Revenue</t>
        </is>
      </c>
      <c r="B25" s="13">
        <f>IFERROR('QTR BS'!B28/'QTR P&amp;L'!E2,"")</f>
        <v/>
      </c>
      <c r="C25" s="13">
        <f>IFERROR('QTR BS'!C28/'QTR P&amp;L'!F2,"")</f>
        <v/>
      </c>
      <c r="D25" s="13">
        <f>IFERROR('QTR BS'!D28/'QTR P&amp;L'!G2,"")</f>
        <v/>
      </c>
      <c r="E25" s="13">
        <f>IFERROR('QTR BS'!E28/'QTR P&amp;L'!H2,"")</f>
        <v/>
      </c>
      <c r="F25" s="13">
        <f>IFERROR('QTR BS'!F28/'QTR P&amp;L'!I2,"")</f>
        <v/>
      </c>
      <c r="G25" s="13">
        <f>IFERROR('QTR BS'!G28/'QTR P&amp;L'!J2,"")</f>
        <v/>
      </c>
      <c r="H25" s="13">
        <f>IFERROR('QTR BS'!H28/'QTR P&amp;L'!K2,"")</f>
        <v/>
      </c>
      <c r="I25" s="13">
        <f>IFERROR('QTR BS'!I28/'QTR P&amp;L'!L2,"")</f>
        <v/>
      </c>
      <c r="J25" s="13">
        <f>IFERROR('QTR BS'!J28/'QTR P&amp;L'!M2,"")</f>
        <v/>
      </c>
      <c r="K25" s="13">
        <f>IFERROR('QTR BS'!K28/'QTR P&amp;L'!N2,"")</f>
        <v/>
      </c>
      <c r="L25" s="13">
        <f>IFERROR('QTR BS'!L28/'QTR P&amp;L'!O2,"")</f>
        <v/>
      </c>
      <c r="M25" s="13">
        <f>IFERROR('QTR BS'!M28/'QTR P&amp;L'!P2,"")</f>
        <v/>
      </c>
      <c r="N25" s="13">
        <f>IFERROR('QTR BS'!N28/'QTR P&amp;L'!Q2,"")</f>
        <v/>
      </c>
      <c r="O25" s="13">
        <f>IFERROR('QTR BS'!O28/'QTR P&amp;L'!R2,"")</f>
        <v/>
      </c>
      <c r="P25" s="13">
        <f>IFERROR('QTR BS'!P28/'QTR P&amp;L'!S2,"")</f>
        <v/>
      </c>
      <c r="Q25" s="13">
        <f>IFERROR('QTR BS'!Q28/'QTR P&amp;L'!T2,"")</f>
        <v/>
      </c>
      <c r="R25" s="13">
        <f>IFERROR('QTR BS'!R28/'QTR P&amp;L'!U2,"")</f>
        <v/>
      </c>
      <c r="S25" s="13">
        <f>IFERROR('QTR BS'!S28/'QTR P&amp;L'!V2,"")</f>
        <v/>
      </c>
      <c r="T25" s="13">
        <f>IFERROR('QTR BS'!T28/'QTR P&amp;L'!W2,"")</f>
        <v/>
      </c>
      <c r="U25" s="13">
        <f>IFERROR('QTR BS'!U28/'QTR P&amp;L'!X2,"")</f>
        <v/>
      </c>
      <c r="V25" s="13">
        <f>IFERROR('QTR BS'!V28/'QTR P&amp;L'!Y2,"")</f>
        <v/>
      </c>
      <c r="W25" s="13">
        <f>IFERROR('QTR BS'!W28/'QTR P&amp;L'!Z2,"")</f>
        <v/>
      </c>
      <c r="X25" s="13">
        <f>IFERROR('QTR BS'!X28/'QTR P&amp;L'!AA2,"")</f>
        <v/>
      </c>
      <c r="Y25" s="13">
        <f>IFERROR('QTR BS'!Y28/'QTR P&amp;L'!AB2,"")</f>
        <v/>
      </c>
      <c r="Z25" s="13">
        <f>IFERROR('QTR BS'!Z28/'QTR P&amp;L'!AC2,"")</f>
        <v/>
      </c>
      <c r="AA25" s="13">
        <f>IFERROR('QTR BS'!AA28/'QTR P&amp;L'!AD2,"")</f>
        <v/>
      </c>
      <c r="AB25" s="13">
        <f>IFERROR('QTR BS'!AB28/'QTR P&amp;L'!AE2,"")</f>
        <v/>
      </c>
      <c r="AC25" s="13">
        <f>IFERROR('QTR BS'!AC28/'QTR P&amp;L'!AF2,"")</f>
        <v/>
      </c>
      <c r="AD25" s="13">
        <f>IFERROR('QTR BS'!AD28/'QTR P&amp;L'!AG2,"")</f>
        <v/>
      </c>
      <c r="AE25" s="14">
        <f>AD25</f>
        <v/>
      </c>
      <c r="AF25" s="14">
        <f>AE25</f>
        <v/>
      </c>
      <c r="AG25" s="14">
        <f>AF25</f>
        <v/>
      </c>
      <c r="AH25" s="14">
        <f>AG25</f>
        <v/>
      </c>
      <c r="AI25" s="14">
        <f>AH25</f>
        <v/>
      </c>
      <c r="AJ25" s="14">
        <f>AI25</f>
        <v/>
      </c>
      <c r="AK25" s="14">
        <f>AJ25</f>
        <v/>
      </c>
      <c r="AL25" s="14">
        <f>AK25</f>
        <v/>
      </c>
      <c r="AM25" s="14">
        <f>AL25</f>
        <v/>
      </c>
      <c r="AN25" s="14">
        <f>AM25</f>
        <v/>
      </c>
      <c r="AO25" s="14">
        <f>AN25</f>
        <v/>
      </c>
      <c r="AP25" s="14">
        <f>AO25</f>
        <v/>
      </c>
      <c r="AQ25" s="14">
        <f>AP25</f>
        <v/>
      </c>
      <c r="AR25" s="14">
        <f>AQ25</f>
        <v/>
      </c>
      <c r="AS25" s="14">
        <f>AR25</f>
        <v/>
      </c>
      <c r="AT25" s="14">
        <f>AS25</f>
        <v/>
      </c>
      <c r="AU25" s="14">
        <f>AT25</f>
        <v/>
      </c>
      <c r="AV25" s="14">
        <f>AU25</f>
        <v/>
      </c>
      <c r="AW25" s="14">
        <f>AV25</f>
        <v/>
      </c>
      <c r="AX25" s="14">
        <f>AW25</f>
        <v/>
      </c>
    </row>
    <row r="26">
      <c r="A26" s="3" t="inlineStr">
        <is>
          <t>Convertible Preferred Stock</t>
        </is>
      </c>
      <c r="B26" s="4">
        <f>'QTR BS'!B30</f>
        <v/>
      </c>
      <c r="C26" s="4">
        <f>'QTR BS'!C30</f>
        <v/>
      </c>
      <c r="D26" s="4">
        <f>'QTR BS'!D30</f>
        <v/>
      </c>
      <c r="E26" s="4">
        <f>'QTR BS'!E30</f>
        <v/>
      </c>
      <c r="F26" s="4">
        <f>'QTR BS'!F30</f>
        <v/>
      </c>
      <c r="G26" s="4">
        <f>'QTR BS'!G30</f>
        <v/>
      </c>
      <c r="H26" s="4">
        <f>'QTR BS'!H30</f>
        <v/>
      </c>
      <c r="I26" s="4">
        <f>'QTR BS'!I30</f>
        <v/>
      </c>
      <c r="J26" s="4">
        <f>'QTR BS'!J30</f>
        <v/>
      </c>
      <c r="K26" s="4">
        <f>'QTR BS'!K30</f>
        <v/>
      </c>
      <c r="L26" s="4">
        <f>'QTR BS'!L30</f>
        <v/>
      </c>
      <c r="M26" s="4">
        <f>'QTR BS'!M30</f>
        <v/>
      </c>
      <c r="N26" s="4">
        <f>'QTR BS'!N30</f>
        <v/>
      </c>
      <c r="O26" s="4">
        <f>'QTR BS'!O30</f>
        <v/>
      </c>
      <c r="P26" s="4">
        <f>'QTR BS'!P30</f>
        <v/>
      </c>
      <c r="Q26" s="4">
        <f>'QTR BS'!Q30</f>
        <v/>
      </c>
      <c r="R26" s="4">
        <f>'QTR BS'!R30</f>
        <v/>
      </c>
      <c r="S26" s="4">
        <f>'QTR BS'!S30</f>
        <v/>
      </c>
      <c r="T26" s="4">
        <f>'QTR BS'!T30</f>
        <v/>
      </c>
      <c r="U26" s="4">
        <f>'QTR BS'!U30</f>
        <v/>
      </c>
      <c r="V26" s="4">
        <f>'QTR BS'!V30</f>
        <v/>
      </c>
      <c r="W26" s="4">
        <f>'QTR BS'!W30</f>
        <v/>
      </c>
      <c r="X26" s="4">
        <f>'QTR BS'!X30</f>
        <v/>
      </c>
      <c r="Y26" s="4">
        <f>'QTR BS'!Y30</f>
        <v/>
      </c>
      <c r="Z26" s="4">
        <f>'QTR BS'!Z30</f>
        <v/>
      </c>
      <c r="AA26" s="4">
        <f>'QTR BS'!AA30</f>
        <v/>
      </c>
      <c r="AB26" s="4">
        <f>'QTR BS'!AB30</f>
        <v/>
      </c>
      <c r="AC26" s="4">
        <f>'QTR BS'!AC30</f>
        <v/>
      </c>
      <c r="AD26" s="4">
        <f>'QTR BS'!AD30</f>
        <v/>
      </c>
      <c r="AE26" s="15">
        <f>AD26</f>
        <v/>
      </c>
      <c r="AF26" s="15">
        <f>AE26</f>
        <v/>
      </c>
      <c r="AG26" s="15">
        <f>AF26</f>
        <v/>
      </c>
      <c r="AH26" s="15">
        <f>AG26</f>
        <v/>
      </c>
      <c r="AI26" s="15">
        <f>AH26</f>
        <v/>
      </c>
      <c r="AJ26" s="15">
        <f>AI26</f>
        <v/>
      </c>
      <c r="AK26" s="15">
        <f>AJ26</f>
        <v/>
      </c>
      <c r="AL26" s="15">
        <f>AK26</f>
        <v/>
      </c>
      <c r="AM26" s="15">
        <f>AL26</f>
        <v/>
      </c>
      <c r="AN26" s="15">
        <f>AM26</f>
        <v/>
      </c>
      <c r="AO26" s="15">
        <f>AN26</f>
        <v/>
      </c>
      <c r="AP26" s="15">
        <f>AO26</f>
        <v/>
      </c>
      <c r="AQ26" s="15">
        <f>AP26</f>
        <v/>
      </c>
      <c r="AR26" s="15">
        <f>AQ26</f>
        <v/>
      </c>
      <c r="AS26" s="15">
        <f>AR26</f>
        <v/>
      </c>
      <c r="AT26" s="15">
        <f>AS26</f>
        <v/>
      </c>
      <c r="AU26" s="15">
        <f>AT26</f>
        <v/>
      </c>
      <c r="AV26" s="15">
        <f>AU26</f>
        <v/>
      </c>
      <c r="AW26" s="15">
        <f>AV26</f>
        <v/>
      </c>
      <c r="AX26" s="15">
        <f>AW26</f>
        <v/>
      </c>
    </row>
    <row r="27">
      <c r="A27" s="3" t="inlineStr">
        <is>
          <t>Common Stock and Additional Paid-in Capital</t>
        </is>
      </c>
      <c r="B27" s="4">
        <f>'QTR BS'!B31</f>
        <v/>
      </c>
      <c r="C27" s="4">
        <f>'QTR BS'!C31</f>
        <v/>
      </c>
      <c r="D27" s="4">
        <f>'QTR BS'!D31</f>
        <v/>
      </c>
      <c r="E27" s="4">
        <f>'QTR BS'!E31</f>
        <v/>
      </c>
      <c r="F27" s="4">
        <f>'QTR BS'!F31</f>
        <v/>
      </c>
      <c r="G27" s="4">
        <f>'QTR BS'!G31</f>
        <v/>
      </c>
      <c r="H27" s="4">
        <f>'QTR BS'!H31</f>
        <v/>
      </c>
      <c r="I27" s="4">
        <f>'QTR BS'!I31</f>
        <v/>
      </c>
      <c r="J27" s="4">
        <f>'QTR BS'!J31</f>
        <v/>
      </c>
      <c r="K27" s="4">
        <f>'QTR BS'!K31</f>
        <v/>
      </c>
      <c r="L27" s="4">
        <f>'QTR BS'!L31</f>
        <v/>
      </c>
      <c r="M27" s="4">
        <f>'QTR BS'!M31</f>
        <v/>
      </c>
      <c r="N27" s="4">
        <f>'QTR BS'!N31</f>
        <v/>
      </c>
      <c r="O27" s="4">
        <f>'QTR BS'!O31</f>
        <v/>
      </c>
      <c r="P27" s="4">
        <f>'QTR BS'!P31</f>
        <v/>
      </c>
      <c r="Q27" s="4">
        <f>'QTR BS'!Q31</f>
        <v/>
      </c>
      <c r="R27" s="4">
        <f>'QTR BS'!R31</f>
        <v/>
      </c>
      <c r="S27" s="4">
        <f>'QTR BS'!S31</f>
        <v/>
      </c>
      <c r="T27" s="4">
        <f>'QTR BS'!T31</f>
        <v/>
      </c>
      <c r="U27" s="4">
        <f>'QTR BS'!U31</f>
        <v/>
      </c>
      <c r="V27" s="4">
        <f>'QTR BS'!V31</f>
        <v/>
      </c>
      <c r="W27" s="4">
        <f>'QTR BS'!W31</f>
        <v/>
      </c>
      <c r="X27" s="4">
        <f>'QTR BS'!X31</f>
        <v/>
      </c>
      <c r="Y27" s="4">
        <f>'QTR BS'!Y31</f>
        <v/>
      </c>
      <c r="Z27" s="4">
        <f>'QTR BS'!Z31</f>
        <v/>
      </c>
      <c r="AA27" s="4">
        <f>'QTR BS'!AA31</f>
        <v/>
      </c>
      <c r="AB27" s="4">
        <f>'QTR BS'!AB31</f>
        <v/>
      </c>
      <c r="AC27" s="4">
        <f>'QTR BS'!AC31</f>
        <v/>
      </c>
      <c r="AD27" s="4">
        <f>'QTR BS'!AD31</f>
        <v/>
      </c>
      <c r="AE27" s="4">
        <f>AD27+'QTR CF'!AH6</f>
        <v/>
      </c>
      <c r="AF27" s="4">
        <f>AE27+'QTR CF'!AI6</f>
        <v/>
      </c>
      <c r="AG27" s="4">
        <f>AF27+'QTR CF'!AJ6</f>
        <v/>
      </c>
      <c r="AH27" s="4">
        <f>AG27+'QTR CF'!AK6</f>
        <v/>
      </c>
      <c r="AI27" s="4">
        <f>AH27+'QTR CF'!AL6</f>
        <v/>
      </c>
      <c r="AJ27" s="4">
        <f>AI27+'QTR CF'!AM6</f>
        <v/>
      </c>
      <c r="AK27" s="4">
        <f>AJ27+'QTR CF'!AN6</f>
        <v/>
      </c>
      <c r="AL27" s="4">
        <f>AK27+'QTR CF'!AO6</f>
        <v/>
      </c>
      <c r="AM27" s="4">
        <f>AL27+'QTR CF'!AP6</f>
        <v/>
      </c>
      <c r="AN27" s="4">
        <f>AM27+'QTR CF'!AQ6</f>
        <v/>
      </c>
      <c r="AO27" s="4">
        <f>AN27+'QTR CF'!AR6</f>
        <v/>
      </c>
      <c r="AP27" s="4">
        <f>AO27+'QTR CF'!AS6</f>
        <v/>
      </c>
      <c r="AQ27" s="4">
        <f>AP27+'QTR CF'!AT6</f>
        <v/>
      </c>
      <c r="AR27" s="4">
        <f>AQ27+'QTR CF'!AU6</f>
        <v/>
      </c>
      <c r="AS27" s="4">
        <f>AR27+'QTR CF'!AV6</f>
        <v/>
      </c>
      <c r="AT27" s="4">
        <f>AS27+'QTR CF'!AW6</f>
        <v/>
      </c>
      <c r="AU27" s="4">
        <f>AT27+'QTR CF'!AX6</f>
        <v/>
      </c>
      <c r="AV27" s="4">
        <f>AU27+'QTR CF'!AY6</f>
        <v/>
      </c>
      <c r="AW27" s="4">
        <f>AV27+'QTR CF'!AZ6</f>
        <v/>
      </c>
      <c r="AX27" s="4">
        <f>AW27+'QTR CF'!BA6</f>
        <v/>
      </c>
    </row>
    <row r="28">
      <c r="A28" s="3" t="inlineStr">
        <is>
          <t>Accumulated Other Comprehensive Income (Loss)</t>
        </is>
      </c>
      <c r="B28" s="4">
        <f>'QTR BS'!B32</f>
        <v/>
      </c>
      <c r="C28" s="4">
        <f>'QTR BS'!C32</f>
        <v/>
      </c>
      <c r="D28" s="4">
        <f>'QTR BS'!D32</f>
        <v/>
      </c>
      <c r="E28" s="4">
        <f>'QTR BS'!E32</f>
        <v/>
      </c>
      <c r="F28" s="4">
        <f>'QTR BS'!F32</f>
        <v/>
      </c>
      <c r="G28" s="4">
        <f>'QTR BS'!G32</f>
        <v/>
      </c>
      <c r="H28" s="4">
        <f>'QTR BS'!H32</f>
        <v/>
      </c>
      <c r="I28" s="4">
        <f>'QTR BS'!I32</f>
        <v/>
      </c>
      <c r="J28" s="4">
        <f>'QTR BS'!J32</f>
        <v/>
      </c>
      <c r="K28" s="4">
        <f>'QTR BS'!K32</f>
        <v/>
      </c>
      <c r="L28" s="4">
        <f>'QTR BS'!L32</f>
        <v/>
      </c>
      <c r="M28" s="4">
        <f>'QTR BS'!M32</f>
        <v/>
      </c>
      <c r="N28" s="4">
        <f>'QTR BS'!N32</f>
        <v/>
      </c>
      <c r="O28" s="4">
        <f>'QTR BS'!O32</f>
        <v/>
      </c>
      <c r="P28" s="4">
        <f>'QTR BS'!P32</f>
        <v/>
      </c>
      <c r="Q28" s="4">
        <f>'QTR BS'!Q32</f>
        <v/>
      </c>
      <c r="R28" s="4">
        <f>'QTR BS'!R32</f>
        <v/>
      </c>
      <c r="S28" s="4">
        <f>'QTR BS'!S32</f>
        <v/>
      </c>
      <c r="T28" s="4">
        <f>'QTR BS'!T32</f>
        <v/>
      </c>
      <c r="U28" s="4">
        <f>'QTR BS'!U32</f>
        <v/>
      </c>
      <c r="V28" s="4">
        <f>'QTR BS'!V32</f>
        <v/>
      </c>
      <c r="W28" s="4">
        <f>'QTR BS'!W32</f>
        <v/>
      </c>
      <c r="X28" s="4">
        <f>'QTR BS'!X32</f>
        <v/>
      </c>
      <c r="Y28" s="4">
        <f>'QTR BS'!Y32</f>
        <v/>
      </c>
      <c r="Z28" s="4">
        <f>'QTR BS'!Z32</f>
        <v/>
      </c>
      <c r="AA28" s="4">
        <f>'QTR BS'!AA32</f>
        <v/>
      </c>
      <c r="AB28" s="4">
        <f>'QTR BS'!AB32</f>
        <v/>
      </c>
      <c r="AC28" s="4">
        <f>'QTR BS'!AC32</f>
        <v/>
      </c>
      <c r="AD28" s="4">
        <f>'QTR BS'!AD32</f>
        <v/>
      </c>
      <c r="AE28" s="4">
        <f>AD28+'QTR CF'!AH32</f>
        <v/>
      </c>
      <c r="AF28" s="4">
        <f>AE28+'QTR CF'!AI32</f>
        <v/>
      </c>
      <c r="AG28" s="4">
        <f>AF28+'QTR CF'!AJ32</f>
        <v/>
      </c>
      <c r="AH28" s="4">
        <f>AG28+'QTR CF'!AK32</f>
        <v/>
      </c>
      <c r="AI28" s="4">
        <f>AH28+'QTR CF'!AL32</f>
        <v/>
      </c>
      <c r="AJ28" s="4">
        <f>AI28+'QTR CF'!AM32</f>
        <v/>
      </c>
      <c r="AK28" s="4">
        <f>AJ28+'QTR CF'!AN32</f>
        <v/>
      </c>
      <c r="AL28" s="4">
        <f>AK28+'QTR CF'!AO32</f>
        <v/>
      </c>
      <c r="AM28" s="4">
        <f>AL28+'QTR CF'!AP32</f>
        <v/>
      </c>
      <c r="AN28" s="4">
        <f>AM28+'QTR CF'!AQ32</f>
        <v/>
      </c>
      <c r="AO28" s="4">
        <f>AN28+'QTR CF'!AR32</f>
        <v/>
      </c>
      <c r="AP28" s="4">
        <f>AO28+'QTR CF'!AS32</f>
        <v/>
      </c>
      <c r="AQ28" s="4">
        <f>AP28+'QTR CF'!AT32</f>
        <v/>
      </c>
      <c r="AR28" s="4">
        <f>AQ28+'QTR CF'!AU32</f>
        <v/>
      </c>
      <c r="AS28" s="4">
        <f>AR28+'QTR CF'!AV32</f>
        <v/>
      </c>
      <c r="AT28" s="4">
        <f>AS28+'QTR CF'!AW32</f>
        <v/>
      </c>
      <c r="AU28" s="4">
        <f>AT28+'QTR CF'!AX32</f>
        <v/>
      </c>
      <c r="AV28" s="4">
        <f>AU28+'QTR CF'!AY32</f>
        <v/>
      </c>
      <c r="AW28" s="4">
        <f>AV28+'QTR CF'!AZ32</f>
        <v/>
      </c>
      <c r="AX28" s="4">
        <f>AW28+'QTR CF'!BA32</f>
        <v/>
      </c>
    </row>
    <row r="29">
      <c r="A29" s="3" t="inlineStr">
        <is>
          <t>Retained Earnings (Accumulated Deficit)</t>
        </is>
      </c>
      <c r="B29" s="4">
        <f>'QTR BS'!B33</f>
        <v/>
      </c>
      <c r="C29" s="4">
        <f>'QTR BS'!C33</f>
        <v/>
      </c>
      <c r="D29" s="4">
        <f>'QTR BS'!D33</f>
        <v/>
      </c>
      <c r="E29" s="4">
        <f>'QTR BS'!E33</f>
        <v/>
      </c>
      <c r="F29" s="4">
        <f>'QTR BS'!F33</f>
        <v/>
      </c>
      <c r="G29" s="4">
        <f>'QTR BS'!G33</f>
        <v/>
      </c>
      <c r="H29" s="4">
        <f>'QTR BS'!H33</f>
        <v/>
      </c>
      <c r="I29" s="4">
        <f>'QTR BS'!I33</f>
        <v/>
      </c>
      <c r="J29" s="4">
        <f>'QTR BS'!J33</f>
        <v/>
      </c>
      <c r="K29" s="4">
        <f>'QTR BS'!K33</f>
        <v/>
      </c>
      <c r="L29" s="4">
        <f>'QTR BS'!L33</f>
        <v/>
      </c>
      <c r="M29" s="4">
        <f>'QTR BS'!M33</f>
        <v/>
      </c>
      <c r="N29" s="4">
        <f>'QTR BS'!N33</f>
        <v/>
      </c>
      <c r="O29" s="4">
        <f>'QTR BS'!O33</f>
        <v/>
      </c>
      <c r="P29" s="4">
        <f>'QTR BS'!P33</f>
        <v/>
      </c>
      <c r="Q29" s="4">
        <f>'QTR BS'!Q33</f>
        <v/>
      </c>
      <c r="R29" s="4">
        <f>'QTR BS'!R33</f>
        <v/>
      </c>
      <c r="S29" s="4">
        <f>'QTR BS'!S33</f>
        <v/>
      </c>
      <c r="T29" s="4">
        <f>'QTR BS'!T33</f>
        <v/>
      </c>
      <c r="U29" s="4">
        <f>'QTR BS'!U33</f>
        <v/>
      </c>
      <c r="V29" s="4">
        <f>'QTR BS'!V33</f>
        <v/>
      </c>
      <c r="W29" s="4">
        <f>'QTR BS'!W33</f>
        <v/>
      </c>
      <c r="X29" s="4">
        <f>'QTR BS'!X33</f>
        <v/>
      </c>
      <c r="Y29" s="4">
        <f>'QTR BS'!Y33</f>
        <v/>
      </c>
      <c r="Z29" s="4">
        <f>'QTR BS'!Z33</f>
        <v/>
      </c>
      <c r="AA29" s="4">
        <f>'QTR BS'!AA33</f>
        <v/>
      </c>
      <c r="AB29" s="4">
        <f>'QTR BS'!AB33</f>
        <v/>
      </c>
      <c r="AC29" s="4">
        <f>'QTR BS'!AC33</f>
        <v/>
      </c>
      <c r="AD29" s="4">
        <f>'QTR BS'!AD33</f>
        <v/>
      </c>
      <c r="AE29" s="4">
        <f>AD29+'QTR P&amp;L'!AH13+'QTR CF'!AH27</f>
        <v/>
      </c>
      <c r="AF29" s="4">
        <f>AE29+'QTR P&amp;L'!AI13+'QTR CF'!AI27</f>
        <v/>
      </c>
      <c r="AG29" s="4">
        <f>AF29+'QTR P&amp;L'!AJ13+'QTR CF'!AJ27</f>
        <v/>
      </c>
      <c r="AH29" s="4">
        <f>AG29+'QTR P&amp;L'!AK13+'QTR CF'!AK27</f>
        <v/>
      </c>
      <c r="AI29" s="4">
        <f>AH29+'QTR P&amp;L'!AL13+'QTR CF'!AL27</f>
        <v/>
      </c>
      <c r="AJ29" s="4">
        <f>AI29+'QTR P&amp;L'!AM13+'QTR CF'!AM27</f>
        <v/>
      </c>
      <c r="AK29" s="4">
        <f>AJ29+'QTR P&amp;L'!AN13+'QTR CF'!AN27</f>
        <v/>
      </c>
      <c r="AL29" s="4">
        <f>AK29+'QTR P&amp;L'!AO13+'QTR CF'!AO27</f>
        <v/>
      </c>
      <c r="AM29" s="4">
        <f>AL29+'QTR P&amp;L'!AP13+'QTR CF'!AP27</f>
        <v/>
      </c>
      <c r="AN29" s="4">
        <f>AM29+'QTR P&amp;L'!AQ13+'QTR CF'!AQ27</f>
        <v/>
      </c>
      <c r="AO29" s="4">
        <f>AN29+'QTR P&amp;L'!AR13+'QTR CF'!AR27</f>
        <v/>
      </c>
      <c r="AP29" s="4">
        <f>AO29+'QTR P&amp;L'!AS13+'QTR CF'!AS27</f>
        <v/>
      </c>
      <c r="AQ29" s="4">
        <f>AP29+'QTR P&amp;L'!AT13+'QTR CF'!AT27</f>
        <v/>
      </c>
      <c r="AR29" s="4">
        <f>AQ29+'QTR P&amp;L'!AU13+'QTR CF'!AU27</f>
        <v/>
      </c>
      <c r="AS29" s="4">
        <f>AR29+'QTR P&amp;L'!AV13+'QTR CF'!AV27</f>
        <v/>
      </c>
      <c r="AT29" s="4">
        <f>AS29+'QTR P&amp;L'!AW13+'QTR CF'!AW27</f>
        <v/>
      </c>
      <c r="AU29" s="4">
        <f>AT29+'QTR P&amp;L'!AX13+'QTR CF'!AX27</f>
        <v/>
      </c>
      <c r="AV29" s="4">
        <f>AU29+'QTR P&amp;L'!AY13+'QTR CF'!AY27</f>
        <v/>
      </c>
      <c r="AW29" s="4">
        <f>AV29+'QTR P&amp;L'!AZ13+'QTR CF'!AZ27</f>
        <v/>
      </c>
      <c r="AX29" s="4">
        <f>AW29+'QTR P&amp;L'!BA13+'QTR CF'!BA27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>
      <c r="A1" s="1" t="inlineStr">
        <is>
          <t>Driver</t>
        </is>
      </c>
      <c r="B1" s="2" t="inlineStr">
        <is>
          <t>Q1 FY2018</t>
        </is>
      </c>
      <c r="C1" s="2" t="inlineStr">
        <is>
          <t>Q2 FY2018</t>
        </is>
      </c>
      <c r="D1" s="2" t="inlineStr">
        <is>
          <t>Q3 FY2018</t>
        </is>
      </c>
      <c r="E1" s="2" t="inlineStr">
        <is>
          <t>Q4 FY2018</t>
        </is>
      </c>
      <c r="F1" s="2" t="inlineStr">
        <is>
          <t>Q1 FY2019</t>
        </is>
      </c>
      <c r="G1" s="2" t="inlineStr">
        <is>
          <t>Q2 FY2019</t>
        </is>
      </c>
      <c r="H1" s="2" t="inlineStr">
        <is>
          <t>Q3 FY2019</t>
        </is>
      </c>
      <c r="I1" s="2" t="inlineStr">
        <is>
          <t>Q4 FY2019</t>
        </is>
      </c>
      <c r="J1" s="2" t="inlineStr">
        <is>
          <t>Q1 FY2020</t>
        </is>
      </c>
      <c r="K1" s="2" t="inlineStr">
        <is>
          <t>Q2 FY2020</t>
        </is>
      </c>
      <c r="L1" s="2" t="inlineStr">
        <is>
          <t>Q3 FY2020</t>
        </is>
      </c>
      <c r="M1" s="2" t="inlineStr">
        <is>
          <t>Q4 FY2020</t>
        </is>
      </c>
      <c r="N1" s="2" t="inlineStr">
        <is>
          <t>Q1 FY2021</t>
        </is>
      </c>
      <c r="O1" s="2" t="inlineStr">
        <is>
          <t>Q2 FY2021</t>
        </is>
      </c>
      <c r="P1" s="2" t="inlineStr">
        <is>
          <t>Q3 FY2021</t>
        </is>
      </c>
      <c r="Q1" s="2" t="inlineStr">
        <is>
          <t>Q4 FY2021</t>
        </is>
      </c>
      <c r="R1" s="2" t="inlineStr">
        <is>
          <t>Q1 FY2022</t>
        </is>
      </c>
      <c r="S1" s="2" t="inlineStr">
        <is>
          <t>Q2 FY2022</t>
        </is>
      </c>
      <c r="T1" s="2" t="inlineStr">
        <is>
          <t>Q3 FY2022</t>
        </is>
      </c>
      <c r="U1" s="2" t="inlineStr">
        <is>
          <t>Q4 FY2022</t>
        </is>
      </c>
      <c r="V1" s="2" t="inlineStr">
        <is>
          <t>Q1 FY2023</t>
        </is>
      </c>
      <c r="W1" s="2" t="inlineStr">
        <is>
          <t>Q2 FY2023</t>
        </is>
      </c>
      <c r="X1" s="2" t="inlineStr">
        <is>
          <t>Q3 FY2023</t>
        </is>
      </c>
      <c r="Y1" s="2" t="inlineStr">
        <is>
          <t>Q4 FY2023</t>
        </is>
      </c>
      <c r="Z1" s="2" t="inlineStr">
        <is>
          <t>Q1 FY2024</t>
        </is>
      </c>
      <c r="AA1" s="2" t="inlineStr">
        <is>
          <t>Q2 FY2024</t>
        </is>
      </c>
      <c r="AB1" s="2" t="inlineStr">
        <is>
          <t>Q3 FY2024</t>
        </is>
      </c>
      <c r="AC1" s="2" t="inlineStr">
        <is>
          <t>Q4 FY2024</t>
        </is>
      </c>
      <c r="AD1" s="2" t="inlineStr">
        <is>
          <t>Q1 FY2025</t>
        </is>
      </c>
      <c r="AE1" s="2" t="inlineStr">
        <is>
          <t>Q2 FY2025</t>
        </is>
      </c>
      <c r="AF1" s="2" t="inlineStr">
        <is>
          <t>Q3 FY2025</t>
        </is>
      </c>
      <c r="AG1" s="2" t="inlineStr">
        <is>
          <t>Q4 FY2025</t>
        </is>
      </c>
      <c r="AH1" s="2" t="inlineStr">
        <is>
          <t>Q1 FY2026E</t>
        </is>
      </c>
      <c r="AI1" s="2" t="inlineStr">
        <is>
          <t>Q2 FY2026E</t>
        </is>
      </c>
      <c r="AJ1" s="2" t="inlineStr">
        <is>
          <t>Q3 FY2026E</t>
        </is>
      </c>
      <c r="AK1" s="2" t="inlineStr">
        <is>
          <t>Q4 FY2026E</t>
        </is>
      </c>
      <c r="AL1" s="2" t="inlineStr">
        <is>
          <t>Q1 FY2027E</t>
        </is>
      </c>
      <c r="AM1" s="2" t="inlineStr">
        <is>
          <t>Q2 FY2027E</t>
        </is>
      </c>
      <c r="AN1" s="2" t="inlineStr">
        <is>
          <t>Q3 FY2027E</t>
        </is>
      </c>
      <c r="AO1" s="2" t="inlineStr">
        <is>
          <t>Q4 FY2027E</t>
        </is>
      </c>
      <c r="AP1" s="2" t="inlineStr">
        <is>
          <t>Q1 FY2028E</t>
        </is>
      </c>
      <c r="AQ1" s="2" t="inlineStr">
        <is>
          <t>Q2 FY2028E</t>
        </is>
      </c>
      <c r="AR1" s="2" t="inlineStr">
        <is>
          <t>Q3 FY2028E</t>
        </is>
      </c>
      <c r="AS1" s="2" t="inlineStr">
        <is>
          <t>Q4 FY2028E</t>
        </is>
      </c>
      <c r="AT1" s="2" t="inlineStr">
        <is>
          <t>Q1 FY2029E</t>
        </is>
      </c>
      <c r="AU1" s="2" t="inlineStr">
        <is>
          <t>Q2 FY2029E</t>
        </is>
      </c>
      <c r="AV1" s="2" t="inlineStr">
        <is>
          <t>Q3 FY2029E</t>
        </is>
      </c>
      <c r="AW1" s="2" t="inlineStr">
        <is>
          <t>Q4 FY2029E</t>
        </is>
      </c>
      <c r="AX1" s="2" t="inlineStr">
        <is>
          <t>Q1 FY2030E</t>
        </is>
      </c>
      <c r="AY1" s="2" t="inlineStr">
        <is>
          <t>Q2 FY2030E</t>
        </is>
      </c>
      <c r="AZ1" s="2" t="inlineStr">
        <is>
          <t>Q3 FY2030E</t>
        </is>
      </c>
      <c r="BA1" s="2" t="inlineStr">
        <is>
          <t>Q4 FY2030E</t>
        </is>
      </c>
    </row>
    <row r="2">
      <c r="A2" s="3" t="inlineStr">
        <is>
          <t>Net Income (Loss)</t>
        </is>
      </c>
      <c r="B2" s="4">
        <f>'QTR CF'!B2</f>
        <v/>
      </c>
      <c r="C2" s="4">
        <f>'QTR CF'!C2</f>
        <v/>
      </c>
      <c r="D2" s="4">
        <f>'QTR CF'!D2</f>
        <v/>
      </c>
      <c r="E2" s="4">
        <f>'QTR CF'!E2</f>
        <v/>
      </c>
      <c r="F2" s="4">
        <f>'QTR CF'!F2</f>
        <v/>
      </c>
      <c r="G2" s="4">
        <f>'QTR CF'!G2</f>
        <v/>
      </c>
      <c r="H2" s="4">
        <f>'QTR CF'!H2</f>
        <v/>
      </c>
      <c r="I2" s="4">
        <f>'QTR CF'!I2</f>
        <v/>
      </c>
      <c r="J2" s="4">
        <f>'QTR CF'!J2</f>
        <v/>
      </c>
      <c r="K2" s="4">
        <f>'QTR CF'!K2</f>
        <v/>
      </c>
      <c r="L2" s="4">
        <f>'QTR CF'!L2</f>
        <v/>
      </c>
      <c r="M2" s="4">
        <f>'QTR CF'!M2</f>
        <v/>
      </c>
      <c r="N2" s="4">
        <f>'QTR CF'!N2</f>
        <v/>
      </c>
      <c r="O2" s="4">
        <f>'QTR CF'!O2</f>
        <v/>
      </c>
      <c r="P2" s="4">
        <f>'QTR CF'!P2</f>
        <v/>
      </c>
      <c r="Q2" s="4">
        <f>'QTR CF'!Q2</f>
        <v/>
      </c>
      <c r="R2" s="4">
        <f>'QTR CF'!R2</f>
        <v/>
      </c>
      <c r="S2" s="4">
        <f>'QTR CF'!S2</f>
        <v/>
      </c>
      <c r="T2" s="4">
        <f>'QTR CF'!T2</f>
        <v/>
      </c>
      <c r="U2" s="4">
        <f>'QTR CF'!U2</f>
        <v/>
      </c>
      <c r="V2" s="4">
        <f>'QTR CF'!V2</f>
        <v/>
      </c>
      <c r="W2" s="4">
        <f>'QTR CF'!W2</f>
        <v/>
      </c>
      <c r="X2" s="4">
        <f>'QTR CF'!X2</f>
        <v/>
      </c>
      <c r="Y2" s="4">
        <f>'QTR CF'!Y2</f>
        <v/>
      </c>
      <c r="Z2" s="4">
        <f>'QTR CF'!Z2</f>
        <v/>
      </c>
      <c r="AA2" s="4">
        <f>'QTR CF'!AA2</f>
        <v/>
      </c>
      <c r="AB2" s="4">
        <f>'QTR CF'!AB2</f>
        <v/>
      </c>
      <c r="AC2" s="4">
        <f>'QTR CF'!AC2</f>
        <v/>
      </c>
      <c r="AD2" s="4">
        <f>'QTR CF'!AD2</f>
        <v/>
      </c>
      <c r="AE2" s="4">
        <f>'QTR CF'!AE2</f>
        <v/>
      </c>
      <c r="AF2" s="4">
        <f>'QTR CF'!AF2</f>
        <v/>
      </c>
      <c r="AG2" s="4">
        <f>'QTR CF'!AG2</f>
        <v/>
      </c>
      <c r="AH2" s="4">
        <f>'QTR P&amp;L'!AH13</f>
        <v/>
      </c>
      <c r="AI2" s="4">
        <f>'QTR P&amp;L'!AI13</f>
        <v/>
      </c>
      <c r="AJ2" s="4">
        <f>'QTR P&amp;L'!AJ13</f>
        <v/>
      </c>
      <c r="AK2" s="4">
        <f>'QTR P&amp;L'!AK13</f>
        <v/>
      </c>
      <c r="AL2" s="4">
        <f>'QTR P&amp;L'!AL13</f>
        <v/>
      </c>
      <c r="AM2" s="4">
        <f>'QTR P&amp;L'!AM13</f>
        <v/>
      </c>
      <c r="AN2" s="4">
        <f>'QTR P&amp;L'!AN13</f>
        <v/>
      </c>
      <c r="AO2" s="4">
        <f>'QTR P&amp;L'!AO13</f>
        <v/>
      </c>
      <c r="AP2" s="4">
        <f>'QTR P&amp;L'!AP13</f>
        <v/>
      </c>
      <c r="AQ2" s="4">
        <f>'QTR P&amp;L'!AQ13</f>
        <v/>
      </c>
      <c r="AR2" s="4">
        <f>'QTR P&amp;L'!AR13</f>
        <v/>
      </c>
      <c r="AS2" s="4">
        <f>'QTR P&amp;L'!AS13</f>
        <v/>
      </c>
      <c r="AT2" s="4">
        <f>'QTR P&amp;L'!AT13</f>
        <v/>
      </c>
      <c r="AU2" s="4">
        <f>'QTR P&amp;L'!AU13</f>
        <v/>
      </c>
      <c r="AV2" s="4">
        <f>'QTR P&amp;L'!AV13</f>
        <v/>
      </c>
      <c r="AW2" s="4">
        <f>'QTR P&amp;L'!AW13</f>
        <v/>
      </c>
      <c r="AX2" s="4">
        <f>'QTR P&amp;L'!AX13</f>
        <v/>
      </c>
      <c r="AY2" s="4">
        <f>'QTR P&amp;L'!AY13</f>
        <v/>
      </c>
      <c r="AZ2" s="4">
        <f>'QTR P&amp;L'!AZ13</f>
        <v/>
      </c>
      <c r="BA2" s="4">
        <f>'QTR P&amp;L'!BA13</f>
        <v/>
      </c>
    </row>
    <row r="3">
      <c r="A3" s="3" t="inlineStr">
        <is>
          <t>Depreciation and Impairment of PP&amp;E</t>
        </is>
      </c>
      <c r="B3" s="4">
        <f>'QTR CF'!B3</f>
        <v/>
      </c>
      <c r="C3" s="4">
        <f>'QTR CF'!C3</f>
        <v/>
      </c>
      <c r="D3" s="4">
        <f>'QTR CF'!D3</f>
        <v/>
      </c>
      <c r="E3" s="4">
        <f>'QTR CF'!E3</f>
        <v/>
      </c>
      <c r="F3" s="4">
        <f>'QTR CF'!F3</f>
        <v/>
      </c>
      <c r="G3" s="4">
        <f>'QTR CF'!G3</f>
        <v/>
      </c>
      <c r="H3" s="4">
        <f>'QTR CF'!H3</f>
        <v/>
      </c>
      <c r="I3" s="4">
        <f>'QTR CF'!I3</f>
        <v/>
      </c>
      <c r="J3" s="4">
        <f>'QTR CF'!J3</f>
        <v/>
      </c>
      <c r="K3" s="4">
        <f>'QTR CF'!K3</f>
        <v/>
      </c>
      <c r="L3" s="4">
        <f>'QTR CF'!L3</f>
        <v/>
      </c>
      <c r="M3" s="4">
        <f>'QTR CF'!M3</f>
        <v/>
      </c>
      <c r="N3" s="4">
        <f>'QTR CF'!N3</f>
        <v/>
      </c>
      <c r="O3" s="4">
        <f>'QTR CF'!O3</f>
        <v/>
      </c>
      <c r="P3" s="4">
        <f>'QTR CF'!P3</f>
        <v/>
      </c>
      <c r="Q3" s="4">
        <f>'QTR CF'!Q3</f>
        <v/>
      </c>
      <c r="R3" s="4">
        <f>'QTR CF'!R3</f>
        <v/>
      </c>
      <c r="S3" s="4">
        <f>'QTR CF'!S3</f>
        <v/>
      </c>
      <c r="T3" s="4">
        <f>'QTR CF'!T3</f>
        <v/>
      </c>
      <c r="U3" s="4">
        <f>'QTR CF'!U3</f>
        <v/>
      </c>
      <c r="V3" s="4">
        <f>'QTR CF'!V3</f>
        <v/>
      </c>
      <c r="W3" s="4">
        <f>'QTR CF'!W3</f>
        <v/>
      </c>
      <c r="X3" s="4">
        <f>'QTR CF'!X3</f>
        <v/>
      </c>
      <c r="Y3" s="4">
        <f>'QTR CF'!Y3</f>
        <v/>
      </c>
      <c r="Z3" s="4">
        <f>'QTR CF'!Z3</f>
        <v/>
      </c>
      <c r="AA3" s="4">
        <f>'QTR CF'!AA3</f>
        <v/>
      </c>
      <c r="AB3" s="4">
        <f>'QTR CF'!AB3</f>
        <v/>
      </c>
      <c r="AC3" s="4">
        <f>'QTR CF'!AC3</f>
        <v/>
      </c>
      <c r="AD3" s="4">
        <f>'QTR CF'!AD3</f>
        <v/>
      </c>
      <c r="AE3" s="4">
        <f>'QTR CF'!AE3</f>
        <v/>
      </c>
      <c r="AF3" s="4">
        <f>'QTR CF'!AF3</f>
        <v/>
      </c>
      <c r="AG3" s="4">
        <f>'QTR CF'!AG3</f>
        <v/>
      </c>
      <c r="AH3" s="15" t="n">
        <v>0</v>
      </c>
      <c r="AI3" s="15" t="n">
        <v>0</v>
      </c>
      <c r="AJ3" s="15" t="n">
        <v>0</v>
      </c>
      <c r="AK3" s="15" t="n">
        <v>0</v>
      </c>
      <c r="AL3" s="15" t="n">
        <v>0</v>
      </c>
      <c r="AM3" s="15" t="n">
        <v>0</v>
      </c>
      <c r="AN3" s="15" t="n">
        <v>0</v>
      </c>
      <c r="AO3" s="15" t="n">
        <v>0</v>
      </c>
      <c r="AP3" s="15" t="n">
        <v>0</v>
      </c>
      <c r="AQ3" s="15" t="n">
        <v>0</v>
      </c>
      <c r="AR3" s="15" t="n">
        <v>0</v>
      </c>
      <c r="AS3" s="15" t="n">
        <v>0</v>
      </c>
      <c r="AT3" s="15" t="n">
        <v>0</v>
      </c>
      <c r="AU3" s="15" t="n">
        <v>0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</v>
      </c>
      <c r="BA3" s="15" t="n">
        <v>0</v>
      </c>
    </row>
    <row r="4">
      <c r="A4" s="3" t="inlineStr">
        <is>
          <t>Amortization and Impairment of Intangibles</t>
        </is>
      </c>
      <c r="B4" s="4">
        <f>'QTR CF'!B4</f>
        <v/>
      </c>
      <c r="C4" s="4">
        <f>'QTR CF'!C4</f>
        <v/>
      </c>
      <c r="D4" s="4">
        <f>'QTR CF'!D4</f>
        <v/>
      </c>
      <c r="E4" s="4">
        <f>'QTR CF'!E4</f>
        <v/>
      </c>
      <c r="F4" s="4">
        <f>'QTR CF'!F4</f>
        <v/>
      </c>
      <c r="G4" s="4">
        <f>'QTR CF'!G4</f>
        <v/>
      </c>
      <c r="H4" s="4">
        <f>'QTR CF'!H4</f>
        <v/>
      </c>
      <c r="I4" s="4">
        <f>'QTR CF'!I4</f>
        <v/>
      </c>
      <c r="J4" s="4">
        <f>'QTR CF'!J4</f>
        <v/>
      </c>
      <c r="K4" s="4">
        <f>'QTR CF'!K4</f>
        <v/>
      </c>
      <c r="L4" s="4">
        <f>'QTR CF'!L4</f>
        <v/>
      </c>
      <c r="M4" s="4">
        <f>'QTR CF'!M4</f>
        <v/>
      </c>
      <c r="N4" s="4">
        <f>'QTR CF'!N4</f>
        <v/>
      </c>
      <c r="O4" s="4">
        <f>'QTR CF'!O4</f>
        <v/>
      </c>
      <c r="P4" s="4">
        <f>'QTR CF'!P4</f>
        <v/>
      </c>
      <c r="Q4" s="4">
        <f>'QTR CF'!Q4</f>
        <v/>
      </c>
      <c r="R4" s="4">
        <f>'QTR CF'!R4</f>
        <v/>
      </c>
      <c r="S4" s="4">
        <f>'QTR CF'!S4</f>
        <v/>
      </c>
      <c r="T4" s="4">
        <f>'QTR CF'!T4</f>
        <v/>
      </c>
      <c r="U4" s="4">
        <f>'QTR CF'!U4</f>
        <v/>
      </c>
      <c r="V4" s="4">
        <f>'QTR CF'!V4</f>
        <v/>
      </c>
      <c r="W4" s="4">
        <f>'QTR CF'!W4</f>
        <v/>
      </c>
      <c r="X4" s="4">
        <f>'QTR CF'!X4</f>
        <v/>
      </c>
      <c r="Y4" s="4">
        <f>'QTR CF'!Y4</f>
        <v/>
      </c>
      <c r="Z4" s="4">
        <f>'QTR CF'!Z4</f>
        <v/>
      </c>
      <c r="AA4" s="4">
        <f>'QTR CF'!AA4</f>
        <v/>
      </c>
      <c r="AB4" s="4">
        <f>'QTR CF'!AB4</f>
        <v/>
      </c>
      <c r="AC4" s="4">
        <f>'QTR CF'!AC4</f>
        <v/>
      </c>
      <c r="AD4" s="4">
        <f>'QTR CF'!AD4</f>
        <v/>
      </c>
      <c r="AE4" s="4">
        <f>'QTR CF'!AE4</f>
        <v/>
      </c>
      <c r="AF4" s="4">
        <f>'QTR CF'!AF4</f>
        <v/>
      </c>
      <c r="AG4" s="4">
        <f>'QTR CF'!AG4</f>
        <v/>
      </c>
      <c r="AH4" s="15" t="n">
        <v>0</v>
      </c>
      <c r="AI4" s="15" t="n">
        <v>0</v>
      </c>
      <c r="AJ4" s="15" t="n">
        <v>0</v>
      </c>
      <c r="AK4" s="15" t="n">
        <v>0</v>
      </c>
      <c r="AL4" s="15" t="n">
        <v>0</v>
      </c>
      <c r="AM4" s="15" t="n">
        <v>0</v>
      </c>
      <c r="AN4" s="15" t="n">
        <v>0</v>
      </c>
      <c r="AO4" s="15" t="n">
        <v>0</v>
      </c>
      <c r="AP4" s="15" t="n">
        <v>0</v>
      </c>
      <c r="AQ4" s="15" t="n">
        <v>0</v>
      </c>
      <c r="AR4" s="15" t="n">
        <v>0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</row>
    <row r="5">
      <c r="A5" s="3" t="inlineStr">
        <is>
          <t>Depreciation</t>
        </is>
      </c>
      <c r="B5" s="4">
        <f>'QTR CF'!B5</f>
        <v/>
      </c>
      <c r="C5" s="4">
        <f>'QTR CF'!C5</f>
        <v/>
      </c>
      <c r="D5" s="4">
        <f>'QTR CF'!D5</f>
        <v/>
      </c>
      <c r="E5" s="4">
        <f>'QTR CF'!E5</f>
        <v/>
      </c>
      <c r="F5" s="4">
        <f>'QTR CF'!F5</f>
        <v/>
      </c>
      <c r="G5" s="4">
        <f>'QTR CF'!G5</f>
        <v/>
      </c>
      <c r="H5" s="4">
        <f>'QTR CF'!H5</f>
        <v/>
      </c>
      <c r="I5" s="4">
        <f>'QTR CF'!I5</f>
        <v/>
      </c>
      <c r="J5" s="4">
        <f>'QTR CF'!J5</f>
        <v/>
      </c>
      <c r="K5" s="4">
        <f>'QTR CF'!K5</f>
        <v/>
      </c>
      <c r="L5" s="4">
        <f>'QTR CF'!L5</f>
        <v/>
      </c>
      <c r="M5" s="4">
        <f>'QTR CF'!M5</f>
        <v/>
      </c>
      <c r="N5" s="4">
        <f>'QTR CF'!N5</f>
        <v/>
      </c>
      <c r="O5" s="4">
        <f>'QTR CF'!O5</f>
        <v/>
      </c>
      <c r="P5" s="4">
        <f>'QTR CF'!P5</f>
        <v/>
      </c>
      <c r="Q5" s="4">
        <f>'QTR CF'!Q5</f>
        <v/>
      </c>
      <c r="R5" s="4">
        <f>'QTR CF'!R5</f>
        <v/>
      </c>
      <c r="S5" s="4">
        <f>'QTR CF'!S5</f>
        <v/>
      </c>
      <c r="T5" s="4">
        <f>'QTR CF'!T5</f>
        <v/>
      </c>
      <c r="U5" s="4">
        <f>'QTR CF'!U5</f>
        <v/>
      </c>
      <c r="V5" s="4">
        <f>'QTR CF'!V5</f>
        <v/>
      </c>
      <c r="W5" s="4">
        <f>'QTR CF'!W5</f>
        <v/>
      </c>
      <c r="X5" s="4">
        <f>'QTR CF'!X5</f>
        <v/>
      </c>
      <c r="Y5" s="4">
        <f>'QTR CF'!Y5</f>
        <v/>
      </c>
      <c r="Z5" s="4">
        <f>'QTR CF'!Z5</f>
        <v/>
      </c>
      <c r="AA5" s="4">
        <f>'QTR CF'!AA5</f>
        <v/>
      </c>
      <c r="AB5" s="4">
        <f>'QTR CF'!AB5</f>
        <v/>
      </c>
      <c r="AC5" s="4">
        <f>'QTR CF'!AC5</f>
        <v/>
      </c>
      <c r="AD5" s="4">
        <f>'QTR CF'!AD5</f>
        <v/>
      </c>
      <c r="AE5" s="4">
        <f>'QTR CF'!AE5</f>
        <v/>
      </c>
      <c r="AF5" s="4">
        <f>'QTR CF'!AF5</f>
        <v/>
      </c>
      <c r="AG5" s="4">
        <f>'QTR CF'!AG5</f>
        <v/>
      </c>
      <c r="AH5" s="15" t="n">
        <v>0</v>
      </c>
      <c r="AI5" s="15" t="n">
        <v>0</v>
      </c>
      <c r="AJ5" s="15" t="n">
        <v>0</v>
      </c>
      <c r="AK5" s="15" t="n">
        <v>0</v>
      </c>
      <c r="AL5" s="15" t="n">
        <v>0</v>
      </c>
      <c r="AM5" s="15" t="n">
        <v>0</v>
      </c>
      <c r="AN5" s="15" t="n">
        <v>0</v>
      </c>
      <c r="AO5" s="15" t="n">
        <v>0</v>
      </c>
      <c r="AP5" s="15" t="n">
        <v>0</v>
      </c>
      <c r="AQ5" s="15" t="n">
        <v>0</v>
      </c>
      <c r="AR5" s="15" t="n">
        <v>0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0</v>
      </c>
      <c r="AX5" s="15" t="n">
        <v>0</v>
      </c>
      <c r="AY5" s="15" t="n">
        <v>0</v>
      </c>
      <c r="AZ5" s="15" t="n">
        <v>0</v>
      </c>
      <c r="BA5" s="15" t="n">
        <v>0</v>
      </c>
    </row>
    <row r="6">
      <c r="A6" s="3" t="inlineStr">
        <is>
          <t>Stock-Based Compensation — % of Revenue</t>
        </is>
      </c>
      <c r="B6" s="13">
        <f>IFERROR('QTR CF'!B6/'QTR P&amp;L'!B2,"")</f>
        <v/>
      </c>
      <c r="C6" s="13">
        <f>IFERROR('QTR CF'!C6/'QTR P&amp;L'!C2,"")</f>
        <v/>
      </c>
      <c r="D6" s="13">
        <f>IFERROR('QTR CF'!D6/'QTR P&amp;L'!D2,"")</f>
        <v/>
      </c>
      <c r="E6" s="13">
        <f>IFERROR('QTR CF'!E6/'QTR P&amp;L'!E2,"")</f>
        <v/>
      </c>
      <c r="F6" s="13">
        <f>IFERROR('QTR CF'!F6/'QTR P&amp;L'!F2,"")</f>
        <v/>
      </c>
      <c r="G6" s="13">
        <f>IFERROR('QTR CF'!G6/'QTR P&amp;L'!G2,"")</f>
        <v/>
      </c>
      <c r="H6" s="13">
        <f>IFERROR('QTR CF'!H6/'QTR P&amp;L'!H2,"")</f>
        <v/>
      </c>
      <c r="I6" s="13">
        <f>IFERROR('QTR CF'!I6/'QTR P&amp;L'!I2,"")</f>
        <v/>
      </c>
      <c r="J6" s="13">
        <f>IFERROR('QTR CF'!J6/'QTR P&amp;L'!J2,"")</f>
        <v/>
      </c>
      <c r="K6" s="13">
        <f>IFERROR('QTR CF'!K6/'QTR P&amp;L'!K2,"")</f>
        <v/>
      </c>
      <c r="L6" s="13">
        <f>IFERROR('QTR CF'!L6/'QTR P&amp;L'!L2,"")</f>
        <v/>
      </c>
      <c r="M6" s="13">
        <f>IFERROR('QTR CF'!M6/'QTR P&amp;L'!M2,"")</f>
        <v/>
      </c>
      <c r="N6" s="13">
        <f>IFERROR('QTR CF'!N6/'QTR P&amp;L'!N2,"")</f>
        <v/>
      </c>
      <c r="O6" s="13">
        <f>IFERROR('QTR CF'!O6/'QTR P&amp;L'!O2,"")</f>
        <v/>
      </c>
      <c r="P6" s="13">
        <f>IFERROR('QTR CF'!P6/'QTR P&amp;L'!P2,"")</f>
        <v/>
      </c>
      <c r="Q6" s="13">
        <f>IFERROR('QTR CF'!Q6/'QTR P&amp;L'!Q2,"")</f>
        <v/>
      </c>
      <c r="R6" s="13">
        <f>IFERROR('QTR CF'!R6/'QTR P&amp;L'!R2,"")</f>
        <v/>
      </c>
      <c r="S6" s="13">
        <f>IFERROR('QTR CF'!S6/'QTR P&amp;L'!S2,"")</f>
        <v/>
      </c>
      <c r="T6" s="13">
        <f>IFERROR('QTR CF'!T6/'QTR P&amp;L'!T2,"")</f>
        <v/>
      </c>
      <c r="U6" s="13">
        <f>IFERROR('QTR CF'!U6/'QTR P&amp;L'!U2,"")</f>
        <v/>
      </c>
      <c r="V6" s="13">
        <f>IFERROR('QTR CF'!V6/'QTR P&amp;L'!V2,"")</f>
        <v/>
      </c>
      <c r="W6" s="13">
        <f>IFERROR('QTR CF'!W6/'QTR P&amp;L'!W2,"")</f>
        <v/>
      </c>
      <c r="X6" s="13">
        <f>IFERROR('QTR CF'!X6/'QTR P&amp;L'!X2,"")</f>
        <v/>
      </c>
      <c r="Y6" s="13">
        <f>IFERROR('QTR CF'!Y6/'QTR P&amp;L'!Y2,"")</f>
        <v/>
      </c>
      <c r="Z6" s="13">
        <f>IFERROR('QTR CF'!Z6/'QTR P&amp;L'!Z2,"")</f>
        <v/>
      </c>
      <c r="AA6" s="13">
        <f>IFERROR('QTR CF'!AA6/'QTR P&amp;L'!AA2,"")</f>
        <v/>
      </c>
      <c r="AB6" s="13">
        <f>IFERROR('QTR CF'!AB6/'QTR P&amp;L'!AB2,"")</f>
        <v/>
      </c>
      <c r="AC6" s="13">
        <f>IFERROR('QTR CF'!AC6/'QTR P&amp;L'!AC2,"")</f>
        <v/>
      </c>
      <c r="AD6" s="13">
        <f>IFERROR('QTR CF'!AD6/'QTR P&amp;L'!AD2,"")</f>
        <v/>
      </c>
      <c r="AE6" s="13">
        <f>IFERROR('QTR CF'!AE6/'QTR P&amp;L'!AE2,"")</f>
        <v/>
      </c>
      <c r="AF6" s="13">
        <f>IFERROR('QTR CF'!AF6/'QTR P&amp;L'!AF2,"")</f>
        <v/>
      </c>
      <c r="AG6" s="13">
        <f>IFERROR('QTR CF'!AG6/'QTR P&amp;L'!AG2,"")</f>
        <v/>
      </c>
      <c r="AH6" s="14">
        <f>AG6</f>
        <v/>
      </c>
      <c r="AI6" s="14">
        <f>AH6</f>
        <v/>
      </c>
      <c r="AJ6" s="14">
        <f>AI6</f>
        <v/>
      </c>
      <c r="AK6" s="14">
        <f>AJ6</f>
        <v/>
      </c>
      <c r="AL6" s="14">
        <f>AK6</f>
        <v/>
      </c>
      <c r="AM6" s="14">
        <f>AL6</f>
        <v/>
      </c>
      <c r="AN6" s="14">
        <f>AM6</f>
        <v/>
      </c>
      <c r="AO6" s="14">
        <f>AN6</f>
        <v/>
      </c>
      <c r="AP6" s="14">
        <f>AO6</f>
        <v/>
      </c>
      <c r="AQ6" s="14">
        <f>AP6</f>
        <v/>
      </c>
      <c r="AR6" s="14">
        <f>AQ6</f>
        <v/>
      </c>
      <c r="AS6" s="14">
        <f>AR6</f>
        <v/>
      </c>
      <c r="AT6" s="14">
        <f>AS6</f>
        <v/>
      </c>
      <c r="AU6" s="14">
        <f>AT6</f>
        <v/>
      </c>
      <c r="AV6" s="14">
        <f>AU6</f>
        <v/>
      </c>
      <c r="AW6" s="14">
        <f>AV6</f>
        <v/>
      </c>
      <c r="AX6" s="14">
        <f>AW6</f>
        <v/>
      </c>
      <c r="AY6" s="14">
        <f>AX6</f>
        <v/>
      </c>
      <c r="AZ6" s="14">
        <f>AY6</f>
        <v/>
      </c>
      <c r="BA6" s="14">
        <f>AZ6</f>
        <v/>
      </c>
    </row>
    <row r="7">
      <c r="A7" s="3" t="inlineStr">
        <is>
          <t>(Benefit) Provision for Deferred Income Taxes</t>
        </is>
      </c>
      <c r="B7" s="4">
        <f>'QTR CF'!B7</f>
        <v/>
      </c>
      <c r="C7" s="4">
        <f>'QTR CF'!C7</f>
        <v/>
      </c>
      <c r="D7" s="4">
        <f>'QTR CF'!D7</f>
        <v/>
      </c>
      <c r="E7" s="4">
        <f>'QTR CF'!E7</f>
        <v/>
      </c>
      <c r="F7" s="4">
        <f>'QTR CF'!F7</f>
        <v/>
      </c>
      <c r="G7" s="4">
        <f>'QTR CF'!G7</f>
        <v/>
      </c>
      <c r="H7" s="4">
        <f>'QTR CF'!H7</f>
        <v/>
      </c>
      <c r="I7" s="4">
        <f>'QTR CF'!I7</f>
        <v/>
      </c>
      <c r="J7" s="4">
        <f>'QTR CF'!J7</f>
        <v/>
      </c>
      <c r="K7" s="4">
        <f>'QTR CF'!K7</f>
        <v/>
      </c>
      <c r="L7" s="4">
        <f>'QTR CF'!L7</f>
        <v/>
      </c>
      <c r="M7" s="4">
        <f>'QTR CF'!M7</f>
        <v/>
      </c>
      <c r="N7" s="4">
        <f>'QTR CF'!N7</f>
        <v/>
      </c>
      <c r="O7" s="4">
        <f>'QTR CF'!O7</f>
        <v/>
      </c>
      <c r="P7" s="4">
        <f>'QTR CF'!P7</f>
        <v/>
      </c>
      <c r="Q7" s="4">
        <f>'QTR CF'!Q7</f>
        <v/>
      </c>
      <c r="R7" s="4">
        <f>'QTR CF'!R7</f>
        <v/>
      </c>
      <c r="S7" s="4">
        <f>'QTR CF'!S7</f>
        <v/>
      </c>
      <c r="T7" s="4">
        <f>'QTR CF'!T7</f>
        <v/>
      </c>
      <c r="U7" s="4">
        <f>'QTR CF'!U7</f>
        <v/>
      </c>
      <c r="V7" s="4">
        <f>'QTR CF'!V7</f>
        <v/>
      </c>
      <c r="W7" s="4">
        <f>'QTR CF'!W7</f>
        <v/>
      </c>
      <c r="X7" s="4">
        <f>'QTR CF'!X7</f>
        <v/>
      </c>
      <c r="Y7" s="4">
        <f>'QTR CF'!Y7</f>
        <v/>
      </c>
      <c r="Z7" s="4">
        <f>'QTR CF'!Z7</f>
        <v/>
      </c>
      <c r="AA7" s="4">
        <f>'QTR CF'!AA7</f>
        <v/>
      </c>
      <c r="AB7" s="4">
        <f>'QTR CF'!AB7</f>
        <v/>
      </c>
      <c r="AC7" s="4">
        <f>'QTR CF'!AC7</f>
        <v/>
      </c>
      <c r="AD7" s="4">
        <f>'QTR CF'!AD7</f>
        <v/>
      </c>
      <c r="AE7" s="4">
        <f>'QTR CF'!AE7</f>
        <v/>
      </c>
      <c r="AF7" s="4">
        <f>'QTR CF'!AF7</f>
        <v/>
      </c>
      <c r="AG7" s="4">
        <f>'QTR CF'!AG7</f>
        <v/>
      </c>
      <c r="AH7" s="15">
        <f>AG7</f>
        <v/>
      </c>
      <c r="AI7" s="15">
        <f>AH7</f>
        <v/>
      </c>
      <c r="AJ7" s="15">
        <f>AI7</f>
        <v/>
      </c>
      <c r="AK7" s="15">
        <f>AJ7</f>
        <v/>
      </c>
      <c r="AL7" s="15">
        <f>AK7</f>
        <v/>
      </c>
      <c r="AM7" s="15">
        <f>AL7</f>
        <v/>
      </c>
      <c r="AN7" s="15">
        <f>AM7</f>
        <v/>
      </c>
      <c r="AO7" s="15">
        <f>AN7</f>
        <v/>
      </c>
      <c r="AP7" s="15">
        <f>AO7</f>
        <v/>
      </c>
      <c r="AQ7" s="15">
        <f>AP7</f>
        <v/>
      </c>
      <c r="AR7" s="15">
        <f>AQ7</f>
        <v/>
      </c>
      <c r="AS7" s="15">
        <f>AR7</f>
        <v/>
      </c>
      <c r="AT7" s="15">
        <f>AS7</f>
        <v/>
      </c>
      <c r="AU7" s="15">
        <f>AT7</f>
        <v/>
      </c>
      <c r="AV7" s="15">
        <f>AU7</f>
        <v/>
      </c>
      <c r="AW7" s="15">
        <f>AV7</f>
        <v/>
      </c>
      <c r="AX7" s="15">
        <f>AW7</f>
        <v/>
      </c>
      <c r="AY7" s="15">
        <f>AX7</f>
        <v/>
      </c>
      <c r="AZ7" s="15">
        <f>AY7</f>
        <v/>
      </c>
      <c r="BA7" s="15">
        <f>AZ7</f>
        <v/>
      </c>
    </row>
    <row r="8">
      <c r="A8" s="3" t="inlineStr">
        <is>
          <t>Loss (Gain) on Equity and Debt Securities, Net</t>
        </is>
      </c>
      <c r="B8" s="4">
        <f>'QTR CF'!B8</f>
        <v/>
      </c>
      <c r="C8" s="4">
        <f>'QTR CF'!C8</f>
        <v/>
      </c>
      <c r="D8" s="4">
        <f>'QTR CF'!D8</f>
        <v/>
      </c>
      <c r="E8" s="4">
        <f>'QTR CF'!E8</f>
        <v/>
      </c>
      <c r="F8" s="4">
        <f>'QTR CF'!F8</f>
        <v/>
      </c>
      <c r="G8" s="4">
        <f>'QTR CF'!G8</f>
        <v/>
      </c>
      <c r="H8" s="4">
        <f>'QTR CF'!H8</f>
        <v/>
      </c>
      <c r="I8" s="4">
        <f>'QTR CF'!I8</f>
        <v/>
      </c>
      <c r="J8" s="4">
        <f>'QTR CF'!J8</f>
        <v/>
      </c>
      <c r="K8" s="4">
        <f>'QTR CF'!K8</f>
        <v/>
      </c>
      <c r="L8" s="4">
        <f>'QTR CF'!L8</f>
        <v/>
      </c>
      <c r="M8" s="4">
        <f>'QTR CF'!M8</f>
        <v/>
      </c>
      <c r="N8" s="4">
        <f>'QTR CF'!N8</f>
        <v/>
      </c>
      <c r="O8" s="4">
        <f>'QTR CF'!O8</f>
        <v/>
      </c>
      <c r="P8" s="4">
        <f>'QTR CF'!P8</f>
        <v/>
      </c>
      <c r="Q8" s="4">
        <f>'QTR CF'!Q8</f>
        <v/>
      </c>
      <c r="R8" s="4">
        <f>'QTR CF'!R8</f>
        <v/>
      </c>
      <c r="S8" s="4">
        <f>'QTR CF'!S8</f>
        <v/>
      </c>
      <c r="T8" s="4">
        <f>'QTR CF'!T8</f>
        <v/>
      </c>
      <c r="U8" s="4">
        <f>'QTR CF'!U8</f>
        <v/>
      </c>
      <c r="V8" s="4">
        <f>'QTR CF'!V8</f>
        <v/>
      </c>
      <c r="W8" s="4">
        <f>'QTR CF'!W8</f>
        <v/>
      </c>
      <c r="X8" s="4">
        <f>'QTR CF'!X8</f>
        <v/>
      </c>
      <c r="Y8" s="4">
        <f>'QTR CF'!Y8</f>
        <v/>
      </c>
      <c r="Z8" s="4">
        <f>'QTR CF'!Z8</f>
        <v/>
      </c>
      <c r="AA8" s="4">
        <f>'QTR CF'!AA8</f>
        <v/>
      </c>
      <c r="AB8" s="4">
        <f>'QTR CF'!AB8</f>
        <v/>
      </c>
      <c r="AC8" s="4">
        <f>'QTR CF'!AC8</f>
        <v/>
      </c>
      <c r="AD8" s="4">
        <f>'QTR CF'!AD8</f>
        <v/>
      </c>
      <c r="AE8" s="4">
        <f>'QTR CF'!AE8</f>
        <v/>
      </c>
      <c r="AF8" s="4">
        <f>'QTR CF'!AF8</f>
        <v/>
      </c>
      <c r="AG8" s="4">
        <f>'QTR CF'!AG8</f>
        <v/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Q8" s="15" t="n">
        <v>0</v>
      </c>
      <c r="AR8" s="15" t="n">
        <v>0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0</v>
      </c>
      <c r="AX8" s="15" t="n">
        <v>0</v>
      </c>
      <c r="AY8" s="15" t="n">
        <v>0</v>
      </c>
      <c r="AZ8" s="15" t="n">
        <v>0</v>
      </c>
      <c r="BA8" s="15" t="n">
        <v>0</v>
      </c>
    </row>
    <row r="9">
      <c r="A9" s="3" t="inlineStr">
        <is>
          <t>Other Operating Items</t>
        </is>
      </c>
      <c r="B9" s="4">
        <f>'QTR CF'!B9</f>
        <v/>
      </c>
      <c r="C9" s="4">
        <f>'QTR CF'!C9</f>
        <v/>
      </c>
      <c r="D9" s="4">
        <f>'QTR CF'!D9</f>
        <v/>
      </c>
      <c r="E9" s="4">
        <f>'QTR CF'!E9</f>
        <v/>
      </c>
      <c r="F9" s="4">
        <f>'QTR CF'!F9</f>
        <v/>
      </c>
      <c r="G9" s="4">
        <f>'QTR CF'!G9</f>
        <v/>
      </c>
      <c r="H9" s="4">
        <f>'QTR CF'!H9</f>
        <v/>
      </c>
      <c r="I9" s="4">
        <f>'QTR CF'!I9</f>
        <v/>
      </c>
      <c r="J9" s="4">
        <f>'QTR CF'!J9</f>
        <v/>
      </c>
      <c r="K9" s="4">
        <f>'QTR CF'!K9</f>
        <v/>
      </c>
      <c r="L9" s="4">
        <f>'QTR CF'!L9</f>
        <v/>
      </c>
      <c r="M9" s="4">
        <f>'QTR CF'!M9</f>
        <v/>
      </c>
      <c r="N9" s="4">
        <f>'QTR CF'!N9</f>
        <v/>
      </c>
      <c r="O9" s="4">
        <f>'QTR CF'!O9</f>
        <v/>
      </c>
      <c r="P9" s="4">
        <f>'QTR CF'!P9</f>
        <v/>
      </c>
      <c r="Q9" s="4">
        <f>'QTR CF'!Q9</f>
        <v/>
      </c>
      <c r="R9" s="4">
        <f>'QTR CF'!R9</f>
        <v/>
      </c>
      <c r="S9" s="4">
        <f>'QTR CF'!S9</f>
        <v/>
      </c>
      <c r="T9" s="4">
        <f>'QTR CF'!T9</f>
        <v/>
      </c>
      <c r="U9" s="4">
        <f>'QTR CF'!U9</f>
        <v/>
      </c>
      <c r="V9" s="4">
        <f>'QTR CF'!V9</f>
        <v/>
      </c>
      <c r="W9" s="4">
        <f>'QTR CF'!W9</f>
        <v/>
      </c>
      <c r="X9" s="4">
        <f>'QTR CF'!X9</f>
        <v/>
      </c>
      <c r="Y9" s="4">
        <f>'QTR CF'!Y9</f>
        <v/>
      </c>
      <c r="Z9" s="4">
        <f>'QTR CF'!Z9</f>
        <v/>
      </c>
      <c r="AA9" s="4">
        <f>'QTR CF'!AA9</f>
        <v/>
      </c>
      <c r="AB9" s="4">
        <f>'QTR CF'!AB9</f>
        <v/>
      </c>
      <c r="AC9" s="4">
        <f>'QTR CF'!AC9</f>
        <v/>
      </c>
      <c r="AD9" s="4">
        <f>'QTR CF'!AD9</f>
        <v/>
      </c>
      <c r="AE9" s="4">
        <f>'QTR CF'!AE9</f>
        <v/>
      </c>
      <c r="AF9" s="4">
        <f>'QTR CF'!AF9</f>
        <v/>
      </c>
      <c r="AG9" s="4">
        <f>'QTR CF'!AG9</f>
        <v/>
      </c>
      <c r="AH9" s="4">
        <f>-('QTR BS'!AE5-'QTR BS'!AD5)-('QTR BS'!AE6-'QTR BS'!AD6)-('QTR BS'!AE7-'QTR BS'!AD7)-('QTR BS'!AE12-'QTR BS'!AD12)-('QTR BS'!AE15-'QTR BS'!AD15)+('QTR BS'!AE18-'QTR BS'!AD18)+('QTR BS'!AE21-'QTR BS'!AD21)+('QTR BS'!AE25-'QTR BS'!AD25)+('QTR BS'!AE27-'QTR BS'!AD27)+('QTR BS'!AE28-'QTR BS'!AD28)-('QTR BS'!AE3-'QTR BS'!AD3)-('QTR BS'!AE13-'QTR BS'!AD13)-('QTR BS'!AE14-'QTR BS'!AD14)+('QTR BS'!AE24-'QTR BS'!AD24)+('QTR BS'!AE26-'QTR BS'!AD26)</f>
        <v/>
      </c>
      <c r="AI9" s="4">
        <f>-('QTR BS'!AF5-'QTR BS'!AE5)-('QTR BS'!AF6-'QTR BS'!AE6)-('QTR BS'!AF7-'QTR BS'!AE7)-('QTR BS'!AF12-'QTR BS'!AE12)-('QTR BS'!AF15-'QTR BS'!AE15)+('QTR BS'!AF18-'QTR BS'!AE18)+('QTR BS'!AF21-'QTR BS'!AE21)+('QTR BS'!AF25-'QTR BS'!AE25)+('QTR BS'!AF27-'QTR BS'!AE27)+('QTR BS'!AF28-'QTR BS'!AE28)-('QTR BS'!AF3-'QTR BS'!AE3)-('QTR BS'!AF13-'QTR BS'!AE13)-('QTR BS'!AF14-'QTR BS'!AE14)+('QTR BS'!AF24-'QTR BS'!AE24)+('QTR BS'!AF26-'QTR BS'!AE26)</f>
        <v/>
      </c>
      <c r="AJ9" s="4">
        <f>-('QTR BS'!AG5-'QTR BS'!AF5)-('QTR BS'!AG6-'QTR BS'!AF6)-('QTR BS'!AG7-'QTR BS'!AF7)-('QTR BS'!AG12-'QTR BS'!AF12)-('QTR BS'!AG15-'QTR BS'!AF15)+('QTR BS'!AG18-'QTR BS'!AF18)+('QTR BS'!AG21-'QTR BS'!AF21)+('QTR BS'!AG25-'QTR BS'!AF25)+('QTR BS'!AG27-'QTR BS'!AF27)+('QTR BS'!AG28-'QTR BS'!AF28)-('QTR BS'!AG3-'QTR BS'!AF3)-('QTR BS'!AG13-'QTR BS'!AF13)-('QTR BS'!AG14-'QTR BS'!AF14)+('QTR BS'!AG24-'QTR BS'!AF24)+('QTR BS'!AG26-'QTR BS'!AF26)</f>
        <v/>
      </c>
      <c r="AK9" s="4">
        <f>-('QTR BS'!AH5-'QTR BS'!AG5)-('QTR BS'!AH6-'QTR BS'!AG6)-('QTR BS'!AH7-'QTR BS'!AG7)-('QTR BS'!AH12-'QTR BS'!AG12)-('QTR BS'!AH15-'QTR BS'!AG15)+('QTR BS'!AH18-'QTR BS'!AG18)+('QTR BS'!AH21-'QTR BS'!AG21)+('QTR BS'!AH25-'QTR BS'!AG25)+('QTR BS'!AH27-'QTR BS'!AG27)+('QTR BS'!AH28-'QTR BS'!AG28)-('QTR BS'!AH3-'QTR BS'!AG3)-('QTR BS'!AH13-'QTR BS'!AG13)-('QTR BS'!AH14-'QTR BS'!AG14)+('QTR BS'!AH24-'QTR BS'!AG24)+('QTR BS'!AH26-'QTR BS'!AG26)</f>
        <v/>
      </c>
      <c r="AL9" s="4">
        <f>-('QTR BS'!AI5-'QTR BS'!AH5)-('QTR BS'!AI6-'QTR BS'!AH6)-('QTR BS'!AI7-'QTR BS'!AH7)-('QTR BS'!AI12-'QTR BS'!AH12)-('QTR BS'!AI15-'QTR BS'!AH15)+('QTR BS'!AI18-'QTR BS'!AH18)+('QTR BS'!AI21-'QTR BS'!AH21)+('QTR BS'!AI25-'QTR BS'!AH25)+('QTR BS'!AI27-'QTR BS'!AH27)+('QTR BS'!AI28-'QTR BS'!AH28)-('QTR BS'!AI3-'QTR BS'!AH3)-('QTR BS'!AI13-'QTR BS'!AH13)-('QTR BS'!AI14-'QTR BS'!AH14)+('QTR BS'!AI24-'QTR BS'!AH24)+('QTR BS'!AI26-'QTR BS'!AH26)</f>
        <v/>
      </c>
      <c r="AM9" s="4">
        <f>-('QTR BS'!AJ5-'QTR BS'!AI5)-('QTR BS'!AJ6-'QTR BS'!AI6)-('QTR BS'!AJ7-'QTR BS'!AI7)-('QTR BS'!AJ12-'QTR BS'!AI12)-('QTR BS'!AJ15-'QTR BS'!AI15)+('QTR BS'!AJ18-'QTR BS'!AI18)+('QTR BS'!AJ21-'QTR BS'!AI21)+('QTR BS'!AJ25-'QTR BS'!AI25)+('QTR BS'!AJ27-'QTR BS'!AI27)+('QTR BS'!AJ28-'QTR BS'!AI28)-('QTR BS'!AJ3-'QTR BS'!AI3)-('QTR BS'!AJ13-'QTR BS'!AI13)-('QTR BS'!AJ14-'QTR BS'!AI14)+('QTR BS'!AJ24-'QTR BS'!AI24)+('QTR BS'!AJ26-'QTR BS'!AI26)</f>
        <v/>
      </c>
      <c r="AN9" s="4">
        <f>-('QTR BS'!AK5-'QTR BS'!AJ5)-('QTR BS'!AK6-'QTR BS'!AJ6)-('QTR BS'!AK7-'QTR BS'!AJ7)-('QTR BS'!AK12-'QTR BS'!AJ12)-('QTR BS'!AK15-'QTR BS'!AJ15)+('QTR BS'!AK18-'QTR BS'!AJ18)+('QTR BS'!AK21-'QTR BS'!AJ21)+('QTR BS'!AK25-'QTR BS'!AJ25)+('QTR BS'!AK27-'QTR BS'!AJ27)+('QTR BS'!AK28-'QTR BS'!AJ28)-('QTR BS'!AK3-'QTR BS'!AJ3)-('QTR BS'!AK13-'QTR BS'!AJ13)-('QTR BS'!AK14-'QTR BS'!AJ14)+('QTR BS'!AK24-'QTR BS'!AJ24)+('QTR BS'!AK26-'QTR BS'!AJ26)</f>
        <v/>
      </c>
      <c r="AO9" s="4">
        <f>-('QTR BS'!AL5-'QTR BS'!AK5)-('QTR BS'!AL6-'QTR BS'!AK6)-('QTR BS'!AL7-'QTR BS'!AK7)-('QTR BS'!AL12-'QTR BS'!AK12)-('QTR BS'!AL15-'QTR BS'!AK15)+('QTR BS'!AL18-'QTR BS'!AK18)+('QTR BS'!AL21-'QTR BS'!AK21)+('QTR BS'!AL25-'QTR BS'!AK25)+('QTR BS'!AL27-'QTR BS'!AK27)+('QTR BS'!AL28-'QTR BS'!AK28)-('QTR BS'!AL3-'QTR BS'!AK3)-('QTR BS'!AL13-'QTR BS'!AK13)-('QTR BS'!AL14-'QTR BS'!AK14)+('QTR BS'!AL24-'QTR BS'!AK24)+('QTR BS'!AL26-'QTR BS'!AK26)</f>
        <v/>
      </c>
      <c r="AP9" s="4">
        <f>-('QTR BS'!AM5-'QTR BS'!AL5)-('QTR BS'!AM6-'QTR BS'!AL6)-('QTR BS'!AM7-'QTR BS'!AL7)-('QTR BS'!AM12-'QTR BS'!AL12)-('QTR BS'!AM15-'QTR BS'!AL15)+('QTR BS'!AM18-'QTR BS'!AL18)+('QTR BS'!AM21-'QTR BS'!AL21)+('QTR BS'!AM25-'QTR BS'!AL25)+('QTR BS'!AM27-'QTR BS'!AL27)+('QTR BS'!AM28-'QTR BS'!AL28)-('QTR BS'!AM3-'QTR BS'!AL3)-('QTR BS'!AM13-'QTR BS'!AL13)-('QTR BS'!AM14-'QTR BS'!AL14)+('QTR BS'!AM24-'QTR BS'!AL24)+('QTR BS'!AM26-'QTR BS'!AL26)</f>
        <v/>
      </c>
      <c r="AQ9" s="4">
        <f>-('QTR BS'!AN5-'QTR BS'!AM5)-('QTR BS'!AN6-'QTR BS'!AM6)-('QTR BS'!AN7-'QTR BS'!AM7)-('QTR BS'!AN12-'QTR BS'!AM12)-('QTR BS'!AN15-'QTR BS'!AM15)+('QTR BS'!AN18-'QTR BS'!AM18)+('QTR BS'!AN21-'QTR BS'!AM21)+('QTR BS'!AN25-'QTR BS'!AM25)+('QTR BS'!AN27-'QTR BS'!AM27)+('QTR BS'!AN28-'QTR BS'!AM28)-('QTR BS'!AN3-'QTR BS'!AM3)-('QTR BS'!AN13-'QTR BS'!AM13)-('QTR BS'!AN14-'QTR BS'!AM14)+('QTR BS'!AN24-'QTR BS'!AM24)+('QTR BS'!AN26-'QTR BS'!AM26)</f>
        <v/>
      </c>
      <c r="AR9" s="4">
        <f>-('QTR BS'!AO5-'QTR BS'!AN5)-('QTR BS'!AO6-'QTR BS'!AN6)-('QTR BS'!AO7-'QTR BS'!AN7)-('QTR BS'!AO12-'QTR BS'!AN12)-('QTR BS'!AO15-'QTR BS'!AN15)+('QTR BS'!AO18-'QTR BS'!AN18)+('QTR BS'!AO21-'QTR BS'!AN21)+('QTR BS'!AO25-'QTR BS'!AN25)+('QTR BS'!AO27-'QTR BS'!AN27)+('QTR BS'!AO28-'QTR BS'!AN28)-('QTR BS'!AO3-'QTR BS'!AN3)-('QTR BS'!AO13-'QTR BS'!AN13)-('QTR BS'!AO14-'QTR BS'!AN14)+('QTR BS'!AO24-'QTR BS'!AN24)+('QTR BS'!AO26-'QTR BS'!AN26)</f>
        <v/>
      </c>
      <c r="AS9" s="4">
        <f>-('QTR BS'!AP5-'QTR BS'!AO5)-('QTR BS'!AP6-'QTR BS'!AO6)-('QTR BS'!AP7-'QTR BS'!AO7)-('QTR BS'!AP12-'QTR BS'!AO12)-('QTR BS'!AP15-'QTR BS'!AO15)+('QTR BS'!AP18-'QTR BS'!AO18)+('QTR BS'!AP21-'QTR BS'!AO21)+('QTR BS'!AP25-'QTR BS'!AO25)+('QTR BS'!AP27-'QTR BS'!AO27)+('QTR BS'!AP28-'QTR BS'!AO28)-('QTR BS'!AP3-'QTR BS'!AO3)-('QTR BS'!AP13-'QTR BS'!AO13)-('QTR BS'!AP14-'QTR BS'!AO14)+('QTR BS'!AP24-'QTR BS'!AO24)+('QTR BS'!AP26-'QTR BS'!AO26)</f>
        <v/>
      </c>
      <c r="AT9" s="4">
        <f>-('QTR BS'!AQ5-'QTR BS'!AP5)-('QTR BS'!AQ6-'QTR BS'!AP6)-('QTR BS'!AQ7-'QTR BS'!AP7)-('QTR BS'!AQ12-'QTR BS'!AP12)-('QTR BS'!AQ15-'QTR BS'!AP15)+('QTR BS'!AQ18-'QTR BS'!AP18)+('QTR BS'!AQ21-'QTR BS'!AP21)+('QTR BS'!AQ25-'QTR BS'!AP25)+('QTR BS'!AQ27-'QTR BS'!AP27)+('QTR BS'!AQ28-'QTR BS'!AP28)-('QTR BS'!AQ3-'QTR BS'!AP3)-('QTR BS'!AQ13-'QTR BS'!AP13)-('QTR BS'!AQ14-'QTR BS'!AP14)+('QTR BS'!AQ24-'QTR BS'!AP24)+('QTR BS'!AQ26-'QTR BS'!AP26)</f>
        <v/>
      </c>
      <c r="AU9" s="4">
        <f>-('QTR BS'!AR5-'QTR BS'!AQ5)-('QTR BS'!AR6-'QTR BS'!AQ6)-('QTR BS'!AR7-'QTR BS'!AQ7)-('QTR BS'!AR12-'QTR BS'!AQ12)-('QTR BS'!AR15-'QTR BS'!AQ15)+('QTR BS'!AR18-'QTR BS'!AQ18)+('QTR BS'!AR21-'QTR BS'!AQ21)+('QTR BS'!AR25-'QTR BS'!AQ25)+('QTR BS'!AR27-'QTR BS'!AQ27)+('QTR BS'!AR28-'QTR BS'!AQ28)-('QTR BS'!AR3-'QTR BS'!AQ3)-('QTR BS'!AR13-'QTR BS'!AQ13)-('QTR BS'!AR14-'QTR BS'!AQ14)+('QTR BS'!AR24-'QTR BS'!AQ24)+('QTR BS'!AR26-'QTR BS'!AQ26)</f>
        <v/>
      </c>
      <c r="AV9" s="4">
        <f>-('QTR BS'!AS5-'QTR BS'!AR5)-('QTR BS'!AS6-'QTR BS'!AR6)-('QTR BS'!AS7-'QTR BS'!AR7)-('QTR BS'!AS12-'QTR BS'!AR12)-('QTR BS'!AS15-'QTR BS'!AR15)+('QTR BS'!AS18-'QTR BS'!AR18)+('QTR BS'!AS21-'QTR BS'!AR21)+('QTR BS'!AS25-'QTR BS'!AR25)+('QTR BS'!AS27-'QTR BS'!AR27)+('QTR BS'!AS28-'QTR BS'!AR28)-('QTR BS'!AS3-'QTR BS'!AR3)-('QTR BS'!AS13-'QTR BS'!AR13)-('QTR BS'!AS14-'QTR BS'!AR14)+('QTR BS'!AS24-'QTR BS'!AR24)+('QTR BS'!AS26-'QTR BS'!AR26)</f>
        <v/>
      </c>
      <c r="AW9" s="4">
        <f>-('QTR BS'!AT5-'QTR BS'!AS5)-('QTR BS'!AT6-'QTR BS'!AS6)-('QTR BS'!AT7-'QTR BS'!AS7)-('QTR BS'!AT12-'QTR BS'!AS12)-('QTR BS'!AT15-'QTR BS'!AS15)+('QTR BS'!AT18-'QTR BS'!AS18)+('QTR BS'!AT21-'QTR BS'!AS21)+('QTR BS'!AT25-'QTR BS'!AS25)+('QTR BS'!AT27-'QTR BS'!AS27)+('QTR BS'!AT28-'QTR BS'!AS28)-('QTR BS'!AT3-'QTR BS'!AS3)-('QTR BS'!AT13-'QTR BS'!AS13)-('QTR BS'!AT14-'QTR BS'!AS14)+('QTR BS'!AT24-'QTR BS'!AS24)+('QTR BS'!AT26-'QTR BS'!AS26)</f>
        <v/>
      </c>
      <c r="AX9" s="4">
        <f>-('QTR BS'!AU5-'QTR BS'!AT5)-('QTR BS'!AU6-'QTR BS'!AT6)-('QTR BS'!AU7-'QTR BS'!AT7)-('QTR BS'!AU12-'QTR BS'!AT12)-('QTR BS'!AU15-'QTR BS'!AT15)+('QTR BS'!AU18-'QTR BS'!AT18)+('QTR BS'!AU21-'QTR BS'!AT21)+('QTR BS'!AU25-'QTR BS'!AT25)+('QTR BS'!AU27-'QTR BS'!AT27)+('QTR BS'!AU28-'QTR BS'!AT28)-('QTR BS'!AU3-'QTR BS'!AT3)-('QTR BS'!AU13-'QTR BS'!AT13)-('QTR BS'!AU14-'QTR BS'!AT14)+('QTR BS'!AU24-'QTR BS'!AT24)+('QTR BS'!AU26-'QTR BS'!AT26)</f>
        <v/>
      </c>
      <c r="AY9" s="4">
        <f>-('QTR BS'!AV5-'QTR BS'!AU5)-('QTR BS'!AV6-'QTR BS'!AU6)-('QTR BS'!AV7-'QTR BS'!AU7)-('QTR BS'!AV12-'QTR BS'!AU12)-('QTR BS'!AV15-'QTR BS'!AU15)+('QTR BS'!AV18-'QTR BS'!AU18)+('QTR BS'!AV21-'QTR BS'!AU21)+('QTR BS'!AV25-'QTR BS'!AU25)+('QTR BS'!AV27-'QTR BS'!AU27)+('QTR BS'!AV28-'QTR BS'!AU28)-('QTR BS'!AV3-'QTR BS'!AU3)-('QTR BS'!AV13-'QTR BS'!AU13)-('QTR BS'!AV14-'QTR BS'!AU14)+('QTR BS'!AV24-'QTR BS'!AU24)+('QTR BS'!AV26-'QTR BS'!AU26)</f>
        <v/>
      </c>
      <c r="AZ9" s="4">
        <f>-('QTR BS'!AW5-'QTR BS'!AV5)-('QTR BS'!AW6-'QTR BS'!AV6)-('QTR BS'!AW7-'QTR BS'!AV7)-('QTR BS'!AW12-'QTR BS'!AV12)-('QTR BS'!AW15-'QTR BS'!AV15)+('QTR BS'!AW18-'QTR BS'!AV18)+('QTR BS'!AW21-'QTR BS'!AV21)+('QTR BS'!AW25-'QTR BS'!AV25)+('QTR BS'!AW27-'QTR BS'!AV27)+('QTR BS'!AW28-'QTR BS'!AV28)-('QTR BS'!AW3-'QTR BS'!AV3)-('QTR BS'!AW13-'QTR BS'!AV13)-('QTR BS'!AW14-'QTR BS'!AV14)+('QTR BS'!AW24-'QTR BS'!AV24)+('QTR BS'!AW26-'QTR BS'!AV26)</f>
        <v/>
      </c>
      <c r="BA9" s="4">
        <f>-('QTR BS'!AX5-'QTR BS'!AW5)-('QTR BS'!AX6-'QTR BS'!AW6)-('QTR BS'!AX7-'QTR BS'!AW7)-('QTR BS'!AX12-'QTR BS'!AW12)-('QTR BS'!AX15-'QTR BS'!AW15)+('QTR BS'!AX18-'QTR BS'!AW18)+('QTR BS'!AX21-'QTR BS'!AW21)+('QTR BS'!AX25-'QTR BS'!AW25)+('QTR BS'!AX27-'QTR BS'!AW27)+('QTR BS'!AX28-'QTR BS'!AW28)-('QTR BS'!AX3-'QTR BS'!AW3)-('QTR BS'!AX13-'QTR BS'!AW13)-('QTR BS'!AX14-'QTR BS'!AW14)+('QTR BS'!AX24-'QTR BS'!AW24)+('QTR BS'!AX26-'QTR BS'!AW26)</f>
        <v/>
      </c>
    </row>
    <row r="10">
      <c r="A10" s="3" t="inlineStr">
        <is>
          <t>Accounts Receivable</t>
        </is>
      </c>
      <c r="B10" s="4">
        <f>'QTR CF'!B10</f>
        <v/>
      </c>
      <c r="C10" s="4">
        <f>'QTR CF'!C10</f>
        <v/>
      </c>
      <c r="D10" s="4">
        <f>'QTR CF'!D10</f>
        <v/>
      </c>
      <c r="E10" s="4">
        <f>'QTR CF'!E10</f>
        <v/>
      </c>
      <c r="F10" s="4">
        <f>'QTR CF'!F10</f>
        <v/>
      </c>
      <c r="G10" s="4">
        <f>'QTR CF'!G10</f>
        <v/>
      </c>
      <c r="H10" s="4">
        <f>'QTR CF'!H10</f>
        <v/>
      </c>
      <c r="I10" s="4">
        <f>'QTR CF'!I10</f>
        <v/>
      </c>
      <c r="J10" s="4">
        <f>'QTR CF'!J10</f>
        <v/>
      </c>
      <c r="K10" s="4">
        <f>'QTR CF'!K10</f>
        <v/>
      </c>
      <c r="L10" s="4">
        <f>'QTR CF'!L10</f>
        <v/>
      </c>
      <c r="M10" s="4">
        <f>'QTR CF'!M10</f>
        <v/>
      </c>
      <c r="N10" s="4">
        <f>'QTR CF'!N10</f>
        <v/>
      </c>
      <c r="O10" s="4">
        <f>'QTR CF'!O10</f>
        <v/>
      </c>
      <c r="P10" s="4">
        <f>'QTR CF'!P10</f>
        <v/>
      </c>
      <c r="Q10" s="4">
        <f>'QTR CF'!Q10</f>
        <v/>
      </c>
      <c r="R10" s="4">
        <f>'QTR CF'!R10</f>
        <v/>
      </c>
      <c r="S10" s="4">
        <f>'QTR CF'!S10</f>
        <v/>
      </c>
      <c r="T10" s="4">
        <f>'QTR CF'!T10</f>
        <v/>
      </c>
      <c r="U10" s="4">
        <f>'QTR CF'!U10</f>
        <v/>
      </c>
      <c r="V10" s="4">
        <f>'QTR CF'!V10</f>
        <v/>
      </c>
      <c r="W10" s="4">
        <f>'QTR CF'!W10</f>
        <v/>
      </c>
      <c r="X10" s="4">
        <f>'QTR CF'!X10</f>
        <v/>
      </c>
      <c r="Y10" s="4">
        <f>'QTR CF'!Y10</f>
        <v/>
      </c>
      <c r="Z10" s="4">
        <f>'QTR CF'!Z10</f>
        <v/>
      </c>
      <c r="AA10" s="4">
        <f>'QTR CF'!AA10</f>
        <v/>
      </c>
      <c r="AB10" s="4">
        <f>'QTR CF'!AB10</f>
        <v/>
      </c>
      <c r="AC10" s="4">
        <f>'QTR CF'!AC10</f>
        <v/>
      </c>
      <c r="AD10" s="4">
        <f>'QTR CF'!AD10</f>
        <v/>
      </c>
      <c r="AE10" s="4">
        <f>'QTR CF'!AE10</f>
        <v/>
      </c>
      <c r="AF10" s="4">
        <f>'QTR CF'!AF10</f>
        <v/>
      </c>
      <c r="AG10" s="4">
        <f>'QTR CF'!AG10</f>
        <v/>
      </c>
      <c r="AH10" s="4">
        <f>-('QTR BS'!AE4-'QTR BS'!AD4)</f>
        <v/>
      </c>
      <c r="AI10" s="4">
        <f>-('QTR BS'!AF4-'QTR BS'!AE4)</f>
        <v/>
      </c>
      <c r="AJ10" s="4">
        <f>-('QTR BS'!AG4-'QTR BS'!AF4)</f>
        <v/>
      </c>
      <c r="AK10" s="4">
        <f>-('QTR BS'!AH4-'QTR BS'!AG4)</f>
        <v/>
      </c>
      <c r="AL10" s="4">
        <f>-('QTR BS'!AI4-'QTR BS'!AH4)</f>
        <v/>
      </c>
      <c r="AM10" s="4">
        <f>-('QTR BS'!AJ4-'QTR BS'!AI4)</f>
        <v/>
      </c>
      <c r="AN10" s="4">
        <f>-('QTR BS'!AK4-'QTR BS'!AJ4)</f>
        <v/>
      </c>
      <c r="AO10" s="4">
        <f>-('QTR BS'!AL4-'QTR BS'!AK4)</f>
        <v/>
      </c>
      <c r="AP10" s="4">
        <f>-('QTR BS'!AM4-'QTR BS'!AL4)</f>
        <v/>
      </c>
      <c r="AQ10" s="4">
        <f>-('QTR BS'!AN4-'QTR BS'!AM4)</f>
        <v/>
      </c>
      <c r="AR10" s="4">
        <f>-('QTR BS'!AO4-'QTR BS'!AN4)</f>
        <v/>
      </c>
      <c r="AS10" s="4">
        <f>-('QTR BS'!AP4-'QTR BS'!AO4)</f>
        <v/>
      </c>
      <c r="AT10" s="4">
        <f>-('QTR BS'!AQ4-'QTR BS'!AP4)</f>
        <v/>
      </c>
      <c r="AU10" s="4">
        <f>-('QTR BS'!AR4-'QTR BS'!AQ4)</f>
        <v/>
      </c>
      <c r="AV10" s="4">
        <f>-('QTR BS'!AS4-'QTR BS'!AR4)</f>
        <v/>
      </c>
      <c r="AW10" s="4">
        <f>-('QTR BS'!AT4-'QTR BS'!AS4)</f>
        <v/>
      </c>
      <c r="AX10" s="4">
        <f>-('QTR BS'!AU4-'QTR BS'!AT4)</f>
        <v/>
      </c>
      <c r="AY10" s="4">
        <f>-('QTR BS'!AV4-'QTR BS'!AU4)</f>
        <v/>
      </c>
      <c r="AZ10" s="4">
        <f>-('QTR BS'!AW4-'QTR BS'!AV4)</f>
        <v/>
      </c>
      <c r="BA10" s="4">
        <f>-('QTR BS'!AX4-'QTR BS'!AW4)</f>
        <v/>
      </c>
    </row>
    <row r="11">
      <c r="A11" s="3" t="inlineStr">
        <is>
          <t>Change in Income Taxes</t>
        </is>
      </c>
      <c r="B11" s="4">
        <f>'QTR CF'!B11</f>
        <v/>
      </c>
      <c r="C11" s="4">
        <f>'QTR CF'!C11</f>
        <v/>
      </c>
      <c r="D11" s="4">
        <f>'QTR CF'!D11</f>
        <v/>
      </c>
      <c r="E11" s="4">
        <f>'QTR CF'!E11</f>
        <v/>
      </c>
      <c r="F11" s="4">
        <f>'QTR CF'!F11</f>
        <v/>
      </c>
      <c r="G11" s="4">
        <f>'QTR CF'!G11</f>
        <v/>
      </c>
      <c r="H11" s="4">
        <f>'QTR CF'!H11</f>
        <v/>
      </c>
      <c r="I11" s="4">
        <f>'QTR CF'!I11</f>
        <v/>
      </c>
      <c r="J11" s="4">
        <f>'QTR CF'!J11</f>
        <v/>
      </c>
      <c r="K11" s="4">
        <f>'QTR CF'!K11</f>
        <v/>
      </c>
      <c r="L11" s="4">
        <f>'QTR CF'!L11</f>
        <v/>
      </c>
      <c r="M11" s="4">
        <f>'QTR CF'!M11</f>
        <v/>
      </c>
      <c r="N11" s="4">
        <f>'QTR CF'!N11</f>
        <v/>
      </c>
      <c r="O11" s="4">
        <f>'QTR CF'!O11</f>
        <v/>
      </c>
      <c r="P11" s="4">
        <f>'QTR CF'!P11</f>
        <v/>
      </c>
      <c r="Q11" s="4">
        <f>'QTR CF'!Q11</f>
        <v/>
      </c>
      <c r="R11" s="4">
        <f>'QTR CF'!R11</f>
        <v/>
      </c>
      <c r="S11" s="4">
        <f>'QTR CF'!S11</f>
        <v/>
      </c>
      <c r="T11" s="4">
        <f>'QTR CF'!T11</f>
        <v/>
      </c>
      <c r="U11" s="4">
        <f>'QTR CF'!U11</f>
        <v/>
      </c>
      <c r="V11" s="4">
        <f>'QTR CF'!V11</f>
        <v/>
      </c>
      <c r="W11" s="4">
        <f>'QTR CF'!W11</f>
        <v/>
      </c>
      <c r="X11" s="4">
        <f>'QTR CF'!X11</f>
        <v/>
      </c>
      <c r="Y11" s="4">
        <f>'QTR CF'!Y11</f>
        <v/>
      </c>
      <c r="Z11" s="4">
        <f>'QTR CF'!Z11</f>
        <v/>
      </c>
      <c r="AA11" s="4">
        <f>'QTR CF'!AA11</f>
        <v/>
      </c>
      <c r="AB11" s="4">
        <f>'QTR CF'!AB11</f>
        <v/>
      </c>
      <c r="AC11" s="4">
        <f>'QTR CF'!AC11</f>
        <v/>
      </c>
      <c r="AD11" s="4">
        <f>'QTR CF'!AD11</f>
        <v/>
      </c>
      <c r="AE11" s="4">
        <f>'QTR CF'!AE11</f>
        <v/>
      </c>
      <c r="AF11" s="4">
        <f>'QTR CF'!AF11</f>
        <v/>
      </c>
      <c r="AG11" s="4">
        <f>'QTR CF'!AG11</f>
        <v/>
      </c>
      <c r="AH11" s="4">
        <f>('QTR BS'!AE22-'QTR BS'!AD22)</f>
        <v/>
      </c>
      <c r="AI11" s="4">
        <f>('QTR BS'!AF22-'QTR BS'!AE22)</f>
        <v/>
      </c>
      <c r="AJ11" s="4">
        <f>('QTR BS'!AG22-'QTR BS'!AF22)</f>
        <v/>
      </c>
      <c r="AK11" s="4">
        <f>('QTR BS'!AH22-'QTR BS'!AG22)</f>
        <v/>
      </c>
      <c r="AL11" s="4">
        <f>('QTR BS'!AI22-'QTR BS'!AH22)</f>
        <v/>
      </c>
      <c r="AM11" s="4">
        <f>('QTR BS'!AJ22-'QTR BS'!AI22)</f>
        <v/>
      </c>
      <c r="AN11" s="4">
        <f>('QTR BS'!AK22-'QTR BS'!AJ22)</f>
        <v/>
      </c>
      <c r="AO11" s="4">
        <f>('QTR BS'!AL22-'QTR BS'!AK22)</f>
        <v/>
      </c>
      <c r="AP11" s="4">
        <f>('QTR BS'!AM22-'QTR BS'!AL22)</f>
        <v/>
      </c>
      <c r="AQ11" s="4">
        <f>('QTR BS'!AN22-'QTR BS'!AM22)</f>
        <v/>
      </c>
      <c r="AR11" s="4">
        <f>('QTR BS'!AO22-'QTR BS'!AN22)</f>
        <v/>
      </c>
      <c r="AS11" s="4">
        <f>('QTR BS'!AP22-'QTR BS'!AO22)</f>
        <v/>
      </c>
      <c r="AT11" s="4">
        <f>('QTR BS'!AQ22-'QTR BS'!AP22)</f>
        <v/>
      </c>
      <c r="AU11" s="4">
        <f>('QTR BS'!AR22-'QTR BS'!AQ22)</f>
        <v/>
      </c>
      <c r="AV11" s="4">
        <f>('QTR BS'!AS22-'QTR BS'!AR22)</f>
        <v/>
      </c>
      <c r="AW11" s="4">
        <f>('QTR BS'!AT22-'QTR BS'!AS22)</f>
        <v/>
      </c>
      <c r="AX11" s="4">
        <f>('QTR BS'!AU22-'QTR BS'!AT22)</f>
        <v/>
      </c>
      <c r="AY11" s="4">
        <f>('QTR BS'!AV22-'QTR BS'!AU22)</f>
        <v/>
      </c>
      <c r="AZ11" s="4">
        <f>('QTR BS'!AW22-'QTR BS'!AV22)</f>
        <v/>
      </c>
      <c r="BA11" s="4">
        <f>('QTR BS'!AX22-'QTR BS'!AW22)</f>
        <v/>
      </c>
    </row>
    <row r="12">
      <c r="A12" s="3" t="inlineStr">
        <is>
          <t>Accounts Payable</t>
        </is>
      </c>
      <c r="B12" s="4">
        <f>'QTR CF'!B12</f>
        <v/>
      </c>
      <c r="C12" s="4">
        <f>'QTR CF'!C12</f>
        <v/>
      </c>
      <c r="D12" s="4">
        <f>'QTR CF'!D12</f>
        <v/>
      </c>
      <c r="E12" s="4">
        <f>'QTR CF'!E12</f>
        <v/>
      </c>
      <c r="F12" s="4">
        <f>'QTR CF'!F12</f>
        <v/>
      </c>
      <c r="G12" s="4">
        <f>'QTR CF'!G12</f>
        <v/>
      </c>
      <c r="H12" s="4">
        <f>'QTR CF'!H12</f>
        <v/>
      </c>
      <c r="I12" s="4">
        <f>'QTR CF'!I12</f>
        <v/>
      </c>
      <c r="J12" s="4">
        <f>'QTR CF'!J12</f>
        <v/>
      </c>
      <c r="K12" s="4">
        <f>'QTR CF'!K12</f>
        <v/>
      </c>
      <c r="L12" s="4">
        <f>'QTR CF'!L12</f>
        <v/>
      </c>
      <c r="M12" s="4">
        <f>'QTR CF'!M12</f>
        <v/>
      </c>
      <c r="N12" s="4">
        <f>'QTR CF'!N12</f>
        <v/>
      </c>
      <c r="O12" s="4">
        <f>'QTR CF'!O12</f>
        <v/>
      </c>
      <c r="P12" s="4">
        <f>'QTR CF'!P12</f>
        <v/>
      </c>
      <c r="Q12" s="4">
        <f>'QTR CF'!Q12</f>
        <v/>
      </c>
      <c r="R12" s="4">
        <f>'QTR CF'!R12</f>
        <v/>
      </c>
      <c r="S12" s="4">
        <f>'QTR CF'!S12</f>
        <v/>
      </c>
      <c r="T12" s="4">
        <f>'QTR CF'!T12</f>
        <v/>
      </c>
      <c r="U12" s="4">
        <f>'QTR CF'!U12</f>
        <v/>
      </c>
      <c r="V12" s="4">
        <f>'QTR CF'!V12</f>
        <v/>
      </c>
      <c r="W12" s="4">
        <f>'QTR CF'!W12</f>
        <v/>
      </c>
      <c r="X12" s="4">
        <f>'QTR CF'!X12</f>
        <v/>
      </c>
      <c r="Y12" s="4">
        <f>'QTR CF'!Y12</f>
        <v/>
      </c>
      <c r="Z12" s="4">
        <f>'QTR CF'!Z12</f>
        <v/>
      </c>
      <c r="AA12" s="4">
        <f>'QTR CF'!AA12</f>
        <v/>
      </c>
      <c r="AB12" s="4">
        <f>'QTR CF'!AB12</f>
        <v/>
      </c>
      <c r="AC12" s="4">
        <f>'QTR CF'!AC12</f>
        <v/>
      </c>
      <c r="AD12" s="4">
        <f>'QTR CF'!AD12</f>
        <v/>
      </c>
      <c r="AE12" s="4">
        <f>'QTR CF'!AE12</f>
        <v/>
      </c>
      <c r="AF12" s="4">
        <f>'QTR CF'!AF12</f>
        <v/>
      </c>
      <c r="AG12" s="4">
        <f>'QTR CF'!AG12</f>
        <v/>
      </c>
      <c r="AH12" s="4">
        <f>('QTR BS'!AE17-'QTR BS'!AD17)</f>
        <v/>
      </c>
      <c r="AI12" s="4">
        <f>('QTR BS'!AF17-'QTR BS'!AE17)</f>
        <v/>
      </c>
      <c r="AJ12" s="4">
        <f>('QTR BS'!AG17-'QTR BS'!AF17)</f>
        <v/>
      </c>
      <c r="AK12" s="4">
        <f>('QTR BS'!AH17-'QTR BS'!AG17)</f>
        <v/>
      </c>
      <c r="AL12" s="4">
        <f>('QTR BS'!AI17-'QTR BS'!AH17)</f>
        <v/>
      </c>
      <c r="AM12" s="4">
        <f>('QTR BS'!AJ17-'QTR BS'!AI17)</f>
        <v/>
      </c>
      <c r="AN12" s="4">
        <f>('QTR BS'!AK17-'QTR BS'!AJ17)</f>
        <v/>
      </c>
      <c r="AO12" s="4">
        <f>('QTR BS'!AL17-'QTR BS'!AK17)</f>
        <v/>
      </c>
      <c r="AP12" s="4">
        <f>('QTR BS'!AM17-'QTR BS'!AL17)</f>
        <v/>
      </c>
      <c r="AQ12" s="4">
        <f>('QTR BS'!AN17-'QTR BS'!AM17)</f>
        <v/>
      </c>
      <c r="AR12" s="4">
        <f>('QTR BS'!AO17-'QTR BS'!AN17)</f>
        <v/>
      </c>
      <c r="AS12" s="4">
        <f>('QTR BS'!AP17-'QTR BS'!AO17)</f>
        <v/>
      </c>
      <c r="AT12" s="4">
        <f>('QTR BS'!AQ17-'QTR BS'!AP17)</f>
        <v/>
      </c>
      <c r="AU12" s="4">
        <f>('QTR BS'!AR17-'QTR BS'!AQ17)</f>
        <v/>
      </c>
      <c r="AV12" s="4">
        <f>('QTR BS'!AS17-'QTR BS'!AR17)</f>
        <v/>
      </c>
      <c r="AW12" s="4">
        <f>('QTR BS'!AT17-'QTR BS'!AS17)</f>
        <v/>
      </c>
      <c r="AX12" s="4">
        <f>('QTR BS'!AU17-'QTR BS'!AT17)</f>
        <v/>
      </c>
      <c r="AY12" s="4">
        <f>('QTR BS'!AV17-'QTR BS'!AU17)</f>
        <v/>
      </c>
      <c r="AZ12" s="4">
        <f>('QTR BS'!AW17-'QTR BS'!AV17)</f>
        <v/>
      </c>
      <c r="BA12" s="4">
        <f>('QTR BS'!AX17-'QTR BS'!AW17)</f>
        <v/>
      </c>
    </row>
    <row r="13">
      <c r="A13" s="3" t="inlineStr">
        <is>
          <t>Accrued Expenses</t>
        </is>
      </c>
      <c r="B13" s="4">
        <f>'QTR CF'!B13</f>
        <v/>
      </c>
      <c r="C13" s="4">
        <f>'QTR CF'!C13</f>
        <v/>
      </c>
      <c r="D13" s="4">
        <f>'QTR CF'!D13</f>
        <v/>
      </c>
      <c r="E13" s="4">
        <f>'QTR CF'!E13</f>
        <v/>
      </c>
      <c r="F13" s="4">
        <f>'QTR CF'!F13</f>
        <v/>
      </c>
      <c r="G13" s="4">
        <f>'QTR CF'!G13</f>
        <v/>
      </c>
      <c r="H13" s="4">
        <f>'QTR CF'!H13</f>
        <v/>
      </c>
      <c r="I13" s="4">
        <f>'QTR CF'!I13</f>
        <v/>
      </c>
      <c r="J13" s="4">
        <f>'QTR CF'!J13</f>
        <v/>
      </c>
      <c r="K13" s="4">
        <f>'QTR CF'!K13</f>
        <v/>
      </c>
      <c r="L13" s="4">
        <f>'QTR CF'!L13</f>
        <v/>
      </c>
      <c r="M13" s="4">
        <f>'QTR CF'!M13</f>
        <v/>
      </c>
      <c r="N13" s="4">
        <f>'QTR CF'!N13</f>
        <v/>
      </c>
      <c r="O13" s="4">
        <f>'QTR CF'!O13</f>
        <v/>
      </c>
      <c r="P13" s="4">
        <f>'QTR CF'!P13</f>
        <v/>
      </c>
      <c r="Q13" s="4">
        <f>'QTR CF'!Q13</f>
        <v/>
      </c>
      <c r="R13" s="4">
        <f>'QTR CF'!R13</f>
        <v/>
      </c>
      <c r="S13" s="4">
        <f>'QTR CF'!S13</f>
        <v/>
      </c>
      <c r="T13" s="4">
        <f>'QTR CF'!T13</f>
        <v/>
      </c>
      <c r="U13" s="4">
        <f>'QTR CF'!U13</f>
        <v/>
      </c>
      <c r="V13" s="4">
        <f>'QTR CF'!V13</f>
        <v/>
      </c>
      <c r="W13" s="4">
        <f>'QTR CF'!W13</f>
        <v/>
      </c>
      <c r="X13" s="4">
        <f>'QTR CF'!X13</f>
        <v/>
      </c>
      <c r="Y13" s="4">
        <f>'QTR CF'!Y13</f>
        <v/>
      </c>
      <c r="Z13" s="4">
        <f>'QTR CF'!Z13</f>
        <v/>
      </c>
      <c r="AA13" s="4">
        <f>'QTR CF'!AA13</f>
        <v/>
      </c>
      <c r="AB13" s="4">
        <f>'QTR CF'!AB13</f>
        <v/>
      </c>
      <c r="AC13" s="4">
        <f>'QTR CF'!AC13</f>
        <v/>
      </c>
      <c r="AD13" s="4">
        <f>'QTR CF'!AD13</f>
        <v/>
      </c>
      <c r="AE13" s="4">
        <f>'QTR CF'!AE13</f>
        <v/>
      </c>
      <c r="AF13" s="4">
        <f>'QTR CF'!AF13</f>
        <v/>
      </c>
      <c r="AG13" s="4">
        <f>'QTR CF'!AG13</f>
        <v/>
      </c>
      <c r="AH13" s="4">
        <f>('QTR BS'!AE19-'QTR BS'!AD19)</f>
        <v/>
      </c>
      <c r="AI13" s="4">
        <f>('QTR BS'!AF19-'QTR BS'!AE19)</f>
        <v/>
      </c>
      <c r="AJ13" s="4">
        <f>('QTR BS'!AG19-'QTR BS'!AF19)</f>
        <v/>
      </c>
      <c r="AK13" s="4">
        <f>('QTR BS'!AH19-'QTR BS'!AG19)</f>
        <v/>
      </c>
      <c r="AL13" s="4">
        <f>('QTR BS'!AI19-'QTR BS'!AH19)</f>
        <v/>
      </c>
      <c r="AM13" s="4">
        <f>('QTR BS'!AJ19-'QTR BS'!AI19)</f>
        <v/>
      </c>
      <c r="AN13" s="4">
        <f>('QTR BS'!AK19-'QTR BS'!AJ19)</f>
        <v/>
      </c>
      <c r="AO13" s="4">
        <f>('QTR BS'!AL19-'QTR BS'!AK19)</f>
        <v/>
      </c>
      <c r="AP13" s="4">
        <f>('QTR BS'!AM19-'QTR BS'!AL19)</f>
        <v/>
      </c>
      <c r="AQ13" s="4">
        <f>('QTR BS'!AN19-'QTR BS'!AM19)</f>
        <v/>
      </c>
      <c r="AR13" s="4">
        <f>('QTR BS'!AO19-'QTR BS'!AN19)</f>
        <v/>
      </c>
      <c r="AS13" s="4">
        <f>('QTR BS'!AP19-'QTR BS'!AO19)</f>
        <v/>
      </c>
      <c r="AT13" s="4">
        <f>('QTR BS'!AQ19-'QTR BS'!AP19)</f>
        <v/>
      </c>
      <c r="AU13" s="4">
        <f>('QTR BS'!AR19-'QTR BS'!AQ19)</f>
        <v/>
      </c>
      <c r="AV13" s="4">
        <f>('QTR BS'!AS19-'QTR BS'!AR19)</f>
        <v/>
      </c>
      <c r="AW13" s="4">
        <f>('QTR BS'!AT19-'QTR BS'!AS19)</f>
        <v/>
      </c>
      <c r="AX13" s="4">
        <f>('QTR BS'!AU19-'QTR BS'!AT19)</f>
        <v/>
      </c>
      <c r="AY13" s="4">
        <f>('QTR BS'!AV19-'QTR BS'!AU19)</f>
        <v/>
      </c>
      <c r="AZ13" s="4">
        <f>('QTR BS'!AW19-'QTR BS'!AV19)</f>
        <v/>
      </c>
      <c r="BA13" s="4">
        <f>('QTR BS'!AX19-'QTR BS'!AW19)</f>
        <v/>
      </c>
    </row>
    <row r="14">
      <c r="A14" s="3" t="inlineStr">
        <is>
          <t>Accrued Revenue Share</t>
        </is>
      </c>
      <c r="B14" s="4">
        <f>'QTR CF'!B14</f>
        <v/>
      </c>
      <c r="C14" s="4">
        <f>'QTR CF'!C14</f>
        <v/>
      </c>
      <c r="D14" s="4">
        <f>'QTR CF'!D14</f>
        <v/>
      </c>
      <c r="E14" s="4">
        <f>'QTR CF'!E14</f>
        <v/>
      </c>
      <c r="F14" s="4">
        <f>'QTR CF'!F14</f>
        <v/>
      </c>
      <c r="G14" s="4">
        <f>'QTR CF'!G14</f>
        <v/>
      </c>
      <c r="H14" s="4">
        <f>'QTR CF'!H14</f>
        <v/>
      </c>
      <c r="I14" s="4">
        <f>'QTR CF'!I14</f>
        <v/>
      </c>
      <c r="J14" s="4">
        <f>'QTR CF'!J14</f>
        <v/>
      </c>
      <c r="K14" s="4">
        <f>'QTR CF'!K14</f>
        <v/>
      </c>
      <c r="L14" s="4">
        <f>'QTR CF'!L14</f>
        <v/>
      </c>
      <c r="M14" s="4">
        <f>'QTR CF'!M14</f>
        <v/>
      </c>
      <c r="N14" s="4">
        <f>'QTR CF'!N14</f>
        <v/>
      </c>
      <c r="O14" s="4">
        <f>'QTR CF'!O14</f>
        <v/>
      </c>
      <c r="P14" s="4">
        <f>'QTR CF'!P14</f>
        <v/>
      </c>
      <c r="Q14" s="4">
        <f>'QTR CF'!Q14</f>
        <v/>
      </c>
      <c r="R14" s="4">
        <f>'QTR CF'!R14</f>
        <v/>
      </c>
      <c r="S14" s="4">
        <f>'QTR CF'!S14</f>
        <v/>
      </c>
      <c r="T14" s="4">
        <f>'QTR CF'!T14</f>
        <v/>
      </c>
      <c r="U14" s="4">
        <f>'QTR CF'!U14</f>
        <v/>
      </c>
      <c r="V14" s="4">
        <f>'QTR CF'!V14</f>
        <v/>
      </c>
      <c r="W14" s="4">
        <f>'QTR CF'!W14</f>
        <v/>
      </c>
      <c r="X14" s="4">
        <f>'QTR CF'!X14</f>
        <v/>
      </c>
      <c r="Y14" s="4">
        <f>'QTR CF'!Y14</f>
        <v/>
      </c>
      <c r="Z14" s="4">
        <f>'QTR CF'!Z14</f>
        <v/>
      </c>
      <c r="AA14" s="4">
        <f>'QTR CF'!AA14</f>
        <v/>
      </c>
      <c r="AB14" s="4">
        <f>'QTR CF'!AB14</f>
        <v/>
      </c>
      <c r="AC14" s="4">
        <f>'QTR CF'!AC14</f>
        <v/>
      </c>
      <c r="AD14" s="4">
        <f>'QTR CF'!AD14</f>
        <v/>
      </c>
      <c r="AE14" s="4">
        <f>'QTR CF'!AE14</f>
        <v/>
      </c>
      <c r="AF14" s="4">
        <f>'QTR CF'!AF14</f>
        <v/>
      </c>
      <c r="AG14" s="4">
        <f>'QTR CF'!AG14</f>
        <v/>
      </c>
      <c r="AH14" s="4">
        <f>('QTR BS'!AE20-'QTR BS'!AD20)</f>
        <v/>
      </c>
      <c r="AI14" s="4">
        <f>('QTR BS'!AF20-'QTR BS'!AE20)</f>
        <v/>
      </c>
      <c r="AJ14" s="4">
        <f>('QTR BS'!AG20-'QTR BS'!AF20)</f>
        <v/>
      </c>
      <c r="AK14" s="4">
        <f>('QTR BS'!AH20-'QTR BS'!AG20)</f>
        <v/>
      </c>
      <c r="AL14" s="4">
        <f>('QTR BS'!AI20-'QTR BS'!AH20)</f>
        <v/>
      </c>
      <c r="AM14" s="4">
        <f>('QTR BS'!AJ20-'QTR BS'!AI20)</f>
        <v/>
      </c>
      <c r="AN14" s="4">
        <f>('QTR BS'!AK20-'QTR BS'!AJ20)</f>
        <v/>
      </c>
      <c r="AO14" s="4">
        <f>('QTR BS'!AL20-'QTR BS'!AK20)</f>
        <v/>
      </c>
      <c r="AP14" s="4">
        <f>('QTR BS'!AM20-'QTR BS'!AL20)</f>
        <v/>
      </c>
      <c r="AQ14" s="4">
        <f>('QTR BS'!AN20-'QTR BS'!AM20)</f>
        <v/>
      </c>
      <c r="AR14" s="4">
        <f>('QTR BS'!AO20-'QTR BS'!AN20)</f>
        <v/>
      </c>
      <c r="AS14" s="4">
        <f>('QTR BS'!AP20-'QTR BS'!AO20)</f>
        <v/>
      </c>
      <c r="AT14" s="4">
        <f>('QTR BS'!AQ20-'QTR BS'!AP20)</f>
        <v/>
      </c>
      <c r="AU14" s="4">
        <f>('QTR BS'!AR20-'QTR BS'!AQ20)</f>
        <v/>
      </c>
      <c r="AV14" s="4">
        <f>('QTR BS'!AS20-'QTR BS'!AR20)</f>
        <v/>
      </c>
      <c r="AW14" s="4">
        <f>('QTR BS'!AT20-'QTR BS'!AS20)</f>
        <v/>
      </c>
      <c r="AX14" s="4">
        <f>('QTR BS'!AU20-'QTR BS'!AT20)</f>
        <v/>
      </c>
      <c r="AY14" s="4">
        <f>('QTR BS'!AV20-'QTR BS'!AU20)</f>
        <v/>
      </c>
      <c r="AZ14" s="4">
        <f>('QTR BS'!AW20-'QTR BS'!AV20)</f>
        <v/>
      </c>
      <c r="BA14" s="4">
        <f>('QTR BS'!AX20-'QTR BS'!AW20)</f>
        <v/>
      </c>
    </row>
    <row r="15">
      <c r="A15" s="3" t="inlineStr">
        <is>
          <t>Deferred Revenue</t>
        </is>
      </c>
      <c r="B15" s="4">
        <f>'QTR CF'!B15</f>
        <v/>
      </c>
      <c r="C15" s="4">
        <f>'QTR CF'!C15</f>
        <v/>
      </c>
      <c r="D15" s="4">
        <f>'QTR CF'!D15</f>
        <v/>
      </c>
      <c r="E15" s="4">
        <f>'QTR CF'!E15</f>
        <v/>
      </c>
      <c r="F15" s="4">
        <f>'QTR CF'!F15</f>
        <v/>
      </c>
      <c r="G15" s="4">
        <f>'QTR CF'!G15</f>
        <v/>
      </c>
      <c r="H15" s="4">
        <f>'QTR CF'!H15</f>
        <v/>
      </c>
      <c r="I15" s="4">
        <f>'QTR CF'!I15</f>
        <v/>
      </c>
      <c r="J15" s="4">
        <f>'QTR CF'!J15</f>
        <v/>
      </c>
      <c r="K15" s="4">
        <f>'QTR CF'!K15</f>
        <v/>
      </c>
      <c r="L15" s="4">
        <f>'QTR CF'!L15</f>
        <v/>
      </c>
      <c r="M15" s="4">
        <f>'QTR CF'!M15</f>
        <v/>
      </c>
      <c r="N15" s="4">
        <f>'QTR CF'!N15</f>
        <v/>
      </c>
      <c r="O15" s="4">
        <f>'QTR CF'!O15</f>
        <v/>
      </c>
      <c r="P15" s="4">
        <f>'QTR CF'!P15</f>
        <v/>
      </c>
      <c r="Q15" s="4">
        <f>'QTR CF'!Q15</f>
        <v/>
      </c>
      <c r="R15" s="4">
        <f>'QTR CF'!R15</f>
        <v/>
      </c>
      <c r="S15" s="4">
        <f>'QTR CF'!S15</f>
        <v/>
      </c>
      <c r="T15" s="4">
        <f>'QTR CF'!T15</f>
        <v/>
      </c>
      <c r="U15" s="4">
        <f>'QTR CF'!U15</f>
        <v/>
      </c>
      <c r="V15" s="4">
        <f>'QTR CF'!V15</f>
        <v/>
      </c>
      <c r="W15" s="4">
        <f>'QTR CF'!W15</f>
        <v/>
      </c>
      <c r="X15" s="4">
        <f>'QTR CF'!X15</f>
        <v/>
      </c>
      <c r="Y15" s="4">
        <f>'QTR CF'!Y15</f>
        <v/>
      </c>
      <c r="Z15" s="4">
        <f>'QTR CF'!Z15</f>
        <v/>
      </c>
      <c r="AA15" s="4">
        <f>'QTR CF'!AA15</f>
        <v/>
      </c>
      <c r="AB15" s="4">
        <f>'QTR CF'!AB15</f>
        <v/>
      </c>
      <c r="AC15" s="4">
        <f>'QTR CF'!AC15</f>
        <v/>
      </c>
      <c r="AD15" s="4">
        <f>'QTR CF'!AD15</f>
        <v/>
      </c>
      <c r="AE15" s="4">
        <f>'QTR CF'!AE15</f>
        <v/>
      </c>
      <c r="AF15" s="4">
        <f>'QTR CF'!AF15</f>
        <v/>
      </c>
      <c r="AG15" s="4">
        <f>'QTR CF'!AG15</f>
        <v/>
      </c>
      <c r="AH15" s="15" t="n">
        <v>0</v>
      </c>
      <c r="AI15" s="15" t="n">
        <v>0</v>
      </c>
      <c r="AJ15" s="15" t="n">
        <v>0</v>
      </c>
      <c r="AK15" s="15" t="n">
        <v>0</v>
      </c>
      <c r="AL15" s="15" t="n">
        <v>0</v>
      </c>
      <c r="AM15" s="15" t="n">
        <v>0</v>
      </c>
      <c r="AN15" s="15" t="n">
        <v>0</v>
      </c>
      <c r="AO15" s="15" t="n">
        <v>0</v>
      </c>
      <c r="AP15" s="15" t="n">
        <v>0</v>
      </c>
      <c r="AQ15" s="15" t="n">
        <v>0</v>
      </c>
      <c r="AR15" s="15" t="n">
        <v>0</v>
      </c>
      <c r="AS15" s="15" t="n">
        <v>0</v>
      </c>
      <c r="AT15" s="15" t="n">
        <v>0</v>
      </c>
      <c r="AU15" s="15" t="n">
        <v>0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</v>
      </c>
    </row>
    <row r="16">
      <c r="A16" s="3" t="inlineStr">
        <is>
          <t>Purchase of PP&amp;E — % of Revenue</t>
        </is>
      </c>
      <c r="B16" s="13">
        <f>IFERROR('QTR CF'!B17/'QTR P&amp;L'!B2,"")</f>
        <v/>
      </c>
      <c r="C16" s="13">
        <f>IFERROR('QTR CF'!C17/'QTR P&amp;L'!C2,"")</f>
        <v/>
      </c>
      <c r="D16" s="13">
        <f>IFERROR('QTR CF'!D17/'QTR P&amp;L'!D2,"")</f>
        <v/>
      </c>
      <c r="E16" s="13">
        <f>IFERROR('QTR CF'!E17/'QTR P&amp;L'!E2,"")</f>
        <v/>
      </c>
      <c r="F16" s="13">
        <f>IFERROR('QTR CF'!F17/'QTR P&amp;L'!F2,"")</f>
        <v/>
      </c>
      <c r="G16" s="13">
        <f>IFERROR('QTR CF'!G17/'QTR P&amp;L'!G2,"")</f>
        <v/>
      </c>
      <c r="H16" s="13">
        <f>IFERROR('QTR CF'!H17/'QTR P&amp;L'!H2,"")</f>
        <v/>
      </c>
      <c r="I16" s="13">
        <f>IFERROR('QTR CF'!I17/'QTR P&amp;L'!I2,"")</f>
        <v/>
      </c>
      <c r="J16" s="13">
        <f>IFERROR('QTR CF'!J17/'QTR P&amp;L'!J2,"")</f>
        <v/>
      </c>
      <c r="K16" s="13">
        <f>IFERROR('QTR CF'!K17/'QTR P&amp;L'!K2,"")</f>
        <v/>
      </c>
      <c r="L16" s="13">
        <f>IFERROR('QTR CF'!L17/'QTR P&amp;L'!L2,"")</f>
        <v/>
      </c>
      <c r="M16" s="13">
        <f>IFERROR('QTR CF'!M17/'QTR P&amp;L'!M2,"")</f>
        <v/>
      </c>
      <c r="N16" s="13">
        <f>IFERROR('QTR CF'!N17/'QTR P&amp;L'!N2,"")</f>
        <v/>
      </c>
      <c r="O16" s="13">
        <f>IFERROR('QTR CF'!O17/'QTR P&amp;L'!O2,"")</f>
        <v/>
      </c>
      <c r="P16" s="13">
        <f>IFERROR('QTR CF'!P17/'QTR P&amp;L'!P2,"")</f>
        <v/>
      </c>
      <c r="Q16" s="13">
        <f>IFERROR('QTR CF'!Q17/'QTR P&amp;L'!Q2,"")</f>
        <v/>
      </c>
      <c r="R16" s="13">
        <f>IFERROR('QTR CF'!R17/'QTR P&amp;L'!R2,"")</f>
        <v/>
      </c>
      <c r="S16" s="13">
        <f>IFERROR('QTR CF'!S17/'QTR P&amp;L'!S2,"")</f>
        <v/>
      </c>
      <c r="T16" s="13">
        <f>IFERROR('QTR CF'!T17/'QTR P&amp;L'!T2,"")</f>
        <v/>
      </c>
      <c r="U16" s="13">
        <f>IFERROR('QTR CF'!U17/'QTR P&amp;L'!U2,"")</f>
        <v/>
      </c>
      <c r="V16" s="13">
        <f>IFERROR('QTR CF'!V17/'QTR P&amp;L'!V2,"")</f>
        <v/>
      </c>
      <c r="W16" s="13">
        <f>IFERROR('QTR CF'!W17/'QTR P&amp;L'!W2,"")</f>
        <v/>
      </c>
      <c r="X16" s="13">
        <f>IFERROR('QTR CF'!X17/'QTR P&amp;L'!X2,"")</f>
        <v/>
      </c>
      <c r="Y16" s="13">
        <f>IFERROR('QTR CF'!Y17/'QTR P&amp;L'!Y2,"")</f>
        <v/>
      </c>
      <c r="Z16" s="13">
        <f>IFERROR('QTR CF'!Z17/'QTR P&amp;L'!Z2,"")</f>
        <v/>
      </c>
      <c r="AA16" s="13">
        <f>IFERROR('QTR CF'!AA17/'QTR P&amp;L'!AA2,"")</f>
        <v/>
      </c>
      <c r="AB16" s="13">
        <f>IFERROR('QTR CF'!AB17/'QTR P&amp;L'!AB2,"")</f>
        <v/>
      </c>
      <c r="AC16" s="13">
        <f>IFERROR('QTR CF'!AC17/'QTR P&amp;L'!AC2,"")</f>
        <v/>
      </c>
      <c r="AD16" s="13">
        <f>IFERROR('QTR CF'!AD17/'QTR P&amp;L'!AD2,"")</f>
        <v/>
      </c>
      <c r="AE16" s="13">
        <f>IFERROR('QTR CF'!AE17/'QTR P&amp;L'!AE2,"")</f>
        <v/>
      </c>
      <c r="AF16" s="13">
        <f>IFERROR('QTR CF'!AF17/'QTR P&amp;L'!AF2,"")</f>
        <v/>
      </c>
      <c r="AG16" s="13">
        <f>IFERROR('QTR CF'!AG17/'QTR P&amp;L'!AG2,"")</f>
        <v/>
      </c>
      <c r="AH16" s="14">
        <f>AG16</f>
        <v/>
      </c>
      <c r="AI16" s="14">
        <f>AH16</f>
        <v/>
      </c>
      <c r="AJ16" s="14">
        <f>AI16</f>
        <v/>
      </c>
      <c r="AK16" s="14">
        <f>AJ16</f>
        <v/>
      </c>
      <c r="AL16" s="14">
        <f>AK16</f>
        <v/>
      </c>
      <c r="AM16" s="14">
        <f>AL16</f>
        <v/>
      </c>
      <c r="AN16" s="14">
        <f>AM16</f>
        <v/>
      </c>
      <c r="AO16" s="14">
        <f>AN16</f>
        <v/>
      </c>
      <c r="AP16" s="14">
        <f>AO16</f>
        <v/>
      </c>
      <c r="AQ16" s="14">
        <f>AP16</f>
        <v/>
      </c>
      <c r="AR16" s="14">
        <f>AQ16</f>
        <v/>
      </c>
      <c r="AS16" s="14">
        <f>AR16</f>
        <v/>
      </c>
      <c r="AT16" s="14">
        <f>AS16</f>
        <v/>
      </c>
      <c r="AU16" s="14">
        <f>AT16</f>
        <v/>
      </c>
      <c r="AV16" s="14">
        <f>AU16</f>
        <v/>
      </c>
      <c r="AW16" s="14">
        <f>AV16</f>
        <v/>
      </c>
      <c r="AX16" s="14">
        <f>AW16</f>
        <v/>
      </c>
      <c r="AY16" s="14">
        <f>AX16</f>
        <v/>
      </c>
      <c r="AZ16" s="14">
        <f>AY16</f>
        <v/>
      </c>
      <c r="BA16" s="14">
        <f>AZ16</f>
        <v/>
      </c>
    </row>
    <row r="17">
      <c r="A17" s="3" t="inlineStr">
        <is>
          <t>Proceeds from Sale of Assets</t>
        </is>
      </c>
      <c r="B17" s="4">
        <f>'QTR CF'!B18</f>
        <v/>
      </c>
      <c r="C17" s="4">
        <f>'QTR CF'!C18</f>
        <v/>
      </c>
      <c r="D17" s="4">
        <f>'QTR CF'!D18</f>
        <v/>
      </c>
      <c r="E17" s="4">
        <f>'QTR CF'!E18</f>
        <v/>
      </c>
      <c r="F17" s="4">
        <f>'QTR CF'!F18</f>
        <v/>
      </c>
      <c r="G17" s="4">
        <f>'QTR CF'!G18</f>
        <v/>
      </c>
      <c r="H17" s="4">
        <f>'QTR CF'!H18</f>
        <v/>
      </c>
      <c r="I17" s="4">
        <f>'QTR CF'!I18</f>
        <v/>
      </c>
      <c r="J17" s="4">
        <f>'QTR CF'!J18</f>
        <v/>
      </c>
      <c r="K17" s="4">
        <f>'QTR CF'!K18</f>
        <v/>
      </c>
      <c r="L17" s="4">
        <f>'QTR CF'!L18</f>
        <v/>
      </c>
      <c r="M17" s="4">
        <f>'QTR CF'!M18</f>
        <v/>
      </c>
      <c r="N17" s="4">
        <f>'QTR CF'!N18</f>
        <v/>
      </c>
      <c r="O17" s="4">
        <f>'QTR CF'!O18</f>
        <v/>
      </c>
      <c r="P17" s="4">
        <f>'QTR CF'!P18</f>
        <v/>
      </c>
      <c r="Q17" s="4">
        <f>'QTR CF'!Q18</f>
        <v/>
      </c>
      <c r="R17" s="4">
        <f>'QTR CF'!R18</f>
        <v/>
      </c>
      <c r="S17" s="4">
        <f>'QTR CF'!S18</f>
        <v/>
      </c>
      <c r="T17" s="4">
        <f>'QTR CF'!T18</f>
        <v/>
      </c>
      <c r="U17" s="4">
        <f>'QTR CF'!U18</f>
        <v/>
      </c>
      <c r="V17" s="4">
        <f>'QTR CF'!V18</f>
        <v/>
      </c>
      <c r="W17" s="4">
        <f>'QTR CF'!W18</f>
        <v/>
      </c>
      <c r="X17" s="4">
        <f>'QTR CF'!X18</f>
        <v/>
      </c>
      <c r="Y17" s="4">
        <f>'QTR CF'!Y18</f>
        <v/>
      </c>
      <c r="Z17" s="4">
        <f>'QTR CF'!Z18</f>
        <v/>
      </c>
      <c r="AA17" s="4">
        <f>'QTR CF'!AA18</f>
        <v/>
      </c>
      <c r="AB17" s="4">
        <f>'QTR CF'!AB18</f>
        <v/>
      </c>
      <c r="AC17" s="4">
        <f>'QTR CF'!AC18</f>
        <v/>
      </c>
      <c r="AD17" s="4">
        <f>'QTR CF'!AD18</f>
        <v/>
      </c>
      <c r="AE17" s="4">
        <f>'QTR CF'!AE18</f>
        <v/>
      </c>
      <c r="AF17" s="4">
        <f>'QTR CF'!AF18</f>
        <v/>
      </c>
      <c r="AG17" s="4">
        <f>'QTR CF'!AG18</f>
        <v/>
      </c>
      <c r="AH17" s="15" t="n">
        <v>0</v>
      </c>
      <c r="AI17" s="15" t="n">
        <v>0</v>
      </c>
      <c r="AJ17" s="15" t="n">
        <v>0</v>
      </c>
      <c r="AK17" s="15" t="n">
        <v>0</v>
      </c>
      <c r="AL17" s="15" t="n">
        <v>0</v>
      </c>
      <c r="AM17" s="15" t="n">
        <v>0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</row>
    <row r="18">
      <c r="A18" s="3" t="inlineStr">
        <is>
          <t>Net Change in Short-Term Investments</t>
        </is>
      </c>
      <c r="B18" s="4">
        <f>'QTR CF'!B19</f>
        <v/>
      </c>
      <c r="C18" s="4">
        <f>'QTR CF'!C19</f>
        <v/>
      </c>
      <c r="D18" s="4">
        <f>'QTR CF'!D19</f>
        <v/>
      </c>
      <c r="E18" s="4">
        <f>'QTR CF'!E19</f>
        <v/>
      </c>
      <c r="F18" s="4">
        <f>'QTR CF'!F19</f>
        <v/>
      </c>
      <c r="G18" s="4">
        <f>'QTR CF'!G19</f>
        <v/>
      </c>
      <c r="H18" s="4">
        <f>'QTR CF'!H19</f>
        <v/>
      </c>
      <c r="I18" s="4">
        <f>'QTR CF'!I19</f>
        <v/>
      </c>
      <c r="J18" s="4">
        <f>'QTR CF'!J19</f>
        <v/>
      </c>
      <c r="K18" s="4">
        <f>'QTR CF'!K19</f>
        <v/>
      </c>
      <c r="L18" s="4">
        <f>'QTR CF'!L19</f>
        <v/>
      </c>
      <c r="M18" s="4">
        <f>'QTR CF'!M19</f>
        <v/>
      </c>
      <c r="N18" s="4">
        <f>'QTR CF'!N19</f>
        <v/>
      </c>
      <c r="O18" s="4">
        <f>'QTR CF'!O19</f>
        <v/>
      </c>
      <c r="P18" s="4">
        <f>'QTR CF'!P19</f>
        <v/>
      </c>
      <c r="Q18" s="4">
        <f>'QTR CF'!Q19</f>
        <v/>
      </c>
      <c r="R18" s="4">
        <f>'QTR CF'!R19</f>
        <v/>
      </c>
      <c r="S18" s="4">
        <f>'QTR CF'!S19</f>
        <v/>
      </c>
      <c r="T18" s="4">
        <f>'QTR CF'!T19</f>
        <v/>
      </c>
      <c r="U18" s="4">
        <f>'QTR CF'!U19</f>
        <v/>
      </c>
      <c r="V18" s="4">
        <f>'QTR CF'!V19</f>
        <v/>
      </c>
      <c r="W18" s="4">
        <f>'QTR CF'!W19</f>
        <v/>
      </c>
      <c r="X18" s="4">
        <f>'QTR CF'!X19</f>
        <v/>
      </c>
      <c r="Y18" s="4">
        <f>'QTR CF'!Y19</f>
        <v/>
      </c>
      <c r="Z18" s="4">
        <f>'QTR CF'!Z19</f>
        <v/>
      </c>
      <c r="AA18" s="4">
        <f>'QTR CF'!AA19</f>
        <v/>
      </c>
      <c r="AB18" s="4">
        <f>'QTR CF'!AB19</f>
        <v/>
      </c>
      <c r="AC18" s="4">
        <f>'QTR CF'!AC19</f>
        <v/>
      </c>
      <c r="AD18" s="4">
        <f>'QTR CF'!AD19</f>
        <v/>
      </c>
      <c r="AE18" s="4">
        <f>'QTR CF'!AE19</f>
        <v/>
      </c>
      <c r="AF18" s="4">
        <f>'QTR CF'!AF19</f>
        <v/>
      </c>
      <c r="AG18" s="4">
        <f>'QTR CF'!AG19</f>
        <v/>
      </c>
      <c r="AH18" s="15" t="n">
        <v>0</v>
      </c>
      <c r="AI18" s="15" t="n">
        <v>0</v>
      </c>
      <c r="AJ18" s="15" t="n">
        <v>0</v>
      </c>
      <c r="AK18" s="15" t="n">
        <v>0</v>
      </c>
      <c r="AL18" s="15" t="n">
        <v>0</v>
      </c>
      <c r="AM18" s="15" t="n">
        <v>0</v>
      </c>
      <c r="AN18" s="15" t="n">
        <v>0</v>
      </c>
      <c r="AO18" s="15" t="n">
        <v>0</v>
      </c>
      <c r="AP18" s="15" t="n">
        <v>0</v>
      </c>
      <c r="AQ18" s="15" t="n">
        <v>0</v>
      </c>
      <c r="AR18" s="15" t="n">
        <v>0</v>
      </c>
      <c r="AS18" s="15" t="n">
        <v>0</v>
      </c>
      <c r="AT18" s="15" t="n">
        <v>0</v>
      </c>
      <c r="AU18" s="15" t="n">
        <v>0</v>
      </c>
      <c r="AV18" s="15" t="n">
        <v>0</v>
      </c>
      <c r="AW18" s="15" t="n">
        <v>0</v>
      </c>
      <c r="AX18" s="15" t="n">
        <v>0</v>
      </c>
      <c r="AY18" s="15" t="n">
        <v>0</v>
      </c>
      <c r="AZ18" s="15" t="n">
        <v>0</v>
      </c>
      <c r="BA18" s="15" t="n">
        <v>0</v>
      </c>
    </row>
    <row r="19">
      <c r="A19" s="3" t="inlineStr">
        <is>
          <t>Net Change in Long-Term Investments</t>
        </is>
      </c>
      <c r="B19" s="4">
        <f>'QTR CF'!B20</f>
        <v/>
      </c>
      <c r="C19" s="4">
        <f>'QTR CF'!C20</f>
        <v/>
      </c>
      <c r="D19" s="4">
        <f>'QTR CF'!D20</f>
        <v/>
      </c>
      <c r="E19" s="4">
        <f>'QTR CF'!E20</f>
        <v/>
      </c>
      <c r="F19" s="4">
        <f>'QTR CF'!F20</f>
        <v/>
      </c>
      <c r="G19" s="4">
        <f>'QTR CF'!G20</f>
        <v/>
      </c>
      <c r="H19" s="4">
        <f>'QTR CF'!H20</f>
        <v/>
      </c>
      <c r="I19" s="4">
        <f>'QTR CF'!I20</f>
        <v/>
      </c>
      <c r="J19" s="4">
        <f>'QTR CF'!J20</f>
        <v/>
      </c>
      <c r="K19" s="4">
        <f>'QTR CF'!K20</f>
        <v/>
      </c>
      <c r="L19" s="4">
        <f>'QTR CF'!L20</f>
        <v/>
      </c>
      <c r="M19" s="4">
        <f>'QTR CF'!M20</f>
        <v/>
      </c>
      <c r="N19" s="4">
        <f>'QTR CF'!N20</f>
        <v/>
      </c>
      <c r="O19" s="4">
        <f>'QTR CF'!O20</f>
        <v/>
      </c>
      <c r="P19" s="4">
        <f>'QTR CF'!P20</f>
        <v/>
      </c>
      <c r="Q19" s="4">
        <f>'QTR CF'!Q20</f>
        <v/>
      </c>
      <c r="R19" s="4">
        <f>'QTR CF'!R20</f>
        <v/>
      </c>
      <c r="S19" s="4">
        <f>'QTR CF'!S20</f>
        <v/>
      </c>
      <c r="T19" s="4">
        <f>'QTR CF'!T20</f>
        <v/>
      </c>
      <c r="U19" s="4">
        <f>'QTR CF'!U20</f>
        <v/>
      </c>
      <c r="V19" s="4">
        <f>'QTR CF'!V20</f>
        <v/>
      </c>
      <c r="W19" s="4">
        <f>'QTR CF'!W20</f>
        <v/>
      </c>
      <c r="X19" s="4">
        <f>'QTR CF'!X20</f>
        <v/>
      </c>
      <c r="Y19" s="4">
        <f>'QTR CF'!Y20</f>
        <v/>
      </c>
      <c r="Z19" s="4">
        <f>'QTR CF'!Z20</f>
        <v/>
      </c>
      <c r="AA19" s="4">
        <f>'QTR CF'!AA20</f>
        <v/>
      </c>
      <c r="AB19" s="4">
        <f>'QTR CF'!AB20</f>
        <v/>
      </c>
      <c r="AC19" s="4">
        <f>'QTR CF'!AC20</f>
        <v/>
      </c>
      <c r="AD19" s="4">
        <f>'QTR CF'!AD20</f>
        <v/>
      </c>
      <c r="AE19" s="4">
        <f>'QTR CF'!AE20</f>
        <v/>
      </c>
      <c r="AF19" s="4">
        <f>'QTR CF'!AF20</f>
        <v/>
      </c>
      <c r="AG19" s="4">
        <f>'QTR CF'!AG20</f>
        <v/>
      </c>
      <c r="AH19" s="4">
        <f>-('QTR BS'!AE9-'QTR BS'!AD9)</f>
        <v/>
      </c>
      <c r="AI19" s="4">
        <f>-('QTR BS'!AF9-'QTR BS'!AE9)</f>
        <v/>
      </c>
      <c r="AJ19" s="4">
        <f>-('QTR BS'!AG9-'QTR BS'!AF9)</f>
        <v/>
      </c>
      <c r="AK19" s="4">
        <f>-('QTR BS'!AH9-'QTR BS'!AG9)</f>
        <v/>
      </c>
      <c r="AL19" s="4">
        <f>-('QTR BS'!AI9-'QTR BS'!AH9)</f>
        <v/>
      </c>
      <c r="AM19" s="4">
        <f>-('QTR BS'!AJ9-'QTR BS'!AI9)</f>
        <v/>
      </c>
      <c r="AN19" s="4">
        <f>-('QTR BS'!AK9-'QTR BS'!AJ9)</f>
        <v/>
      </c>
      <c r="AO19" s="4">
        <f>-('QTR BS'!AL9-'QTR BS'!AK9)</f>
        <v/>
      </c>
      <c r="AP19" s="4">
        <f>-('QTR BS'!AM9-'QTR BS'!AL9)</f>
        <v/>
      </c>
      <c r="AQ19" s="4">
        <f>-('QTR BS'!AN9-'QTR BS'!AM9)</f>
        <v/>
      </c>
      <c r="AR19" s="4">
        <f>-('QTR BS'!AO9-'QTR BS'!AN9)</f>
        <v/>
      </c>
      <c r="AS19" s="4">
        <f>-('QTR BS'!AP9-'QTR BS'!AO9)</f>
        <v/>
      </c>
      <c r="AT19" s="4">
        <f>-('QTR BS'!AQ9-'QTR BS'!AP9)</f>
        <v/>
      </c>
      <c r="AU19" s="4">
        <f>-('QTR BS'!AR9-'QTR BS'!AQ9)</f>
        <v/>
      </c>
      <c r="AV19" s="4">
        <f>-('QTR BS'!AS9-'QTR BS'!AR9)</f>
        <v/>
      </c>
      <c r="AW19" s="4">
        <f>-('QTR BS'!AT9-'QTR BS'!AS9)</f>
        <v/>
      </c>
      <c r="AX19" s="4">
        <f>-('QTR BS'!AU9-'QTR BS'!AT9)</f>
        <v/>
      </c>
      <c r="AY19" s="4">
        <f>-('QTR BS'!AV9-'QTR BS'!AU9)</f>
        <v/>
      </c>
      <c r="AZ19" s="4">
        <f>-('QTR BS'!AW9-'QTR BS'!AV9)</f>
        <v/>
      </c>
      <c r="BA19" s="4">
        <f>-('QTR BS'!AX9-'QTR BS'!AW9)</f>
        <v/>
      </c>
    </row>
    <row r="20">
      <c r="A20" s="3" t="inlineStr">
        <is>
          <t>Acquisitions, Net of Cash Acquired</t>
        </is>
      </c>
      <c r="B20" s="4">
        <f>'QTR CF'!B21</f>
        <v/>
      </c>
      <c r="C20" s="4">
        <f>'QTR CF'!C21</f>
        <v/>
      </c>
      <c r="D20" s="4">
        <f>'QTR CF'!D21</f>
        <v/>
      </c>
      <c r="E20" s="4">
        <f>'QTR CF'!E21</f>
        <v/>
      </c>
      <c r="F20" s="4">
        <f>'QTR CF'!F21</f>
        <v/>
      </c>
      <c r="G20" s="4">
        <f>'QTR CF'!G21</f>
        <v/>
      </c>
      <c r="H20" s="4">
        <f>'QTR CF'!H21</f>
        <v/>
      </c>
      <c r="I20" s="4">
        <f>'QTR CF'!I21</f>
        <v/>
      </c>
      <c r="J20" s="4">
        <f>'QTR CF'!J21</f>
        <v/>
      </c>
      <c r="K20" s="4">
        <f>'QTR CF'!K21</f>
        <v/>
      </c>
      <c r="L20" s="4">
        <f>'QTR CF'!L21</f>
        <v/>
      </c>
      <c r="M20" s="4">
        <f>'QTR CF'!M21</f>
        <v/>
      </c>
      <c r="N20" s="4">
        <f>'QTR CF'!N21</f>
        <v/>
      </c>
      <c r="O20" s="4">
        <f>'QTR CF'!O21</f>
        <v/>
      </c>
      <c r="P20" s="4">
        <f>'QTR CF'!P21</f>
        <v/>
      </c>
      <c r="Q20" s="4">
        <f>'QTR CF'!Q21</f>
        <v/>
      </c>
      <c r="R20" s="4">
        <f>'QTR CF'!R21</f>
        <v/>
      </c>
      <c r="S20" s="4">
        <f>'QTR CF'!S21</f>
        <v/>
      </c>
      <c r="T20" s="4">
        <f>'QTR CF'!T21</f>
        <v/>
      </c>
      <c r="U20" s="4">
        <f>'QTR CF'!U21</f>
        <v/>
      </c>
      <c r="V20" s="4">
        <f>'QTR CF'!V21</f>
        <v/>
      </c>
      <c r="W20" s="4">
        <f>'QTR CF'!W21</f>
        <v/>
      </c>
      <c r="X20" s="4">
        <f>'QTR CF'!X21</f>
        <v/>
      </c>
      <c r="Y20" s="4">
        <f>'QTR CF'!Y21</f>
        <v/>
      </c>
      <c r="Z20" s="4">
        <f>'QTR CF'!Z21</f>
        <v/>
      </c>
      <c r="AA20" s="4">
        <f>'QTR CF'!AA21</f>
        <v/>
      </c>
      <c r="AB20" s="4">
        <f>'QTR CF'!AB21</f>
        <v/>
      </c>
      <c r="AC20" s="4">
        <f>'QTR CF'!AC21</f>
        <v/>
      </c>
      <c r="AD20" s="4">
        <f>'QTR CF'!AD21</f>
        <v/>
      </c>
      <c r="AE20" s="4">
        <f>'QTR CF'!AE21</f>
        <v/>
      </c>
      <c r="AF20" s="4">
        <f>'QTR CF'!AF21</f>
        <v/>
      </c>
      <c r="AG20" s="4">
        <f>'QTR CF'!AG21</f>
        <v/>
      </c>
      <c r="AH20" s="15" t="n">
        <v>0</v>
      </c>
      <c r="AI20" s="15" t="n">
        <v>0</v>
      </c>
      <c r="AJ20" s="15" t="n">
        <v>0</v>
      </c>
      <c r="AK20" s="15" t="n">
        <v>0</v>
      </c>
      <c r="AL20" s="15" t="n">
        <v>0</v>
      </c>
      <c r="AM20" s="15" t="n">
        <v>0</v>
      </c>
      <c r="AN20" s="15" t="n">
        <v>0</v>
      </c>
      <c r="AO20" s="15" t="n">
        <v>0</v>
      </c>
      <c r="AP20" s="15" t="n">
        <v>0</v>
      </c>
      <c r="AQ20" s="15" t="n">
        <v>0</v>
      </c>
      <c r="AR20" s="15" t="n">
        <v>0</v>
      </c>
      <c r="AS20" s="15" t="n">
        <v>0</v>
      </c>
      <c r="AT20" s="15" t="n">
        <v>0</v>
      </c>
      <c r="AU20" s="15" t="n">
        <v>0</v>
      </c>
      <c r="AV20" s="15" t="n">
        <v>0</v>
      </c>
      <c r="AW20" s="15" t="n">
        <v>0</v>
      </c>
      <c r="AX20" s="15" t="n">
        <v>0</v>
      </c>
      <c r="AY20" s="15" t="n">
        <v>0</v>
      </c>
      <c r="AZ20" s="15" t="n">
        <v>0</v>
      </c>
      <c r="BA20" s="15" t="n">
        <v>0</v>
      </c>
    </row>
    <row r="21">
      <c r="A21" s="3" t="inlineStr">
        <is>
          <t>Collections from Note Receivable</t>
        </is>
      </c>
      <c r="B21" s="4">
        <f>'QTR CF'!B22</f>
        <v/>
      </c>
      <c r="C21" s="4">
        <f>'QTR CF'!C22</f>
        <v/>
      </c>
      <c r="D21" s="4">
        <f>'QTR CF'!D22</f>
        <v/>
      </c>
      <c r="E21" s="4">
        <f>'QTR CF'!E22</f>
        <v/>
      </c>
      <c r="F21" s="4">
        <f>'QTR CF'!F22</f>
        <v/>
      </c>
      <c r="G21" s="4">
        <f>'QTR CF'!G22</f>
        <v/>
      </c>
      <c r="H21" s="4">
        <f>'QTR CF'!H22</f>
        <v/>
      </c>
      <c r="I21" s="4">
        <f>'QTR CF'!I22</f>
        <v/>
      </c>
      <c r="J21" s="4">
        <f>'QTR CF'!J22</f>
        <v/>
      </c>
      <c r="K21" s="4">
        <f>'QTR CF'!K22</f>
        <v/>
      </c>
      <c r="L21" s="4">
        <f>'QTR CF'!L22</f>
        <v/>
      </c>
      <c r="M21" s="4">
        <f>'QTR CF'!M22</f>
        <v/>
      </c>
      <c r="N21" s="4">
        <f>'QTR CF'!N22</f>
        <v/>
      </c>
      <c r="O21" s="4">
        <f>'QTR CF'!O22</f>
        <v/>
      </c>
      <c r="P21" s="4">
        <f>'QTR CF'!P22</f>
        <v/>
      </c>
      <c r="Q21" s="4">
        <f>'QTR CF'!Q22</f>
        <v/>
      </c>
      <c r="R21" s="4">
        <f>'QTR CF'!R22</f>
        <v/>
      </c>
      <c r="S21" s="4">
        <f>'QTR CF'!S22</f>
        <v/>
      </c>
      <c r="T21" s="4">
        <f>'QTR CF'!T22</f>
        <v/>
      </c>
      <c r="U21" s="4">
        <f>'QTR CF'!U22</f>
        <v/>
      </c>
      <c r="V21" s="4">
        <f>'QTR CF'!V22</f>
        <v/>
      </c>
      <c r="W21" s="4">
        <f>'QTR CF'!W22</f>
        <v/>
      </c>
      <c r="X21" s="4">
        <f>'QTR CF'!X22</f>
        <v/>
      </c>
      <c r="Y21" s="4">
        <f>'QTR CF'!Y22</f>
        <v/>
      </c>
      <c r="Z21" s="4">
        <f>'QTR CF'!Z22</f>
        <v/>
      </c>
      <c r="AA21" s="4">
        <f>'QTR CF'!AA22</f>
        <v/>
      </c>
      <c r="AB21" s="4">
        <f>'QTR CF'!AB22</f>
        <v/>
      </c>
      <c r="AC21" s="4">
        <f>'QTR CF'!AC22</f>
        <v/>
      </c>
      <c r="AD21" s="4">
        <f>'QTR CF'!AD22</f>
        <v/>
      </c>
      <c r="AE21" s="4">
        <f>'QTR CF'!AE22</f>
        <v/>
      </c>
      <c r="AF21" s="4">
        <f>'QTR CF'!AF22</f>
        <v/>
      </c>
      <c r="AG21" s="4">
        <f>'QTR CF'!AG22</f>
        <v/>
      </c>
      <c r="AH21" s="15" t="n">
        <v>0</v>
      </c>
      <c r="AI21" s="15" t="n">
        <v>0</v>
      </c>
      <c r="AJ21" s="15" t="n">
        <v>0</v>
      </c>
      <c r="AK21" s="15" t="n">
        <v>0</v>
      </c>
      <c r="AL21" s="15" t="n">
        <v>0</v>
      </c>
      <c r="AM21" s="15" t="n">
        <v>0</v>
      </c>
      <c r="AN21" s="15" t="n">
        <v>0</v>
      </c>
      <c r="AO21" s="15" t="n">
        <v>0</v>
      </c>
      <c r="AP21" s="15" t="n">
        <v>0</v>
      </c>
      <c r="AQ21" s="15" t="n">
        <v>0</v>
      </c>
      <c r="AR21" s="15" t="n">
        <v>0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</row>
    <row r="22">
      <c r="A22" s="3" t="inlineStr">
        <is>
          <t>Other Investing Activities</t>
        </is>
      </c>
      <c r="B22" s="4">
        <f>'QTR CF'!B23</f>
        <v/>
      </c>
      <c r="C22" s="4">
        <f>'QTR CF'!C23</f>
        <v/>
      </c>
      <c r="D22" s="4">
        <f>'QTR CF'!D23</f>
        <v/>
      </c>
      <c r="E22" s="4">
        <f>'QTR CF'!E23</f>
        <v/>
      </c>
      <c r="F22" s="4">
        <f>'QTR CF'!F23</f>
        <v/>
      </c>
      <c r="G22" s="4">
        <f>'QTR CF'!G23</f>
        <v/>
      </c>
      <c r="H22" s="4">
        <f>'QTR CF'!H23</f>
        <v/>
      </c>
      <c r="I22" s="4">
        <f>'QTR CF'!I23</f>
        <v/>
      </c>
      <c r="J22" s="4">
        <f>'QTR CF'!J23</f>
        <v/>
      </c>
      <c r="K22" s="4">
        <f>'QTR CF'!K23</f>
        <v/>
      </c>
      <c r="L22" s="4">
        <f>'QTR CF'!L23</f>
        <v/>
      </c>
      <c r="M22" s="4">
        <f>'QTR CF'!M23</f>
        <v/>
      </c>
      <c r="N22" s="4">
        <f>'QTR CF'!N23</f>
        <v/>
      </c>
      <c r="O22" s="4">
        <f>'QTR CF'!O23</f>
        <v/>
      </c>
      <c r="P22" s="4">
        <f>'QTR CF'!P23</f>
        <v/>
      </c>
      <c r="Q22" s="4">
        <f>'QTR CF'!Q23</f>
        <v/>
      </c>
      <c r="R22" s="4">
        <f>'QTR CF'!R23</f>
        <v/>
      </c>
      <c r="S22" s="4">
        <f>'QTR CF'!S23</f>
        <v/>
      </c>
      <c r="T22" s="4">
        <f>'QTR CF'!T23</f>
        <v/>
      </c>
      <c r="U22" s="4">
        <f>'QTR CF'!U23</f>
        <v/>
      </c>
      <c r="V22" s="4">
        <f>'QTR CF'!V23</f>
        <v/>
      </c>
      <c r="W22" s="4">
        <f>'QTR CF'!W23</f>
        <v/>
      </c>
      <c r="X22" s="4">
        <f>'QTR CF'!X23</f>
        <v/>
      </c>
      <c r="Y22" s="4">
        <f>'QTR CF'!Y23</f>
        <v/>
      </c>
      <c r="Z22" s="4">
        <f>'QTR CF'!Z23</f>
        <v/>
      </c>
      <c r="AA22" s="4">
        <f>'QTR CF'!AA23</f>
        <v/>
      </c>
      <c r="AB22" s="4">
        <f>'QTR CF'!AB23</f>
        <v/>
      </c>
      <c r="AC22" s="4">
        <f>'QTR CF'!AC23</f>
        <v/>
      </c>
      <c r="AD22" s="4">
        <f>'QTR CF'!AD23</f>
        <v/>
      </c>
      <c r="AE22" s="4">
        <f>'QTR CF'!AE23</f>
        <v/>
      </c>
      <c r="AF22" s="4">
        <f>'QTR CF'!AF23</f>
        <v/>
      </c>
      <c r="AG22" s="4">
        <f>'QTR CF'!AG23</f>
        <v/>
      </c>
      <c r="AH22" s="15" t="n">
        <v>0</v>
      </c>
      <c r="AI22" s="15" t="n">
        <v>0</v>
      </c>
      <c r="AJ22" s="15" t="n">
        <v>0</v>
      </c>
      <c r="AK22" s="15" t="n">
        <v>0</v>
      </c>
      <c r="AL22" s="15" t="n">
        <v>0</v>
      </c>
      <c r="AM22" s="15" t="n">
        <v>0</v>
      </c>
      <c r="AN22" s="15" t="n">
        <v>0</v>
      </c>
      <c r="AO22" s="15" t="n">
        <v>0</v>
      </c>
      <c r="AP22" s="15" t="n">
        <v>0</v>
      </c>
      <c r="AQ22" s="15" t="n">
        <v>0</v>
      </c>
      <c r="AR22" s="15" t="n">
        <v>0</v>
      </c>
      <c r="AS22" s="15" t="n">
        <v>0</v>
      </c>
      <c r="AT22" s="15" t="n">
        <v>0</v>
      </c>
      <c r="AU22" s="15" t="n">
        <v>0</v>
      </c>
      <c r="AV22" s="15" t="n">
        <v>0</v>
      </c>
      <c r="AW22" s="15" t="n">
        <v>0</v>
      </c>
      <c r="AX22" s="15" t="n">
        <v>0</v>
      </c>
      <c r="AY22" s="15" t="n">
        <v>0</v>
      </c>
      <c r="AZ22" s="15" t="n">
        <v>0</v>
      </c>
      <c r="BA22" s="15" t="n">
        <v>0</v>
      </c>
    </row>
    <row r="23">
      <c r="A23" s="3" t="inlineStr">
        <is>
          <t>Stock-Based Award Activities, Net</t>
        </is>
      </c>
      <c r="B23" s="4">
        <f>'QTR CF'!B25</f>
        <v/>
      </c>
      <c r="C23" s="4">
        <f>'QTR CF'!C25</f>
        <v/>
      </c>
      <c r="D23" s="4">
        <f>'QTR CF'!D25</f>
        <v/>
      </c>
      <c r="E23" s="4">
        <f>'QTR CF'!E25</f>
        <v/>
      </c>
      <c r="F23" s="4">
        <f>'QTR CF'!F25</f>
        <v/>
      </c>
      <c r="G23" s="4">
        <f>'QTR CF'!G25</f>
        <v/>
      </c>
      <c r="H23" s="4">
        <f>'QTR CF'!H25</f>
        <v/>
      </c>
      <c r="I23" s="4">
        <f>'QTR CF'!I25</f>
        <v/>
      </c>
      <c r="J23" s="4">
        <f>'QTR CF'!J25</f>
        <v/>
      </c>
      <c r="K23" s="4">
        <f>'QTR CF'!K25</f>
        <v/>
      </c>
      <c r="L23" s="4">
        <f>'QTR CF'!L25</f>
        <v/>
      </c>
      <c r="M23" s="4">
        <f>'QTR CF'!M25</f>
        <v/>
      </c>
      <c r="N23" s="4">
        <f>'QTR CF'!N25</f>
        <v/>
      </c>
      <c r="O23" s="4">
        <f>'QTR CF'!O25</f>
        <v/>
      </c>
      <c r="P23" s="4">
        <f>'QTR CF'!P25</f>
        <v/>
      </c>
      <c r="Q23" s="4">
        <f>'QTR CF'!Q25</f>
        <v/>
      </c>
      <c r="R23" s="4">
        <f>'QTR CF'!R25</f>
        <v/>
      </c>
      <c r="S23" s="4">
        <f>'QTR CF'!S25</f>
        <v/>
      </c>
      <c r="T23" s="4">
        <f>'QTR CF'!T25</f>
        <v/>
      </c>
      <c r="U23" s="4">
        <f>'QTR CF'!U25</f>
        <v/>
      </c>
      <c r="V23" s="4">
        <f>'QTR CF'!V25</f>
        <v/>
      </c>
      <c r="W23" s="4">
        <f>'QTR CF'!W25</f>
        <v/>
      </c>
      <c r="X23" s="4">
        <f>'QTR CF'!X25</f>
        <v/>
      </c>
      <c r="Y23" s="4">
        <f>'QTR CF'!Y25</f>
        <v/>
      </c>
      <c r="Z23" s="4">
        <f>'QTR CF'!Z25</f>
        <v/>
      </c>
      <c r="AA23" s="4">
        <f>'QTR CF'!AA25</f>
        <v/>
      </c>
      <c r="AB23" s="4">
        <f>'QTR CF'!AB25</f>
        <v/>
      </c>
      <c r="AC23" s="4">
        <f>'QTR CF'!AC25</f>
        <v/>
      </c>
      <c r="AD23" s="4">
        <f>'QTR CF'!AD25</f>
        <v/>
      </c>
      <c r="AE23" s="4">
        <f>'QTR CF'!AE25</f>
        <v/>
      </c>
      <c r="AF23" s="4">
        <f>'QTR CF'!AF25</f>
        <v/>
      </c>
      <c r="AG23" s="4">
        <f>'QTR CF'!AG25</f>
        <v/>
      </c>
      <c r="AH23" s="15" t="n">
        <v>0</v>
      </c>
      <c r="AI23" s="15" t="n">
        <v>0</v>
      </c>
      <c r="AJ23" s="15" t="n">
        <v>0</v>
      </c>
      <c r="AK23" s="15" t="n">
        <v>0</v>
      </c>
      <c r="AL23" s="15" t="n">
        <v>0</v>
      </c>
      <c r="AM23" s="15" t="n">
        <v>0</v>
      </c>
      <c r="AN23" s="15" t="n">
        <v>0</v>
      </c>
      <c r="AO23" s="15" t="n">
        <v>0</v>
      </c>
      <c r="AP23" s="15" t="n">
        <v>0</v>
      </c>
      <c r="AQ23" s="15" t="n">
        <v>0</v>
      </c>
      <c r="AR23" s="15" t="n">
        <v>0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</row>
    <row r="24">
      <c r="A24" s="3" t="inlineStr">
        <is>
          <t>Share Repurchases</t>
        </is>
      </c>
      <c r="B24" s="4">
        <f>'QTR CF'!B26</f>
        <v/>
      </c>
      <c r="C24" s="4">
        <f>'QTR CF'!C26</f>
        <v/>
      </c>
      <c r="D24" s="4">
        <f>'QTR CF'!D26</f>
        <v/>
      </c>
      <c r="E24" s="4">
        <f>'QTR CF'!E26</f>
        <v/>
      </c>
      <c r="F24" s="4">
        <f>'QTR CF'!F26</f>
        <v/>
      </c>
      <c r="G24" s="4">
        <f>'QTR CF'!G26</f>
        <v/>
      </c>
      <c r="H24" s="4">
        <f>'QTR CF'!H26</f>
        <v/>
      </c>
      <c r="I24" s="4">
        <f>'QTR CF'!I26</f>
        <v/>
      </c>
      <c r="J24" s="4">
        <f>'QTR CF'!J26</f>
        <v/>
      </c>
      <c r="K24" s="4">
        <f>'QTR CF'!K26</f>
        <v/>
      </c>
      <c r="L24" s="4">
        <f>'QTR CF'!L26</f>
        <v/>
      </c>
      <c r="M24" s="4">
        <f>'QTR CF'!M26</f>
        <v/>
      </c>
      <c r="N24" s="4">
        <f>'QTR CF'!N26</f>
        <v/>
      </c>
      <c r="O24" s="4">
        <f>'QTR CF'!O26</f>
        <v/>
      </c>
      <c r="P24" s="4">
        <f>'QTR CF'!P26</f>
        <v/>
      </c>
      <c r="Q24" s="4">
        <f>'QTR CF'!Q26</f>
        <v/>
      </c>
      <c r="R24" s="4">
        <f>'QTR CF'!R26</f>
        <v/>
      </c>
      <c r="S24" s="4">
        <f>'QTR CF'!S26</f>
        <v/>
      </c>
      <c r="T24" s="4">
        <f>'QTR CF'!T26</f>
        <v/>
      </c>
      <c r="U24" s="4">
        <f>'QTR CF'!U26</f>
        <v/>
      </c>
      <c r="V24" s="4">
        <f>'QTR CF'!V26</f>
        <v/>
      </c>
      <c r="W24" s="4">
        <f>'QTR CF'!W26</f>
        <v/>
      </c>
      <c r="X24" s="4">
        <f>'QTR CF'!X26</f>
        <v/>
      </c>
      <c r="Y24" s="4">
        <f>'QTR CF'!Y26</f>
        <v/>
      </c>
      <c r="Z24" s="4">
        <f>'QTR CF'!Z26</f>
        <v/>
      </c>
      <c r="AA24" s="4">
        <f>'QTR CF'!AA26</f>
        <v/>
      </c>
      <c r="AB24" s="4">
        <f>'QTR CF'!AB26</f>
        <v/>
      </c>
      <c r="AC24" s="4">
        <f>'QTR CF'!AC26</f>
        <v/>
      </c>
      <c r="AD24" s="4">
        <f>'QTR CF'!AD26</f>
        <v/>
      </c>
      <c r="AE24" s="4">
        <f>'QTR CF'!AE26</f>
        <v/>
      </c>
      <c r="AF24" s="4">
        <f>'QTR CF'!AF26</f>
        <v/>
      </c>
      <c r="AG24" s="4">
        <f>'QTR CF'!AG26</f>
        <v/>
      </c>
      <c r="AH24" s="15" t="n">
        <v>0</v>
      </c>
      <c r="AI24" s="15" t="n">
        <v>0</v>
      </c>
      <c r="AJ24" s="15" t="n">
        <v>0</v>
      </c>
      <c r="AK24" s="15" t="n">
        <v>0</v>
      </c>
      <c r="AL24" s="15" t="n">
        <v>0</v>
      </c>
      <c r="AM24" s="15" t="n">
        <v>0</v>
      </c>
      <c r="AN24" s="15" t="n">
        <v>0</v>
      </c>
      <c r="AO24" s="15" t="n">
        <v>0</v>
      </c>
      <c r="AP24" s="15" t="n">
        <v>0</v>
      </c>
      <c r="AQ24" s="15" t="n">
        <v>0</v>
      </c>
      <c r="AR24" s="15" t="n">
        <v>0</v>
      </c>
      <c r="AS24" s="15" t="n">
        <v>0</v>
      </c>
      <c r="AT24" s="15" t="n">
        <v>0</v>
      </c>
      <c r="AU24" s="15" t="n">
        <v>0</v>
      </c>
      <c r="AV24" s="15" t="n">
        <v>0</v>
      </c>
      <c r="AW24" s="15" t="n">
        <v>0</v>
      </c>
      <c r="AX24" s="15" t="n">
        <v>0</v>
      </c>
      <c r="AY24" s="15" t="n">
        <v>0</v>
      </c>
      <c r="AZ24" s="15" t="n">
        <v>0</v>
      </c>
      <c r="BA24" s="15" t="n">
        <v>0</v>
      </c>
    </row>
    <row r="25">
      <c r="A25" s="3" t="inlineStr">
        <is>
          <t>Common Dividends — % of Net Income</t>
        </is>
      </c>
      <c r="B25" s="13">
        <f>IFERROR('QTR CF'!B27/'QTR P&amp;L'!B13,"")</f>
        <v/>
      </c>
      <c r="C25" s="13">
        <f>IFERROR('QTR CF'!C27/'QTR P&amp;L'!C13,"")</f>
        <v/>
      </c>
      <c r="D25" s="13">
        <f>IFERROR('QTR CF'!D27/'QTR P&amp;L'!D13,"")</f>
        <v/>
      </c>
      <c r="E25" s="13">
        <f>IFERROR('QTR CF'!E27/'QTR P&amp;L'!E13,"")</f>
        <v/>
      </c>
      <c r="F25" s="13">
        <f>IFERROR('QTR CF'!F27/'QTR P&amp;L'!F13,"")</f>
        <v/>
      </c>
      <c r="G25" s="13">
        <f>IFERROR('QTR CF'!G27/'QTR P&amp;L'!G13,"")</f>
        <v/>
      </c>
      <c r="H25" s="13">
        <f>IFERROR('QTR CF'!H27/'QTR P&amp;L'!H13,"")</f>
        <v/>
      </c>
      <c r="I25" s="13">
        <f>IFERROR('QTR CF'!I27/'QTR P&amp;L'!I13,"")</f>
        <v/>
      </c>
      <c r="J25" s="13">
        <f>IFERROR('QTR CF'!J27/'QTR P&amp;L'!J13,"")</f>
        <v/>
      </c>
      <c r="K25" s="13">
        <f>IFERROR('QTR CF'!K27/'QTR P&amp;L'!K13,"")</f>
        <v/>
      </c>
      <c r="L25" s="13">
        <f>IFERROR('QTR CF'!L27/'QTR P&amp;L'!L13,"")</f>
        <v/>
      </c>
      <c r="M25" s="13">
        <f>IFERROR('QTR CF'!M27/'QTR P&amp;L'!M13,"")</f>
        <v/>
      </c>
      <c r="N25" s="13">
        <f>IFERROR('QTR CF'!N27/'QTR P&amp;L'!N13,"")</f>
        <v/>
      </c>
      <c r="O25" s="13">
        <f>IFERROR('QTR CF'!O27/'QTR P&amp;L'!O13,"")</f>
        <v/>
      </c>
      <c r="P25" s="13">
        <f>IFERROR('QTR CF'!P27/'QTR P&amp;L'!P13,"")</f>
        <v/>
      </c>
      <c r="Q25" s="13">
        <f>IFERROR('QTR CF'!Q27/'QTR P&amp;L'!Q13,"")</f>
        <v/>
      </c>
      <c r="R25" s="13">
        <f>IFERROR('QTR CF'!R27/'QTR P&amp;L'!R13,"")</f>
        <v/>
      </c>
      <c r="S25" s="13">
        <f>IFERROR('QTR CF'!S27/'QTR P&amp;L'!S13,"")</f>
        <v/>
      </c>
      <c r="T25" s="13">
        <f>IFERROR('QTR CF'!T27/'QTR P&amp;L'!T13,"")</f>
        <v/>
      </c>
      <c r="U25" s="13">
        <f>IFERROR('QTR CF'!U27/'QTR P&amp;L'!U13,"")</f>
        <v/>
      </c>
      <c r="V25" s="13">
        <f>IFERROR('QTR CF'!V27/'QTR P&amp;L'!V13,"")</f>
        <v/>
      </c>
      <c r="W25" s="13">
        <f>IFERROR('QTR CF'!W27/'QTR P&amp;L'!W13,"")</f>
        <v/>
      </c>
      <c r="X25" s="13">
        <f>IFERROR('QTR CF'!X27/'QTR P&amp;L'!X13,"")</f>
        <v/>
      </c>
      <c r="Y25" s="13">
        <f>IFERROR('QTR CF'!Y27/'QTR P&amp;L'!Y13,"")</f>
        <v/>
      </c>
      <c r="Z25" s="13">
        <f>IFERROR('QTR CF'!Z27/'QTR P&amp;L'!Z13,"")</f>
        <v/>
      </c>
      <c r="AA25" s="13">
        <f>IFERROR('QTR CF'!AA27/'QTR P&amp;L'!AA13,"")</f>
        <v/>
      </c>
      <c r="AB25" s="13">
        <f>IFERROR('QTR CF'!AB27/'QTR P&amp;L'!AB13,"")</f>
        <v/>
      </c>
      <c r="AC25" s="13">
        <f>IFERROR('QTR CF'!AC27/'QTR P&amp;L'!AC13,"")</f>
        <v/>
      </c>
      <c r="AD25" s="13">
        <f>IFERROR('QTR CF'!AD27/'QTR P&amp;L'!AD13,"")</f>
        <v/>
      </c>
      <c r="AE25" s="13">
        <f>IFERROR('QTR CF'!AE27/'QTR P&amp;L'!AE13,"")</f>
        <v/>
      </c>
      <c r="AF25" s="13">
        <f>IFERROR('QTR CF'!AF27/'QTR P&amp;L'!AF13,"")</f>
        <v/>
      </c>
      <c r="AG25" s="13">
        <f>IFERROR('QTR CF'!AG27/'QTR P&amp;L'!AG13,"")</f>
        <v/>
      </c>
      <c r="AH25" s="14">
        <f>AG25</f>
        <v/>
      </c>
      <c r="AI25" s="14">
        <f>AH25</f>
        <v/>
      </c>
      <c r="AJ25" s="14">
        <f>AI25</f>
        <v/>
      </c>
      <c r="AK25" s="14">
        <f>AJ25</f>
        <v/>
      </c>
      <c r="AL25" s="14">
        <f>AK25</f>
        <v/>
      </c>
      <c r="AM25" s="14">
        <f>AL25</f>
        <v/>
      </c>
      <c r="AN25" s="14">
        <f>AM25</f>
        <v/>
      </c>
      <c r="AO25" s="14">
        <f>AN25</f>
        <v/>
      </c>
      <c r="AP25" s="14">
        <f>AO25</f>
        <v/>
      </c>
      <c r="AQ25" s="14">
        <f>AP25</f>
        <v/>
      </c>
      <c r="AR25" s="14">
        <f>AQ25</f>
        <v/>
      </c>
      <c r="AS25" s="14">
        <f>AR25</f>
        <v/>
      </c>
      <c r="AT25" s="14">
        <f>AS25</f>
        <v/>
      </c>
      <c r="AU25" s="14">
        <f>AT25</f>
        <v/>
      </c>
      <c r="AV25" s="14">
        <f>AU25</f>
        <v/>
      </c>
      <c r="AW25" s="14">
        <f>AV25</f>
        <v/>
      </c>
      <c r="AX25" s="14">
        <f>AW25</f>
        <v/>
      </c>
      <c r="AY25" s="14">
        <f>AX25</f>
        <v/>
      </c>
      <c r="AZ25" s="14">
        <f>AY25</f>
        <v/>
      </c>
      <c r="BA25" s="14">
        <f>AZ25</f>
        <v/>
      </c>
    </row>
    <row r="26">
      <c r="A26" s="3" t="inlineStr">
        <is>
          <t>Proceeds from Issuance of Long-Term Debt</t>
        </is>
      </c>
      <c r="B26" s="4">
        <f>'QTR CF'!B28</f>
        <v/>
      </c>
      <c r="C26" s="4">
        <f>'QTR CF'!C28</f>
        <v/>
      </c>
      <c r="D26" s="4">
        <f>'QTR CF'!D28</f>
        <v/>
      </c>
      <c r="E26" s="4">
        <f>'QTR CF'!E28</f>
        <v/>
      </c>
      <c r="F26" s="4">
        <f>'QTR CF'!F28</f>
        <v/>
      </c>
      <c r="G26" s="4">
        <f>'QTR CF'!G28</f>
        <v/>
      </c>
      <c r="H26" s="4">
        <f>'QTR CF'!H28</f>
        <v/>
      </c>
      <c r="I26" s="4">
        <f>'QTR CF'!I28</f>
        <v/>
      </c>
      <c r="J26" s="4">
        <f>'QTR CF'!J28</f>
        <v/>
      </c>
      <c r="K26" s="4">
        <f>'QTR CF'!K28</f>
        <v/>
      </c>
      <c r="L26" s="4">
        <f>'QTR CF'!L28</f>
        <v/>
      </c>
      <c r="M26" s="4">
        <f>'QTR CF'!M28</f>
        <v/>
      </c>
      <c r="N26" s="4">
        <f>'QTR CF'!N28</f>
        <v/>
      </c>
      <c r="O26" s="4">
        <f>'QTR CF'!O28</f>
        <v/>
      </c>
      <c r="P26" s="4">
        <f>'QTR CF'!P28</f>
        <v/>
      </c>
      <c r="Q26" s="4">
        <f>'QTR CF'!Q28</f>
        <v/>
      </c>
      <c r="R26" s="4">
        <f>'QTR CF'!R28</f>
        <v/>
      </c>
      <c r="S26" s="4">
        <f>'QTR CF'!S28</f>
        <v/>
      </c>
      <c r="T26" s="4">
        <f>'QTR CF'!T28</f>
        <v/>
      </c>
      <c r="U26" s="4">
        <f>'QTR CF'!U28</f>
        <v/>
      </c>
      <c r="V26" s="4">
        <f>'QTR CF'!V28</f>
        <v/>
      </c>
      <c r="W26" s="4">
        <f>'QTR CF'!W28</f>
        <v/>
      </c>
      <c r="X26" s="4">
        <f>'QTR CF'!X28</f>
        <v/>
      </c>
      <c r="Y26" s="4">
        <f>'QTR CF'!Y28</f>
        <v/>
      </c>
      <c r="Z26" s="4">
        <f>'QTR CF'!Z28</f>
        <v/>
      </c>
      <c r="AA26" s="4">
        <f>'QTR CF'!AA28</f>
        <v/>
      </c>
      <c r="AB26" s="4">
        <f>'QTR CF'!AB28</f>
        <v/>
      </c>
      <c r="AC26" s="4">
        <f>'QTR CF'!AC28</f>
        <v/>
      </c>
      <c r="AD26" s="4">
        <f>'QTR CF'!AD28</f>
        <v/>
      </c>
      <c r="AE26" s="4">
        <f>'QTR CF'!AE28</f>
        <v/>
      </c>
      <c r="AF26" s="4">
        <f>'QTR CF'!AF28</f>
        <v/>
      </c>
      <c r="AG26" s="4">
        <f>'QTR CF'!AG28</f>
        <v/>
      </c>
      <c r="AH26" s="15" t="n">
        <v>0</v>
      </c>
      <c r="AI26" s="15" t="n">
        <v>0</v>
      </c>
      <c r="AJ26" s="15" t="n">
        <v>0</v>
      </c>
      <c r="AK26" s="15" t="n">
        <v>0</v>
      </c>
      <c r="AL26" s="15" t="n">
        <v>0</v>
      </c>
      <c r="AM26" s="15" t="n">
        <v>0</v>
      </c>
      <c r="AN26" s="15" t="n">
        <v>0</v>
      </c>
      <c r="AO26" s="15" t="n">
        <v>0</v>
      </c>
      <c r="AP26" s="15" t="n">
        <v>0</v>
      </c>
      <c r="AQ26" s="15" t="n">
        <v>0</v>
      </c>
      <c r="AR26" s="15" t="n">
        <v>0</v>
      </c>
      <c r="AS26" s="15" t="n">
        <v>0</v>
      </c>
      <c r="AT26" s="15" t="n">
        <v>0</v>
      </c>
      <c r="AU26" s="15" t="n">
        <v>0</v>
      </c>
      <c r="AV26" s="15" t="n">
        <v>0</v>
      </c>
      <c r="AW26" s="15" t="n">
        <v>0</v>
      </c>
      <c r="AX26" s="15" t="n">
        <v>0</v>
      </c>
      <c r="AY26" s="15" t="n">
        <v>0</v>
      </c>
      <c r="AZ26" s="15" t="n">
        <v>0</v>
      </c>
      <c r="BA26" s="15" t="n">
        <v>0</v>
      </c>
    </row>
    <row r="27">
      <c r="A27" s="3" t="inlineStr">
        <is>
          <t>Net Change in Other Short-Term Debt</t>
        </is>
      </c>
      <c r="B27" s="4">
        <f>'QTR CF'!B29</f>
        <v/>
      </c>
      <c r="C27" s="4">
        <f>'QTR CF'!C29</f>
        <v/>
      </c>
      <c r="D27" s="4">
        <f>'QTR CF'!D29</f>
        <v/>
      </c>
      <c r="E27" s="4">
        <f>'QTR CF'!E29</f>
        <v/>
      </c>
      <c r="F27" s="4">
        <f>'QTR CF'!F29</f>
        <v/>
      </c>
      <c r="G27" s="4">
        <f>'QTR CF'!G29</f>
        <v/>
      </c>
      <c r="H27" s="4">
        <f>'QTR CF'!H29</f>
        <v/>
      </c>
      <c r="I27" s="4">
        <f>'QTR CF'!I29</f>
        <v/>
      </c>
      <c r="J27" s="4">
        <f>'QTR CF'!J29</f>
        <v/>
      </c>
      <c r="K27" s="4">
        <f>'QTR CF'!K29</f>
        <v/>
      </c>
      <c r="L27" s="4">
        <f>'QTR CF'!L29</f>
        <v/>
      </c>
      <c r="M27" s="4">
        <f>'QTR CF'!M29</f>
        <v/>
      </c>
      <c r="N27" s="4">
        <f>'QTR CF'!N29</f>
        <v/>
      </c>
      <c r="O27" s="4">
        <f>'QTR CF'!O29</f>
        <v/>
      </c>
      <c r="P27" s="4">
        <f>'QTR CF'!P29</f>
        <v/>
      </c>
      <c r="Q27" s="4">
        <f>'QTR CF'!Q29</f>
        <v/>
      </c>
      <c r="R27" s="4">
        <f>'QTR CF'!R29</f>
        <v/>
      </c>
      <c r="S27" s="4">
        <f>'QTR CF'!S29</f>
        <v/>
      </c>
      <c r="T27" s="4">
        <f>'QTR CF'!T29</f>
        <v/>
      </c>
      <c r="U27" s="4">
        <f>'QTR CF'!U29</f>
        <v/>
      </c>
      <c r="V27" s="4">
        <f>'QTR CF'!V29</f>
        <v/>
      </c>
      <c r="W27" s="4">
        <f>'QTR CF'!W29</f>
        <v/>
      </c>
      <c r="X27" s="4">
        <f>'QTR CF'!X29</f>
        <v/>
      </c>
      <c r="Y27" s="4">
        <f>'QTR CF'!Y29</f>
        <v/>
      </c>
      <c r="Z27" s="4">
        <f>'QTR CF'!Z29</f>
        <v/>
      </c>
      <c r="AA27" s="4">
        <f>'QTR CF'!AA29</f>
        <v/>
      </c>
      <c r="AB27" s="4">
        <f>'QTR CF'!AB29</f>
        <v/>
      </c>
      <c r="AC27" s="4">
        <f>'QTR CF'!AC29</f>
        <v/>
      </c>
      <c r="AD27" s="4">
        <f>'QTR CF'!AD29</f>
        <v/>
      </c>
      <c r="AE27" s="4">
        <f>'QTR CF'!AE29</f>
        <v/>
      </c>
      <c r="AF27" s="4">
        <f>'QTR CF'!AF29</f>
        <v/>
      </c>
      <c r="AG27" s="4">
        <f>'QTR CF'!AG29</f>
        <v/>
      </c>
      <c r="AH27" s="15" t="n">
        <v>0</v>
      </c>
      <c r="AI27" s="15" t="n">
        <v>0</v>
      </c>
      <c r="AJ27" s="15" t="n">
        <v>0</v>
      </c>
      <c r="AK27" s="15" t="n">
        <v>0</v>
      </c>
      <c r="AL27" s="15" t="n">
        <v>0</v>
      </c>
      <c r="AM27" s="15" t="n">
        <v>0</v>
      </c>
      <c r="AN27" s="15" t="n">
        <v>0</v>
      </c>
      <c r="AO27" s="15" t="n">
        <v>0</v>
      </c>
      <c r="AP27" s="15" t="n">
        <v>0</v>
      </c>
      <c r="AQ27" s="15" t="n">
        <v>0</v>
      </c>
      <c r="AR27" s="15" t="n">
        <v>0</v>
      </c>
      <c r="AS27" s="15" t="n">
        <v>0</v>
      </c>
      <c r="AT27" s="15" t="n">
        <v>0</v>
      </c>
      <c r="AU27" s="15" t="n">
        <v>0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</v>
      </c>
    </row>
    <row r="28">
      <c r="A28" s="3" t="inlineStr">
        <is>
          <t>Proceeds from Sale of Interest in Consolidated Entities</t>
        </is>
      </c>
      <c r="B28" s="4">
        <f>'QTR CF'!B30</f>
        <v/>
      </c>
      <c r="C28" s="4">
        <f>'QTR CF'!C30</f>
        <v/>
      </c>
      <c r="D28" s="4">
        <f>'QTR CF'!D30</f>
        <v/>
      </c>
      <c r="E28" s="4">
        <f>'QTR CF'!E30</f>
        <v/>
      </c>
      <c r="F28" s="4">
        <f>'QTR CF'!F30</f>
        <v/>
      </c>
      <c r="G28" s="4">
        <f>'QTR CF'!G30</f>
        <v/>
      </c>
      <c r="H28" s="4">
        <f>'QTR CF'!H30</f>
        <v/>
      </c>
      <c r="I28" s="4">
        <f>'QTR CF'!I30</f>
        <v/>
      </c>
      <c r="J28" s="4">
        <f>'QTR CF'!J30</f>
        <v/>
      </c>
      <c r="K28" s="4">
        <f>'QTR CF'!K30</f>
        <v/>
      </c>
      <c r="L28" s="4">
        <f>'QTR CF'!L30</f>
        <v/>
      </c>
      <c r="M28" s="4">
        <f>'QTR CF'!M30</f>
        <v/>
      </c>
      <c r="N28" s="4">
        <f>'QTR CF'!N30</f>
        <v/>
      </c>
      <c r="O28" s="4">
        <f>'QTR CF'!O30</f>
        <v/>
      </c>
      <c r="P28" s="4">
        <f>'QTR CF'!P30</f>
        <v/>
      </c>
      <c r="Q28" s="4">
        <f>'QTR CF'!Q30</f>
        <v/>
      </c>
      <c r="R28" s="4">
        <f>'QTR CF'!R30</f>
        <v/>
      </c>
      <c r="S28" s="4">
        <f>'QTR CF'!S30</f>
        <v/>
      </c>
      <c r="T28" s="4">
        <f>'QTR CF'!T30</f>
        <v/>
      </c>
      <c r="U28" s="4">
        <f>'QTR CF'!U30</f>
        <v/>
      </c>
      <c r="V28" s="4">
        <f>'QTR CF'!V30</f>
        <v/>
      </c>
      <c r="W28" s="4">
        <f>'QTR CF'!W30</f>
        <v/>
      </c>
      <c r="X28" s="4">
        <f>'QTR CF'!X30</f>
        <v/>
      </c>
      <c r="Y28" s="4">
        <f>'QTR CF'!Y30</f>
        <v/>
      </c>
      <c r="Z28" s="4">
        <f>'QTR CF'!Z30</f>
        <v/>
      </c>
      <c r="AA28" s="4">
        <f>'QTR CF'!AA30</f>
        <v/>
      </c>
      <c r="AB28" s="4">
        <f>'QTR CF'!AB30</f>
        <v/>
      </c>
      <c r="AC28" s="4">
        <f>'QTR CF'!AC30</f>
        <v/>
      </c>
      <c r="AD28" s="4">
        <f>'QTR CF'!AD30</f>
        <v/>
      </c>
      <c r="AE28" s="4">
        <f>'QTR CF'!AE30</f>
        <v/>
      </c>
      <c r="AF28" s="4">
        <f>'QTR CF'!AF30</f>
        <v/>
      </c>
      <c r="AG28" s="4">
        <f>'QTR CF'!AG30</f>
        <v/>
      </c>
      <c r="AH28" s="15" t="n">
        <v>0</v>
      </c>
      <c r="AI28" s="15" t="n">
        <v>0</v>
      </c>
      <c r="AJ28" s="15" t="n">
        <v>0</v>
      </c>
      <c r="AK28" s="15" t="n">
        <v>0</v>
      </c>
      <c r="AL28" s="15" t="n">
        <v>0</v>
      </c>
      <c r="AM28" s="15" t="n">
        <v>0</v>
      </c>
      <c r="AN28" s="15" t="n">
        <v>0</v>
      </c>
      <c r="AO28" s="15" t="n">
        <v>0</v>
      </c>
      <c r="AP28" s="15" t="n">
        <v>0</v>
      </c>
      <c r="AQ28" s="15" t="n">
        <v>0</v>
      </c>
      <c r="AR28" s="15" t="n">
        <v>0</v>
      </c>
      <c r="AS28" s="15" t="n">
        <v>0</v>
      </c>
      <c r="AT28" s="15" t="n">
        <v>0</v>
      </c>
      <c r="AU28" s="15" t="n">
        <v>0</v>
      </c>
      <c r="AV28" s="15" t="n">
        <v>0</v>
      </c>
      <c r="AW28" s="15" t="n">
        <v>0</v>
      </c>
      <c r="AX28" s="15" t="n">
        <v>0</v>
      </c>
      <c r="AY28" s="15" t="n">
        <v>0</v>
      </c>
      <c r="AZ28" s="15" t="n">
        <v>0</v>
      </c>
      <c r="BA28" s="15" t="n">
        <v>0</v>
      </c>
    </row>
    <row r="29">
      <c r="A29" s="3" t="inlineStr">
        <is>
          <t>FX Effect on Cash</t>
        </is>
      </c>
      <c r="B29" s="4">
        <f>'QTR CF'!B32</f>
        <v/>
      </c>
      <c r="C29" s="4">
        <f>'QTR CF'!C32</f>
        <v/>
      </c>
      <c r="D29" s="4">
        <f>'QTR CF'!D32</f>
        <v/>
      </c>
      <c r="E29" s="4">
        <f>'QTR CF'!E32</f>
        <v/>
      </c>
      <c r="F29" s="4">
        <f>'QTR CF'!F32</f>
        <v/>
      </c>
      <c r="G29" s="4">
        <f>'QTR CF'!G32</f>
        <v/>
      </c>
      <c r="H29" s="4">
        <f>'QTR CF'!H32</f>
        <v/>
      </c>
      <c r="I29" s="4">
        <f>'QTR CF'!I32</f>
        <v/>
      </c>
      <c r="J29" s="4">
        <f>'QTR CF'!J32</f>
        <v/>
      </c>
      <c r="K29" s="4">
        <f>'QTR CF'!K32</f>
        <v/>
      </c>
      <c r="L29" s="4">
        <f>'QTR CF'!L32</f>
        <v/>
      </c>
      <c r="M29" s="4">
        <f>'QTR CF'!M32</f>
        <v/>
      </c>
      <c r="N29" s="4">
        <f>'QTR CF'!N32</f>
        <v/>
      </c>
      <c r="O29" s="4">
        <f>'QTR CF'!O32</f>
        <v/>
      </c>
      <c r="P29" s="4">
        <f>'QTR CF'!P32</f>
        <v/>
      </c>
      <c r="Q29" s="4">
        <f>'QTR CF'!Q32</f>
        <v/>
      </c>
      <c r="R29" s="4">
        <f>'QTR CF'!R32</f>
        <v/>
      </c>
      <c r="S29" s="4">
        <f>'QTR CF'!S32</f>
        <v/>
      </c>
      <c r="T29" s="4">
        <f>'QTR CF'!T32</f>
        <v/>
      </c>
      <c r="U29" s="4">
        <f>'QTR CF'!U32</f>
        <v/>
      </c>
      <c r="V29" s="4">
        <f>'QTR CF'!V32</f>
        <v/>
      </c>
      <c r="W29" s="4">
        <f>'QTR CF'!W32</f>
        <v/>
      </c>
      <c r="X29" s="4">
        <f>'QTR CF'!X32</f>
        <v/>
      </c>
      <c r="Y29" s="4">
        <f>'QTR CF'!Y32</f>
        <v/>
      </c>
      <c r="Z29" s="4">
        <f>'QTR CF'!Z32</f>
        <v/>
      </c>
      <c r="AA29" s="4">
        <f>'QTR CF'!AA32</f>
        <v/>
      </c>
      <c r="AB29" s="4">
        <f>'QTR CF'!AB32</f>
        <v/>
      </c>
      <c r="AC29" s="4">
        <f>'QTR CF'!AC32</f>
        <v/>
      </c>
      <c r="AD29" s="4">
        <f>'QTR CF'!AD32</f>
        <v/>
      </c>
      <c r="AE29" s="4">
        <f>'QTR CF'!AE32</f>
        <v/>
      </c>
      <c r="AF29" s="4">
        <f>'QTR CF'!AF32</f>
        <v/>
      </c>
      <c r="AG29" s="4">
        <f>'QTR CF'!AG32</f>
        <v/>
      </c>
      <c r="AH29" s="15">
        <f>AG29</f>
        <v/>
      </c>
      <c r="AI29" s="15">
        <f>AH29</f>
        <v/>
      </c>
      <c r="AJ29" s="15">
        <f>AI29</f>
        <v/>
      </c>
      <c r="AK29" s="15">
        <f>AJ29</f>
        <v/>
      </c>
      <c r="AL29" s="15">
        <f>AK29</f>
        <v/>
      </c>
      <c r="AM29" s="15">
        <f>AL29</f>
        <v/>
      </c>
      <c r="AN29" s="15">
        <f>AM29</f>
        <v/>
      </c>
      <c r="AO29" s="15">
        <f>AN29</f>
        <v/>
      </c>
      <c r="AP29" s="15">
        <f>AO29</f>
        <v/>
      </c>
      <c r="AQ29" s="15">
        <f>AP29</f>
        <v/>
      </c>
      <c r="AR29" s="15">
        <f>AQ29</f>
        <v/>
      </c>
      <c r="AS29" s="15">
        <f>AR29</f>
        <v/>
      </c>
      <c r="AT29" s="15">
        <f>AS29</f>
        <v/>
      </c>
      <c r="AU29" s="15">
        <f>AT29</f>
        <v/>
      </c>
      <c r="AV29" s="15">
        <f>AU29</f>
        <v/>
      </c>
      <c r="AW29" s="15">
        <f>AV29</f>
        <v/>
      </c>
      <c r="AX29" s="15">
        <f>AW29</f>
        <v/>
      </c>
      <c r="AY29" s="15">
        <f>AX29</f>
        <v/>
      </c>
      <c r="AZ29" s="15">
        <f>AY29</f>
        <v/>
      </c>
      <c r="BA29" s="15">
        <f>AZ29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2026-04-29T21:18:09Z</dcterms:created>
  <dcterms:modified xmlns:dcterms="http://purl.org/dc/terms/" xmlns:xsi="http://www.w3.org/2001/XMLSchema-instance" xsi:type="dcterms:W3CDTF">2026-04-29T21:18:26Z</dcterms:modified>
</cp:coreProperties>
</file>