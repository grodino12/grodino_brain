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11">
        <f>'QTR P&amp;L'!R8+'QTR P&amp;L'!S8+'QTR P&amp;L'!T8+'QTR P&amp;L'!U8</f>
        <v/>
      </c>
      <c r="H8" s="11">
        <f>'QTR P&amp;L'!V8+'QTR P&amp;L'!W8+'QTR P&amp;L'!X8+'QTR P&amp;L'!Y8</f>
        <v/>
      </c>
      <c r="I8" s="11">
        <f>'QTR P&amp;L'!Z8+'QTR P&amp;L'!AA8+'QTR P&amp;L'!AB8+'QTR P&amp;L'!AC8</f>
        <v/>
      </c>
      <c r="J8" s="11">
        <f>'QTR P&amp;L'!AD8+'QTR P&amp;L'!AE8+'QTR P&amp;L'!AF8+'QTR P&amp;L'!AG8</f>
        <v/>
      </c>
      <c r="K8" s="11">
        <f>'QTR P&amp;L'!AH8+'QTR P&amp;L'!AI8+'QTR P&amp;L'!AJ8+'QTR P&amp;L'!AK8</f>
        <v/>
      </c>
      <c r="L8" s="11">
        <f>'QTR P&amp;L'!AL8+'QTR P&amp;L'!AM8+'QTR P&amp;L'!AN8+'QTR P&amp;L'!AO8</f>
        <v/>
      </c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11">
        <f>'QTR P&amp;L'!R11+'QTR P&amp;L'!S11+'QTR P&amp;L'!T11+'QTR P&amp;L'!U11</f>
        <v/>
      </c>
      <c r="H11" s="11">
        <f>'QTR P&amp;L'!V11+'QTR P&amp;L'!W11+'QTR P&amp;L'!X11+'QTR P&amp;L'!Y11</f>
        <v/>
      </c>
      <c r="I11" s="11">
        <f>'QTR P&amp;L'!Z11+'QTR P&amp;L'!AA11+'QTR P&amp;L'!AB11+'QTR P&amp;L'!AC11</f>
        <v/>
      </c>
      <c r="J11" s="11">
        <f>'QTR P&amp;L'!AD11+'QTR P&amp;L'!AE11+'QTR P&amp;L'!AF11+'QTR P&amp;L'!AG11</f>
        <v/>
      </c>
      <c r="K11" s="11">
        <f>'QTR P&amp;L'!AH11+'QTR P&amp;L'!AI11+'QTR P&amp;L'!AJ11+'QTR P&amp;L'!AK11</f>
        <v/>
      </c>
      <c r="L11" s="11">
        <f>'QTR P&amp;L'!AL11+'QTR P&amp;L'!AM11+'QTR P&amp;L'!AN11+'QTR P&amp;L'!AO11</f>
        <v/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11">
        <f>'QTR P&amp;L'!R13+'QTR P&amp;L'!S13+'QTR P&amp;L'!T13+'QTR P&amp;L'!U13</f>
        <v/>
      </c>
      <c r="H13" s="11">
        <f>'QTR P&amp;L'!V13+'QTR P&amp;L'!W13+'QTR P&amp;L'!X13+'QTR P&amp;L'!Y13</f>
        <v/>
      </c>
      <c r="I13" s="11">
        <f>'QTR P&amp;L'!Z13+'QTR P&amp;L'!AA13+'QTR P&amp;L'!AB13+'QTR P&amp;L'!AC13</f>
        <v/>
      </c>
      <c r="J13" s="11">
        <f>'QTR P&amp;L'!AD13+'QTR P&amp;L'!AE13+'QTR P&amp;L'!AF13+'QTR P&amp;L'!AG13</f>
        <v/>
      </c>
      <c r="K13" s="11">
        <f>'QTR P&amp;L'!AH13+'QTR P&amp;L'!AI13+'QTR P&amp;L'!AJ13+'QTR P&amp;L'!AK13</f>
        <v/>
      </c>
      <c r="L13" s="11">
        <f>'QTR P&amp;L'!AL13+'QTR P&amp;L'!AM13+'QTR P&amp;L'!AN13+'QTR P&amp;L'!AO13</f>
        <v/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Inventories</t>
        </is>
      </c>
      <c r="B4" s="4" t="n">
        <v>6924</v>
      </c>
      <c r="C4" s="4" t="n">
        <v>7073</v>
      </c>
      <c r="D4" s="4" t="n">
        <v>7016</v>
      </c>
      <c r="E4" s="4" t="n">
        <v>7551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Prepaid Expenses</t>
        </is>
      </c>
      <c r="B5" s="4" t="n">
        <v>2372</v>
      </c>
      <c r="C5" s="4" t="n">
        <v>1858</v>
      </c>
      <c r="D5" s="4" t="n">
        <v>2095</v>
      </c>
      <c r="E5" s="4" t="n">
        <v>2100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7">
        <f>SUM(F2:F5)</f>
        <v/>
      </c>
      <c r="G6" s="7">
        <f>SUM(G2:G5)</f>
        <v/>
      </c>
      <c r="H6" s="7">
        <f>SUM(H2:H5)</f>
        <v/>
      </c>
      <c r="I6" s="7">
        <f>SUM(I2:I5)</f>
        <v/>
      </c>
      <c r="J6" s="7">
        <f>SUM(J2:J5)</f>
        <v/>
      </c>
      <c r="K6" s="7">
        <f>SUM(K2:K5)</f>
        <v/>
      </c>
    </row>
    <row r="7">
      <c r="A7" s="3" t="inlineStr">
        <is>
          <t>Net PP&amp;E</t>
        </is>
      </c>
      <c r="B7" s="4" t="n">
        <v>21195</v>
      </c>
      <c r="C7" s="4" t="n">
        <v>21909</v>
      </c>
      <c r="D7" s="4" t="n">
        <v>22152</v>
      </c>
      <c r="E7" s="4" t="n">
        <v>23897</v>
      </c>
      <c r="F7" s="11">
        <f>'QTR BS'!R7</f>
        <v/>
      </c>
      <c r="G7" s="11">
        <f>'QTR BS'!V7</f>
        <v/>
      </c>
      <c r="H7" s="11">
        <f>'QTR BS'!Z7</f>
        <v/>
      </c>
      <c r="I7" s="11">
        <f>'QTR BS'!AD7</f>
        <v/>
      </c>
      <c r="J7" s="11">
        <f>'QTR BS'!AH7</f>
        <v/>
      </c>
      <c r="K7" s="11">
        <f>'QTR BS'!AL7</f>
        <v/>
      </c>
    </row>
    <row r="8">
      <c r="A8" s="3" t="inlineStr">
        <is>
          <t>Goodwill</t>
        </is>
      </c>
      <c r="B8" s="4" t="n">
        <v>39700</v>
      </c>
      <c r="C8" s="4" t="n">
        <v>40659</v>
      </c>
      <c r="D8" s="4" t="n">
        <v>40303</v>
      </c>
      <c r="E8" s="4" t="n">
        <v>41650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11">
        <f>'QTR BS'!AL8</f>
        <v/>
      </c>
    </row>
    <row r="9">
      <c r="A9" s="3" t="inlineStr">
        <is>
          <t>Intangible Assets</t>
        </is>
      </c>
      <c r="B9" s="4" t="n">
        <v>23679</v>
      </c>
      <c r="C9" s="4" t="n">
        <v>23783</v>
      </c>
      <c r="D9" s="4" t="n">
        <v>22047</v>
      </c>
      <c r="E9" s="4" t="n">
        <v>21910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</row>
    <row r="10">
      <c r="A10" s="3" t="inlineStr">
        <is>
          <t>Other Non-Current Assets</t>
        </is>
      </c>
      <c r="B10" s="4" t="n">
        <v>10981</v>
      </c>
      <c r="C10" s="4" t="n">
        <v>11830</v>
      </c>
      <c r="D10" s="4" t="n">
        <v>13158</v>
      </c>
      <c r="E10" s="4" t="n">
        <v>12381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7">
        <f>F6+SUM(F7:F10)</f>
        <v/>
      </c>
      <c r="G11" s="7">
        <f>G6+SUM(G7:G10)</f>
        <v/>
      </c>
      <c r="H11" s="7">
        <f>H6+SUM(H7:H10)</f>
        <v/>
      </c>
      <c r="I11" s="7">
        <f>I6+SUM(I7:I10)</f>
        <v/>
      </c>
      <c r="J11" s="7">
        <f>J6+SUM(J7:J10)</f>
        <v/>
      </c>
      <c r="K11" s="7">
        <f>K6+SUM(K7:K10)</f>
        <v/>
      </c>
    </row>
    <row r="12">
      <c r="A12" s="3" t="inlineStr">
        <is>
          <t>Accounts Payable</t>
        </is>
      </c>
      <c r="B12" s="4" t="n">
        <v>14882</v>
      </c>
      <c r="C12" s="4" t="n">
        <v>14598</v>
      </c>
      <c r="D12" s="4" t="n">
        <v>15364</v>
      </c>
      <c r="E12" s="4" t="n">
        <v>15227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Accrued Expenses</t>
        </is>
      </c>
      <c r="B13" s="4" t="n">
        <v>9554</v>
      </c>
      <c r="C13" s="4" t="n">
        <v>10929</v>
      </c>
      <c r="D13" s="4" t="n">
        <v>11073</v>
      </c>
      <c r="E13" s="4" t="n">
        <v>11318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Current Portion of Long-Term Debt</t>
        </is>
      </c>
      <c r="B14" s="4" t="n">
        <v>8645</v>
      </c>
      <c r="C14" s="4" t="n">
        <v>10229</v>
      </c>
      <c r="D14" s="4" t="n">
        <v>7191</v>
      </c>
      <c r="E14" s="4" t="n">
        <v>9513</v>
      </c>
      <c r="F14" s="11">
        <f>'QTR BS'!R14</f>
        <v/>
      </c>
      <c r="G14" s="11">
        <f>'QTR BS'!V14</f>
        <v/>
      </c>
      <c r="H14" s="11">
        <f>'QTR BS'!Z14</f>
        <v/>
      </c>
      <c r="I14" s="11">
        <f>'QTR BS'!AD14</f>
        <v/>
      </c>
      <c r="J14" s="11">
        <f>'QTR BS'!AH14</f>
        <v/>
      </c>
      <c r="K14" s="11">
        <f>'QTR BS'!AL14</f>
        <v/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7">
        <f>SUM(F12:F14)</f>
        <v/>
      </c>
      <c r="G15" s="7">
        <f>SUM(G12:G14)</f>
        <v/>
      </c>
      <c r="H15" s="7">
        <f>SUM(H12:H14)</f>
        <v/>
      </c>
      <c r="I15" s="7">
        <f>SUM(I12:I14)</f>
        <v/>
      </c>
      <c r="J15" s="7">
        <f>SUM(J12:J14)</f>
        <v/>
      </c>
      <c r="K15" s="7">
        <f>SUM(K12:K14)</f>
        <v/>
      </c>
    </row>
    <row r="16">
      <c r="A16" s="3" t="inlineStr">
        <is>
          <t>Long-Term Debt</t>
        </is>
      </c>
      <c r="B16" s="4" t="n">
        <v>22848</v>
      </c>
      <c r="C16" s="4" t="n">
        <v>24378</v>
      </c>
      <c r="D16" s="4" t="n">
        <v>25269</v>
      </c>
      <c r="E16" s="4" t="n">
        <v>24995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Deferred Tax Liability</t>
        </is>
      </c>
      <c r="B17" s="4" t="n">
        <v>6809</v>
      </c>
      <c r="C17" s="4" t="n">
        <v>6478</v>
      </c>
      <c r="D17" s="4" t="n">
        <v>6516</v>
      </c>
      <c r="E17" s="4" t="n">
        <v>5774</v>
      </c>
      <c r="F17" s="11">
        <f>'QTR BS'!R17</f>
        <v/>
      </c>
      <c r="G17" s="11">
        <f>'QTR BS'!V17</f>
        <v/>
      </c>
      <c r="H17" s="11">
        <f>'QTR BS'!Z17</f>
        <v/>
      </c>
      <c r="I17" s="11">
        <f>'QTR BS'!AD17</f>
        <v/>
      </c>
      <c r="J17" s="11">
        <f>'QTR BS'!AH17</f>
        <v/>
      </c>
      <c r="K17" s="11">
        <f>'QTR BS'!AL17</f>
        <v/>
      </c>
    </row>
    <row r="18">
      <c r="A18" s="3" t="inlineStr">
        <is>
          <t>Other Non-Current Liabilities</t>
        </is>
      </c>
      <c r="B18" s="4" t="n">
        <v>7616</v>
      </c>
      <c r="C18" s="4" t="n">
        <v>7152</v>
      </c>
      <c r="D18" s="4" t="n">
        <v>6398</v>
      </c>
      <c r="E18" s="4" t="n">
        <v>6120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7">
        <f>F15+SUM(F16:F18)</f>
        <v/>
      </c>
      <c r="G19" s="7">
        <f>G15+SUM(G16:G18)</f>
        <v/>
      </c>
      <c r="H19" s="7">
        <f>H15+SUM(H16:H18)</f>
        <v/>
      </c>
      <c r="I19" s="7">
        <f>I15+SUM(I16:I18)</f>
        <v/>
      </c>
      <c r="J19" s="7">
        <f>J15+SUM(J16:J18)</f>
        <v/>
      </c>
      <c r="K19" s="7">
        <f>K15+SUM(K16:K18)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819</v>
      </c>
      <c r="D20" s="4" t="n">
        <v>798</v>
      </c>
      <c r="E20" s="4" t="n">
        <v>777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11">
        <f>'QTR BS'!R21</f>
        <v/>
      </c>
      <c r="G21" s="11">
        <f>'QTR BS'!V21</f>
        <v/>
      </c>
      <c r="H21" s="11">
        <f>'QTR BS'!Z21</f>
        <v/>
      </c>
      <c r="I21" s="11">
        <f>'QTR BS'!AD21</f>
        <v/>
      </c>
      <c r="J21" s="11">
        <f>'QTR BS'!AH21</f>
        <v/>
      </c>
      <c r="K21" s="11">
        <f>'QTR BS'!AL21</f>
        <v/>
      </c>
    </row>
    <row r="22">
      <c r="A22" s="3" t="inlineStr">
        <is>
          <t>Additional Paid-in Capital</t>
        </is>
      </c>
      <c r="B22" s="4" t="n">
        <v>65795</v>
      </c>
      <c r="C22" s="4" t="n">
        <v>66556</v>
      </c>
      <c r="D22" s="4" t="n">
        <v>67684</v>
      </c>
      <c r="E22" s="4" t="n">
        <v>68770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11">
        <f>'QTR BS'!AL22</f>
        <v/>
      </c>
    </row>
    <row r="23">
      <c r="A23" s="3" t="inlineStr">
        <is>
          <t>ESOP Debt Retirement Reserve</t>
        </is>
      </c>
      <c r="B23" s="4" t="n">
        <v>-916</v>
      </c>
      <c r="C23" s="4" t="n">
        <v>-821</v>
      </c>
      <c r="D23" s="4" t="n">
        <v>-737</v>
      </c>
      <c r="E23" s="4" t="n">
        <v>-672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-12220</v>
      </c>
      <c r="D24" s="4" t="n">
        <v>-11900</v>
      </c>
      <c r="E24" s="4" t="n">
        <v>-12143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11">
        <f>'QTR BS'!AL24</f>
        <v/>
      </c>
    </row>
    <row r="25">
      <c r="A25" s="3" t="inlineStr">
        <is>
          <t>Treasury Stock</t>
        </is>
      </c>
      <c r="B25" s="4" t="n">
        <v>-123382</v>
      </c>
      <c r="C25" s="4" t="n">
        <v>-129736</v>
      </c>
      <c r="D25" s="4" t="n">
        <v>-133379</v>
      </c>
      <c r="E25" s="4" t="n">
        <v>-138702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118170</v>
      </c>
      <c r="D26" s="4" t="n">
        <v>123811</v>
      </c>
      <c r="E26" s="4" t="n">
        <v>129973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Noncontrolling Interest</t>
        </is>
      </c>
      <c r="B27" s="4" t="n">
        <v>265</v>
      </c>
      <c r="C27" s="4" t="n">
        <v>288</v>
      </c>
      <c r="D27" s="4" t="n">
        <v>272</v>
      </c>
      <c r="E27" s="4" t="n">
        <v>272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7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7">
        <f>F19+F28</f>
        <v/>
      </c>
      <c r="G29" s="7">
        <f>G19+G28</f>
        <v/>
      </c>
      <c r="H29" s="7">
        <f>H19+H28</f>
        <v/>
      </c>
      <c r="I29" s="7">
        <f>I19+I28</f>
        <v/>
      </c>
      <c r="J29" s="7">
        <f>J19+J28</f>
        <v/>
      </c>
      <c r="K29" s="7">
        <f>K19+K28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11">
        <f>'QTR CF'!R19+'QTR CF'!S19+'QTR CF'!T19+'QTR CF'!U19</f>
        <v/>
      </c>
      <c r="H18" s="11">
        <f>'QTR CF'!V19+'QTR CF'!W19+'QTR CF'!X19+'QTR CF'!Y19</f>
        <v/>
      </c>
      <c r="I18" s="11">
        <f>'QTR CF'!Z19+'QTR CF'!AA19+'QTR CF'!AB19+'QTR CF'!AC19</f>
        <v/>
      </c>
      <c r="J18" s="11">
        <f>'QTR CF'!AD19+'QTR CF'!AE19+'QTR CF'!AF19+'QTR CF'!AG19</f>
        <v/>
      </c>
      <c r="K18" s="11">
        <f>'QTR CF'!AH19+'QTR CF'!AI19+'QTR CF'!AJ19+'QTR CF'!AK19</f>
        <v/>
      </c>
      <c r="L18" s="11">
        <f>'QTR CF'!AL19+'QTR CF'!AM19+'QTR CF'!AN19+'QTR CF'!AO19</f>
        <v/>
      </c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11">
        <f>'QTR CF'!R21+'QTR CF'!S21+'QTR CF'!T21+'QTR CF'!U21</f>
        <v/>
      </c>
      <c r="H20" s="11">
        <f>'QTR CF'!V21+'QTR CF'!W21+'QTR CF'!X21+'QTR CF'!Y21</f>
        <v/>
      </c>
      <c r="I20" s="11">
        <f>'QTR CF'!Z21+'QTR CF'!AA21+'QTR CF'!AB21+'QTR CF'!AC21</f>
        <v/>
      </c>
      <c r="J20" s="11">
        <f>'QTR CF'!AD21+'QTR CF'!AE21+'QTR CF'!AF21+'QTR CF'!AG21</f>
        <v/>
      </c>
      <c r="K20" s="11">
        <f>'QTR CF'!AH21+'QTR CF'!AI21+'QTR CF'!AJ21+'QTR CF'!AK21</f>
        <v/>
      </c>
      <c r="L20" s="11">
        <f>'QTR CF'!AL21+'QTR CF'!AM21+'QTR CF'!AN21+'QTR CF'!AO21</f>
        <v/>
      </c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11">
        <f>'QTR CF'!R22+'QTR CF'!S22+'QTR CF'!T22+'QTR CF'!U22</f>
        <v/>
      </c>
      <c r="H21" s="11">
        <f>'QTR CF'!V22+'QTR CF'!W22+'QTR CF'!X22+'QTR CF'!Y22</f>
        <v/>
      </c>
      <c r="I21" s="11">
        <f>'QTR CF'!Z22+'QTR CF'!AA22+'QTR CF'!AB22+'QTR CF'!AC22</f>
        <v/>
      </c>
      <c r="J21" s="11">
        <f>'QTR CF'!AD22+'QTR CF'!AE22+'QTR CF'!AF22+'QTR CF'!AG22</f>
        <v/>
      </c>
      <c r="K21" s="11">
        <f>'QTR CF'!AH22+'QTR CF'!AI22+'QTR CF'!AJ22+'QTR CF'!AK22</f>
        <v/>
      </c>
      <c r="L21" s="11">
        <f>'QTR CF'!AL22+'QTR CF'!AM22+'QTR CF'!AN22+'QTR CF'!AO22</f>
        <v/>
      </c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11">
        <f>'QTR CF'!R23+'QTR CF'!S23+'QTR CF'!T23+'QTR CF'!U23</f>
        <v/>
      </c>
      <c r="H22" s="11">
        <f>'QTR CF'!V23+'QTR CF'!W23+'QTR CF'!X23+'QTR CF'!Y23</f>
        <v/>
      </c>
      <c r="I22" s="11">
        <f>'QTR CF'!Z23+'QTR CF'!AA23+'QTR CF'!AB23+'QTR CF'!AC23</f>
        <v/>
      </c>
      <c r="J22" s="11">
        <f>'QTR CF'!AD23+'QTR CF'!AE23+'QTR CF'!AF23+'QTR CF'!AG23</f>
        <v/>
      </c>
      <c r="K22" s="11">
        <f>'QTR CF'!AH23+'QTR CF'!AI23+'QTR CF'!AJ23+'QTR CF'!AK23</f>
        <v/>
      </c>
      <c r="L22" s="11">
        <f>'QTR CF'!AL23+'QTR CF'!AM23+'QTR CF'!AN23+'QTR CF'!AO23</f>
        <v/>
      </c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11">
        <f>'QTR CF'!R24+'QTR CF'!S24+'QTR CF'!T24+'QTR CF'!U24</f>
        <v/>
      </c>
      <c r="H23" s="11">
        <f>'QTR CF'!V24+'QTR CF'!W24+'QTR CF'!X24+'QTR CF'!Y24</f>
        <v/>
      </c>
      <c r="I23" s="11">
        <f>'QTR CF'!Z24+'QTR CF'!AA24+'QTR CF'!AB24+'QTR CF'!AC24</f>
        <v/>
      </c>
      <c r="J23" s="11">
        <f>'QTR CF'!AD24+'QTR CF'!AE24+'QTR CF'!AF24+'QTR CF'!AG24</f>
        <v/>
      </c>
      <c r="K23" s="11">
        <f>'QTR CF'!AH24+'QTR CF'!AI24+'QTR CF'!AJ24+'QTR CF'!AK24</f>
        <v/>
      </c>
      <c r="L23" s="11">
        <f>'QTR CF'!AL24+'QTR CF'!AM24+'QTR CF'!AN24+'QTR CF'!AO24</f>
        <v/>
      </c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11">
        <f>'QTR CF'!R25+'QTR CF'!S25+'QTR CF'!T25+'QTR CF'!U25</f>
        <v/>
      </c>
      <c r="H24" s="11">
        <f>'QTR CF'!V25+'QTR CF'!W25+'QTR CF'!X25+'QTR CF'!Y25</f>
        <v/>
      </c>
      <c r="I24" s="11">
        <f>'QTR CF'!Z25+'QTR CF'!AA25+'QTR CF'!AB25+'QTR CF'!AC25</f>
        <v/>
      </c>
      <c r="J24" s="11">
        <f>'QTR CF'!AD25+'QTR CF'!AE25+'QTR CF'!AF25+'QTR CF'!AG25</f>
        <v/>
      </c>
      <c r="K24" s="11">
        <f>'QTR CF'!AH25+'QTR CF'!AI25+'QTR CF'!AJ25+'QTR CF'!AK25</f>
        <v/>
      </c>
      <c r="L24" s="11">
        <f>'QTR CF'!AL25+'QTR CF'!AM25+'QTR CF'!AN25+'QTR CF'!AO25</f>
        <v/>
      </c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11">
        <f>'QTR CF'!R26+'QTR CF'!S26+'QTR CF'!T26+'QTR CF'!U26</f>
        <v/>
      </c>
      <c r="H25" s="11">
        <f>'QTR CF'!V26+'QTR CF'!W26+'QTR CF'!X26+'QTR CF'!Y26</f>
        <v/>
      </c>
      <c r="I25" s="11">
        <f>'QTR CF'!Z26+'QTR CF'!AA26+'QTR CF'!AB26+'QTR CF'!AC26</f>
        <v/>
      </c>
      <c r="J25" s="11">
        <f>'QTR CF'!AD26+'QTR CF'!AE26+'QTR CF'!AF26+'QTR CF'!AG26</f>
        <v/>
      </c>
      <c r="K25" s="11">
        <f>'QTR CF'!AH26+'QTR CF'!AI26+'QTR CF'!AJ26+'QTR CF'!AK26</f>
        <v/>
      </c>
      <c r="L25" s="11">
        <f>'QTR CF'!AL26+'QTR CF'!AM26+'QTR CF'!AN26+'QTR CF'!AO26</f>
        <v/>
      </c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11">
        <f>'QTR CF'!R27+'QTR CF'!S27+'QTR CF'!T27+'QTR CF'!U27</f>
        <v/>
      </c>
      <c r="H26" s="11">
        <f>'QTR CF'!V27+'QTR CF'!W27+'QTR CF'!X27+'QTR CF'!Y27</f>
        <v/>
      </c>
      <c r="I26" s="11">
        <f>'QTR CF'!Z27+'QTR CF'!AA27+'QTR CF'!AB27+'QTR CF'!AC27</f>
        <v/>
      </c>
      <c r="J26" s="11">
        <f>'QTR CF'!AD27+'QTR CF'!AE27+'QTR CF'!AF27+'QTR CF'!AG27</f>
        <v/>
      </c>
      <c r="K26" s="11">
        <f>'QTR CF'!AH27+'QTR CF'!AI27+'QTR CF'!AJ27+'QTR CF'!AK27</f>
        <v/>
      </c>
      <c r="L26" s="11">
        <f>'QTR CF'!AL27+'QTR CF'!AM27+'QTR CF'!AN27+'QTR CF'!AO27</f>
        <v/>
      </c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11">
        <f>'QTR CF'!R28+'QTR CF'!S28+'QTR CF'!T28+'QTR CF'!U28</f>
        <v/>
      </c>
      <c r="H27" s="11">
        <f>'QTR CF'!V28+'QTR CF'!W28+'QTR CF'!X28+'QTR CF'!Y28</f>
        <v/>
      </c>
      <c r="I27" s="11">
        <f>'QTR CF'!Z28+'QTR CF'!AA28+'QTR CF'!AB28+'QTR CF'!AC28</f>
        <v/>
      </c>
      <c r="J27" s="11">
        <f>'QTR CF'!AD28+'QTR CF'!AE28+'QTR CF'!AF28+'QTR CF'!AG28</f>
        <v/>
      </c>
      <c r="K27" s="11">
        <f>'QTR CF'!AH28+'QTR CF'!AI28+'QTR CF'!AJ28+'QTR CF'!AK28</f>
        <v/>
      </c>
      <c r="L27" s="11">
        <f>'QTR CF'!AL28+'QTR CF'!AM28+'QTR CF'!AN28+'QTR CF'!AO28</f>
        <v/>
      </c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11">
        <f>'QTR CF'!R30+'QTR CF'!S30+'QTR CF'!T30+'QTR CF'!U30</f>
        <v/>
      </c>
      <c r="H29" s="11">
        <f>'QTR CF'!V30+'QTR CF'!W30+'QTR CF'!X30+'QTR CF'!Y30</f>
        <v/>
      </c>
      <c r="I29" s="11">
        <f>'QTR CF'!Z30+'QTR CF'!AA30+'QTR CF'!AB30+'QTR CF'!AC30</f>
        <v/>
      </c>
      <c r="J29" s="11">
        <f>'QTR CF'!AD30+'QTR CF'!AE30+'QTR CF'!AF30+'QTR CF'!AG30</f>
        <v/>
      </c>
      <c r="K29" s="11">
        <f>'QTR CF'!AH30+'QTR CF'!AI30+'QTR CF'!AJ30+'QTR CF'!AK30</f>
        <v/>
      </c>
      <c r="L29" s="11">
        <f>'QTR CF'!AL30+'QTR CF'!AM30+'QTR CF'!AN30+'QTR CF'!AO30</f>
        <v/>
      </c>
    </row>
    <row r="30">
      <c r="A30" s="3" t="inlineStr">
        <is>
          <t>Net Change in Cash</t>
        </is>
      </c>
      <c r="B30" s="6">
        <f>B14+B19+B28+B29</f>
        <v/>
      </c>
      <c r="C30" s="6">
        <f>C14+C19+C28+C29</f>
        <v/>
      </c>
      <c r="D30" s="6">
        <f>D14+D19+D28+D29</f>
        <v/>
      </c>
      <c r="E30" s="6">
        <f>E14+E19+E28+E29</f>
        <v/>
      </c>
      <c r="F30" s="6">
        <f>F14+F19+F28+F29</f>
        <v/>
      </c>
      <c r="G30" s="7">
        <f>G14+G19+G28+G29</f>
        <v/>
      </c>
      <c r="H30" s="7">
        <f>H14+H19+H28+H29</f>
        <v/>
      </c>
      <c r="I30" s="7">
        <f>I14+I19+I28+I29</f>
        <v/>
      </c>
      <c r="J30" s="7">
        <f>J14+J19+J28+J29</f>
        <v/>
      </c>
      <c r="K30" s="7">
        <f>K14+K19+K28+K29</f>
        <v/>
      </c>
      <c r="L30" s="7">
        <f>L14+L19+L28+L29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Inventories</t>
        </is>
      </c>
      <c r="B4" s="4" t="n">
        <v>6924</v>
      </c>
      <c r="C4" s="4" t="n">
        <v>7590</v>
      </c>
      <c r="D4" s="4" t="n">
        <v>7541</v>
      </c>
      <c r="E4" s="4" t="n">
        <v>7483</v>
      </c>
      <c r="F4" s="4" t="n">
        <v>7073</v>
      </c>
      <c r="G4" s="4" t="n">
        <v>7117</v>
      </c>
      <c r="H4" s="4" t="n">
        <v>7151</v>
      </c>
      <c r="I4" s="4" t="n">
        <v>7077</v>
      </c>
      <c r="J4" s="4" t="n">
        <v>7016</v>
      </c>
      <c r="K4" s="4" t="n">
        <v>7287</v>
      </c>
      <c r="L4" s="4" t="n">
        <v>7020</v>
      </c>
      <c r="M4" s="4" t="n">
        <v>7400</v>
      </c>
      <c r="N4" s="4" t="n">
        <v>7551</v>
      </c>
      <c r="O4" s="4" t="n">
        <v>7848</v>
      </c>
      <c r="P4" s="4" t="n">
        <v>7817</v>
      </c>
    </row>
    <row r="5">
      <c r="A5" s="3" t="inlineStr">
        <is>
          <t>Prepaid Expenses</t>
        </is>
      </c>
      <c r="B5" s="4" t="n">
        <v>2372</v>
      </c>
      <c r="C5" s="4" t="n">
        <v>2501</v>
      </c>
      <c r="D5" s="4" t="n">
        <v>1704</v>
      </c>
      <c r="E5" s="4" t="n">
        <v>1755</v>
      </c>
      <c r="F5" s="4" t="n">
        <v>1858</v>
      </c>
      <c r="G5" s="4" t="n">
        <v>1875</v>
      </c>
      <c r="H5" s="4" t="n">
        <v>1736</v>
      </c>
      <c r="I5" s="4" t="n">
        <v>2428</v>
      </c>
      <c r="J5" s="4" t="n">
        <v>2095</v>
      </c>
      <c r="K5" s="4" t="n">
        <v>1692</v>
      </c>
      <c r="L5" s="4" t="n">
        <v>2158</v>
      </c>
      <c r="M5" s="4" t="n">
        <v>1780</v>
      </c>
      <c r="N5" s="4" t="n">
        <v>2100</v>
      </c>
      <c r="O5" s="4" t="n">
        <v>1612</v>
      </c>
      <c r="P5" s="4" t="n">
        <v>1666</v>
      </c>
    </row>
    <row r="6">
      <c r="A6" s="3" t="inlineStr">
        <is>
          <t>Total Current Assets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SUM(E2:E5)</f>
        <v/>
      </c>
      <c r="F6" s="6">
        <f>SUM(F2:F5)</f>
        <v/>
      </c>
      <c r="G6" s="6">
        <f>SUM(G2:G5)</f>
        <v/>
      </c>
      <c r="H6" s="6">
        <f>SUM(H2:H5)</f>
        <v/>
      </c>
      <c r="I6" s="6">
        <f>SUM(I2:I5)</f>
        <v/>
      </c>
      <c r="J6" s="6">
        <f>SUM(J2:J5)</f>
        <v/>
      </c>
      <c r="K6" s="6">
        <f>SUM(K2:K5)</f>
        <v/>
      </c>
      <c r="L6" s="6">
        <f>SUM(L2:L5)</f>
        <v/>
      </c>
      <c r="M6" s="6">
        <f>SUM(M2:M5)</f>
        <v/>
      </c>
      <c r="N6" s="6">
        <f>SUM(N2:N5)</f>
        <v/>
      </c>
      <c r="O6" s="6">
        <f>SUM(O2:O5)</f>
        <v/>
      </c>
      <c r="P6" s="6">
        <f>SUM(P2:P5)</f>
        <v/>
      </c>
    </row>
    <row r="7">
      <c r="A7" s="3" t="inlineStr">
        <is>
          <t>Net PP&amp;E</t>
        </is>
      </c>
      <c r="B7" s="4" t="n">
        <v>21195</v>
      </c>
      <c r="C7" s="4" t="n">
        <v>20593</v>
      </c>
      <c r="D7" s="4" t="n">
        <v>21167</v>
      </c>
      <c r="E7" s="4" t="n">
        <v>21564</v>
      </c>
      <c r="F7" s="4" t="n">
        <v>21909</v>
      </c>
      <c r="G7" s="4" t="n">
        <v>21636</v>
      </c>
      <c r="H7" s="4" t="n">
        <v>22132</v>
      </c>
      <c r="I7" s="4" t="n">
        <v>22027</v>
      </c>
      <c r="J7" s="4" t="n">
        <v>22152</v>
      </c>
      <c r="K7" s="4" t="n">
        <v>22506</v>
      </c>
      <c r="L7" s="4" t="n">
        <v>22074</v>
      </c>
      <c r="M7" s="4" t="n">
        <v>22728</v>
      </c>
      <c r="N7" s="4" t="n">
        <v>23897</v>
      </c>
      <c r="O7" s="4" t="n">
        <v>24119</v>
      </c>
      <c r="P7" s="4" t="n">
        <v>24487</v>
      </c>
    </row>
    <row r="8">
      <c r="A8" s="3" t="inlineStr">
        <is>
          <t>Goodwill</t>
        </is>
      </c>
      <c r="B8" s="4" t="n">
        <v>39700</v>
      </c>
      <c r="C8" s="4" t="n">
        <v>38761</v>
      </c>
      <c r="D8" s="4" t="n">
        <v>39951</v>
      </c>
      <c r="E8" s="4" t="n">
        <v>40718</v>
      </c>
      <c r="F8" s="4" t="n">
        <v>40659</v>
      </c>
      <c r="G8" s="4" t="n">
        <v>40239</v>
      </c>
      <c r="H8" s="4" t="n">
        <v>40916</v>
      </c>
      <c r="I8" s="4" t="n">
        <v>40567</v>
      </c>
      <c r="J8" s="4" t="n">
        <v>40303</v>
      </c>
      <c r="K8" s="4" t="n">
        <v>40970</v>
      </c>
      <c r="L8" s="4" t="n">
        <v>39898</v>
      </c>
      <c r="M8" s="4" t="n">
        <v>40476</v>
      </c>
      <c r="N8" s="4" t="n">
        <v>41650</v>
      </c>
      <c r="O8" s="4" t="n">
        <v>41643</v>
      </c>
      <c r="P8" s="4" t="n">
        <v>41665</v>
      </c>
    </row>
    <row r="9">
      <c r="A9" s="3" t="inlineStr">
        <is>
          <t>Intangible Assets</t>
        </is>
      </c>
      <c r="B9" s="4" t="n">
        <v>23679</v>
      </c>
      <c r="C9" s="4" t="n">
        <v>23465</v>
      </c>
      <c r="D9" s="4" t="n">
        <v>23594</v>
      </c>
      <c r="E9" s="4" t="n">
        <v>23832</v>
      </c>
      <c r="F9" s="4" t="n">
        <v>23783</v>
      </c>
      <c r="G9" s="4" t="n">
        <v>23637</v>
      </c>
      <c r="H9" s="4" t="n">
        <v>22302</v>
      </c>
      <c r="I9" s="4" t="n">
        <v>22193</v>
      </c>
      <c r="J9" s="4" t="n">
        <v>22047</v>
      </c>
      <c r="K9" s="4" t="n">
        <v>22053</v>
      </c>
      <c r="L9" s="4" t="n">
        <v>21833</v>
      </c>
      <c r="M9" s="4" t="n">
        <v>21836</v>
      </c>
      <c r="N9" s="4" t="n">
        <v>21910</v>
      </c>
      <c r="O9" s="4" t="n">
        <v>21818</v>
      </c>
      <c r="P9" s="4" t="n">
        <v>21737</v>
      </c>
    </row>
    <row r="10">
      <c r="A10" s="3" t="inlineStr">
        <is>
          <t>Other Non-Current Assets</t>
        </is>
      </c>
      <c r="B10" s="4" t="n">
        <v>10981</v>
      </c>
      <c r="C10" s="4" t="n">
        <v>10942</v>
      </c>
      <c r="D10" s="4" t="n">
        <v>11137</v>
      </c>
      <c r="E10" s="4" t="n">
        <v>11432</v>
      </c>
      <c r="F10" s="4" t="n">
        <v>11830</v>
      </c>
      <c r="G10" s="4" t="n">
        <v>12079</v>
      </c>
      <c r="H10" s="4" t="n">
        <v>12248</v>
      </c>
      <c r="I10" s="4" t="n">
        <v>12353</v>
      </c>
      <c r="J10" s="4" t="n">
        <v>13158</v>
      </c>
      <c r="K10" s="4" t="n">
        <v>13503</v>
      </c>
      <c r="L10" s="4" t="n">
        <v>13192</v>
      </c>
      <c r="M10" s="4" t="n">
        <v>13508</v>
      </c>
      <c r="N10" s="4" t="n">
        <v>12381</v>
      </c>
      <c r="O10" s="4" t="n">
        <v>12901</v>
      </c>
      <c r="P10" s="4" t="n">
        <v>12809</v>
      </c>
    </row>
    <row r="11">
      <c r="A11" s="3" t="inlineStr">
        <is>
          <t>Total Assets</t>
        </is>
      </c>
      <c r="B11" s="6">
        <f>B6+SUM(B7:B10)</f>
        <v/>
      </c>
      <c r="C11" s="6">
        <f>C6+SUM(C7:C10)</f>
        <v/>
      </c>
      <c r="D11" s="6">
        <f>D6+SUM(D7:D10)</f>
        <v/>
      </c>
      <c r="E11" s="6">
        <f>E6+SUM(E7:E10)</f>
        <v/>
      </c>
      <c r="F11" s="6">
        <f>F6+SUM(F7:F10)</f>
        <v/>
      </c>
      <c r="G11" s="6">
        <f>G6+SUM(G7:G10)</f>
        <v/>
      </c>
      <c r="H11" s="6">
        <f>H6+SUM(H7:H10)</f>
        <v/>
      </c>
      <c r="I11" s="6">
        <f>I6+SUM(I7:I10)</f>
        <v/>
      </c>
      <c r="J11" s="6">
        <f>J6+SUM(J7:J10)</f>
        <v/>
      </c>
      <c r="K11" s="6">
        <f>K6+SUM(K7:K10)</f>
        <v/>
      </c>
      <c r="L11" s="6">
        <f>L6+SUM(L7:L10)</f>
        <v/>
      </c>
      <c r="M11" s="6">
        <f>M6+SUM(M7:M10)</f>
        <v/>
      </c>
      <c r="N11" s="6">
        <f>N6+SUM(N7:N10)</f>
        <v/>
      </c>
      <c r="O11" s="6">
        <f>O6+SUM(O7:O10)</f>
        <v/>
      </c>
      <c r="P11" s="6">
        <f>P6+SUM(P7:P10)</f>
        <v/>
      </c>
    </row>
    <row r="12">
      <c r="A12" s="3" t="inlineStr">
        <is>
          <t>Accounts Payable</t>
        </is>
      </c>
      <c r="B12" s="4" t="n">
        <v>14882</v>
      </c>
      <c r="C12" s="4" t="n">
        <v>14845</v>
      </c>
      <c r="D12" s="4" t="n">
        <v>14153</v>
      </c>
      <c r="E12" s="4" t="n">
        <v>13790</v>
      </c>
      <c r="F12" s="4" t="n">
        <v>14598</v>
      </c>
      <c r="G12" s="4" t="n">
        <v>14435</v>
      </c>
      <c r="H12" s="4" t="n">
        <v>14234</v>
      </c>
      <c r="I12" s="4" t="n">
        <v>13691</v>
      </c>
      <c r="J12" s="4" t="n">
        <v>15364</v>
      </c>
      <c r="K12" s="4" t="n">
        <v>15350</v>
      </c>
      <c r="L12" s="4" t="n">
        <v>14495</v>
      </c>
      <c r="M12" s="4" t="n">
        <v>14512</v>
      </c>
      <c r="N12" s="4" t="n">
        <v>15227</v>
      </c>
      <c r="O12" s="4" t="n">
        <v>15609</v>
      </c>
      <c r="P12" s="4" t="n">
        <v>15173</v>
      </c>
    </row>
    <row r="13">
      <c r="A13" s="3" t="inlineStr">
        <is>
          <t>Accrued Expenses</t>
        </is>
      </c>
      <c r="B13" s="4" t="n">
        <v>9554</v>
      </c>
      <c r="C13" s="4" t="n">
        <v>10056</v>
      </c>
      <c r="D13" s="4" t="n">
        <v>10293</v>
      </c>
      <c r="E13" s="4" t="n">
        <v>10523</v>
      </c>
      <c r="F13" s="4" t="n">
        <v>10929</v>
      </c>
      <c r="G13" s="4" t="n">
        <v>10912</v>
      </c>
      <c r="H13" s="4" t="n">
        <v>11100</v>
      </c>
      <c r="I13" s="4" t="n">
        <v>10921</v>
      </c>
      <c r="J13" s="4" t="n">
        <v>11073</v>
      </c>
      <c r="K13" s="4" t="n">
        <v>10661</v>
      </c>
      <c r="L13" s="4" t="n">
        <v>9879</v>
      </c>
      <c r="M13" s="4" t="n">
        <v>9847</v>
      </c>
      <c r="N13" s="4" t="n">
        <v>11318</v>
      </c>
      <c r="O13" s="4" t="n">
        <v>10756</v>
      </c>
      <c r="P13" s="4" t="n">
        <v>10463</v>
      </c>
    </row>
    <row r="14">
      <c r="A14" s="3" t="inlineStr">
        <is>
          <t>Current Portion of Long-Term Debt</t>
        </is>
      </c>
      <c r="B14" s="4" t="n">
        <v>8645</v>
      </c>
      <c r="C14" s="4" t="n">
        <v>11717</v>
      </c>
      <c r="D14" s="4" t="n">
        <v>14300</v>
      </c>
      <c r="E14" s="4" t="n">
        <v>13717</v>
      </c>
      <c r="F14" s="4" t="n">
        <v>10229</v>
      </c>
      <c r="G14" s="4" t="n">
        <v>11811</v>
      </c>
      <c r="H14" s="4" t="n">
        <v>10616</v>
      </c>
      <c r="I14" s="4" t="n">
        <v>7729</v>
      </c>
      <c r="J14" s="4" t="n">
        <v>7191</v>
      </c>
      <c r="K14" s="4" t="n">
        <v>10409</v>
      </c>
      <c r="L14" s="4" t="n">
        <v>9424</v>
      </c>
      <c r="M14" s="4" t="n">
        <v>9889</v>
      </c>
      <c r="N14" s="4" t="n">
        <v>9513</v>
      </c>
      <c r="O14" s="4" t="n">
        <v>11631</v>
      </c>
      <c r="P14" s="4" t="n">
        <v>11062</v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6">
        <f>SUM(F12:F14)</f>
        <v/>
      </c>
      <c r="G15" s="6">
        <f>SUM(G12:G14)</f>
        <v/>
      </c>
      <c r="H15" s="6">
        <f>SUM(H12:H14)</f>
        <v/>
      </c>
      <c r="I15" s="6">
        <f>SUM(I12:I14)</f>
        <v/>
      </c>
      <c r="J15" s="6">
        <f>SUM(J12:J14)</f>
        <v/>
      </c>
      <c r="K15" s="6">
        <f>SUM(K12:K14)</f>
        <v/>
      </c>
      <c r="L15" s="6">
        <f>SUM(L12:L14)</f>
        <v/>
      </c>
      <c r="M15" s="6">
        <f>SUM(M12:M14)</f>
        <v/>
      </c>
      <c r="N15" s="6">
        <f>SUM(N12:N14)</f>
        <v/>
      </c>
      <c r="O15" s="6">
        <f>SUM(O12:O14)</f>
        <v/>
      </c>
      <c r="P15" s="6">
        <f>SUM(P12:P14)</f>
        <v/>
      </c>
    </row>
    <row r="16">
      <c r="A16" s="3" t="inlineStr">
        <is>
          <t>Long-Term Debt</t>
        </is>
      </c>
      <c r="B16" s="4" t="n">
        <v>22848</v>
      </c>
      <c r="C16" s="4" t="n">
        <v>21286</v>
      </c>
      <c r="D16" s="4" t="n">
        <v>20582</v>
      </c>
      <c r="E16" s="4" t="n">
        <v>22874</v>
      </c>
      <c r="F16" s="4" t="n">
        <v>24378</v>
      </c>
      <c r="G16" s="4" t="n">
        <v>24069</v>
      </c>
      <c r="H16" s="4" t="n">
        <v>23096</v>
      </c>
      <c r="I16" s="4" t="n">
        <v>24253</v>
      </c>
      <c r="J16" s="4" t="n">
        <v>25269</v>
      </c>
      <c r="K16" s="4" t="n">
        <v>25744</v>
      </c>
      <c r="L16" s="4" t="n">
        <v>25263</v>
      </c>
      <c r="M16" s="4" t="n">
        <v>24252</v>
      </c>
      <c r="N16" s="4" t="n">
        <v>24995</v>
      </c>
      <c r="O16" s="4" t="n">
        <v>24315</v>
      </c>
      <c r="P16" s="4" t="n">
        <v>25577</v>
      </c>
    </row>
    <row r="17">
      <c r="A17" s="3" t="inlineStr">
        <is>
          <t>Deferred Tax Liability</t>
        </is>
      </c>
      <c r="B17" s="4" t="n">
        <v>6809</v>
      </c>
      <c r="C17" s="4" t="n">
        <v>6986</v>
      </c>
      <c r="D17" s="4" t="n">
        <v>6462</v>
      </c>
      <c r="E17" s="4" t="n">
        <v>6422</v>
      </c>
      <c r="F17" s="4" t="n">
        <v>6478</v>
      </c>
      <c r="G17" s="4" t="n">
        <v>6814</v>
      </c>
      <c r="H17" s="4" t="n">
        <v>6219</v>
      </c>
      <c r="I17" s="4" t="n">
        <v>6284</v>
      </c>
      <c r="J17" s="4" t="n">
        <v>6516</v>
      </c>
      <c r="K17" s="4" t="n">
        <v>6420</v>
      </c>
      <c r="L17" s="4" t="n">
        <v>6725</v>
      </c>
      <c r="M17" s="4" t="n">
        <v>6481</v>
      </c>
      <c r="N17" s="4" t="n">
        <v>5774</v>
      </c>
      <c r="O17" s="4" t="n">
        <v>5893</v>
      </c>
      <c r="P17" s="4" t="n">
        <v>5974</v>
      </c>
    </row>
    <row r="18">
      <c r="A18" s="3" t="inlineStr">
        <is>
          <t>Other Non-Current Liabilities</t>
        </is>
      </c>
      <c r="B18" s="4" t="n">
        <v>7616</v>
      </c>
      <c r="C18" s="4" t="n">
        <v>7058</v>
      </c>
      <c r="D18" s="4" t="n">
        <v>7200</v>
      </c>
      <c r="E18" s="4" t="n">
        <v>7104</v>
      </c>
      <c r="F18" s="4" t="n">
        <v>7152</v>
      </c>
      <c r="G18" s="4" t="n">
        <v>6477</v>
      </c>
      <c r="H18" s="4" t="n">
        <v>6614</v>
      </c>
      <c r="I18" s="4" t="n">
        <v>6386</v>
      </c>
      <c r="J18" s="4" t="n">
        <v>6398</v>
      </c>
      <c r="K18" s="4" t="n">
        <v>5757</v>
      </c>
      <c r="L18" s="4" t="n">
        <v>5411</v>
      </c>
      <c r="M18" s="4" t="n">
        <v>5458</v>
      </c>
      <c r="N18" s="4" t="n">
        <v>6120</v>
      </c>
      <c r="O18" s="4" t="n">
        <v>5844</v>
      </c>
      <c r="P18" s="4" t="n">
        <v>5719</v>
      </c>
    </row>
    <row r="19">
      <c r="A19" s="3" t="inlineStr">
        <is>
          <t>Total Liabilities</t>
        </is>
      </c>
      <c r="B19" s="6">
        <f>B15+SUM(B16:B18)</f>
        <v/>
      </c>
      <c r="C19" s="6">
        <f>C15+SUM(C16:C18)</f>
        <v/>
      </c>
      <c r="D19" s="6">
        <f>D15+SUM(D16:D18)</f>
        <v/>
      </c>
      <c r="E19" s="6">
        <f>E15+SUM(E16:E18)</f>
        <v/>
      </c>
      <c r="F19" s="6">
        <f>F15+SUM(F16:F18)</f>
        <v/>
      </c>
      <c r="G19" s="6">
        <f>G15+SUM(G16:G18)</f>
        <v/>
      </c>
      <c r="H19" s="6">
        <f>H15+SUM(H16:H18)</f>
        <v/>
      </c>
      <c r="I19" s="6">
        <f>I15+SUM(I16:I18)</f>
        <v/>
      </c>
      <c r="J19" s="6">
        <f>J15+SUM(J16:J18)</f>
        <v/>
      </c>
      <c r="K19" s="6">
        <f>K15+SUM(K16:K18)</f>
        <v/>
      </c>
      <c r="L19" s="6">
        <f>L15+SUM(L16:L18)</f>
        <v/>
      </c>
      <c r="M19" s="6">
        <f>M15+SUM(M16:M18)</f>
        <v/>
      </c>
      <c r="N19" s="6">
        <f>N15+SUM(N16:N18)</f>
        <v/>
      </c>
      <c r="O19" s="6">
        <f>O15+SUM(O16:O18)</f>
        <v/>
      </c>
      <c r="P19" s="6">
        <f>P15+SUM(P16:P18)</f>
        <v/>
      </c>
    </row>
    <row r="20">
      <c r="A20" s="3" t="inlineStr">
        <is>
          <t>Convertible Preferred Stock</t>
        </is>
      </c>
      <c r="B20" s="4" t="n">
        <v>843</v>
      </c>
      <c r="C20" s="4" t="n">
        <v>834</v>
      </c>
      <c r="D20" s="4" t="n">
        <v>831</v>
      </c>
      <c r="E20" s="4" t="n">
        <v>822</v>
      </c>
      <c r="F20" s="4" t="n">
        <v>819</v>
      </c>
      <c r="G20" s="4" t="n">
        <v>812</v>
      </c>
      <c r="H20" s="4" t="n">
        <v>809</v>
      </c>
      <c r="I20" s="4" t="n">
        <v>801</v>
      </c>
      <c r="J20" s="4" t="n">
        <v>798</v>
      </c>
      <c r="K20" s="4" t="n">
        <v>791</v>
      </c>
      <c r="L20" s="4" t="n">
        <v>788</v>
      </c>
      <c r="M20" s="4" t="n">
        <v>781</v>
      </c>
      <c r="N20" s="4" t="n">
        <v>777</v>
      </c>
      <c r="O20" s="4" t="n">
        <v>770</v>
      </c>
      <c r="P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  <c r="D21" s="4" t="n">
        <v>4009</v>
      </c>
      <c r="E21" s="4" t="n">
        <v>4009</v>
      </c>
      <c r="F21" s="4" t="n">
        <v>4009</v>
      </c>
      <c r="G21" s="4" t="n">
        <v>4009</v>
      </c>
      <c r="H21" s="4" t="n">
        <v>4009</v>
      </c>
      <c r="I21" s="4" t="n">
        <v>4009</v>
      </c>
      <c r="J21" s="4" t="n">
        <v>4009</v>
      </c>
      <c r="K21" s="4" t="n">
        <v>4009</v>
      </c>
      <c r="L21" s="4" t="n">
        <v>4009</v>
      </c>
      <c r="M21" s="4" t="n">
        <v>4009</v>
      </c>
      <c r="N21" s="4" t="n">
        <v>4009</v>
      </c>
      <c r="O21" s="4" t="n">
        <v>4009</v>
      </c>
      <c r="P21" s="4" t="n">
        <v>4009</v>
      </c>
    </row>
    <row r="22">
      <c r="A22" s="3" t="inlineStr">
        <is>
          <t>Additional Paid-in Capital</t>
        </is>
      </c>
      <c r="B22" s="4" t="n">
        <v>65795</v>
      </c>
      <c r="C22" s="4" t="n">
        <v>65955</v>
      </c>
      <c r="D22" s="4" t="n">
        <v>66145</v>
      </c>
      <c r="E22" s="4" t="n">
        <v>66316</v>
      </c>
      <c r="F22" s="4" t="n">
        <v>66556</v>
      </c>
      <c r="G22" s="4" t="n">
        <v>66822</v>
      </c>
      <c r="H22" s="4" t="n">
        <v>66935</v>
      </c>
      <c r="I22" s="4" t="n">
        <v>67395</v>
      </c>
      <c r="J22" s="4" t="n">
        <v>67684</v>
      </c>
      <c r="K22" s="4" t="n">
        <v>68102</v>
      </c>
      <c r="L22" s="4" t="n">
        <v>68283</v>
      </c>
      <c r="M22" s="4" t="n">
        <v>68615</v>
      </c>
      <c r="N22" s="4" t="n">
        <v>68770</v>
      </c>
      <c r="O22" s="4" t="n">
        <v>68917</v>
      </c>
      <c r="P22" s="4" t="n">
        <v>69010</v>
      </c>
    </row>
    <row r="23">
      <c r="A23" s="3" t="inlineStr">
        <is>
          <t>ESOP Debt Retirement Reserve</t>
        </is>
      </c>
      <c r="B23" s="4" t="n">
        <v>-916</v>
      </c>
      <c r="C23" s="4" t="n">
        <v>-870</v>
      </c>
      <c r="D23" s="4" t="n">
        <v>-870</v>
      </c>
      <c r="E23" s="4" t="n">
        <v>-821</v>
      </c>
      <c r="F23" s="4" t="n">
        <v>-821</v>
      </c>
      <c r="G23" s="4" t="n">
        <v>-782</v>
      </c>
      <c r="H23" s="4" t="n">
        <v>-782</v>
      </c>
      <c r="I23" s="4" t="n">
        <v>-737</v>
      </c>
      <c r="J23" s="4" t="n">
        <v>-737</v>
      </c>
      <c r="K23" s="4" t="n">
        <v>-707</v>
      </c>
      <c r="L23" s="4" t="n">
        <v>-707</v>
      </c>
      <c r="M23" s="4" t="n">
        <v>-672</v>
      </c>
      <c r="N23" s="4" t="n">
        <v>-672</v>
      </c>
      <c r="O23" s="4" t="n">
        <v>-637</v>
      </c>
      <c r="P23" s="4" t="n">
        <v>-637</v>
      </c>
    </row>
    <row r="24">
      <c r="A24" s="3" t="inlineStr">
        <is>
          <t>Accumulated Other Comprehensive Income (Loss)</t>
        </is>
      </c>
      <c r="B24" s="4" t="n">
        <v>-12189</v>
      </c>
      <c r="C24" s="4" t="n">
        <v>-12811</v>
      </c>
      <c r="D24" s="4" t="n">
        <v>-12506</v>
      </c>
      <c r="E24" s="4" t="n">
        <v>-12266</v>
      </c>
      <c r="F24" s="4" t="n">
        <v>-12220</v>
      </c>
      <c r="G24" s="4" t="n">
        <v>-12583</v>
      </c>
      <c r="H24" s="4" t="n">
        <v>-12167</v>
      </c>
      <c r="I24" s="4" t="n">
        <v>-12370</v>
      </c>
      <c r="J24" s="4" t="n">
        <v>-11900</v>
      </c>
      <c r="K24" s="4" t="n">
        <v>-10893</v>
      </c>
      <c r="L24" s="4" t="n">
        <v>-11637</v>
      </c>
      <c r="M24" s="4" t="n">
        <v>-11307</v>
      </c>
      <c r="N24" s="4" t="n">
        <v>-12143</v>
      </c>
      <c r="O24" s="4" t="n">
        <v>-12156</v>
      </c>
      <c r="P24" s="4" t="n">
        <v>-12108</v>
      </c>
    </row>
    <row r="25">
      <c r="A25" s="3" t="inlineStr">
        <is>
          <t>Treasury Stock</t>
        </is>
      </c>
      <c r="B25" s="4" t="n">
        <v>-123382</v>
      </c>
      <c r="C25" s="4" t="n">
        <v>-127205</v>
      </c>
      <c r="D25" s="4" t="n">
        <v>-129012</v>
      </c>
      <c r="E25" s="4" t="n">
        <v>-130002</v>
      </c>
      <c r="F25" s="4" t="n">
        <v>-129736</v>
      </c>
      <c r="G25" s="4" t="n">
        <v>-131029</v>
      </c>
      <c r="H25" s="4" t="n">
        <v>-131887</v>
      </c>
      <c r="I25" s="4" t="n">
        <v>-132172</v>
      </c>
      <c r="J25" s="4" t="n">
        <v>-133379</v>
      </c>
      <c r="K25" s="4" t="n">
        <v>-134823</v>
      </c>
      <c r="L25" s="4" t="n">
        <v>-137112</v>
      </c>
      <c r="M25" s="4" t="n">
        <v>-138073</v>
      </c>
      <c r="N25" s="4" t="n">
        <v>-138702</v>
      </c>
      <c r="O25" s="4" t="n">
        <v>-139845</v>
      </c>
      <c r="P25" s="4" t="n">
        <v>-141981</v>
      </c>
    </row>
    <row r="26">
      <c r="A26" s="3" t="inlineStr">
        <is>
          <t>Retained Earnings (Accumulated Deficit)</t>
        </is>
      </c>
      <c r="B26" s="4" t="n">
        <v>112429</v>
      </c>
      <c r="C26" s="4" t="n">
        <v>114163</v>
      </c>
      <c r="D26" s="4" t="n">
        <v>115858</v>
      </c>
      <c r="E26" s="4" t="n">
        <v>117082</v>
      </c>
      <c r="F26" s="4" t="n">
        <v>118170</v>
      </c>
      <c r="G26" s="4" t="n">
        <v>120443</v>
      </c>
      <c r="H26" s="4" t="n">
        <v>121617</v>
      </c>
      <c r="I26" s="4" t="n">
        <v>123132</v>
      </c>
      <c r="J26" s="4" t="n">
        <v>123811</v>
      </c>
      <c r="K26" s="4" t="n">
        <v>125361</v>
      </c>
      <c r="L26" s="4" t="n">
        <v>127544</v>
      </c>
      <c r="M26" s="4" t="n">
        <v>128919</v>
      </c>
      <c r="N26" s="4" t="n">
        <v>129973</v>
      </c>
      <c r="O26" s="4" t="n">
        <v>132212</v>
      </c>
      <c r="P26" s="4" t="n">
        <v>133981</v>
      </c>
    </row>
    <row r="27">
      <c r="A27" s="3" t="inlineStr">
        <is>
          <t>Noncontrolling Interest</t>
        </is>
      </c>
      <c r="B27" s="4" t="n">
        <v>265</v>
      </c>
      <c r="C27" s="4" t="n">
        <v>259</v>
      </c>
      <c r="D27" s="4" t="n">
        <v>270</v>
      </c>
      <c r="E27" s="4" t="n">
        <v>281</v>
      </c>
      <c r="F27" s="4" t="n">
        <v>288</v>
      </c>
      <c r="G27" s="4" t="n">
        <v>321</v>
      </c>
      <c r="H27" s="4" t="n">
        <v>294</v>
      </c>
      <c r="I27" s="4" t="n">
        <v>275</v>
      </c>
      <c r="J27" s="4" t="n">
        <v>272</v>
      </c>
      <c r="K27" s="4" t="n">
        <v>300</v>
      </c>
      <c r="L27" s="4" t="n">
        <v>275</v>
      </c>
      <c r="M27" s="4" t="n">
        <v>273</v>
      </c>
      <c r="N27" s="4" t="n">
        <v>272</v>
      </c>
      <c r="O27" s="4" t="n">
        <v>281</v>
      </c>
      <c r="P27" s="4" t="n">
        <v>276</v>
      </c>
    </row>
    <row r="28">
      <c r="A28" s="3" t="inlineStr">
        <is>
          <t>Total Stockholders' Equity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  <c r="P28" s="6">
        <f>SUM(P20:P27)</f>
        <v/>
      </c>
    </row>
    <row r="29">
      <c r="A29" s="3" t="inlineStr">
        <is>
          <t>Total Liabilities, Mezzanine &amp; Stockholders' Equity</t>
        </is>
      </c>
      <c r="B29" s="6">
        <f>B19+B28</f>
        <v/>
      </c>
      <c r="C29" s="6">
        <f>C19+C28</f>
        <v/>
      </c>
      <c r="D29" s="6">
        <f>D19+D28</f>
        <v/>
      </c>
      <c r="E29" s="6">
        <f>E19+E28</f>
        <v/>
      </c>
      <c r="F29" s="6">
        <f>F19+F28</f>
        <v/>
      </c>
      <c r="G29" s="6">
        <f>G19+G28</f>
        <v/>
      </c>
      <c r="H29" s="6">
        <f>H19+H28</f>
        <v/>
      </c>
      <c r="I29" s="6">
        <f>I19+I28</f>
        <v/>
      </c>
      <c r="J29" s="6">
        <f>J19+J28</f>
        <v/>
      </c>
      <c r="K29" s="6">
        <f>K19+K28</f>
        <v/>
      </c>
      <c r="L29" s="6">
        <f>L19+L28</f>
        <v/>
      </c>
      <c r="M29" s="6">
        <f>M19+M28</f>
        <v/>
      </c>
      <c r="N29" s="6">
        <f>N19+N28</f>
        <v/>
      </c>
      <c r="O29" s="6">
        <f>O19+O28</f>
        <v/>
      </c>
      <c r="P29" s="6">
        <f>P19+P28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Gain (Loss) on Extinguishment of Debt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A5" s="3" t="inlineStr">
        <is>
          <t>Stock-Based Compensation</t>
        </is>
      </c>
      <c r="B5" s="4" t="n">
        <v>116</v>
      </c>
      <c r="C5" s="4" t="n">
        <v>268</v>
      </c>
      <c r="D5" s="4" t="n">
        <v>398</v>
      </c>
      <c r="E5" s="4" t="n">
        <v>105</v>
      </c>
      <c r="F5" s="4" t="n">
        <v>250</v>
      </c>
      <c r="G5" s="4" t="n">
        <v>406</v>
      </c>
      <c r="H5" s="4" t="n">
        <v>125</v>
      </c>
      <c r="I5" s="4" t="n">
        <v>275</v>
      </c>
      <c r="J5" s="4" t="n">
        <v>433</v>
      </c>
      <c r="K5" s="4" t="n">
        <v>105</v>
      </c>
      <c r="L5" s="4" t="n">
        <v>241</v>
      </c>
      <c r="M5" s="4" t="n">
        <v>364</v>
      </c>
      <c r="N5" s="4" t="n">
        <v>121</v>
      </c>
      <c r="O5" s="4" t="n">
        <v>262</v>
      </c>
    </row>
    <row r="6">
      <c r="A6" s="3" t="inlineStr">
        <is>
          <t>(Benefit) Provision for Deferred Income Taxes</t>
        </is>
      </c>
      <c r="B6" s="4" t="n">
        <v>57</v>
      </c>
      <c r="C6" s="4" t="n">
        <v>-101</v>
      </c>
      <c r="D6" s="4" t="n">
        <v>-259</v>
      </c>
      <c r="E6" s="4" t="n">
        <v>-130</v>
      </c>
      <c r="F6" s="4" t="n">
        <v>-398</v>
      </c>
      <c r="G6" s="4" t="n">
        <v>-360</v>
      </c>
      <c r="H6" s="4" t="n">
        <v>102</v>
      </c>
      <c r="I6" s="4" t="n">
        <v>-154</v>
      </c>
      <c r="J6" s="4" t="n">
        <v>-206</v>
      </c>
      <c r="K6" s="4" t="n">
        <v>184</v>
      </c>
      <c r="L6" s="4" t="n">
        <v>221</v>
      </c>
      <c r="M6" s="4" t="n">
        <v>183</v>
      </c>
      <c r="N6" s="4" t="n">
        <v>53</v>
      </c>
      <c r="O6" s="4" t="n">
        <v>196</v>
      </c>
    </row>
    <row r="7">
      <c r="A7" s="3" t="inlineStr">
        <is>
          <t>Gain (Loss) on Disposal of PP&amp;E</t>
        </is>
      </c>
      <c r="B7" s="4" t="n">
        <v>-73</v>
      </c>
      <c r="C7" s="4" t="n">
        <v>-82</v>
      </c>
      <c r="D7" s="4" t="n">
        <v>-84</v>
      </c>
      <c r="E7" s="4" t="n">
        <v>-1</v>
      </c>
      <c r="F7" s="4" t="n">
        <v>-3</v>
      </c>
      <c r="G7" s="4" t="n">
        <v>-4</v>
      </c>
      <c r="H7" s="4" t="n">
        <v>-3</v>
      </c>
      <c r="I7" s="4" t="n">
        <v>-3</v>
      </c>
      <c r="J7" s="4" t="n">
        <v>-51</v>
      </c>
      <c r="K7" s="4" t="n">
        <v>794</v>
      </c>
      <c r="L7" s="4" t="n">
        <v>787</v>
      </c>
      <c r="M7" s="4" t="n">
        <v>782</v>
      </c>
      <c r="N7" s="4" t="n">
        <v>-3</v>
      </c>
      <c r="O7" s="4" t="n">
        <v>1</v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1341</v>
      </c>
      <c r="J8" s="4" t="n">
        <v>1341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s="3" t="inlineStr">
        <is>
          <t>Accounts Receivable</t>
        </is>
      </c>
      <c r="B9" s="4" t="n">
        <v>-1012</v>
      </c>
      <c r="C9" s="4" t="n">
        <v>-644</v>
      </c>
      <c r="D9" s="4" t="n">
        <v>-916</v>
      </c>
      <c r="E9" s="4" t="n">
        <v>-740</v>
      </c>
      <c r="F9" s="4" t="n">
        <v>-654</v>
      </c>
      <c r="G9" s="4" t="n">
        <v>-301</v>
      </c>
      <c r="H9" s="4" t="n">
        <v>-830</v>
      </c>
      <c r="I9" s="4" t="n">
        <v>-839</v>
      </c>
      <c r="J9" s="4" t="n">
        <v>-692</v>
      </c>
      <c r="K9" s="4" t="n">
        <v>-134</v>
      </c>
      <c r="L9" s="4" t="n">
        <v>-262</v>
      </c>
      <c r="M9" s="4" t="n">
        <v>-79</v>
      </c>
      <c r="N9" s="4" t="n">
        <v>-305</v>
      </c>
      <c r="O9" s="4" t="n">
        <v>-92</v>
      </c>
    </row>
    <row r="10">
      <c r="A10" s="3" t="inlineStr">
        <is>
          <t>Inventories</t>
        </is>
      </c>
      <c r="B10" s="4" t="n">
        <v>-409</v>
      </c>
      <c r="C10" s="4" t="n">
        <v>-840</v>
      </c>
      <c r="D10" s="4" t="n">
        <v>-1252</v>
      </c>
      <c r="E10" s="4" t="n">
        <v>-893</v>
      </c>
      <c r="F10" s="4" t="n">
        <v>-655</v>
      </c>
      <c r="G10" s="4" t="n">
        <v>-503</v>
      </c>
      <c r="H10" s="4" t="n">
        <v>-142</v>
      </c>
      <c r="I10" s="4" t="n">
        <v>-32</v>
      </c>
      <c r="J10" s="4" t="n">
        <v>-47</v>
      </c>
      <c r="K10" s="4" t="n">
        <v>-188</v>
      </c>
      <c r="L10" s="4" t="n">
        <v>-170</v>
      </c>
      <c r="M10" s="4" t="n">
        <v>-409</v>
      </c>
      <c r="N10" s="4" t="n">
        <v>-303</v>
      </c>
      <c r="O10" s="4" t="n">
        <v>-255</v>
      </c>
    </row>
    <row r="11">
      <c r="A11" s="3" t="inlineStr">
        <is>
          <t>Accounts Payable</t>
        </is>
      </c>
      <c r="B11" s="4" t="n">
        <v>1261</v>
      </c>
      <c r="C11" s="4" t="n">
        <v>1431</v>
      </c>
      <c r="D11" s="4" t="n">
        <v>1347</v>
      </c>
      <c r="E11" s="4" t="n">
        <v>1495</v>
      </c>
      <c r="F11" s="4" t="n">
        <v>177</v>
      </c>
      <c r="G11" s="4" t="n">
        <v>-609</v>
      </c>
      <c r="H11" s="4" t="n">
        <v>857</v>
      </c>
      <c r="I11" s="4" t="n">
        <v>302</v>
      </c>
      <c r="J11" s="4" t="n">
        <v>56</v>
      </c>
      <c r="K11" s="4" t="n">
        <v>-648</v>
      </c>
      <c r="L11" s="4" t="n">
        <v>-1157</v>
      </c>
      <c r="M11" s="4" t="n">
        <v>-1666</v>
      </c>
      <c r="N11" s="4" t="n">
        <v>648</v>
      </c>
      <c r="O11" s="4" t="n">
        <v>239</v>
      </c>
    </row>
    <row r="12">
      <c r="A12" s="3" t="inlineStr">
        <is>
          <t>Net Change in Other Working Capital</t>
        </is>
      </c>
      <c r="B12" s="4" t="n">
        <v>-178</v>
      </c>
      <c r="C12" s="4" t="n">
        <v>-84</v>
      </c>
      <c r="D12" s="4" t="n">
        <v>-131</v>
      </c>
      <c r="E12" s="4" t="n">
        <v>-454</v>
      </c>
      <c r="F12" s="4" t="n">
        <v>-535</v>
      </c>
      <c r="G12" s="4" t="n">
        <v>-839</v>
      </c>
      <c r="H12" s="4" t="n">
        <v>-671</v>
      </c>
      <c r="I12" s="4" t="n">
        <v>-704</v>
      </c>
      <c r="J12" s="4" t="n">
        <v>-1196</v>
      </c>
      <c r="K12" s="4" t="n">
        <v>-558</v>
      </c>
      <c r="L12" s="4" t="n">
        <v>-748</v>
      </c>
      <c r="M12" s="4" t="n">
        <v>-1125</v>
      </c>
      <c r="N12" s="4" t="n">
        <v>0</v>
      </c>
      <c r="O12" s="4" t="n">
        <v>0</v>
      </c>
    </row>
    <row r="13">
      <c r="A13" s="3" t="inlineStr">
        <is>
          <t>Other Operating Items</t>
        </is>
      </c>
      <c r="B13" s="4" t="n">
        <v>44</v>
      </c>
      <c r="C13" s="4" t="n">
        <v>53</v>
      </c>
      <c r="D13" s="4" t="n">
        <v>87</v>
      </c>
      <c r="E13" s="4" t="n">
        <v>62</v>
      </c>
      <c r="F13" s="4" t="n">
        <v>224</v>
      </c>
      <c r="G13" s="4" t="n">
        <v>363</v>
      </c>
      <c r="H13" s="4" t="n">
        <v>208</v>
      </c>
      <c r="I13" s="4" t="n">
        <v>346</v>
      </c>
      <c r="J13" s="4" t="n">
        <v>490</v>
      </c>
      <c r="K13" s="4" t="n">
        <v>32</v>
      </c>
      <c r="L13" s="4" t="n">
        <v>135</v>
      </c>
      <c r="M13" s="4" t="n">
        <v>218</v>
      </c>
      <c r="N13" s="4" t="n">
        <v>-344</v>
      </c>
      <c r="O13" s="4" t="n">
        <v>-645</v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  <c r="N14" s="6">
        <f>SUM(N2:N13)</f>
        <v/>
      </c>
      <c r="O14" s="6">
        <f>SUM(O2:O13)</f>
        <v/>
      </c>
    </row>
    <row r="15">
      <c r="A15" s="3" t="inlineStr">
        <is>
          <t>Purchase of PP&amp;E</t>
        </is>
      </c>
      <c r="B15" s="4" t="n">
        <v>-1091</v>
      </c>
      <c r="C15" s="4" t="n">
        <v>-1717</v>
      </c>
      <c r="D15" s="4" t="n">
        <v>-2464</v>
      </c>
      <c r="E15" s="4" t="n">
        <v>-890</v>
      </c>
      <c r="F15" s="4" t="n">
        <v>-1598</v>
      </c>
      <c r="G15" s="4" t="n">
        <v>-2328</v>
      </c>
      <c r="H15" s="4" t="n">
        <v>-925</v>
      </c>
      <c r="I15" s="4" t="n">
        <v>-1742</v>
      </c>
      <c r="J15" s="4" t="n">
        <v>-2539</v>
      </c>
      <c r="K15" s="4" t="n">
        <v>-993</v>
      </c>
      <c r="L15" s="4" t="n">
        <v>-1918</v>
      </c>
      <c r="M15" s="4" t="n">
        <v>-2777</v>
      </c>
      <c r="N15" s="4" t="n">
        <v>-1200</v>
      </c>
      <c r="O15" s="4" t="n">
        <v>-2367</v>
      </c>
    </row>
    <row r="16">
      <c r="A16" s="3" t="inlineStr">
        <is>
          <t>Proceeds from Sale of Assets</t>
        </is>
      </c>
      <c r="B16" s="4" t="n">
        <v>85</v>
      </c>
      <c r="C16" s="4" t="n">
        <v>97</v>
      </c>
      <c r="D16" s="4" t="n">
        <v>99</v>
      </c>
      <c r="E16" s="4" t="n">
        <v>5</v>
      </c>
      <c r="F16" s="4" t="n">
        <v>8</v>
      </c>
      <c r="G16" s="4" t="n">
        <v>9</v>
      </c>
      <c r="H16" s="4" t="n">
        <v>3</v>
      </c>
      <c r="I16" s="4" t="n">
        <v>8</v>
      </c>
      <c r="J16" s="4" t="n">
        <v>77</v>
      </c>
      <c r="K16" s="4" t="n">
        <v>45</v>
      </c>
      <c r="L16" s="4" t="n">
        <v>47</v>
      </c>
      <c r="M16" s="4" t="n">
        <v>64</v>
      </c>
      <c r="N16" s="4" t="n">
        <v>8</v>
      </c>
      <c r="O16" s="4" t="n">
        <v>16</v>
      </c>
    </row>
    <row r="17">
      <c r="A17" s="3" t="inlineStr">
        <is>
          <t>Acquisitions, Net of Cash Acquired</t>
        </is>
      </c>
      <c r="B17" s="4" t="n">
        <v>0</v>
      </c>
      <c r="C17" s="4" t="n">
        <v>-349</v>
      </c>
      <c r="D17" s="4" t="n">
        <v>-1381</v>
      </c>
      <c r="E17" s="4" t="n">
        <v>-2</v>
      </c>
      <c r="F17" s="4" t="n">
        <v>-76</v>
      </c>
      <c r="G17" s="4" t="n">
        <v>-714</v>
      </c>
      <c r="H17" s="4" t="n">
        <v>0</v>
      </c>
      <c r="I17" s="4" t="n">
        <v>0</v>
      </c>
      <c r="J17" s="4" t="n">
        <v>-21</v>
      </c>
      <c r="K17" s="4" t="n">
        <v>-6</v>
      </c>
      <c r="L17" s="4" t="n">
        <v>-6</v>
      </c>
      <c r="M17" s="4" t="n">
        <v>-11</v>
      </c>
      <c r="N17" s="4" t="n">
        <v>-5</v>
      </c>
      <c r="O17" s="4" t="n">
        <v>-5</v>
      </c>
    </row>
    <row r="18">
      <c r="A18" s="3" t="inlineStr">
        <is>
          <t>Net Change in Short-Term Investments</t>
        </is>
      </c>
      <c r="B18" s="4" t="n">
        <v>0</v>
      </c>
      <c r="C18" s="4" t="n">
        <v>0</v>
      </c>
      <c r="D18" s="4" t="n">
        <v>0</v>
      </c>
      <c r="E18" s="4" t="n">
        <v>55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</row>
    <row r="19">
      <c r="A19" s="3" t="inlineStr">
        <is>
          <t>Other Investing Activities</t>
        </is>
      </c>
      <c r="B19" s="4" t="n">
        <v>0</v>
      </c>
      <c r="C19" s="4" t="n">
        <v>3</v>
      </c>
      <c r="D19" s="4" t="n">
        <v>4</v>
      </c>
      <c r="E19" s="4" t="n">
        <v>0</v>
      </c>
      <c r="F19" s="4" t="n">
        <v>344</v>
      </c>
      <c r="G19" s="4" t="n">
        <v>331</v>
      </c>
      <c r="H19" s="4" t="n">
        <v>-300</v>
      </c>
      <c r="I19" s="4" t="n">
        <v>-489</v>
      </c>
      <c r="J19" s="4" t="n">
        <v>-503</v>
      </c>
      <c r="K19" s="4" t="n">
        <v>-154</v>
      </c>
      <c r="L19" s="4" t="n">
        <v>-153</v>
      </c>
      <c r="M19" s="4" t="n">
        <v>-33</v>
      </c>
      <c r="N19" s="4" t="n">
        <v>-338</v>
      </c>
      <c r="O19" s="4" t="n">
        <v>-408</v>
      </c>
    </row>
    <row r="20">
      <c r="A20" s="3" t="inlineStr">
        <is>
          <t>Cash Flow from Investing</t>
        </is>
      </c>
      <c r="B20" s="6">
        <f>SUM(B15:B19)</f>
        <v/>
      </c>
      <c r="C20" s="6">
        <f>SUM(C15:C19)</f>
        <v/>
      </c>
      <c r="D20" s="6">
        <f>SUM(D15:D19)</f>
        <v/>
      </c>
      <c r="E20" s="6">
        <f>SUM(E15:E19)</f>
        <v/>
      </c>
      <c r="F20" s="6">
        <f>SUM(F15:F19)</f>
        <v/>
      </c>
      <c r="G20" s="6">
        <f>SUM(G15:G19)</f>
        <v/>
      </c>
      <c r="H20" s="6">
        <f>SUM(H15:H19)</f>
        <v/>
      </c>
      <c r="I20" s="6">
        <f>SUM(I15:I19)</f>
        <v/>
      </c>
      <c r="J20" s="6">
        <f>SUM(J15:J19)</f>
        <v/>
      </c>
      <c r="K20" s="6">
        <f>SUM(K15:K19)</f>
        <v/>
      </c>
      <c r="L20" s="6">
        <f>SUM(L15:L19)</f>
        <v/>
      </c>
      <c r="M20" s="6">
        <f>SUM(M15:M19)</f>
        <v/>
      </c>
      <c r="N20" s="6">
        <f>SUM(N15:N19)</f>
        <v/>
      </c>
      <c r="O20" s="6">
        <f>SUM(O15:O19)</f>
        <v/>
      </c>
    </row>
    <row r="21">
      <c r="A21" s="3" t="inlineStr">
        <is>
          <t>Common Dividends</t>
        </is>
      </c>
      <c r="B21" s="4" t="n">
        <v>-2182</v>
      </c>
      <c r="C21" s="4" t="n">
        <v>-4353</v>
      </c>
      <c r="D21" s="4" t="n">
        <v>-6508</v>
      </c>
      <c r="E21" s="4" t="n">
        <v>-2255</v>
      </c>
      <c r="F21" s="4" t="n">
        <v>-4486</v>
      </c>
      <c r="G21" s="4" t="n">
        <v>-6710</v>
      </c>
      <c r="H21" s="4" t="n">
        <v>-2290</v>
      </c>
      <c r="I21" s="4" t="n">
        <v>-4578</v>
      </c>
      <c r="J21" s="4" t="n">
        <v>-6863</v>
      </c>
      <c r="K21" s="4" t="n">
        <v>-2445</v>
      </c>
      <c r="L21" s="4" t="n">
        <v>-4886</v>
      </c>
      <c r="M21" s="4" t="n">
        <v>-7319</v>
      </c>
      <c r="N21" s="4" t="n">
        <v>-2549</v>
      </c>
      <c r="O21" s="4" t="n">
        <v>-5093</v>
      </c>
    </row>
    <row r="22">
      <c r="A22" s="3" t="inlineStr">
        <is>
          <t>Proceeds from Short-Term Debt</t>
        </is>
      </c>
      <c r="B22" s="4" t="n">
        <v>1792</v>
      </c>
      <c r="C22" s="4" t="n">
        <v>6747</v>
      </c>
      <c r="D22" s="4" t="n">
        <v>10146</v>
      </c>
      <c r="E22" s="4" t="n">
        <v>2975</v>
      </c>
      <c r="F22" s="4" t="n">
        <v>10447</v>
      </c>
      <c r="G22" s="4" t="n">
        <v>13778</v>
      </c>
      <c r="H22" s="4" t="n">
        <v>2179</v>
      </c>
      <c r="I22" s="4" t="n">
        <v>2798</v>
      </c>
      <c r="J22" s="4" t="n">
        <v>2961</v>
      </c>
      <c r="K22" s="4" t="n">
        <v>4090</v>
      </c>
      <c r="L22" s="4" t="n">
        <v>5905</v>
      </c>
      <c r="M22" s="4" t="n">
        <v>5905</v>
      </c>
      <c r="N22" s="4" t="n">
        <v>1123</v>
      </c>
      <c r="O22" s="4" t="n">
        <v>4180</v>
      </c>
    </row>
    <row r="23">
      <c r="A23" s="3" t="inlineStr">
        <is>
          <t>Repayments of Short-Term Debt</t>
        </is>
      </c>
      <c r="B23" s="4" t="n">
        <v>-1422</v>
      </c>
      <c r="C23" s="4" t="n">
        <v>-1730</v>
      </c>
      <c r="D23" s="4" t="n">
        <v>-8163</v>
      </c>
      <c r="E23" s="4" t="n">
        <v>-265</v>
      </c>
      <c r="F23" s="4" t="n">
        <v>-3260</v>
      </c>
      <c r="G23" s="4" t="n">
        <v>-9134</v>
      </c>
      <c r="H23" s="4" t="n">
        <v>-1906</v>
      </c>
      <c r="I23" s="4" t="n">
        <v>-5862</v>
      </c>
      <c r="J23" s="4" t="n">
        <v>-7523</v>
      </c>
      <c r="K23" s="4" t="n">
        <v>-571</v>
      </c>
      <c r="L23" s="4" t="n">
        <v>-571</v>
      </c>
      <c r="M23" s="4" t="n">
        <v>-3781</v>
      </c>
      <c r="N23" s="4" t="n">
        <v>-1800</v>
      </c>
      <c r="O23" s="4" t="n">
        <v>-3270</v>
      </c>
    </row>
    <row r="24">
      <c r="A24" s="3" t="inlineStr">
        <is>
          <t>Net Change in Other Short-Term Debt</t>
        </is>
      </c>
      <c r="B24" s="4" t="n">
        <v>512</v>
      </c>
      <c r="C24" s="4" t="n">
        <v>-1124</v>
      </c>
      <c r="D24" s="4" t="n">
        <v>-849</v>
      </c>
      <c r="E24" s="4" t="n">
        <v>1727</v>
      </c>
      <c r="F24" s="4" t="n">
        <v>-1759</v>
      </c>
      <c r="G24" s="4" t="n">
        <v>-387</v>
      </c>
      <c r="H24" s="4" t="n">
        <v>2172</v>
      </c>
      <c r="I24" s="4" t="n">
        <v>3740</v>
      </c>
      <c r="J24" s="4" t="n">
        <v>2331</v>
      </c>
      <c r="K24" s="4" t="n">
        <v>-444</v>
      </c>
      <c r="L24" s="4" t="n">
        <v>-2705</v>
      </c>
      <c r="M24" s="4" t="n">
        <v>-543</v>
      </c>
      <c r="N24" s="4" t="n">
        <v>2108</v>
      </c>
      <c r="O24" s="4" t="n">
        <v>-471</v>
      </c>
    </row>
    <row r="25">
      <c r="A25" s="3" t="inlineStr">
        <is>
          <t>Proceeds from Issuance of Long-Term Debt</t>
        </is>
      </c>
      <c r="B25" s="4" t="n">
        <v>0</v>
      </c>
      <c r="C25" s="4" t="n">
        <v>2136</v>
      </c>
      <c r="D25" s="4" t="n">
        <v>4385</v>
      </c>
      <c r="E25" s="4" t="n">
        <v>0</v>
      </c>
      <c r="F25" s="4" t="n">
        <v>0</v>
      </c>
      <c r="G25" s="4" t="n">
        <v>2569</v>
      </c>
      <c r="H25" s="4" t="n">
        <v>0</v>
      </c>
      <c r="I25" s="4" t="n">
        <v>254</v>
      </c>
      <c r="J25" s="4" t="n">
        <v>1598</v>
      </c>
      <c r="K25" s="4" t="n">
        <v>0</v>
      </c>
      <c r="L25" s="4" t="n">
        <v>995</v>
      </c>
      <c r="M25" s="4" t="n">
        <v>995</v>
      </c>
      <c r="N25" s="4" t="n">
        <v>0</v>
      </c>
      <c r="O25" s="4" t="n">
        <v>2652</v>
      </c>
    </row>
    <row r="26">
      <c r="A26" s="3" t="inlineStr">
        <is>
          <t>Repayments of Long-Term Debt</t>
        </is>
      </c>
      <c r="B26" s="4" t="n">
        <v>-26</v>
      </c>
      <c r="C26" s="4" t="n">
        <v>-1673</v>
      </c>
      <c r="D26" s="4" t="n">
        <v>-2776</v>
      </c>
      <c r="E26" s="4" t="n">
        <v>-1877</v>
      </c>
      <c r="F26" s="4" t="n">
        <v>-1877</v>
      </c>
      <c r="G26" s="4" t="n">
        <v>-1877</v>
      </c>
      <c r="H26" s="4" t="n">
        <v>-1004</v>
      </c>
      <c r="I26" s="4" t="n">
        <v>-2335</v>
      </c>
      <c r="J26" s="4" t="n">
        <v>-2335</v>
      </c>
      <c r="K26" s="4" t="n">
        <v>-70</v>
      </c>
      <c r="L26" s="4" t="n">
        <v>-1478</v>
      </c>
      <c r="M26" s="4" t="n">
        <v>-1478</v>
      </c>
      <c r="N26" s="4" t="n">
        <v>-3</v>
      </c>
      <c r="O26" s="4" t="n">
        <v>-1005</v>
      </c>
    </row>
    <row r="27">
      <c r="A27" s="3" t="inlineStr">
        <is>
          <t>Share Repurchases</t>
        </is>
      </c>
      <c r="B27" s="4" t="n">
        <v>-2750</v>
      </c>
      <c r="C27" s="4" t="n">
        <v>-7504</v>
      </c>
      <c r="D27" s="4" t="n">
        <v>-8753</v>
      </c>
      <c r="E27" s="4" t="n">
        <v>-4000</v>
      </c>
      <c r="F27" s="4" t="n">
        <v>-6002</v>
      </c>
      <c r="G27" s="4" t="n">
        <v>-7353</v>
      </c>
      <c r="H27" s="4" t="n">
        <v>-1500</v>
      </c>
      <c r="I27" s="4" t="n">
        <v>-2503</v>
      </c>
      <c r="J27" s="4" t="n">
        <v>-3490</v>
      </c>
      <c r="K27" s="4" t="n">
        <v>-1939</v>
      </c>
      <c r="L27" s="4" t="n">
        <v>-4449</v>
      </c>
      <c r="M27" s="4" t="n">
        <v>-5800</v>
      </c>
      <c r="N27" s="4" t="n">
        <v>-1250</v>
      </c>
      <c r="O27" s="4" t="n">
        <v>-3528</v>
      </c>
    </row>
    <row r="28">
      <c r="A28" s="3" t="inlineStr">
        <is>
          <t>Stock Options &amp; Other Financing Activities</t>
        </is>
      </c>
      <c r="B28" s="4" t="n">
        <v>648</v>
      </c>
      <c r="C28" s="4" t="n">
        <v>1215</v>
      </c>
      <c r="D28" s="4" t="n">
        <v>1800</v>
      </c>
      <c r="E28" s="4" t="n">
        <v>188</v>
      </c>
      <c r="F28" s="4" t="n">
        <v>437</v>
      </c>
      <c r="G28" s="4" t="n">
        <v>861</v>
      </c>
      <c r="H28" s="4" t="n">
        <v>312</v>
      </c>
      <c r="I28" s="4" t="n">
        <v>397</v>
      </c>
      <c r="J28" s="4" t="n">
        <v>965</v>
      </c>
      <c r="K28" s="4" t="n">
        <v>745</v>
      </c>
      <c r="L28" s="4" t="n">
        <v>985</v>
      </c>
      <c r="M28" s="4" t="n">
        <v>1601</v>
      </c>
      <c r="N28" s="4" t="n">
        <v>134</v>
      </c>
      <c r="O28" s="4" t="n">
        <v>208</v>
      </c>
    </row>
    <row r="29">
      <c r="A29" s="3" t="inlineStr">
        <is>
          <t>Cash Flow from Financing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6">
        <f>SUM(L21:L28)</f>
        <v/>
      </c>
      <c r="M29" s="6">
        <f>SUM(M21:M28)</f>
        <v/>
      </c>
      <c r="N29" s="6">
        <f>SUM(N21:N28)</f>
        <v/>
      </c>
      <c r="O29" s="6">
        <f>SUM(O21:O28)</f>
        <v/>
      </c>
    </row>
    <row r="30">
      <c r="A30" s="3" t="inlineStr">
        <is>
          <t>FX Effect on Cash</t>
        </is>
      </c>
      <c r="B30" s="4" t="n">
        <v>-127</v>
      </c>
      <c r="C30" s="4" t="n">
        <v>-256</v>
      </c>
      <c r="D30" s="4" t="n">
        <v>-312</v>
      </c>
      <c r="E30" s="4" t="n">
        <v>-235</v>
      </c>
      <c r="F30" s="4" t="n">
        <v>-182</v>
      </c>
      <c r="G30" s="4" t="n">
        <v>-170</v>
      </c>
      <c r="H30" s="4" t="n">
        <v>-156</v>
      </c>
      <c r="I30" s="4" t="n">
        <v>-49</v>
      </c>
      <c r="J30" s="4" t="n">
        <v>-168</v>
      </c>
      <c r="K30" s="4" t="n">
        <v>116</v>
      </c>
      <c r="L30" s="4" t="n">
        <v>-144</v>
      </c>
      <c r="M30" s="4" t="n">
        <v>-22</v>
      </c>
      <c r="N30" s="4" t="n">
        <v>-20</v>
      </c>
      <c r="O30" s="4" t="n">
        <v>-21</v>
      </c>
    </row>
    <row r="31">
      <c r="A31" s="3" t="inlineStr">
        <is>
          <t>Net Change in Cash</t>
        </is>
      </c>
      <c r="B31" s="6">
        <f>B14+B20+B29+B30</f>
        <v/>
      </c>
      <c r="C31" s="6">
        <f>C14+C20+C29+C30</f>
        <v/>
      </c>
      <c r="D31" s="6">
        <f>D14+D20+D29+D30</f>
        <v/>
      </c>
      <c r="E31" s="6">
        <f>E14+E20+E29+E30</f>
        <v/>
      </c>
      <c r="F31" s="6">
        <f>F14+F20+F29+F30</f>
        <v/>
      </c>
      <c r="G31" s="6">
        <f>G14+G20+G29+G30</f>
        <v/>
      </c>
      <c r="H31" s="6">
        <f>H14+H20+H29+H30</f>
        <v/>
      </c>
      <c r="I31" s="6">
        <f>I14+I20+I29+I30</f>
        <v/>
      </c>
      <c r="J31" s="6">
        <f>J14+J20+J29+J30</f>
        <v/>
      </c>
      <c r="K31" s="6">
        <f>K14+K20+K29+K30</f>
        <v/>
      </c>
      <c r="L31" s="6">
        <f>L14+L20+L29+L30</f>
        <v/>
      </c>
      <c r="M31" s="6">
        <f>M14+M20+M29+M30</f>
        <v/>
      </c>
      <c r="N31" s="6">
        <f>N14+N20+N29+N30</f>
        <v/>
      </c>
      <c r="O31" s="6">
        <f>O14+O20+O29+O30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4">
        <f>'YTD P&amp;L'!O2-'YTD P&amp;L'!N2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4">
        <f>'YTD P&amp;L'!O3-'YTD P&amp;L'!N3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6">
        <f>'YTD P&amp;L'!O4-'YTD P&amp;L'!N4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4">
        <f>'YTD P&amp;L'!O5-'YTD P&amp;L'!N5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Impairment of Intangibles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4">
        <f>'YTD P&amp;L'!O6-'YTD P&amp;L'!N6</f>
        <v/>
      </c>
      <c r="T6" s="11">
        <f>'QTR P&amp;L'!T2*'IS DRIVERS'!U5</f>
        <v/>
      </c>
      <c r="U6" s="11">
        <f>'QTR P&amp;L'!U2*'IS DRIVERS'!V5</f>
        <v/>
      </c>
      <c r="V6" s="11">
        <f>'QTR P&amp;L'!V2*'IS DRIVERS'!W5</f>
        <v/>
      </c>
      <c r="W6" s="11">
        <f>'QTR P&amp;L'!W2*'IS DRIVERS'!X5</f>
        <v/>
      </c>
      <c r="X6" s="11">
        <f>'QTR P&amp;L'!X2*'IS DRIVERS'!Y5</f>
        <v/>
      </c>
      <c r="Y6" s="11">
        <f>'QTR P&amp;L'!Y2*'IS DRIVERS'!Z5</f>
        <v/>
      </c>
      <c r="Z6" s="11">
        <f>'QTR P&amp;L'!Z2*'IS DRIVERS'!AA5</f>
        <v/>
      </c>
      <c r="AA6" s="11">
        <f>'QTR P&amp;L'!AA2*'IS DRIVERS'!AB5</f>
        <v/>
      </c>
      <c r="AB6" s="11">
        <f>'QTR P&amp;L'!AB2*'IS DRIVERS'!AC5</f>
        <v/>
      </c>
      <c r="AC6" s="11">
        <f>'QTR P&amp;L'!AC2*'IS DRIVERS'!AD5</f>
        <v/>
      </c>
      <c r="AD6" s="11">
        <f>'QTR P&amp;L'!AD2*'IS DRIVERS'!AE5</f>
        <v/>
      </c>
      <c r="AE6" s="11">
        <f>'QTR P&amp;L'!AE2*'IS DRIVERS'!AF5</f>
        <v/>
      </c>
      <c r="AF6" s="11">
        <f>'QTR P&amp;L'!AF2*'IS DRIVERS'!AG5</f>
        <v/>
      </c>
      <c r="AG6" s="11">
        <f>'QTR P&amp;L'!AG2*'IS DRIVERS'!AH5</f>
        <v/>
      </c>
      <c r="AH6" s="11">
        <f>'QTR P&amp;L'!AH2*'IS DRIVERS'!AI5</f>
        <v/>
      </c>
      <c r="AI6" s="11">
        <f>'QTR P&amp;L'!AI2*'IS DRIVERS'!AJ5</f>
        <v/>
      </c>
      <c r="AJ6" s="11">
        <f>'QTR P&amp;L'!AJ2*'IS DRIVERS'!AK5</f>
        <v/>
      </c>
      <c r="AK6" s="11">
        <f>'QTR P&amp;L'!AK2*'IS DRIVERS'!AL5</f>
        <v/>
      </c>
      <c r="AL6" s="11">
        <f>'QTR P&amp;L'!AL2*'IS DRIVERS'!AM5</f>
        <v/>
      </c>
      <c r="AM6" s="11">
        <f>'QTR P&amp;L'!AM2*'IS DRIVERS'!AN5</f>
        <v/>
      </c>
      <c r="AN6" s="11">
        <f>'QTR P&amp;L'!AN2*'IS DRIVERS'!AO5</f>
        <v/>
      </c>
      <c r="AO6" s="11">
        <f>'QTR P&amp;L'!AO2*'IS DRIVERS'!AP5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6">
        <f>'YTD P&amp;L'!N7</f>
        <v/>
      </c>
      <c r="S7" s="6">
        <f>'YTD P&amp;L'!O7-'YTD P&amp;L'!N7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  <c r="AL7" s="7">
        <f>AL4+SUM(AL5:AL6)</f>
        <v/>
      </c>
      <c r="AM7" s="7">
        <f>AM4+SUM(AM5:AM6)</f>
        <v/>
      </c>
      <c r="AN7" s="7">
        <f>AN4+SUM(AN5:AN6)</f>
        <v/>
      </c>
      <c r="AO7" s="7">
        <f>AO4+SUM(AO5:AO6)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4">
        <f>'YTD P&amp;L'!N8</f>
        <v/>
      </c>
      <c r="S8" s="4">
        <f>'YTD P&amp;L'!O8-'YTD P&amp;L'!N8</f>
        <v/>
      </c>
      <c r="T8" s="11">
        <f>'IS DRIVERS'!U6</f>
        <v/>
      </c>
      <c r="U8" s="11">
        <f>'IS DRIVERS'!V6</f>
        <v/>
      </c>
      <c r="V8" s="11">
        <f>'IS DRIVERS'!W6</f>
        <v/>
      </c>
      <c r="W8" s="11">
        <f>'IS DRIVERS'!X6</f>
        <v/>
      </c>
      <c r="X8" s="11">
        <f>'IS DRIVERS'!Y6</f>
        <v/>
      </c>
      <c r="Y8" s="11">
        <f>'IS DRIVERS'!Z6</f>
        <v/>
      </c>
      <c r="Z8" s="11">
        <f>'IS DRIVERS'!AA6</f>
        <v/>
      </c>
      <c r="AA8" s="11">
        <f>'IS DRIVERS'!AB6</f>
        <v/>
      </c>
      <c r="AB8" s="11">
        <f>'IS DRIVERS'!AC6</f>
        <v/>
      </c>
      <c r="AC8" s="11">
        <f>'IS DRIVERS'!AD6</f>
        <v/>
      </c>
      <c r="AD8" s="11">
        <f>'IS DRIVERS'!AE6</f>
        <v/>
      </c>
      <c r="AE8" s="11">
        <f>'IS DRIVERS'!AF6</f>
        <v/>
      </c>
      <c r="AF8" s="11">
        <f>'IS DRIVERS'!AG6</f>
        <v/>
      </c>
      <c r="AG8" s="11">
        <f>'IS DRIVERS'!AH6</f>
        <v/>
      </c>
      <c r="AH8" s="11">
        <f>'IS DRIVERS'!AI6</f>
        <v/>
      </c>
      <c r="AI8" s="11">
        <f>'IS DRIVERS'!AJ6</f>
        <v/>
      </c>
      <c r="AJ8" s="11">
        <f>'IS DRIVERS'!AK6</f>
        <v/>
      </c>
      <c r="AK8" s="11">
        <f>'IS DRIVERS'!AL6</f>
        <v/>
      </c>
      <c r="AL8" s="11">
        <f>'IS DRIVERS'!AM6</f>
        <v/>
      </c>
      <c r="AM8" s="11">
        <f>'IS DRIVERS'!AN6</f>
        <v/>
      </c>
      <c r="AN8" s="11">
        <f>'IS DRIVERS'!AO6</f>
        <v/>
      </c>
      <c r="AO8" s="11">
        <f>'IS DRIVERS'!AP6</f>
        <v/>
      </c>
    </row>
    <row r="9">
      <c r="A9" s="3" t="inlineStr">
        <is>
          <t>Other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4">
        <f>'YTD P&amp;L'!O9-'YTD P&amp;L'!N9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Pre-Tax Income (Loss)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P&amp;L'!C10-'YTD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P&amp;L'!D10-'YTD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P&amp;L'!E10-'YTD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P&amp;L'!F10-'YTD P&amp;L'!M10</f>
        <v/>
      </c>
      <c r="R10" s="6">
        <f>'YTD P&amp;L'!N10</f>
        <v/>
      </c>
      <c r="S10" s="6">
        <f>'YTD P&amp;L'!O10-'YTD P&amp;L'!N10</f>
        <v/>
      </c>
      <c r="T10" s="7">
        <f>T7+SUM(T8:T9)</f>
        <v/>
      </c>
      <c r="U10" s="7">
        <f>U7+SUM(U8:U9)</f>
        <v/>
      </c>
      <c r="V10" s="7">
        <f>V7+SUM(V8:V9)</f>
        <v/>
      </c>
      <c r="W10" s="7">
        <f>W7+SUM(W8:W9)</f>
        <v/>
      </c>
      <c r="X10" s="7">
        <f>X7+SUM(X8:X9)</f>
        <v/>
      </c>
      <c r="Y10" s="7">
        <f>Y7+SUM(Y8:Y9)</f>
        <v/>
      </c>
      <c r="Z10" s="7">
        <f>Z7+SUM(Z8:Z9)</f>
        <v/>
      </c>
      <c r="AA10" s="7">
        <f>AA7+SUM(AA8:AA9)</f>
        <v/>
      </c>
      <c r="AB10" s="7">
        <f>AB7+SUM(AB8:AB9)</f>
        <v/>
      </c>
      <c r="AC10" s="7">
        <f>AC7+SUM(AC8:AC9)</f>
        <v/>
      </c>
      <c r="AD10" s="7">
        <f>AD7+SUM(AD8:AD9)</f>
        <v/>
      </c>
      <c r="AE10" s="7">
        <f>AE7+SUM(AE8:AE9)</f>
        <v/>
      </c>
      <c r="AF10" s="7">
        <f>AF7+SUM(AF8:AF9)</f>
        <v/>
      </c>
      <c r="AG10" s="7">
        <f>AG7+SUM(AG8:AG9)</f>
        <v/>
      </c>
      <c r="AH10" s="7">
        <f>AH7+SUM(AH8:AH9)</f>
        <v/>
      </c>
      <c r="AI10" s="7">
        <f>AI7+SUM(AI8:AI9)</f>
        <v/>
      </c>
      <c r="AJ10" s="7">
        <f>AJ7+SUM(AJ8:AJ9)</f>
        <v/>
      </c>
      <c r="AK10" s="7">
        <f>AK7+SUM(AK8:AK9)</f>
        <v/>
      </c>
      <c r="AL10" s="7">
        <f>AL7+SUM(AL8:AL9)</f>
        <v/>
      </c>
      <c r="AM10" s="7">
        <f>AM7+SUM(AM8:AM9)</f>
        <v/>
      </c>
      <c r="AN10" s="7">
        <f>AN7+SUM(AN8:AN9)</f>
        <v/>
      </c>
      <c r="AO10" s="7">
        <f>AO7+SUM(AO8:AO9)</f>
        <v/>
      </c>
    </row>
    <row r="11">
      <c r="A11" s="3" t="inlineStr">
        <is>
          <t>Income Tax (Expense) Benefit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P&amp;L'!C11-'YTD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P&amp;L'!D11-'YTD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P&amp;L'!E11-'YTD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P&amp;L'!F11-'YTD P&amp;L'!M11</f>
        <v/>
      </c>
      <c r="R11" s="4">
        <f>'YTD P&amp;L'!N11</f>
        <v/>
      </c>
      <c r="S11" s="4">
        <f>'YTD P&amp;L'!O11-'YTD P&amp;L'!N11</f>
        <v/>
      </c>
      <c r="T11" s="11">
        <f>'QTR P&amp;L'!T10*'IS DRIVERS'!U8</f>
        <v/>
      </c>
      <c r="U11" s="11">
        <f>'QTR P&amp;L'!U10*'IS DRIVERS'!V8</f>
        <v/>
      </c>
      <c r="V11" s="11">
        <f>'QTR P&amp;L'!V10*'IS DRIVERS'!W8</f>
        <v/>
      </c>
      <c r="W11" s="11">
        <f>'QTR P&amp;L'!W10*'IS DRIVERS'!X8</f>
        <v/>
      </c>
      <c r="X11" s="11">
        <f>'QTR P&amp;L'!X10*'IS DRIVERS'!Y8</f>
        <v/>
      </c>
      <c r="Y11" s="11">
        <f>'QTR P&amp;L'!Y10*'IS DRIVERS'!Z8</f>
        <v/>
      </c>
      <c r="Z11" s="11">
        <f>'QTR P&amp;L'!Z10*'IS DRIVERS'!AA8</f>
        <v/>
      </c>
      <c r="AA11" s="11">
        <f>'QTR P&amp;L'!AA10*'IS DRIVERS'!AB8</f>
        <v/>
      </c>
      <c r="AB11" s="11">
        <f>'QTR P&amp;L'!AB10*'IS DRIVERS'!AC8</f>
        <v/>
      </c>
      <c r="AC11" s="11">
        <f>'QTR P&amp;L'!AC10*'IS DRIVERS'!AD8</f>
        <v/>
      </c>
      <c r="AD11" s="11">
        <f>'QTR P&amp;L'!AD10*'IS DRIVERS'!AE8</f>
        <v/>
      </c>
      <c r="AE11" s="11">
        <f>'QTR P&amp;L'!AE10*'IS DRIVERS'!AF8</f>
        <v/>
      </c>
      <c r="AF11" s="11">
        <f>'QTR P&amp;L'!AF10*'IS DRIVERS'!AG8</f>
        <v/>
      </c>
      <c r="AG11" s="11">
        <f>'QTR P&amp;L'!AG10*'IS DRIVERS'!AH8</f>
        <v/>
      </c>
      <c r="AH11" s="11">
        <f>'QTR P&amp;L'!AH10*'IS DRIVERS'!AI8</f>
        <v/>
      </c>
      <c r="AI11" s="11">
        <f>'QTR P&amp;L'!AI10*'IS DRIVERS'!AJ8</f>
        <v/>
      </c>
      <c r="AJ11" s="11">
        <f>'QTR P&amp;L'!AJ10*'IS DRIVERS'!AK8</f>
        <v/>
      </c>
      <c r="AK11" s="11">
        <f>'QTR P&amp;L'!AK10*'IS DRIVERS'!AL8</f>
        <v/>
      </c>
      <c r="AL11" s="11">
        <f>'QTR P&amp;L'!AL10*'IS DRIVERS'!AM8</f>
        <v/>
      </c>
      <c r="AM11" s="11">
        <f>'QTR P&amp;L'!AM10*'IS DRIVERS'!AN8</f>
        <v/>
      </c>
      <c r="AN11" s="11">
        <f>'QTR P&amp;L'!AN10*'IS DRIVERS'!AO8</f>
        <v/>
      </c>
      <c r="AO11" s="11">
        <f>'QTR P&amp;L'!AO10*'IS DRIVERS'!AP8</f>
        <v/>
      </c>
    </row>
    <row r="12">
      <c r="A12" s="3" t="inlineStr">
        <is>
          <t>Net Income (Loss)</t>
        </is>
      </c>
      <c r="B12" s="6">
        <f>'YTD P&amp;L'!B12</f>
        <v/>
      </c>
      <c r="C12" s="6">
        <f>'YTD P&amp;L'!C12-'YTD P&amp;L'!B12</f>
        <v/>
      </c>
      <c r="D12" s="6">
        <f>'YTD P&amp;L'!D12-'YTD P&amp;L'!C12</f>
        <v/>
      </c>
      <c r="E12" s="6">
        <f>'ANNL P&amp;L'!C12-'YTD P&amp;L'!D12</f>
        <v/>
      </c>
      <c r="F12" s="6">
        <f>'YTD P&amp;L'!E12</f>
        <v/>
      </c>
      <c r="G12" s="6">
        <f>'YTD P&amp;L'!F12-'YTD P&amp;L'!E12</f>
        <v/>
      </c>
      <c r="H12" s="6">
        <f>'YTD P&amp;L'!G12-'YTD P&amp;L'!F12</f>
        <v/>
      </c>
      <c r="I12" s="6">
        <f>'ANNL P&amp;L'!D12-'YTD P&amp;L'!G12</f>
        <v/>
      </c>
      <c r="J12" s="6">
        <f>'YTD P&amp;L'!H12</f>
        <v/>
      </c>
      <c r="K12" s="6">
        <f>'YTD P&amp;L'!I12-'YTD P&amp;L'!H12</f>
        <v/>
      </c>
      <c r="L12" s="6">
        <f>'YTD P&amp;L'!J12-'YTD P&amp;L'!I12</f>
        <v/>
      </c>
      <c r="M12" s="6">
        <f>'ANNL P&amp;L'!E12-'YTD P&amp;L'!J12</f>
        <v/>
      </c>
      <c r="N12" s="6">
        <f>'YTD P&amp;L'!K12</f>
        <v/>
      </c>
      <c r="O12" s="6">
        <f>'YTD P&amp;L'!L12-'YTD P&amp;L'!K12</f>
        <v/>
      </c>
      <c r="P12" s="6">
        <f>'YTD P&amp;L'!M12-'YTD P&amp;L'!L12</f>
        <v/>
      </c>
      <c r="Q12" s="6">
        <f>'ANNL P&amp;L'!F12-'YTD P&amp;L'!M12</f>
        <v/>
      </c>
      <c r="R12" s="6">
        <f>'YTD P&amp;L'!N12</f>
        <v/>
      </c>
      <c r="S12" s="6">
        <f>'YTD P&amp;L'!O12-'YTD P&amp;L'!N12</f>
        <v/>
      </c>
      <c r="T12" s="7">
        <f>T10+T11</f>
        <v/>
      </c>
      <c r="U12" s="7">
        <f>U10+U11</f>
        <v/>
      </c>
      <c r="V12" s="7">
        <f>V10+V11</f>
        <v/>
      </c>
      <c r="W12" s="7">
        <f>W10+W11</f>
        <v/>
      </c>
      <c r="X12" s="7">
        <f>X10+X11</f>
        <v/>
      </c>
      <c r="Y12" s="7">
        <f>Y10+Y11</f>
        <v/>
      </c>
      <c r="Z12" s="7">
        <f>Z10+Z11</f>
        <v/>
      </c>
      <c r="AA12" s="7">
        <f>AA10+AA11</f>
        <v/>
      </c>
      <c r="AB12" s="7">
        <f>AB10+AB11</f>
        <v/>
      </c>
      <c r="AC12" s="7">
        <f>AC10+AC11</f>
        <v/>
      </c>
      <c r="AD12" s="7">
        <f>AD10+AD11</f>
        <v/>
      </c>
      <c r="AE12" s="7">
        <f>AE10+AE11</f>
        <v/>
      </c>
      <c r="AF12" s="7">
        <f>AF10+AF11</f>
        <v/>
      </c>
      <c r="AG12" s="7">
        <f>AG10+AG11</f>
        <v/>
      </c>
      <c r="AH12" s="7">
        <f>AH10+AH11</f>
        <v/>
      </c>
      <c r="AI12" s="7">
        <f>AI10+AI11</f>
        <v/>
      </c>
      <c r="AJ12" s="7">
        <f>AJ10+AJ11</f>
        <v/>
      </c>
      <c r="AK12" s="7">
        <f>AK10+AK11</f>
        <v/>
      </c>
      <c r="AL12" s="7">
        <f>AL10+AL11</f>
        <v/>
      </c>
      <c r="AM12" s="7">
        <f>AM10+AM11</f>
        <v/>
      </c>
      <c r="AN12" s="7">
        <f>AN10+AN11</f>
        <v/>
      </c>
      <c r="AO12" s="7">
        <f>AO10+AO11</f>
        <v/>
      </c>
    </row>
    <row r="13">
      <c r="A13" s="3" t="inlineStr">
        <is>
          <t>Net Income (Loss) Attributable to Noncontrolling Interest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P&amp;L'!C13-'YTD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P&amp;L'!D13-'YTD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P&amp;L'!E13-'YTD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P&amp;L'!F13-'YTD P&amp;L'!M13</f>
        <v/>
      </c>
      <c r="R13" s="4">
        <f>'YTD P&amp;L'!N13</f>
        <v/>
      </c>
      <c r="S13" s="4">
        <f>'YTD P&amp;L'!O13-'YTD P&amp;L'!N13</f>
        <v/>
      </c>
      <c r="T13" s="11">
        <f>'IS DRIVERS'!U9</f>
        <v/>
      </c>
      <c r="U13" s="11">
        <f>'IS DRIVERS'!V9</f>
        <v/>
      </c>
      <c r="V13" s="11">
        <f>'IS DRIVERS'!W9</f>
        <v/>
      </c>
      <c r="W13" s="11">
        <f>'IS DRIVERS'!X9</f>
        <v/>
      </c>
      <c r="X13" s="11">
        <f>'IS DRIVERS'!Y9</f>
        <v/>
      </c>
      <c r="Y13" s="11">
        <f>'IS DRIVERS'!Z9</f>
        <v/>
      </c>
      <c r="Z13" s="11">
        <f>'IS DRIVERS'!AA9</f>
        <v/>
      </c>
      <c r="AA13" s="11">
        <f>'IS DRIVERS'!AB9</f>
        <v/>
      </c>
      <c r="AB13" s="11">
        <f>'IS DRIVERS'!AC9</f>
        <v/>
      </c>
      <c r="AC13" s="11">
        <f>'IS DRIVERS'!AD9</f>
        <v/>
      </c>
      <c r="AD13" s="11">
        <f>'IS DRIVERS'!AE9</f>
        <v/>
      </c>
      <c r="AE13" s="11">
        <f>'IS DRIVERS'!AF9</f>
        <v/>
      </c>
      <c r="AF13" s="11">
        <f>'IS DRIVERS'!AG9</f>
        <v/>
      </c>
      <c r="AG13" s="11">
        <f>'IS DRIVERS'!AH9</f>
        <v/>
      </c>
      <c r="AH13" s="11">
        <f>'IS DRIVERS'!AI9</f>
        <v/>
      </c>
      <c r="AI13" s="11">
        <f>'IS DRIVERS'!AJ9</f>
        <v/>
      </c>
      <c r="AJ13" s="11">
        <f>'IS DRIVERS'!AK9</f>
        <v/>
      </c>
      <c r="AK13" s="11">
        <f>'IS DRIVERS'!AL9</f>
        <v/>
      </c>
      <c r="AL13" s="11">
        <f>'IS DRIVERS'!AM9</f>
        <v/>
      </c>
      <c r="AM13" s="11">
        <f>'IS DRIVERS'!AN9</f>
        <v/>
      </c>
      <c r="AN13" s="11">
        <f>'IS DRIVERS'!AO9</f>
        <v/>
      </c>
      <c r="AO13" s="11">
        <f>'IS DRIVERS'!AP9</f>
        <v/>
      </c>
    </row>
    <row r="14">
      <c r="A14" s="3" t="inlineStr">
        <is>
          <t>Net Income (Loss) Less NCI</t>
        </is>
      </c>
      <c r="B14" s="6">
        <f>'YTD P&amp;L'!B14</f>
        <v/>
      </c>
      <c r="C14" s="6">
        <f>'YTD P&amp;L'!C14-'YTD P&amp;L'!B14</f>
        <v/>
      </c>
      <c r="D14" s="6">
        <f>'YTD P&amp;L'!D14-'YTD P&amp;L'!C14</f>
        <v/>
      </c>
      <c r="E14" s="6">
        <f>'ANNL P&amp;L'!C14-'YTD P&amp;L'!D14</f>
        <v/>
      </c>
      <c r="F14" s="6">
        <f>'YTD P&amp;L'!E14</f>
        <v/>
      </c>
      <c r="G14" s="6">
        <f>'YTD P&amp;L'!F14-'YTD P&amp;L'!E14</f>
        <v/>
      </c>
      <c r="H14" s="6">
        <f>'YTD P&amp;L'!G14-'YTD P&amp;L'!F14</f>
        <v/>
      </c>
      <c r="I14" s="6">
        <f>'ANNL P&amp;L'!D14-'YTD P&amp;L'!G14</f>
        <v/>
      </c>
      <c r="J14" s="6">
        <f>'YTD P&amp;L'!H14</f>
        <v/>
      </c>
      <c r="K14" s="6">
        <f>'YTD P&amp;L'!I14-'YTD P&amp;L'!H14</f>
        <v/>
      </c>
      <c r="L14" s="6">
        <f>'YTD P&amp;L'!J14-'YTD P&amp;L'!I14</f>
        <v/>
      </c>
      <c r="M14" s="6">
        <f>'ANNL P&amp;L'!E14-'YTD P&amp;L'!J14</f>
        <v/>
      </c>
      <c r="N14" s="6">
        <f>'YTD P&amp;L'!K14</f>
        <v/>
      </c>
      <c r="O14" s="6">
        <f>'YTD P&amp;L'!L14-'YTD P&amp;L'!K14</f>
        <v/>
      </c>
      <c r="P14" s="6">
        <f>'YTD P&amp;L'!M14-'YTD P&amp;L'!L14</f>
        <v/>
      </c>
      <c r="Q14" s="6">
        <f>'ANNL P&amp;L'!F14-'YTD P&amp;L'!M14</f>
        <v/>
      </c>
      <c r="R14" s="6">
        <f>'YTD P&amp;L'!N14</f>
        <v/>
      </c>
      <c r="S14" s="6">
        <f>'YTD P&amp;L'!O14-'YTD P&amp;L'!N14</f>
        <v/>
      </c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3" t="inlineStr">
        <is>
          <t>Basic Earnings (Loss) per Share</t>
        </is>
      </c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Diluted Earnings (Loss) per Share</t>
        </is>
      </c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Weighted Average Shares Outstanding (Basic)</t>
        </is>
      </c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  <c r="Q3" s="11">
        <f>'QTR P&amp;L'!T2*'BS DRIVERS'!Q3/ASSUMPTIONS!$B$2</f>
        <v/>
      </c>
      <c r="R3" s="11">
        <f>'QTR P&amp;L'!U2*'BS DRIVERS'!R3/ASSUMPTIONS!$B$2</f>
        <v/>
      </c>
      <c r="S3" s="11">
        <f>'QTR P&amp;L'!V2*'BS DRIVERS'!S3/ASSUMPTIONS!$B$2</f>
        <v/>
      </c>
      <c r="T3" s="11">
        <f>'QTR P&amp;L'!W2*'BS DRIVERS'!T3/ASSUMPTIONS!$B$2</f>
        <v/>
      </c>
      <c r="U3" s="11">
        <f>'QTR P&amp;L'!X2*'BS DRIVERS'!U3/ASSUMPTIONS!$B$2</f>
        <v/>
      </c>
      <c r="V3" s="11">
        <f>'QTR P&amp;L'!Y2*'BS DRIVERS'!V3/ASSUMPTIONS!$B$2</f>
        <v/>
      </c>
      <c r="W3" s="11">
        <f>'QTR P&amp;L'!Z2*'BS DRIVERS'!W3/ASSUMPTIONS!$B$2</f>
        <v/>
      </c>
      <c r="X3" s="11">
        <f>'QTR P&amp;L'!AA2*'BS DRIVERS'!X3/ASSUMPTIONS!$B$2</f>
        <v/>
      </c>
      <c r="Y3" s="11">
        <f>'QTR P&amp;L'!AB2*'BS DRIVERS'!Y3/ASSUMPTIONS!$B$2</f>
        <v/>
      </c>
      <c r="Z3" s="11">
        <f>'QTR P&amp;L'!AC2*'BS DRIVERS'!Z3/ASSUMPTIONS!$B$2</f>
        <v/>
      </c>
      <c r="AA3" s="11">
        <f>'QTR P&amp;L'!AD2*'BS DRIVERS'!AA3/ASSUMPTIONS!$B$2</f>
        <v/>
      </c>
      <c r="AB3" s="11">
        <f>'QTR P&amp;L'!AE2*'BS DRIVERS'!AB3/ASSUMPTIONS!$B$2</f>
        <v/>
      </c>
      <c r="AC3" s="11">
        <f>'QTR P&amp;L'!AF2*'BS DRIVERS'!AC3/ASSUMPTIONS!$B$2</f>
        <v/>
      </c>
      <c r="AD3" s="11">
        <f>'QTR P&amp;L'!AG2*'BS DRIVERS'!AD3/ASSUMPTIONS!$B$2</f>
        <v/>
      </c>
      <c r="AE3" s="11">
        <f>'QTR P&amp;L'!AH2*'BS DRIVERS'!AE3/ASSUMPTIONS!$B$2</f>
        <v/>
      </c>
      <c r="AF3" s="11">
        <f>'QTR P&amp;L'!AI2*'BS DRIVERS'!AF3/ASSUMPTIONS!$B$2</f>
        <v/>
      </c>
      <c r="AG3" s="11">
        <f>'QTR P&amp;L'!AJ2*'BS DRIVERS'!AG3/ASSUMPTIONS!$B$2</f>
        <v/>
      </c>
      <c r="AH3" s="11">
        <f>'QTR P&amp;L'!AK2*'BS DRIVERS'!AH3/ASSUMPTIONS!$B$2</f>
        <v/>
      </c>
      <c r="AI3" s="11">
        <f>'QTR P&amp;L'!AL2*'BS DRIVERS'!AI3/ASSUMPTIONS!$B$2</f>
        <v/>
      </c>
      <c r="AJ3" s="11">
        <f>'QTR P&amp;L'!AM2*'BS DRIVERS'!AJ3/ASSUMPTIONS!$B$2</f>
        <v/>
      </c>
      <c r="AK3" s="11">
        <f>'QTR P&amp;L'!AN2*'BS DRIVERS'!AK3/ASSUMPTIONS!$B$2</f>
        <v/>
      </c>
      <c r="AL3" s="11">
        <f>'QTR P&amp;L'!AO2*'BS DRIVERS'!AL3/ASSUMPTIONS!$B$2</f>
        <v/>
      </c>
    </row>
    <row r="4">
      <c r="A4" s="3" t="inlineStr">
        <is>
          <t>Inventories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  <c r="Q4" s="11">
        <f>'QTR P&amp;L'!T3*'BS DRIVERS'!Q4/ASSUMPTIONS!$B$2</f>
        <v/>
      </c>
      <c r="R4" s="11">
        <f>'QTR P&amp;L'!U3*'BS DRIVERS'!R4/ASSUMPTIONS!$B$2</f>
        <v/>
      </c>
      <c r="S4" s="11">
        <f>'QTR P&amp;L'!V3*'BS DRIVERS'!S4/ASSUMPTIONS!$B$2</f>
        <v/>
      </c>
      <c r="T4" s="11">
        <f>'QTR P&amp;L'!W3*'BS DRIVERS'!T4/ASSUMPTIONS!$B$2</f>
        <v/>
      </c>
      <c r="U4" s="11">
        <f>'QTR P&amp;L'!X3*'BS DRIVERS'!U4/ASSUMPTIONS!$B$2</f>
        <v/>
      </c>
      <c r="V4" s="11">
        <f>'QTR P&amp;L'!Y3*'BS DRIVERS'!V4/ASSUMPTIONS!$B$2</f>
        <v/>
      </c>
      <c r="W4" s="11">
        <f>'QTR P&amp;L'!Z3*'BS DRIVERS'!W4/ASSUMPTIONS!$B$2</f>
        <v/>
      </c>
      <c r="X4" s="11">
        <f>'QTR P&amp;L'!AA3*'BS DRIVERS'!X4/ASSUMPTIONS!$B$2</f>
        <v/>
      </c>
      <c r="Y4" s="11">
        <f>'QTR P&amp;L'!AB3*'BS DRIVERS'!Y4/ASSUMPTIONS!$B$2</f>
        <v/>
      </c>
      <c r="Z4" s="11">
        <f>'QTR P&amp;L'!AC3*'BS DRIVERS'!Z4/ASSUMPTIONS!$B$2</f>
        <v/>
      </c>
      <c r="AA4" s="11">
        <f>'QTR P&amp;L'!AD3*'BS DRIVERS'!AA4/ASSUMPTIONS!$B$2</f>
        <v/>
      </c>
      <c r="AB4" s="11">
        <f>'QTR P&amp;L'!AE3*'BS DRIVERS'!AB4/ASSUMPTIONS!$B$2</f>
        <v/>
      </c>
      <c r="AC4" s="11">
        <f>'QTR P&amp;L'!AF3*'BS DRIVERS'!AC4/ASSUMPTIONS!$B$2</f>
        <v/>
      </c>
      <c r="AD4" s="11">
        <f>'QTR P&amp;L'!AG3*'BS DRIVERS'!AD4/ASSUMPTIONS!$B$2</f>
        <v/>
      </c>
      <c r="AE4" s="11">
        <f>'QTR P&amp;L'!AH3*'BS DRIVERS'!AE4/ASSUMPTIONS!$B$2</f>
        <v/>
      </c>
      <c r="AF4" s="11">
        <f>'QTR P&amp;L'!AI3*'BS DRIVERS'!AF4/ASSUMPTIONS!$B$2</f>
        <v/>
      </c>
      <c r="AG4" s="11">
        <f>'QTR P&amp;L'!AJ3*'BS DRIVERS'!AG4/ASSUMPTIONS!$B$2</f>
        <v/>
      </c>
      <c r="AH4" s="11">
        <f>'QTR P&amp;L'!AK3*'BS DRIVERS'!AH4/ASSUMPTIONS!$B$2</f>
        <v/>
      </c>
      <c r="AI4" s="11">
        <f>'QTR P&amp;L'!AL3*'BS DRIVERS'!AI4/ASSUMPTIONS!$B$2</f>
        <v/>
      </c>
      <c r="AJ4" s="11">
        <f>'QTR P&amp;L'!AM3*'BS DRIVERS'!AJ4/ASSUMPTIONS!$B$2</f>
        <v/>
      </c>
      <c r="AK4" s="11">
        <f>'QTR P&amp;L'!AN3*'BS DRIVERS'!AK4/ASSUMPTIONS!$B$2</f>
        <v/>
      </c>
      <c r="AL4" s="11">
        <f>'QTR P&amp;L'!AO3*'BS DRIVERS'!AL4/ASSUMPTIONS!$B$2</f>
        <v/>
      </c>
    </row>
    <row r="5">
      <c r="A5" s="3" t="inlineStr">
        <is>
          <t>Prepaid Expenses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  <c r="Q5" s="11">
        <f>'QTR P&amp;L'!T2*'BS DRIVERS'!Q5</f>
        <v/>
      </c>
      <c r="R5" s="11">
        <f>'QTR P&amp;L'!U2*'BS DRIVERS'!R5</f>
        <v/>
      </c>
      <c r="S5" s="11">
        <f>'QTR P&amp;L'!V2*'BS DRIVERS'!S5</f>
        <v/>
      </c>
      <c r="T5" s="11">
        <f>'QTR P&amp;L'!W2*'BS DRIVERS'!T5</f>
        <v/>
      </c>
      <c r="U5" s="11">
        <f>'QTR P&amp;L'!X2*'BS DRIVERS'!U5</f>
        <v/>
      </c>
      <c r="V5" s="11">
        <f>'QTR P&amp;L'!Y2*'BS DRIVERS'!V5</f>
        <v/>
      </c>
      <c r="W5" s="11">
        <f>'QTR P&amp;L'!Z2*'BS DRIVERS'!W5</f>
        <v/>
      </c>
      <c r="X5" s="11">
        <f>'QTR P&amp;L'!AA2*'BS DRIVERS'!X5</f>
        <v/>
      </c>
      <c r="Y5" s="11">
        <f>'QTR P&amp;L'!AB2*'BS DRIVERS'!Y5</f>
        <v/>
      </c>
      <c r="Z5" s="11">
        <f>'QTR P&amp;L'!AC2*'BS DRIVERS'!Z5</f>
        <v/>
      </c>
      <c r="AA5" s="11">
        <f>'QTR P&amp;L'!AD2*'BS DRIVERS'!AA5</f>
        <v/>
      </c>
      <c r="AB5" s="11">
        <f>'QTR P&amp;L'!AE2*'BS DRIVERS'!AB5</f>
        <v/>
      </c>
      <c r="AC5" s="11">
        <f>'QTR P&amp;L'!AF2*'BS DRIVERS'!AC5</f>
        <v/>
      </c>
      <c r="AD5" s="11">
        <f>'QTR P&amp;L'!AG2*'BS DRIVERS'!AD5</f>
        <v/>
      </c>
      <c r="AE5" s="11">
        <f>'QTR P&amp;L'!AH2*'BS DRIVERS'!AE5</f>
        <v/>
      </c>
      <c r="AF5" s="11">
        <f>'QTR P&amp;L'!AI2*'BS DRIVERS'!AF5</f>
        <v/>
      </c>
      <c r="AG5" s="11">
        <f>'QTR P&amp;L'!AJ2*'BS DRIVERS'!AG5</f>
        <v/>
      </c>
      <c r="AH5" s="11">
        <f>'QTR P&amp;L'!AK2*'BS DRIVERS'!AH5</f>
        <v/>
      </c>
      <c r="AI5" s="11">
        <f>'QTR P&amp;L'!AL2*'BS DRIVERS'!AI5</f>
        <v/>
      </c>
      <c r="AJ5" s="11">
        <f>'QTR P&amp;L'!AM2*'BS DRIVERS'!AJ5</f>
        <v/>
      </c>
      <c r="AK5" s="11">
        <f>'QTR P&amp;L'!AN2*'BS DRIVERS'!AK5</f>
        <v/>
      </c>
      <c r="AL5" s="11">
        <f>'QTR P&amp;L'!AO2*'BS DRIVERS'!AL5</f>
        <v/>
      </c>
    </row>
    <row r="6">
      <c r="A6" s="3" t="inlineStr">
        <is>
          <t>Total Current Assets</t>
        </is>
      </c>
      <c r="B6" s="6">
        <f>'BALANCE SHEET'!B6</f>
        <v/>
      </c>
      <c r="C6" s="6">
        <f>'YTD BS'!C6</f>
        <v/>
      </c>
      <c r="D6" s="6">
        <f>'YTD BS'!D6</f>
        <v/>
      </c>
      <c r="E6" s="6">
        <f>'YTD BS'!E6</f>
        <v/>
      </c>
      <c r="F6" s="6">
        <f>'BALANCE SHEET'!C6</f>
        <v/>
      </c>
      <c r="G6" s="6">
        <f>'YTD BS'!G6</f>
        <v/>
      </c>
      <c r="H6" s="6">
        <f>'YTD BS'!H6</f>
        <v/>
      </c>
      <c r="I6" s="6">
        <f>'YTD BS'!I6</f>
        <v/>
      </c>
      <c r="J6" s="6">
        <f>'BALANCE SHEET'!D6</f>
        <v/>
      </c>
      <c r="K6" s="6">
        <f>'YTD BS'!K6</f>
        <v/>
      </c>
      <c r="L6" s="6">
        <f>'YTD BS'!L6</f>
        <v/>
      </c>
      <c r="M6" s="6">
        <f>'YTD BS'!M6</f>
        <v/>
      </c>
      <c r="N6" s="6">
        <f>'BALANCE SHEET'!E6</f>
        <v/>
      </c>
      <c r="O6" s="6">
        <f>'YTD BS'!O6</f>
        <v/>
      </c>
      <c r="P6" s="6">
        <f>'YTD BS'!P6</f>
        <v/>
      </c>
      <c r="Q6" s="7">
        <f>SUM(Q2:Q5)</f>
        <v/>
      </c>
      <c r="R6" s="7">
        <f>SUM(R2:R5)</f>
        <v/>
      </c>
      <c r="S6" s="7">
        <f>SUM(S2:S5)</f>
        <v/>
      </c>
      <c r="T6" s="7">
        <f>SUM(T2:T5)</f>
        <v/>
      </c>
      <c r="U6" s="7">
        <f>SUM(U2:U5)</f>
        <v/>
      </c>
      <c r="V6" s="7">
        <f>SUM(V2:V5)</f>
        <v/>
      </c>
      <c r="W6" s="7">
        <f>SUM(W2:W5)</f>
        <v/>
      </c>
      <c r="X6" s="7">
        <f>SUM(X2:X5)</f>
        <v/>
      </c>
      <c r="Y6" s="7">
        <f>SUM(Y2:Y5)</f>
        <v/>
      </c>
      <c r="Z6" s="7">
        <f>SUM(Z2:Z5)</f>
        <v/>
      </c>
      <c r="AA6" s="7">
        <f>SUM(AA2:AA5)</f>
        <v/>
      </c>
      <c r="AB6" s="7">
        <f>SUM(AB2:AB5)</f>
        <v/>
      </c>
      <c r="AC6" s="7">
        <f>SUM(AC2:AC5)</f>
        <v/>
      </c>
      <c r="AD6" s="7">
        <f>SUM(AD2:AD5)</f>
        <v/>
      </c>
      <c r="AE6" s="7">
        <f>SUM(AE2:AE5)</f>
        <v/>
      </c>
      <c r="AF6" s="7">
        <f>SUM(AF2:AF5)</f>
        <v/>
      </c>
      <c r="AG6" s="7">
        <f>SUM(AG2:AG5)</f>
        <v/>
      </c>
      <c r="AH6" s="7">
        <f>SUM(AH2:AH5)</f>
        <v/>
      </c>
      <c r="AI6" s="7">
        <f>SUM(AI2:AI5)</f>
        <v/>
      </c>
      <c r="AJ6" s="7">
        <f>SUM(AJ2:AJ5)</f>
        <v/>
      </c>
      <c r="AK6" s="7">
        <f>SUM(AK2:AK5)</f>
        <v/>
      </c>
      <c r="AL6" s="7">
        <f>SUM(AL2:AL5)</f>
        <v/>
      </c>
    </row>
    <row r="7">
      <c r="A7" s="3" t="inlineStr">
        <is>
          <t>Net PP&amp;E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4">
        <f>'YTD BS'!O7</f>
        <v/>
      </c>
      <c r="P7" s="4">
        <f>'YTD BS'!P7</f>
        <v/>
      </c>
      <c r="Q7" s="11">
        <f>'BS DRIVERS'!Q6</f>
        <v/>
      </c>
      <c r="R7" s="11">
        <f>'BS DRIVERS'!R6</f>
        <v/>
      </c>
      <c r="S7" s="11">
        <f>'BS DRIVERS'!S6</f>
        <v/>
      </c>
      <c r="T7" s="11">
        <f>'BS DRIVERS'!T6</f>
        <v/>
      </c>
      <c r="U7" s="11">
        <f>'BS DRIVERS'!U6</f>
        <v/>
      </c>
      <c r="V7" s="11">
        <f>'BS DRIVERS'!V6</f>
        <v/>
      </c>
      <c r="W7" s="11">
        <f>'BS DRIVERS'!W6</f>
        <v/>
      </c>
      <c r="X7" s="11">
        <f>'BS DRIVERS'!X6</f>
        <v/>
      </c>
      <c r="Y7" s="11">
        <f>'BS DRIVERS'!Y6</f>
        <v/>
      </c>
      <c r="Z7" s="11">
        <f>'BS DRIVERS'!Z6</f>
        <v/>
      </c>
      <c r="AA7" s="11">
        <f>'BS DRIVERS'!AA6</f>
        <v/>
      </c>
      <c r="AB7" s="11">
        <f>'BS DRIVERS'!AB6</f>
        <v/>
      </c>
      <c r="AC7" s="11">
        <f>'BS DRIVERS'!AC6</f>
        <v/>
      </c>
      <c r="AD7" s="11">
        <f>'BS DRIVERS'!AD6</f>
        <v/>
      </c>
      <c r="AE7" s="11">
        <f>'BS DRIVERS'!AE6</f>
        <v/>
      </c>
      <c r="AF7" s="11">
        <f>'BS DRIVERS'!AF6</f>
        <v/>
      </c>
      <c r="AG7" s="11">
        <f>'BS DRIVERS'!AG6</f>
        <v/>
      </c>
      <c r="AH7" s="11">
        <f>'BS DRIVERS'!AH6</f>
        <v/>
      </c>
      <c r="AI7" s="11">
        <f>'BS DRIVERS'!AI6</f>
        <v/>
      </c>
      <c r="AJ7" s="11">
        <f>'BS DRIVERS'!AJ6</f>
        <v/>
      </c>
      <c r="AK7" s="11">
        <f>'BS DRIVERS'!AK6</f>
        <v/>
      </c>
      <c r="AL7" s="11">
        <f>'BS DRIVERS'!AL6</f>
        <v/>
      </c>
    </row>
    <row r="8">
      <c r="A8" s="3" t="inlineStr">
        <is>
          <t>Goodwill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4">
        <f>'YTD BS'!P8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  <c r="AI8" s="11">
        <f>'BS DRIVERS'!AI7</f>
        <v/>
      </c>
      <c r="AJ8" s="11">
        <f>'BS DRIVERS'!AJ7</f>
        <v/>
      </c>
      <c r="AK8" s="11">
        <f>'BS DRIVERS'!AK7</f>
        <v/>
      </c>
      <c r="AL8" s="11">
        <f>'BS DRIVERS'!AL7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4">
        <f>'YTD BS'!P9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  <c r="AI9" s="11">
        <f>'BS DRIVERS'!AI8</f>
        <v/>
      </c>
      <c r="AJ9" s="11">
        <f>'BS DRIVERS'!AJ8</f>
        <v/>
      </c>
      <c r="AK9" s="11">
        <f>'BS DRIVERS'!AK8</f>
        <v/>
      </c>
      <c r="AL9" s="11">
        <f>'BS DRIVERS'!AL8</f>
        <v/>
      </c>
    </row>
    <row r="10">
      <c r="A10" s="3" t="inlineStr">
        <is>
          <t>Other Non-Current Assets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  <c r="Q10" s="11">
        <f>'QTR P&amp;L'!T2*'BS DRIVERS'!Q9</f>
        <v/>
      </c>
      <c r="R10" s="11">
        <f>'QTR P&amp;L'!U2*'BS DRIVERS'!R9</f>
        <v/>
      </c>
      <c r="S10" s="11">
        <f>'QTR P&amp;L'!V2*'BS DRIVERS'!S9</f>
        <v/>
      </c>
      <c r="T10" s="11">
        <f>'QTR P&amp;L'!W2*'BS DRIVERS'!T9</f>
        <v/>
      </c>
      <c r="U10" s="11">
        <f>'QTR P&amp;L'!X2*'BS DRIVERS'!U9</f>
        <v/>
      </c>
      <c r="V10" s="11">
        <f>'QTR P&amp;L'!Y2*'BS DRIVERS'!V9</f>
        <v/>
      </c>
      <c r="W10" s="11">
        <f>'QTR P&amp;L'!Z2*'BS DRIVERS'!W9</f>
        <v/>
      </c>
      <c r="X10" s="11">
        <f>'QTR P&amp;L'!AA2*'BS DRIVERS'!X9</f>
        <v/>
      </c>
      <c r="Y10" s="11">
        <f>'QTR P&amp;L'!AB2*'BS DRIVERS'!Y9</f>
        <v/>
      </c>
      <c r="Z10" s="11">
        <f>'QTR P&amp;L'!AC2*'BS DRIVERS'!Z9</f>
        <v/>
      </c>
      <c r="AA10" s="11">
        <f>'QTR P&amp;L'!AD2*'BS DRIVERS'!AA9</f>
        <v/>
      </c>
      <c r="AB10" s="11">
        <f>'QTR P&amp;L'!AE2*'BS DRIVERS'!AB9</f>
        <v/>
      </c>
      <c r="AC10" s="11">
        <f>'QTR P&amp;L'!AF2*'BS DRIVERS'!AC9</f>
        <v/>
      </c>
      <c r="AD10" s="11">
        <f>'QTR P&amp;L'!AG2*'BS DRIVERS'!AD9</f>
        <v/>
      </c>
      <c r="AE10" s="11">
        <f>'QTR P&amp;L'!AH2*'BS DRIVERS'!AE9</f>
        <v/>
      </c>
      <c r="AF10" s="11">
        <f>'QTR P&amp;L'!AI2*'BS DRIVERS'!AF9</f>
        <v/>
      </c>
      <c r="AG10" s="11">
        <f>'QTR P&amp;L'!AJ2*'BS DRIVERS'!AG9</f>
        <v/>
      </c>
      <c r="AH10" s="11">
        <f>'QTR P&amp;L'!AK2*'BS DRIVERS'!AH9</f>
        <v/>
      </c>
      <c r="AI10" s="11">
        <f>'QTR P&amp;L'!AL2*'BS DRIVERS'!AI9</f>
        <v/>
      </c>
      <c r="AJ10" s="11">
        <f>'QTR P&amp;L'!AM2*'BS DRIVERS'!AJ9</f>
        <v/>
      </c>
      <c r="AK10" s="11">
        <f>'QTR P&amp;L'!AN2*'BS DRIVERS'!AK9</f>
        <v/>
      </c>
      <c r="AL10" s="11">
        <f>'QTR P&amp;L'!AO2*'BS DRIVERS'!AL9</f>
        <v/>
      </c>
    </row>
    <row r="11">
      <c r="A11" s="3" t="inlineStr">
        <is>
          <t>Total Assets</t>
        </is>
      </c>
      <c r="B11" s="6">
        <f>'BALANCE SHEET'!B11</f>
        <v/>
      </c>
      <c r="C11" s="6">
        <f>'YTD BS'!C11</f>
        <v/>
      </c>
      <c r="D11" s="6">
        <f>'YTD BS'!D11</f>
        <v/>
      </c>
      <c r="E11" s="6">
        <f>'YTD BS'!E11</f>
        <v/>
      </c>
      <c r="F11" s="6">
        <f>'BALANCE SHEET'!C11</f>
        <v/>
      </c>
      <c r="G11" s="6">
        <f>'YTD BS'!G11</f>
        <v/>
      </c>
      <c r="H11" s="6">
        <f>'YTD BS'!H11</f>
        <v/>
      </c>
      <c r="I11" s="6">
        <f>'YTD BS'!I11</f>
        <v/>
      </c>
      <c r="J11" s="6">
        <f>'BALANCE SHEET'!D11</f>
        <v/>
      </c>
      <c r="K11" s="6">
        <f>'YTD BS'!K11</f>
        <v/>
      </c>
      <c r="L11" s="6">
        <f>'YTD BS'!L11</f>
        <v/>
      </c>
      <c r="M11" s="6">
        <f>'YTD BS'!M11</f>
        <v/>
      </c>
      <c r="N11" s="6">
        <f>'BALANCE SHEET'!E11</f>
        <v/>
      </c>
      <c r="O11" s="6">
        <f>'YTD BS'!O11</f>
        <v/>
      </c>
      <c r="P11" s="6">
        <f>'YTD BS'!P11</f>
        <v/>
      </c>
      <c r="Q11" s="7">
        <f>Q6+SUM(Q7:Q10)</f>
        <v/>
      </c>
      <c r="R11" s="7">
        <f>R6+SUM(R7:R10)</f>
        <v/>
      </c>
      <c r="S11" s="7">
        <f>S6+SUM(S7:S10)</f>
        <v/>
      </c>
      <c r="T11" s="7">
        <f>T6+SUM(T7:T10)</f>
        <v/>
      </c>
      <c r="U11" s="7">
        <f>U6+SUM(U7:U10)</f>
        <v/>
      </c>
      <c r="V11" s="7">
        <f>V6+SUM(V7:V10)</f>
        <v/>
      </c>
      <c r="W11" s="7">
        <f>W6+SUM(W7:W10)</f>
        <v/>
      </c>
      <c r="X11" s="7">
        <f>X6+SUM(X7:X10)</f>
        <v/>
      </c>
      <c r="Y11" s="7">
        <f>Y6+SUM(Y7:Y10)</f>
        <v/>
      </c>
      <c r="Z11" s="7">
        <f>Z6+SUM(Z7:Z10)</f>
        <v/>
      </c>
      <c r="AA11" s="7">
        <f>AA6+SUM(AA7:AA10)</f>
        <v/>
      </c>
      <c r="AB11" s="7">
        <f>AB6+SUM(AB7:AB10)</f>
        <v/>
      </c>
      <c r="AC11" s="7">
        <f>AC6+SUM(AC7:AC10)</f>
        <v/>
      </c>
      <c r="AD11" s="7">
        <f>AD6+SUM(AD7:AD10)</f>
        <v/>
      </c>
      <c r="AE11" s="7">
        <f>AE6+SUM(AE7:AE10)</f>
        <v/>
      </c>
      <c r="AF11" s="7">
        <f>AF6+SUM(AF7:AF10)</f>
        <v/>
      </c>
      <c r="AG11" s="7">
        <f>AG6+SUM(AG7:AG10)</f>
        <v/>
      </c>
      <c r="AH11" s="7">
        <f>AH6+SUM(AH7:AH10)</f>
        <v/>
      </c>
      <c r="AI11" s="7">
        <f>AI6+SUM(AI7:AI10)</f>
        <v/>
      </c>
      <c r="AJ11" s="7">
        <f>AJ6+SUM(AJ7:AJ10)</f>
        <v/>
      </c>
      <c r="AK11" s="7">
        <f>AK6+SUM(AK7:AK10)</f>
        <v/>
      </c>
      <c r="AL11" s="7">
        <f>AL6+SUM(AL7:AL10)</f>
        <v/>
      </c>
    </row>
    <row r="12">
      <c r="A12" s="3" t="inlineStr">
        <is>
          <t>Accounts Payable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4">
        <f>'YTD BS'!P12</f>
        <v/>
      </c>
      <c r="Q12" s="11">
        <f>'QTR P&amp;L'!T3*'BS DRIVERS'!Q10/ASSUMPTIONS!$B$2</f>
        <v/>
      </c>
      <c r="R12" s="11">
        <f>'QTR P&amp;L'!U3*'BS DRIVERS'!R10/ASSUMPTIONS!$B$2</f>
        <v/>
      </c>
      <c r="S12" s="11">
        <f>'QTR P&amp;L'!V3*'BS DRIVERS'!S10/ASSUMPTIONS!$B$2</f>
        <v/>
      </c>
      <c r="T12" s="11">
        <f>'QTR P&amp;L'!W3*'BS DRIVERS'!T10/ASSUMPTIONS!$B$2</f>
        <v/>
      </c>
      <c r="U12" s="11">
        <f>'QTR P&amp;L'!X3*'BS DRIVERS'!U10/ASSUMPTIONS!$B$2</f>
        <v/>
      </c>
      <c r="V12" s="11">
        <f>'QTR P&amp;L'!Y3*'BS DRIVERS'!V10/ASSUMPTIONS!$B$2</f>
        <v/>
      </c>
      <c r="W12" s="11">
        <f>'QTR P&amp;L'!Z3*'BS DRIVERS'!W10/ASSUMPTIONS!$B$2</f>
        <v/>
      </c>
      <c r="X12" s="11">
        <f>'QTR P&amp;L'!AA3*'BS DRIVERS'!X10/ASSUMPTIONS!$B$2</f>
        <v/>
      </c>
      <c r="Y12" s="11">
        <f>'QTR P&amp;L'!AB3*'BS DRIVERS'!Y10/ASSUMPTIONS!$B$2</f>
        <v/>
      </c>
      <c r="Z12" s="11">
        <f>'QTR P&amp;L'!AC3*'BS DRIVERS'!Z10/ASSUMPTIONS!$B$2</f>
        <v/>
      </c>
      <c r="AA12" s="11">
        <f>'QTR P&amp;L'!AD3*'BS DRIVERS'!AA10/ASSUMPTIONS!$B$2</f>
        <v/>
      </c>
      <c r="AB12" s="11">
        <f>'QTR P&amp;L'!AE3*'BS DRIVERS'!AB10/ASSUMPTIONS!$B$2</f>
        <v/>
      </c>
      <c r="AC12" s="11">
        <f>'QTR P&amp;L'!AF3*'BS DRIVERS'!AC10/ASSUMPTIONS!$B$2</f>
        <v/>
      </c>
      <c r="AD12" s="11">
        <f>'QTR P&amp;L'!AG3*'BS DRIVERS'!AD10/ASSUMPTIONS!$B$2</f>
        <v/>
      </c>
      <c r="AE12" s="11">
        <f>'QTR P&amp;L'!AH3*'BS DRIVERS'!AE10/ASSUMPTIONS!$B$2</f>
        <v/>
      </c>
      <c r="AF12" s="11">
        <f>'QTR P&amp;L'!AI3*'BS DRIVERS'!AF10/ASSUMPTIONS!$B$2</f>
        <v/>
      </c>
      <c r="AG12" s="11">
        <f>'QTR P&amp;L'!AJ3*'BS DRIVERS'!AG10/ASSUMPTIONS!$B$2</f>
        <v/>
      </c>
      <c r="AH12" s="11">
        <f>'QTR P&amp;L'!AK3*'BS DRIVERS'!AH10/ASSUMPTIONS!$B$2</f>
        <v/>
      </c>
      <c r="AI12" s="11">
        <f>'QTR P&amp;L'!AL3*'BS DRIVERS'!AI10/ASSUMPTIONS!$B$2</f>
        <v/>
      </c>
      <c r="AJ12" s="11">
        <f>'QTR P&amp;L'!AM3*'BS DRIVERS'!AJ10/ASSUMPTIONS!$B$2</f>
        <v/>
      </c>
      <c r="AK12" s="11">
        <f>'QTR P&amp;L'!AN3*'BS DRIVERS'!AK10/ASSUMPTIONS!$B$2</f>
        <v/>
      </c>
      <c r="AL12" s="11">
        <f>'QTR P&amp;L'!AO3*'BS DRIVERS'!AL10/ASSUMPTIONS!$B$2</f>
        <v/>
      </c>
    </row>
    <row r="13">
      <c r="A13" s="3" t="inlineStr">
        <is>
          <t>Accrued Expenses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4">
        <f>'YTD BS'!P13</f>
        <v/>
      </c>
      <c r="Q13" s="11">
        <f>'QTR P&amp;L'!T2*'BS DRIVERS'!Q11</f>
        <v/>
      </c>
      <c r="R13" s="11">
        <f>'QTR P&amp;L'!U2*'BS DRIVERS'!R11</f>
        <v/>
      </c>
      <c r="S13" s="11">
        <f>'QTR P&amp;L'!V2*'BS DRIVERS'!S11</f>
        <v/>
      </c>
      <c r="T13" s="11">
        <f>'QTR P&amp;L'!W2*'BS DRIVERS'!T11</f>
        <v/>
      </c>
      <c r="U13" s="11">
        <f>'QTR P&amp;L'!X2*'BS DRIVERS'!U11</f>
        <v/>
      </c>
      <c r="V13" s="11">
        <f>'QTR P&amp;L'!Y2*'BS DRIVERS'!V11</f>
        <v/>
      </c>
      <c r="W13" s="11">
        <f>'QTR P&amp;L'!Z2*'BS DRIVERS'!W11</f>
        <v/>
      </c>
      <c r="X13" s="11">
        <f>'QTR P&amp;L'!AA2*'BS DRIVERS'!X11</f>
        <v/>
      </c>
      <c r="Y13" s="11">
        <f>'QTR P&amp;L'!AB2*'BS DRIVERS'!Y11</f>
        <v/>
      </c>
      <c r="Z13" s="11">
        <f>'QTR P&amp;L'!AC2*'BS DRIVERS'!Z11</f>
        <v/>
      </c>
      <c r="AA13" s="11">
        <f>'QTR P&amp;L'!AD2*'BS DRIVERS'!AA11</f>
        <v/>
      </c>
      <c r="AB13" s="11">
        <f>'QTR P&amp;L'!AE2*'BS DRIVERS'!AB11</f>
        <v/>
      </c>
      <c r="AC13" s="11">
        <f>'QTR P&amp;L'!AF2*'BS DRIVERS'!AC11</f>
        <v/>
      </c>
      <c r="AD13" s="11">
        <f>'QTR P&amp;L'!AG2*'BS DRIVERS'!AD11</f>
        <v/>
      </c>
      <c r="AE13" s="11">
        <f>'QTR P&amp;L'!AH2*'BS DRIVERS'!AE11</f>
        <v/>
      </c>
      <c r="AF13" s="11">
        <f>'QTR P&amp;L'!AI2*'BS DRIVERS'!AF11</f>
        <v/>
      </c>
      <c r="AG13" s="11">
        <f>'QTR P&amp;L'!AJ2*'BS DRIVERS'!AG11</f>
        <v/>
      </c>
      <c r="AH13" s="11">
        <f>'QTR P&amp;L'!AK2*'BS DRIVERS'!AH11</f>
        <v/>
      </c>
      <c r="AI13" s="11">
        <f>'QTR P&amp;L'!AL2*'BS DRIVERS'!AI11</f>
        <v/>
      </c>
      <c r="AJ13" s="11">
        <f>'QTR P&amp;L'!AM2*'BS DRIVERS'!AJ11</f>
        <v/>
      </c>
      <c r="AK13" s="11">
        <f>'QTR P&amp;L'!AN2*'BS DRIVERS'!AK11</f>
        <v/>
      </c>
      <c r="AL13" s="11">
        <f>'QTR P&amp;L'!AO2*'BS DRIVERS'!AL11</f>
        <v/>
      </c>
    </row>
    <row r="14">
      <c r="A14" s="3" t="inlineStr">
        <is>
          <t>Current Portion of Long-Term Debt</t>
        </is>
      </c>
      <c r="B14" s="4">
        <f>'BALANCE SHEET'!B14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SHEET'!C14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SHEET'!D14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SHEET'!E14</f>
        <v/>
      </c>
      <c r="O14" s="4">
        <f>'YTD BS'!O14</f>
        <v/>
      </c>
      <c r="P14" s="4">
        <f>'YTD BS'!P14</f>
        <v/>
      </c>
      <c r="Q14" s="11">
        <f>'BS DRIVERS'!Q12</f>
        <v/>
      </c>
      <c r="R14" s="11">
        <f>'BS DRIVERS'!R12</f>
        <v/>
      </c>
      <c r="S14" s="11">
        <f>'BS DRIVERS'!S12</f>
        <v/>
      </c>
      <c r="T14" s="11">
        <f>'BS DRIVERS'!T12</f>
        <v/>
      </c>
      <c r="U14" s="11">
        <f>'BS DRIVERS'!U12</f>
        <v/>
      </c>
      <c r="V14" s="11">
        <f>'BS DRIVERS'!V12</f>
        <v/>
      </c>
      <c r="W14" s="11">
        <f>'BS DRIVERS'!W12</f>
        <v/>
      </c>
      <c r="X14" s="11">
        <f>'BS DRIVERS'!X12</f>
        <v/>
      </c>
      <c r="Y14" s="11">
        <f>'BS DRIVERS'!Y12</f>
        <v/>
      </c>
      <c r="Z14" s="11">
        <f>'BS DRIVERS'!Z12</f>
        <v/>
      </c>
      <c r="AA14" s="11">
        <f>'BS DRIVERS'!AA12</f>
        <v/>
      </c>
      <c r="AB14" s="11">
        <f>'BS DRIVERS'!AB12</f>
        <v/>
      </c>
      <c r="AC14" s="11">
        <f>'BS DRIVERS'!AC12</f>
        <v/>
      </c>
      <c r="AD14" s="11">
        <f>'BS DRIVERS'!AD12</f>
        <v/>
      </c>
      <c r="AE14" s="11">
        <f>'BS DRIVERS'!AE12</f>
        <v/>
      </c>
      <c r="AF14" s="11">
        <f>'BS DRIVERS'!AF12</f>
        <v/>
      </c>
      <c r="AG14" s="11">
        <f>'BS DRIVERS'!AG12</f>
        <v/>
      </c>
      <c r="AH14" s="11">
        <f>'BS DRIVERS'!AH12</f>
        <v/>
      </c>
      <c r="AI14" s="11">
        <f>'BS DRIVERS'!AI12</f>
        <v/>
      </c>
      <c r="AJ14" s="11">
        <f>'BS DRIVERS'!AJ12</f>
        <v/>
      </c>
      <c r="AK14" s="11">
        <f>'BS DRIVERS'!AK12</f>
        <v/>
      </c>
      <c r="AL14" s="11">
        <f>'BS DRIVERS'!AL12</f>
        <v/>
      </c>
    </row>
    <row r="15">
      <c r="A15" s="3" t="inlineStr">
        <is>
          <t>Total Current Liabilities</t>
        </is>
      </c>
      <c r="B15" s="6">
        <f>'BALANCE SHEET'!B15</f>
        <v/>
      </c>
      <c r="C15" s="6">
        <f>'YTD BS'!C15</f>
        <v/>
      </c>
      <c r="D15" s="6">
        <f>'YTD BS'!D15</f>
        <v/>
      </c>
      <c r="E15" s="6">
        <f>'YTD BS'!E15</f>
        <v/>
      </c>
      <c r="F15" s="6">
        <f>'BALANCE SHEET'!C15</f>
        <v/>
      </c>
      <c r="G15" s="6">
        <f>'YTD BS'!G15</f>
        <v/>
      </c>
      <c r="H15" s="6">
        <f>'YTD BS'!H15</f>
        <v/>
      </c>
      <c r="I15" s="6">
        <f>'YTD BS'!I15</f>
        <v/>
      </c>
      <c r="J15" s="6">
        <f>'BALANCE SHEET'!D15</f>
        <v/>
      </c>
      <c r="K15" s="6">
        <f>'YTD BS'!K15</f>
        <v/>
      </c>
      <c r="L15" s="6">
        <f>'YTD BS'!L15</f>
        <v/>
      </c>
      <c r="M15" s="6">
        <f>'YTD BS'!M15</f>
        <v/>
      </c>
      <c r="N15" s="6">
        <f>'BALANCE SHEET'!E15</f>
        <v/>
      </c>
      <c r="O15" s="6">
        <f>'YTD BS'!O15</f>
        <v/>
      </c>
      <c r="P15" s="6">
        <f>'YTD BS'!P15</f>
        <v/>
      </c>
      <c r="Q15" s="7">
        <f>SUM(Q12:Q14)</f>
        <v/>
      </c>
      <c r="R15" s="7">
        <f>SUM(R12:R14)</f>
        <v/>
      </c>
      <c r="S15" s="7">
        <f>SUM(S12:S14)</f>
        <v/>
      </c>
      <c r="T15" s="7">
        <f>SUM(T12:T14)</f>
        <v/>
      </c>
      <c r="U15" s="7">
        <f>SUM(U12:U14)</f>
        <v/>
      </c>
      <c r="V15" s="7">
        <f>SUM(V12:V14)</f>
        <v/>
      </c>
      <c r="W15" s="7">
        <f>SUM(W12:W14)</f>
        <v/>
      </c>
      <c r="X15" s="7">
        <f>SUM(X12:X14)</f>
        <v/>
      </c>
      <c r="Y15" s="7">
        <f>SUM(Y12:Y14)</f>
        <v/>
      </c>
      <c r="Z15" s="7">
        <f>SUM(Z12:Z14)</f>
        <v/>
      </c>
      <c r="AA15" s="7">
        <f>SUM(AA12:AA14)</f>
        <v/>
      </c>
      <c r="AB15" s="7">
        <f>SUM(AB12:AB14)</f>
        <v/>
      </c>
      <c r="AC15" s="7">
        <f>SUM(AC12:AC14)</f>
        <v/>
      </c>
      <c r="AD15" s="7">
        <f>SUM(AD12:AD14)</f>
        <v/>
      </c>
      <c r="AE15" s="7">
        <f>SUM(AE12:AE14)</f>
        <v/>
      </c>
      <c r="AF15" s="7">
        <f>SUM(AF12:AF14)</f>
        <v/>
      </c>
      <c r="AG15" s="7">
        <f>SUM(AG12:AG14)</f>
        <v/>
      </c>
      <c r="AH15" s="7">
        <f>SUM(AH12:AH14)</f>
        <v/>
      </c>
      <c r="AI15" s="7">
        <f>SUM(AI12:AI14)</f>
        <v/>
      </c>
      <c r="AJ15" s="7">
        <f>SUM(AJ12:AJ14)</f>
        <v/>
      </c>
      <c r="AK15" s="7">
        <f>SUM(AK12:AK14)</f>
        <v/>
      </c>
      <c r="AL15" s="7">
        <f>SUM(AL12:AL14)</f>
        <v/>
      </c>
    </row>
    <row r="16">
      <c r="A16" s="3" t="inlineStr">
        <is>
          <t>Long-Term Debt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4">
        <f>'YTD BS'!P16</f>
        <v/>
      </c>
      <c r="Q16" s="11">
        <f>'BS DRIVERS'!Q13</f>
        <v/>
      </c>
      <c r="R16" s="11">
        <f>'BS DRIVERS'!R13</f>
        <v/>
      </c>
      <c r="S16" s="11">
        <f>'BS DRIVERS'!S13</f>
        <v/>
      </c>
      <c r="T16" s="11">
        <f>'BS DRIVERS'!T13</f>
        <v/>
      </c>
      <c r="U16" s="11">
        <f>'BS DRIVERS'!U13</f>
        <v/>
      </c>
      <c r="V16" s="11">
        <f>'BS DRIVERS'!V13</f>
        <v/>
      </c>
      <c r="W16" s="11">
        <f>'BS DRIVERS'!W13</f>
        <v/>
      </c>
      <c r="X16" s="11">
        <f>'BS DRIVERS'!X13</f>
        <v/>
      </c>
      <c r="Y16" s="11">
        <f>'BS DRIVERS'!Y13</f>
        <v/>
      </c>
      <c r="Z16" s="11">
        <f>'BS DRIVERS'!Z13</f>
        <v/>
      </c>
      <c r="AA16" s="11">
        <f>'BS DRIVERS'!AA13</f>
        <v/>
      </c>
      <c r="AB16" s="11">
        <f>'BS DRIVERS'!AB13</f>
        <v/>
      </c>
      <c r="AC16" s="11">
        <f>'BS DRIVERS'!AC13</f>
        <v/>
      </c>
      <c r="AD16" s="11">
        <f>'BS DRIVERS'!AD13</f>
        <v/>
      </c>
      <c r="AE16" s="11">
        <f>'BS DRIVERS'!AE13</f>
        <v/>
      </c>
      <c r="AF16" s="11">
        <f>'BS DRIVERS'!AF13</f>
        <v/>
      </c>
      <c r="AG16" s="11">
        <f>'BS DRIVERS'!AG13</f>
        <v/>
      </c>
      <c r="AH16" s="11">
        <f>'BS DRIVERS'!AH13</f>
        <v/>
      </c>
      <c r="AI16" s="11">
        <f>'BS DRIVERS'!AI13</f>
        <v/>
      </c>
      <c r="AJ16" s="11">
        <f>'BS DRIVERS'!AJ13</f>
        <v/>
      </c>
      <c r="AK16" s="11">
        <f>'BS DRIVERS'!AK13</f>
        <v/>
      </c>
      <c r="AL16" s="11">
        <f>'BS DRIVERS'!AL13</f>
        <v/>
      </c>
    </row>
    <row r="17">
      <c r="A17" s="3" t="inlineStr">
        <is>
          <t>Deferred Tax Liability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  <c r="Q17" s="11">
        <f>'BS DRIVERS'!Q14</f>
        <v/>
      </c>
      <c r="R17" s="11">
        <f>'BS DRIVERS'!R14</f>
        <v/>
      </c>
      <c r="S17" s="11">
        <f>'BS DRIVERS'!S14</f>
        <v/>
      </c>
      <c r="T17" s="11">
        <f>'BS DRIVERS'!T14</f>
        <v/>
      </c>
      <c r="U17" s="11">
        <f>'BS DRIVERS'!U14</f>
        <v/>
      </c>
      <c r="V17" s="11">
        <f>'BS DRIVERS'!V14</f>
        <v/>
      </c>
      <c r="W17" s="11">
        <f>'BS DRIVERS'!W14</f>
        <v/>
      </c>
      <c r="X17" s="11">
        <f>'BS DRIVERS'!X14</f>
        <v/>
      </c>
      <c r="Y17" s="11">
        <f>'BS DRIVERS'!Y14</f>
        <v/>
      </c>
      <c r="Z17" s="11">
        <f>'BS DRIVERS'!Z14</f>
        <v/>
      </c>
      <c r="AA17" s="11">
        <f>'BS DRIVERS'!AA14</f>
        <v/>
      </c>
      <c r="AB17" s="11">
        <f>'BS DRIVERS'!AB14</f>
        <v/>
      </c>
      <c r="AC17" s="11">
        <f>'BS DRIVERS'!AC14</f>
        <v/>
      </c>
      <c r="AD17" s="11">
        <f>'BS DRIVERS'!AD14</f>
        <v/>
      </c>
      <c r="AE17" s="11">
        <f>'BS DRIVERS'!AE14</f>
        <v/>
      </c>
      <c r="AF17" s="11">
        <f>'BS DRIVERS'!AF14</f>
        <v/>
      </c>
      <c r="AG17" s="11">
        <f>'BS DRIVERS'!AG14</f>
        <v/>
      </c>
      <c r="AH17" s="11">
        <f>'BS DRIVERS'!AH14</f>
        <v/>
      </c>
      <c r="AI17" s="11">
        <f>'BS DRIVERS'!AI14</f>
        <v/>
      </c>
      <c r="AJ17" s="11">
        <f>'BS DRIVERS'!AJ14</f>
        <v/>
      </c>
      <c r="AK17" s="11">
        <f>'BS DRIVERS'!AK14</f>
        <v/>
      </c>
      <c r="AL17" s="11">
        <f>'BS DRIVERS'!AL14</f>
        <v/>
      </c>
    </row>
    <row r="18">
      <c r="A18" s="3" t="inlineStr">
        <is>
          <t>Other Non-Current Liabilities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4">
        <f>'YTD BS'!P18</f>
        <v/>
      </c>
      <c r="Q18" s="11">
        <f>'QTR P&amp;L'!T2*'BS DRIVERS'!Q15</f>
        <v/>
      </c>
      <c r="R18" s="11">
        <f>'QTR P&amp;L'!U2*'BS DRIVERS'!R15</f>
        <v/>
      </c>
      <c r="S18" s="11">
        <f>'QTR P&amp;L'!V2*'BS DRIVERS'!S15</f>
        <v/>
      </c>
      <c r="T18" s="11">
        <f>'QTR P&amp;L'!W2*'BS DRIVERS'!T15</f>
        <v/>
      </c>
      <c r="U18" s="11">
        <f>'QTR P&amp;L'!X2*'BS DRIVERS'!U15</f>
        <v/>
      </c>
      <c r="V18" s="11">
        <f>'QTR P&amp;L'!Y2*'BS DRIVERS'!V15</f>
        <v/>
      </c>
      <c r="W18" s="11">
        <f>'QTR P&amp;L'!Z2*'BS DRIVERS'!W15</f>
        <v/>
      </c>
      <c r="X18" s="11">
        <f>'QTR P&amp;L'!AA2*'BS DRIVERS'!X15</f>
        <v/>
      </c>
      <c r="Y18" s="11">
        <f>'QTR P&amp;L'!AB2*'BS DRIVERS'!Y15</f>
        <v/>
      </c>
      <c r="Z18" s="11">
        <f>'QTR P&amp;L'!AC2*'BS DRIVERS'!Z15</f>
        <v/>
      </c>
      <c r="AA18" s="11">
        <f>'QTR P&amp;L'!AD2*'BS DRIVERS'!AA15</f>
        <v/>
      </c>
      <c r="AB18" s="11">
        <f>'QTR P&amp;L'!AE2*'BS DRIVERS'!AB15</f>
        <v/>
      </c>
      <c r="AC18" s="11">
        <f>'QTR P&amp;L'!AF2*'BS DRIVERS'!AC15</f>
        <v/>
      </c>
      <c r="AD18" s="11">
        <f>'QTR P&amp;L'!AG2*'BS DRIVERS'!AD15</f>
        <v/>
      </c>
      <c r="AE18" s="11">
        <f>'QTR P&amp;L'!AH2*'BS DRIVERS'!AE15</f>
        <v/>
      </c>
      <c r="AF18" s="11">
        <f>'QTR P&amp;L'!AI2*'BS DRIVERS'!AF15</f>
        <v/>
      </c>
      <c r="AG18" s="11">
        <f>'QTR P&amp;L'!AJ2*'BS DRIVERS'!AG15</f>
        <v/>
      </c>
      <c r="AH18" s="11">
        <f>'QTR P&amp;L'!AK2*'BS DRIVERS'!AH15</f>
        <v/>
      </c>
      <c r="AI18" s="11">
        <f>'QTR P&amp;L'!AL2*'BS DRIVERS'!AI15</f>
        <v/>
      </c>
      <c r="AJ18" s="11">
        <f>'QTR P&amp;L'!AM2*'BS DRIVERS'!AJ15</f>
        <v/>
      </c>
      <c r="AK18" s="11">
        <f>'QTR P&amp;L'!AN2*'BS DRIVERS'!AK15</f>
        <v/>
      </c>
      <c r="AL18" s="11">
        <f>'QTR P&amp;L'!AO2*'BS DRIVERS'!AL15</f>
        <v/>
      </c>
    </row>
    <row r="19">
      <c r="A19" s="3" t="inlineStr">
        <is>
          <t>Total Liabilities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6">
        <f>'YTD BS'!O19</f>
        <v/>
      </c>
      <c r="P19" s="6">
        <f>'YTD BS'!P19</f>
        <v/>
      </c>
      <c r="Q19" s="7">
        <f>Q15+SUM(Q16:Q18)</f>
        <v/>
      </c>
      <c r="R19" s="7">
        <f>R15+SUM(R16:R18)</f>
        <v/>
      </c>
      <c r="S19" s="7">
        <f>S15+SUM(S16:S18)</f>
        <v/>
      </c>
      <c r="T19" s="7">
        <f>T15+SUM(T16:T18)</f>
        <v/>
      </c>
      <c r="U19" s="7">
        <f>U15+SUM(U16:U18)</f>
        <v/>
      </c>
      <c r="V19" s="7">
        <f>V15+SUM(V16:V18)</f>
        <v/>
      </c>
      <c r="W19" s="7">
        <f>W15+SUM(W16:W18)</f>
        <v/>
      </c>
      <c r="X19" s="7">
        <f>X15+SUM(X16:X18)</f>
        <v/>
      </c>
      <c r="Y19" s="7">
        <f>Y15+SUM(Y16:Y18)</f>
        <v/>
      </c>
      <c r="Z19" s="7">
        <f>Z15+SUM(Z16:Z18)</f>
        <v/>
      </c>
      <c r="AA19" s="7">
        <f>AA15+SUM(AA16:AA18)</f>
        <v/>
      </c>
      <c r="AB19" s="7">
        <f>AB15+SUM(AB16:AB18)</f>
        <v/>
      </c>
      <c r="AC19" s="7">
        <f>AC15+SUM(AC16:AC18)</f>
        <v/>
      </c>
      <c r="AD19" s="7">
        <f>AD15+SUM(AD16:AD18)</f>
        <v/>
      </c>
      <c r="AE19" s="7">
        <f>AE15+SUM(AE16:AE18)</f>
        <v/>
      </c>
      <c r="AF19" s="7">
        <f>AF15+SUM(AF16:AF18)</f>
        <v/>
      </c>
      <c r="AG19" s="7">
        <f>AG15+SUM(AG16:AG18)</f>
        <v/>
      </c>
      <c r="AH19" s="7">
        <f>AH15+SUM(AH16:AH18)</f>
        <v/>
      </c>
      <c r="AI19" s="7">
        <f>AI15+SUM(AI16:AI18)</f>
        <v/>
      </c>
      <c r="AJ19" s="7">
        <f>AJ15+SUM(AJ16:AJ18)</f>
        <v/>
      </c>
      <c r="AK19" s="7">
        <f>AK15+SUM(AK16:AK18)</f>
        <v/>
      </c>
      <c r="AL19" s="7">
        <f>AL15+SUM(AL16:AL18)</f>
        <v/>
      </c>
    </row>
    <row r="20">
      <c r="A20" s="3" t="inlineStr">
        <is>
          <t>Convertible Preferred Stock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  <c r="Q20" s="11">
        <f>'BS DRIVERS'!Q16</f>
        <v/>
      </c>
      <c r="R20" s="11">
        <f>'BS DRIVERS'!R16</f>
        <v/>
      </c>
      <c r="S20" s="11">
        <f>'BS DRIVERS'!S16</f>
        <v/>
      </c>
      <c r="T20" s="11">
        <f>'BS DRIVERS'!T16</f>
        <v/>
      </c>
      <c r="U20" s="11">
        <f>'BS DRIVERS'!U16</f>
        <v/>
      </c>
      <c r="V20" s="11">
        <f>'BS DRIVERS'!V16</f>
        <v/>
      </c>
      <c r="W20" s="11">
        <f>'BS DRIVERS'!W16</f>
        <v/>
      </c>
      <c r="X20" s="11">
        <f>'BS DRIVERS'!X16</f>
        <v/>
      </c>
      <c r="Y20" s="11">
        <f>'BS DRIVERS'!Y16</f>
        <v/>
      </c>
      <c r="Z20" s="11">
        <f>'BS DRIVERS'!Z16</f>
        <v/>
      </c>
      <c r="AA20" s="11">
        <f>'BS DRIVERS'!AA16</f>
        <v/>
      </c>
      <c r="AB20" s="11">
        <f>'BS DRIVERS'!AB16</f>
        <v/>
      </c>
      <c r="AC20" s="11">
        <f>'BS DRIVERS'!AC16</f>
        <v/>
      </c>
      <c r="AD20" s="11">
        <f>'BS DRIVERS'!AD16</f>
        <v/>
      </c>
      <c r="AE20" s="11">
        <f>'BS DRIVERS'!AE16</f>
        <v/>
      </c>
      <c r="AF20" s="11">
        <f>'BS DRIVERS'!AF16</f>
        <v/>
      </c>
      <c r="AG20" s="11">
        <f>'BS DRIVERS'!AG16</f>
        <v/>
      </c>
      <c r="AH20" s="11">
        <f>'BS DRIVERS'!AH16</f>
        <v/>
      </c>
      <c r="AI20" s="11">
        <f>'BS DRIVERS'!AI16</f>
        <v/>
      </c>
      <c r="AJ20" s="11">
        <f>'BS DRIVERS'!AJ16</f>
        <v/>
      </c>
      <c r="AK20" s="11">
        <f>'BS DRIVERS'!AK16</f>
        <v/>
      </c>
      <c r="AL20" s="11">
        <f>'BS DRIVERS'!AL16</f>
        <v/>
      </c>
    </row>
    <row r="21">
      <c r="A21" s="3" t="inlineStr">
        <is>
          <t>Common Stock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  <c r="Q21" s="11">
        <f>'BS DRIVERS'!Q17</f>
        <v/>
      </c>
      <c r="R21" s="11">
        <f>'BS DRIVERS'!R17</f>
        <v/>
      </c>
      <c r="S21" s="11">
        <f>'BS DRIVERS'!S17</f>
        <v/>
      </c>
      <c r="T21" s="11">
        <f>'BS DRIVERS'!T17</f>
        <v/>
      </c>
      <c r="U21" s="11">
        <f>'BS DRIVERS'!U17</f>
        <v/>
      </c>
      <c r="V21" s="11">
        <f>'BS DRIVERS'!V17</f>
        <v/>
      </c>
      <c r="W21" s="11">
        <f>'BS DRIVERS'!W17</f>
        <v/>
      </c>
      <c r="X21" s="11">
        <f>'BS DRIVERS'!X17</f>
        <v/>
      </c>
      <c r="Y21" s="11">
        <f>'BS DRIVERS'!Y17</f>
        <v/>
      </c>
      <c r="Z21" s="11">
        <f>'BS DRIVERS'!Z17</f>
        <v/>
      </c>
      <c r="AA21" s="11">
        <f>'BS DRIVERS'!AA17</f>
        <v/>
      </c>
      <c r="AB21" s="11">
        <f>'BS DRIVERS'!AB17</f>
        <v/>
      </c>
      <c r="AC21" s="11">
        <f>'BS DRIVERS'!AC17</f>
        <v/>
      </c>
      <c r="AD21" s="11">
        <f>'BS DRIVERS'!AD17</f>
        <v/>
      </c>
      <c r="AE21" s="11">
        <f>'BS DRIVERS'!AE17</f>
        <v/>
      </c>
      <c r="AF21" s="11">
        <f>'BS DRIVERS'!AF17</f>
        <v/>
      </c>
      <c r="AG21" s="11">
        <f>'BS DRIVERS'!AG17</f>
        <v/>
      </c>
      <c r="AH21" s="11">
        <f>'BS DRIVERS'!AH17</f>
        <v/>
      </c>
      <c r="AI21" s="11">
        <f>'BS DRIVERS'!AI17</f>
        <v/>
      </c>
      <c r="AJ21" s="11">
        <f>'BS DRIVERS'!AJ17</f>
        <v/>
      </c>
      <c r="AK21" s="11">
        <f>'BS DRIVERS'!AK17</f>
        <v/>
      </c>
      <c r="AL21" s="11">
        <f>'BS DRIVERS'!AL17</f>
        <v/>
      </c>
    </row>
    <row r="22">
      <c r="A22" s="3" t="inlineStr">
        <is>
          <t>Additional Paid-in Capital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4">
        <f>'YTD BS'!P22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  <c r="AI22" s="11">
        <f>'BS DRIVERS'!AI18</f>
        <v/>
      </c>
      <c r="AJ22" s="11">
        <f>'BS DRIVERS'!AJ18</f>
        <v/>
      </c>
      <c r="AK22" s="11">
        <f>'BS DRIVERS'!AK18</f>
        <v/>
      </c>
      <c r="AL22" s="11">
        <f>'BS DRIVERS'!AL18</f>
        <v/>
      </c>
    </row>
    <row r="23">
      <c r="A23" s="3" t="inlineStr">
        <is>
          <t>ESOP Debt Retirement Reserve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  <c r="AI23" s="11">
        <f>'BS DRIVERS'!AI19</f>
        <v/>
      </c>
      <c r="AJ23" s="11">
        <f>'BS DRIVERS'!AJ19</f>
        <v/>
      </c>
      <c r="AK23" s="11">
        <f>'BS DRIVERS'!AK19</f>
        <v/>
      </c>
      <c r="AL23" s="11">
        <f>'BS DRIVERS'!AL19</f>
        <v/>
      </c>
    </row>
    <row r="24">
      <c r="A24" s="3" t="inlineStr">
        <is>
          <t>Accumulated Other Comprehensive Income (Loss)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  <c r="AI24" s="11">
        <f>'BS DRIVERS'!AI20</f>
        <v/>
      </c>
      <c r="AJ24" s="11">
        <f>'BS DRIVERS'!AJ20</f>
        <v/>
      </c>
      <c r="AK24" s="11">
        <f>'BS DRIVERS'!AK20</f>
        <v/>
      </c>
      <c r="AL24" s="11">
        <f>'BS DRIVERS'!AL20</f>
        <v/>
      </c>
    </row>
    <row r="25">
      <c r="A25" s="3" t="inlineStr">
        <is>
          <t>Treasury Stock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4">
        <f>'YTD BS'!P25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Retained Earnings (Accumulated Deficit)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4">
        <f>'YTD BS'!P26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6">
        <f>'YTD BS'!P28</f>
        <v/>
      </c>
      <c r="Q28" s="7">
        <f>SUM(Q20:Q27)</f>
        <v/>
      </c>
      <c r="R28" s="7">
        <f>SUM(R20:R27)</f>
        <v/>
      </c>
      <c r="S28" s="7">
        <f>SUM(S20:S27)</f>
        <v/>
      </c>
      <c r="T28" s="7">
        <f>SUM(T20:T27)</f>
        <v/>
      </c>
      <c r="U28" s="7">
        <f>SUM(U20:U27)</f>
        <v/>
      </c>
      <c r="V28" s="7">
        <f>SUM(V20:V27)</f>
        <v/>
      </c>
      <c r="W28" s="7">
        <f>SUM(W20:W27)</f>
        <v/>
      </c>
      <c r="X28" s="7">
        <f>SUM(X20:X27)</f>
        <v/>
      </c>
      <c r="Y28" s="7">
        <f>SUM(Y20:Y27)</f>
        <v/>
      </c>
      <c r="Z28" s="7">
        <f>SUM(Z20:Z27)</f>
        <v/>
      </c>
      <c r="AA28" s="7">
        <f>SUM(AA20:AA27)</f>
        <v/>
      </c>
      <c r="AB28" s="7">
        <f>SUM(AB20:AB27)</f>
        <v/>
      </c>
      <c r="AC28" s="7">
        <f>SUM(AC20:AC27)</f>
        <v/>
      </c>
      <c r="AD28" s="7">
        <f>SUM(AD20:AD27)</f>
        <v/>
      </c>
      <c r="AE28" s="7">
        <f>SUM(AE20:AE27)</f>
        <v/>
      </c>
      <c r="AF28" s="7">
        <f>SUM(AF20:AF27)</f>
        <v/>
      </c>
      <c r="AG28" s="7">
        <f>SUM(AG20:AG27)</f>
        <v/>
      </c>
      <c r="AH28" s="7">
        <f>SUM(AH20:AH27)</f>
        <v/>
      </c>
      <c r="AI28" s="7">
        <f>SUM(AI20:AI27)</f>
        <v/>
      </c>
      <c r="AJ28" s="7">
        <f>SUM(AJ20:AJ27)</f>
        <v/>
      </c>
      <c r="AK28" s="7">
        <f>SUM(AK20:AK27)</f>
        <v/>
      </c>
      <c r="AL28" s="7">
        <f>SUM(AL20:AL27)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6">
        <f>'YTD BS'!P29</f>
        <v/>
      </c>
      <c r="Q29" s="7">
        <f>Q19+Q28</f>
        <v/>
      </c>
      <c r="R29" s="7">
        <f>R19+R28</f>
        <v/>
      </c>
      <c r="S29" s="7">
        <f>S19+S28</f>
        <v/>
      </c>
      <c r="T29" s="7">
        <f>T19+T28</f>
        <v/>
      </c>
      <c r="U29" s="7">
        <f>U19+U28</f>
        <v/>
      </c>
      <c r="V29" s="7">
        <f>V19+V28</f>
        <v/>
      </c>
      <c r="W29" s="7">
        <f>W19+W28</f>
        <v/>
      </c>
      <c r="X29" s="7">
        <f>X19+X28</f>
        <v/>
      </c>
      <c r="Y29" s="7">
        <f>Y19+Y28</f>
        <v/>
      </c>
      <c r="Z29" s="7">
        <f>Z19+Z28</f>
        <v/>
      </c>
      <c r="AA29" s="7">
        <f>AA19+AA28</f>
        <v/>
      </c>
      <c r="AB29" s="7">
        <f>AB19+AB28</f>
        <v/>
      </c>
      <c r="AC29" s="7">
        <f>AC19+AC28</f>
        <v/>
      </c>
      <c r="AD29" s="7">
        <f>AD19+AD28</f>
        <v/>
      </c>
      <c r="AE29" s="7">
        <f>AE19+AE28</f>
        <v/>
      </c>
      <c r="AF29" s="7">
        <f>AF19+AF28</f>
        <v/>
      </c>
      <c r="AG29" s="7">
        <f>AG19+AG28</f>
        <v/>
      </c>
      <c r="AH29" s="7">
        <f>AH19+AH28</f>
        <v/>
      </c>
      <c r="AI29" s="7">
        <f>AI19+AI28</f>
        <v/>
      </c>
      <c r="AJ29" s="7">
        <f>AJ19+AJ28</f>
        <v/>
      </c>
      <c r="AK29" s="7">
        <f>AK19+AK28</f>
        <v/>
      </c>
      <c r="AL29" s="7">
        <f>AL19+AL28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(Loss) on Extinguishment of Debt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4">
        <f>'YTD CF'!O4-'YTD CF'!N4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Stock-Based Compensation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4">
        <f>'YTD CF'!O5-'YTD CF'!N5</f>
        <v/>
      </c>
      <c r="T5" s="11">
        <f>'QTR P&amp;L'!T2*'CF DRIVERS'!T5</f>
        <v/>
      </c>
      <c r="U5" s="11">
        <f>'QTR P&amp;L'!U2*'CF DRIVERS'!U5</f>
        <v/>
      </c>
      <c r="V5" s="11">
        <f>'QTR P&amp;L'!V2*'CF DRIVERS'!V5</f>
        <v/>
      </c>
      <c r="W5" s="11">
        <f>'QTR P&amp;L'!W2*'CF DRIVERS'!W5</f>
        <v/>
      </c>
      <c r="X5" s="11">
        <f>'QTR P&amp;L'!X2*'CF DRIVERS'!X5</f>
        <v/>
      </c>
      <c r="Y5" s="11">
        <f>'QTR P&amp;L'!Y2*'CF DRIVERS'!Y5</f>
        <v/>
      </c>
      <c r="Z5" s="11">
        <f>'QTR P&amp;L'!Z2*'CF DRIVERS'!Z5</f>
        <v/>
      </c>
      <c r="AA5" s="11">
        <f>'QTR P&amp;L'!AA2*'CF DRIVERS'!AA5</f>
        <v/>
      </c>
      <c r="AB5" s="11">
        <f>'QTR P&amp;L'!AB2*'CF DRIVERS'!AB5</f>
        <v/>
      </c>
      <c r="AC5" s="11">
        <f>'QTR P&amp;L'!AC2*'CF DRIVERS'!AC5</f>
        <v/>
      </c>
      <c r="AD5" s="11">
        <f>'QTR P&amp;L'!AD2*'CF DRIVERS'!AD5</f>
        <v/>
      </c>
      <c r="AE5" s="11">
        <f>'QTR P&amp;L'!AE2*'CF DRIVERS'!AE5</f>
        <v/>
      </c>
      <c r="AF5" s="11">
        <f>'QTR P&amp;L'!AF2*'CF DRIVERS'!AF5</f>
        <v/>
      </c>
      <c r="AG5" s="11">
        <f>'QTR P&amp;L'!AG2*'CF DRIVERS'!AG5</f>
        <v/>
      </c>
      <c r="AH5" s="11">
        <f>'QTR P&amp;L'!AH2*'CF DRIVERS'!AH5</f>
        <v/>
      </c>
      <c r="AI5" s="11">
        <f>'QTR P&amp;L'!AI2*'CF DRIVERS'!AI5</f>
        <v/>
      </c>
      <c r="AJ5" s="11">
        <f>'QTR P&amp;L'!AJ2*'CF DRIVERS'!AJ5</f>
        <v/>
      </c>
      <c r="AK5" s="11">
        <f>'QTR P&amp;L'!AK2*'CF DRIVERS'!AK5</f>
        <v/>
      </c>
      <c r="AL5" s="11">
        <f>'QTR P&amp;L'!AL2*'CF DRIVERS'!AL5</f>
        <v/>
      </c>
      <c r="AM5" s="11">
        <f>'QTR P&amp;L'!AM2*'CF DRIVERS'!AM5</f>
        <v/>
      </c>
      <c r="AN5" s="11">
        <f>'QTR P&amp;L'!AN2*'CF DRIVERS'!AN5</f>
        <v/>
      </c>
      <c r="AO5" s="11">
        <f>'QTR P&amp;L'!AO2*'CF DRIVERS'!AO5</f>
        <v/>
      </c>
    </row>
    <row r="6">
      <c r="A6" s="3" t="inlineStr">
        <is>
          <t>(Benefit) Provision for Deferred Income Taxes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4">
        <f>'YTD CF'!O6-'YTD CF'!N6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Gain (Loss) on Disposal of PP&amp;E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4">
        <f>'YTD CF'!O7-'YTD CF'!N7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Impairment of Intangibles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4">
        <f>'YTD CF'!O8-'YTD CF'!N8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Accounts Receivable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4">
        <f>'YTD CF'!O9-'YTD CF'!N9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Inventories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4">
        <f>'YTD CF'!O10-'YTD CF'!N10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  <c r="AL10" s="11">
        <f>'CF DRIVERS'!AL10</f>
        <v/>
      </c>
      <c r="AM10" s="11">
        <f>'CF DRIVERS'!AM10</f>
        <v/>
      </c>
      <c r="AN10" s="11">
        <f>'CF DRIVERS'!AN10</f>
        <v/>
      </c>
      <c r="AO10" s="11">
        <f>'CF DRIVERS'!AO10</f>
        <v/>
      </c>
    </row>
    <row r="11">
      <c r="A11" s="3" t="inlineStr">
        <is>
          <t>Accounts Payable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4">
        <f>'YTD CF'!O11-'YTD CF'!N11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Net Change in Other Working Capital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4">
        <f>'YTD CF'!O12-'YTD CF'!N12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Other Operating Items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4">
        <f>'YTD CF'!O13-'YTD CF'!N13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Flow from Operations</t>
        </is>
      </c>
      <c r="B14" s="6">
        <f>'YTD CF'!B14</f>
        <v/>
      </c>
      <c r="C14" s="6">
        <f>'YTD CF'!C14-'YTD CF'!B14</f>
        <v/>
      </c>
      <c r="D14" s="6">
        <f>'YTD CF'!D14-'YTD CF'!C14</f>
        <v/>
      </c>
      <c r="E14" s="6">
        <f>'CASH FLOW'!C14-'YTD CF'!D14</f>
        <v/>
      </c>
      <c r="F14" s="6">
        <f>'YTD CF'!E14</f>
        <v/>
      </c>
      <c r="G14" s="6">
        <f>'YTD CF'!F14-'YTD CF'!E14</f>
        <v/>
      </c>
      <c r="H14" s="6">
        <f>'YTD CF'!G14-'YTD CF'!F14</f>
        <v/>
      </c>
      <c r="I14" s="6">
        <f>'CASH FLOW'!D14-'YTD CF'!G14</f>
        <v/>
      </c>
      <c r="J14" s="6">
        <f>'YTD CF'!H14</f>
        <v/>
      </c>
      <c r="K14" s="6">
        <f>'YTD CF'!I14-'YTD CF'!H14</f>
        <v/>
      </c>
      <c r="L14" s="6">
        <f>'YTD CF'!J14-'YTD CF'!I14</f>
        <v/>
      </c>
      <c r="M14" s="6">
        <f>'CASH FLOW'!E14-'YTD CF'!J14</f>
        <v/>
      </c>
      <c r="N14" s="6">
        <f>'YTD CF'!K14</f>
        <v/>
      </c>
      <c r="O14" s="6">
        <f>'YTD CF'!L14-'YTD CF'!K14</f>
        <v/>
      </c>
      <c r="P14" s="6">
        <f>'YTD CF'!M14-'YTD CF'!L14</f>
        <v/>
      </c>
      <c r="Q14" s="6">
        <f>'CASH FLOW'!F14-'YTD CF'!M14</f>
        <v/>
      </c>
      <c r="R14" s="6">
        <f>'YTD CF'!N14</f>
        <v/>
      </c>
      <c r="S14" s="6">
        <f>'YTD CF'!O14-'YTD CF'!N14</f>
        <v/>
      </c>
      <c r="T14" s="7">
        <f>SUM(T2:T13)</f>
        <v/>
      </c>
      <c r="U14" s="7">
        <f>SUM(U2:U13)</f>
        <v/>
      </c>
      <c r="V14" s="7">
        <f>SUM(V2:V13)</f>
        <v/>
      </c>
      <c r="W14" s="7">
        <f>SUM(W2:W13)</f>
        <v/>
      </c>
      <c r="X14" s="7">
        <f>SUM(X2:X13)</f>
        <v/>
      </c>
      <c r="Y14" s="7">
        <f>SUM(Y2:Y13)</f>
        <v/>
      </c>
      <c r="Z14" s="7">
        <f>SUM(Z2:Z13)</f>
        <v/>
      </c>
      <c r="AA14" s="7">
        <f>SUM(AA2:AA13)</f>
        <v/>
      </c>
      <c r="AB14" s="7">
        <f>SUM(AB2:AB13)</f>
        <v/>
      </c>
      <c r="AC14" s="7">
        <f>SUM(AC2:AC13)</f>
        <v/>
      </c>
      <c r="AD14" s="7">
        <f>SUM(AD2:AD13)</f>
        <v/>
      </c>
      <c r="AE14" s="7">
        <f>SUM(AE2:AE13)</f>
        <v/>
      </c>
      <c r="AF14" s="7">
        <f>SUM(AF2:AF13)</f>
        <v/>
      </c>
      <c r="AG14" s="7">
        <f>SUM(AG2:AG13)</f>
        <v/>
      </c>
      <c r="AH14" s="7">
        <f>SUM(AH2:AH13)</f>
        <v/>
      </c>
      <c r="AI14" s="7">
        <f>SUM(AI2:AI13)</f>
        <v/>
      </c>
      <c r="AJ14" s="7">
        <f>SUM(AJ2:AJ13)</f>
        <v/>
      </c>
      <c r="AK14" s="7">
        <f>SUM(AK2:AK13)</f>
        <v/>
      </c>
      <c r="AL14" s="7">
        <f>SUM(AL2:AL13)</f>
        <v/>
      </c>
      <c r="AM14" s="7">
        <f>SUM(AM2:AM13)</f>
        <v/>
      </c>
      <c r="AN14" s="7">
        <f>SUM(AN2:AN13)</f>
        <v/>
      </c>
      <c r="AO14" s="7">
        <f>SUM(AO2:AO13)</f>
        <v/>
      </c>
    </row>
    <row r="15">
      <c r="A15" s="3" t="inlineStr">
        <is>
          <t>Purchase of PP&amp;E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4">
        <f>'YTD CF'!O15-'YTD CF'!N15</f>
        <v/>
      </c>
      <c r="T15" s="11">
        <f>'QTR P&amp;L'!T2*'CF DRIVERS'!T14</f>
        <v/>
      </c>
      <c r="U15" s="11">
        <f>'QTR P&amp;L'!U2*'CF DRIVERS'!U14</f>
        <v/>
      </c>
      <c r="V15" s="11">
        <f>'QTR P&amp;L'!V2*'CF DRIVERS'!V14</f>
        <v/>
      </c>
      <c r="W15" s="11">
        <f>'QTR P&amp;L'!W2*'CF DRIVERS'!W14</f>
        <v/>
      </c>
      <c r="X15" s="11">
        <f>'QTR P&amp;L'!X2*'CF DRIVERS'!X14</f>
        <v/>
      </c>
      <c r="Y15" s="11">
        <f>'QTR P&amp;L'!Y2*'CF DRIVERS'!Y14</f>
        <v/>
      </c>
      <c r="Z15" s="11">
        <f>'QTR P&amp;L'!Z2*'CF DRIVERS'!Z14</f>
        <v/>
      </c>
      <c r="AA15" s="11">
        <f>'QTR P&amp;L'!AA2*'CF DRIVERS'!AA14</f>
        <v/>
      </c>
      <c r="AB15" s="11">
        <f>'QTR P&amp;L'!AB2*'CF DRIVERS'!AB14</f>
        <v/>
      </c>
      <c r="AC15" s="11">
        <f>'QTR P&amp;L'!AC2*'CF DRIVERS'!AC14</f>
        <v/>
      </c>
      <c r="AD15" s="11">
        <f>'QTR P&amp;L'!AD2*'CF DRIVERS'!AD14</f>
        <v/>
      </c>
      <c r="AE15" s="11">
        <f>'QTR P&amp;L'!AE2*'CF DRIVERS'!AE14</f>
        <v/>
      </c>
      <c r="AF15" s="11">
        <f>'QTR P&amp;L'!AF2*'CF DRIVERS'!AF14</f>
        <v/>
      </c>
      <c r="AG15" s="11">
        <f>'QTR P&amp;L'!AG2*'CF DRIVERS'!AG14</f>
        <v/>
      </c>
      <c r="AH15" s="11">
        <f>'QTR P&amp;L'!AH2*'CF DRIVERS'!AH14</f>
        <v/>
      </c>
      <c r="AI15" s="11">
        <f>'QTR P&amp;L'!AI2*'CF DRIVERS'!AI14</f>
        <v/>
      </c>
      <c r="AJ15" s="11">
        <f>'QTR P&amp;L'!AJ2*'CF DRIVERS'!AJ14</f>
        <v/>
      </c>
      <c r="AK15" s="11">
        <f>'QTR P&amp;L'!AK2*'CF DRIVERS'!AK14</f>
        <v/>
      </c>
      <c r="AL15" s="11">
        <f>'QTR P&amp;L'!AL2*'CF DRIVERS'!AL14</f>
        <v/>
      </c>
      <c r="AM15" s="11">
        <f>'QTR P&amp;L'!AM2*'CF DRIVERS'!AM14</f>
        <v/>
      </c>
      <c r="AN15" s="11">
        <f>'QTR P&amp;L'!AN2*'CF DRIVERS'!AN14</f>
        <v/>
      </c>
      <c r="AO15" s="11">
        <f>'QTR P&amp;L'!AO2*'CF DRIVERS'!AO14</f>
        <v/>
      </c>
    </row>
    <row r="16">
      <c r="A16" s="3" t="inlineStr">
        <is>
          <t>Proceeds from Sale of Assets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4">
        <f>'YTD CF'!O16-'YTD CF'!N16</f>
        <v/>
      </c>
      <c r="T16" s="11">
        <f>'CF DRIVERS'!T15</f>
        <v/>
      </c>
      <c r="U16" s="11">
        <f>'CF DRIVERS'!U15</f>
        <v/>
      </c>
      <c r="V16" s="11">
        <f>'CF DRIVERS'!V15</f>
        <v/>
      </c>
      <c r="W16" s="11">
        <f>'CF DRIVERS'!W15</f>
        <v/>
      </c>
      <c r="X16" s="11">
        <f>'CF DRIVERS'!X15</f>
        <v/>
      </c>
      <c r="Y16" s="11">
        <f>'CF DRIVERS'!Y15</f>
        <v/>
      </c>
      <c r="Z16" s="11">
        <f>'CF DRIVERS'!Z15</f>
        <v/>
      </c>
      <c r="AA16" s="11">
        <f>'CF DRIVERS'!AA15</f>
        <v/>
      </c>
      <c r="AB16" s="11">
        <f>'CF DRIVERS'!AB15</f>
        <v/>
      </c>
      <c r="AC16" s="11">
        <f>'CF DRIVERS'!AC15</f>
        <v/>
      </c>
      <c r="AD16" s="11">
        <f>'CF DRIVERS'!AD15</f>
        <v/>
      </c>
      <c r="AE16" s="11">
        <f>'CF DRIVERS'!AE15</f>
        <v/>
      </c>
      <c r="AF16" s="11">
        <f>'CF DRIVERS'!AF15</f>
        <v/>
      </c>
      <c r="AG16" s="11">
        <f>'CF DRIVERS'!AG15</f>
        <v/>
      </c>
      <c r="AH16" s="11">
        <f>'CF DRIVERS'!AH15</f>
        <v/>
      </c>
      <c r="AI16" s="11">
        <f>'CF DRIVERS'!AI15</f>
        <v/>
      </c>
      <c r="AJ16" s="11">
        <f>'CF DRIVERS'!AJ15</f>
        <v/>
      </c>
      <c r="AK16" s="11">
        <f>'CF DRIVERS'!AK15</f>
        <v/>
      </c>
      <c r="AL16" s="11">
        <f>'CF DRIVERS'!AL15</f>
        <v/>
      </c>
      <c r="AM16" s="11">
        <f>'CF DRIVERS'!AM15</f>
        <v/>
      </c>
      <c r="AN16" s="11">
        <f>'CF DRIVERS'!AN15</f>
        <v/>
      </c>
      <c r="AO16" s="11">
        <f>'CF DRIVERS'!AO15</f>
        <v/>
      </c>
    </row>
    <row r="17">
      <c r="A17" s="3" t="inlineStr">
        <is>
          <t>Acquisitions, Net of Cash Acquired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4">
        <f>'YTD CF'!O17-'YTD CF'!N17</f>
        <v/>
      </c>
      <c r="T17" s="11">
        <f>'CF DRIVERS'!T16</f>
        <v/>
      </c>
      <c r="U17" s="11">
        <f>'CF DRIVERS'!U16</f>
        <v/>
      </c>
      <c r="V17" s="11">
        <f>'CF DRIVERS'!V16</f>
        <v/>
      </c>
      <c r="W17" s="11">
        <f>'CF DRIVERS'!W16</f>
        <v/>
      </c>
      <c r="X17" s="11">
        <f>'CF DRIVERS'!X16</f>
        <v/>
      </c>
      <c r="Y17" s="11">
        <f>'CF DRIVERS'!Y16</f>
        <v/>
      </c>
      <c r="Z17" s="11">
        <f>'CF DRIVERS'!Z16</f>
        <v/>
      </c>
      <c r="AA17" s="11">
        <f>'CF DRIVERS'!AA16</f>
        <v/>
      </c>
      <c r="AB17" s="11">
        <f>'CF DRIVERS'!AB16</f>
        <v/>
      </c>
      <c r="AC17" s="11">
        <f>'CF DRIVERS'!AC16</f>
        <v/>
      </c>
      <c r="AD17" s="11">
        <f>'CF DRIVERS'!AD16</f>
        <v/>
      </c>
      <c r="AE17" s="11">
        <f>'CF DRIVERS'!AE16</f>
        <v/>
      </c>
      <c r="AF17" s="11">
        <f>'CF DRIVERS'!AF16</f>
        <v/>
      </c>
      <c r="AG17" s="11">
        <f>'CF DRIVERS'!AG16</f>
        <v/>
      </c>
      <c r="AH17" s="11">
        <f>'CF DRIVERS'!AH16</f>
        <v/>
      </c>
      <c r="AI17" s="11">
        <f>'CF DRIVERS'!AI16</f>
        <v/>
      </c>
      <c r="AJ17" s="11">
        <f>'CF DRIVERS'!AJ16</f>
        <v/>
      </c>
      <c r="AK17" s="11">
        <f>'CF DRIVERS'!AK16</f>
        <v/>
      </c>
      <c r="AL17" s="11">
        <f>'CF DRIVERS'!AL16</f>
        <v/>
      </c>
      <c r="AM17" s="11">
        <f>'CF DRIVERS'!AM16</f>
        <v/>
      </c>
      <c r="AN17" s="11">
        <f>'CF DRIVERS'!AN16</f>
        <v/>
      </c>
      <c r="AO17" s="11">
        <f>'CF DRIVERS'!AO16</f>
        <v/>
      </c>
    </row>
    <row r="18">
      <c r="A18" s="3" t="inlineStr">
        <is>
          <t>Net Change in Short-Term Investments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R18" s="4">
        <f>'YTD CF'!N18</f>
        <v/>
      </c>
      <c r="S18" s="4">
        <f>'YTD CF'!O18-'YTD CF'!N18</f>
        <v/>
      </c>
      <c r="T18" s="11">
        <f>'CF DRIVERS'!T17</f>
        <v/>
      </c>
      <c r="U18" s="11">
        <f>'CF DRIVERS'!U17</f>
        <v/>
      </c>
      <c r="V18" s="11">
        <f>'CF DRIVERS'!V17</f>
        <v/>
      </c>
      <c r="W18" s="11">
        <f>'CF DRIVERS'!W17</f>
        <v/>
      </c>
      <c r="X18" s="11">
        <f>'CF DRIVERS'!X17</f>
        <v/>
      </c>
      <c r="Y18" s="11">
        <f>'CF DRIVERS'!Y17</f>
        <v/>
      </c>
      <c r="Z18" s="11">
        <f>'CF DRIVERS'!Z17</f>
        <v/>
      </c>
      <c r="AA18" s="11">
        <f>'CF DRIVERS'!AA17</f>
        <v/>
      </c>
      <c r="AB18" s="11">
        <f>'CF DRIVERS'!AB17</f>
        <v/>
      </c>
      <c r="AC18" s="11">
        <f>'CF DRIVERS'!AC17</f>
        <v/>
      </c>
      <c r="AD18" s="11">
        <f>'CF DRIVERS'!AD17</f>
        <v/>
      </c>
      <c r="AE18" s="11">
        <f>'CF DRIVERS'!AE17</f>
        <v/>
      </c>
      <c r="AF18" s="11">
        <f>'CF DRIVERS'!AF17</f>
        <v/>
      </c>
      <c r="AG18" s="11">
        <f>'CF DRIVERS'!AG17</f>
        <v/>
      </c>
      <c r="AH18" s="11">
        <f>'CF DRIVERS'!AH17</f>
        <v/>
      </c>
      <c r="AI18" s="11">
        <f>'CF DRIVERS'!AI17</f>
        <v/>
      </c>
      <c r="AJ18" s="11">
        <f>'CF DRIVERS'!AJ17</f>
        <v/>
      </c>
      <c r="AK18" s="11">
        <f>'CF DRIVERS'!AK17</f>
        <v/>
      </c>
      <c r="AL18" s="11">
        <f>'CF DRIVERS'!AL17</f>
        <v/>
      </c>
      <c r="AM18" s="11">
        <f>'CF DRIVERS'!AM17</f>
        <v/>
      </c>
      <c r="AN18" s="11">
        <f>'CF DRIVERS'!AN17</f>
        <v/>
      </c>
      <c r="AO18" s="11">
        <f>'CF DRIVERS'!AO17</f>
        <v/>
      </c>
    </row>
    <row r="19">
      <c r="A19" s="3" t="inlineStr">
        <is>
          <t>Other Investing Activities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FLOW'!C18-'YTD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FLOW'!D18-'YTD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FLOW'!E18-'YTD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FLOW'!F18-'YTD CF'!M19</f>
        <v/>
      </c>
      <c r="R19" s="4">
        <f>'YTD CF'!N19</f>
        <v/>
      </c>
      <c r="S19" s="4">
        <f>'YTD CF'!O19-'YTD CF'!N19</f>
        <v/>
      </c>
      <c r="T19" s="11">
        <f>'CF DRIVERS'!T18</f>
        <v/>
      </c>
      <c r="U19" s="11">
        <f>'CF DRIVERS'!U18</f>
        <v/>
      </c>
      <c r="V19" s="11">
        <f>'CF DRIVERS'!V18</f>
        <v/>
      </c>
      <c r="W19" s="11">
        <f>'CF DRIVERS'!W18</f>
        <v/>
      </c>
      <c r="X19" s="11">
        <f>'CF DRIVERS'!X18</f>
        <v/>
      </c>
      <c r="Y19" s="11">
        <f>'CF DRIVERS'!Y18</f>
        <v/>
      </c>
      <c r="Z19" s="11">
        <f>'CF DRIVERS'!Z18</f>
        <v/>
      </c>
      <c r="AA19" s="11">
        <f>'CF DRIVERS'!AA18</f>
        <v/>
      </c>
      <c r="AB19" s="11">
        <f>'CF DRIVERS'!AB18</f>
        <v/>
      </c>
      <c r="AC19" s="11">
        <f>'CF DRIVERS'!AC18</f>
        <v/>
      </c>
      <c r="AD19" s="11">
        <f>'CF DRIVERS'!AD18</f>
        <v/>
      </c>
      <c r="AE19" s="11">
        <f>'CF DRIVERS'!AE18</f>
        <v/>
      </c>
      <c r="AF19" s="11">
        <f>'CF DRIVERS'!AF18</f>
        <v/>
      </c>
      <c r="AG19" s="11">
        <f>'CF DRIVERS'!AG18</f>
        <v/>
      </c>
      <c r="AH19" s="11">
        <f>'CF DRIVERS'!AH18</f>
        <v/>
      </c>
      <c r="AI19" s="11">
        <f>'CF DRIVERS'!AI18</f>
        <v/>
      </c>
      <c r="AJ19" s="11">
        <f>'CF DRIVERS'!AJ18</f>
        <v/>
      </c>
      <c r="AK19" s="11">
        <f>'CF DRIVERS'!AK18</f>
        <v/>
      </c>
      <c r="AL19" s="11">
        <f>'CF DRIVERS'!AL18</f>
        <v/>
      </c>
      <c r="AM19" s="11">
        <f>'CF DRIVERS'!AM18</f>
        <v/>
      </c>
      <c r="AN19" s="11">
        <f>'CF DRIVERS'!AN18</f>
        <v/>
      </c>
      <c r="AO19" s="11">
        <f>'CF DRIVERS'!AO18</f>
        <v/>
      </c>
    </row>
    <row r="20">
      <c r="A20" s="3" t="inlineStr">
        <is>
          <t>Cash Flow from Investing</t>
        </is>
      </c>
      <c r="B20" s="6">
        <f>'YTD CF'!B20</f>
        <v/>
      </c>
      <c r="C20" s="6">
        <f>'YTD CF'!C20-'YTD CF'!B20</f>
        <v/>
      </c>
      <c r="D20" s="6">
        <f>'YTD CF'!D20-'YTD CF'!C20</f>
        <v/>
      </c>
      <c r="E20" s="6">
        <f>'CASH FLOW'!C19-'YTD CF'!D20</f>
        <v/>
      </c>
      <c r="F20" s="6">
        <f>'YTD CF'!E20</f>
        <v/>
      </c>
      <c r="G20" s="6">
        <f>'YTD CF'!F20-'YTD CF'!E20</f>
        <v/>
      </c>
      <c r="H20" s="6">
        <f>'YTD CF'!G20-'YTD CF'!F20</f>
        <v/>
      </c>
      <c r="I20" s="6">
        <f>'CASH FLOW'!D19-'YTD CF'!G20</f>
        <v/>
      </c>
      <c r="J20" s="6">
        <f>'YTD CF'!H20</f>
        <v/>
      </c>
      <c r="K20" s="6">
        <f>'YTD CF'!I20-'YTD CF'!H20</f>
        <v/>
      </c>
      <c r="L20" s="6">
        <f>'YTD CF'!J20-'YTD CF'!I20</f>
        <v/>
      </c>
      <c r="M20" s="6">
        <f>'CASH FLOW'!E19-'YTD CF'!J20</f>
        <v/>
      </c>
      <c r="N20" s="6">
        <f>'YTD CF'!K20</f>
        <v/>
      </c>
      <c r="O20" s="6">
        <f>'YTD CF'!L20-'YTD CF'!K20</f>
        <v/>
      </c>
      <c r="P20" s="6">
        <f>'YTD CF'!M20-'YTD CF'!L20</f>
        <v/>
      </c>
      <c r="Q20" s="6">
        <f>'CASH FLOW'!F19-'YTD CF'!M20</f>
        <v/>
      </c>
      <c r="R20" s="6">
        <f>'YTD CF'!N20</f>
        <v/>
      </c>
      <c r="S20" s="6">
        <f>'YTD CF'!O20-'YTD CF'!N20</f>
        <v/>
      </c>
      <c r="T20" s="7">
        <f>SUM(T15:T19)</f>
        <v/>
      </c>
      <c r="U20" s="7">
        <f>SUM(U15:U19)</f>
        <v/>
      </c>
      <c r="V20" s="7">
        <f>SUM(V15:V19)</f>
        <v/>
      </c>
      <c r="W20" s="7">
        <f>SUM(W15:W19)</f>
        <v/>
      </c>
      <c r="X20" s="7">
        <f>SUM(X15:X19)</f>
        <v/>
      </c>
      <c r="Y20" s="7">
        <f>SUM(Y15:Y19)</f>
        <v/>
      </c>
      <c r="Z20" s="7">
        <f>SUM(Z15:Z19)</f>
        <v/>
      </c>
      <c r="AA20" s="7">
        <f>SUM(AA15:AA19)</f>
        <v/>
      </c>
      <c r="AB20" s="7">
        <f>SUM(AB15:AB19)</f>
        <v/>
      </c>
      <c r="AC20" s="7">
        <f>SUM(AC15:AC19)</f>
        <v/>
      </c>
      <c r="AD20" s="7">
        <f>SUM(AD15:AD19)</f>
        <v/>
      </c>
      <c r="AE20" s="7">
        <f>SUM(AE15:AE19)</f>
        <v/>
      </c>
      <c r="AF20" s="7">
        <f>SUM(AF15:AF19)</f>
        <v/>
      </c>
      <c r="AG20" s="7">
        <f>SUM(AG15:AG19)</f>
        <v/>
      </c>
      <c r="AH20" s="7">
        <f>SUM(AH15:AH19)</f>
        <v/>
      </c>
      <c r="AI20" s="7">
        <f>SUM(AI15:AI19)</f>
        <v/>
      </c>
      <c r="AJ20" s="7">
        <f>SUM(AJ15:AJ19)</f>
        <v/>
      </c>
      <c r="AK20" s="7">
        <f>SUM(AK15:AK19)</f>
        <v/>
      </c>
      <c r="AL20" s="7">
        <f>SUM(AL15:AL19)</f>
        <v/>
      </c>
      <c r="AM20" s="7">
        <f>SUM(AM15:AM19)</f>
        <v/>
      </c>
      <c r="AN20" s="7">
        <f>SUM(AN15:AN19)</f>
        <v/>
      </c>
      <c r="AO20" s="7">
        <f>SUM(AO15:AO19)</f>
        <v/>
      </c>
    </row>
    <row r="21">
      <c r="A21" s="3" t="inlineStr">
        <is>
          <t>Common Dividends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FLOW'!C20-'YTD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FLOW'!D20-'YTD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FLOW'!E20-'YTD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FLOW'!F20-'YTD CF'!M21</f>
        <v/>
      </c>
      <c r="R21" s="4">
        <f>'YTD CF'!N21</f>
        <v/>
      </c>
      <c r="S21" s="4">
        <f>'YTD CF'!O21-'YTD CF'!N21</f>
        <v/>
      </c>
      <c r="T21" s="11">
        <f>'QTR P&amp;L'!T12*'CF DRIVERS'!T19</f>
        <v/>
      </c>
      <c r="U21" s="11">
        <f>'QTR P&amp;L'!U12*'CF DRIVERS'!U19</f>
        <v/>
      </c>
      <c r="V21" s="11">
        <f>'QTR P&amp;L'!V12*'CF DRIVERS'!V19</f>
        <v/>
      </c>
      <c r="W21" s="11">
        <f>'QTR P&amp;L'!W12*'CF DRIVERS'!W19</f>
        <v/>
      </c>
      <c r="X21" s="11">
        <f>'QTR P&amp;L'!X12*'CF DRIVERS'!X19</f>
        <v/>
      </c>
      <c r="Y21" s="11">
        <f>'QTR P&amp;L'!Y12*'CF DRIVERS'!Y19</f>
        <v/>
      </c>
      <c r="Z21" s="11">
        <f>'QTR P&amp;L'!Z12*'CF DRIVERS'!Z19</f>
        <v/>
      </c>
      <c r="AA21" s="11">
        <f>'QTR P&amp;L'!AA12*'CF DRIVERS'!AA19</f>
        <v/>
      </c>
      <c r="AB21" s="11">
        <f>'QTR P&amp;L'!AB12*'CF DRIVERS'!AB19</f>
        <v/>
      </c>
      <c r="AC21" s="11">
        <f>'QTR P&amp;L'!AC12*'CF DRIVERS'!AC19</f>
        <v/>
      </c>
      <c r="AD21" s="11">
        <f>'QTR P&amp;L'!AD12*'CF DRIVERS'!AD19</f>
        <v/>
      </c>
      <c r="AE21" s="11">
        <f>'QTR P&amp;L'!AE12*'CF DRIVERS'!AE19</f>
        <v/>
      </c>
      <c r="AF21" s="11">
        <f>'QTR P&amp;L'!AF12*'CF DRIVERS'!AF19</f>
        <v/>
      </c>
      <c r="AG21" s="11">
        <f>'QTR P&amp;L'!AG12*'CF DRIVERS'!AG19</f>
        <v/>
      </c>
      <c r="AH21" s="11">
        <f>'QTR P&amp;L'!AH12*'CF DRIVERS'!AH19</f>
        <v/>
      </c>
      <c r="AI21" s="11">
        <f>'QTR P&amp;L'!AI12*'CF DRIVERS'!AI19</f>
        <v/>
      </c>
      <c r="AJ21" s="11">
        <f>'QTR P&amp;L'!AJ12*'CF DRIVERS'!AJ19</f>
        <v/>
      </c>
      <c r="AK21" s="11">
        <f>'QTR P&amp;L'!AK12*'CF DRIVERS'!AK19</f>
        <v/>
      </c>
      <c r="AL21" s="11">
        <f>'QTR P&amp;L'!AL12*'CF DRIVERS'!AL19</f>
        <v/>
      </c>
      <c r="AM21" s="11">
        <f>'QTR P&amp;L'!AM12*'CF DRIVERS'!AM19</f>
        <v/>
      </c>
      <c r="AN21" s="11">
        <f>'QTR P&amp;L'!AN12*'CF DRIVERS'!AN19</f>
        <v/>
      </c>
      <c r="AO21" s="11">
        <f>'QTR P&amp;L'!AO12*'CF DRIVERS'!AO19</f>
        <v/>
      </c>
    </row>
    <row r="22">
      <c r="A22" s="3" t="inlineStr">
        <is>
          <t>Proceeds from Short-Term Debt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FLOW'!C21-'YTD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FLOW'!D21-'YTD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FLOW'!E21-'YTD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FLOW'!F21-'YTD CF'!M22</f>
        <v/>
      </c>
      <c r="R22" s="4">
        <f>'YTD CF'!N22</f>
        <v/>
      </c>
      <c r="S22" s="4">
        <f>'YTD CF'!O22-'YTD CF'!N22</f>
        <v/>
      </c>
      <c r="T22" s="11">
        <f>'CF DRIVERS'!T20</f>
        <v/>
      </c>
      <c r="U22" s="11">
        <f>'CF DRIVERS'!U20</f>
        <v/>
      </c>
      <c r="V22" s="11">
        <f>'CF DRIVERS'!V20</f>
        <v/>
      </c>
      <c r="W22" s="11">
        <f>'CF DRIVERS'!W20</f>
        <v/>
      </c>
      <c r="X22" s="11">
        <f>'CF DRIVERS'!X20</f>
        <v/>
      </c>
      <c r="Y22" s="11">
        <f>'CF DRIVERS'!Y20</f>
        <v/>
      </c>
      <c r="Z22" s="11">
        <f>'CF DRIVERS'!Z20</f>
        <v/>
      </c>
      <c r="AA22" s="11">
        <f>'CF DRIVERS'!AA20</f>
        <v/>
      </c>
      <c r="AB22" s="11">
        <f>'CF DRIVERS'!AB20</f>
        <v/>
      </c>
      <c r="AC22" s="11">
        <f>'CF DRIVERS'!AC20</f>
        <v/>
      </c>
      <c r="AD22" s="11">
        <f>'CF DRIVERS'!AD20</f>
        <v/>
      </c>
      <c r="AE22" s="11">
        <f>'CF DRIVERS'!AE20</f>
        <v/>
      </c>
      <c r="AF22" s="11">
        <f>'CF DRIVERS'!AF20</f>
        <v/>
      </c>
      <c r="AG22" s="11">
        <f>'CF DRIVERS'!AG20</f>
        <v/>
      </c>
      <c r="AH22" s="11">
        <f>'CF DRIVERS'!AH20</f>
        <v/>
      </c>
      <c r="AI22" s="11">
        <f>'CF DRIVERS'!AI20</f>
        <v/>
      </c>
      <c r="AJ22" s="11">
        <f>'CF DRIVERS'!AJ20</f>
        <v/>
      </c>
      <c r="AK22" s="11">
        <f>'CF DRIVERS'!AK20</f>
        <v/>
      </c>
      <c r="AL22" s="11">
        <f>'CF DRIVERS'!AL20</f>
        <v/>
      </c>
      <c r="AM22" s="11">
        <f>'CF DRIVERS'!AM20</f>
        <v/>
      </c>
      <c r="AN22" s="11">
        <f>'CF DRIVERS'!AN20</f>
        <v/>
      </c>
      <c r="AO22" s="11">
        <f>'CF DRIVERS'!AO20</f>
        <v/>
      </c>
    </row>
    <row r="23">
      <c r="A23" s="3" t="inlineStr">
        <is>
          <t>Repayments of Short-Term Debt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FLOW'!C22-'YTD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FLOW'!D22-'YTD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FLOW'!E22-'YTD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FLOW'!F22-'YTD CF'!M23</f>
        <v/>
      </c>
      <c r="R23" s="4">
        <f>'YTD CF'!N23</f>
        <v/>
      </c>
      <c r="S23" s="4">
        <f>'YTD CF'!O23-'YTD CF'!N23</f>
        <v/>
      </c>
      <c r="T23" s="11">
        <f>'CF DRIVERS'!T21</f>
        <v/>
      </c>
      <c r="U23" s="11">
        <f>'CF DRIVERS'!U21</f>
        <v/>
      </c>
      <c r="V23" s="11">
        <f>'CF DRIVERS'!V21</f>
        <v/>
      </c>
      <c r="W23" s="11">
        <f>'CF DRIVERS'!W21</f>
        <v/>
      </c>
      <c r="X23" s="11">
        <f>'CF DRIVERS'!X21</f>
        <v/>
      </c>
      <c r="Y23" s="11">
        <f>'CF DRIVERS'!Y21</f>
        <v/>
      </c>
      <c r="Z23" s="11">
        <f>'CF DRIVERS'!Z21</f>
        <v/>
      </c>
      <c r="AA23" s="11">
        <f>'CF DRIVERS'!AA21</f>
        <v/>
      </c>
      <c r="AB23" s="11">
        <f>'CF DRIVERS'!AB21</f>
        <v/>
      </c>
      <c r="AC23" s="11">
        <f>'CF DRIVERS'!AC21</f>
        <v/>
      </c>
      <c r="AD23" s="11">
        <f>'CF DRIVERS'!AD21</f>
        <v/>
      </c>
      <c r="AE23" s="11">
        <f>'CF DRIVERS'!AE21</f>
        <v/>
      </c>
      <c r="AF23" s="11">
        <f>'CF DRIVERS'!AF21</f>
        <v/>
      </c>
      <c r="AG23" s="11">
        <f>'CF DRIVERS'!AG21</f>
        <v/>
      </c>
      <c r="AH23" s="11">
        <f>'CF DRIVERS'!AH21</f>
        <v/>
      </c>
      <c r="AI23" s="11">
        <f>'CF DRIVERS'!AI21</f>
        <v/>
      </c>
      <c r="AJ23" s="11">
        <f>'CF DRIVERS'!AJ21</f>
        <v/>
      </c>
      <c r="AK23" s="11">
        <f>'CF DRIVERS'!AK21</f>
        <v/>
      </c>
      <c r="AL23" s="11">
        <f>'CF DRIVERS'!AL21</f>
        <v/>
      </c>
      <c r="AM23" s="11">
        <f>'CF DRIVERS'!AM21</f>
        <v/>
      </c>
      <c r="AN23" s="11">
        <f>'CF DRIVERS'!AN21</f>
        <v/>
      </c>
      <c r="AO23" s="11">
        <f>'CF DRIVERS'!AO21</f>
        <v/>
      </c>
    </row>
    <row r="24">
      <c r="A24" s="3" t="inlineStr">
        <is>
          <t>Net Change in Other Short-Term Debt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FLOW'!C23-'YTD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FLOW'!D23-'YTD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FLOW'!E23-'YTD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FLOW'!F23-'YTD CF'!M24</f>
        <v/>
      </c>
      <c r="R24" s="4">
        <f>'YTD CF'!N24</f>
        <v/>
      </c>
      <c r="S24" s="4">
        <f>'YTD CF'!O24-'YTD CF'!N24</f>
        <v/>
      </c>
      <c r="T24" s="11">
        <f>'CF DRIVERS'!T22</f>
        <v/>
      </c>
      <c r="U24" s="11">
        <f>'CF DRIVERS'!U22</f>
        <v/>
      </c>
      <c r="V24" s="11">
        <f>'CF DRIVERS'!V22</f>
        <v/>
      </c>
      <c r="W24" s="11">
        <f>'CF DRIVERS'!W22</f>
        <v/>
      </c>
      <c r="X24" s="11">
        <f>'CF DRIVERS'!X22</f>
        <v/>
      </c>
      <c r="Y24" s="11">
        <f>'CF DRIVERS'!Y22</f>
        <v/>
      </c>
      <c r="Z24" s="11">
        <f>'CF DRIVERS'!Z22</f>
        <v/>
      </c>
      <c r="AA24" s="11">
        <f>'CF DRIVERS'!AA22</f>
        <v/>
      </c>
      <c r="AB24" s="11">
        <f>'CF DRIVERS'!AB22</f>
        <v/>
      </c>
      <c r="AC24" s="11">
        <f>'CF DRIVERS'!AC22</f>
        <v/>
      </c>
      <c r="AD24" s="11">
        <f>'CF DRIVERS'!AD22</f>
        <v/>
      </c>
      <c r="AE24" s="11">
        <f>'CF DRIVERS'!AE22</f>
        <v/>
      </c>
      <c r="AF24" s="11">
        <f>'CF DRIVERS'!AF22</f>
        <v/>
      </c>
      <c r="AG24" s="11">
        <f>'CF DRIVERS'!AG22</f>
        <v/>
      </c>
      <c r="AH24" s="11">
        <f>'CF DRIVERS'!AH22</f>
        <v/>
      </c>
      <c r="AI24" s="11">
        <f>'CF DRIVERS'!AI22</f>
        <v/>
      </c>
      <c r="AJ24" s="11">
        <f>'CF DRIVERS'!AJ22</f>
        <v/>
      </c>
      <c r="AK24" s="11">
        <f>'CF DRIVERS'!AK22</f>
        <v/>
      </c>
      <c r="AL24" s="11">
        <f>'CF DRIVERS'!AL22</f>
        <v/>
      </c>
      <c r="AM24" s="11">
        <f>'CF DRIVERS'!AM22</f>
        <v/>
      </c>
      <c r="AN24" s="11">
        <f>'CF DRIVERS'!AN22</f>
        <v/>
      </c>
      <c r="AO24" s="11">
        <f>'CF DRIVERS'!AO22</f>
        <v/>
      </c>
    </row>
    <row r="25">
      <c r="A25" s="3" t="inlineStr">
        <is>
          <t>Proceeds from Issuance of Long-Term Debt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FLOW'!C24-'YTD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FLOW'!D24-'YTD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FLOW'!E24-'YTD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FLOW'!F24-'YTD CF'!M25</f>
        <v/>
      </c>
      <c r="R25" s="4">
        <f>'YTD CF'!N25</f>
        <v/>
      </c>
      <c r="S25" s="4">
        <f>'YTD CF'!O25-'YTD CF'!N25</f>
        <v/>
      </c>
      <c r="T25" s="11">
        <f>'CF DRIVERS'!T23</f>
        <v/>
      </c>
      <c r="U25" s="11">
        <f>'CF DRIVERS'!U23</f>
        <v/>
      </c>
      <c r="V25" s="11">
        <f>'CF DRIVERS'!V23</f>
        <v/>
      </c>
      <c r="W25" s="11">
        <f>'CF DRIVERS'!W23</f>
        <v/>
      </c>
      <c r="X25" s="11">
        <f>'CF DRIVERS'!X23</f>
        <v/>
      </c>
      <c r="Y25" s="11">
        <f>'CF DRIVERS'!Y23</f>
        <v/>
      </c>
      <c r="Z25" s="11">
        <f>'CF DRIVERS'!Z23</f>
        <v/>
      </c>
      <c r="AA25" s="11">
        <f>'CF DRIVERS'!AA23</f>
        <v/>
      </c>
      <c r="AB25" s="11">
        <f>'CF DRIVERS'!AB23</f>
        <v/>
      </c>
      <c r="AC25" s="11">
        <f>'CF DRIVERS'!AC23</f>
        <v/>
      </c>
      <c r="AD25" s="11">
        <f>'CF DRIVERS'!AD23</f>
        <v/>
      </c>
      <c r="AE25" s="11">
        <f>'CF DRIVERS'!AE23</f>
        <v/>
      </c>
      <c r="AF25" s="11">
        <f>'CF DRIVERS'!AF23</f>
        <v/>
      </c>
      <c r="AG25" s="11">
        <f>'CF DRIVERS'!AG23</f>
        <v/>
      </c>
      <c r="AH25" s="11">
        <f>'CF DRIVERS'!AH23</f>
        <v/>
      </c>
      <c r="AI25" s="11">
        <f>'CF DRIVERS'!AI23</f>
        <v/>
      </c>
      <c r="AJ25" s="11">
        <f>'CF DRIVERS'!AJ23</f>
        <v/>
      </c>
      <c r="AK25" s="11">
        <f>'CF DRIVERS'!AK23</f>
        <v/>
      </c>
      <c r="AL25" s="11">
        <f>'CF DRIVERS'!AL23</f>
        <v/>
      </c>
      <c r="AM25" s="11">
        <f>'CF DRIVERS'!AM23</f>
        <v/>
      </c>
      <c r="AN25" s="11">
        <f>'CF DRIVERS'!AN23</f>
        <v/>
      </c>
      <c r="AO25" s="11">
        <f>'CF DRIVERS'!AO23</f>
        <v/>
      </c>
    </row>
    <row r="26">
      <c r="A26" s="3" t="inlineStr">
        <is>
          <t>Repayments of Long-Term Debt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FLOW'!C25-'YTD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FLOW'!D25-'YTD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FLOW'!E25-'YTD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FLOW'!F25-'YTD CF'!M26</f>
        <v/>
      </c>
      <c r="R26" s="4">
        <f>'YTD CF'!N26</f>
        <v/>
      </c>
      <c r="S26" s="4">
        <f>'YTD CF'!O26-'YTD CF'!N26</f>
        <v/>
      </c>
      <c r="T26" s="11">
        <f>'CF DRIVERS'!T24</f>
        <v/>
      </c>
      <c r="U26" s="11">
        <f>'CF DRIVERS'!U24</f>
        <v/>
      </c>
      <c r="V26" s="11">
        <f>'CF DRIVERS'!V24</f>
        <v/>
      </c>
      <c r="W26" s="11">
        <f>'CF DRIVERS'!W24</f>
        <v/>
      </c>
      <c r="X26" s="11">
        <f>'CF DRIVERS'!X24</f>
        <v/>
      </c>
      <c r="Y26" s="11">
        <f>'CF DRIVERS'!Y24</f>
        <v/>
      </c>
      <c r="Z26" s="11">
        <f>'CF DRIVERS'!Z24</f>
        <v/>
      </c>
      <c r="AA26" s="11">
        <f>'CF DRIVERS'!AA24</f>
        <v/>
      </c>
      <c r="AB26" s="11">
        <f>'CF DRIVERS'!AB24</f>
        <v/>
      </c>
      <c r="AC26" s="11">
        <f>'CF DRIVERS'!AC24</f>
        <v/>
      </c>
      <c r="AD26" s="11">
        <f>'CF DRIVERS'!AD24</f>
        <v/>
      </c>
      <c r="AE26" s="11">
        <f>'CF DRIVERS'!AE24</f>
        <v/>
      </c>
      <c r="AF26" s="11">
        <f>'CF DRIVERS'!AF24</f>
        <v/>
      </c>
      <c r="AG26" s="11">
        <f>'CF DRIVERS'!AG24</f>
        <v/>
      </c>
      <c r="AH26" s="11">
        <f>'CF DRIVERS'!AH24</f>
        <v/>
      </c>
      <c r="AI26" s="11">
        <f>'CF DRIVERS'!AI24</f>
        <v/>
      </c>
      <c r="AJ26" s="11">
        <f>'CF DRIVERS'!AJ24</f>
        <v/>
      </c>
      <c r="AK26" s="11">
        <f>'CF DRIVERS'!AK24</f>
        <v/>
      </c>
      <c r="AL26" s="11">
        <f>'CF DRIVERS'!AL24</f>
        <v/>
      </c>
      <c r="AM26" s="11">
        <f>'CF DRIVERS'!AM24</f>
        <v/>
      </c>
      <c r="AN26" s="11">
        <f>'CF DRIVERS'!AN24</f>
        <v/>
      </c>
      <c r="AO26" s="11">
        <f>'CF DRIVERS'!AO24</f>
        <v/>
      </c>
    </row>
    <row r="27">
      <c r="A27" s="3" t="inlineStr">
        <is>
          <t>Share Repurchases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FLOW'!C26-'YTD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FLOW'!D26-'YTD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FLOW'!E26-'YTD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FLOW'!F26-'YTD CF'!M27</f>
        <v/>
      </c>
      <c r="R27" s="4">
        <f>'YTD CF'!N27</f>
        <v/>
      </c>
      <c r="S27" s="4">
        <f>'YTD CF'!O27-'YTD CF'!N27</f>
        <v/>
      </c>
      <c r="T27" s="11">
        <f>'CF DRIVERS'!T25</f>
        <v/>
      </c>
      <c r="U27" s="11">
        <f>'CF DRIVERS'!U25</f>
        <v/>
      </c>
      <c r="V27" s="11">
        <f>'CF DRIVERS'!V25</f>
        <v/>
      </c>
      <c r="W27" s="11">
        <f>'CF DRIVERS'!W25</f>
        <v/>
      </c>
      <c r="X27" s="11">
        <f>'CF DRIVERS'!X25</f>
        <v/>
      </c>
      <c r="Y27" s="11">
        <f>'CF DRIVERS'!Y25</f>
        <v/>
      </c>
      <c r="Z27" s="11">
        <f>'CF DRIVERS'!Z25</f>
        <v/>
      </c>
      <c r="AA27" s="11">
        <f>'CF DRIVERS'!AA25</f>
        <v/>
      </c>
      <c r="AB27" s="11">
        <f>'CF DRIVERS'!AB25</f>
        <v/>
      </c>
      <c r="AC27" s="11">
        <f>'CF DRIVERS'!AC25</f>
        <v/>
      </c>
      <c r="AD27" s="11">
        <f>'CF DRIVERS'!AD25</f>
        <v/>
      </c>
      <c r="AE27" s="11">
        <f>'CF DRIVERS'!AE25</f>
        <v/>
      </c>
      <c r="AF27" s="11">
        <f>'CF DRIVERS'!AF25</f>
        <v/>
      </c>
      <c r="AG27" s="11">
        <f>'CF DRIVERS'!AG25</f>
        <v/>
      </c>
      <c r="AH27" s="11">
        <f>'CF DRIVERS'!AH25</f>
        <v/>
      </c>
      <c r="AI27" s="11">
        <f>'CF DRIVERS'!AI25</f>
        <v/>
      </c>
      <c r="AJ27" s="11">
        <f>'CF DRIVERS'!AJ25</f>
        <v/>
      </c>
      <c r="AK27" s="11">
        <f>'CF DRIVERS'!AK25</f>
        <v/>
      </c>
      <c r="AL27" s="11">
        <f>'CF DRIVERS'!AL25</f>
        <v/>
      </c>
      <c r="AM27" s="11">
        <f>'CF DRIVERS'!AM25</f>
        <v/>
      </c>
      <c r="AN27" s="11">
        <f>'CF DRIVERS'!AN25</f>
        <v/>
      </c>
      <c r="AO27" s="11">
        <f>'CF DRIVERS'!AO25</f>
        <v/>
      </c>
    </row>
    <row r="28">
      <c r="A28" s="3" t="inlineStr">
        <is>
          <t>Stock Options &amp; Other Financing Activities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FLOW'!C27-'YTD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FLOW'!D27-'YTD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FLOW'!E27-'YTD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FLOW'!F27-'YTD CF'!M28</f>
        <v/>
      </c>
      <c r="R28" s="4">
        <f>'YTD CF'!N28</f>
        <v/>
      </c>
      <c r="S28" s="4">
        <f>'YTD CF'!O28-'YTD CF'!N28</f>
        <v/>
      </c>
      <c r="T28" s="11">
        <f>'CF DRIVERS'!T26</f>
        <v/>
      </c>
      <c r="U28" s="11">
        <f>'CF DRIVERS'!U26</f>
        <v/>
      </c>
      <c r="V28" s="11">
        <f>'CF DRIVERS'!V26</f>
        <v/>
      </c>
      <c r="W28" s="11">
        <f>'CF DRIVERS'!W26</f>
        <v/>
      </c>
      <c r="X28" s="11">
        <f>'CF DRIVERS'!X26</f>
        <v/>
      </c>
      <c r="Y28" s="11">
        <f>'CF DRIVERS'!Y26</f>
        <v/>
      </c>
      <c r="Z28" s="11">
        <f>'CF DRIVERS'!Z26</f>
        <v/>
      </c>
      <c r="AA28" s="11">
        <f>'CF DRIVERS'!AA26</f>
        <v/>
      </c>
      <c r="AB28" s="11">
        <f>'CF DRIVERS'!AB26</f>
        <v/>
      </c>
      <c r="AC28" s="11">
        <f>'CF DRIVERS'!AC26</f>
        <v/>
      </c>
      <c r="AD28" s="11">
        <f>'CF DRIVERS'!AD26</f>
        <v/>
      </c>
      <c r="AE28" s="11">
        <f>'CF DRIVERS'!AE26</f>
        <v/>
      </c>
      <c r="AF28" s="11">
        <f>'CF DRIVERS'!AF26</f>
        <v/>
      </c>
      <c r="AG28" s="11">
        <f>'CF DRIVERS'!AG26</f>
        <v/>
      </c>
      <c r="AH28" s="11">
        <f>'CF DRIVERS'!AH26</f>
        <v/>
      </c>
      <c r="AI28" s="11">
        <f>'CF DRIVERS'!AI26</f>
        <v/>
      </c>
      <c r="AJ28" s="11">
        <f>'CF DRIVERS'!AJ26</f>
        <v/>
      </c>
      <c r="AK28" s="11">
        <f>'CF DRIVERS'!AK26</f>
        <v/>
      </c>
      <c r="AL28" s="11">
        <f>'CF DRIVERS'!AL26</f>
        <v/>
      </c>
      <c r="AM28" s="11">
        <f>'CF DRIVERS'!AM26</f>
        <v/>
      </c>
      <c r="AN28" s="11">
        <f>'CF DRIVERS'!AN26</f>
        <v/>
      </c>
      <c r="AO28" s="11">
        <f>'CF DRIVERS'!AO26</f>
        <v/>
      </c>
    </row>
    <row r="29">
      <c r="A29" s="3" t="inlineStr">
        <is>
          <t>Cash Flow from Financing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FLOW'!C28-'YTD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FLOW'!D28-'YTD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FLOW'!E28-'YTD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FLOW'!F28-'YTD CF'!M29</f>
        <v/>
      </c>
      <c r="R29" s="6">
        <f>'YTD CF'!N29</f>
        <v/>
      </c>
      <c r="S29" s="6">
        <f>'YTD CF'!O29-'YTD CF'!N29</f>
        <v/>
      </c>
      <c r="T29" s="7">
        <f>SUM(T21:T28)</f>
        <v/>
      </c>
      <c r="U29" s="7">
        <f>SUM(U21:U28)</f>
        <v/>
      </c>
      <c r="V29" s="7">
        <f>SUM(V21:V28)</f>
        <v/>
      </c>
      <c r="W29" s="7">
        <f>SUM(W21:W28)</f>
        <v/>
      </c>
      <c r="X29" s="7">
        <f>SUM(X21:X28)</f>
        <v/>
      </c>
      <c r="Y29" s="7">
        <f>SUM(Y21:Y28)</f>
        <v/>
      </c>
      <c r="Z29" s="7">
        <f>SUM(Z21:Z28)</f>
        <v/>
      </c>
      <c r="AA29" s="7">
        <f>SUM(AA21:AA28)</f>
        <v/>
      </c>
      <c r="AB29" s="7">
        <f>SUM(AB21:AB28)</f>
        <v/>
      </c>
      <c r="AC29" s="7">
        <f>SUM(AC21:AC28)</f>
        <v/>
      </c>
      <c r="AD29" s="7">
        <f>SUM(AD21:AD28)</f>
        <v/>
      </c>
      <c r="AE29" s="7">
        <f>SUM(AE21:AE28)</f>
        <v/>
      </c>
      <c r="AF29" s="7">
        <f>SUM(AF21:AF28)</f>
        <v/>
      </c>
      <c r="AG29" s="7">
        <f>SUM(AG21:AG28)</f>
        <v/>
      </c>
      <c r="AH29" s="7">
        <f>SUM(AH21:AH28)</f>
        <v/>
      </c>
      <c r="AI29" s="7">
        <f>SUM(AI21:AI28)</f>
        <v/>
      </c>
      <c r="AJ29" s="7">
        <f>SUM(AJ21:AJ28)</f>
        <v/>
      </c>
      <c r="AK29" s="7">
        <f>SUM(AK21:AK28)</f>
        <v/>
      </c>
      <c r="AL29" s="7">
        <f>SUM(AL21:AL28)</f>
        <v/>
      </c>
      <c r="AM29" s="7">
        <f>SUM(AM21:AM28)</f>
        <v/>
      </c>
      <c r="AN29" s="7">
        <f>SUM(AN21:AN28)</f>
        <v/>
      </c>
      <c r="AO29" s="7">
        <f>SUM(AO21:AO28)</f>
        <v/>
      </c>
    </row>
    <row r="30">
      <c r="A30" s="3" t="inlineStr">
        <is>
          <t>FX Effect on Cash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FLOW'!C29-'YTD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FLOW'!D29-'YTD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FLOW'!E29-'YTD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FLOW'!F29-'YTD CF'!M30</f>
        <v/>
      </c>
      <c r="R30" s="4">
        <f>'YTD CF'!N30</f>
        <v/>
      </c>
      <c r="S30" s="4">
        <f>'YTD CF'!O30-'YTD CF'!N30</f>
        <v/>
      </c>
      <c r="T30" s="11">
        <f>'CF DRIVERS'!T27</f>
        <v/>
      </c>
      <c r="U30" s="11">
        <f>'CF DRIVERS'!U27</f>
        <v/>
      </c>
      <c r="V30" s="11">
        <f>'CF DRIVERS'!V27</f>
        <v/>
      </c>
      <c r="W30" s="11">
        <f>'CF DRIVERS'!W27</f>
        <v/>
      </c>
      <c r="X30" s="11">
        <f>'CF DRIVERS'!X27</f>
        <v/>
      </c>
      <c r="Y30" s="11">
        <f>'CF DRIVERS'!Y27</f>
        <v/>
      </c>
      <c r="Z30" s="11">
        <f>'CF DRIVERS'!Z27</f>
        <v/>
      </c>
      <c r="AA30" s="11">
        <f>'CF DRIVERS'!AA27</f>
        <v/>
      </c>
      <c r="AB30" s="11">
        <f>'CF DRIVERS'!AB27</f>
        <v/>
      </c>
      <c r="AC30" s="11">
        <f>'CF DRIVERS'!AC27</f>
        <v/>
      </c>
      <c r="AD30" s="11">
        <f>'CF DRIVERS'!AD27</f>
        <v/>
      </c>
      <c r="AE30" s="11">
        <f>'CF DRIVERS'!AE27</f>
        <v/>
      </c>
      <c r="AF30" s="11">
        <f>'CF DRIVERS'!AF27</f>
        <v/>
      </c>
      <c r="AG30" s="11">
        <f>'CF DRIVERS'!AG27</f>
        <v/>
      </c>
      <c r="AH30" s="11">
        <f>'CF DRIVERS'!AH27</f>
        <v/>
      </c>
      <c r="AI30" s="11">
        <f>'CF DRIVERS'!AI27</f>
        <v/>
      </c>
      <c r="AJ30" s="11">
        <f>'CF DRIVERS'!AJ27</f>
        <v/>
      </c>
      <c r="AK30" s="11">
        <f>'CF DRIVERS'!AK27</f>
        <v/>
      </c>
      <c r="AL30" s="11">
        <f>'CF DRIVERS'!AL27</f>
        <v/>
      </c>
      <c r="AM30" s="11">
        <f>'CF DRIVERS'!AM27</f>
        <v/>
      </c>
      <c r="AN30" s="11">
        <f>'CF DRIVERS'!AN27</f>
        <v/>
      </c>
      <c r="AO30" s="11">
        <f>'CF DRIVERS'!AO27</f>
        <v/>
      </c>
    </row>
    <row r="31">
      <c r="A31" s="3" t="inlineStr">
        <is>
          <t>Net Change in Cash</t>
        </is>
      </c>
      <c r="B31" s="6">
        <f>'YTD CF'!B31</f>
        <v/>
      </c>
      <c r="C31" s="6">
        <f>'YTD CF'!C31-'YTD CF'!B31</f>
        <v/>
      </c>
      <c r="D31" s="6">
        <f>'YTD CF'!D31-'YTD CF'!C31</f>
        <v/>
      </c>
      <c r="E31" s="6">
        <f>'CASH FLOW'!C30-'YTD CF'!D31</f>
        <v/>
      </c>
      <c r="F31" s="6">
        <f>'YTD CF'!E31</f>
        <v/>
      </c>
      <c r="G31" s="6">
        <f>'YTD CF'!F31-'YTD CF'!E31</f>
        <v/>
      </c>
      <c r="H31" s="6">
        <f>'YTD CF'!G31-'YTD CF'!F31</f>
        <v/>
      </c>
      <c r="I31" s="6">
        <f>'CASH FLOW'!D30-'YTD CF'!G31</f>
        <v/>
      </c>
      <c r="J31" s="6">
        <f>'YTD CF'!H31</f>
        <v/>
      </c>
      <c r="K31" s="6">
        <f>'YTD CF'!I31-'YTD CF'!H31</f>
        <v/>
      </c>
      <c r="L31" s="6">
        <f>'YTD CF'!J31-'YTD CF'!I31</f>
        <v/>
      </c>
      <c r="M31" s="6">
        <f>'CASH FLOW'!E30-'YTD CF'!J31</f>
        <v/>
      </c>
      <c r="N31" s="6">
        <f>'YTD CF'!K31</f>
        <v/>
      </c>
      <c r="O31" s="6">
        <f>'YTD CF'!L31-'YTD CF'!K31</f>
        <v/>
      </c>
      <c r="P31" s="6">
        <f>'YTD CF'!M31-'YTD CF'!L31</f>
        <v/>
      </c>
      <c r="Q31" s="6">
        <f>'CASH FLOW'!F30-'YTD CF'!M31</f>
        <v/>
      </c>
      <c r="R31" s="6">
        <f>'YTD CF'!N31</f>
        <v/>
      </c>
      <c r="S31" s="6">
        <f>'YTD CF'!O31-'YTD CF'!N31</f>
        <v/>
      </c>
      <c r="T31" s="7">
        <f>T14+T20+T29+T30</f>
        <v/>
      </c>
      <c r="U31" s="7">
        <f>U14+U20+U29+U30</f>
        <v/>
      </c>
      <c r="V31" s="7">
        <f>V14+V20+V29+V30</f>
        <v/>
      </c>
      <c r="W31" s="7">
        <f>W14+W20+W29+W30</f>
        <v/>
      </c>
      <c r="X31" s="7">
        <f>X14+X20+X29+X30</f>
        <v/>
      </c>
      <c r="Y31" s="7">
        <f>Y14+Y20+Y29+Y30</f>
        <v/>
      </c>
      <c r="Z31" s="7">
        <f>Z14+Z20+Z29+Z30</f>
        <v/>
      </c>
      <c r="AA31" s="7">
        <f>AA14+AA20+AA29+AA30</f>
        <v/>
      </c>
      <c r="AB31" s="7">
        <f>AB14+AB20+AB29+AB30</f>
        <v/>
      </c>
      <c r="AC31" s="7">
        <f>AC14+AC20+AC29+AC30</f>
        <v/>
      </c>
      <c r="AD31" s="7">
        <f>AD14+AD20+AD29+AD30</f>
        <v/>
      </c>
      <c r="AE31" s="7">
        <f>AE14+AE20+AE29+AE30</f>
        <v/>
      </c>
      <c r="AF31" s="7">
        <f>AF14+AF20+AF29+AF30</f>
        <v/>
      </c>
      <c r="AG31" s="7">
        <f>AG14+AG20+AG29+AG30</f>
        <v/>
      </c>
      <c r="AH31" s="7">
        <f>AH14+AH20+AH29+AH30</f>
        <v/>
      </c>
      <c r="AI31" s="7">
        <f>AI14+AI20+AI29+AI30</f>
        <v/>
      </c>
      <c r="AJ31" s="7">
        <f>AJ14+AJ20+AJ29+AJ30</f>
        <v/>
      </c>
      <c r="AK31" s="7">
        <f>AK14+AK20+AK29+AK30</f>
        <v/>
      </c>
      <c r="AL31" s="7">
        <f>AL14+AL20+AL29+AL30</f>
        <v/>
      </c>
      <c r="AM31" s="7">
        <f>AM14+AM20+AM29+AM30</f>
        <v/>
      </c>
      <c r="AN31" s="7">
        <f>AN14+AN20+AN29+AN30</f>
        <v/>
      </c>
      <c r="AO31" s="7">
        <f>AO14+AO20+AO29+AO30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3">
        <f>IFERROR('QTR P&amp;L'!S2/IF($B2="QoQ",'QTR P&amp;L'!R2,'QTR P&amp;L'!O2)-1,"")</f>
        <v/>
      </c>
      <c r="U2" s="14">
        <f>T2</f>
        <v/>
      </c>
      <c r="V2" s="14">
        <f>T2</f>
        <v/>
      </c>
      <c r="W2" s="14">
        <f>T2</f>
        <v/>
      </c>
      <c r="X2" s="14">
        <f>T2</f>
        <v/>
      </c>
      <c r="Y2" s="14">
        <f>T2</f>
        <v/>
      </c>
      <c r="Z2" s="14">
        <f>T2</f>
        <v/>
      </c>
      <c r="AA2" s="14">
        <f>T2</f>
        <v/>
      </c>
      <c r="AB2" s="14">
        <f>T2</f>
        <v/>
      </c>
      <c r="AC2" s="14">
        <f>T2</f>
        <v/>
      </c>
      <c r="AD2" s="14">
        <f>T2</f>
        <v/>
      </c>
      <c r="AE2" s="14">
        <f>T2</f>
        <v/>
      </c>
      <c r="AF2" s="14">
        <f>T2</f>
        <v/>
      </c>
      <c r="AG2" s="14">
        <f>T2</f>
        <v/>
      </c>
      <c r="AH2" s="14">
        <f>T2</f>
        <v/>
      </c>
      <c r="AI2" s="14">
        <f>T2</f>
        <v/>
      </c>
      <c r="AJ2" s="14">
        <f>T2</f>
        <v/>
      </c>
      <c r="AK2" s="14">
        <f>T2</f>
        <v/>
      </c>
      <c r="AL2" s="14">
        <f>T2</f>
        <v/>
      </c>
      <c r="AM2" s="14">
        <f>T2</f>
        <v/>
      </c>
      <c r="AN2" s="14">
        <f>T2</f>
        <v/>
      </c>
      <c r="AO2" s="14">
        <f>T2</f>
        <v/>
      </c>
      <c r="AP2" s="14">
        <f>T2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3">
        <f>IFERROR('QTR P&amp;L'!S3/'QTR P&amp;L'!S2,"")</f>
        <v/>
      </c>
      <c r="U3" s="14">
        <f>T3</f>
        <v/>
      </c>
      <c r="V3" s="14">
        <f>T3</f>
        <v/>
      </c>
      <c r="W3" s="14">
        <f>T3</f>
        <v/>
      </c>
      <c r="X3" s="14">
        <f>T3</f>
        <v/>
      </c>
      <c r="Y3" s="14">
        <f>T3</f>
        <v/>
      </c>
      <c r="Z3" s="14">
        <f>T3</f>
        <v/>
      </c>
      <c r="AA3" s="14">
        <f>T3</f>
        <v/>
      </c>
      <c r="AB3" s="14">
        <f>T3</f>
        <v/>
      </c>
      <c r="AC3" s="14">
        <f>T3</f>
        <v/>
      </c>
      <c r="AD3" s="14">
        <f>T3</f>
        <v/>
      </c>
      <c r="AE3" s="14">
        <f>T3</f>
        <v/>
      </c>
      <c r="AF3" s="14">
        <f>T3</f>
        <v/>
      </c>
      <c r="AG3" s="14">
        <f>T3</f>
        <v/>
      </c>
      <c r="AH3" s="14">
        <f>T3</f>
        <v/>
      </c>
      <c r="AI3" s="14">
        <f>T3</f>
        <v/>
      </c>
      <c r="AJ3" s="14">
        <f>T3</f>
        <v/>
      </c>
      <c r="AK3" s="14">
        <f>T3</f>
        <v/>
      </c>
      <c r="AL3" s="14">
        <f>T3</f>
        <v/>
      </c>
      <c r="AM3" s="14">
        <f>T3</f>
        <v/>
      </c>
      <c r="AN3" s="14">
        <f>T3</f>
        <v/>
      </c>
      <c r="AO3" s="14">
        <f>T3</f>
        <v/>
      </c>
      <c r="AP3" s="14">
        <f>T3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3">
        <f>IFERROR('QTR P&amp;L'!S5/'QTR P&amp;L'!S2,"")</f>
        <v/>
      </c>
      <c r="U4" s="14">
        <f>T4</f>
        <v/>
      </c>
      <c r="V4" s="14">
        <f>T4</f>
        <v/>
      </c>
      <c r="W4" s="14">
        <f>T4</f>
        <v/>
      </c>
      <c r="X4" s="14">
        <f>T4</f>
        <v/>
      </c>
      <c r="Y4" s="14">
        <f>T4</f>
        <v/>
      </c>
      <c r="Z4" s="14">
        <f>T4</f>
        <v/>
      </c>
      <c r="AA4" s="14">
        <f>T4</f>
        <v/>
      </c>
      <c r="AB4" s="14">
        <f>T4</f>
        <v/>
      </c>
      <c r="AC4" s="14">
        <f>T4</f>
        <v/>
      </c>
      <c r="AD4" s="14">
        <f>T4</f>
        <v/>
      </c>
      <c r="AE4" s="14">
        <f>T4</f>
        <v/>
      </c>
      <c r="AF4" s="14">
        <f>T4</f>
        <v/>
      </c>
      <c r="AG4" s="14">
        <f>T4</f>
        <v/>
      </c>
      <c r="AH4" s="14">
        <f>T4</f>
        <v/>
      </c>
      <c r="AI4" s="14">
        <f>T4</f>
        <v/>
      </c>
      <c r="AJ4" s="14">
        <f>T4</f>
        <v/>
      </c>
      <c r="AK4" s="14">
        <f>T4</f>
        <v/>
      </c>
      <c r="AL4" s="14">
        <f>T4</f>
        <v/>
      </c>
      <c r="AM4" s="14">
        <f>T4</f>
        <v/>
      </c>
      <c r="AN4" s="14">
        <f>T4</f>
        <v/>
      </c>
      <c r="AO4" s="14">
        <f>T4</f>
        <v/>
      </c>
      <c r="AP4" s="14">
        <f>T4</f>
        <v/>
      </c>
    </row>
    <row r="5">
      <c r="A5" s="3" t="inlineStr">
        <is>
          <t>Impairment of Intangibles — % of Revenue</t>
        </is>
      </c>
      <c r="C5" s="13">
        <f>IFERROR('QTR P&amp;L'!B6/'QTR P&amp;L'!B2,"")</f>
        <v/>
      </c>
      <c r="D5" s="13">
        <f>IFERROR('QTR P&amp;L'!C6/'QTR P&amp;L'!C2,"")</f>
        <v/>
      </c>
      <c r="E5" s="13">
        <f>IFERROR('QTR P&amp;L'!D6/'QTR P&amp;L'!D2,"")</f>
        <v/>
      </c>
      <c r="F5" s="13">
        <f>IFERROR('QTR P&amp;L'!E6/'QTR P&amp;L'!E2,"")</f>
        <v/>
      </c>
      <c r="G5" s="13">
        <f>IFERROR('QTR P&amp;L'!F6/'QTR P&amp;L'!F2,"")</f>
        <v/>
      </c>
      <c r="H5" s="13">
        <f>IFERROR('QTR P&amp;L'!G6/'QTR P&amp;L'!G2,"")</f>
        <v/>
      </c>
      <c r="I5" s="13">
        <f>IFERROR('QTR P&amp;L'!H6/'QTR P&amp;L'!H2,"")</f>
        <v/>
      </c>
      <c r="J5" s="13">
        <f>IFERROR('QTR P&amp;L'!I6/'QTR P&amp;L'!I2,"")</f>
        <v/>
      </c>
      <c r="K5" s="13">
        <f>IFERROR('QTR P&amp;L'!J6/'QTR P&amp;L'!J2,"")</f>
        <v/>
      </c>
      <c r="L5" s="13">
        <f>IFERROR('QTR P&amp;L'!K6/'QTR P&amp;L'!K2,"")</f>
        <v/>
      </c>
      <c r="M5" s="13">
        <f>IFERROR('QTR P&amp;L'!L6/'QTR P&amp;L'!L2,"")</f>
        <v/>
      </c>
      <c r="N5" s="13">
        <f>IFERROR('QTR P&amp;L'!M6/'QTR P&amp;L'!M2,"")</f>
        <v/>
      </c>
      <c r="O5" s="13">
        <f>IFERROR('QTR P&amp;L'!N6/'QTR P&amp;L'!N2,"")</f>
        <v/>
      </c>
      <c r="P5" s="13">
        <f>IFERROR('QTR P&amp;L'!O6/'QTR P&amp;L'!O2,"")</f>
        <v/>
      </c>
      <c r="Q5" s="13">
        <f>IFERROR('QTR P&amp;L'!P6/'QTR P&amp;L'!P2,"")</f>
        <v/>
      </c>
      <c r="R5" s="13">
        <f>IFERROR('QTR P&amp;L'!Q6/'QTR P&amp;L'!Q2,"")</f>
        <v/>
      </c>
      <c r="S5" s="13">
        <f>IFERROR('QTR P&amp;L'!R6/'QTR P&amp;L'!R2,"")</f>
        <v/>
      </c>
      <c r="T5" s="13">
        <f>IFERROR('QTR P&amp;L'!S6/'QTR P&amp;L'!S2,"")</f>
        <v/>
      </c>
      <c r="U5" s="14">
        <f>T5</f>
        <v/>
      </c>
      <c r="V5" s="14">
        <f>T5</f>
        <v/>
      </c>
      <c r="W5" s="14">
        <f>T5</f>
        <v/>
      </c>
      <c r="X5" s="14">
        <f>T5</f>
        <v/>
      </c>
      <c r="Y5" s="14">
        <f>T5</f>
        <v/>
      </c>
      <c r="Z5" s="14">
        <f>T5</f>
        <v/>
      </c>
      <c r="AA5" s="14">
        <f>T5</f>
        <v/>
      </c>
      <c r="AB5" s="14">
        <f>T5</f>
        <v/>
      </c>
      <c r="AC5" s="14">
        <f>T5</f>
        <v/>
      </c>
      <c r="AD5" s="14">
        <f>T5</f>
        <v/>
      </c>
      <c r="AE5" s="14">
        <f>T5</f>
        <v/>
      </c>
      <c r="AF5" s="14">
        <f>T5</f>
        <v/>
      </c>
      <c r="AG5" s="14">
        <f>T5</f>
        <v/>
      </c>
      <c r="AH5" s="14">
        <f>T5</f>
        <v/>
      </c>
      <c r="AI5" s="14">
        <f>T5</f>
        <v/>
      </c>
      <c r="AJ5" s="14">
        <f>T5</f>
        <v/>
      </c>
      <c r="AK5" s="14">
        <f>T5</f>
        <v/>
      </c>
      <c r="AL5" s="14">
        <f>T5</f>
        <v/>
      </c>
      <c r="AM5" s="14">
        <f>T5</f>
        <v/>
      </c>
      <c r="AN5" s="14">
        <f>T5</f>
        <v/>
      </c>
      <c r="AO5" s="14">
        <f>T5</f>
        <v/>
      </c>
      <c r="AP5" s="14">
        <f>T5</f>
        <v/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4">
        <f>'QTR P&amp;L'!R8</f>
        <v/>
      </c>
      <c r="T6" s="4">
        <f>'QTR P&amp;L'!S8</f>
        <v/>
      </c>
      <c r="U6" s="15">
        <f>T6</f>
        <v/>
      </c>
      <c r="V6" s="15">
        <f>T6</f>
        <v/>
      </c>
      <c r="W6" s="15">
        <f>T6</f>
        <v/>
      </c>
      <c r="X6" s="15">
        <f>T6</f>
        <v/>
      </c>
      <c r="Y6" s="15">
        <f>T6</f>
        <v/>
      </c>
      <c r="Z6" s="15">
        <f>T6</f>
        <v/>
      </c>
      <c r="AA6" s="15">
        <f>T6</f>
        <v/>
      </c>
      <c r="AB6" s="15">
        <f>T6</f>
        <v/>
      </c>
      <c r="AC6" s="15">
        <f>T6</f>
        <v/>
      </c>
      <c r="AD6" s="15">
        <f>T6</f>
        <v/>
      </c>
      <c r="AE6" s="15">
        <f>T6</f>
        <v/>
      </c>
      <c r="AF6" s="15">
        <f>T6</f>
        <v/>
      </c>
      <c r="AG6" s="15">
        <f>T6</f>
        <v/>
      </c>
      <c r="AH6" s="15">
        <f>T6</f>
        <v/>
      </c>
      <c r="AI6" s="15">
        <f>T6</f>
        <v/>
      </c>
      <c r="AJ6" s="15">
        <f>T6</f>
        <v/>
      </c>
      <c r="AK6" s="15">
        <f>T6</f>
        <v/>
      </c>
      <c r="AL6" s="15">
        <f>T6</f>
        <v/>
      </c>
      <c r="AM6" s="15">
        <f>T6</f>
        <v/>
      </c>
      <c r="AN6" s="15">
        <f>T6</f>
        <v/>
      </c>
      <c r="AO6" s="15">
        <f>T6</f>
        <v/>
      </c>
      <c r="AP6" s="15">
        <f>T6</f>
        <v/>
      </c>
    </row>
    <row r="7">
      <c r="A7" s="3" t="inlineStr">
        <is>
          <t>Other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4">
        <f>'QTR P&amp;L'!S9</f>
        <v/>
      </c>
      <c r="U7" s="15">
        <f>T7</f>
        <v/>
      </c>
      <c r="V7" s="15">
        <f>T7</f>
        <v/>
      </c>
      <c r="W7" s="15">
        <f>T7</f>
        <v/>
      </c>
      <c r="X7" s="15">
        <f>T7</f>
        <v/>
      </c>
      <c r="Y7" s="15">
        <f>T7</f>
        <v/>
      </c>
      <c r="Z7" s="15">
        <f>T7</f>
        <v/>
      </c>
      <c r="AA7" s="15">
        <f>T7</f>
        <v/>
      </c>
      <c r="AB7" s="15">
        <f>T7</f>
        <v/>
      </c>
      <c r="AC7" s="15">
        <f>T7</f>
        <v/>
      </c>
      <c r="AD7" s="15">
        <f>T7</f>
        <v/>
      </c>
      <c r="AE7" s="15">
        <f>T7</f>
        <v/>
      </c>
      <c r="AF7" s="15">
        <f>T7</f>
        <v/>
      </c>
      <c r="AG7" s="15">
        <f>T7</f>
        <v/>
      </c>
      <c r="AH7" s="15">
        <f>T7</f>
        <v/>
      </c>
      <c r="AI7" s="15">
        <f>T7</f>
        <v/>
      </c>
      <c r="AJ7" s="15">
        <f>T7</f>
        <v/>
      </c>
      <c r="AK7" s="15">
        <f>T7</f>
        <v/>
      </c>
      <c r="AL7" s="15">
        <f>T7</f>
        <v/>
      </c>
      <c r="AM7" s="15">
        <f>T7</f>
        <v/>
      </c>
      <c r="AN7" s="15">
        <f>T7</f>
        <v/>
      </c>
      <c r="AO7" s="15">
        <f>T7</f>
        <v/>
      </c>
      <c r="AP7" s="15">
        <f>T7</f>
        <v/>
      </c>
    </row>
    <row r="8">
      <c r="A8" s="3" t="inlineStr">
        <is>
          <t>Income Tax (Expense) Benefit — Effective Tax Rate %</t>
        </is>
      </c>
      <c r="C8" s="13">
        <f>IFERROR('QTR P&amp;L'!B11/'QTR P&amp;L'!B10,"")</f>
        <v/>
      </c>
      <c r="D8" s="13">
        <f>IFERROR('QTR P&amp;L'!C11/'QTR P&amp;L'!C10,"")</f>
        <v/>
      </c>
      <c r="E8" s="13">
        <f>IFERROR('QTR P&amp;L'!D11/'QTR P&amp;L'!D10,"")</f>
        <v/>
      </c>
      <c r="F8" s="13">
        <f>IFERROR('QTR P&amp;L'!E11/'QTR P&amp;L'!E10,"")</f>
        <v/>
      </c>
      <c r="G8" s="13">
        <f>IFERROR('QTR P&amp;L'!F11/'QTR P&amp;L'!F10,"")</f>
        <v/>
      </c>
      <c r="H8" s="13">
        <f>IFERROR('QTR P&amp;L'!G11/'QTR P&amp;L'!G10,"")</f>
        <v/>
      </c>
      <c r="I8" s="13">
        <f>IFERROR('QTR P&amp;L'!H11/'QTR P&amp;L'!H10,"")</f>
        <v/>
      </c>
      <c r="J8" s="13">
        <f>IFERROR('QTR P&amp;L'!I11/'QTR P&amp;L'!I10,"")</f>
        <v/>
      </c>
      <c r="K8" s="13">
        <f>IFERROR('QTR P&amp;L'!J11/'QTR P&amp;L'!J10,"")</f>
        <v/>
      </c>
      <c r="L8" s="13">
        <f>IFERROR('QTR P&amp;L'!K11/'QTR P&amp;L'!K10,"")</f>
        <v/>
      </c>
      <c r="M8" s="13">
        <f>IFERROR('QTR P&amp;L'!L11/'QTR P&amp;L'!L10,"")</f>
        <v/>
      </c>
      <c r="N8" s="13">
        <f>IFERROR('QTR P&amp;L'!M11/'QTR P&amp;L'!M10,"")</f>
        <v/>
      </c>
      <c r="O8" s="13">
        <f>IFERROR('QTR P&amp;L'!N11/'QTR P&amp;L'!N10,"")</f>
        <v/>
      </c>
      <c r="P8" s="13">
        <f>IFERROR('QTR P&amp;L'!O11/'QTR P&amp;L'!O10,"")</f>
        <v/>
      </c>
      <c r="Q8" s="13">
        <f>IFERROR('QTR P&amp;L'!P11/'QTR P&amp;L'!P10,"")</f>
        <v/>
      </c>
      <c r="R8" s="13">
        <f>IFERROR('QTR P&amp;L'!Q11/'QTR P&amp;L'!Q10,"")</f>
        <v/>
      </c>
      <c r="S8" s="13">
        <f>IFERROR('QTR P&amp;L'!R11/'QTR P&amp;L'!R10,"")</f>
        <v/>
      </c>
      <c r="T8" s="13">
        <f>IFERROR('QTR P&amp;L'!S11/'QTR P&amp;L'!S10,"")</f>
        <v/>
      </c>
      <c r="U8" s="14">
        <f>T8</f>
        <v/>
      </c>
      <c r="V8" s="14">
        <f>T8</f>
        <v/>
      </c>
      <c r="W8" s="14">
        <f>T8</f>
        <v/>
      </c>
      <c r="X8" s="14">
        <f>T8</f>
        <v/>
      </c>
      <c r="Y8" s="14">
        <f>T8</f>
        <v/>
      </c>
      <c r="Z8" s="14">
        <f>T8</f>
        <v/>
      </c>
      <c r="AA8" s="14">
        <f>T8</f>
        <v/>
      </c>
      <c r="AB8" s="14">
        <f>T8</f>
        <v/>
      </c>
      <c r="AC8" s="14">
        <f>T8</f>
        <v/>
      </c>
      <c r="AD8" s="14">
        <f>T8</f>
        <v/>
      </c>
      <c r="AE8" s="14">
        <f>T8</f>
        <v/>
      </c>
      <c r="AF8" s="14">
        <f>T8</f>
        <v/>
      </c>
      <c r="AG8" s="14">
        <f>T8</f>
        <v/>
      </c>
      <c r="AH8" s="14">
        <f>T8</f>
        <v/>
      </c>
      <c r="AI8" s="14">
        <f>T8</f>
        <v/>
      </c>
      <c r="AJ8" s="14">
        <f>T8</f>
        <v/>
      </c>
      <c r="AK8" s="14">
        <f>T8</f>
        <v/>
      </c>
      <c r="AL8" s="14">
        <f>T8</f>
        <v/>
      </c>
      <c r="AM8" s="14">
        <f>T8</f>
        <v/>
      </c>
      <c r="AN8" s="14">
        <f>T8</f>
        <v/>
      </c>
      <c r="AO8" s="14">
        <f>T8</f>
        <v/>
      </c>
      <c r="AP8" s="14">
        <f>T8</f>
        <v/>
      </c>
    </row>
    <row r="9">
      <c r="A9" s="3" t="inlineStr">
        <is>
          <t>Net Income (Loss) Attributable to Noncontrolling Interest</t>
        </is>
      </c>
      <c r="C9" s="4">
        <f>'QTR P&amp;L'!B13</f>
        <v/>
      </c>
      <c r="D9" s="4">
        <f>'QTR P&amp;L'!C13</f>
        <v/>
      </c>
      <c r="E9" s="4">
        <f>'QTR P&amp;L'!D13</f>
        <v/>
      </c>
      <c r="F9" s="4">
        <f>'QTR P&amp;L'!E13</f>
        <v/>
      </c>
      <c r="G9" s="4">
        <f>'QTR P&amp;L'!F13</f>
        <v/>
      </c>
      <c r="H9" s="4">
        <f>'QTR P&amp;L'!G13</f>
        <v/>
      </c>
      <c r="I9" s="4">
        <f>'QTR P&amp;L'!H13</f>
        <v/>
      </c>
      <c r="J9" s="4">
        <f>'QTR P&amp;L'!I13</f>
        <v/>
      </c>
      <c r="K9" s="4">
        <f>'QTR P&amp;L'!J13</f>
        <v/>
      </c>
      <c r="L9" s="4">
        <f>'QTR P&amp;L'!K13</f>
        <v/>
      </c>
      <c r="M9" s="4">
        <f>'QTR P&amp;L'!L13</f>
        <v/>
      </c>
      <c r="N9" s="4">
        <f>'QTR P&amp;L'!M13</f>
        <v/>
      </c>
      <c r="O9" s="4">
        <f>'QTR P&amp;L'!N13</f>
        <v/>
      </c>
      <c r="P9" s="4">
        <f>'QTR P&amp;L'!O13</f>
        <v/>
      </c>
      <c r="Q9" s="4">
        <f>'QTR P&amp;L'!P13</f>
        <v/>
      </c>
      <c r="R9" s="4">
        <f>'QTR P&amp;L'!Q13</f>
        <v/>
      </c>
      <c r="S9" s="4">
        <f>'QTR P&amp;L'!R13</f>
        <v/>
      </c>
      <c r="T9" s="4">
        <f>'QTR P&amp;L'!S13</f>
        <v/>
      </c>
      <c r="U9" s="15">
        <f>T9</f>
        <v/>
      </c>
      <c r="V9" s="15">
        <f>T9</f>
        <v/>
      </c>
      <c r="W9" s="15">
        <f>T9</f>
        <v/>
      </c>
      <c r="X9" s="15">
        <f>T9</f>
        <v/>
      </c>
      <c r="Y9" s="15">
        <f>T9</f>
        <v/>
      </c>
      <c r="Z9" s="15">
        <f>T9</f>
        <v/>
      </c>
      <c r="AA9" s="15">
        <f>T9</f>
        <v/>
      </c>
      <c r="AB9" s="15">
        <f>T9</f>
        <v/>
      </c>
      <c r="AC9" s="15">
        <f>T9</f>
        <v/>
      </c>
      <c r="AD9" s="15">
        <f>T9</f>
        <v/>
      </c>
      <c r="AE9" s="15">
        <f>T9</f>
        <v/>
      </c>
      <c r="AF9" s="15">
        <f>T9</f>
        <v/>
      </c>
      <c r="AG9" s="15">
        <f>T9</f>
        <v/>
      </c>
      <c r="AH9" s="15">
        <f>T9</f>
        <v/>
      </c>
      <c r="AI9" s="15">
        <f>T9</f>
        <v/>
      </c>
      <c r="AJ9" s="15">
        <f>T9</f>
        <v/>
      </c>
      <c r="AK9" s="15">
        <f>T9</f>
        <v/>
      </c>
      <c r="AL9" s="15">
        <f>T9</f>
        <v/>
      </c>
      <c r="AM9" s="15">
        <f>T9</f>
        <v/>
      </c>
      <c r="AN9" s="15">
        <f>T9</f>
        <v/>
      </c>
      <c r="AO9" s="15">
        <f>T9</f>
        <v/>
      </c>
      <c r="AP9" s="15">
        <f>T9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P2+'QTR CF'!T31</f>
        <v/>
      </c>
      <c r="R2" s="4">
        <f>Q2+'QTR CF'!U31</f>
        <v/>
      </c>
      <c r="S2" s="4">
        <f>R2+'QTR CF'!V31</f>
        <v/>
      </c>
      <c r="T2" s="4">
        <f>S2+'QTR CF'!W31</f>
        <v/>
      </c>
      <c r="U2" s="4">
        <f>T2+'QTR CF'!X31</f>
        <v/>
      </c>
      <c r="V2" s="4">
        <f>U2+'QTR CF'!Y31</f>
        <v/>
      </c>
      <c r="W2" s="4">
        <f>V2+'QTR CF'!Z31</f>
        <v/>
      </c>
      <c r="X2" s="4">
        <f>W2+'QTR CF'!AA31</f>
        <v/>
      </c>
      <c r="Y2" s="4">
        <f>X2+'QTR CF'!AB31</f>
        <v/>
      </c>
      <c r="Z2" s="4">
        <f>Y2+'QTR CF'!AC31</f>
        <v/>
      </c>
      <c r="AA2" s="4">
        <f>Z2+'QTR CF'!AD31</f>
        <v/>
      </c>
      <c r="AB2" s="4">
        <f>AA2+'QTR CF'!AE31</f>
        <v/>
      </c>
      <c r="AC2" s="4">
        <f>AB2+'QTR CF'!AF31</f>
        <v/>
      </c>
      <c r="AD2" s="4">
        <f>AC2+'QTR CF'!AG31</f>
        <v/>
      </c>
      <c r="AE2" s="4">
        <f>AD2+'QTR CF'!AH31</f>
        <v/>
      </c>
      <c r="AF2" s="4">
        <f>AE2+'QTR CF'!AI31</f>
        <v/>
      </c>
      <c r="AG2" s="4">
        <f>AF2+'QTR CF'!AJ31</f>
        <v/>
      </c>
      <c r="AH2" s="4">
        <f>AG2+'QTR CF'!AK31</f>
        <v/>
      </c>
      <c r="AI2" s="4">
        <f>AH2+'QTR CF'!AL31</f>
        <v/>
      </c>
      <c r="AJ2" s="4">
        <f>AI2+'QTR CF'!AM31</f>
        <v/>
      </c>
      <c r="AK2" s="4">
        <f>AJ2+'QTR CF'!AN31</f>
        <v/>
      </c>
      <c r="AL2" s="4">
        <f>AK2+'QTR CF'!AO31</f>
        <v/>
      </c>
    </row>
    <row r="3">
      <c r="A3" s="3" t="inlineStr">
        <is>
          <t>Accounts Receivable — DSO (days)</t>
        </is>
      </c>
      <c r="B3" s="16">
        <f>IFERROR('QTR BS'!B3/'QTR P&amp;L'!E2*ASSUMPTIONS!$B$2,"")</f>
        <v/>
      </c>
      <c r="C3" s="16">
        <f>IFERROR('QTR BS'!C3/'QTR P&amp;L'!F2*ASSUMPTIONS!$B$2,"")</f>
        <v/>
      </c>
      <c r="D3" s="16">
        <f>IFERROR('QTR BS'!D3/'QTR P&amp;L'!G2*ASSUMPTIONS!$B$2,"")</f>
        <v/>
      </c>
      <c r="E3" s="16">
        <f>IFERROR('QTR BS'!E3/'QTR P&amp;L'!H2*ASSUMPTIONS!$B$2,"")</f>
        <v/>
      </c>
      <c r="F3" s="16">
        <f>IFERROR('QTR BS'!F3/'QTR P&amp;L'!I2*ASSUMPTIONS!$B$2,"")</f>
        <v/>
      </c>
      <c r="G3" s="16">
        <f>IFERROR('QTR BS'!G3/'QTR P&amp;L'!J2*ASSUMPTIONS!$B$2,"")</f>
        <v/>
      </c>
      <c r="H3" s="16">
        <f>IFERROR('QTR BS'!H3/'QTR P&amp;L'!K2*ASSUMPTIONS!$B$2,"")</f>
        <v/>
      </c>
      <c r="I3" s="16">
        <f>IFERROR('QTR BS'!I3/'QTR P&amp;L'!L2*ASSUMPTIONS!$B$2,"")</f>
        <v/>
      </c>
      <c r="J3" s="16">
        <f>IFERROR('QTR BS'!J3/'QTR P&amp;L'!M2*ASSUMPTIONS!$B$2,"")</f>
        <v/>
      </c>
      <c r="K3" s="16">
        <f>IFERROR('QTR BS'!K3/'QTR P&amp;L'!N2*ASSUMPTIONS!$B$2,"")</f>
        <v/>
      </c>
      <c r="L3" s="16">
        <f>IFERROR('QTR BS'!L3/'QTR P&amp;L'!O2*ASSUMPTIONS!$B$2,"")</f>
        <v/>
      </c>
      <c r="M3" s="16">
        <f>IFERROR('QTR BS'!M3/'QTR P&amp;L'!P2*ASSUMPTIONS!$B$2,"")</f>
        <v/>
      </c>
      <c r="N3" s="16">
        <f>IFERROR('QTR BS'!N3/'QTR P&amp;L'!Q2*ASSUMPTIONS!$B$2,"")</f>
        <v/>
      </c>
      <c r="O3" s="16">
        <f>IFERROR('QTR BS'!O3/'QTR P&amp;L'!R2*ASSUMPTIONS!$B$2,"")</f>
        <v/>
      </c>
      <c r="P3" s="16">
        <f>IFERROR('QTR BS'!P3/'QTR P&amp;L'!S2*ASSUMPTIONS!$B$2,"")</f>
        <v/>
      </c>
      <c r="Q3" s="17">
        <f>P3</f>
        <v/>
      </c>
      <c r="R3" s="17">
        <f>P3</f>
        <v/>
      </c>
      <c r="S3" s="17">
        <f>P3</f>
        <v/>
      </c>
      <c r="T3" s="17">
        <f>P3</f>
        <v/>
      </c>
      <c r="U3" s="17">
        <f>P3</f>
        <v/>
      </c>
      <c r="V3" s="17">
        <f>P3</f>
        <v/>
      </c>
      <c r="W3" s="17">
        <f>P3</f>
        <v/>
      </c>
      <c r="X3" s="17">
        <f>P3</f>
        <v/>
      </c>
      <c r="Y3" s="17">
        <f>P3</f>
        <v/>
      </c>
      <c r="Z3" s="17">
        <f>P3</f>
        <v/>
      </c>
      <c r="AA3" s="17">
        <f>P3</f>
        <v/>
      </c>
      <c r="AB3" s="17">
        <f>P3</f>
        <v/>
      </c>
      <c r="AC3" s="17">
        <f>P3</f>
        <v/>
      </c>
      <c r="AD3" s="17">
        <f>P3</f>
        <v/>
      </c>
      <c r="AE3" s="17">
        <f>P3</f>
        <v/>
      </c>
      <c r="AF3" s="17">
        <f>P3</f>
        <v/>
      </c>
      <c r="AG3" s="17">
        <f>P3</f>
        <v/>
      </c>
      <c r="AH3" s="17">
        <f>P3</f>
        <v/>
      </c>
      <c r="AI3" s="17">
        <f>P3</f>
        <v/>
      </c>
      <c r="AJ3" s="17">
        <f>P3</f>
        <v/>
      </c>
      <c r="AK3" s="17">
        <f>P3</f>
        <v/>
      </c>
      <c r="AL3" s="17">
        <f>P3</f>
        <v/>
      </c>
    </row>
    <row r="4">
      <c r="A4" s="3" t="inlineStr">
        <is>
          <t>Inventories — DIO (days)</t>
        </is>
      </c>
      <c r="B4" s="16">
        <f>IFERROR('QTR BS'!B4/'QTR P&amp;L'!E3*ASSUMPTIONS!$B$2,"")</f>
        <v/>
      </c>
      <c r="C4" s="16">
        <f>IFERROR('QTR BS'!C4/'QTR P&amp;L'!F3*ASSUMPTIONS!$B$2,"")</f>
        <v/>
      </c>
      <c r="D4" s="16">
        <f>IFERROR('QTR BS'!D4/'QTR P&amp;L'!G3*ASSUMPTIONS!$B$2,"")</f>
        <v/>
      </c>
      <c r="E4" s="16">
        <f>IFERROR('QTR BS'!E4/'QTR P&amp;L'!H3*ASSUMPTIONS!$B$2,"")</f>
        <v/>
      </c>
      <c r="F4" s="16">
        <f>IFERROR('QTR BS'!F4/'QTR P&amp;L'!I3*ASSUMPTIONS!$B$2,"")</f>
        <v/>
      </c>
      <c r="G4" s="16">
        <f>IFERROR('QTR BS'!G4/'QTR P&amp;L'!J3*ASSUMPTIONS!$B$2,"")</f>
        <v/>
      </c>
      <c r="H4" s="16">
        <f>IFERROR('QTR BS'!H4/'QTR P&amp;L'!K3*ASSUMPTIONS!$B$2,"")</f>
        <v/>
      </c>
      <c r="I4" s="16">
        <f>IFERROR('QTR BS'!I4/'QTR P&amp;L'!L3*ASSUMPTIONS!$B$2,"")</f>
        <v/>
      </c>
      <c r="J4" s="16">
        <f>IFERROR('QTR BS'!J4/'QTR P&amp;L'!M3*ASSUMPTIONS!$B$2,"")</f>
        <v/>
      </c>
      <c r="K4" s="16">
        <f>IFERROR('QTR BS'!K4/'QTR P&amp;L'!N3*ASSUMPTIONS!$B$2,"")</f>
        <v/>
      </c>
      <c r="L4" s="16">
        <f>IFERROR('QTR BS'!L4/'QTR P&amp;L'!O3*ASSUMPTIONS!$B$2,"")</f>
        <v/>
      </c>
      <c r="M4" s="16">
        <f>IFERROR('QTR BS'!M4/'QTR P&amp;L'!P3*ASSUMPTIONS!$B$2,"")</f>
        <v/>
      </c>
      <c r="N4" s="16">
        <f>IFERROR('QTR BS'!N4/'QTR P&amp;L'!Q3*ASSUMPTIONS!$B$2,"")</f>
        <v/>
      </c>
      <c r="O4" s="16">
        <f>IFERROR('QTR BS'!O4/'QTR P&amp;L'!R3*ASSUMPTIONS!$B$2,"")</f>
        <v/>
      </c>
      <c r="P4" s="16">
        <f>IFERROR('QTR BS'!P4/'QTR P&amp;L'!S3*ASSUMPTIONS!$B$2,"")</f>
        <v/>
      </c>
      <c r="Q4" s="17">
        <f>P4</f>
        <v/>
      </c>
      <c r="R4" s="17">
        <f>P4</f>
        <v/>
      </c>
      <c r="S4" s="17">
        <f>P4</f>
        <v/>
      </c>
      <c r="T4" s="17">
        <f>P4</f>
        <v/>
      </c>
      <c r="U4" s="17">
        <f>P4</f>
        <v/>
      </c>
      <c r="V4" s="17">
        <f>P4</f>
        <v/>
      </c>
      <c r="W4" s="17">
        <f>P4</f>
        <v/>
      </c>
      <c r="X4" s="17">
        <f>P4</f>
        <v/>
      </c>
      <c r="Y4" s="17">
        <f>P4</f>
        <v/>
      </c>
      <c r="Z4" s="17">
        <f>P4</f>
        <v/>
      </c>
      <c r="AA4" s="17">
        <f>P4</f>
        <v/>
      </c>
      <c r="AB4" s="17">
        <f>P4</f>
        <v/>
      </c>
      <c r="AC4" s="17">
        <f>P4</f>
        <v/>
      </c>
      <c r="AD4" s="17">
        <f>P4</f>
        <v/>
      </c>
      <c r="AE4" s="17">
        <f>P4</f>
        <v/>
      </c>
      <c r="AF4" s="17">
        <f>P4</f>
        <v/>
      </c>
      <c r="AG4" s="17">
        <f>P4</f>
        <v/>
      </c>
      <c r="AH4" s="17">
        <f>P4</f>
        <v/>
      </c>
      <c r="AI4" s="17">
        <f>P4</f>
        <v/>
      </c>
      <c r="AJ4" s="17">
        <f>P4</f>
        <v/>
      </c>
      <c r="AK4" s="17">
        <f>P4</f>
        <v/>
      </c>
      <c r="AL4" s="17">
        <f>P4</f>
        <v/>
      </c>
    </row>
    <row r="5">
      <c r="A5" s="3" t="inlineStr">
        <is>
          <t>Prepaid Expenses — % of Revenue</t>
        </is>
      </c>
      <c r="B5" s="13">
        <f>IFERROR('QTR BS'!B5/'QTR P&amp;L'!E2,"")</f>
        <v/>
      </c>
      <c r="C5" s="13">
        <f>IFERROR('QTR BS'!C5/'QTR P&amp;L'!F2,"")</f>
        <v/>
      </c>
      <c r="D5" s="13">
        <f>IFERROR('QTR BS'!D5/'QTR P&amp;L'!G2,"")</f>
        <v/>
      </c>
      <c r="E5" s="13">
        <f>IFERROR('QTR BS'!E5/'QTR P&amp;L'!H2,"")</f>
        <v/>
      </c>
      <c r="F5" s="13">
        <f>IFERROR('QTR BS'!F5/'QTR P&amp;L'!I2,"")</f>
        <v/>
      </c>
      <c r="G5" s="13">
        <f>IFERROR('QTR BS'!G5/'QTR P&amp;L'!J2,"")</f>
        <v/>
      </c>
      <c r="H5" s="13">
        <f>IFERROR('QTR BS'!H5/'QTR P&amp;L'!K2,"")</f>
        <v/>
      </c>
      <c r="I5" s="13">
        <f>IFERROR('QTR BS'!I5/'QTR P&amp;L'!L2,"")</f>
        <v/>
      </c>
      <c r="J5" s="13">
        <f>IFERROR('QTR BS'!J5/'QTR P&amp;L'!M2,"")</f>
        <v/>
      </c>
      <c r="K5" s="13">
        <f>IFERROR('QTR BS'!K5/'QTR P&amp;L'!N2,"")</f>
        <v/>
      </c>
      <c r="L5" s="13">
        <f>IFERROR('QTR BS'!L5/'QTR P&amp;L'!O2,"")</f>
        <v/>
      </c>
      <c r="M5" s="13">
        <f>IFERROR('QTR BS'!M5/'QTR P&amp;L'!P2,"")</f>
        <v/>
      </c>
      <c r="N5" s="13">
        <f>IFERROR('QTR BS'!N5/'QTR P&amp;L'!Q2,"")</f>
        <v/>
      </c>
      <c r="O5" s="13">
        <f>IFERROR('QTR BS'!O5/'QTR P&amp;L'!R2,"")</f>
        <v/>
      </c>
      <c r="P5" s="13">
        <f>IFERROR('QTR BS'!P5/'QTR P&amp;L'!S2,"")</f>
        <v/>
      </c>
      <c r="Q5" s="14">
        <f>P5</f>
        <v/>
      </c>
      <c r="R5" s="14">
        <f>P5</f>
        <v/>
      </c>
      <c r="S5" s="14">
        <f>P5</f>
        <v/>
      </c>
      <c r="T5" s="14">
        <f>P5</f>
        <v/>
      </c>
      <c r="U5" s="14">
        <f>P5</f>
        <v/>
      </c>
      <c r="V5" s="14">
        <f>P5</f>
        <v/>
      </c>
      <c r="W5" s="14">
        <f>P5</f>
        <v/>
      </c>
      <c r="X5" s="14">
        <f>P5</f>
        <v/>
      </c>
      <c r="Y5" s="14">
        <f>P5</f>
        <v/>
      </c>
      <c r="Z5" s="14">
        <f>P5</f>
        <v/>
      </c>
      <c r="AA5" s="14">
        <f>P5</f>
        <v/>
      </c>
      <c r="AB5" s="14">
        <f>P5</f>
        <v/>
      </c>
      <c r="AC5" s="14">
        <f>P5</f>
        <v/>
      </c>
      <c r="AD5" s="14">
        <f>P5</f>
        <v/>
      </c>
      <c r="AE5" s="14">
        <f>P5</f>
        <v/>
      </c>
      <c r="AF5" s="14">
        <f>P5</f>
        <v/>
      </c>
      <c r="AG5" s="14">
        <f>P5</f>
        <v/>
      </c>
      <c r="AH5" s="14">
        <f>P5</f>
        <v/>
      </c>
      <c r="AI5" s="14">
        <f>P5</f>
        <v/>
      </c>
      <c r="AJ5" s="14">
        <f>P5</f>
        <v/>
      </c>
      <c r="AK5" s="14">
        <f>P5</f>
        <v/>
      </c>
      <c r="AL5" s="14">
        <f>P5</f>
        <v/>
      </c>
    </row>
    <row r="6">
      <c r="A6" s="3" t="inlineStr">
        <is>
          <t>Net PP&amp;E</t>
        </is>
      </c>
      <c r="B6" s="4">
        <f>'QTR BS'!B7</f>
        <v/>
      </c>
      <c r="C6" s="4">
        <f>'QTR BS'!C7</f>
        <v/>
      </c>
      <c r="D6" s="4">
        <f>'QTR BS'!D7</f>
        <v/>
      </c>
      <c r="E6" s="4">
        <f>'QTR BS'!E7</f>
        <v/>
      </c>
      <c r="F6" s="4">
        <f>'QTR BS'!F7</f>
        <v/>
      </c>
      <c r="G6" s="4">
        <f>'QTR BS'!G7</f>
        <v/>
      </c>
      <c r="H6" s="4">
        <f>'QTR BS'!H7</f>
        <v/>
      </c>
      <c r="I6" s="4">
        <f>'QTR BS'!I7</f>
        <v/>
      </c>
      <c r="J6" s="4">
        <f>'QTR BS'!J7</f>
        <v/>
      </c>
      <c r="K6" s="4">
        <f>'QTR BS'!K7</f>
        <v/>
      </c>
      <c r="L6" s="4">
        <f>'QTR BS'!L7</f>
        <v/>
      </c>
      <c r="M6" s="4">
        <f>'QTR BS'!M7</f>
        <v/>
      </c>
      <c r="N6" s="4">
        <f>'QTR BS'!N7</f>
        <v/>
      </c>
      <c r="O6" s="4">
        <f>'QTR BS'!O7</f>
        <v/>
      </c>
      <c r="P6" s="4">
        <f>'QTR BS'!P7</f>
        <v/>
      </c>
      <c r="Q6" s="4">
        <f>P6-'QTR CF'!T15-'QTR CF'!T3</f>
        <v/>
      </c>
      <c r="R6" s="4">
        <f>Q6-'QTR CF'!U15-'QTR CF'!U3</f>
        <v/>
      </c>
      <c r="S6" s="4">
        <f>R6-'QTR CF'!V15-'QTR CF'!V3</f>
        <v/>
      </c>
      <c r="T6" s="4">
        <f>S6-'QTR CF'!W15-'QTR CF'!W3</f>
        <v/>
      </c>
      <c r="U6" s="4">
        <f>T6-'QTR CF'!X15-'QTR CF'!X3</f>
        <v/>
      </c>
      <c r="V6" s="4">
        <f>U6-'QTR CF'!Y15-'QTR CF'!Y3</f>
        <v/>
      </c>
      <c r="W6" s="4">
        <f>V6-'QTR CF'!Z15-'QTR CF'!Z3</f>
        <v/>
      </c>
      <c r="X6" s="4">
        <f>W6-'QTR CF'!AA15-'QTR CF'!AA3</f>
        <v/>
      </c>
      <c r="Y6" s="4">
        <f>X6-'QTR CF'!AB15-'QTR CF'!AB3</f>
        <v/>
      </c>
      <c r="Z6" s="4">
        <f>Y6-'QTR CF'!AC15-'QTR CF'!AC3</f>
        <v/>
      </c>
      <c r="AA6" s="4">
        <f>Z6-'QTR CF'!AD15-'QTR CF'!AD3</f>
        <v/>
      </c>
      <c r="AB6" s="4">
        <f>AA6-'QTR CF'!AE15-'QTR CF'!AE3</f>
        <v/>
      </c>
      <c r="AC6" s="4">
        <f>AB6-'QTR CF'!AF15-'QTR CF'!AF3</f>
        <v/>
      </c>
      <c r="AD6" s="4">
        <f>AC6-'QTR CF'!AG15-'QTR CF'!AG3</f>
        <v/>
      </c>
      <c r="AE6" s="4">
        <f>AD6-'QTR CF'!AH15-'QTR CF'!AH3</f>
        <v/>
      </c>
      <c r="AF6" s="4">
        <f>AE6-'QTR CF'!AI15-'QTR CF'!AI3</f>
        <v/>
      </c>
      <c r="AG6" s="4">
        <f>AF6-'QTR CF'!AJ15-'QTR CF'!AJ3</f>
        <v/>
      </c>
      <c r="AH6" s="4">
        <f>AG6-'QTR CF'!AK15-'QTR CF'!AK3</f>
        <v/>
      </c>
      <c r="AI6" s="4">
        <f>AH6-'QTR CF'!AL15-'QTR CF'!AL3</f>
        <v/>
      </c>
      <c r="AJ6" s="4">
        <f>AI6-'QTR CF'!AM15-'QTR CF'!AM3</f>
        <v/>
      </c>
      <c r="AK6" s="4">
        <f>AJ6-'QTR CF'!AN15-'QTR CF'!AN3</f>
        <v/>
      </c>
      <c r="AL6" s="4">
        <f>AK6-'QTR CF'!AO15-'QTR CF'!AO3</f>
        <v/>
      </c>
    </row>
    <row r="7">
      <c r="A7" s="3" t="inlineStr">
        <is>
          <t>Goodwill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'QTR BS'!P8</f>
        <v/>
      </c>
      <c r="Q7" s="15">
        <f>P7</f>
        <v/>
      </c>
      <c r="R7" s="15">
        <f>P7</f>
        <v/>
      </c>
      <c r="S7" s="15">
        <f>P7</f>
        <v/>
      </c>
      <c r="T7" s="15">
        <f>P7</f>
        <v/>
      </c>
      <c r="U7" s="15">
        <f>P7</f>
        <v/>
      </c>
      <c r="V7" s="15">
        <f>P7</f>
        <v/>
      </c>
      <c r="W7" s="15">
        <f>P7</f>
        <v/>
      </c>
      <c r="X7" s="15">
        <f>P7</f>
        <v/>
      </c>
      <c r="Y7" s="15">
        <f>P7</f>
        <v/>
      </c>
      <c r="Z7" s="15">
        <f>P7</f>
        <v/>
      </c>
      <c r="AA7" s="15">
        <f>P7</f>
        <v/>
      </c>
      <c r="AB7" s="15">
        <f>P7</f>
        <v/>
      </c>
      <c r="AC7" s="15">
        <f>P7</f>
        <v/>
      </c>
      <c r="AD7" s="15">
        <f>P7</f>
        <v/>
      </c>
      <c r="AE7" s="15">
        <f>P7</f>
        <v/>
      </c>
      <c r="AF7" s="15">
        <f>P7</f>
        <v/>
      </c>
      <c r="AG7" s="15">
        <f>P7</f>
        <v/>
      </c>
      <c r="AH7" s="15">
        <f>P7</f>
        <v/>
      </c>
      <c r="AI7" s="15">
        <f>P7</f>
        <v/>
      </c>
      <c r="AJ7" s="15">
        <f>P7</f>
        <v/>
      </c>
      <c r="AK7" s="15">
        <f>P7</f>
        <v/>
      </c>
      <c r="AL7" s="15">
        <f>P7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4">
        <f>'QTR BS'!P9</f>
        <v/>
      </c>
      <c r="Q8" s="15">
        <f>P8</f>
        <v/>
      </c>
      <c r="R8" s="15">
        <f>P8</f>
        <v/>
      </c>
      <c r="S8" s="15">
        <f>P8</f>
        <v/>
      </c>
      <c r="T8" s="15">
        <f>P8</f>
        <v/>
      </c>
      <c r="U8" s="15">
        <f>P8</f>
        <v/>
      </c>
      <c r="V8" s="15">
        <f>P8</f>
        <v/>
      </c>
      <c r="W8" s="15">
        <f>P8</f>
        <v/>
      </c>
      <c r="X8" s="15">
        <f>P8</f>
        <v/>
      </c>
      <c r="Y8" s="15">
        <f>P8</f>
        <v/>
      </c>
      <c r="Z8" s="15">
        <f>P8</f>
        <v/>
      </c>
      <c r="AA8" s="15">
        <f>P8</f>
        <v/>
      </c>
      <c r="AB8" s="15">
        <f>P8</f>
        <v/>
      </c>
      <c r="AC8" s="15">
        <f>P8</f>
        <v/>
      </c>
      <c r="AD8" s="15">
        <f>P8</f>
        <v/>
      </c>
      <c r="AE8" s="15">
        <f>P8</f>
        <v/>
      </c>
      <c r="AF8" s="15">
        <f>P8</f>
        <v/>
      </c>
      <c r="AG8" s="15">
        <f>P8</f>
        <v/>
      </c>
      <c r="AH8" s="15">
        <f>P8</f>
        <v/>
      </c>
      <c r="AI8" s="15">
        <f>P8</f>
        <v/>
      </c>
      <c r="AJ8" s="15">
        <f>P8</f>
        <v/>
      </c>
      <c r="AK8" s="15">
        <f>P8</f>
        <v/>
      </c>
      <c r="AL8" s="15">
        <f>P8</f>
        <v/>
      </c>
    </row>
    <row r="9">
      <c r="A9" s="3" t="inlineStr">
        <is>
          <t>Other Non-Current Assets — % of Revenue</t>
        </is>
      </c>
      <c r="B9" s="13">
        <f>IFERROR('QTR BS'!B10/'QTR P&amp;L'!E2,"")</f>
        <v/>
      </c>
      <c r="C9" s="13">
        <f>IFERROR('QTR BS'!C10/'QTR P&amp;L'!F2,"")</f>
        <v/>
      </c>
      <c r="D9" s="13">
        <f>IFERROR('QTR BS'!D10/'QTR P&amp;L'!G2,"")</f>
        <v/>
      </c>
      <c r="E9" s="13">
        <f>IFERROR('QTR BS'!E10/'QTR P&amp;L'!H2,"")</f>
        <v/>
      </c>
      <c r="F9" s="13">
        <f>IFERROR('QTR BS'!F10/'QTR P&amp;L'!I2,"")</f>
        <v/>
      </c>
      <c r="G9" s="13">
        <f>IFERROR('QTR BS'!G10/'QTR P&amp;L'!J2,"")</f>
        <v/>
      </c>
      <c r="H9" s="13">
        <f>IFERROR('QTR BS'!H10/'QTR P&amp;L'!K2,"")</f>
        <v/>
      </c>
      <c r="I9" s="13">
        <f>IFERROR('QTR BS'!I10/'QTR P&amp;L'!L2,"")</f>
        <v/>
      </c>
      <c r="J9" s="13">
        <f>IFERROR('QTR BS'!J10/'QTR P&amp;L'!M2,"")</f>
        <v/>
      </c>
      <c r="K9" s="13">
        <f>IFERROR('QTR BS'!K10/'QTR P&amp;L'!N2,"")</f>
        <v/>
      </c>
      <c r="L9" s="13">
        <f>IFERROR('QTR BS'!L10/'QTR P&amp;L'!O2,"")</f>
        <v/>
      </c>
      <c r="M9" s="13">
        <f>IFERROR('QTR BS'!M10/'QTR P&amp;L'!P2,"")</f>
        <v/>
      </c>
      <c r="N9" s="13">
        <f>IFERROR('QTR BS'!N10/'QTR P&amp;L'!Q2,"")</f>
        <v/>
      </c>
      <c r="O9" s="13">
        <f>IFERROR('QTR BS'!O10/'QTR P&amp;L'!R2,"")</f>
        <v/>
      </c>
      <c r="P9" s="13">
        <f>IFERROR('QTR BS'!P10/'QTR P&amp;L'!S2,"")</f>
        <v/>
      </c>
      <c r="Q9" s="14">
        <f>P9</f>
        <v/>
      </c>
      <c r="R9" s="14">
        <f>P9</f>
        <v/>
      </c>
      <c r="S9" s="14">
        <f>P9</f>
        <v/>
      </c>
      <c r="T9" s="14">
        <f>P9</f>
        <v/>
      </c>
      <c r="U9" s="14">
        <f>P9</f>
        <v/>
      </c>
      <c r="V9" s="14">
        <f>P9</f>
        <v/>
      </c>
      <c r="W9" s="14">
        <f>P9</f>
        <v/>
      </c>
      <c r="X9" s="14">
        <f>P9</f>
        <v/>
      </c>
      <c r="Y9" s="14">
        <f>P9</f>
        <v/>
      </c>
      <c r="Z9" s="14">
        <f>P9</f>
        <v/>
      </c>
      <c r="AA9" s="14">
        <f>P9</f>
        <v/>
      </c>
      <c r="AB9" s="14">
        <f>P9</f>
        <v/>
      </c>
      <c r="AC9" s="14">
        <f>P9</f>
        <v/>
      </c>
      <c r="AD9" s="14">
        <f>P9</f>
        <v/>
      </c>
      <c r="AE9" s="14">
        <f>P9</f>
        <v/>
      </c>
      <c r="AF9" s="14">
        <f>P9</f>
        <v/>
      </c>
      <c r="AG9" s="14">
        <f>P9</f>
        <v/>
      </c>
      <c r="AH9" s="14">
        <f>P9</f>
        <v/>
      </c>
      <c r="AI9" s="14">
        <f>P9</f>
        <v/>
      </c>
      <c r="AJ9" s="14">
        <f>P9</f>
        <v/>
      </c>
      <c r="AK9" s="14">
        <f>P9</f>
        <v/>
      </c>
      <c r="AL9" s="14">
        <f>P9</f>
        <v/>
      </c>
    </row>
    <row r="10">
      <c r="A10" s="3" t="inlineStr">
        <is>
          <t>Accounts Payable — DPO (days)</t>
        </is>
      </c>
      <c r="B10" s="16">
        <f>IFERROR('QTR BS'!B12/'QTR P&amp;L'!E3*ASSUMPTIONS!$B$2,"")</f>
        <v/>
      </c>
      <c r="C10" s="16">
        <f>IFERROR('QTR BS'!C12/'QTR P&amp;L'!F3*ASSUMPTIONS!$B$2,"")</f>
        <v/>
      </c>
      <c r="D10" s="16">
        <f>IFERROR('QTR BS'!D12/'QTR P&amp;L'!G3*ASSUMPTIONS!$B$2,"")</f>
        <v/>
      </c>
      <c r="E10" s="16">
        <f>IFERROR('QTR BS'!E12/'QTR P&amp;L'!H3*ASSUMPTIONS!$B$2,"")</f>
        <v/>
      </c>
      <c r="F10" s="16">
        <f>IFERROR('QTR BS'!F12/'QTR P&amp;L'!I3*ASSUMPTIONS!$B$2,"")</f>
        <v/>
      </c>
      <c r="G10" s="16">
        <f>IFERROR('QTR BS'!G12/'QTR P&amp;L'!J3*ASSUMPTIONS!$B$2,"")</f>
        <v/>
      </c>
      <c r="H10" s="16">
        <f>IFERROR('QTR BS'!H12/'QTR P&amp;L'!K3*ASSUMPTIONS!$B$2,"")</f>
        <v/>
      </c>
      <c r="I10" s="16">
        <f>IFERROR('QTR BS'!I12/'QTR P&amp;L'!L3*ASSUMPTIONS!$B$2,"")</f>
        <v/>
      </c>
      <c r="J10" s="16">
        <f>IFERROR('QTR BS'!J12/'QTR P&amp;L'!M3*ASSUMPTIONS!$B$2,"")</f>
        <v/>
      </c>
      <c r="K10" s="16">
        <f>IFERROR('QTR BS'!K12/'QTR P&amp;L'!N3*ASSUMPTIONS!$B$2,"")</f>
        <v/>
      </c>
      <c r="L10" s="16">
        <f>IFERROR('QTR BS'!L12/'QTR P&amp;L'!O3*ASSUMPTIONS!$B$2,"")</f>
        <v/>
      </c>
      <c r="M10" s="16">
        <f>IFERROR('QTR BS'!M12/'QTR P&amp;L'!P3*ASSUMPTIONS!$B$2,"")</f>
        <v/>
      </c>
      <c r="N10" s="16">
        <f>IFERROR('QTR BS'!N12/'QTR P&amp;L'!Q3*ASSUMPTIONS!$B$2,"")</f>
        <v/>
      </c>
      <c r="O10" s="16">
        <f>IFERROR('QTR BS'!O12/'QTR P&amp;L'!R3*ASSUMPTIONS!$B$2,"")</f>
        <v/>
      </c>
      <c r="P10" s="16">
        <f>IFERROR('QTR BS'!P12/'QTR P&amp;L'!S3*ASSUMPTIONS!$B$2,"")</f>
        <v/>
      </c>
      <c r="Q10" s="17">
        <f>P10</f>
        <v/>
      </c>
      <c r="R10" s="17">
        <f>P10</f>
        <v/>
      </c>
      <c r="S10" s="17">
        <f>P10</f>
        <v/>
      </c>
      <c r="T10" s="17">
        <f>P10</f>
        <v/>
      </c>
      <c r="U10" s="17">
        <f>P10</f>
        <v/>
      </c>
      <c r="V10" s="17">
        <f>P10</f>
        <v/>
      </c>
      <c r="W10" s="17">
        <f>P10</f>
        <v/>
      </c>
      <c r="X10" s="17">
        <f>P10</f>
        <v/>
      </c>
      <c r="Y10" s="17">
        <f>P10</f>
        <v/>
      </c>
      <c r="Z10" s="17">
        <f>P10</f>
        <v/>
      </c>
      <c r="AA10" s="17">
        <f>P10</f>
        <v/>
      </c>
      <c r="AB10" s="17">
        <f>P10</f>
        <v/>
      </c>
      <c r="AC10" s="17">
        <f>P10</f>
        <v/>
      </c>
      <c r="AD10" s="17">
        <f>P10</f>
        <v/>
      </c>
      <c r="AE10" s="17">
        <f>P10</f>
        <v/>
      </c>
      <c r="AF10" s="17">
        <f>P10</f>
        <v/>
      </c>
      <c r="AG10" s="17">
        <f>P10</f>
        <v/>
      </c>
      <c r="AH10" s="17">
        <f>P10</f>
        <v/>
      </c>
      <c r="AI10" s="17">
        <f>P10</f>
        <v/>
      </c>
      <c r="AJ10" s="17">
        <f>P10</f>
        <v/>
      </c>
      <c r="AK10" s="17">
        <f>P10</f>
        <v/>
      </c>
      <c r="AL10" s="17">
        <f>P10</f>
        <v/>
      </c>
    </row>
    <row r="11">
      <c r="A11" s="3" t="inlineStr">
        <is>
          <t>Accrued Expenses — % of Revenue</t>
        </is>
      </c>
      <c r="B11" s="13">
        <f>IFERROR('QTR BS'!B13/'QTR P&amp;L'!E2,"")</f>
        <v/>
      </c>
      <c r="C11" s="13">
        <f>IFERROR('QTR BS'!C13/'QTR P&amp;L'!F2,"")</f>
        <v/>
      </c>
      <c r="D11" s="13">
        <f>IFERROR('QTR BS'!D13/'QTR P&amp;L'!G2,"")</f>
        <v/>
      </c>
      <c r="E11" s="13">
        <f>IFERROR('QTR BS'!E13/'QTR P&amp;L'!H2,"")</f>
        <v/>
      </c>
      <c r="F11" s="13">
        <f>IFERROR('QTR BS'!F13/'QTR P&amp;L'!I2,"")</f>
        <v/>
      </c>
      <c r="G11" s="13">
        <f>IFERROR('QTR BS'!G13/'QTR P&amp;L'!J2,"")</f>
        <v/>
      </c>
      <c r="H11" s="13">
        <f>IFERROR('QTR BS'!H13/'QTR P&amp;L'!K2,"")</f>
        <v/>
      </c>
      <c r="I11" s="13">
        <f>IFERROR('QTR BS'!I13/'QTR P&amp;L'!L2,"")</f>
        <v/>
      </c>
      <c r="J11" s="13">
        <f>IFERROR('QTR BS'!J13/'QTR P&amp;L'!M2,"")</f>
        <v/>
      </c>
      <c r="K11" s="13">
        <f>IFERROR('QTR BS'!K13/'QTR P&amp;L'!N2,"")</f>
        <v/>
      </c>
      <c r="L11" s="13">
        <f>IFERROR('QTR BS'!L13/'QTR P&amp;L'!O2,"")</f>
        <v/>
      </c>
      <c r="M11" s="13">
        <f>IFERROR('QTR BS'!M13/'QTR P&amp;L'!P2,"")</f>
        <v/>
      </c>
      <c r="N11" s="13">
        <f>IFERROR('QTR BS'!N13/'QTR P&amp;L'!Q2,"")</f>
        <v/>
      </c>
      <c r="O11" s="13">
        <f>IFERROR('QTR BS'!O13/'QTR P&amp;L'!R2,"")</f>
        <v/>
      </c>
      <c r="P11" s="13">
        <f>IFERROR('QTR BS'!P13/'QTR P&amp;L'!S2,"")</f>
        <v/>
      </c>
      <c r="Q11" s="14">
        <f>P11</f>
        <v/>
      </c>
      <c r="R11" s="14">
        <f>P11</f>
        <v/>
      </c>
      <c r="S11" s="14">
        <f>P11</f>
        <v/>
      </c>
      <c r="T11" s="14">
        <f>P11</f>
        <v/>
      </c>
      <c r="U11" s="14">
        <f>P11</f>
        <v/>
      </c>
      <c r="V11" s="14">
        <f>P11</f>
        <v/>
      </c>
      <c r="W11" s="14">
        <f>P11</f>
        <v/>
      </c>
      <c r="X11" s="14">
        <f>P11</f>
        <v/>
      </c>
      <c r="Y11" s="14">
        <f>P11</f>
        <v/>
      </c>
      <c r="Z11" s="14">
        <f>P11</f>
        <v/>
      </c>
      <c r="AA11" s="14">
        <f>P11</f>
        <v/>
      </c>
      <c r="AB11" s="14">
        <f>P11</f>
        <v/>
      </c>
      <c r="AC11" s="14">
        <f>P11</f>
        <v/>
      </c>
      <c r="AD11" s="14">
        <f>P11</f>
        <v/>
      </c>
      <c r="AE11" s="14">
        <f>P11</f>
        <v/>
      </c>
      <c r="AF11" s="14">
        <f>P11</f>
        <v/>
      </c>
      <c r="AG11" s="14">
        <f>P11</f>
        <v/>
      </c>
      <c r="AH11" s="14">
        <f>P11</f>
        <v/>
      </c>
      <c r="AI11" s="14">
        <f>P11</f>
        <v/>
      </c>
      <c r="AJ11" s="14">
        <f>P11</f>
        <v/>
      </c>
      <c r="AK11" s="14">
        <f>P11</f>
        <v/>
      </c>
      <c r="AL11" s="14">
        <f>P11</f>
        <v/>
      </c>
    </row>
    <row r="12">
      <c r="A12" s="3" t="inlineStr">
        <is>
          <t>Current Portion of Long-Term Debt</t>
        </is>
      </c>
      <c r="B12" s="4">
        <f>'QTR BS'!B14</f>
        <v/>
      </c>
      <c r="C12" s="4">
        <f>'QTR BS'!C14</f>
        <v/>
      </c>
      <c r="D12" s="4">
        <f>'QTR BS'!D14</f>
        <v/>
      </c>
      <c r="E12" s="4">
        <f>'QTR BS'!E14</f>
        <v/>
      </c>
      <c r="F12" s="4">
        <f>'QTR BS'!F14</f>
        <v/>
      </c>
      <c r="G12" s="4">
        <f>'QTR BS'!G14</f>
        <v/>
      </c>
      <c r="H12" s="4">
        <f>'QTR BS'!H14</f>
        <v/>
      </c>
      <c r="I12" s="4">
        <f>'QTR BS'!I14</f>
        <v/>
      </c>
      <c r="J12" s="4">
        <f>'QTR BS'!J14</f>
        <v/>
      </c>
      <c r="K12" s="4">
        <f>'QTR BS'!K14</f>
        <v/>
      </c>
      <c r="L12" s="4">
        <f>'QTR BS'!L14</f>
        <v/>
      </c>
      <c r="M12" s="4">
        <f>'QTR BS'!M14</f>
        <v/>
      </c>
      <c r="N12" s="4">
        <f>'QTR BS'!N14</f>
        <v/>
      </c>
      <c r="O12" s="4">
        <f>'QTR BS'!O14</f>
        <v/>
      </c>
      <c r="P12" s="4">
        <f>'QTR BS'!P14</f>
        <v/>
      </c>
      <c r="Q12" s="15">
        <f>P12</f>
        <v/>
      </c>
      <c r="R12" s="15">
        <f>P12</f>
        <v/>
      </c>
      <c r="S12" s="15">
        <f>P12</f>
        <v/>
      </c>
      <c r="T12" s="15">
        <f>P12</f>
        <v/>
      </c>
      <c r="U12" s="15">
        <f>P12</f>
        <v/>
      </c>
      <c r="V12" s="15">
        <f>P12</f>
        <v/>
      </c>
      <c r="W12" s="15">
        <f>P12</f>
        <v/>
      </c>
      <c r="X12" s="15">
        <f>P12</f>
        <v/>
      </c>
      <c r="Y12" s="15">
        <f>P12</f>
        <v/>
      </c>
      <c r="Z12" s="15">
        <f>P12</f>
        <v/>
      </c>
      <c r="AA12" s="15">
        <f>P12</f>
        <v/>
      </c>
      <c r="AB12" s="15">
        <f>P12</f>
        <v/>
      </c>
      <c r="AC12" s="15">
        <f>P12</f>
        <v/>
      </c>
      <c r="AD12" s="15">
        <f>P12</f>
        <v/>
      </c>
      <c r="AE12" s="15">
        <f>P12</f>
        <v/>
      </c>
      <c r="AF12" s="15">
        <f>P12</f>
        <v/>
      </c>
      <c r="AG12" s="15">
        <f>P12</f>
        <v/>
      </c>
      <c r="AH12" s="15">
        <f>P12</f>
        <v/>
      </c>
      <c r="AI12" s="15">
        <f>P12</f>
        <v/>
      </c>
      <c r="AJ12" s="15">
        <f>P12</f>
        <v/>
      </c>
      <c r="AK12" s="15">
        <f>P12</f>
        <v/>
      </c>
      <c r="AL12" s="15">
        <f>P12</f>
        <v/>
      </c>
    </row>
    <row r="13">
      <c r="A13" s="3" t="inlineStr">
        <is>
          <t>Long-Term Debt</t>
        </is>
      </c>
      <c r="B13" s="4">
        <f>'QTR BS'!B16</f>
        <v/>
      </c>
      <c r="C13" s="4">
        <f>'QTR BS'!C16</f>
        <v/>
      </c>
      <c r="D13" s="4">
        <f>'QTR BS'!D16</f>
        <v/>
      </c>
      <c r="E13" s="4">
        <f>'QTR BS'!E16</f>
        <v/>
      </c>
      <c r="F13" s="4">
        <f>'QTR BS'!F16</f>
        <v/>
      </c>
      <c r="G13" s="4">
        <f>'QTR BS'!G16</f>
        <v/>
      </c>
      <c r="H13" s="4">
        <f>'QTR BS'!H16</f>
        <v/>
      </c>
      <c r="I13" s="4">
        <f>'QTR BS'!I16</f>
        <v/>
      </c>
      <c r="J13" s="4">
        <f>'QTR BS'!J16</f>
        <v/>
      </c>
      <c r="K13" s="4">
        <f>'QTR BS'!K16</f>
        <v/>
      </c>
      <c r="L13" s="4">
        <f>'QTR BS'!L16</f>
        <v/>
      </c>
      <c r="M13" s="4">
        <f>'QTR BS'!M16</f>
        <v/>
      </c>
      <c r="N13" s="4">
        <f>'QTR BS'!N16</f>
        <v/>
      </c>
      <c r="O13" s="4">
        <f>'QTR BS'!O16</f>
        <v/>
      </c>
      <c r="P13" s="4">
        <f>'QTR BS'!P16</f>
        <v/>
      </c>
      <c r="Q13" s="15">
        <f>P13</f>
        <v/>
      </c>
      <c r="R13" s="15">
        <f>P13</f>
        <v/>
      </c>
      <c r="S13" s="15">
        <f>P13</f>
        <v/>
      </c>
      <c r="T13" s="15">
        <f>P13</f>
        <v/>
      </c>
      <c r="U13" s="15">
        <f>P13</f>
        <v/>
      </c>
      <c r="V13" s="15">
        <f>P13</f>
        <v/>
      </c>
      <c r="W13" s="15">
        <f>P13</f>
        <v/>
      </c>
      <c r="X13" s="15">
        <f>P13</f>
        <v/>
      </c>
      <c r="Y13" s="15">
        <f>P13</f>
        <v/>
      </c>
      <c r="Z13" s="15">
        <f>P13</f>
        <v/>
      </c>
      <c r="AA13" s="15">
        <f>P13</f>
        <v/>
      </c>
      <c r="AB13" s="15">
        <f>P13</f>
        <v/>
      </c>
      <c r="AC13" s="15">
        <f>P13</f>
        <v/>
      </c>
      <c r="AD13" s="15">
        <f>P13</f>
        <v/>
      </c>
      <c r="AE13" s="15">
        <f>P13</f>
        <v/>
      </c>
      <c r="AF13" s="15">
        <f>P13</f>
        <v/>
      </c>
      <c r="AG13" s="15">
        <f>P13</f>
        <v/>
      </c>
      <c r="AH13" s="15">
        <f>P13</f>
        <v/>
      </c>
      <c r="AI13" s="15">
        <f>P13</f>
        <v/>
      </c>
      <c r="AJ13" s="15">
        <f>P13</f>
        <v/>
      </c>
      <c r="AK13" s="15">
        <f>P13</f>
        <v/>
      </c>
      <c r="AL13" s="15">
        <f>P13</f>
        <v/>
      </c>
    </row>
    <row r="14">
      <c r="A14" s="3" t="inlineStr">
        <is>
          <t>Deferred Tax Liability</t>
        </is>
      </c>
      <c r="B14" s="4">
        <f>'QTR BS'!B17</f>
        <v/>
      </c>
      <c r="C14" s="4">
        <f>'QTR BS'!C17</f>
        <v/>
      </c>
      <c r="D14" s="4">
        <f>'QTR BS'!D17</f>
        <v/>
      </c>
      <c r="E14" s="4">
        <f>'QTR BS'!E17</f>
        <v/>
      </c>
      <c r="F14" s="4">
        <f>'QTR BS'!F17</f>
        <v/>
      </c>
      <c r="G14" s="4">
        <f>'QTR BS'!G17</f>
        <v/>
      </c>
      <c r="H14" s="4">
        <f>'QTR BS'!H17</f>
        <v/>
      </c>
      <c r="I14" s="4">
        <f>'QTR BS'!I17</f>
        <v/>
      </c>
      <c r="J14" s="4">
        <f>'QTR BS'!J17</f>
        <v/>
      </c>
      <c r="K14" s="4">
        <f>'QTR BS'!K17</f>
        <v/>
      </c>
      <c r="L14" s="4">
        <f>'QTR BS'!L17</f>
        <v/>
      </c>
      <c r="M14" s="4">
        <f>'QTR BS'!M17</f>
        <v/>
      </c>
      <c r="N14" s="4">
        <f>'QTR BS'!N17</f>
        <v/>
      </c>
      <c r="O14" s="4">
        <f>'QTR BS'!O17</f>
        <v/>
      </c>
      <c r="P14" s="4">
        <f>'QTR BS'!P17</f>
        <v/>
      </c>
      <c r="Q14" s="15">
        <f>P14</f>
        <v/>
      </c>
      <c r="R14" s="15">
        <f>P14</f>
        <v/>
      </c>
      <c r="S14" s="15">
        <f>P14</f>
        <v/>
      </c>
      <c r="T14" s="15">
        <f>P14</f>
        <v/>
      </c>
      <c r="U14" s="15">
        <f>P14</f>
        <v/>
      </c>
      <c r="V14" s="15">
        <f>P14</f>
        <v/>
      </c>
      <c r="W14" s="15">
        <f>P14</f>
        <v/>
      </c>
      <c r="X14" s="15">
        <f>P14</f>
        <v/>
      </c>
      <c r="Y14" s="15">
        <f>P14</f>
        <v/>
      </c>
      <c r="Z14" s="15">
        <f>P14</f>
        <v/>
      </c>
      <c r="AA14" s="15">
        <f>P14</f>
        <v/>
      </c>
      <c r="AB14" s="15">
        <f>P14</f>
        <v/>
      </c>
      <c r="AC14" s="15">
        <f>P14</f>
        <v/>
      </c>
      <c r="AD14" s="15">
        <f>P14</f>
        <v/>
      </c>
      <c r="AE14" s="15">
        <f>P14</f>
        <v/>
      </c>
      <c r="AF14" s="15">
        <f>P14</f>
        <v/>
      </c>
      <c r="AG14" s="15">
        <f>P14</f>
        <v/>
      </c>
      <c r="AH14" s="15">
        <f>P14</f>
        <v/>
      </c>
      <c r="AI14" s="15">
        <f>P14</f>
        <v/>
      </c>
      <c r="AJ14" s="15">
        <f>P14</f>
        <v/>
      </c>
      <c r="AK14" s="15">
        <f>P14</f>
        <v/>
      </c>
      <c r="AL14" s="15">
        <f>P14</f>
        <v/>
      </c>
    </row>
    <row r="15">
      <c r="A15" s="3" t="inlineStr">
        <is>
          <t>Other Non-Current Liabilities — % of Revenue</t>
        </is>
      </c>
      <c r="B15" s="13">
        <f>IFERROR('QTR BS'!B18/'QTR P&amp;L'!E2,"")</f>
        <v/>
      </c>
      <c r="C15" s="13">
        <f>IFERROR('QTR BS'!C18/'QTR P&amp;L'!F2,"")</f>
        <v/>
      </c>
      <c r="D15" s="13">
        <f>IFERROR('QTR BS'!D18/'QTR P&amp;L'!G2,"")</f>
        <v/>
      </c>
      <c r="E15" s="13">
        <f>IFERROR('QTR BS'!E18/'QTR P&amp;L'!H2,"")</f>
        <v/>
      </c>
      <c r="F15" s="13">
        <f>IFERROR('QTR BS'!F18/'QTR P&amp;L'!I2,"")</f>
        <v/>
      </c>
      <c r="G15" s="13">
        <f>IFERROR('QTR BS'!G18/'QTR P&amp;L'!J2,"")</f>
        <v/>
      </c>
      <c r="H15" s="13">
        <f>IFERROR('QTR BS'!H18/'QTR P&amp;L'!K2,"")</f>
        <v/>
      </c>
      <c r="I15" s="13">
        <f>IFERROR('QTR BS'!I18/'QTR P&amp;L'!L2,"")</f>
        <v/>
      </c>
      <c r="J15" s="13">
        <f>IFERROR('QTR BS'!J18/'QTR P&amp;L'!M2,"")</f>
        <v/>
      </c>
      <c r="K15" s="13">
        <f>IFERROR('QTR BS'!K18/'QTR P&amp;L'!N2,"")</f>
        <v/>
      </c>
      <c r="L15" s="13">
        <f>IFERROR('QTR BS'!L18/'QTR P&amp;L'!O2,"")</f>
        <v/>
      </c>
      <c r="M15" s="13">
        <f>IFERROR('QTR BS'!M18/'QTR P&amp;L'!P2,"")</f>
        <v/>
      </c>
      <c r="N15" s="13">
        <f>IFERROR('QTR BS'!N18/'QTR P&amp;L'!Q2,"")</f>
        <v/>
      </c>
      <c r="O15" s="13">
        <f>IFERROR('QTR BS'!O18/'QTR P&amp;L'!R2,"")</f>
        <v/>
      </c>
      <c r="P15" s="13">
        <f>IFERROR('QTR BS'!P18/'QTR P&amp;L'!S2,"")</f>
        <v/>
      </c>
      <c r="Q15" s="14">
        <f>P15</f>
        <v/>
      </c>
      <c r="R15" s="14">
        <f>P15</f>
        <v/>
      </c>
      <c r="S15" s="14">
        <f>P15</f>
        <v/>
      </c>
      <c r="T15" s="14">
        <f>P15</f>
        <v/>
      </c>
      <c r="U15" s="14">
        <f>P15</f>
        <v/>
      </c>
      <c r="V15" s="14">
        <f>P15</f>
        <v/>
      </c>
      <c r="W15" s="14">
        <f>P15</f>
        <v/>
      </c>
      <c r="X15" s="14">
        <f>P15</f>
        <v/>
      </c>
      <c r="Y15" s="14">
        <f>P15</f>
        <v/>
      </c>
      <c r="Z15" s="14">
        <f>P15</f>
        <v/>
      </c>
      <c r="AA15" s="14">
        <f>P15</f>
        <v/>
      </c>
      <c r="AB15" s="14">
        <f>P15</f>
        <v/>
      </c>
      <c r="AC15" s="14">
        <f>P15</f>
        <v/>
      </c>
      <c r="AD15" s="14">
        <f>P15</f>
        <v/>
      </c>
      <c r="AE15" s="14">
        <f>P15</f>
        <v/>
      </c>
      <c r="AF15" s="14">
        <f>P15</f>
        <v/>
      </c>
      <c r="AG15" s="14">
        <f>P15</f>
        <v/>
      </c>
      <c r="AH15" s="14">
        <f>P15</f>
        <v/>
      </c>
      <c r="AI15" s="14">
        <f>P15</f>
        <v/>
      </c>
      <c r="AJ15" s="14">
        <f>P15</f>
        <v/>
      </c>
      <c r="AK15" s="14">
        <f>P15</f>
        <v/>
      </c>
      <c r="AL15" s="14">
        <f>P15</f>
        <v/>
      </c>
    </row>
    <row r="16">
      <c r="A16" s="3" t="inlineStr">
        <is>
          <t>Convertible Preferred Stock</t>
        </is>
      </c>
      <c r="B16" s="4">
        <f>'QTR BS'!B20</f>
        <v/>
      </c>
      <c r="C16" s="4">
        <f>'QTR BS'!C20</f>
        <v/>
      </c>
      <c r="D16" s="4">
        <f>'QTR BS'!D20</f>
        <v/>
      </c>
      <c r="E16" s="4">
        <f>'QTR BS'!E20</f>
        <v/>
      </c>
      <c r="F16" s="4">
        <f>'QTR BS'!F20</f>
        <v/>
      </c>
      <c r="G16" s="4">
        <f>'QTR BS'!G20</f>
        <v/>
      </c>
      <c r="H16" s="4">
        <f>'QTR BS'!H20</f>
        <v/>
      </c>
      <c r="I16" s="4">
        <f>'QTR BS'!I20</f>
        <v/>
      </c>
      <c r="J16" s="4">
        <f>'QTR BS'!J20</f>
        <v/>
      </c>
      <c r="K16" s="4">
        <f>'QTR BS'!K20</f>
        <v/>
      </c>
      <c r="L16" s="4">
        <f>'QTR BS'!L20</f>
        <v/>
      </c>
      <c r="M16" s="4">
        <f>'QTR BS'!M20</f>
        <v/>
      </c>
      <c r="N16" s="4">
        <f>'QTR BS'!N20</f>
        <v/>
      </c>
      <c r="O16" s="4">
        <f>'QTR BS'!O20</f>
        <v/>
      </c>
      <c r="P16" s="4">
        <f>'QTR BS'!P20</f>
        <v/>
      </c>
      <c r="Q16" s="15">
        <f>P16</f>
        <v/>
      </c>
      <c r="R16" s="15">
        <f>P16</f>
        <v/>
      </c>
      <c r="S16" s="15">
        <f>P16</f>
        <v/>
      </c>
      <c r="T16" s="15">
        <f>P16</f>
        <v/>
      </c>
      <c r="U16" s="15">
        <f>P16</f>
        <v/>
      </c>
      <c r="V16" s="15">
        <f>P16</f>
        <v/>
      </c>
      <c r="W16" s="15">
        <f>P16</f>
        <v/>
      </c>
      <c r="X16" s="15">
        <f>P16</f>
        <v/>
      </c>
      <c r="Y16" s="15">
        <f>P16</f>
        <v/>
      </c>
      <c r="Z16" s="15">
        <f>P16</f>
        <v/>
      </c>
      <c r="AA16" s="15">
        <f>P16</f>
        <v/>
      </c>
      <c r="AB16" s="15">
        <f>P16</f>
        <v/>
      </c>
      <c r="AC16" s="15">
        <f>P16</f>
        <v/>
      </c>
      <c r="AD16" s="15">
        <f>P16</f>
        <v/>
      </c>
      <c r="AE16" s="15">
        <f>P16</f>
        <v/>
      </c>
      <c r="AF16" s="15">
        <f>P16</f>
        <v/>
      </c>
      <c r="AG16" s="15">
        <f>P16</f>
        <v/>
      </c>
      <c r="AH16" s="15">
        <f>P16</f>
        <v/>
      </c>
      <c r="AI16" s="15">
        <f>P16</f>
        <v/>
      </c>
      <c r="AJ16" s="15">
        <f>P16</f>
        <v/>
      </c>
      <c r="AK16" s="15">
        <f>P16</f>
        <v/>
      </c>
      <c r="AL16" s="15">
        <f>P16</f>
        <v/>
      </c>
    </row>
    <row r="17">
      <c r="A17" s="3" t="inlineStr">
        <is>
          <t>Common Stock</t>
        </is>
      </c>
      <c r="B17" s="4">
        <f>'QTR BS'!B21</f>
        <v/>
      </c>
      <c r="C17" s="4">
        <f>'QTR BS'!C21</f>
        <v/>
      </c>
      <c r="D17" s="4">
        <f>'QTR BS'!D21</f>
        <v/>
      </c>
      <c r="E17" s="4">
        <f>'QTR BS'!E21</f>
        <v/>
      </c>
      <c r="F17" s="4">
        <f>'QTR BS'!F21</f>
        <v/>
      </c>
      <c r="G17" s="4">
        <f>'QTR BS'!G21</f>
        <v/>
      </c>
      <c r="H17" s="4">
        <f>'QTR BS'!H21</f>
        <v/>
      </c>
      <c r="I17" s="4">
        <f>'QTR BS'!I21</f>
        <v/>
      </c>
      <c r="J17" s="4">
        <f>'QTR BS'!J21</f>
        <v/>
      </c>
      <c r="K17" s="4">
        <f>'QTR BS'!K21</f>
        <v/>
      </c>
      <c r="L17" s="4">
        <f>'QTR BS'!L21</f>
        <v/>
      </c>
      <c r="M17" s="4">
        <f>'QTR BS'!M21</f>
        <v/>
      </c>
      <c r="N17" s="4">
        <f>'QTR BS'!N21</f>
        <v/>
      </c>
      <c r="O17" s="4">
        <f>'QTR BS'!O21</f>
        <v/>
      </c>
      <c r="P17" s="4">
        <f>'QTR BS'!P21</f>
        <v/>
      </c>
      <c r="Q17" s="15">
        <f>P17</f>
        <v/>
      </c>
      <c r="R17" s="15">
        <f>P17</f>
        <v/>
      </c>
      <c r="S17" s="15">
        <f>P17</f>
        <v/>
      </c>
      <c r="T17" s="15">
        <f>P17</f>
        <v/>
      </c>
      <c r="U17" s="15">
        <f>P17</f>
        <v/>
      </c>
      <c r="V17" s="15">
        <f>P17</f>
        <v/>
      </c>
      <c r="W17" s="15">
        <f>P17</f>
        <v/>
      </c>
      <c r="X17" s="15">
        <f>P17</f>
        <v/>
      </c>
      <c r="Y17" s="15">
        <f>P17</f>
        <v/>
      </c>
      <c r="Z17" s="15">
        <f>P17</f>
        <v/>
      </c>
      <c r="AA17" s="15">
        <f>P17</f>
        <v/>
      </c>
      <c r="AB17" s="15">
        <f>P17</f>
        <v/>
      </c>
      <c r="AC17" s="15">
        <f>P17</f>
        <v/>
      </c>
      <c r="AD17" s="15">
        <f>P17</f>
        <v/>
      </c>
      <c r="AE17" s="15">
        <f>P17</f>
        <v/>
      </c>
      <c r="AF17" s="15">
        <f>P17</f>
        <v/>
      </c>
      <c r="AG17" s="15">
        <f>P17</f>
        <v/>
      </c>
      <c r="AH17" s="15">
        <f>P17</f>
        <v/>
      </c>
      <c r="AI17" s="15">
        <f>P17</f>
        <v/>
      </c>
      <c r="AJ17" s="15">
        <f>P17</f>
        <v/>
      </c>
      <c r="AK17" s="15">
        <f>P17</f>
        <v/>
      </c>
      <c r="AL17" s="15">
        <f>P17</f>
        <v/>
      </c>
    </row>
    <row r="18">
      <c r="A18" s="3" t="inlineStr">
        <is>
          <t>Additional Paid-in Capital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4">
        <f>'QTR BS'!P22</f>
        <v/>
      </c>
      <c r="Q18" s="4">
        <f>P18+'QTR CF'!T5</f>
        <v/>
      </c>
      <c r="R18" s="4">
        <f>Q18+'QTR CF'!U5</f>
        <v/>
      </c>
      <c r="S18" s="4">
        <f>R18+'QTR CF'!V5</f>
        <v/>
      </c>
      <c r="T18" s="4">
        <f>S18+'QTR CF'!W5</f>
        <v/>
      </c>
      <c r="U18" s="4">
        <f>T18+'QTR CF'!X5</f>
        <v/>
      </c>
      <c r="V18" s="4">
        <f>U18+'QTR CF'!Y5</f>
        <v/>
      </c>
      <c r="W18" s="4">
        <f>V18+'QTR CF'!Z5</f>
        <v/>
      </c>
      <c r="X18" s="4">
        <f>W18+'QTR CF'!AA5</f>
        <v/>
      </c>
      <c r="Y18" s="4">
        <f>X18+'QTR CF'!AB5</f>
        <v/>
      </c>
      <c r="Z18" s="4">
        <f>Y18+'QTR CF'!AC5</f>
        <v/>
      </c>
      <c r="AA18" s="4">
        <f>Z18+'QTR CF'!AD5</f>
        <v/>
      </c>
      <c r="AB18" s="4">
        <f>AA18+'QTR CF'!AE5</f>
        <v/>
      </c>
      <c r="AC18" s="4">
        <f>AB18+'QTR CF'!AF5</f>
        <v/>
      </c>
      <c r="AD18" s="4">
        <f>AC18+'QTR CF'!AG5</f>
        <v/>
      </c>
      <c r="AE18" s="4">
        <f>AD18+'QTR CF'!AH5</f>
        <v/>
      </c>
      <c r="AF18" s="4">
        <f>AE18+'QTR CF'!AI5</f>
        <v/>
      </c>
      <c r="AG18" s="4">
        <f>AF18+'QTR CF'!AJ5</f>
        <v/>
      </c>
      <c r="AH18" s="4">
        <f>AG18+'QTR CF'!AK5</f>
        <v/>
      </c>
      <c r="AI18" s="4">
        <f>AH18+'QTR CF'!AL5</f>
        <v/>
      </c>
      <c r="AJ18" s="4">
        <f>AI18+'QTR CF'!AM5</f>
        <v/>
      </c>
      <c r="AK18" s="4">
        <f>AJ18+'QTR CF'!AN5</f>
        <v/>
      </c>
      <c r="AL18" s="4">
        <f>AK18+'QTR CF'!AO5</f>
        <v/>
      </c>
    </row>
    <row r="19">
      <c r="A19" s="3" t="inlineStr">
        <is>
          <t>ESOP Debt Retirement Reserve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'QTR BS'!P23</f>
        <v/>
      </c>
      <c r="Q19" s="15" t="n">
        <v>0</v>
      </c>
      <c r="R19" s="15" t="n">
        <v>0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</row>
    <row r="20">
      <c r="A20" s="3" t="inlineStr">
        <is>
          <t>Accumulated Other Comprehensive Income (Loss)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'QTR BS'!P24</f>
        <v/>
      </c>
      <c r="Q20" s="4">
        <f>P20+'QTR CF'!T30</f>
        <v/>
      </c>
      <c r="R20" s="4">
        <f>Q20+'QTR CF'!U30</f>
        <v/>
      </c>
      <c r="S20" s="4">
        <f>R20+'QTR CF'!V30</f>
        <v/>
      </c>
      <c r="T20" s="4">
        <f>S20+'QTR CF'!W30</f>
        <v/>
      </c>
      <c r="U20" s="4">
        <f>T20+'QTR CF'!X30</f>
        <v/>
      </c>
      <c r="V20" s="4">
        <f>U20+'QTR CF'!Y30</f>
        <v/>
      </c>
      <c r="W20" s="4">
        <f>V20+'QTR CF'!Z30</f>
        <v/>
      </c>
      <c r="X20" s="4">
        <f>W20+'QTR CF'!AA30</f>
        <v/>
      </c>
      <c r="Y20" s="4">
        <f>X20+'QTR CF'!AB30</f>
        <v/>
      </c>
      <c r="Z20" s="4">
        <f>Y20+'QTR CF'!AC30</f>
        <v/>
      </c>
      <c r="AA20" s="4">
        <f>Z20+'QTR CF'!AD30</f>
        <v/>
      </c>
      <c r="AB20" s="4">
        <f>AA20+'QTR CF'!AE30</f>
        <v/>
      </c>
      <c r="AC20" s="4">
        <f>AB20+'QTR CF'!AF30</f>
        <v/>
      </c>
      <c r="AD20" s="4">
        <f>AC20+'QTR CF'!AG30</f>
        <v/>
      </c>
      <c r="AE20" s="4">
        <f>AD20+'QTR CF'!AH30</f>
        <v/>
      </c>
      <c r="AF20" s="4">
        <f>AE20+'QTR CF'!AI30</f>
        <v/>
      </c>
      <c r="AG20" s="4">
        <f>AF20+'QTR CF'!AJ30</f>
        <v/>
      </c>
      <c r="AH20" s="4">
        <f>AG20+'QTR CF'!AK30</f>
        <v/>
      </c>
      <c r="AI20" s="4">
        <f>AH20+'QTR CF'!AL30</f>
        <v/>
      </c>
      <c r="AJ20" s="4">
        <f>AI20+'QTR CF'!AM30</f>
        <v/>
      </c>
      <c r="AK20" s="4">
        <f>AJ20+'QTR CF'!AN30</f>
        <v/>
      </c>
      <c r="AL20" s="4">
        <f>AK20+'QTR CF'!AO30</f>
        <v/>
      </c>
    </row>
    <row r="21">
      <c r="A21" s="3" t="inlineStr">
        <is>
          <t>Treasury Stock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'QTR BS'!P25</f>
        <v/>
      </c>
      <c r="Q21" s="15">
        <f>P21</f>
        <v/>
      </c>
      <c r="R21" s="15">
        <f>P21</f>
        <v/>
      </c>
      <c r="S21" s="15">
        <f>P21</f>
        <v/>
      </c>
      <c r="T21" s="15">
        <f>P21</f>
        <v/>
      </c>
      <c r="U21" s="15">
        <f>P21</f>
        <v/>
      </c>
      <c r="V21" s="15">
        <f>P21</f>
        <v/>
      </c>
      <c r="W21" s="15">
        <f>P21</f>
        <v/>
      </c>
      <c r="X21" s="15">
        <f>P21</f>
        <v/>
      </c>
      <c r="Y21" s="15">
        <f>P21</f>
        <v/>
      </c>
      <c r="Z21" s="15">
        <f>P21</f>
        <v/>
      </c>
      <c r="AA21" s="15">
        <f>P21</f>
        <v/>
      </c>
      <c r="AB21" s="15">
        <f>P21</f>
        <v/>
      </c>
      <c r="AC21" s="15">
        <f>P21</f>
        <v/>
      </c>
      <c r="AD21" s="15">
        <f>P21</f>
        <v/>
      </c>
      <c r="AE21" s="15">
        <f>P21</f>
        <v/>
      </c>
      <c r="AF21" s="15">
        <f>P21</f>
        <v/>
      </c>
      <c r="AG21" s="15">
        <f>P21</f>
        <v/>
      </c>
      <c r="AH21" s="15">
        <f>P21</f>
        <v/>
      </c>
      <c r="AI21" s="15">
        <f>P21</f>
        <v/>
      </c>
      <c r="AJ21" s="15">
        <f>P21</f>
        <v/>
      </c>
      <c r="AK21" s="15">
        <f>P21</f>
        <v/>
      </c>
      <c r="AL21" s="15">
        <f>P21</f>
        <v/>
      </c>
    </row>
    <row r="22">
      <c r="A22" s="3" t="inlineStr">
        <is>
          <t>Retained Earnings (Accumulated Deficit)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4">
        <f>'QTR BS'!P26</f>
        <v/>
      </c>
      <c r="Q22" s="4">
        <f>P22+'QTR P&amp;L'!T12+'QTR CF'!T21</f>
        <v/>
      </c>
      <c r="R22" s="4">
        <f>Q22+'QTR P&amp;L'!U12+'QTR CF'!U21</f>
        <v/>
      </c>
      <c r="S22" s="4">
        <f>R22+'QTR P&amp;L'!V12+'QTR CF'!V21</f>
        <v/>
      </c>
      <c r="T22" s="4">
        <f>S22+'QTR P&amp;L'!W12+'QTR CF'!W21</f>
        <v/>
      </c>
      <c r="U22" s="4">
        <f>T22+'QTR P&amp;L'!X12+'QTR CF'!X21</f>
        <v/>
      </c>
      <c r="V22" s="4">
        <f>U22+'QTR P&amp;L'!Y12+'QTR CF'!Y21</f>
        <v/>
      </c>
      <c r="W22" s="4">
        <f>V22+'QTR P&amp;L'!Z12+'QTR CF'!Z21</f>
        <v/>
      </c>
      <c r="X22" s="4">
        <f>W22+'QTR P&amp;L'!AA12+'QTR CF'!AA21</f>
        <v/>
      </c>
      <c r="Y22" s="4">
        <f>X22+'QTR P&amp;L'!AB12+'QTR CF'!AB21</f>
        <v/>
      </c>
      <c r="Z22" s="4">
        <f>Y22+'QTR P&amp;L'!AC12+'QTR CF'!AC21</f>
        <v/>
      </c>
      <c r="AA22" s="4">
        <f>Z22+'QTR P&amp;L'!AD12+'QTR CF'!AD21</f>
        <v/>
      </c>
      <c r="AB22" s="4">
        <f>AA22+'QTR P&amp;L'!AE12+'QTR CF'!AE21</f>
        <v/>
      </c>
      <c r="AC22" s="4">
        <f>AB22+'QTR P&amp;L'!AF12+'QTR CF'!AF21</f>
        <v/>
      </c>
      <c r="AD22" s="4">
        <f>AC22+'QTR P&amp;L'!AG12+'QTR CF'!AG21</f>
        <v/>
      </c>
      <c r="AE22" s="4">
        <f>AD22+'QTR P&amp;L'!AH12+'QTR CF'!AH21</f>
        <v/>
      </c>
      <c r="AF22" s="4">
        <f>AE22+'QTR P&amp;L'!AI12+'QTR CF'!AI21</f>
        <v/>
      </c>
      <c r="AG22" s="4">
        <f>AF22+'QTR P&amp;L'!AJ12+'QTR CF'!AJ21</f>
        <v/>
      </c>
      <c r="AH22" s="4">
        <f>AG22+'QTR P&amp;L'!AK12+'QTR CF'!AK21</f>
        <v/>
      </c>
      <c r="AI22" s="4">
        <f>AH22+'QTR P&amp;L'!AL12+'QTR CF'!AL21</f>
        <v/>
      </c>
      <c r="AJ22" s="4">
        <f>AI22+'QTR P&amp;L'!AM12+'QTR CF'!AM21</f>
        <v/>
      </c>
      <c r="AK22" s="4">
        <f>AJ22+'QTR P&amp;L'!AN12+'QTR CF'!AN21</f>
        <v/>
      </c>
      <c r="AL22" s="4">
        <f>AK22+'QTR P&amp;L'!AO12+'QTR CF'!AO21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4">
        <f>'QTR BS'!P27</f>
        <v/>
      </c>
      <c r="Q23" s="15">
        <f>P23</f>
        <v/>
      </c>
      <c r="R23" s="15">
        <f>P23</f>
        <v/>
      </c>
      <c r="S23" s="15">
        <f>P23</f>
        <v/>
      </c>
      <c r="T23" s="15">
        <f>P23</f>
        <v/>
      </c>
      <c r="U23" s="15">
        <f>P23</f>
        <v/>
      </c>
      <c r="V23" s="15">
        <f>P23</f>
        <v/>
      </c>
      <c r="W23" s="15">
        <f>P23</f>
        <v/>
      </c>
      <c r="X23" s="15">
        <f>P23</f>
        <v/>
      </c>
      <c r="Y23" s="15">
        <f>P23</f>
        <v/>
      </c>
      <c r="Z23" s="15">
        <f>P23</f>
        <v/>
      </c>
      <c r="AA23" s="15">
        <f>P23</f>
        <v/>
      </c>
      <c r="AB23" s="15">
        <f>P23</f>
        <v/>
      </c>
      <c r="AC23" s="15">
        <f>P23</f>
        <v/>
      </c>
      <c r="AD23" s="15">
        <f>P23</f>
        <v/>
      </c>
      <c r="AE23" s="15">
        <f>P23</f>
        <v/>
      </c>
      <c r="AF23" s="15">
        <f>P23</f>
        <v/>
      </c>
      <c r="AG23" s="15">
        <f>P23</f>
        <v/>
      </c>
      <c r="AH23" s="15">
        <f>P23</f>
        <v/>
      </c>
      <c r="AI23" s="15">
        <f>P23</f>
        <v/>
      </c>
      <c r="AJ23" s="15">
        <f>P23</f>
        <v/>
      </c>
      <c r="AK23" s="15">
        <f>P23</f>
        <v/>
      </c>
      <c r="AL23" s="15">
        <f>P23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P&amp;L'!T12</f>
        <v/>
      </c>
      <c r="U2" s="4">
        <f>'QTR P&amp;L'!U12</f>
        <v/>
      </c>
      <c r="V2" s="4">
        <f>'QTR P&amp;L'!V12</f>
        <v/>
      </c>
      <c r="W2" s="4">
        <f>'QTR P&amp;L'!W12</f>
        <v/>
      </c>
      <c r="X2" s="4">
        <f>'QTR P&amp;L'!X12</f>
        <v/>
      </c>
      <c r="Y2" s="4">
        <f>'QTR P&amp;L'!Y12</f>
        <v/>
      </c>
      <c r="Z2" s="4">
        <f>'QTR P&amp;L'!Z12</f>
        <v/>
      </c>
      <c r="AA2" s="4">
        <f>'QTR P&amp;L'!AA12</f>
        <v/>
      </c>
      <c r="AB2" s="4">
        <f>'QTR P&amp;L'!AB12</f>
        <v/>
      </c>
      <c r="AC2" s="4">
        <f>'QTR P&amp;L'!AC12</f>
        <v/>
      </c>
      <c r="AD2" s="4">
        <f>'QTR P&amp;L'!AD12</f>
        <v/>
      </c>
      <c r="AE2" s="4">
        <f>'QTR P&amp;L'!AE12</f>
        <v/>
      </c>
      <c r="AF2" s="4">
        <f>'QTR P&amp;L'!AF12</f>
        <v/>
      </c>
      <c r="AG2" s="4">
        <f>'QTR P&amp;L'!AG12</f>
        <v/>
      </c>
      <c r="AH2" s="4">
        <f>'QTR P&amp;L'!AH12</f>
        <v/>
      </c>
      <c r="AI2" s="4">
        <f>'QTR P&amp;L'!AI12</f>
        <v/>
      </c>
      <c r="AJ2" s="4">
        <f>'QTR P&amp;L'!AJ12</f>
        <v/>
      </c>
      <c r="AK2" s="4">
        <f>'QTR P&amp;L'!AK12</f>
        <v/>
      </c>
      <c r="AL2" s="4">
        <f>'QTR P&amp;L'!AL12</f>
        <v/>
      </c>
      <c r="AM2" s="4">
        <f>'QTR P&amp;L'!AM12</f>
        <v/>
      </c>
      <c r="AN2" s="4">
        <f>'QTR P&amp;L'!AN12</f>
        <v/>
      </c>
      <c r="AO2" s="4">
        <f>'QTR P&amp;L'!AO12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3">
        <f>IFERROR('QTR CF'!S3/'QTR P&amp;L'!S2,"")</f>
        <v/>
      </c>
      <c r="T3" s="14">
        <f>S3</f>
        <v/>
      </c>
      <c r="U3" s="14">
        <f>S3</f>
        <v/>
      </c>
      <c r="V3" s="14">
        <f>S3</f>
        <v/>
      </c>
      <c r="W3" s="14">
        <f>S3</f>
        <v/>
      </c>
      <c r="X3" s="14">
        <f>S3</f>
        <v/>
      </c>
      <c r="Y3" s="14">
        <f>S3</f>
        <v/>
      </c>
      <c r="Z3" s="14">
        <f>S3</f>
        <v/>
      </c>
      <c r="AA3" s="14">
        <f>S3</f>
        <v/>
      </c>
      <c r="AB3" s="14">
        <f>S3</f>
        <v/>
      </c>
      <c r="AC3" s="14">
        <f>S3</f>
        <v/>
      </c>
      <c r="AD3" s="14">
        <f>S3</f>
        <v/>
      </c>
      <c r="AE3" s="14">
        <f>S3</f>
        <v/>
      </c>
      <c r="AF3" s="14">
        <f>S3</f>
        <v/>
      </c>
      <c r="AG3" s="14">
        <f>S3</f>
        <v/>
      </c>
      <c r="AH3" s="14">
        <f>S3</f>
        <v/>
      </c>
      <c r="AI3" s="14">
        <f>S3</f>
        <v/>
      </c>
      <c r="AJ3" s="14">
        <f>S3</f>
        <v/>
      </c>
      <c r="AK3" s="14">
        <f>S3</f>
        <v/>
      </c>
      <c r="AL3" s="14">
        <f>S3</f>
        <v/>
      </c>
      <c r="AM3" s="14">
        <f>S3</f>
        <v/>
      </c>
      <c r="AN3" s="14">
        <f>S3</f>
        <v/>
      </c>
      <c r="AO3" s="14">
        <f>S3</f>
        <v/>
      </c>
    </row>
    <row r="4">
      <c r="A4" s="3" t="inlineStr">
        <is>
          <t>Gain (Loss) on Extinguishment of Debt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Stock-Based Compensation — % of Revenue</t>
        </is>
      </c>
      <c r="B5" s="13">
        <f>IFERROR('QTR CF'!B5/'QTR P&amp;L'!B2,"")</f>
        <v/>
      </c>
      <c r="C5" s="13">
        <f>IFERROR('QTR CF'!C5/'QTR P&amp;L'!C2,"")</f>
        <v/>
      </c>
      <c r="D5" s="13">
        <f>IFERROR('QTR CF'!D5/'QTR P&amp;L'!D2,"")</f>
        <v/>
      </c>
      <c r="E5" s="13">
        <f>IFERROR('QTR CF'!E5/'QTR P&amp;L'!E2,"")</f>
        <v/>
      </c>
      <c r="F5" s="13">
        <f>IFERROR('QTR CF'!F5/'QTR P&amp;L'!F2,"")</f>
        <v/>
      </c>
      <c r="G5" s="13">
        <f>IFERROR('QTR CF'!G5/'QTR P&amp;L'!G2,"")</f>
        <v/>
      </c>
      <c r="H5" s="13">
        <f>IFERROR('QTR CF'!H5/'QTR P&amp;L'!H2,"")</f>
        <v/>
      </c>
      <c r="I5" s="13">
        <f>IFERROR('QTR CF'!I5/'QTR P&amp;L'!I2,"")</f>
        <v/>
      </c>
      <c r="J5" s="13">
        <f>IFERROR('QTR CF'!J5/'QTR P&amp;L'!J2,"")</f>
        <v/>
      </c>
      <c r="K5" s="13">
        <f>IFERROR('QTR CF'!K5/'QTR P&amp;L'!K2,"")</f>
        <v/>
      </c>
      <c r="L5" s="13">
        <f>IFERROR('QTR CF'!L5/'QTR P&amp;L'!L2,"")</f>
        <v/>
      </c>
      <c r="M5" s="13">
        <f>IFERROR('QTR CF'!M5/'QTR P&amp;L'!M2,"")</f>
        <v/>
      </c>
      <c r="N5" s="13">
        <f>IFERROR('QTR CF'!N5/'QTR P&amp;L'!N2,"")</f>
        <v/>
      </c>
      <c r="O5" s="13">
        <f>IFERROR('QTR CF'!O5/'QTR P&amp;L'!O2,"")</f>
        <v/>
      </c>
      <c r="P5" s="13">
        <f>IFERROR('QTR CF'!P5/'QTR P&amp;L'!P2,"")</f>
        <v/>
      </c>
      <c r="Q5" s="13">
        <f>IFERROR('QTR CF'!Q5/'QTR P&amp;L'!Q2,"")</f>
        <v/>
      </c>
      <c r="R5" s="13">
        <f>IFERROR('QTR CF'!R5/'QTR P&amp;L'!R2,"")</f>
        <v/>
      </c>
      <c r="S5" s="13">
        <f>IFERROR('QTR CF'!S5/'QTR P&amp;L'!S2,"")</f>
        <v/>
      </c>
      <c r="T5" s="14">
        <f>S5</f>
        <v/>
      </c>
      <c r="U5" s="14">
        <f>S5</f>
        <v/>
      </c>
      <c r="V5" s="14">
        <f>S5</f>
        <v/>
      </c>
      <c r="W5" s="14">
        <f>S5</f>
        <v/>
      </c>
      <c r="X5" s="14">
        <f>S5</f>
        <v/>
      </c>
      <c r="Y5" s="14">
        <f>S5</f>
        <v/>
      </c>
      <c r="Z5" s="14">
        <f>S5</f>
        <v/>
      </c>
      <c r="AA5" s="14">
        <f>S5</f>
        <v/>
      </c>
      <c r="AB5" s="14">
        <f>S5</f>
        <v/>
      </c>
      <c r="AC5" s="14">
        <f>S5</f>
        <v/>
      </c>
      <c r="AD5" s="14">
        <f>S5</f>
        <v/>
      </c>
      <c r="AE5" s="14">
        <f>S5</f>
        <v/>
      </c>
      <c r="AF5" s="14">
        <f>S5</f>
        <v/>
      </c>
      <c r="AG5" s="14">
        <f>S5</f>
        <v/>
      </c>
      <c r="AH5" s="14">
        <f>S5</f>
        <v/>
      </c>
      <c r="AI5" s="14">
        <f>S5</f>
        <v/>
      </c>
      <c r="AJ5" s="14">
        <f>S5</f>
        <v/>
      </c>
      <c r="AK5" s="14">
        <f>S5</f>
        <v/>
      </c>
      <c r="AL5" s="14">
        <f>S5</f>
        <v/>
      </c>
      <c r="AM5" s="14">
        <f>S5</f>
        <v/>
      </c>
      <c r="AN5" s="14">
        <f>S5</f>
        <v/>
      </c>
      <c r="AO5" s="14">
        <f>S5</f>
        <v/>
      </c>
    </row>
    <row r="6">
      <c r="A6" s="3" t="inlineStr">
        <is>
          <t>(Benefit) Provision for Deferred Income Taxes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4">
        <f>'QTR CF'!S6</f>
        <v/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Gain (Loss) on Disposal of PP&amp;E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Impairment of Intangibles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Accounts Receivable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-('QTR BS'!Q3-'QTR BS'!P3)</f>
        <v/>
      </c>
      <c r="U9" s="4">
        <f>-('QTR BS'!R3-'QTR BS'!Q3)</f>
        <v/>
      </c>
      <c r="V9" s="4">
        <f>-('QTR BS'!S3-'QTR BS'!R3)</f>
        <v/>
      </c>
      <c r="W9" s="4">
        <f>-('QTR BS'!T3-'QTR BS'!S3)</f>
        <v/>
      </c>
      <c r="X9" s="4">
        <f>-('QTR BS'!U3-'QTR BS'!T3)</f>
        <v/>
      </c>
      <c r="Y9" s="4">
        <f>-('QTR BS'!V3-'QTR BS'!U3)</f>
        <v/>
      </c>
      <c r="Z9" s="4">
        <f>-('QTR BS'!W3-'QTR BS'!V3)</f>
        <v/>
      </c>
      <c r="AA9" s="4">
        <f>-('QTR BS'!X3-'QTR BS'!W3)</f>
        <v/>
      </c>
      <c r="AB9" s="4">
        <f>-('QTR BS'!Y3-'QTR BS'!X3)</f>
        <v/>
      </c>
      <c r="AC9" s="4">
        <f>-('QTR BS'!Z3-'QTR BS'!Y3)</f>
        <v/>
      </c>
      <c r="AD9" s="4">
        <f>-('QTR BS'!AA3-'QTR BS'!Z3)</f>
        <v/>
      </c>
      <c r="AE9" s="4">
        <f>-('QTR BS'!AB3-'QTR BS'!AA3)</f>
        <v/>
      </c>
      <c r="AF9" s="4">
        <f>-('QTR BS'!AC3-'QTR BS'!AB3)</f>
        <v/>
      </c>
      <c r="AG9" s="4">
        <f>-('QTR BS'!AD3-'QTR BS'!AC3)</f>
        <v/>
      </c>
      <c r="AH9" s="4">
        <f>-('QTR BS'!AE3-'QTR BS'!AD3)</f>
        <v/>
      </c>
      <c r="AI9" s="4">
        <f>-('QTR BS'!AF3-'QTR BS'!AE3)</f>
        <v/>
      </c>
      <c r="AJ9" s="4">
        <f>-('QTR BS'!AG3-'QTR BS'!AF3)</f>
        <v/>
      </c>
      <c r="AK9" s="4">
        <f>-('QTR BS'!AH3-'QTR BS'!AG3)</f>
        <v/>
      </c>
      <c r="AL9" s="4">
        <f>-('QTR BS'!AI3-'QTR BS'!AH3)</f>
        <v/>
      </c>
      <c r="AM9" s="4">
        <f>-('QTR BS'!AJ3-'QTR BS'!AI3)</f>
        <v/>
      </c>
      <c r="AN9" s="4">
        <f>-('QTR BS'!AK3-'QTR BS'!AJ3)</f>
        <v/>
      </c>
      <c r="AO9" s="4">
        <f>-('QTR BS'!AL3-'QTR BS'!AK3)</f>
        <v/>
      </c>
    </row>
    <row r="10">
      <c r="A10" s="3" t="inlineStr">
        <is>
          <t>Inventories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-('QTR BS'!Q4-'QTR BS'!P4)</f>
        <v/>
      </c>
      <c r="U10" s="4">
        <f>-('QTR BS'!R4-'QTR BS'!Q4)</f>
        <v/>
      </c>
      <c r="V10" s="4">
        <f>-('QTR BS'!S4-'QTR BS'!R4)</f>
        <v/>
      </c>
      <c r="W10" s="4">
        <f>-('QTR BS'!T4-'QTR BS'!S4)</f>
        <v/>
      </c>
      <c r="X10" s="4">
        <f>-('QTR BS'!U4-'QTR BS'!T4)</f>
        <v/>
      </c>
      <c r="Y10" s="4">
        <f>-('QTR BS'!V4-'QTR BS'!U4)</f>
        <v/>
      </c>
      <c r="Z10" s="4">
        <f>-('QTR BS'!W4-'QTR BS'!V4)</f>
        <v/>
      </c>
      <c r="AA10" s="4">
        <f>-('QTR BS'!X4-'QTR BS'!W4)</f>
        <v/>
      </c>
      <c r="AB10" s="4">
        <f>-('QTR BS'!Y4-'QTR BS'!X4)</f>
        <v/>
      </c>
      <c r="AC10" s="4">
        <f>-('QTR BS'!Z4-'QTR BS'!Y4)</f>
        <v/>
      </c>
      <c r="AD10" s="4">
        <f>-('QTR BS'!AA4-'QTR BS'!Z4)</f>
        <v/>
      </c>
      <c r="AE10" s="4">
        <f>-('QTR BS'!AB4-'QTR BS'!AA4)</f>
        <v/>
      </c>
      <c r="AF10" s="4">
        <f>-('QTR BS'!AC4-'QTR BS'!AB4)</f>
        <v/>
      </c>
      <c r="AG10" s="4">
        <f>-('QTR BS'!AD4-'QTR BS'!AC4)</f>
        <v/>
      </c>
      <c r="AH10" s="4">
        <f>-('QTR BS'!AE4-'QTR BS'!AD4)</f>
        <v/>
      </c>
      <c r="AI10" s="4">
        <f>-('QTR BS'!AF4-'QTR BS'!AE4)</f>
        <v/>
      </c>
      <c r="AJ10" s="4">
        <f>-('QTR BS'!AG4-'QTR BS'!AF4)</f>
        <v/>
      </c>
      <c r="AK10" s="4">
        <f>-('QTR BS'!AH4-'QTR BS'!AG4)</f>
        <v/>
      </c>
      <c r="AL10" s="4">
        <f>-('QTR BS'!AI4-'QTR BS'!AH4)</f>
        <v/>
      </c>
      <c r="AM10" s="4">
        <f>-('QTR BS'!AJ4-'QTR BS'!AI4)</f>
        <v/>
      </c>
      <c r="AN10" s="4">
        <f>-('QTR BS'!AK4-'QTR BS'!AJ4)</f>
        <v/>
      </c>
      <c r="AO10" s="4">
        <f>-('QTR BS'!AL4-'QTR BS'!AK4)</f>
        <v/>
      </c>
    </row>
    <row r="11">
      <c r="A11" s="3" t="inlineStr">
        <is>
          <t>Accounts Payable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4">
        <f>'QTR CF'!S11</f>
        <v/>
      </c>
      <c r="T11" s="4">
        <f>('QTR BS'!Q12-'QTR BS'!P12)</f>
        <v/>
      </c>
      <c r="U11" s="4">
        <f>('QTR BS'!R12-'QTR BS'!Q12)</f>
        <v/>
      </c>
      <c r="V11" s="4">
        <f>('QTR BS'!S12-'QTR BS'!R12)</f>
        <v/>
      </c>
      <c r="W11" s="4">
        <f>('QTR BS'!T12-'QTR BS'!S12)</f>
        <v/>
      </c>
      <c r="X11" s="4">
        <f>('QTR BS'!U12-'QTR BS'!T12)</f>
        <v/>
      </c>
      <c r="Y11" s="4">
        <f>('QTR BS'!V12-'QTR BS'!U12)</f>
        <v/>
      </c>
      <c r="Z11" s="4">
        <f>('QTR BS'!W12-'QTR BS'!V12)</f>
        <v/>
      </c>
      <c r="AA11" s="4">
        <f>('QTR BS'!X12-'QTR BS'!W12)</f>
        <v/>
      </c>
      <c r="AB11" s="4">
        <f>('QTR BS'!Y12-'QTR BS'!X12)</f>
        <v/>
      </c>
      <c r="AC11" s="4">
        <f>('QTR BS'!Z12-'QTR BS'!Y12)</f>
        <v/>
      </c>
      <c r="AD11" s="4">
        <f>('QTR BS'!AA12-'QTR BS'!Z12)</f>
        <v/>
      </c>
      <c r="AE11" s="4">
        <f>('QTR BS'!AB12-'QTR BS'!AA12)</f>
        <v/>
      </c>
      <c r="AF11" s="4">
        <f>('QTR BS'!AC12-'QTR BS'!AB12)</f>
        <v/>
      </c>
      <c r="AG11" s="4">
        <f>('QTR BS'!AD12-'QTR BS'!AC12)</f>
        <v/>
      </c>
      <c r="AH11" s="4">
        <f>('QTR BS'!AE12-'QTR BS'!AD12)</f>
        <v/>
      </c>
      <c r="AI11" s="4">
        <f>('QTR BS'!AF12-'QTR BS'!AE12)</f>
        <v/>
      </c>
      <c r="AJ11" s="4">
        <f>('QTR BS'!AG12-'QTR BS'!AF12)</f>
        <v/>
      </c>
      <c r="AK11" s="4">
        <f>('QTR BS'!AH12-'QTR BS'!AG12)</f>
        <v/>
      </c>
      <c r="AL11" s="4">
        <f>('QTR BS'!AI12-'QTR BS'!AH12)</f>
        <v/>
      </c>
      <c r="AM11" s="4">
        <f>('QTR BS'!AJ12-'QTR BS'!AI12)</f>
        <v/>
      </c>
      <c r="AN11" s="4">
        <f>('QTR BS'!AK12-'QTR BS'!AJ12)</f>
        <v/>
      </c>
      <c r="AO11" s="4">
        <f>('QTR BS'!AL12-'QTR BS'!AK12)</f>
        <v/>
      </c>
    </row>
    <row r="12">
      <c r="A12" s="3" t="inlineStr">
        <is>
          <t>Net Change in Other Working Capital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</row>
    <row r="13">
      <c r="A13" s="3" t="inlineStr">
        <is>
          <t>Other Operating Items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-('QTR BS'!Q5-'QTR BS'!P5)-('QTR BS'!Q10-'QTR BS'!P10)+('QTR BS'!Q13-'QTR BS'!P13)+('QTR BS'!Q18-'QTR BS'!P18)-('QTR BS'!Q8-'QTR BS'!P8)-('QTR BS'!Q9-'QTR BS'!P9)+('QTR BS'!Q14-'QTR BS'!P14)+('QTR BS'!Q16-'QTR BS'!P16)+('QTR BS'!Q17-'QTR BS'!P17)+('QTR BS'!Q21-'QTR BS'!P21)+('QTR BS'!Q23-'QTR BS'!P23)+('QTR BS'!Q25-'QTR BS'!P25)+('QTR BS'!Q27-'QTR BS'!P27)</f>
        <v/>
      </c>
      <c r="U13" s="4">
        <f>-('QTR BS'!R5-'QTR BS'!Q5)-('QTR BS'!R10-'QTR BS'!Q10)+('QTR BS'!R13-'QTR BS'!Q13)+('QTR BS'!R18-'QTR BS'!Q18)-('QTR BS'!R8-'QTR BS'!Q8)-('QTR BS'!R9-'QTR BS'!Q9)+('QTR BS'!R14-'QTR BS'!Q14)+('QTR BS'!R16-'QTR BS'!Q16)+('QTR BS'!R17-'QTR BS'!Q17)+('QTR BS'!R21-'QTR BS'!Q21)+('QTR BS'!R23-'QTR BS'!Q23)+('QTR BS'!R25-'QTR BS'!Q25)+('QTR BS'!R27-'QTR BS'!Q27)</f>
        <v/>
      </c>
      <c r="V13" s="4">
        <f>-('QTR BS'!S5-'QTR BS'!R5)-('QTR BS'!S10-'QTR BS'!R10)+('QTR BS'!S13-'QTR BS'!R13)+('QTR BS'!S18-'QTR BS'!R18)-('QTR BS'!S8-'QTR BS'!R8)-('QTR BS'!S9-'QTR BS'!R9)+('QTR BS'!S14-'QTR BS'!R14)+('QTR BS'!S16-'QTR BS'!R16)+('QTR BS'!S17-'QTR BS'!R17)+('QTR BS'!S21-'QTR BS'!R21)+('QTR BS'!S23-'QTR BS'!R23)+('QTR BS'!S25-'QTR BS'!R25)+('QTR BS'!S27-'QTR BS'!R27)</f>
        <v/>
      </c>
      <c r="W13" s="4">
        <f>-('QTR BS'!T5-'QTR BS'!S5)-('QTR BS'!T10-'QTR BS'!S10)+('QTR BS'!T13-'QTR BS'!S13)+('QTR BS'!T18-'QTR BS'!S18)-('QTR BS'!T8-'QTR BS'!S8)-('QTR BS'!T9-'QTR BS'!S9)+('QTR BS'!T14-'QTR BS'!S14)+('QTR BS'!T16-'QTR BS'!S16)+('QTR BS'!T17-'QTR BS'!S17)+('QTR BS'!T21-'QTR BS'!S21)+('QTR BS'!T23-'QTR BS'!S23)+('QTR BS'!T25-'QTR BS'!S25)+('QTR BS'!T27-'QTR BS'!S27)</f>
        <v/>
      </c>
      <c r="X13" s="4">
        <f>-('QTR BS'!U5-'QTR BS'!T5)-('QTR BS'!U10-'QTR BS'!T10)+('QTR BS'!U13-'QTR BS'!T13)+('QTR BS'!U18-'QTR BS'!T18)-('QTR BS'!U8-'QTR BS'!T8)-('QTR BS'!U9-'QTR BS'!T9)+('QTR BS'!U14-'QTR BS'!T14)+('QTR BS'!U16-'QTR BS'!T16)+('QTR BS'!U17-'QTR BS'!T17)+('QTR BS'!U21-'QTR BS'!T21)+('QTR BS'!U23-'QTR BS'!T23)+('QTR BS'!U25-'QTR BS'!T25)+('QTR BS'!U27-'QTR BS'!T27)</f>
        <v/>
      </c>
      <c r="Y13" s="4">
        <f>-('QTR BS'!V5-'QTR BS'!U5)-('QTR BS'!V10-'QTR BS'!U10)+('QTR BS'!V13-'QTR BS'!U13)+('QTR BS'!V18-'QTR BS'!U18)-('QTR BS'!V8-'QTR BS'!U8)-('QTR BS'!V9-'QTR BS'!U9)+('QTR BS'!V14-'QTR BS'!U14)+('QTR BS'!V16-'QTR BS'!U16)+('QTR BS'!V17-'QTR BS'!U17)+('QTR BS'!V21-'QTR BS'!U21)+('QTR BS'!V23-'QTR BS'!U23)+('QTR BS'!V25-'QTR BS'!U25)+('QTR BS'!V27-'QTR BS'!U27)</f>
        <v/>
      </c>
      <c r="Z13" s="4">
        <f>-('QTR BS'!W5-'QTR BS'!V5)-('QTR BS'!W10-'QTR BS'!V10)+('QTR BS'!W13-'QTR BS'!V13)+('QTR BS'!W18-'QTR BS'!V18)-('QTR BS'!W8-'QTR BS'!V8)-('QTR BS'!W9-'QTR BS'!V9)+('QTR BS'!W14-'QTR BS'!V14)+('QTR BS'!W16-'QTR BS'!V16)+('QTR BS'!W17-'QTR BS'!V17)+('QTR BS'!W21-'QTR BS'!V21)+('QTR BS'!W23-'QTR BS'!V23)+('QTR BS'!W25-'QTR BS'!V25)+('QTR BS'!W27-'QTR BS'!V27)</f>
        <v/>
      </c>
      <c r="AA13" s="4">
        <f>-('QTR BS'!X5-'QTR BS'!W5)-('QTR BS'!X10-'QTR BS'!W10)+('QTR BS'!X13-'QTR BS'!W13)+('QTR BS'!X18-'QTR BS'!W18)-('QTR BS'!X8-'QTR BS'!W8)-('QTR BS'!X9-'QTR BS'!W9)+('QTR BS'!X14-'QTR BS'!W14)+('QTR BS'!X16-'QTR BS'!W16)+('QTR BS'!X17-'QTR BS'!W17)+('QTR BS'!X21-'QTR BS'!W21)+('QTR BS'!X23-'QTR BS'!W23)+('QTR BS'!X25-'QTR BS'!W25)+('QTR BS'!X27-'QTR BS'!W27)</f>
        <v/>
      </c>
      <c r="AB13" s="4">
        <f>-('QTR BS'!Y5-'QTR BS'!X5)-('QTR BS'!Y10-'QTR BS'!X10)+('QTR BS'!Y13-'QTR BS'!X13)+('QTR BS'!Y18-'QTR BS'!X18)-('QTR BS'!Y8-'QTR BS'!X8)-('QTR BS'!Y9-'QTR BS'!X9)+('QTR BS'!Y14-'QTR BS'!X14)+('QTR BS'!Y16-'QTR BS'!X16)+('QTR BS'!Y17-'QTR BS'!X17)+('QTR BS'!Y21-'QTR BS'!X21)+('QTR BS'!Y23-'QTR BS'!X23)+('QTR BS'!Y25-'QTR BS'!X25)+('QTR BS'!Y27-'QTR BS'!X27)</f>
        <v/>
      </c>
      <c r="AC13" s="4">
        <f>-('QTR BS'!Z5-'QTR BS'!Y5)-('QTR BS'!Z10-'QTR BS'!Y10)+('QTR BS'!Z13-'QTR BS'!Y13)+('QTR BS'!Z18-'QTR BS'!Y18)-('QTR BS'!Z8-'QTR BS'!Y8)-('QTR BS'!Z9-'QTR BS'!Y9)+('QTR BS'!Z14-'QTR BS'!Y14)+('QTR BS'!Z16-'QTR BS'!Y16)+('QTR BS'!Z17-'QTR BS'!Y17)+('QTR BS'!Z21-'QTR BS'!Y21)+('QTR BS'!Z23-'QTR BS'!Y23)+('QTR BS'!Z25-'QTR BS'!Y25)+('QTR BS'!Z27-'QTR BS'!Y27)</f>
        <v/>
      </c>
      <c r="AD13" s="4">
        <f>-('QTR BS'!AA5-'QTR BS'!Z5)-('QTR BS'!AA10-'QTR BS'!Z10)+('QTR BS'!AA13-'QTR BS'!Z13)+('QTR BS'!AA18-'QTR BS'!Z18)-('QTR BS'!AA8-'QTR BS'!Z8)-('QTR BS'!AA9-'QTR BS'!Z9)+('QTR BS'!AA14-'QTR BS'!Z14)+('QTR BS'!AA16-'QTR BS'!Z16)+('QTR BS'!AA17-'QTR BS'!Z17)+('QTR BS'!AA21-'QTR BS'!Z21)+('QTR BS'!AA23-'QTR BS'!Z23)+('QTR BS'!AA25-'QTR BS'!Z25)+('QTR BS'!AA27-'QTR BS'!Z27)</f>
        <v/>
      </c>
      <c r="AE13" s="4">
        <f>-('QTR BS'!AB5-'QTR BS'!AA5)-('QTR BS'!AB10-'QTR BS'!AA10)+('QTR BS'!AB13-'QTR BS'!AA13)+('QTR BS'!AB18-'QTR BS'!AA18)-('QTR BS'!AB8-'QTR BS'!AA8)-('QTR BS'!AB9-'QTR BS'!AA9)+('QTR BS'!AB14-'QTR BS'!AA14)+('QTR BS'!AB16-'QTR BS'!AA16)+('QTR BS'!AB17-'QTR BS'!AA17)+('QTR BS'!AB21-'QTR BS'!AA21)+('QTR BS'!AB23-'QTR BS'!AA23)+('QTR BS'!AB25-'QTR BS'!AA25)+('QTR BS'!AB27-'QTR BS'!AA27)</f>
        <v/>
      </c>
      <c r="AF13" s="4">
        <f>-('QTR BS'!AC5-'QTR BS'!AB5)-('QTR BS'!AC10-'QTR BS'!AB10)+('QTR BS'!AC13-'QTR BS'!AB13)+('QTR BS'!AC18-'QTR BS'!AB18)-('QTR BS'!AC8-'QTR BS'!AB8)-('QTR BS'!AC9-'QTR BS'!AB9)+('QTR BS'!AC14-'QTR BS'!AB14)+('QTR BS'!AC16-'QTR BS'!AB16)+('QTR BS'!AC17-'QTR BS'!AB17)+('QTR BS'!AC21-'QTR BS'!AB21)+('QTR BS'!AC23-'QTR BS'!AB23)+('QTR BS'!AC25-'QTR BS'!AB25)+('QTR BS'!AC27-'QTR BS'!AB27)</f>
        <v/>
      </c>
      <c r="AG13" s="4">
        <f>-('QTR BS'!AD5-'QTR BS'!AC5)-('QTR BS'!AD10-'QTR BS'!AC10)+('QTR BS'!AD13-'QTR BS'!AC13)+('QTR BS'!AD18-'QTR BS'!AC18)-('QTR BS'!AD8-'QTR BS'!AC8)-('QTR BS'!AD9-'QTR BS'!AC9)+('QTR BS'!AD14-'QTR BS'!AC14)+('QTR BS'!AD16-'QTR BS'!AC16)+('QTR BS'!AD17-'QTR BS'!AC17)+('QTR BS'!AD21-'QTR BS'!AC21)+('QTR BS'!AD23-'QTR BS'!AC23)+('QTR BS'!AD25-'QTR BS'!AC25)+('QTR BS'!AD27-'QTR BS'!AC27)</f>
        <v/>
      </c>
      <c r="AH13" s="4">
        <f>-('QTR BS'!AE5-'QTR BS'!AD5)-('QTR BS'!AE10-'QTR BS'!AD10)+('QTR BS'!AE13-'QTR BS'!AD13)+('QTR BS'!AE18-'QTR BS'!AD18)-('QTR BS'!AE8-'QTR BS'!AD8)-('QTR BS'!AE9-'QTR BS'!AD9)+('QTR BS'!AE14-'QTR BS'!AD14)+('QTR BS'!AE16-'QTR BS'!AD16)+('QTR BS'!AE17-'QTR BS'!AD17)+('QTR BS'!AE21-'QTR BS'!AD21)+('QTR BS'!AE23-'QTR BS'!AD23)+('QTR BS'!AE25-'QTR BS'!AD25)+('QTR BS'!AE27-'QTR BS'!AD27)</f>
        <v/>
      </c>
      <c r="AI13" s="4">
        <f>-('QTR BS'!AF5-'QTR BS'!AE5)-('QTR BS'!AF10-'QTR BS'!AE10)+('QTR BS'!AF13-'QTR BS'!AE13)+('QTR BS'!AF18-'QTR BS'!AE18)-('QTR BS'!AF8-'QTR BS'!AE8)-('QTR BS'!AF9-'QTR BS'!AE9)+('QTR BS'!AF14-'QTR BS'!AE14)+('QTR BS'!AF16-'QTR BS'!AE16)+('QTR BS'!AF17-'QTR BS'!AE17)+('QTR BS'!AF21-'QTR BS'!AE21)+('QTR BS'!AF23-'QTR BS'!AE23)+('QTR BS'!AF25-'QTR BS'!AE25)+('QTR BS'!AF27-'QTR BS'!AE27)</f>
        <v/>
      </c>
      <c r="AJ13" s="4">
        <f>-('QTR BS'!AG5-'QTR BS'!AF5)-('QTR BS'!AG10-'QTR BS'!AF10)+('QTR BS'!AG13-'QTR BS'!AF13)+('QTR BS'!AG18-'QTR BS'!AF18)-('QTR BS'!AG8-'QTR BS'!AF8)-('QTR BS'!AG9-'QTR BS'!AF9)+('QTR BS'!AG14-'QTR BS'!AF14)+('QTR BS'!AG16-'QTR BS'!AF16)+('QTR BS'!AG17-'QTR BS'!AF17)+('QTR BS'!AG21-'QTR BS'!AF21)+('QTR BS'!AG23-'QTR BS'!AF23)+('QTR BS'!AG25-'QTR BS'!AF25)+('QTR BS'!AG27-'QTR BS'!AF27)</f>
        <v/>
      </c>
      <c r="AK13" s="4">
        <f>-('QTR BS'!AH5-'QTR BS'!AG5)-('QTR BS'!AH10-'QTR BS'!AG10)+('QTR BS'!AH13-'QTR BS'!AG13)+('QTR BS'!AH18-'QTR BS'!AG18)-('QTR BS'!AH8-'QTR BS'!AG8)-('QTR BS'!AH9-'QTR BS'!AG9)+('QTR BS'!AH14-'QTR BS'!AG14)+('QTR BS'!AH16-'QTR BS'!AG16)+('QTR BS'!AH17-'QTR BS'!AG17)+('QTR BS'!AH21-'QTR BS'!AG21)+('QTR BS'!AH23-'QTR BS'!AG23)+('QTR BS'!AH25-'QTR BS'!AG25)+('QTR BS'!AH27-'QTR BS'!AG27)</f>
        <v/>
      </c>
      <c r="AL13" s="4">
        <f>-('QTR BS'!AI5-'QTR BS'!AH5)-('QTR BS'!AI10-'QTR BS'!AH10)+('QTR BS'!AI13-'QTR BS'!AH13)+('QTR BS'!AI18-'QTR BS'!AH18)-('QTR BS'!AI8-'QTR BS'!AH8)-('QTR BS'!AI9-'QTR BS'!AH9)+('QTR BS'!AI14-'QTR BS'!AH14)+('QTR BS'!AI16-'QTR BS'!AH16)+('QTR BS'!AI17-'QTR BS'!AH17)+('QTR BS'!AI21-'QTR BS'!AH21)+('QTR BS'!AI23-'QTR BS'!AH23)+('QTR BS'!AI25-'QTR BS'!AH25)+('QTR BS'!AI27-'QTR BS'!AH27)</f>
        <v/>
      </c>
      <c r="AM13" s="4">
        <f>-('QTR BS'!AJ5-'QTR BS'!AI5)-('QTR BS'!AJ10-'QTR BS'!AI10)+('QTR BS'!AJ13-'QTR BS'!AI13)+('QTR BS'!AJ18-'QTR BS'!AI18)-('QTR BS'!AJ8-'QTR BS'!AI8)-('QTR BS'!AJ9-'QTR BS'!AI9)+('QTR BS'!AJ14-'QTR BS'!AI14)+('QTR BS'!AJ16-'QTR BS'!AI16)+('QTR BS'!AJ17-'QTR BS'!AI17)+('QTR BS'!AJ21-'QTR BS'!AI21)+('QTR BS'!AJ23-'QTR BS'!AI23)+('QTR BS'!AJ25-'QTR BS'!AI25)+('QTR BS'!AJ27-'QTR BS'!AI27)</f>
        <v/>
      </c>
      <c r="AN13" s="4">
        <f>-('QTR BS'!AK5-'QTR BS'!AJ5)-('QTR BS'!AK10-'QTR BS'!AJ10)+('QTR BS'!AK13-'QTR BS'!AJ13)+('QTR BS'!AK18-'QTR BS'!AJ18)-('QTR BS'!AK8-'QTR BS'!AJ8)-('QTR BS'!AK9-'QTR BS'!AJ9)+('QTR BS'!AK14-'QTR BS'!AJ14)+('QTR BS'!AK16-'QTR BS'!AJ16)+('QTR BS'!AK17-'QTR BS'!AJ17)+('QTR BS'!AK21-'QTR BS'!AJ21)+('QTR BS'!AK23-'QTR BS'!AJ23)+('QTR BS'!AK25-'QTR BS'!AJ25)+('QTR BS'!AK27-'QTR BS'!AJ27)</f>
        <v/>
      </c>
      <c r="AO13" s="4">
        <f>-('QTR BS'!AL5-'QTR BS'!AK5)-('QTR BS'!AL10-'QTR BS'!AK10)+('QTR BS'!AL13-'QTR BS'!AK13)+('QTR BS'!AL18-'QTR BS'!AK18)-('QTR BS'!AL8-'QTR BS'!AK8)-('QTR BS'!AL9-'QTR BS'!AK9)+('QTR BS'!AL14-'QTR BS'!AK14)+('QTR BS'!AL16-'QTR BS'!AK16)+('QTR BS'!AL17-'QTR BS'!AK17)+('QTR BS'!AL21-'QTR BS'!AK21)+('QTR BS'!AL23-'QTR BS'!AK23)+('QTR BS'!AL25-'QTR BS'!AK25)+('QTR BS'!AL27-'QTR BS'!AK27)</f>
        <v/>
      </c>
    </row>
    <row r="14">
      <c r="A14" s="3" t="inlineStr">
        <is>
          <t>Purchase of PP&amp;E — % of Revenue</t>
        </is>
      </c>
      <c r="B14" s="13">
        <f>IFERROR('QTR CF'!B15/'QTR P&amp;L'!B2,"")</f>
        <v/>
      </c>
      <c r="C14" s="13">
        <f>IFERROR('QTR CF'!C15/'QTR P&amp;L'!C2,"")</f>
        <v/>
      </c>
      <c r="D14" s="13">
        <f>IFERROR('QTR CF'!D15/'QTR P&amp;L'!D2,"")</f>
        <v/>
      </c>
      <c r="E14" s="13">
        <f>IFERROR('QTR CF'!E15/'QTR P&amp;L'!E2,"")</f>
        <v/>
      </c>
      <c r="F14" s="13">
        <f>IFERROR('QTR CF'!F15/'QTR P&amp;L'!F2,"")</f>
        <v/>
      </c>
      <c r="G14" s="13">
        <f>IFERROR('QTR CF'!G15/'QTR P&amp;L'!G2,"")</f>
        <v/>
      </c>
      <c r="H14" s="13">
        <f>IFERROR('QTR CF'!H15/'QTR P&amp;L'!H2,"")</f>
        <v/>
      </c>
      <c r="I14" s="13">
        <f>IFERROR('QTR CF'!I15/'QTR P&amp;L'!I2,"")</f>
        <v/>
      </c>
      <c r="J14" s="13">
        <f>IFERROR('QTR CF'!J15/'QTR P&amp;L'!J2,"")</f>
        <v/>
      </c>
      <c r="K14" s="13">
        <f>IFERROR('QTR CF'!K15/'QTR P&amp;L'!K2,"")</f>
        <v/>
      </c>
      <c r="L14" s="13">
        <f>IFERROR('QTR CF'!L15/'QTR P&amp;L'!L2,"")</f>
        <v/>
      </c>
      <c r="M14" s="13">
        <f>IFERROR('QTR CF'!M15/'QTR P&amp;L'!M2,"")</f>
        <v/>
      </c>
      <c r="N14" s="13">
        <f>IFERROR('QTR CF'!N15/'QTR P&amp;L'!N2,"")</f>
        <v/>
      </c>
      <c r="O14" s="13">
        <f>IFERROR('QTR CF'!O15/'QTR P&amp;L'!O2,"")</f>
        <v/>
      </c>
      <c r="P14" s="13">
        <f>IFERROR('QTR CF'!P15/'QTR P&amp;L'!P2,"")</f>
        <v/>
      </c>
      <c r="Q14" s="13">
        <f>IFERROR('QTR CF'!Q15/'QTR P&amp;L'!Q2,"")</f>
        <v/>
      </c>
      <c r="R14" s="13">
        <f>IFERROR('QTR CF'!R15/'QTR P&amp;L'!R2,"")</f>
        <v/>
      </c>
      <c r="S14" s="13">
        <f>IFERROR('QTR CF'!S15/'QTR P&amp;L'!S2,"")</f>
        <v/>
      </c>
      <c r="T14" s="14">
        <f>S14</f>
        <v/>
      </c>
      <c r="U14" s="14">
        <f>S14</f>
        <v/>
      </c>
      <c r="V14" s="14">
        <f>S14</f>
        <v/>
      </c>
      <c r="W14" s="14">
        <f>S14</f>
        <v/>
      </c>
      <c r="X14" s="14">
        <f>S14</f>
        <v/>
      </c>
      <c r="Y14" s="14">
        <f>S14</f>
        <v/>
      </c>
      <c r="Z14" s="14">
        <f>S14</f>
        <v/>
      </c>
      <c r="AA14" s="14">
        <f>S14</f>
        <v/>
      </c>
      <c r="AB14" s="14">
        <f>S14</f>
        <v/>
      </c>
      <c r="AC14" s="14">
        <f>S14</f>
        <v/>
      </c>
      <c r="AD14" s="14">
        <f>S14</f>
        <v/>
      </c>
      <c r="AE14" s="14">
        <f>S14</f>
        <v/>
      </c>
      <c r="AF14" s="14">
        <f>S14</f>
        <v/>
      </c>
      <c r="AG14" s="14">
        <f>S14</f>
        <v/>
      </c>
      <c r="AH14" s="14">
        <f>S14</f>
        <v/>
      </c>
      <c r="AI14" s="14">
        <f>S14</f>
        <v/>
      </c>
      <c r="AJ14" s="14">
        <f>S14</f>
        <v/>
      </c>
      <c r="AK14" s="14">
        <f>S14</f>
        <v/>
      </c>
      <c r="AL14" s="14">
        <f>S14</f>
        <v/>
      </c>
      <c r="AM14" s="14">
        <f>S14</f>
        <v/>
      </c>
      <c r="AN14" s="14">
        <f>S14</f>
        <v/>
      </c>
      <c r="AO14" s="14">
        <f>S14</f>
        <v/>
      </c>
    </row>
    <row r="15">
      <c r="A15" s="3" t="inlineStr">
        <is>
          <t>Proceeds from Sale of Assets</t>
        </is>
      </c>
      <c r="B15" s="4">
        <f>'QTR CF'!B16</f>
        <v/>
      </c>
      <c r="C15" s="4">
        <f>'QTR CF'!C16</f>
        <v/>
      </c>
      <c r="D15" s="4">
        <f>'QTR CF'!D16</f>
        <v/>
      </c>
      <c r="E15" s="4">
        <f>'QTR CF'!E16</f>
        <v/>
      </c>
      <c r="F15" s="4">
        <f>'QTR CF'!F16</f>
        <v/>
      </c>
      <c r="G15" s="4">
        <f>'QTR CF'!G16</f>
        <v/>
      </c>
      <c r="H15" s="4">
        <f>'QTR CF'!H16</f>
        <v/>
      </c>
      <c r="I15" s="4">
        <f>'QTR CF'!I16</f>
        <v/>
      </c>
      <c r="J15" s="4">
        <f>'QTR CF'!J16</f>
        <v/>
      </c>
      <c r="K15" s="4">
        <f>'QTR CF'!K16</f>
        <v/>
      </c>
      <c r="L15" s="4">
        <f>'QTR CF'!L16</f>
        <v/>
      </c>
      <c r="M15" s="4">
        <f>'QTR CF'!M16</f>
        <v/>
      </c>
      <c r="N15" s="4">
        <f>'QTR CF'!N16</f>
        <v/>
      </c>
      <c r="O15" s="4">
        <f>'QTR CF'!O16</f>
        <v/>
      </c>
      <c r="P15" s="4">
        <f>'QTR CF'!P16</f>
        <v/>
      </c>
      <c r="Q15" s="4">
        <f>'QTR CF'!Q16</f>
        <v/>
      </c>
      <c r="R15" s="4">
        <f>'QTR CF'!R16</f>
        <v/>
      </c>
      <c r="S15" s="4">
        <f>'QTR CF'!S16</f>
        <v/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Acquisitions, Net of Cash Acquired</t>
        </is>
      </c>
      <c r="B16" s="4">
        <f>'QTR CF'!B17</f>
        <v/>
      </c>
      <c r="C16" s="4">
        <f>'QTR CF'!C17</f>
        <v/>
      </c>
      <c r="D16" s="4">
        <f>'QTR CF'!D17</f>
        <v/>
      </c>
      <c r="E16" s="4">
        <f>'QTR CF'!E17</f>
        <v/>
      </c>
      <c r="F16" s="4">
        <f>'QTR CF'!F17</f>
        <v/>
      </c>
      <c r="G16" s="4">
        <f>'QTR CF'!G17</f>
        <v/>
      </c>
      <c r="H16" s="4">
        <f>'QTR CF'!H17</f>
        <v/>
      </c>
      <c r="I16" s="4">
        <f>'QTR CF'!I17</f>
        <v/>
      </c>
      <c r="J16" s="4">
        <f>'QTR CF'!J17</f>
        <v/>
      </c>
      <c r="K16" s="4">
        <f>'QTR CF'!K17</f>
        <v/>
      </c>
      <c r="L16" s="4">
        <f>'QTR CF'!L17</f>
        <v/>
      </c>
      <c r="M16" s="4">
        <f>'QTR CF'!M17</f>
        <v/>
      </c>
      <c r="N16" s="4">
        <f>'QTR CF'!N17</f>
        <v/>
      </c>
      <c r="O16" s="4">
        <f>'QTR CF'!O17</f>
        <v/>
      </c>
      <c r="P16" s="4">
        <f>'QTR CF'!P17</f>
        <v/>
      </c>
      <c r="Q16" s="4">
        <f>'QTR CF'!Q17</f>
        <v/>
      </c>
      <c r="R16" s="4">
        <f>'QTR CF'!R17</f>
        <v/>
      </c>
      <c r="S16" s="4">
        <f>'QTR CF'!S17</f>
        <v/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Net Change in Short-Term Investments</t>
        </is>
      </c>
      <c r="B17" s="4">
        <f>'QTR CF'!B18</f>
        <v/>
      </c>
      <c r="C17" s="4">
        <f>'QTR CF'!C18</f>
        <v/>
      </c>
      <c r="D17" s="4">
        <f>'QTR CF'!D18</f>
        <v/>
      </c>
      <c r="E17" s="4">
        <f>'QTR CF'!E18</f>
        <v/>
      </c>
      <c r="F17" s="4">
        <f>'QTR CF'!F18</f>
        <v/>
      </c>
      <c r="G17" s="4">
        <f>'QTR CF'!G18</f>
        <v/>
      </c>
      <c r="H17" s="4">
        <f>'QTR CF'!H18</f>
        <v/>
      </c>
      <c r="I17" s="4">
        <f>'QTR CF'!I18</f>
        <v/>
      </c>
      <c r="J17" s="4">
        <f>'QTR CF'!J18</f>
        <v/>
      </c>
      <c r="K17" s="4">
        <f>'QTR CF'!K18</f>
        <v/>
      </c>
      <c r="L17" s="4">
        <f>'QTR CF'!L18</f>
        <v/>
      </c>
      <c r="M17" s="4">
        <f>'QTR CF'!M18</f>
        <v/>
      </c>
      <c r="N17" s="4">
        <f>'QTR CF'!N18</f>
        <v/>
      </c>
      <c r="O17" s="4">
        <f>'QTR CF'!O18</f>
        <v/>
      </c>
      <c r="P17" s="4">
        <f>'QTR CF'!P18</f>
        <v/>
      </c>
      <c r="Q17" s="4">
        <f>'QTR CF'!Q18</f>
        <v/>
      </c>
      <c r="R17" s="4">
        <f>'QTR CF'!R18</f>
        <v/>
      </c>
      <c r="S17" s="4">
        <f>'QTR CF'!S18</f>
        <v/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  <c r="AL17" s="15" t="n">
        <v>0</v>
      </c>
      <c r="AM17" s="15" t="n">
        <v>0</v>
      </c>
      <c r="AN17" s="15" t="n">
        <v>0</v>
      </c>
      <c r="AO17" s="15" t="n">
        <v>0</v>
      </c>
    </row>
    <row r="18">
      <c r="A18" s="3" t="inlineStr">
        <is>
          <t>Other Investing Activities</t>
        </is>
      </c>
      <c r="B18" s="4">
        <f>'QTR CF'!B19</f>
        <v/>
      </c>
      <c r="C18" s="4">
        <f>'QTR CF'!C19</f>
        <v/>
      </c>
      <c r="D18" s="4">
        <f>'QTR CF'!D19</f>
        <v/>
      </c>
      <c r="E18" s="4">
        <f>'QTR CF'!E19</f>
        <v/>
      </c>
      <c r="F18" s="4">
        <f>'QTR CF'!F19</f>
        <v/>
      </c>
      <c r="G18" s="4">
        <f>'QTR CF'!G19</f>
        <v/>
      </c>
      <c r="H18" s="4">
        <f>'QTR CF'!H19</f>
        <v/>
      </c>
      <c r="I18" s="4">
        <f>'QTR CF'!I19</f>
        <v/>
      </c>
      <c r="J18" s="4">
        <f>'QTR CF'!J19</f>
        <v/>
      </c>
      <c r="K18" s="4">
        <f>'QTR CF'!K19</f>
        <v/>
      </c>
      <c r="L18" s="4">
        <f>'QTR CF'!L19</f>
        <v/>
      </c>
      <c r="M18" s="4">
        <f>'QTR CF'!M19</f>
        <v/>
      </c>
      <c r="N18" s="4">
        <f>'QTR CF'!N19</f>
        <v/>
      </c>
      <c r="O18" s="4">
        <f>'QTR CF'!O19</f>
        <v/>
      </c>
      <c r="P18" s="4">
        <f>'QTR CF'!P19</f>
        <v/>
      </c>
      <c r="Q18" s="4">
        <f>'QTR CF'!Q19</f>
        <v/>
      </c>
      <c r="R18" s="4">
        <f>'QTR CF'!R19</f>
        <v/>
      </c>
      <c r="S18" s="4">
        <f>'QTR CF'!S19</f>
        <v/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Common Dividends — % of Net Income</t>
        </is>
      </c>
      <c r="B19" s="13">
        <f>IFERROR('QTR CF'!B21/'QTR P&amp;L'!B12,"")</f>
        <v/>
      </c>
      <c r="C19" s="13">
        <f>IFERROR('QTR CF'!C21/'QTR P&amp;L'!C12,"")</f>
        <v/>
      </c>
      <c r="D19" s="13">
        <f>IFERROR('QTR CF'!D21/'QTR P&amp;L'!D12,"")</f>
        <v/>
      </c>
      <c r="E19" s="13">
        <f>IFERROR('QTR CF'!E21/'QTR P&amp;L'!E12,"")</f>
        <v/>
      </c>
      <c r="F19" s="13">
        <f>IFERROR('QTR CF'!F21/'QTR P&amp;L'!F12,"")</f>
        <v/>
      </c>
      <c r="G19" s="13">
        <f>IFERROR('QTR CF'!G21/'QTR P&amp;L'!G12,"")</f>
        <v/>
      </c>
      <c r="H19" s="13">
        <f>IFERROR('QTR CF'!H21/'QTR P&amp;L'!H12,"")</f>
        <v/>
      </c>
      <c r="I19" s="13">
        <f>IFERROR('QTR CF'!I21/'QTR P&amp;L'!I12,"")</f>
        <v/>
      </c>
      <c r="J19" s="13">
        <f>IFERROR('QTR CF'!J21/'QTR P&amp;L'!J12,"")</f>
        <v/>
      </c>
      <c r="K19" s="13">
        <f>IFERROR('QTR CF'!K21/'QTR P&amp;L'!K12,"")</f>
        <v/>
      </c>
      <c r="L19" s="13">
        <f>IFERROR('QTR CF'!L21/'QTR P&amp;L'!L12,"")</f>
        <v/>
      </c>
      <c r="M19" s="13">
        <f>IFERROR('QTR CF'!M21/'QTR P&amp;L'!M12,"")</f>
        <v/>
      </c>
      <c r="N19" s="13">
        <f>IFERROR('QTR CF'!N21/'QTR P&amp;L'!N12,"")</f>
        <v/>
      </c>
      <c r="O19" s="13">
        <f>IFERROR('QTR CF'!O21/'QTR P&amp;L'!O12,"")</f>
        <v/>
      </c>
      <c r="P19" s="13">
        <f>IFERROR('QTR CF'!P21/'QTR P&amp;L'!P12,"")</f>
        <v/>
      </c>
      <c r="Q19" s="13">
        <f>IFERROR('QTR CF'!Q21/'QTR P&amp;L'!Q12,"")</f>
        <v/>
      </c>
      <c r="R19" s="13">
        <f>IFERROR('QTR CF'!R21/'QTR P&amp;L'!R12,"")</f>
        <v/>
      </c>
      <c r="S19" s="13">
        <f>IFERROR('QTR CF'!S21/'QTR P&amp;L'!S12,"")</f>
        <v/>
      </c>
      <c r="T19" s="14">
        <f>S19</f>
        <v/>
      </c>
      <c r="U19" s="14">
        <f>S19</f>
        <v/>
      </c>
      <c r="V19" s="14">
        <f>S19</f>
        <v/>
      </c>
      <c r="W19" s="14">
        <f>S19</f>
        <v/>
      </c>
      <c r="X19" s="14">
        <f>S19</f>
        <v/>
      </c>
      <c r="Y19" s="14">
        <f>S19</f>
        <v/>
      </c>
      <c r="Z19" s="14">
        <f>S19</f>
        <v/>
      </c>
      <c r="AA19" s="14">
        <f>S19</f>
        <v/>
      </c>
      <c r="AB19" s="14">
        <f>S19</f>
        <v/>
      </c>
      <c r="AC19" s="14">
        <f>S19</f>
        <v/>
      </c>
      <c r="AD19" s="14">
        <f>S19</f>
        <v/>
      </c>
      <c r="AE19" s="14">
        <f>S19</f>
        <v/>
      </c>
      <c r="AF19" s="14">
        <f>S19</f>
        <v/>
      </c>
      <c r="AG19" s="14">
        <f>S19</f>
        <v/>
      </c>
      <c r="AH19" s="14">
        <f>S19</f>
        <v/>
      </c>
      <c r="AI19" s="14">
        <f>S19</f>
        <v/>
      </c>
      <c r="AJ19" s="14">
        <f>S19</f>
        <v/>
      </c>
      <c r="AK19" s="14">
        <f>S19</f>
        <v/>
      </c>
      <c r="AL19" s="14">
        <f>S19</f>
        <v/>
      </c>
      <c r="AM19" s="14">
        <f>S19</f>
        <v/>
      </c>
      <c r="AN19" s="14">
        <f>S19</f>
        <v/>
      </c>
      <c r="AO19" s="14">
        <f>S19</f>
        <v/>
      </c>
    </row>
    <row r="20">
      <c r="A20" s="3" t="inlineStr">
        <is>
          <t>Proceeds from Short-Term Debt</t>
        </is>
      </c>
      <c r="B20" s="4">
        <f>'QTR CF'!B22</f>
        <v/>
      </c>
      <c r="C20" s="4">
        <f>'QTR CF'!C22</f>
        <v/>
      </c>
      <c r="D20" s="4">
        <f>'QTR CF'!D22</f>
        <v/>
      </c>
      <c r="E20" s="4">
        <f>'QTR CF'!E22</f>
        <v/>
      </c>
      <c r="F20" s="4">
        <f>'QTR CF'!F22</f>
        <v/>
      </c>
      <c r="G20" s="4">
        <f>'QTR CF'!G22</f>
        <v/>
      </c>
      <c r="H20" s="4">
        <f>'QTR CF'!H22</f>
        <v/>
      </c>
      <c r="I20" s="4">
        <f>'QTR CF'!I22</f>
        <v/>
      </c>
      <c r="J20" s="4">
        <f>'QTR CF'!J22</f>
        <v/>
      </c>
      <c r="K20" s="4">
        <f>'QTR CF'!K22</f>
        <v/>
      </c>
      <c r="L20" s="4">
        <f>'QTR CF'!L22</f>
        <v/>
      </c>
      <c r="M20" s="4">
        <f>'QTR CF'!M22</f>
        <v/>
      </c>
      <c r="N20" s="4">
        <f>'QTR CF'!N22</f>
        <v/>
      </c>
      <c r="O20" s="4">
        <f>'QTR CF'!O22</f>
        <v/>
      </c>
      <c r="P20" s="4">
        <f>'QTR CF'!P22</f>
        <v/>
      </c>
      <c r="Q20" s="4">
        <f>'QTR CF'!Q22</f>
        <v/>
      </c>
      <c r="R20" s="4">
        <f>'QTR CF'!R22</f>
        <v/>
      </c>
      <c r="S20" s="4">
        <f>'QTR CF'!S22</f>
        <v/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0</v>
      </c>
      <c r="Y20" s="15" t="n">
        <v>0</v>
      </c>
      <c r="Z20" s="15" t="n">
        <v>0</v>
      </c>
      <c r="AA20" s="15" t="n">
        <v>0</v>
      </c>
      <c r="AB20" s="15" t="n">
        <v>0</v>
      </c>
      <c r="AC20" s="15" t="n">
        <v>0</v>
      </c>
      <c r="AD20" s="15" t="n">
        <v>0</v>
      </c>
      <c r="AE20" s="15" t="n">
        <v>0</v>
      </c>
      <c r="AF20" s="15" t="n">
        <v>0</v>
      </c>
      <c r="AG20" s="15" t="n">
        <v>0</v>
      </c>
      <c r="AH20" s="15" t="n">
        <v>0</v>
      </c>
      <c r="AI20" s="15" t="n">
        <v>0</v>
      </c>
      <c r="AJ20" s="15" t="n">
        <v>0</v>
      </c>
      <c r="AK20" s="15" t="n">
        <v>0</v>
      </c>
      <c r="AL20" s="15" t="n">
        <v>0</v>
      </c>
      <c r="AM20" s="15" t="n">
        <v>0</v>
      </c>
      <c r="AN20" s="15" t="n">
        <v>0</v>
      </c>
      <c r="AO20" s="15" t="n">
        <v>0</v>
      </c>
    </row>
    <row r="21">
      <c r="A21" s="3" t="inlineStr">
        <is>
          <t>Repayments of Short-Term Debt</t>
        </is>
      </c>
      <c r="B21" s="4">
        <f>'QTR CF'!B23</f>
        <v/>
      </c>
      <c r="C21" s="4">
        <f>'QTR CF'!C23</f>
        <v/>
      </c>
      <c r="D21" s="4">
        <f>'QTR CF'!D23</f>
        <v/>
      </c>
      <c r="E21" s="4">
        <f>'QTR CF'!E23</f>
        <v/>
      </c>
      <c r="F21" s="4">
        <f>'QTR CF'!F23</f>
        <v/>
      </c>
      <c r="G21" s="4">
        <f>'QTR CF'!G23</f>
        <v/>
      </c>
      <c r="H21" s="4">
        <f>'QTR CF'!H23</f>
        <v/>
      </c>
      <c r="I21" s="4">
        <f>'QTR CF'!I23</f>
        <v/>
      </c>
      <c r="J21" s="4">
        <f>'QTR CF'!J23</f>
        <v/>
      </c>
      <c r="K21" s="4">
        <f>'QTR CF'!K23</f>
        <v/>
      </c>
      <c r="L21" s="4">
        <f>'QTR CF'!L23</f>
        <v/>
      </c>
      <c r="M21" s="4">
        <f>'QTR CF'!M23</f>
        <v/>
      </c>
      <c r="N21" s="4">
        <f>'QTR CF'!N23</f>
        <v/>
      </c>
      <c r="O21" s="4">
        <f>'QTR CF'!O23</f>
        <v/>
      </c>
      <c r="P21" s="4">
        <f>'QTR CF'!P23</f>
        <v/>
      </c>
      <c r="Q21" s="4">
        <f>'QTR CF'!Q23</f>
        <v/>
      </c>
      <c r="R21" s="4">
        <f>'QTR CF'!R23</f>
        <v/>
      </c>
      <c r="S21" s="4">
        <f>'QTR CF'!S23</f>
        <v/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</v>
      </c>
      <c r="Z21" s="15" t="n">
        <v>0</v>
      </c>
      <c r="AA21" s="15" t="n">
        <v>0</v>
      </c>
      <c r="AB21" s="15" t="n">
        <v>0</v>
      </c>
      <c r="AC21" s="15" t="n">
        <v>0</v>
      </c>
      <c r="AD21" s="15" t="n">
        <v>0</v>
      </c>
      <c r="AE21" s="15" t="n">
        <v>0</v>
      </c>
      <c r="AF21" s="15" t="n">
        <v>0</v>
      </c>
      <c r="AG21" s="15" t="n">
        <v>0</v>
      </c>
      <c r="AH21" s="15" t="n">
        <v>0</v>
      </c>
      <c r="AI21" s="15" t="n">
        <v>0</v>
      </c>
      <c r="AJ21" s="15" t="n">
        <v>0</v>
      </c>
      <c r="AK21" s="15" t="n">
        <v>0</v>
      </c>
      <c r="AL21" s="15" t="n">
        <v>0</v>
      </c>
      <c r="AM21" s="15" t="n">
        <v>0</v>
      </c>
      <c r="AN21" s="15" t="n">
        <v>0</v>
      </c>
      <c r="AO21" s="15" t="n">
        <v>0</v>
      </c>
    </row>
    <row r="22">
      <c r="A22" s="3" t="inlineStr">
        <is>
          <t>Net Change in Other Short-Term Debt</t>
        </is>
      </c>
      <c r="B22" s="4">
        <f>'QTR CF'!B24</f>
        <v/>
      </c>
      <c r="C22" s="4">
        <f>'QTR CF'!C24</f>
        <v/>
      </c>
      <c r="D22" s="4">
        <f>'QTR CF'!D24</f>
        <v/>
      </c>
      <c r="E22" s="4">
        <f>'QTR CF'!E24</f>
        <v/>
      </c>
      <c r="F22" s="4">
        <f>'QTR CF'!F24</f>
        <v/>
      </c>
      <c r="G22" s="4">
        <f>'QTR CF'!G24</f>
        <v/>
      </c>
      <c r="H22" s="4">
        <f>'QTR CF'!H24</f>
        <v/>
      </c>
      <c r="I22" s="4">
        <f>'QTR CF'!I24</f>
        <v/>
      </c>
      <c r="J22" s="4">
        <f>'QTR CF'!J24</f>
        <v/>
      </c>
      <c r="K22" s="4">
        <f>'QTR CF'!K24</f>
        <v/>
      </c>
      <c r="L22" s="4">
        <f>'QTR CF'!L24</f>
        <v/>
      </c>
      <c r="M22" s="4">
        <f>'QTR CF'!M24</f>
        <v/>
      </c>
      <c r="N22" s="4">
        <f>'QTR CF'!N24</f>
        <v/>
      </c>
      <c r="O22" s="4">
        <f>'QTR CF'!O24</f>
        <v/>
      </c>
      <c r="P22" s="4">
        <f>'QTR CF'!P24</f>
        <v/>
      </c>
      <c r="Q22" s="4">
        <f>'QTR CF'!Q24</f>
        <v/>
      </c>
      <c r="R22" s="4">
        <f>'QTR CF'!R24</f>
        <v/>
      </c>
      <c r="S22" s="4">
        <f>'QTR CF'!S24</f>
        <v/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0</v>
      </c>
      <c r="Y22" s="15" t="n">
        <v>0</v>
      </c>
      <c r="Z22" s="15" t="n">
        <v>0</v>
      </c>
      <c r="AA22" s="15" t="n">
        <v>0</v>
      </c>
      <c r="AB22" s="15" t="n">
        <v>0</v>
      </c>
      <c r="AC22" s="15" t="n">
        <v>0</v>
      </c>
      <c r="AD22" s="15" t="n">
        <v>0</v>
      </c>
      <c r="AE22" s="15" t="n">
        <v>0</v>
      </c>
      <c r="AF22" s="15" t="n">
        <v>0</v>
      </c>
      <c r="AG22" s="15" t="n">
        <v>0</v>
      </c>
      <c r="AH22" s="15" t="n">
        <v>0</v>
      </c>
      <c r="AI22" s="15" t="n">
        <v>0</v>
      </c>
      <c r="AJ22" s="15" t="n">
        <v>0</v>
      </c>
      <c r="AK22" s="15" t="n">
        <v>0</v>
      </c>
      <c r="AL22" s="15" t="n">
        <v>0</v>
      </c>
      <c r="AM22" s="15" t="n">
        <v>0</v>
      </c>
      <c r="AN22" s="15" t="n">
        <v>0</v>
      </c>
      <c r="AO22" s="15" t="n">
        <v>0</v>
      </c>
    </row>
    <row r="23">
      <c r="A23" s="3" t="inlineStr">
        <is>
          <t>Proceeds from Issuance of Long-Term Debt</t>
        </is>
      </c>
      <c r="B23" s="4">
        <f>'QTR CF'!B25</f>
        <v/>
      </c>
      <c r="C23" s="4">
        <f>'QTR CF'!C25</f>
        <v/>
      </c>
      <c r="D23" s="4">
        <f>'QTR CF'!D25</f>
        <v/>
      </c>
      <c r="E23" s="4">
        <f>'QTR CF'!E25</f>
        <v/>
      </c>
      <c r="F23" s="4">
        <f>'QTR CF'!F25</f>
        <v/>
      </c>
      <c r="G23" s="4">
        <f>'QTR CF'!G25</f>
        <v/>
      </c>
      <c r="H23" s="4">
        <f>'QTR CF'!H25</f>
        <v/>
      </c>
      <c r="I23" s="4">
        <f>'QTR CF'!I25</f>
        <v/>
      </c>
      <c r="J23" s="4">
        <f>'QTR CF'!J25</f>
        <v/>
      </c>
      <c r="K23" s="4">
        <f>'QTR CF'!K25</f>
        <v/>
      </c>
      <c r="L23" s="4">
        <f>'QTR CF'!L25</f>
        <v/>
      </c>
      <c r="M23" s="4">
        <f>'QTR CF'!M25</f>
        <v/>
      </c>
      <c r="N23" s="4">
        <f>'QTR CF'!N25</f>
        <v/>
      </c>
      <c r="O23" s="4">
        <f>'QTR CF'!O25</f>
        <v/>
      </c>
      <c r="P23" s="4">
        <f>'QTR CF'!P25</f>
        <v/>
      </c>
      <c r="Q23" s="4">
        <f>'QTR CF'!Q25</f>
        <v/>
      </c>
      <c r="R23" s="4">
        <f>'QTR CF'!R25</f>
        <v/>
      </c>
      <c r="S23" s="4">
        <f>'QTR CF'!S25</f>
        <v/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  <c r="AL23" s="15" t="n">
        <v>0</v>
      </c>
      <c r="AM23" s="15" t="n">
        <v>0</v>
      </c>
      <c r="AN23" s="15" t="n">
        <v>0</v>
      </c>
      <c r="AO23" s="15" t="n">
        <v>0</v>
      </c>
    </row>
    <row r="24">
      <c r="A24" s="3" t="inlineStr">
        <is>
          <t>Repayments of Long-Term Debt</t>
        </is>
      </c>
      <c r="B24" s="4">
        <f>'QTR CF'!B26</f>
        <v/>
      </c>
      <c r="C24" s="4">
        <f>'QTR CF'!C26</f>
        <v/>
      </c>
      <c r="D24" s="4">
        <f>'QTR CF'!D26</f>
        <v/>
      </c>
      <c r="E24" s="4">
        <f>'QTR CF'!E26</f>
        <v/>
      </c>
      <c r="F24" s="4">
        <f>'QTR CF'!F26</f>
        <v/>
      </c>
      <c r="G24" s="4">
        <f>'QTR CF'!G26</f>
        <v/>
      </c>
      <c r="H24" s="4">
        <f>'QTR CF'!H26</f>
        <v/>
      </c>
      <c r="I24" s="4">
        <f>'QTR CF'!I26</f>
        <v/>
      </c>
      <c r="J24" s="4">
        <f>'QTR CF'!J26</f>
        <v/>
      </c>
      <c r="K24" s="4">
        <f>'QTR CF'!K26</f>
        <v/>
      </c>
      <c r="L24" s="4">
        <f>'QTR CF'!L26</f>
        <v/>
      </c>
      <c r="M24" s="4">
        <f>'QTR CF'!M26</f>
        <v/>
      </c>
      <c r="N24" s="4">
        <f>'QTR CF'!N26</f>
        <v/>
      </c>
      <c r="O24" s="4">
        <f>'QTR CF'!O26</f>
        <v/>
      </c>
      <c r="P24" s="4">
        <f>'QTR CF'!P26</f>
        <v/>
      </c>
      <c r="Q24" s="4">
        <f>'QTR CF'!Q26</f>
        <v/>
      </c>
      <c r="R24" s="4">
        <f>'QTR CF'!R26</f>
        <v/>
      </c>
      <c r="S24" s="4">
        <f>'QTR CF'!S26</f>
        <v/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Share Repurchases</t>
        </is>
      </c>
      <c r="B25" s="4">
        <f>'QTR CF'!B27</f>
        <v/>
      </c>
      <c r="C25" s="4">
        <f>'QTR CF'!C27</f>
        <v/>
      </c>
      <c r="D25" s="4">
        <f>'QTR CF'!D27</f>
        <v/>
      </c>
      <c r="E25" s="4">
        <f>'QTR CF'!E27</f>
        <v/>
      </c>
      <c r="F25" s="4">
        <f>'QTR CF'!F27</f>
        <v/>
      </c>
      <c r="G25" s="4">
        <f>'QTR CF'!G27</f>
        <v/>
      </c>
      <c r="H25" s="4">
        <f>'QTR CF'!H27</f>
        <v/>
      </c>
      <c r="I25" s="4">
        <f>'QTR CF'!I27</f>
        <v/>
      </c>
      <c r="J25" s="4">
        <f>'QTR CF'!J27</f>
        <v/>
      </c>
      <c r="K25" s="4">
        <f>'QTR CF'!K27</f>
        <v/>
      </c>
      <c r="L25" s="4">
        <f>'QTR CF'!L27</f>
        <v/>
      </c>
      <c r="M25" s="4">
        <f>'QTR CF'!M27</f>
        <v/>
      </c>
      <c r="N25" s="4">
        <f>'QTR CF'!N27</f>
        <v/>
      </c>
      <c r="O25" s="4">
        <f>'QTR CF'!O27</f>
        <v/>
      </c>
      <c r="P25" s="4">
        <f>'QTR CF'!P27</f>
        <v/>
      </c>
      <c r="Q25" s="4">
        <f>'QTR CF'!Q27</f>
        <v/>
      </c>
      <c r="R25" s="4">
        <f>'QTR CF'!R27</f>
        <v/>
      </c>
      <c r="S25" s="4">
        <f>'QTR CF'!S27</f>
        <v/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0</v>
      </c>
      <c r="Y25" s="15" t="n">
        <v>0</v>
      </c>
      <c r="Z25" s="15" t="n">
        <v>0</v>
      </c>
      <c r="AA25" s="15" t="n">
        <v>0</v>
      </c>
      <c r="AB25" s="15" t="n">
        <v>0</v>
      </c>
      <c r="AC25" s="15" t="n">
        <v>0</v>
      </c>
      <c r="AD25" s="15" t="n">
        <v>0</v>
      </c>
      <c r="AE25" s="15" t="n">
        <v>0</v>
      </c>
      <c r="AF25" s="15" t="n">
        <v>0</v>
      </c>
      <c r="AG25" s="15" t="n">
        <v>0</v>
      </c>
      <c r="AH25" s="15" t="n">
        <v>0</v>
      </c>
      <c r="AI25" s="15" t="n">
        <v>0</v>
      </c>
      <c r="AJ25" s="15" t="n">
        <v>0</v>
      </c>
      <c r="AK25" s="15" t="n">
        <v>0</v>
      </c>
      <c r="AL25" s="15" t="n">
        <v>0</v>
      </c>
      <c r="AM25" s="15" t="n">
        <v>0</v>
      </c>
      <c r="AN25" s="15" t="n">
        <v>0</v>
      </c>
      <c r="AO25" s="15" t="n">
        <v>0</v>
      </c>
    </row>
    <row r="26">
      <c r="A26" s="3" t="inlineStr">
        <is>
          <t>Stock Options &amp; Other Financing Activities</t>
        </is>
      </c>
      <c r="B26" s="4">
        <f>'QTR CF'!B28</f>
        <v/>
      </c>
      <c r="C26" s="4">
        <f>'QTR CF'!C28</f>
        <v/>
      </c>
      <c r="D26" s="4">
        <f>'QTR CF'!D28</f>
        <v/>
      </c>
      <c r="E26" s="4">
        <f>'QTR CF'!E28</f>
        <v/>
      </c>
      <c r="F26" s="4">
        <f>'QTR CF'!F28</f>
        <v/>
      </c>
      <c r="G26" s="4">
        <f>'QTR CF'!G28</f>
        <v/>
      </c>
      <c r="H26" s="4">
        <f>'QTR CF'!H28</f>
        <v/>
      </c>
      <c r="I26" s="4">
        <f>'QTR CF'!I28</f>
        <v/>
      </c>
      <c r="J26" s="4">
        <f>'QTR CF'!J28</f>
        <v/>
      </c>
      <c r="K26" s="4">
        <f>'QTR CF'!K28</f>
        <v/>
      </c>
      <c r="L26" s="4">
        <f>'QTR CF'!L28</f>
        <v/>
      </c>
      <c r="M26" s="4">
        <f>'QTR CF'!M28</f>
        <v/>
      </c>
      <c r="N26" s="4">
        <f>'QTR CF'!N28</f>
        <v/>
      </c>
      <c r="O26" s="4">
        <f>'QTR CF'!O28</f>
        <v/>
      </c>
      <c r="P26" s="4">
        <f>'QTR CF'!P28</f>
        <v/>
      </c>
      <c r="Q26" s="4">
        <f>'QTR CF'!Q28</f>
        <v/>
      </c>
      <c r="R26" s="4">
        <f>'QTR CF'!R28</f>
        <v/>
      </c>
      <c r="S26" s="4">
        <f>'QTR CF'!S28</f>
        <v/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  <c r="AL26" s="15" t="n">
        <v>0</v>
      </c>
      <c r="AM26" s="15" t="n">
        <v>0</v>
      </c>
      <c r="AN26" s="15" t="n">
        <v>0</v>
      </c>
      <c r="AO26" s="15" t="n">
        <v>0</v>
      </c>
    </row>
    <row r="27">
      <c r="A27" s="3" t="inlineStr">
        <is>
          <t>FX Effect on Cash</t>
        </is>
      </c>
      <c r="B27" s="4">
        <f>'QTR CF'!B30</f>
        <v/>
      </c>
      <c r="C27" s="4">
        <f>'QTR CF'!C30</f>
        <v/>
      </c>
      <c r="D27" s="4">
        <f>'QTR CF'!D30</f>
        <v/>
      </c>
      <c r="E27" s="4">
        <f>'QTR CF'!E30</f>
        <v/>
      </c>
      <c r="F27" s="4">
        <f>'QTR CF'!F30</f>
        <v/>
      </c>
      <c r="G27" s="4">
        <f>'QTR CF'!G30</f>
        <v/>
      </c>
      <c r="H27" s="4">
        <f>'QTR CF'!H30</f>
        <v/>
      </c>
      <c r="I27" s="4">
        <f>'QTR CF'!I30</f>
        <v/>
      </c>
      <c r="J27" s="4">
        <f>'QTR CF'!J30</f>
        <v/>
      </c>
      <c r="K27" s="4">
        <f>'QTR CF'!K30</f>
        <v/>
      </c>
      <c r="L27" s="4">
        <f>'QTR CF'!L30</f>
        <v/>
      </c>
      <c r="M27" s="4">
        <f>'QTR CF'!M30</f>
        <v/>
      </c>
      <c r="N27" s="4">
        <f>'QTR CF'!N30</f>
        <v/>
      </c>
      <c r="O27" s="4">
        <f>'QTR CF'!O30</f>
        <v/>
      </c>
      <c r="P27" s="4">
        <f>'QTR CF'!P30</f>
        <v/>
      </c>
      <c r="Q27" s="4">
        <f>'QTR CF'!Q30</f>
        <v/>
      </c>
      <c r="R27" s="4">
        <f>'QTR CF'!R30</f>
        <v/>
      </c>
      <c r="S27" s="4">
        <f>'QTR CF'!S30</f>
        <v/>
      </c>
      <c r="T27" s="15">
        <f>S27</f>
        <v/>
      </c>
      <c r="U27" s="15">
        <f>S27</f>
        <v/>
      </c>
      <c r="V27" s="15">
        <f>S27</f>
        <v/>
      </c>
      <c r="W27" s="15">
        <f>S27</f>
        <v/>
      </c>
      <c r="X27" s="15">
        <f>S27</f>
        <v/>
      </c>
      <c r="Y27" s="15">
        <f>S27</f>
        <v/>
      </c>
      <c r="Z27" s="15">
        <f>S27</f>
        <v/>
      </c>
      <c r="AA27" s="15">
        <f>S27</f>
        <v/>
      </c>
      <c r="AB27" s="15">
        <f>S27</f>
        <v/>
      </c>
      <c r="AC27" s="15">
        <f>S27</f>
        <v/>
      </c>
      <c r="AD27" s="15">
        <f>S27</f>
        <v/>
      </c>
      <c r="AE27" s="15">
        <f>S27</f>
        <v/>
      </c>
      <c r="AF27" s="15">
        <f>S27</f>
        <v/>
      </c>
      <c r="AG27" s="15">
        <f>S27</f>
        <v/>
      </c>
      <c r="AH27" s="15">
        <f>S27</f>
        <v/>
      </c>
      <c r="AI27" s="15">
        <f>S27</f>
        <v/>
      </c>
      <c r="AJ27" s="15">
        <f>S27</f>
        <v/>
      </c>
      <c r="AK27" s="15">
        <f>S27</f>
        <v/>
      </c>
      <c r="AL27" s="15">
        <f>S27</f>
        <v/>
      </c>
      <c r="AM27" s="15">
        <f>S27</f>
        <v/>
      </c>
      <c r="AN27" s="15">
        <f>S27</f>
        <v/>
      </c>
      <c r="AO27" s="15">
        <f>S27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2026-04-28T19:20:11Z</dcterms:created>
  <dcterms:modified xmlns:dcterms="http://purl.org/dc/terms/" xmlns:xsi="http://www.w3.org/2001/XMLSchema-instance" xsi:type="dcterms:W3CDTF">2026-04-28T19:20:13Z</dcterms:modified>
</cp:coreProperties>
</file>