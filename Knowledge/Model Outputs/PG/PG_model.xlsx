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rodin\Desktop\Brain\Knowledge\Model Outputs\PG\"/>
    </mc:Choice>
  </mc:AlternateContent>
  <xr:revisionPtr revIDLastSave="0" documentId="13_ncr:1_{62332A9C-5E22-45CD-A5FF-C57D7AF27F4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SSUMPTIONS" sheetId="1" r:id="rId1"/>
    <sheet name="ANNL P&amp;L" sheetId="2" r:id="rId2"/>
    <sheet name="BALANCE SHEET" sheetId="3" r:id="rId3"/>
    <sheet name="CASH FLOW" sheetId="4" r:id="rId4"/>
    <sheet name="YTD P&amp;L" sheetId="5" r:id="rId5"/>
    <sheet name="YTD BS" sheetId="6" r:id="rId6"/>
    <sheet name="YTD CF" sheetId="7" r:id="rId7"/>
    <sheet name="QTR P&amp;L" sheetId="8" r:id="rId8"/>
    <sheet name="QTR BS" sheetId="9" r:id="rId9"/>
    <sheet name="QTR CF" sheetId="10" r:id="rId10"/>
    <sheet name="IS DRIVERS" sheetId="11" r:id="rId11"/>
    <sheet name="BS DRIVERS" sheetId="12" r:id="rId12"/>
    <sheet name="CF DRIV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7" i="13" l="1"/>
  <c r="M17" i="13"/>
  <c r="I17" i="13"/>
  <c r="E17" i="13"/>
  <c r="AO13" i="13"/>
  <c r="AN13" i="13"/>
  <c r="AM13" i="13"/>
  <c r="AL13" i="13"/>
  <c r="AK13" i="13"/>
  <c r="AJ13" i="13"/>
  <c r="AJ13" i="10" s="1"/>
  <c r="AI13" i="13"/>
  <c r="AH13" i="13"/>
  <c r="AG13" i="13"/>
  <c r="AF13" i="13"/>
  <c r="AE13" i="13"/>
  <c r="AD13" i="13"/>
  <c r="AD13" i="10" s="1"/>
  <c r="J13" i="4" s="1"/>
  <c r="AC13" i="13"/>
  <c r="AB13" i="13"/>
  <c r="AA13" i="13"/>
  <c r="Z13" i="13"/>
  <c r="Y13" i="13"/>
  <c r="X13" i="13"/>
  <c r="X13" i="10" s="1"/>
  <c r="W13" i="13"/>
  <c r="V13" i="13"/>
  <c r="U13" i="13"/>
  <c r="T13" i="13"/>
  <c r="S30" i="10"/>
  <c r="S27" i="13" s="1"/>
  <c r="T27" i="13" s="1"/>
  <c r="R30" i="10"/>
  <c r="R27" i="13" s="1"/>
  <c r="Q30" i="10"/>
  <c r="Q27" i="13" s="1"/>
  <c r="P30" i="10"/>
  <c r="P27" i="13" s="1"/>
  <c r="O30" i="10"/>
  <c r="O27" i="13" s="1"/>
  <c r="N30" i="10"/>
  <c r="N27" i="13" s="1"/>
  <c r="M30" i="10"/>
  <c r="M27" i="13" s="1"/>
  <c r="L30" i="10"/>
  <c r="L27" i="13" s="1"/>
  <c r="K30" i="10"/>
  <c r="K27" i="13" s="1"/>
  <c r="J30" i="10"/>
  <c r="J27" i="13" s="1"/>
  <c r="I30" i="10"/>
  <c r="I27" i="13" s="1"/>
  <c r="H30" i="10"/>
  <c r="H27" i="13" s="1"/>
  <c r="G30" i="10"/>
  <c r="G27" i="13" s="1"/>
  <c r="F30" i="10"/>
  <c r="F27" i="13" s="1"/>
  <c r="E30" i="10"/>
  <c r="E27" i="13" s="1"/>
  <c r="D30" i="10"/>
  <c r="D27" i="13" s="1"/>
  <c r="C30" i="10"/>
  <c r="C27" i="13" s="1"/>
  <c r="B30" i="10"/>
  <c r="B27" i="13" s="1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S26" i="13" s="1"/>
  <c r="R28" i="10"/>
  <c r="R26" i="13" s="1"/>
  <c r="Q28" i="10"/>
  <c r="Q26" i="13" s="1"/>
  <c r="P28" i="10"/>
  <c r="P26" i="13" s="1"/>
  <c r="O28" i="10"/>
  <c r="O26" i="13" s="1"/>
  <c r="N28" i="10"/>
  <c r="N26" i="13" s="1"/>
  <c r="M28" i="10"/>
  <c r="M26" i="13" s="1"/>
  <c r="L28" i="10"/>
  <c r="L26" i="13" s="1"/>
  <c r="K28" i="10"/>
  <c r="K26" i="13" s="1"/>
  <c r="J28" i="10"/>
  <c r="J26" i="13" s="1"/>
  <c r="I28" i="10"/>
  <c r="I26" i="13" s="1"/>
  <c r="H28" i="10"/>
  <c r="H26" i="13" s="1"/>
  <c r="G28" i="10"/>
  <c r="G26" i="13" s="1"/>
  <c r="F28" i="10"/>
  <c r="F26" i="13" s="1"/>
  <c r="E28" i="10"/>
  <c r="E26" i="13" s="1"/>
  <c r="D28" i="10"/>
  <c r="D26" i="13" s="1"/>
  <c r="C28" i="10"/>
  <c r="C26" i="13" s="1"/>
  <c r="B28" i="10"/>
  <c r="B26" i="13" s="1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S25" i="13" s="1"/>
  <c r="R27" i="10"/>
  <c r="R25" i="13" s="1"/>
  <c r="Q27" i="10"/>
  <c r="Q25" i="13" s="1"/>
  <c r="P27" i="10"/>
  <c r="P25" i="13" s="1"/>
  <c r="O27" i="10"/>
  <c r="O25" i="13" s="1"/>
  <c r="N27" i="10"/>
  <c r="N25" i="13" s="1"/>
  <c r="M27" i="10"/>
  <c r="M25" i="13" s="1"/>
  <c r="L27" i="10"/>
  <c r="L25" i="13" s="1"/>
  <c r="K27" i="10"/>
  <c r="K25" i="13" s="1"/>
  <c r="J27" i="10"/>
  <c r="J25" i="13" s="1"/>
  <c r="I27" i="10"/>
  <c r="I25" i="13" s="1"/>
  <c r="H27" i="10"/>
  <c r="H25" i="13" s="1"/>
  <c r="G27" i="10"/>
  <c r="G25" i="13" s="1"/>
  <c r="F27" i="10"/>
  <c r="F25" i="13" s="1"/>
  <c r="E27" i="10"/>
  <c r="E25" i="13" s="1"/>
  <c r="D27" i="10"/>
  <c r="D25" i="13" s="1"/>
  <c r="C27" i="10"/>
  <c r="C25" i="13" s="1"/>
  <c r="B27" i="10"/>
  <c r="B25" i="13" s="1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S24" i="13" s="1"/>
  <c r="R26" i="10"/>
  <c r="R24" i="13" s="1"/>
  <c r="Q26" i="10"/>
  <c r="Q24" i="13" s="1"/>
  <c r="P26" i="10"/>
  <c r="P24" i="13" s="1"/>
  <c r="O26" i="10"/>
  <c r="O24" i="13" s="1"/>
  <c r="N26" i="10"/>
  <c r="N24" i="13" s="1"/>
  <c r="M26" i="10"/>
  <c r="M24" i="13" s="1"/>
  <c r="L26" i="10"/>
  <c r="L24" i="13" s="1"/>
  <c r="K26" i="10"/>
  <c r="K24" i="13" s="1"/>
  <c r="J26" i="10"/>
  <c r="J24" i="13" s="1"/>
  <c r="I26" i="10"/>
  <c r="I24" i="13" s="1"/>
  <c r="H26" i="10"/>
  <c r="H24" i="13" s="1"/>
  <c r="G26" i="10"/>
  <c r="G24" i="13" s="1"/>
  <c r="F26" i="10"/>
  <c r="F24" i="13" s="1"/>
  <c r="E26" i="10"/>
  <c r="E24" i="13" s="1"/>
  <c r="D26" i="10"/>
  <c r="D24" i="13" s="1"/>
  <c r="C26" i="10"/>
  <c r="C24" i="13" s="1"/>
  <c r="B26" i="10"/>
  <c r="B24" i="13" s="1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S23" i="13" s="1"/>
  <c r="R25" i="10"/>
  <c r="R23" i="13" s="1"/>
  <c r="Q25" i="10"/>
  <c r="Q23" i="13" s="1"/>
  <c r="P25" i="10"/>
  <c r="P23" i="13" s="1"/>
  <c r="O25" i="10"/>
  <c r="O23" i="13" s="1"/>
  <c r="N25" i="10"/>
  <c r="N23" i="13" s="1"/>
  <c r="M25" i="10"/>
  <c r="M23" i="13" s="1"/>
  <c r="L25" i="10"/>
  <c r="L23" i="13" s="1"/>
  <c r="K25" i="10"/>
  <c r="K23" i="13" s="1"/>
  <c r="J25" i="10"/>
  <c r="J23" i="13" s="1"/>
  <c r="I25" i="10"/>
  <c r="I23" i="13" s="1"/>
  <c r="H25" i="10"/>
  <c r="H23" i="13" s="1"/>
  <c r="G25" i="10"/>
  <c r="G23" i="13" s="1"/>
  <c r="F25" i="10"/>
  <c r="F23" i="13" s="1"/>
  <c r="E25" i="10"/>
  <c r="E23" i="13" s="1"/>
  <c r="D25" i="10"/>
  <c r="D23" i="13" s="1"/>
  <c r="C25" i="10"/>
  <c r="C23" i="13" s="1"/>
  <c r="B25" i="10"/>
  <c r="B23" i="13" s="1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S22" i="13" s="1"/>
  <c r="R24" i="10"/>
  <c r="R22" i="13" s="1"/>
  <c r="Q24" i="10"/>
  <c r="Q22" i="13" s="1"/>
  <c r="P24" i="10"/>
  <c r="P22" i="13" s="1"/>
  <c r="O24" i="10"/>
  <c r="O22" i="13" s="1"/>
  <c r="N24" i="10"/>
  <c r="N22" i="13" s="1"/>
  <c r="M24" i="10"/>
  <c r="M22" i="13" s="1"/>
  <c r="L24" i="10"/>
  <c r="L22" i="13" s="1"/>
  <c r="K24" i="10"/>
  <c r="K22" i="13" s="1"/>
  <c r="J24" i="10"/>
  <c r="J22" i="13" s="1"/>
  <c r="I24" i="10"/>
  <c r="I22" i="13" s="1"/>
  <c r="H24" i="10"/>
  <c r="H22" i="13" s="1"/>
  <c r="G24" i="10"/>
  <c r="G22" i="13" s="1"/>
  <c r="F24" i="10"/>
  <c r="F22" i="13" s="1"/>
  <c r="E24" i="10"/>
  <c r="E22" i="13" s="1"/>
  <c r="D24" i="10"/>
  <c r="D22" i="13" s="1"/>
  <c r="C24" i="10"/>
  <c r="C22" i="13" s="1"/>
  <c r="B24" i="10"/>
  <c r="B22" i="13" s="1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S21" i="13" s="1"/>
  <c r="R23" i="10"/>
  <c r="R21" i="13" s="1"/>
  <c r="Q23" i="10"/>
  <c r="Q21" i="13" s="1"/>
  <c r="P23" i="10"/>
  <c r="P21" i="13" s="1"/>
  <c r="O23" i="10"/>
  <c r="O21" i="13" s="1"/>
  <c r="N23" i="10"/>
  <c r="N21" i="13" s="1"/>
  <c r="M23" i="10"/>
  <c r="M21" i="13" s="1"/>
  <c r="L23" i="10"/>
  <c r="L21" i="13" s="1"/>
  <c r="K23" i="10"/>
  <c r="K21" i="13" s="1"/>
  <c r="J23" i="10"/>
  <c r="J21" i="13" s="1"/>
  <c r="I23" i="10"/>
  <c r="I21" i="13" s="1"/>
  <c r="H23" i="10"/>
  <c r="H21" i="13" s="1"/>
  <c r="G23" i="10"/>
  <c r="G21" i="13" s="1"/>
  <c r="F23" i="10"/>
  <c r="F21" i="13" s="1"/>
  <c r="E23" i="10"/>
  <c r="E21" i="13" s="1"/>
  <c r="D23" i="10"/>
  <c r="D21" i="13" s="1"/>
  <c r="C23" i="10"/>
  <c r="C21" i="13" s="1"/>
  <c r="B23" i="10"/>
  <c r="B21" i="13" s="1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S20" i="13" s="1"/>
  <c r="R22" i="10"/>
  <c r="R20" i="13" s="1"/>
  <c r="Q22" i="10"/>
  <c r="Q20" i="13" s="1"/>
  <c r="P22" i="10"/>
  <c r="P20" i="13" s="1"/>
  <c r="O22" i="10"/>
  <c r="O20" i="13" s="1"/>
  <c r="N22" i="10"/>
  <c r="N20" i="13" s="1"/>
  <c r="M22" i="10"/>
  <c r="M20" i="13" s="1"/>
  <c r="L22" i="10"/>
  <c r="L20" i="13" s="1"/>
  <c r="K22" i="10"/>
  <c r="K20" i="13" s="1"/>
  <c r="J22" i="10"/>
  <c r="J20" i="13" s="1"/>
  <c r="I22" i="10"/>
  <c r="I20" i="13" s="1"/>
  <c r="H22" i="10"/>
  <c r="H20" i="13" s="1"/>
  <c r="G22" i="10"/>
  <c r="G20" i="13" s="1"/>
  <c r="F22" i="10"/>
  <c r="F20" i="13" s="1"/>
  <c r="E22" i="10"/>
  <c r="E20" i="13" s="1"/>
  <c r="D22" i="10"/>
  <c r="D20" i="13" s="1"/>
  <c r="C22" i="10"/>
  <c r="C20" i="13" s="1"/>
  <c r="B22" i="10"/>
  <c r="B20" i="13" s="1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S18" i="13" s="1"/>
  <c r="R19" i="10"/>
  <c r="R18" i="13" s="1"/>
  <c r="Q19" i="10"/>
  <c r="Q18" i="13" s="1"/>
  <c r="P19" i="10"/>
  <c r="P18" i="13" s="1"/>
  <c r="O19" i="10"/>
  <c r="O18" i="13" s="1"/>
  <c r="N19" i="10"/>
  <c r="N18" i="13" s="1"/>
  <c r="M19" i="10"/>
  <c r="M18" i="13" s="1"/>
  <c r="L19" i="10"/>
  <c r="L18" i="13" s="1"/>
  <c r="K19" i="10"/>
  <c r="K18" i="13" s="1"/>
  <c r="J19" i="10"/>
  <c r="J18" i="13" s="1"/>
  <c r="I19" i="10"/>
  <c r="I18" i="13" s="1"/>
  <c r="H19" i="10"/>
  <c r="H18" i="13" s="1"/>
  <c r="G19" i="10"/>
  <c r="G18" i="13" s="1"/>
  <c r="F19" i="10"/>
  <c r="F18" i="13" s="1"/>
  <c r="E19" i="10"/>
  <c r="E18" i="13" s="1"/>
  <c r="D19" i="10"/>
  <c r="D18" i="13" s="1"/>
  <c r="C19" i="10"/>
  <c r="C18" i="13" s="1"/>
  <c r="B19" i="10"/>
  <c r="B18" i="13" s="1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S17" i="13" s="1"/>
  <c r="R18" i="10"/>
  <c r="R17" i="13" s="1"/>
  <c r="P18" i="10"/>
  <c r="P17" i="13" s="1"/>
  <c r="O18" i="10"/>
  <c r="O17" i="13" s="1"/>
  <c r="N18" i="10"/>
  <c r="N17" i="13" s="1"/>
  <c r="L18" i="10"/>
  <c r="L17" i="13" s="1"/>
  <c r="K18" i="10"/>
  <c r="K17" i="13" s="1"/>
  <c r="J18" i="10"/>
  <c r="J17" i="13" s="1"/>
  <c r="H18" i="10"/>
  <c r="H17" i="13" s="1"/>
  <c r="G18" i="10"/>
  <c r="G17" i="13" s="1"/>
  <c r="F18" i="10"/>
  <c r="F17" i="13" s="1"/>
  <c r="D18" i="10"/>
  <c r="D17" i="13" s="1"/>
  <c r="C18" i="10"/>
  <c r="C17" i="13" s="1"/>
  <c r="B18" i="10"/>
  <c r="B17" i="13" s="1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S16" i="13" s="1"/>
  <c r="R17" i="10"/>
  <c r="R16" i="13" s="1"/>
  <c r="Q17" i="10"/>
  <c r="Q16" i="13" s="1"/>
  <c r="P17" i="10"/>
  <c r="P16" i="13" s="1"/>
  <c r="O17" i="10"/>
  <c r="O16" i="13" s="1"/>
  <c r="N17" i="10"/>
  <c r="N16" i="13" s="1"/>
  <c r="M17" i="10"/>
  <c r="M16" i="13" s="1"/>
  <c r="L17" i="10"/>
  <c r="L16" i="13" s="1"/>
  <c r="K17" i="10"/>
  <c r="K16" i="13" s="1"/>
  <c r="J17" i="10"/>
  <c r="J16" i="13" s="1"/>
  <c r="I17" i="10"/>
  <c r="I16" i="13" s="1"/>
  <c r="H17" i="10"/>
  <c r="H16" i="13" s="1"/>
  <c r="G17" i="10"/>
  <c r="G16" i="13" s="1"/>
  <c r="F17" i="10"/>
  <c r="F16" i="13" s="1"/>
  <c r="E17" i="10"/>
  <c r="E16" i="13" s="1"/>
  <c r="D17" i="10"/>
  <c r="D16" i="13" s="1"/>
  <c r="C17" i="10"/>
  <c r="C16" i="13" s="1"/>
  <c r="B17" i="10"/>
  <c r="B16" i="13" s="1"/>
  <c r="AO16" i="10"/>
  <c r="AN16" i="10"/>
  <c r="AM16" i="10"/>
  <c r="AL16" i="10"/>
  <c r="AK16" i="10"/>
  <c r="AJ16" i="10"/>
  <c r="AI16" i="10"/>
  <c r="K16" i="4" s="1"/>
  <c r="AH16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S15" i="13" s="1"/>
  <c r="R16" i="10"/>
  <c r="R15" i="13" s="1"/>
  <c r="Q16" i="10"/>
  <c r="Q15" i="13" s="1"/>
  <c r="P16" i="10"/>
  <c r="P15" i="13" s="1"/>
  <c r="O16" i="10"/>
  <c r="O15" i="13" s="1"/>
  <c r="N16" i="10"/>
  <c r="N15" i="13" s="1"/>
  <c r="M16" i="10"/>
  <c r="M15" i="13" s="1"/>
  <c r="L16" i="10"/>
  <c r="L15" i="13" s="1"/>
  <c r="K16" i="10"/>
  <c r="K15" i="13" s="1"/>
  <c r="J16" i="10"/>
  <c r="J15" i="13" s="1"/>
  <c r="I16" i="10"/>
  <c r="I15" i="13" s="1"/>
  <c r="H16" i="10"/>
  <c r="H15" i="13" s="1"/>
  <c r="G16" i="10"/>
  <c r="G15" i="13" s="1"/>
  <c r="F16" i="10"/>
  <c r="F15" i="13" s="1"/>
  <c r="E16" i="10"/>
  <c r="E15" i="13" s="1"/>
  <c r="D16" i="10"/>
  <c r="D15" i="13" s="1"/>
  <c r="C16" i="10"/>
  <c r="C15" i="13" s="1"/>
  <c r="B16" i="10"/>
  <c r="B15" i="13" s="1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O13" i="10"/>
  <c r="AN13" i="10"/>
  <c r="AM13" i="10"/>
  <c r="AL13" i="10"/>
  <c r="AK13" i="10"/>
  <c r="AI13" i="10"/>
  <c r="AH13" i="10"/>
  <c r="AG13" i="10"/>
  <c r="AF13" i="10"/>
  <c r="AE13" i="10"/>
  <c r="AC13" i="10"/>
  <c r="AB13" i="10"/>
  <c r="AA13" i="10"/>
  <c r="Z13" i="10"/>
  <c r="Y13" i="10"/>
  <c r="W13" i="10"/>
  <c r="V13" i="10"/>
  <c r="U13" i="10"/>
  <c r="T13" i="10"/>
  <c r="S13" i="10"/>
  <c r="S13" i="13" s="1"/>
  <c r="R13" i="10"/>
  <c r="R13" i="13" s="1"/>
  <c r="Q13" i="10"/>
  <c r="Q13" i="13" s="1"/>
  <c r="P13" i="10"/>
  <c r="P13" i="13" s="1"/>
  <c r="O13" i="10"/>
  <c r="O13" i="13" s="1"/>
  <c r="N13" i="10"/>
  <c r="N13" i="13" s="1"/>
  <c r="M13" i="10"/>
  <c r="M13" i="13" s="1"/>
  <c r="L13" i="10"/>
  <c r="L13" i="13" s="1"/>
  <c r="K13" i="10"/>
  <c r="K13" i="13" s="1"/>
  <c r="J13" i="10"/>
  <c r="J13" i="13" s="1"/>
  <c r="I13" i="10"/>
  <c r="I13" i="13" s="1"/>
  <c r="H13" i="10"/>
  <c r="H13" i="13" s="1"/>
  <c r="G13" i="10"/>
  <c r="G13" i="13" s="1"/>
  <c r="F13" i="10"/>
  <c r="F13" i="13" s="1"/>
  <c r="E13" i="10"/>
  <c r="E13" i="13" s="1"/>
  <c r="D13" i="10"/>
  <c r="D13" i="13" s="1"/>
  <c r="C13" i="10"/>
  <c r="C13" i="13" s="1"/>
  <c r="B13" i="10"/>
  <c r="B13" i="13" s="1"/>
  <c r="S12" i="10"/>
  <c r="S12" i="13" s="1"/>
  <c r="R12" i="10"/>
  <c r="R12" i="13" s="1"/>
  <c r="Q12" i="10"/>
  <c r="Q12" i="13" s="1"/>
  <c r="P12" i="10"/>
  <c r="P12" i="13" s="1"/>
  <c r="O12" i="10"/>
  <c r="O12" i="13" s="1"/>
  <c r="N12" i="10"/>
  <c r="N12" i="13" s="1"/>
  <c r="M12" i="10"/>
  <c r="M12" i="13" s="1"/>
  <c r="L12" i="10"/>
  <c r="L12" i="13" s="1"/>
  <c r="K12" i="10"/>
  <c r="K12" i="13" s="1"/>
  <c r="J12" i="10"/>
  <c r="J12" i="13" s="1"/>
  <c r="I12" i="10"/>
  <c r="I12" i="13" s="1"/>
  <c r="H12" i="10"/>
  <c r="H12" i="13" s="1"/>
  <c r="G12" i="10"/>
  <c r="G12" i="13" s="1"/>
  <c r="F12" i="10"/>
  <c r="F12" i="13" s="1"/>
  <c r="E12" i="10"/>
  <c r="E12" i="13" s="1"/>
  <c r="D12" i="10"/>
  <c r="D12" i="13" s="1"/>
  <c r="C12" i="10"/>
  <c r="C12" i="13" s="1"/>
  <c r="B12" i="10"/>
  <c r="B12" i="13" s="1"/>
  <c r="S11" i="10"/>
  <c r="S11" i="13" s="1"/>
  <c r="R11" i="10"/>
  <c r="R11" i="13" s="1"/>
  <c r="Q11" i="10"/>
  <c r="Q11" i="13" s="1"/>
  <c r="P11" i="10"/>
  <c r="P11" i="13" s="1"/>
  <c r="O11" i="10"/>
  <c r="O11" i="13" s="1"/>
  <c r="N11" i="10"/>
  <c r="N11" i="13" s="1"/>
  <c r="M11" i="10"/>
  <c r="M11" i="13" s="1"/>
  <c r="L11" i="10"/>
  <c r="L11" i="13" s="1"/>
  <c r="K11" i="10"/>
  <c r="K11" i="13" s="1"/>
  <c r="J11" i="10"/>
  <c r="J11" i="13" s="1"/>
  <c r="I11" i="10"/>
  <c r="I11" i="13" s="1"/>
  <c r="H11" i="10"/>
  <c r="H11" i="13" s="1"/>
  <c r="G11" i="10"/>
  <c r="G11" i="13" s="1"/>
  <c r="F11" i="10"/>
  <c r="F11" i="13" s="1"/>
  <c r="E11" i="10"/>
  <c r="E11" i="13" s="1"/>
  <c r="D11" i="10"/>
  <c r="D11" i="13" s="1"/>
  <c r="C11" i="10"/>
  <c r="C11" i="13" s="1"/>
  <c r="B11" i="10"/>
  <c r="B11" i="13" s="1"/>
  <c r="S10" i="10"/>
  <c r="S10" i="13" s="1"/>
  <c r="R10" i="10"/>
  <c r="R10" i="13" s="1"/>
  <c r="Q10" i="10"/>
  <c r="Q10" i="13" s="1"/>
  <c r="P10" i="10"/>
  <c r="P10" i="13" s="1"/>
  <c r="O10" i="10"/>
  <c r="O10" i="13" s="1"/>
  <c r="N10" i="10"/>
  <c r="N10" i="13" s="1"/>
  <c r="M10" i="10"/>
  <c r="M10" i="13" s="1"/>
  <c r="L10" i="10"/>
  <c r="L10" i="13" s="1"/>
  <c r="K10" i="10"/>
  <c r="K10" i="13" s="1"/>
  <c r="J10" i="10"/>
  <c r="J10" i="13" s="1"/>
  <c r="I10" i="10"/>
  <c r="I10" i="13" s="1"/>
  <c r="H10" i="10"/>
  <c r="H10" i="13" s="1"/>
  <c r="G10" i="10"/>
  <c r="G10" i="13" s="1"/>
  <c r="F10" i="10"/>
  <c r="F10" i="13" s="1"/>
  <c r="E10" i="10"/>
  <c r="E10" i="13" s="1"/>
  <c r="D10" i="10"/>
  <c r="D10" i="13" s="1"/>
  <c r="C10" i="10"/>
  <c r="C10" i="13" s="1"/>
  <c r="B10" i="10"/>
  <c r="B10" i="13" s="1"/>
  <c r="S9" i="10"/>
  <c r="S9" i="13" s="1"/>
  <c r="R9" i="10"/>
  <c r="R9" i="13" s="1"/>
  <c r="Q9" i="10"/>
  <c r="Q9" i="13" s="1"/>
  <c r="P9" i="10"/>
  <c r="P9" i="13" s="1"/>
  <c r="O9" i="10"/>
  <c r="O9" i="13" s="1"/>
  <c r="N9" i="10"/>
  <c r="N9" i="13" s="1"/>
  <c r="M9" i="10"/>
  <c r="M9" i="13" s="1"/>
  <c r="L9" i="10"/>
  <c r="L9" i="13" s="1"/>
  <c r="K9" i="10"/>
  <c r="K9" i="13" s="1"/>
  <c r="J9" i="10"/>
  <c r="J9" i="13" s="1"/>
  <c r="I9" i="10"/>
  <c r="I9" i="13" s="1"/>
  <c r="H9" i="10"/>
  <c r="H9" i="13" s="1"/>
  <c r="G9" i="10"/>
  <c r="G9" i="13" s="1"/>
  <c r="F9" i="10"/>
  <c r="F9" i="13" s="1"/>
  <c r="E9" i="10"/>
  <c r="E9" i="13" s="1"/>
  <c r="D9" i="10"/>
  <c r="D9" i="13" s="1"/>
  <c r="C9" i="10"/>
  <c r="C9" i="13" s="1"/>
  <c r="B9" i="10"/>
  <c r="B9" i="13" s="1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S8" i="13" s="1"/>
  <c r="R8" i="10"/>
  <c r="R8" i="13" s="1"/>
  <c r="Q8" i="10"/>
  <c r="Q8" i="13" s="1"/>
  <c r="P8" i="10"/>
  <c r="P8" i="13" s="1"/>
  <c r="O8" i="10"/>
  <c r="O8" i="13" s="1"/>
  <c r="N8" i="10"/>
  <c r="N8" i="13" s="1"/>
  <c r="M8" i="10"/>
  <c r="M8" i="13" s="1"/>
  <c r="L8" i="10"/>
  <c r="L8" i="13" s="1"/>
  <c r="K8" i="10"/>
  <c r="K8" i="13" s="1"/>
  <c r="J8" i="10"/>
  <c r="J8" i="13" s="1"/>
  <c r="I8" i="10"/>
  <c r="I8" i="13" s="1"/>
  <c r="H8" i="10"/>
  <c r="H8" i="13" s="1"/>
  <c r="G8" i="10"/>
  <c r="G8" i="13" s="1"/>
  <c r="F8" i="10"/>
  <c r="F8" i="13" s="1"/>
  <c r="E8" i="10"/>
  <c r="E8" i="13" s="1"/>
  <c r="D8" i="10"/>
  <c r="D8" i="13" s="1"/>
  <c r="C8" i="10"/>
  <c r="C8" i="13" s="1"/>
  <c r="B8" i="10"/>
  <c r="B8" i="13" s="1"/>
  <c r="AO7" i="10"/>
  <c r="AN7" i="10"/>
  <c r="AM7" i="10"/>
  <c r="AL7" i="10"/>
  <c r="AK7" i="10"/>
  <c r="AJ7" i="10"/>
  <c r="AI7" i="10"/>
  <c r="AH7" i="10"/>
  <c r="AG7" i="10"/>
  <c r="AF7" i="10"/>
  <c r="AE7" i="10"/>
  <c r="J7" i="4" s="1"/>
  <c r="AD7" i="10"/>
  <c r="AC7" i="10"/>
  <c r="AB7" i="10"/>
  <c r="AA7" i="10"/>
  <c r="Z7" i="10"/>
  <c r="Y7" i="10"/>
  <c r="X7" i="10"/>
  <c r="W7" i="10"/>
  <c r="V7" i="10"/>
  <c r="U7" i="10"/>
  <c r="T7" i="10"/>
  <c r="S7" i="10"/>
  <c r="S7" i="13" s="1"/>
  <c r="R7" i="10"/>
  <c r="R7" i="13" s="1"/>
  <c r="Q7" i="10"/>
  <c r="Q7" i="13" s="1"/>
  <c r="P7" i="10"/>
  <c r="P7" i="13" s="1"/>
  <c r="O7" i="10"/>
  <c r="O7" i="13" s="1"/>
  <c r="N7" i="10"/>
  <c r="N7" i="13" s="1"/>
  <c r="M7" i="10"/>
  <c r="M7" i="13" s="1"/>
  <c r="L7" i="10"/>
  <c r="L7" i="13" s="1"/>
  <c r="K7" i="10"/>
  <c r="K7" i="13" s="1"/>
  <c r="J7" i="10"/>
  <c r="J7" i="13" s="1"/>
  <c r="I7" i="10"/>
  <c r="I7" i="13" s="1"/>
  <c r="H7" i="10"/>
  <c r="H7" i="13" s="1"/>
  <c r="G7" i="10"/>
  <c r="G7" i="13" s="1"/>
  <c r="F7" i="10"/>
  <c r="F7" i="13" s="1"/>
  <c r="E7" i="10"/>
  <c r="E7" i="13" s="1"/>
  <c r="D7" i="10"/>
  <c r="D7" i="13" s="1"/>
  <c r="C7" i="10"/>
  <c r="C7" i="13" s="1"/>
  <c r="B7" i="10"/>
  <c r="B7" i="13" s="1"/>
  <c r="AO6" i="10"/>
  <c r="AN6" i="10"/>
  <c r="AM6" i="10"/>
  <c r="AL6" i="10"/>
  <c r="AK6" i="10"/>
  <c r="AJ6" i="10"/>
  <c r="AI6" i="10"/>
  <c r="K6" i="4" s="1"/>
  <c r="AH6" i="10"/>
  <c r="AG6" i="10"/>
  <c r="AF6" i="10"/>
  <c r="AE6" i="10"/>
  <c r="AD6" i="10"/>
  <c r="AC6" i="10"/>
  <c r="AB6" i="10"/>
  <c r="AA6" i="10"/>
  <c r="Z6" i="10"/>
  <c r="Y6" i="10"/>
  <c r="X6" i="10"/>
  <c r="W6" i="10"/>
  <c r="H6" i="4" s="1"/>
  <c r="V6" i="10"/>
  <c r="U6" i="10"/>
  <c r="T6" i="10"/>
  <c r="S6" i="10"/>
  <c r="S6" i="13" s="1"/>
  <c r="R6" i="10"/>
  <c r="R6" i="13" s="1"/>
  <c r="Q6" i="10"/>
  <c r="Q6" i="13" s="1"/>
  <c r="P6" i="10"/>
  <c r="P6" i="13" s="1"/>
  <c r="O6" i="10"/>
  <c r="O6" i="13" s="1"/>
  <c r="N6" i="10"/>
  <c r="N6" i="13" s="1"/>
  <c r="M6" i="10"/>
  <c r="M6" i="13" s="1"/>
  <c r="L6" i="10"/>
  <c r="L6" i="13" s="1"/>
  <c r="K6" i="10"/>
  <c r="K6" i="13" s="1"/>
  <c r="J6" i="10"/>
  <c r="J6" i="13" s="1"/>
  <c r="I6" i="10"/>
  <c r="I6" i="13" s="1"/>
  <c r="H6" i="10"/>
  <c r="H6" i="13" s="1"/>
  <c r="G6" i="10"/>
  <c r="G6" i="13" s="1"/>
  <c r="F6" i="10"/>
  <c r="F6" i="13" s="1"/>
  <c r="E6" i="10"/>
  <c r="E6" i="13" s="1"/>
  <c r="D6" i="10"/>
  <c r="D6" i="13" s="1"/>
  <c r="C6" i="10"/>
  <c r="C6" i="13" s="1"/>
  <c r="B6" i="10"/>
  <c r="B6" i="13" s="1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O4" i="10"/>
  <c r="L4" i="4" s="1"/>
  <c r="AN4" i="10"/>
  <c r="AM4" i="10"/>
  <c r="AL4" i="10"/>
  <c r="AK4" i="10"/>
  <c r="AJ4" i="10"/>
  <c r="AI4" i="10"/>
  <c r="AH4" i="10"/>
  <c r="AG4" i="10"/>
  <c r="AF4" i="10"/>
  <c r="AE4" i="10"/>
  <c r="AD4" i="10"/>
  <c r="J4" i="4" s="1"/>
  <c r="AC4" i="10"/>
  <c r="AB4" i="10"/>
  <c r="AA4" i="10"/>
  <c r="Z4" i="10"/>
  <c r="Y4" i="10"/>
  <c r="X4" i="10"/>
  <c r="W4" i="10"/>
  <c r="H4" i="4" s="1"/>
  <c r="V4" i="10"/>
  <c r="U4" i="10"/>
  <c r="T4" i="10"/>
  <c r="S4" i="10"/>
  <c r="S4" i="13" s="1"/>
  <c r="R4" i="10"/>
  <c r="R4" i="13" s="1"/>
  <c r="Q4" i="10"/>
  <c r="Q4" i="13" s="1"/>
  <c r="P4" i="10"/>
  <c r="P4" i="13" s="1"/>
  <c r="O4" i="10"/>
  <c r="O4" i="13" s="1"/>
  <c r="N4" i="10"/>
  <c r="N4" i="13" s="1"/>
  <c r="M4" i="10"/>
  <c r="M4" i="13" s="1"/>
  <c r="L4" i="10"/>
  <c r="L4" i="13" s="1"/>
  <c r="K4" i="10"/>
  <c r="K4" i="13" s="1"/>
  <c r="J4" i="10"/>
  <c r="J4" i="13" s="1"/>
  <c r="I4" i="10"/>
  <c r="I4" i="13" s="1"/>
  <c r="H4" i="10"/>
  <c r="H4" i="13" s="1"/>
  <c r="G4" i="10"/>
  <c r="G4" i="13" s="1"/>
  <c r="F4" i="10"/>
  <c r="F4" i="13" s="1"/>
  <c r="E4" i="10"/>
  <c r="E4" i="13" s="1"/>
  <c r="D4" i="10"/>
  <c r="D4" i="13" s="1"/>
  <c r="C4" i="10"/>
  <c r="C4" i="13" s="1"/>
  <c r="B4" i="10"/>
  <c r="B4" i="13" s="1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S2" i="10"/>
  <c r="S2" i="13" s="1"/>
  <c r="R2" i="10"/>
  <c r="R2" i="13" s="1"/>
  <c r="Q2" i="10"/>
  <c r="Q2" i="13" s="1"/>
  <c r="P2" i="10"/>
  <c r="P2" i="13" s="1"/>
  <c r="O2" i="10"/>
  <c r="O2" i="13" s="1"/>
  <c r="N2" i="10"/>
  <c r="N2" i="13" s="1"/>
  <c r="M2" i="10"/>
  <c r="M2" i="13" s="1"/>
  <c r="L2" i="10"/>
  <c r="L2" i="13" s="1"/>
  <c r="K2" i="10"/>
  <c r="K2" i="13" s="1"/>
  <c r="J2" i="10"/>
  <c r="J2" i="13" s="1"/>
  <c r="I2" i="10"/>
  <c r="I2" i="13" s="1"/>
  <c r="H2" i="10"/>
  <c r="H2" i="13" s="1"/>
  <c r="G2" i="10"/>
  <c r="G2" i="13" s="1"/>
  <c r="F2" i="10"/>
  <c r="F2" i="13" s="1"/>
  <c r="E2" i="10"/>
  <c r="E2" i="13" s="1"/>
  <c r="D2" i="10"/>
  <c r="D2" i="13" s="1"/>
  <c r="C2" i="10"/>
  <c r="C2" i="13" s="1"/>
  <c r="B2" i="10"/>
  <c r="B2" i="13" s="1"/>
  <c r="Z27" i="9"/>
  <c r="X27" i="9"/>
  <c r="W27" i="9"/>
  <c r="V27" i="9"/>
  <c r="T27" i="9"/>
  <c r="R27" i="9"/>
  <c r="Q27" i="9"/>
  <c r="P27" i="9"/>
  <c r="P23" i="12" s="1"/>
  <c r="Q23" i="12" s="1"/>
  <c r="R23" i="12" s="1"/>
  <c r="S23" i="12" s="1"/>
  <c r="T23" i="12" s="1"/>
  <c r="U23" i="12" s="1"/>
  <c r="V23" i="12" s="1"/>
  <c r="W23" i="12" s="1"/>
  <c r="X23" i="12" s="1"/>
  <c r="Y23" i="12" s="1"/>
  <c r="Z23" i="12" s="1"/>
  <c r="AA23" i="12" s="1"/>
  <c r="AB23" i="12" s="1"/>
  <c r="AB27" i="9" s="1"/>
  <c r="O27" i="9"/>
  <c r="O23" i="12" s="1"/>
  <c r="N27" i="9"/>
  <c r="N23" i="12" s="1"/>
  <c r="M27" i="9"/>
  <c r="M23" i="12" s="1"/>
  <c r="L27" i="9"/>
  <c r="L23" i="12" s="1"/>
  <c r="K27" i="9"/>
  <c r="K23" i="12" s="1"/>
  <c r="J27" i="9"/>
  <c r="J23" i="12" s="1"/>
  <c r="I27" i="9"/>
  <c r="I23" i="12" s="1"/>
  <c r="H27" i="9"/>
  <c r="H23" i="12" s="1"/>
  <c r="G27" i="9"/>
  <c r="G23" i="12" s="1"/>
  <c r="F27" i="9"/>
  <c r="F23" i="12" s="1"/>
  <c r="E27" i="9"/>
  <c r="E23" i="12" s="1"/>
  <c r="D27" i="9"/>
  <c r="D23" i="12" s="1"/>
  <c r="C27" i="9"/>
  <c r="C23" i="12" s="1"/>
  <c r="B27" i="9"/>
  <c r="B23" i="12" s="1"/>
  <c r="P26" i="9"/>
  <c r="P22" i="12" s="1"/>
  <c r="O26" i="9"/>
  <c r="O22" i="12" s="1"/>
  <c r="N26" i="9"/>
  <c r="N22" i="12" s="1"/>
  <c r="M26" i="9"/>
  <c r="M22" i="12" s="1"/>
  <c r="L26" i="9"/>
  <c r="L22" i="12" s="1"/>
  <c r="K26" i="9"/>
  <c r="K22" i="12" s="1"/>
  <c r="J26" i="9"/>
  <c r="J22" i="12" s="1"/>
  <c r="I26" i="9"/>
  <c r="I22" i="12" s="1"/>
  <c r="H26" i="9"/>
  <c r="H22" i="12" s="1"/>
  <c r="G26" i="9"/>
  <c r="G22" i="12" s="1"/>
  <c r="F26" i="9"/>
  <c r="F22" i="12" s="1"/>
  <c r="E26" i="9"/>
  <c r="E22" i="12" s="1"/>
  <c r="D26" i="9"/>
  <c r="D22" i="12" s="1"/>
  <c r="C26" i="9"/>
  <c r="C22" i="12" s="1"/>
  <c r="B26" i="9"/>
  <c r="B22" i="12" s="1"/>
  <c r="P25" i="9"/>
  <c r="P21" i="12" s="1"/>
  <c r="Q21" i="12" s="1"/>
  <c r="O25" i="9"/>
  <c r="O21" i="12" s="1"/>
  <c r="N25" i="9"/>
  <c r="N21" i="12" s="1"/>
  <c r="M25" i="9"/>
  <c r="M21" i="12" s="1"/>
  <c r="L25" i="9"/>
  <c r="L21" i="12" s="1"/>
  <c r="K25" i="9"/>
  <c r="K21" i="12" s="1"/>
  <c r="J25" i="9"/>
  <c r="J21" i="12" s="1"/>
  <c r="I25" i="9"/>
  <c r="I21" i="12" s="1"/>
  <c r="H25" i="9"/>
  <c r="H21" i="12" s="1"/>
  <c r="G25" i="9"/>
  <c r="G21" i="12" s="1"/>
  <c r="F25" i="9"/>
  <c r="F21" i="12" s="1"/>
  <c r="E25" i="9"/>
  <c r="E21" i="12" s="1"/>
  <c r="D25" i="9"/>
  <c r="D21" i="12" s="1"/>
  <c r="C25" i="9"/>
  <c r="C21" i="12" s="1"/>
  <c r="B25" i="9"/>
  <c r="B21" i="12" s="1"/>
  <c r="P24" i="9"/>
  <c r="P20" i="12" s="1"/>
  <c r="O24" i="9"/>
  <c r="O20" i="12" s="1"/>
  <c r="N24" i="9"/>
  <c r="N20" i="12" s="1"/>
  <c r="M24" i="9"/>
  <c r="M20" i="12" s="1"/>
  <c r="L24" i="9"/>
  <c r="L20" i="12" s="1"/>
  <c r="K24" i="9"/>
  <c r="K20" i="12" s="1"/>
  <c r="J24" i="9"/>
  <c r="J20" i="12" s="1"/>
  <c r="I24" i="9"/>
  <c r="I20" i="12" s="1"/>
  <c r="H24" i="9"/>
  <c r="H20" i="12" s="1"/>
  <c r="G24" i="9"/>
  <c r="G20" i="12" s="1"/>
  <c r="F24" i="9"/>
  <c r="F20" i="12" s="1"/>
  <c r="E24" i="9"/>
  <c r="E20" i="12" s="1"/>
  <c r="D24" i="9"/>
  <c r="D20" i="12" s="1"/>
  <c r="C24" i="9"/>
  <c r="C20" i="12" s="1"/>
  <c r="B24" i="9"/>
  <c r="B20" i="12" s="1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P19" i="12" s="1"/>
  <c r="O23" i="9"/>
  <c r="O19" i="12" s="1"/>
  <c r="N23" i="9"/>
  <c r="N19" i="12" s="1"/>
  <c r="M23" i="9"/>
  <c r="M19" i="12" s="1"/>
  <c r="L23" i="9"/>
  <c r="L19" i="12" s="1"/>
  <c r="K23" i="9"/>
  <c r="K19" i="12" s="1"/>
  <c r="J23" i="9"/>
  <c r="J19" i="12" s="1"/>
  <c r="I23" i="9"/>
  <c r="I19" i="12" s="1"/>
  <c r="H23" i="9"/>
  <c r="H19" i="12" s="1"/>
  <c r="G23" i="9"/>
  <c r="G19" i="12" s="1"/>
  <c r="F23" i="9"/>
  <c r="F19" i="12" s="1"/>
  <c r="E23" i="9"/>
  <c r="E19" i="12" s="1"/>
  <c r="D23" i="9"/>
  <c r="D19" i="12" s="1"/>
  <c r="C23" i="9"/>
  <c r="C19" i="12" s="1"/>
  <c r="B23" i="9"/>
  <c r="B19" i="12" s="1"/>
  <c r="P22" i="9"/>
  <c r="P18" i="12" s="1"/>
  <c r="O22" i="9"/>
  <c r="O18" i="12" s="1"/>
  <c r="N22" i="9"/>
  <c r="N18" i="12" s="1"/>
  <c r="M22" i="9"/>
  <c r="M18" i="12" s="1"/>
  <c r="L22" i="9"/>
  <c r="L18" i="12" s="1"/>
  <c r="K22" i="9"/>
  <c r="K18" i="12" s="1"/>
  <c r="J22" i="9"/>
  <c r="J18" i="12" s="1"/>
  <c r="I22" i="9"/>
  <c r="I18" i="12" s="1"/>
  <c r="H22" i="9"/>
  <c r="H18" i="12" s="1"/>
  <c r="G22" i="9"/>
  <c r="G18" i="12" s="1"/>
  <c r="F22" i="9"/>
  <c r="F18" i="12" s="1"/>
  <c r="E22" i="9"/>
  <c r="E18" i="12" s="1"/>
  <c r="D22" i="9"/>
  <c r="D18" i="12" s="1"/>
  <c r="C22" i="9"/>
  <c r="C18" i="12" s="1"/>
  <c r="B22" i="9"/>
  <c r="B18" i="12" s="1"/>
  <c r="P21" i="9"/>
  <c r="P17" i="12" s="1"/>
  <c r="Q17" i="12" s="1"/>
  <c r="R17" i="12" s="1"/>
  <c r="S17" i="12" s="1"/>
  <c r="T17" i="12" s="1"/>
  <c r="U17" i="12" s="1"/>
  <c r="V17" i="12" s="1"/>
  <c r="W17" i="12" s="1"/>
  <c r="X17" i="12" s="1"/>
  <c r="Y17" i="12" s="1"/>
  <c r="Z17" i="12" s="1"/>
  <c r="AA17" i="12" s="1"/>
  <c r="AB17" i="12" s="1"/>
  <c r="AC17" i="12" s="1"/>
  <c r="AD17" i="12" s="1"/>
  <c r="AE17" i="12" s="1"/>
  <c r="AF17" i="12" s="1"/>
  <c r="AG17" i="12" s="1"/>
  <c r="AH17" i="12" s="1"/>
  <c r="AI17" i="12" s="1"/>
  <c r="AJ17" i="12" s="1"/>
  <c r="AK17" i="12" s="1"/>
  <c r="AL17" i="12" s="1"/>
  <c r="AL21" i="9" s="1"/>
  <c r="K21" i="3" s="1"/>
  <c r="O21" i="9"/>
  <c r="O17" i="12" s="1"/>
  <c r="N21" i="9"/>
  <c r="N17" i="12" s="1"/>
  <c r="M21" i="9"/>
  <c r="M17" i="12" s="1"/>
  <c r="L21" i="9"/>
  <c r="L17" i="12" s="1"/>
  <c r="K21" i="9"/>
  <c r="K17" i="12" s="1"/>
  <c r="J21" i="9"/>
  <c r="J17" i="12" s="1"/>
  <c r="I21" i="9"/>
  <c r="I17" i="12" s="1"/>
  <c r="H21" i="9"/>
  <c r="H17" i="12" s="1"/>
  <c r="G21" i="9"/>
  <c r="G17" i="12" s="1"/>
  <c r="F21" i="9"/>
  <c r="F17" i="12" s="1"/>
  <c r="E21" i="9"/>
  <c r="E17" i="12" s="1"/>
  <c r="D21" i="9"/>
  <c r="D17" i="12" s="1"/>
  <c r="C21" i="9"/>
  <c r="C17" i="12" s="1"/>
  <c r="B21" i="9"/>
  <c r="B17" i="12" s="1"/>
  <c r="P20" i="9"/>
  <c r="P16" i="12" s="1"/>
  <c r="Q16" i="12" s="1"/>
  <c r="O20" i="9"/>
  <c r="O16" i="12" s="1"/>
  <c r="N20" i="9"/>
  <c r="N16" i="12" s="1"/>
  <c r="M20" i="9"/>
  <c r="M16" i="12" s="1"/>
  <c r="L20" i="9"/>
  <c r="L16" i="12" s="1"/>
  <c r="K20" i="9"/>
  <c r="K16" i="12" s="1"/>
  <c r="J20" i="9"/>
  <c r="J16" i="12" s="1"/>
  <c r="I20" i="9"/>
  <c r="I16" i="12" s="1"/>
  <c r="H20" i="9"/>
  <c r="H16" i="12" s="1"/>
  <c r="G20" i="9"/>
  <c r="G16" i="12" s="1"/>
  <c r="F20" i="9"/>
  <c r="F16" i="12" s="1"/>
  <c r="E20" i="9"/>
  <c r="E16" i="12" s="1"/>
  <c r="D20" i="9"/>
  <c r="D16" i="12" s="1"/>
  <c r="C20" i="9"/>
  <c r="C16" i="12" s="1"/>
  <c r="B20" i="9"/>
  <c r="B16" i="12" s="1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P17" i="9"/>
  <c r="P14" i="12" s="1"/>
  <c r="Q14" i="12" s="1"/>
  <c r="O17" i="9"/>
  <c r="O14" i="12" s="1"/>
  <c r="N17" i="9"/>
  <c r="N14" i="12" s="1"/>
  <c r="M17" i="9"/>
  <c r="M14" i="12" s="1"/>
  <c r="L17" i="9"/>
  <c r="L14" i="12" s="1"/>
  <c r="K17" i="9"/>
  <c r="K14" i="12" s="1"/>
  <c r="J17" i="9"/>
  <c r="J14" i="12" s="1"/>
  <c r="I17" i="9"/>
  <c r="I14" i="12" s="1"/>
  <c r="H17" i="9"/>
  <c r="H14" i="12" s="1"/>
  <c r="G17" i="9"/>
  <c r="G14" i="12" s="1"/>
  <c r="F17" i="9"/>
  <c r="F14" i="12" s="1"/>
  <c r="E17" i="9"/>
  <c r="E14" i="12" s="1"/>
  <c r="D17" i="9"/>
  <c r="D14" i="12" s="1"/>
  <c r="C17" i="9"/>
  <c r="C14" i="12" s="1"/>
  <c r="B17" i="9"/>
  <c r="B14" i="12" s="1"/>
  <c r="P16" i="9"/>
  <c r="P13" i="12" s="1"/>
  <c r="Q13" i="12" s="1"/>
  <c r="O16" i="9"/>
  <c r="O13" i="12" s="1"/>
  <c r="N16" i="9"/>
  <c r="N13" i="12" s="1"/>
  <c r="M16" i="9"/>
  <c r="M13" i="12" s="1"/>
  <c r="L16" i="9"/>
  <c r="L13" i="12" s="1"/>
  <c r="K16" i="9"/>
  <c r="K13" i="12" s="1"/>
  <c r="J16" i="9"/>
  <c r="J13" i="12" s="1"/>
  <c r="I16" i="9"/>
  <c r="I13" i="12" s="1"/>
  <c r="H16" i="9"/>
  <c r="H13" i="12" s="1"/>
  <c r="G16" i="9"/>
  <c r="G13" i="12" s="1"/>
  <c r="F16" i="9"/>
  <c r="F13" i="12" s="1"/>
  <c r="E16" i="9"/>
  <c r="E13" i="12" s="1"/>
  <c r="D16" i="9"/>
  <c r="D13" i="12" s="1"/>
  <c r="C16" i="9"/>
  <c r="C13" i="12" s="1"/>
  <c r="B16" i="9"/>
  <c r="B13" i="12" s="1"/>
  <c r="P14" i="9"/>
  <c r="P12" i="12" s="1"/>
  <c r="Q12" i="12" s="1"/>
  <c r="R12" i="12" s="1"/>
  <c r="S12" i="12" s="1"/>
  <c r="T12" i="12" s="1"/>
  <c r="O14" i="9"/>
  <c r="O12" i="12" s="1"/>
  <c r="N14" i="9"/>
  <c r="N12" i="12" s="1"/>
  <c r="M14" i="9"/>
  <c r="M12" i="12" s="1"/>
  <c r="L14" i="9"/>
  <c r="L12" i="12" s="1"/>
  <c r="K14" i="9"/>
  <c r="K12" i="12" s="1"/>
  <c r="J14" i="9"/>
  <c r="J12" i="12" s="1"/>
  <c r="I14" i="9"/>
  <c r="I12" i="12" s="1"/>
  <c r="H14" i="9"/>
  <c r="H12" i="12" s="1"/>
  <c r="G14" i="9"/>
  <c r="G12" i="12" s="1"/>
  <c r="F14" i="9"/>
  <c r="F12" i="12" s="1"/>
  <c r="E14" i="9"/>
  <c r="E12" i="12" s="1"/>
  <c r="D14" i="9"/>
  <c r="D12" i="12" s="1"/>
  <c r="C14" i="9"/>
  <c r="C12" i="12" s="1"/>
  <c r="B14" i="9"/>
  <c r="B12" i="12" s="1"/>
  <c r="P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B10" i="9"/>
  <c r="Q9" i="9"/>
  <c r="P9" i="9"/>
  <c r="P8" i="12" s="1"/>
  <c r="Q8" i="12" s="1"/>
  <c r="R8" i="12" s="1"/>
  <c r="O9" i="9"/>
  <c r="O8" i="12" s="1"/>
  <c r="N9" i="9"/>
  <c r="N8" i="12" s="1"/>
  <c r="M9" i="9"/>
  <c r="M8" i="12" s="1"/>
  <c r="L9" i="9"/>
  <c r="L8" i="12" s="1"/>
  <c r="K9" i="9"/>
  <c r="K8" i="12" s="1"/>
  <c r="J9" i="9"/>
  <c r="J8" i="12" s="1"/>
  <c r="I9" i="9"/>
  <c r="I8" i="12" s="1"/>
  <c r="H9" i="9"/>
  <c r="H8" i="12" s="1"/>
  <c r="G9" i="9"/>
  <c r="G8" i="12" s="1"/>
  <c r="F9" i="9"/>
  <c r="F8" i="12" s="1"/>
  <c r="E9" i="9"/>
  <c r="E8" i="12" s="1"/>
  <c r="D9" i="9"/>
  <c r="D8" i="12" s="1"/>
  <c r="C9" i="9"/>
  <c r="C8" i="12" s="1"/>
  <c r="B9" i="9"/>
  <c r="B8" i="12" s="1"/>
  <c r="P8" i="9"/>
  <c r="P7" i="12" s="1"/>
  <c r="Q7" i="12" s="1"/>
  <c r="R7" i="12" s="1"/>
  <c r="S7" i="12" s="1"/>
  <c r="O8" i="9"/>
  <c r="O7" i="12" s="1"/>
  <c r="N8" i="9"/>
  <c r="N7" i="12" s="1"/>
  <c r="M8" i="9"/>
  <c r="M7" i="12" s="1"/>
  <c r="L8" i="9"/>
  <c r="L7" i="12" s="1"/>
  <c r="K8" i="9"/>
  <c r="K7" i="12" s="1"/>
  <c r="J8" i="9"/>
  <c r="J7" i="12" s="1"/>
  <c r="I8" i="9"/>
  <c r="I7" i="12" s="1"/>
  <c r="H8" i="9"/>
  <c r="H7" i="12" s="1"/>
  <c r="G8" i="9"/>
  <c r="G7" i="12" s="1"/>
  <c r="F8" i="9"/>
  <c r="F7" i="12" s="1"/>
  <c r="E8" i="9"/>
  <c r="E7" i="12" s="1"/>
  <c r="D8" i="9"/>
  <c r="D7" i="12" s="1"/>
  <c r="C8" i="9"/>
  <c r="C7" i="12" s="1"/>
  <c r="B8" i="9"/>
  <c r="B7" i="12" s="1"/>
  <c r="P7" i="9"/>
  <c r="P6" i="12" s="1"/>
  <c r="O7" i="9"/>
  <c r="O6" i="12" s="1"/>
  <c r="N7" i="9"/>
  <c r="N6" i="12" s="1"/>
  <c r="M7" i="9"/>
  <c r="M6" i="12" s="1"/>
  <c r="L7" i="9"/>
  <c r="L6" i="12" s="1"/>
  <c r="K7" i="9"/>
  <c r="K6" i="12" s="1"/>
  <c r="J7" i="9"/>
  <c r="J6" i="12" s="1"/>
  <c r="I7" i="9"/>
  <c r="I6" i="12" s="1"/>
  <c r="H7" i="9"/>
  <c r="H6" i="12" s="1"/>
  <c r="G7" i="9"/>
  <c r="G6" i="12" s="1"/>
  <c r="F7" i="9"/>
  <c r="F6" i="12" s="1"/>
  <c r="E7" i="9"/>
  <c r="E6" i="12" s="1"/>
  <c r="D7" i="9"/>
  <c r="D6" i="12" s="1"/>
  <c r="C7" i="9"/>
  <c r="C6" i="12" s="1"/>
  <c r="B7" i="9"/>
  <c r="B6" i="12" s="1"/>
  <c r="P5" i="9"/>
  <c r="O5" i="9"/>
  <c r="N5" i="9"/>
  <c r="M5" i="9"/>
  <c r="M5" i="12" s="1"/>
  <c r="L5" i="9"/>
  <c r="K5" i="9"/>
  <c r="J5" i="9"/>
  <c r="I5" i="9"/>
  <c r="H5" i="9"/>
  <c r="G5" i="9"/>
  <c r="F5" i="9"/>
  <c r="E5" i="9"/>
  <c r="D5" i="9"/>
  <c r="C5" i="9"/>
  <c r="B5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B4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B3" i="9"/>
  <c r="P2" i="9"/>
  <c r="P2" i="12" s="1"/>
  <c r="O2" i="9"/>
  <c r="O2" i="12" s="1"/>
  <c r="N2" i="9"/>
  <c r="N2" i="12" s="1"/>
  <c r="M2" i="9"/>
  <c r="M2" i="12" s="1"/>
  <c r="L2" i="9"/>
  <c r="L2" i="12" s="1"/>
  <c r="K2" i="9"/>
  <c r="K2" i="12" s="1"/>
  <c r="J2" i="9"/>
  <c r="J2" i="12" s="1"/>
  <c r="I2" i="9"/>
  <c r="I2" i="12" s="1"/>
  <c r="H2" i="9"/>
  <c r="H2" i="12" s="1"/>
  <c r="G2" i="9"/>
  <c r="G2" i="12" s="1"/>
  <c r="F2" i="9"/>
  <c r="F2" i="12" s="1"/>
  <c r="E2" i="9"/>
  <c r="E2" i="12" s="1"/>
  <c r="D2" i="9"/>
  <c r="D2" i="12" s="1"/>
  <c r="C2" i="9"/>
  <c r="C2" i="12" s="1"/>
  <c r="B2" i="9"/>
  <c r="B2" i="12" s="1"/>
  <c r="S13" i="8"/>
  <c r="T9" i="11" s="1"/>
  <c r="U9" i="11" s="1"/>
  <c r="V9" i="11" s="1"/>
  <c r="W9" i="11" s="1"/>
  <c r="X9" i="11" s="1"/>
  <c r="R13" i="8"/>
  <c r="S9" i="11" s="1"/>
  <c r="Q13" i="8"/>
  <c r="R9" i="11" s="1"/>
  <c r="P13" i="8"/>
  <c r="Q9" i="11" s="1"/>
  <c r="O13" i="8"/>
  <c r="P9" i="11" s="1"/>
  <c r="N13" i="8"/>
  <c r="O9" i="11" s="1"/>
  <c r="M13" i="8"/>
  <c r="N9" i="11" s="1"/>
  <c r="L13" i="8"/>
  <c r="M9" i="11" s="1"/>
  <c r="K13" i="8"/>
  <c r="L9" i="11" s="1"/>
  <c r="J13" i="8"/>
  <c r="K9" i="11" s="1"/>
  <c r="I13" i="8"/>
  <c r="J9" i="11" s="1"/>
  <c r="H13" i="8"/>
  <c r="I9" i="11" s="1"/>
  <c r="G13" i="8"/>
  <c r="H9" i="11" s="1"/>
  <c r="F13" i="8"/>
  <c r="G9" i="11" s="1"/>
  <c r="E13" i="8"/>
  <c r="F9" i="11" s="1"/>
  <c r="D13" i="8"/>
  <c r="E9" i="11" s="1"/>
  <c r="C13" i="8"/>
  <c r="D9" i="11" s="1"/>
  <c r="B13" i="8"/>
  <c r="C9" i="11" s="1"/>
  <c r="S11" i="8"/>
  <c r="R11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S9" i="8"/>
  <c r="T7" i="11" s="1"/>
  <c r="U7" i="11" s="1"/>
  <c r="R9" i="8"/>
  <c r="S7" i="11" s="1"/>
  <c r="Q9" i="8"/>
  <c r="R7" i="11" s="1"/>
  <c r="P9" i="8"/>
  <c r="Q7" i="11" s="1"/>
  <c r="O9" i="8"/>
  <c r="P7" i="11" s="1"/>
  <c r="N9" i="8"/>
  <c r="O7" i="11" s="1"/>
  <c r="M9" i="8"/>
  <c r="N7" i="11" s="1"/>
  <c r="L9" i="8"/>
  <c r="M7" i="11" s="1"/>
  <c r="K9" i="8"/>
  <c r="L7" i="11" s="1"/>
  <c r="J9" i="8"/>
  <c r="K7" i="11" s="1"/>
  <c r="I9" i="8"/>
  <c r="J7" i="11" s="1"/>
  <c r="H9" i="8"/>
  <c r="I7" i="11" s="1"/>
  <c r="G9" i="8"/>
  <c r="H7" i="11" s="1"/>
  <c r="F9" i="8"/>
  <c r="G7" i="11" s="1"/>
  <c r="E9" i="8"/>
  <c r="F7" i="11" s="1"/>
  <c r="D9" i="8"/>
  <c r="E7" i="11" s="1"/>
  <c r="C9" i="8"/>
  <c r="D7" i="11" s="1"/>
  <c r="B9" i="8"/>
  <c r="C7" i="11" s="1"/>
  <c r="AO8" i="8"/>
  <c r="AM8" i="8"/>
  <c r="AL8" i="8"/>
  <c r="AH8" i="8"/>
  <c r="AD8" i="8"/>
  <c r="Z8" i="8"/>
  <c r="W8" i="8"/>
  <c r="V8" i="8"/>
  <c r="S8" i="8"/>
  <c r="T6" i="11" s="1"/>
  <c r="U6" i="11" s="1"/>
  <c r="V6" i="11" s="1"/>
  <c r="W6" i="11" s="1"/>
  <c r="X6" i="11" s="1"/>
  <c r="Y6" i="11" s="1"/>
  <c r="Z6" i="11" s="1"/>
  <c r="AA6" i="11" s="1"/>
  <c r="AB6" i="11" s="1"/>
  <c r="AC6" i="11" s="1"/>
  <c r="AD6" i="11" s="1"/>
  <c r="AE6" i="11" s="1"/>
  <c r="AF6" i="11" s="1"/>
  <c r="AG6" i="11" s="1"/>
  <c r="AH6" i="11" s="1"/>
  <c r="AI6" i="11" s="1"/>
  <c r="AJ6" i="11" s="1"/>
  <c r="AK6" i="11" s="1"/>
  <c r="AL6" i="11" s="1"/>
  <c r="AM6" i="11" s="1"/>
  <c r="AN6" i="11" s="1"/>
  <c r="AO6" i="11" s="1"/>
  <c r="AP6" i="11" s="1"/>
  <c r="R8" i="8"/>
  <c r="S6" i="11" s="1"/>
  <c r="Q8" i="8"/>
  <c r="R6" i="11" s="1"/>
  <c r="P8" i="8"/>
  <c r="Q6" i="11" s="1"/>
  <c r="O8" i="8"/>
  <c r="P6" i="11" s="1"/>
  <c r="N8" i="8"/>
  <c r="O6" i="11" s="1"/>
  <c r="M8" i="8"/>
  <c r="N6" i="11" s="1"/>
  <c r="L8" i="8"/>
  <c r="M6" i="11" s="1"/>
  <c r="K8" i="8"/>
  <c r="L6" i="11" s="1"/>
  <c r="J8" i="8"/>
  <c r="K6" i="11" s="1"/>
  <c r="I8" i="8"/>
  <c r="J6" i="11" s="1"/>
  <c r="H8" i="8"/>
  <c r="I6" i="11" s="1"/>
  <c r="G8" i="8"/>
  <c r="H6" i="11" s="1"/>
  <c r="F8" i="8"/>
  <c r="G6" i="11" s="1"/>
  <c r="E8" i="8"/>
  <c r="F6" i="11" s="1"/>
  <c r="D8" i="8"/>
  <c r="E6" i="11" s="1"/>
  <c r="C8" i="8"/>
  <c r="D6" i="11" s="1"/>
  <c r="B8" i="8"/>
  <c r="C6" i="11" s="1"/>
  <c r="S6" i="8"/>
  <c r="R6" i="8"/>
  <c r="Q6" i="8"/>
  <c r="P6" i="8"/>
  <c r="O6" i="8"/>
  <c r="N6" i="8"/>
  <c r="O5" i="11" s="1"/>
  <c r="M6" i="8"/>
  <c r="L6" i="8"/>
  <c r="K6" i="8"/>
  <c r="J6" i="8"/>
  <c r="K5" i="11" s="1"/>
  <c r="I6" i="8"/>
  <c r="H6" i="8"/>
  <c r="G6" i="8"/>
  <c r="F6" i="8"/>
  <c r="E6" i="8"/>
  <c r="D6" i="8"/>
  <c r="C6" i="8"/>
  <c r="B6" i="8"/>
  <c r="C5" i="11" s="1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S3" i="8"/>
  <c r="R3" i="8"/>
  <c r="Q3" i="8"/>
  <c r="P3" i="8"/>
  <c r="O3" i="8"/>
  <c r="N3" i="8"/>
  <c r="M3" i="8"/>
  <c r="L3" i="8"/>
  <c r="K3" i="8"/>
  <c r="J3" i="8"/>
  <c r="I3" i="8"/>
  <c r="J3" i="11" s="1"/>
  <c r="H3" i="8"/>
  <c r="G3" i="8"/>
  <c r="F3" i="8"/>
  <c r="E3" i="8"/>
  <c r="D3" i="8"/>
  <c r="C3" i="8"/>
  <c r="B3" i="8"/>
  <c r="S2" i="8"/>
  <c r="R2" i="8"/>
  <c r="Q2" i="8"/>
  <c r="P2" i="8"/>
  <c r="O2" i="8"/>
  <c r="N2" i="8"/>
  <c r="M2" i="8"/>
  <c r="N2" i="11" s="1"/>
  <c r="L2" i="8"/>
  <c r="K2" i="8"/>
  <c r="J2" i="8"/>
  <c r="I2" i="8"/>
  <c r="H2" i="8"/>
  <c r="G2" i="8"/>
  <c r="F2" i="8"/>
  <c r="E2" i="8"/>
  <c r="D2" i="8"/>
  <c r="C2" i="8"/>
  <c r="B2" i="8"/>
  <c r="O29" i="7"/>
  <c r="S29" i="10" s="1"/>
  <c r="N29" i="7"/>
  <c r="R29" i="10" s="1"/>
  <c r="M29" i="7"/>
  <c r="L29" i="7"/>
  <c r="K29" i="7"/>
  <c r="N29" i="10" s="1"/>
  <c r="J29" i="7"/>
  <c r="I29" i="7"/>
  <c r="H29" i="7"/>
  <c r="J29" i="10" s="1"/>
  <c r="G29" i="7"/>
  <c r="F29" i="7"/>
  <c r="E29" i="7"/>
  <c r="F29" i="10" s="1"/>
  <c r="D29" i="7"/>
  <c r="C29" i="7"/>
  <c r="B29" i="7"/>
  <c r="B29" i="10" s="1"/>
  <c r="O20" i="7"/>
  <c r="N20" i="7"/>
  <c r="R20" i="10" s="1"/>
  <c r="M20" i="7"/>
  <c r="P20" i="10" s="1"/>
  <c r="L20" i="7"/>
  <c r="K20" i="7"/>
  <c r="N20" i="10" s="1"/>
  <c r="J20" i="7"/>
  <c r="I20" i="7"/>
  <c r="H20" i="7"/>
  <c r="J20" i="10" s="1"/>
  <c r="G20" i="7"/>
  <c r="F20" i="7"/>
  <c r="E20" i="7"/>
  <c r="F20" i="10" s="1"/>
  <c r="D20" i="7"/>
  <c r="D20" i="10" s="1"/>
  <c r="C20" i="7"/>
  <c r="B20" i="7"/>
  <c r="B20" i="10" s="1"/>
  <c r="O14" i="7"/>
  <c r="N14" i="7"/>
  <c r="R14" i="10" s="1"/>
  <c r="M14" i="7"/>
  <c r="L14" i="7"/>
  <c r="K14" i="7"/>
  <c r="N14" i="10" s="1"/>
  <c r="J14" i="7"/>
  <c r="I14" i="7"/>
  <c r="I31" i="7" s="1"/>
  <c r="H14" i="7"/>
  <c r="G14" i="7"/>
  <c r="G31" i="7" s="1"/>
  <c r="F14" i="7"/>
  <c r="G14" i="10" s="1"/>
  <c r="E14" i="7"/>
  <c r="F14" i="10" s="1"/>
  <c r="D14" i="7"/>
  <c r="C14" i="7"/>
  <c r="B14" i="7"/>
  <c r="B14" i="10" s="1"/>
  <c r="P28" i="6"/>
  <c r="P28" i="9" s="1"/>
  <c r="O28" i="6"/>
  <c r="O28" i="9" s="1"/>
  <c r="N28" i="6"/>
  <c r="M28" i="6"/>
  <c r="M28" i="9" s="1"/>
  <c r="L28" i="6"/>
  <c r="L28" i="9" s="1"/>
  <c r="K28" i="6"/>
  <c r="K28" i="9" s="1"/>
  <c r="J28" i="6"/>
  <c r="I28" i="6"/>
  <c r="I28" i="9" s="1"/>
  <c r="H28" i="6"/>
  <c r="H28" i="9" s="1"/>
  <c r="G28" i="6"/>
  <c r="G28" i="9" s="1"/>
  <c r="F28" i="6"/>
  <c r="E28" i="6"/>
  <c r="E28" i="9" s="1"/>
  <c r="D28" i="6"/>
  <c r="D28" i="9" s="1"/>
  <c r="C28" i="6"/>
  <c r="C28" i="9" s="1"/>
  <c r="B28" i="6"/>
  <c r="L19" i="6"/>
  <c r="I19" i="6"/>
  <c r="P15" i="6"/>
  <c r="O15" i="6"/>
  <c r="N15" i="6"/>
  <c r="N19" i="6" s="1"/>
  <c r="N29" i="6" s="1"/>
  <c r="M15" i="6"/>
  <c r="M15" i="9" s="1"/>
  <c r="L15" i="6"/>
  <c r="L15" i="9" s="1"/>
  <c r="K15" i="6"/>
  <c r="K15" i="9" s="1"/>
  <c r="J15" i="6"/>
  <c r="J19" i="6" s="1"/>
  <c r="I15" i="6"/>
  <c r="I15" i="9" s="1"/>
  <c r="H15" i="6"/>
  <c r="G15" i="6"/>
  <c r="G15" i="9" s="1"/>
  <c r="F15" i="6"/>
  <c r="F19" i="6" s="1"/>
  <c r="F29" i="6" s="1"/>
  <c r="E15" i="6"/>
  <c r="E15" i="9" s="1"/>
  <c r="D15" i="6"/>
  <c r="C15" i="6"/>
  <c r="B15" i="6"/>
  <c r="B19" i="6" s="1"/>
  <c r="B29" i="6" s="1"/>
  <c r="P11" i="6"/>
  <c r="P11" i="9" s="1"/>
  <c r="E11" i="6"/>
  <c r="E11" i="9" s="1"/>
  <c r="D11" i="6"/>
  <c r="D11" i="9" s="1"/>
  <c r="P6" i="6"/>
  <c r="P6" i="9" s="1"/>
  <c r="O6" i="6"/>
  <c r="O6" i="9" s="1"/>
  <c r="N6" i="6"/>
  <c r="N11" i="6" s="1"/>
  <c r="M6" i="6"/>
  <c r="M11" i="6" s="1"/>
  <c r="M11" i="9" s="1"/>
  <c r="L6" i="6"/>
  <c r="L11" i="6" s="1"/>
  <c r="L11" i="9" s="1"/>
  <c r="K6" i="6"/>
  <c r="K6" i="9" s="1"/>
  <c r="J6" i="6"/>
  <c r="J11" i="6" s="1"/>
  <c r="I6" i="6"/>
  <c r="H6" i="6"/>
  <c r="H11" i="6" s="1"/>
  <c r="H11" i="9" s="1"/>
  <c r="G6" i="6"/>
  <c r="G6" i="9" s="1"/>
  <c r="F6" i="6"/>
  <c r="F11" i="6" s="1"/>
  <c r="E6" i="6"/>
  <c r="E6" i="9" s="1"/>
  <c r="D6" i="6"/>
  <c r="D6" i="9" s="1"/>
  <c r="C6" i="6"/>
  <c r="C6" i="9" s="1"/>
  <c r="B6" i="6"/>
  <c r="B11" i="6" s="1"/>
  <c r="J7" i="5"/>
  <c r="O4" i="5"/>
  <c r="O7" i="5" s="1"/>
  <c r="O10" i="5" s="1"/>
  <c r="N4" i="5"/>
  <c r="R4" i="8" s="1"/>
  <c r="M4" i="5"/>
  <c r="M7" i="5" s="1"/>
  <c r="L4" i="5"/>
  <c r="K4" i="5"/>
  <c r="K7" i="5" s="1"/>
  <c r="J4" i="5"/>
  <c r="I4" i="5"/>
  <c r="I7" i="5" s="1"/>
  <c r="I10" i="5" s="1"/>
  <c r="H4" i="5"/>
  <c r="G4" i="5"/>
  <c r="G7" i="5" s="1"/>
  <c r="F4" i="5"/>
  <c r="F7" i="5" s="1"/>
  <c r="E4" i="5"/>
  <c r="F4" i="8" s="1"/>
  <c r="D4" i="5"/>
  <c r="D7" i="5" s="1"/>
  <c r="C4" i="5"/>
  <c r="C7" i="5" s="1"/>
  <c r="C10" i="5" s="1"/>
  <c r="B4" i="5"/>
  <c r="B4" i="8" s="1"/>
  <c r="F28" i="4"/>
  <c r="Q29" i="10" s="1"/>
  <c r="E28" i="4"/>
  <c r="D28" i="4"/>
  <c r="I29" i="10" s="1"/>
  <c r="C28" i="4"/>
  <c r="B28" i="4"/>
  <c r="L27" i="4"/>
  <c r="K27" i="4"/>
  <c r="J27" i="4"/>
  <c r="I27" i="4"/>
  <c r="H27" i="4"/>
  <c r="G27" i="4"/>
  <c r="L26" i="4"/>
  <c r="K26" i="4"/>
  <c r="J26" i="4"/>
  <c r="I26" i="4"/>
  <c r="H26" i="4"/>
  <c r="G26" i="4"/>
  <c r="L25" i="4"/>
  <c r="K25" i="4"/>
  <c r="J25" i="4"/>
  <c r="I25" i="4"/>
  <c r="H25" i="4"/>
  <c r="G25" i="4"/>
  <c r="L24" i="4"/>
  <c r="K24" i="4"/>
  <c r="J24" i="4"/>
  <c r="I24" i="4"/>
  <c r="H24" i="4"/>
  <c r="G24" i="4"/>
  <c r="L23" i="4"/>
  <c r="K23" i="4"/>
  <c r="J23" i="4"/>
  <c r="I23" i="4"/>
  <c r="H23" i="4"/>
  <c r="G23" i="4"/>
  <c r="L22" i="4"/>
  <c r="K22" i="4"/>
  <c r="J22" i="4"/>
  <c r="I22" i="4"/>
  <c r="H22" i="4"/>
  <c r="G22" i="4"/>
  <c r="L21" i="4"/>
  <c r="K21" i="4"/>
  <c r="J21" i="4"/>
  <c r="I21" i="4"/>
  <c r="H21" i="4"/>
  <c r="G21" i="4"/>
  <c r="F19" i="4"/>
  <c r="E19" i="4"/>
  <c r="D19" i="4"/>
  <c r="C19" i="4"/>
  <c r="E20" i="10" s="1"/>
  <c r="B19" i="4"/>
  <c r="L18" i="4"/>
  <c r="K18" i="4"/>
  <c r="J18" i="4"/>
  <c r="I18" i="4"/>
  <c r="H18" i="4"/>
  <c r="G18" i="4"/>
  <c r="L17" i="4"/>
  <c r="K17" i="4"/>
  <c r="J17" i="4"/>
  <c r="I17" i="4"/>
  <c r="H17" i="4"/>
  <c r="G17" i="4"/>
  <c r="L16" i="4"/>
  <c r="J16" i="4"/>
  <c r="I16" i="4"/>
  <c r="H16" i="4"/>
  <c r="G16" i="4"/>
  <c r="F14" i="4"/>
  <c r="E14" i="4"/>
  <c r="E30" i="4" s="1"/>
  <c r="D14" i="4"/>
  <c r="C14" i="4"/>
  <c r="B14" i="4"/>
  <c r="B30" i="4" s="1"/>
  <c r="L13" i="4"/>
  <c r="K13" i="4"/>
  <c r="I13" i="4"/>
  <c r="H13" i="4"/>
  <c r="G13" i="4"/>
  <c r="L8" i="4"/>
  <c r="K8" i="4"/>
  <c r="J8" i="4"/>
  <c r="I8" i="4"/>
  <c r="H8" i="4"/>
  <c r="G8" i="4"/>
  <c r="L7" i="4"/>
  <c r="K7" i="4"/>
  <c r="I7" i="4"/>
  <c r="H7" i="4"/>
  <c r="G7" i="4"/>
  <c r="L6" i="4"/>
  <c r="J6" i="4"/>
  <c r="I6" i="4"/>
  <c r="G6" i="4"/>
  <c r="K4" i="4"/>
  <c r="I4" i="4"/>
  <c r="G4" i="4"/>
  <c r="E28" i="3"/>
  <c r="N28" i="9" s="1"/>
  <c r="D28" i="3"/>
  <c r="J28" i="9" s="1"/>
  <c r="C28" i="3"/>
  <c r="F28" i="9" s="1"/>
  <c r="B28" i="3"/>
  <c r="B28" i="9" s="1"/>
  <c r="H27" i="3"/>
  <c r="G27" i="3"/>
  <c r="F27" i="3"/>
  <c r="K23" i="3"/>
  <c r="J23" i="3"/>
  <c r="I23" i="3"/>
  <c r="H23" i="3"/>
  <c r="G23" i="3"/>
  <c r="F23" i="3"/>
  <c r="E15" i="3"/>
  <c r="D15" i="3"/>
  <c r="J15" i="9" s="1"/>
  <c r="C15" i="3"/>
  <c r="F15" i="9" s="1"/>
  <c r="B15" i="3"/>
  <c r="B15" i="9" s="1"/>
  <c r="C11" i="3"/>
  <c r="F11" i="9" s="1"/>
  <c r="E6" i="3"/>
  <c r="D6" i="3"/>
  <c r="J6" i="9" s="1"/>
  <c r="C6" i="3"/>
  <c r="F6" i="9" s="1"/>
  <c r="B6" i="3"/>
  <c r="B6" i="9" s="1"/>
  <c r="D7" i="2"/>
  <c r="I7" i="8" s="1"/>
  <c r="B7" i="2"/>
  <c r="B10" i="2" s="1"/>
  <c r="B12" i="2" s="1"/>
  <c r="B14" i="2" s="1"/>
  <c r="F4" i="2"/>
  <c r="Q4" i="8" s="1"/>
  <c r="E4" i="2"/>
  <c r="M4" i="8" s="1"/>
  <c r="D4" i="2"/>
  <c r="C4" i="2"/>
  <c r="E4" i="8" s="1"/>
  <c r="B4" i="2"/>
  <c r="Q14" i="10" l="1"/>
  <c r="C11" i="6"/>
  <c r="C11" i="9" s="1"/>
  <c r="E19" i="6"/>
  <c r="E19" i="9" s="1"/>
  <c r="D3" i="11"/>
  <c r="P3" i="11"/>
  <c r="U8" i="8"/>
  <c r="AK8" i="8"/>
  <c r="M6" i="9"/>
  <c r="R14" i="9"/>
  <c r="F14" i="3" s="1"/>
  <c r="Z21" i="9"/>
  <c r="H21" i="3" s="1"/>
  <c r="I4" i="8"/>
  <c r="G19" i="6"/>
  <c r="D5" i="11"/>
  <c r="P5" i="11"/>
  <c r="F5" i="12"/>
  <c r="S14" i="9"/>
  <c r="AA21" i="9"/>
  <c r="AC21" i="9"/>
  <c r="D11" i="3"/>
  <c r="J11" i="9" s="1"/>
  <c r="K19" i="6"/>
  <c r="K19" i="9" s="1"/>
  <c r="G20" i="10"/>
  <c r="D29" i="10"/>
  <c r="M2" i="11"/>
  <c r="F5" i="11"/>
  <c r="R5" i="11"/>
  <c r="Y8" i="8"/>
  <c r="AN8" i="8"/>
  <c r="L8" i="2" s="1"/>
  <c r="AD21" i="9"/>
  <c r="I21" i="3" s="1"/>
  <c r="E7" i="5"/>
  <c r="G11" i="6"/>
  <c r="G11" i="9" s="1"/>
  <c r="AE21" i="9"/>
  <c r="C7" i="2"/>
  <c r="C10" i="2" s="1"/>
  <c r="K11" i="6"/>
  <c r="K11" i="9" s="1"/>
  <c r="J29" i="6"/>
  <c r="L14" i="10"/>
  <c r="G29" i="10"/>
  <c r="O2" i="11"/>
  <c r="I3" i="11"/>
  <c r="D4" i="8"/>
  <c r="AA8" i="8"/>
  <c r="I8" i="2" s="1"/>
  <c r="Q21" i="9"/>
  <c r="AF21" i="9"/>
  <c r="U27" i="9"/>
  <c r="AB8" i="8"/>
  <c r="R21" i="9"/>
  <c r="F21" i="3" s="1"/>
  <c r="AG21" i="9"/>
  <c r="F7" i="2"/>
  <c r="F10" i="2" s="1"/>
  <c r="L7" i="8"/>
  <c r="O11" i="6"/>
  <c r="O11" i="9" s="1"/>
  <c r="L20" i="10"/>
  <c r="E2" i="11"/>
  <c r="K3" i="11"/>
  <c r="J5" i="11"/>
  <c r="AC8" i="8"/>
  <c r="F3" i="12"/>
  <c r="S21" i="9"/>
  <c r="AI21" i="9"/>
  <c r="R2" i="11"/>
  <c r="T21" i="9"/>
  <c r="AJ21" i="9"/>
  <c r="I20" i="10"/>
  <c r="L4" i="8"/>
  <c r="O20" i="10"/>
  <c r="L29" i="10"/>
  <c r="AG8" i="8"/>
  <c r="C15" i="12"/>
  <c r="O15" i="12"/>
  <c r="U21" i="9"/>
  <c r="Y27" i="9"/>
  <c r="I14" i="10"/>
  <c r="H2" i="11"/>
  <c r="T2" i="11"/>
  <c r="U2" i="11" s="1"/>
  <c r="V2" i="11" s="1"/>
  <c r="N3" i="11"/>
  <c r="W21" i="9"/>
  <c r="D30" i="4"/>
  <c r="I31" i="10" s="1"/>
  <c r="O4" i="8"/>
  <c r="D14" i="10"/>
  <c r="AI8" i="8"/>
  <c r="T13" i="8"/>
  <c r="Q14" i="9"/>
  <c r="X21" i="9"/>
  <c r="D7" i="8"/>
  <c r="D10" i="5"/>
  <c r="E10" i="8" s="1"/>
  <c r="F8" i="11" s="1"/>
  <c r="C12" i="5"/>
  <c r="C12" i="2"/>
  <c r="O12" i="5"/>
  <c r="I6" i="9"/>
  <c r="I11" i="6"/>
  <c r="I11" i="9" s="1"/>
  <c r="O14" i="10"/>
  <c r="L31" i="7"/>
  <c r="L19" i="9"/>
  <c r="L29" i="6"/>
  <c r="L29" i="9" s="1"/>
  <c r="J31" i="7"/>
  <c r="L31" i="10" s="1"/>
  <c r="R13" i="12"/>
  <c r="Q16" i="9"/>
  <c r="I12" i="5"/>
  <c r="K31" i="10"/>
  <c r="F30" i="4"/>
  <c r="Q31" i="10" s="1"/>
  <c r="N7" i="8"/>
  <c r="K10" i="5"/>
  <c r="L7" i="5"/>
  <c r="P7" i="8" s="1"/>
  <c r="M19" i="6"/>
  <c r="N31" i="7"/>
  <c r="R31" i="10" s="1"/>
  <c r="D10" i="2"/>
  <c r="N6" i="9"/>
  <c r="E11" i="3"/>
  <c r="N11" i="9" s="1"/>
  <c r="N7" i="5"/>
  <c r="C14" i="10"/>
  <c r="C31" i="7"/>
  <c r="S14" i="10"/>
  <c r="O31" i="7"/>
  <c r="M3" i="11"/>
  <c r="C4" i="11"/>
  <c r="O4" i="11"/>
  <c r="B19" i="3"/>
  <c r="S7" i="8"/>
  <c r="O29" i="10"/>
  <c r="E7" i="8"/>
  <c r="B11" i="3"/>
  <c r="B11" i="9" s="1"/>
  <c r="C19" i="3"/>
  <c r="Q2" i="11"/>
  <c r="E4" i="11"/>
  <c r="Q4" i="11"/>
  <c r="C4" i="8"/>
  <c r="S4" i="8"/>
  <c r="C15" i="9"/>
  <c r="C19" i="6"/>
  <c r="O15" i="9"/>
  <c r="O19" i="6"/>
  <c r="D19" i="3"/>
  <c r="E7" i="2"/>
  <c r="E19" i="3"/>
  <c r="N15" i="9"/>
  <c r="B7" i="5"/>
  <c r="C7" i="8" s="1"/>
  <c r="D15" i="9"/>
  <c r="D19" i="6"/>
  <c r="P15" i="9"/>
  <c r="P19" i="6"/>
  <c r="H4" i="8"/>
  <c r="G4" i="12"/>
  <c r="F12" i="2"/>
  <c r="M20" i="10"/>
  <c r="E29" i="6"/>
  <c r="E29" i="9" s="1"/>
  <c r="J14" i="10"/>
  <c r="H31" i="7"/>
  <c r="J31" i="10" s="1"/>
  <c r="B31" i="7"/>
  <c r="B31" i="10" s="1"/>
  <c r="W2" i="11"/>
  <c r="U2" i="8"/>
  <c r="P4" i="8"/>
  <c r="G4" i="8"/>
  <c r="J10" i="5"/>
  <c r="D31" i="7"/>
  <c r="I2" i="11"/>
  <c r="T2" i="8"/>
  <c r="H7" i="8"/>
  <c r="G10" i="5"/>
  <c r="F7" i="8"/>
  <c r="E10" i="5"/>
  <c r="I19" i="9"/>
  <c r="I29" i="6"/>
  <c r="I29" i="9" s="1"/>
  <c r="F31" i="7"/>
  <c r="M5" i="11"/>
  <c r="K11" i="12"/>
  <c r="C30" i="4"/>
  <c r="E31" i="10" s="1"/>
  <c r="H7" i="5"/>
  <c r="K4" i="8"/>
  <c r="J4" i="8"/>
  <c r="G7" i="8"/>
  <c r="F10" i="5"/>
  <c r="M10" i="5"/>
  <c r="Q10" i="8" s="1"/>
  <c r="R8" i="11" s="1"/>
  <c r="H15" i="9"/>
  <c r="H19" i="6"/>
  <c r="K29" i="6"/>
  <c r="K29" i="9" s="1"/>
  <c r="H6" i="9"/>
  <c r="M14" i="10"/>
  <c r="Q20" i="10"/>
  <c r="K20" i="10"/>
  <c r="H29" i="10"/>
  <c r="E31" i="7"/>
  <c r="F31" i="10" s="1"/>
  <c r="D2" i="11"/>
  <c r="P2" i="11"/>
  <c r="L3" i="11"/>
  <c r="D4" i="11"/>
  <c r="P4" i="11"/>
  <c r="N5" i="11"/>
  <c r="H4" i="12"/>
  <c r="B5" i="12"/>
  <c r="N5" i="12"/>
  <c r="L6" i="9"/>
  <c r="I4" i="12"/>
  <c r="T7" i="12"/>
  <c r="S8" i="9"/>
  <c r="M11" i="12"/>
  <c r="P14" i="10"/>
  <c r="K29" i="10"/>
  <c r="H31" i="10"/>
  <c r="F2" i="11"/>
  <c r="F4" i="11"/>
  <c r="R4" i="11"/>
  <c r="C3" i="12"/>
  <c r="O3" i="12"/>
  <c r="J4" i="12"/>
  <c r="D5" i="12"/>
  <c r="P5" i="12"/>
  <c r="Q5" i="12" s="1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AJ5" i="12" s="1"/>
  <c r="AK5" i="12" s="1"/>
  <c r="AL5" i="12" s="1"/>
  <c r="Q8" i="9"/>
  <c r="I9" i="12"/>
  <c r="L10" i="12"/>
  <c r="B11" i="12"/>
  <c r="N11" i="12"/>
  <c r="G2" i="11"/>
  <c r="S2" i="11"/>
  <c r="C3" i="11"/>
  <c r="O3" i="11"/>
  <c r="G4" i="11"/>
  <c r="S4" i="11"/>
  <c r="Y9" i="11"/>
  <c r="W13" i="8"/>
  <c r="D3" i="12"/>
  <c r="P3" i="12"/>
  <c r="Q3" i="12" s="1"/>
  <c r="R3" i="12" s="1"/>
  <c r="S3" i="12" s="1"/>
  <c r="T3" i="12" s="1"/>
  <c r="U3" i="12" s="1"/>
  <c r="V3" i="12" s="1"/>
  <c r="W3" i="12" s="1"/>
  <c r="X3" i="12" s="1"/>
  <c r="Y3" i="12" s="1"/>
  <c r="Z3" i="12" s="1"/>
  <c r="AA3" i="12" s="1"/>
  <c r="AB3" i="12" s="1"/>
  <c r="AC3" i="12" s="1"/>
  <c r="AD3" i="12" s="1"/>
  <c r="AE3" i="12" s="1"/>
  <c r="AF3" i="12" s="1"/>
  <c r="AG3" i="12" s="1"/>
  <c r="AH3" i="12" s="1"/>
  <c r="AI3" i="12" s="1"/>
  <c r="AJ3" i="12" s="1"/>
  <c r="AK3" i="12" s="1"/>
  <c r="AL3" i="12" s="1"/>
  <c r="E5" i="12"/>
  <c r="R8" i="9"/>
  <c r="F8" i="3" s="1"/>
  <c r="M10" i="12"/>
  <c r="H4" i="11"/>
  <c r="T4" i="11"/>
  <c r="U4" i="11" s="1"/>
  <c r="V4" i="11" s="1"/>
  <c r="W4" i="11" s="1"/>
  <c r="X4" i="11" s="1"/>
  <c r="Y4" i="11" s="1"/>
  <c r="Z4" i="11" s="1"/>
  <c r="AA4" i="11" s="1"/>
  <c r="AB4" i="11" s="1"/>
  <c r="AC4" i="11" s="1"/>
  <c r="AD4" i="11" s="1"/>
  <c r="AE4" i="11" s="1"/>
  <c r="AF4" i="11" s="1"/>
  <c r="AG4" i="11" s="1"/>
  <c r="AH4" i="11" s="1"/>
  <c r="AI4" i="11" s="1"/>
  <c r="AJ4" i="11" s="1"/>
  <c r="AK4" i="11" s="1"/>
  <c r="AL4" i="11" s="1"/>
  <c r="AM4" i="11" s="1"/>
  <c r="AN4" i="11" s="1"/>
  <c r="AO4" i="11" s="1"/>
  <c r="AP4" i="11" s="1"/>
  <c r="K9" i="12"/>
  <c r="D11" i="12"/>
  <c r="P11" i="12"/>
  <c r="Q11" i="12" s="1"/>
  <c r="R11" i="12" s="1"/>
  <c r="S11" i="12" s="1"/>
  <c r="T11" i="12" s="1"/>
  <c r="U11" i="12" s="1"/>
  <c r="V11" i="12" s="1"/>
  <c r="W11" i="12" s="1"/>
  <c r="X11" i="12" s="1"/>
  <c r="Y11" i="12" s="1"/>
  <c r="Z11" i="12" s="1"/>
  <c r="AA11" i="12" s="1"/>
  <c r="AB11" i="12" s="1"/>
  <c r="AC11" i="12" s="1"/>
  <c r="AD11" i="12" s="1"/>
  <c r="AE11" i="12" s="1"/>
  <c r="AF11" i="12" s="1"/>
  <c r="AG11" i="12" s="1"/>
  <c r="AH11" i="12" s="1"/>
  <c r="AI11" i="12" s="1"/>
  <c r="AJ11" i="12" s="1"/>
  <c r="AK11" i="12" s="1"/>
  <c r="AL11" i="12" s="1"/>
  <c r="E3" i="11"/>
  <c r="Q3" i="11"/>
  <c r="I4" i="11"/>
  <c r="G5" i="11"/>
  <c r="S5" i="11"/>
  <c r="U13" i="8"/>
  <c r="G5" i="12"/>
  <c r="L9" i="12"/>
  <c r="C10" i="12"/>
  <c r="O10" i="12"/>
  <c r="E11" i="12"/>
  <c r="I15" i="12"/>
  <c r="C20" i="10"/>
  <c r="S20" i="10"/>
  <c r="P29" i="10"/>
  <c r="K31" i="7"/>
  <c r="N31" i="10" s="1"/>
  <c r="J2" i="11"/>
  <c r="F3" i="11"/>
  <c r="R3" i="11"/>
  <c r="J4" i="11"/>
  <c r="H5" i="11"/>
  <c r="T5" i="1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AJ5" i="11" s="1"/>
  <c r="AK5" i="11" s="1"/>
  <c r="AL5" i="11" s="1"/>
  <c r="AM5" i="11" s="1"/>
  <c r="AN5" i="11" s="1"/>
  <c r="AO5" i="11" s="1"/>
  <c r="AP5" i="11" s="1"/>
  <c r="V7" i="11"/>
  <c r="T9" i="8"/>
  <c r="V13" i="8"/>
  <c r="G3" i="12"/>
  <c r="B4" i="12"/>
  <c r="N4" i="12"/>
  <c r="H5" i="12"/>
  <c r="S8" i="12"/>
  <c r="R9" i="9"/>
  <c r="F9" i="3" s="1"/>
  <c r="M9" i="12"/>
  <c r="D10" i="12"/>
  <c r="P10" i="12"/>
  <c r="Q10" i="12" s="1"/>
  <c r="R10" i="12" s="1"/>
  <c r="S10" i="12" s="1"/>
  <c r="T10" i="12" s="1"/>
  <c r="U10" i="12" s="1"/>
  <c r="V10" i="12" s="1"/>
  <c r="W10" i="12" s="1"/>
  <c r="X10" i="12" s="1"/>
  <c r="Y10" i="12" s="1"/>
  <c r="Z10" i="12" s="1"/>
  <c r="AA10" i="12" s="1"/>
  <c r="AB10" i="12" s="1"/>
  <c r="AC10" i="12" s="1"/>
  <c r="AD10" i="12" s="1"/>
  <c r="AE10" i="12" s="1"/>
  <c r="AF10" i="12" s="1"/>
  <c r="AG10" i="12" s="1"/>
  <c r="AH10" i="12" s="1"/>
  <c r="AI10" i="12" s="1"/>
  <c r="AJ10" i="12" s="1"/>
  <c r="AK10" i="12" s="1"/>
  <c r="AL10" i="12" s="1"/>
  <c r="K2" i="11"/>
  <c r="G3" i="11"/>
  <c r="S3" i="11"/>
  <c r="N4" i="8"/>
  <c r="K4" i="11"/>
  <c r="I5" i="11"/>
  <c r="H3" i="12"/>
  <c r="C4" i="12"/>
  <c r="O4" i="12"/>
  <c r="I5" i="12"/>
  <c r="B9" i="12"/>
  <c r="N9" i="12"/>
  <c r="E29" i="10"/>
  <c r="H14" i="10"/>
  <c r="C29" i="10"/>
  <c r="M31" i="7"/>
  <c r="L2" i="11"/>
  <c r="H3" i="11"/>
  <c r="T3" i="11"/>
  <c r="U3" i="11" s="1"/>
  <c r="V3" i="11" s="1"/>
  <c r="W3" i="11" s="1"/>
  <c r="X3" i="11" s="1"/>
  <c r="Y3" i="11" s="1"/>
  <c r="Z3" i="11" s="1"/>
  <c r="AA3" i="11" s="1"/>
  <c r="AB3" i="11" s="1"/>
  <c r="AC3" i="11" s="1"/>
  <c r="AD3" i="11" s="1"/>
  <c r="AE3" i="11" s="1"/>
  <c r="AF3" i="11" s="1"/>
  <c r="AG3" i="11" s="1"/>
  <c r="AH3" i="11" s="1"/>
  <c r="AI3" i="11" s="1"/>
  <c r="AJ3" i="11" s="1"/>
  <c r="AK3" i="11" s="1"/>
  <c r="AL3" i="11" s="1"/>
  <c r="AM3" i="11" s="1"/>
  <c r="AN3" i="11" s="1"/>
  <c r="AO3" i="11" s="1"/>
  <c r="AP3" i="11" s="1"/>
  <c r="L4" i="11"/>
  <c r="I3" i="12"/>
  <c r="C9" i="12"/>
  <c r="O9" i="12"/>
  <c r="M4" i="11"/>
  <c r="J3" i="12"/>
  <c r="E4" i="12"/>
  <c r="D9" i="12"/>
  <c r="P9" i="12"/>
  <c r="Q9" i="12" s="1"/>
  <c r="R9" i="12" s="1"/>
  <c r="S9" i="12" s="1"/>
  <c r="T9" i="12" s="1"/>
  <c r="U9" i="12" s="1"/>
  <c r="V9" i="12" s="1"/>
  <c r="W9" i="12" s="1"/>
  <c r="X9" i="12" s="1"/>
  <c r="Y9" i="12" s="1"/>
  <c r="Z9" i="12" s="1"/>
  <c r="AA9" i="12" s="1"/>
  <c r="AB9" i="12" s="1"/>
  <c r="AC9" i="12" s="1"/>
  <c r="AD9" i="12" s="1"/>
  <c r="AE9" i="12" s="1"/>
  <c r="AF9" i="12" s="1"/>
  <c r="AG9" i="12" s="1"/>
  <c r="AH9" i="12" s="1"/>
  <c r="AI9" i="12" s="1"/>
  <c r="AJ9" i="12" s="1"/>
  <c r="AK9" i="12" s="1"/>
  <c r="AL9" i="12" s="1"/>
  <c r="E14" i="10"/>
  <c r="M29" i="10"/>
  <c r="K14" i="10"/>
  <c r="H20" i="10"/>
  <c r="N4" i="11"/>
  <c r="L5" i="11"/>
  <c r="K3" i="12"/>
  <c r="F4" i="12"/>
  <c r="C5" i="13"/>
  <c r="O5" i="13"/>
  <c r="E10" i="12"/>
  <c r="F11" i="12"/>
  <c r="J15" i="12"/>
  <c r="AE8" i="8"/>
  <c r="L3" i="12"/>
  <c r="K4" i="12"/>
  <c r="J5" i="12"/>
  <c r="E9" i="12"/>
  <c r="F10" i="12"/>
  <c r="G11" i="12"/>
  <c r="R14" i="12"/>
  <c r="Q17" i="9"/>
  <c r="K15" i="12"/>
  <c r="R16" i="12"/>
  <c r="Q20" i="9"/>
  <c r="K3" i="13"/>
  <c r="E5" i="13"/>
  <c r="Q5" i="13"/>
  <c r="E5" i="11"/>
  <c r="Q5" i="11"/>
  <c r="T8" i="8"/>
  <c r="G8" i="2" s="1"/>
  <c r="AF8" i="8"/>
  <c r="M3" i="12"/>
  <c r="L4" i="12"/>
  <c r="K5" i="12"/>
  <c r="F9" i="12"/>
  <c r="G10" i="12"/>
  <c r="H11" i="12"/>
  <c r="R21" i="12"/>
  <c r="Q25" i="9"/>
  <c r="B3" i="12"/>
  <c r="N3" i="12"/>
  <c r="M4" i="12"/>
  <c r="L5" i="12"/>
  <c r="G9" i="12"/>
  <c r="H10" i="12"/>
  <c r="M3" i="13"/>
  <c r="K14" i="13"/>
  <c r="H9" i="12"/>
  <c r="I10" i="12"/>
  <c r="J11" i="12"/>
  <c r="B15" i="12"/>
  <c r="N15" i="12"/>
  <c r="H5" i="13"/>
  <c r="X8" i="8"/>
  <c r="H8" i="2" s="1"/>
  <c r="AJ8" i="8"/>
  <c r="K8" i="2" s="1"/>
  <c r="E3" i="12"/>
  <c r="D4" i="12"/>
  <c r="P4" i="12"/>
  <c r="Q4" i="12" s="1"/>
  <c r="R4" i="12" s="1"/>
  <c r="S4" i="12" s="1"/>
  <c r="T4" i="12" s="1"/>
  <c r="U4" i="12" s="1"/>
  <c r="V4" i="12" s="1"/>
  <c r="W4" i="12" s="1"/>
  <c r="X4" i="12" s="1"/>
  <c r="Y4" i="12" s="1"/>
  <c r="Z4" i="12" s="1"/>
  <c r="AA4" i="12" s="1"/>
  <c r="AB4" i="12" s="1"/>
  <c r="AC4" i="12" s="1"/>
  <c r="AD4" i="12" s="1"/>
  <c r="AE4" i="12" s="1"/>
  <c r="AF4" i="12" s="1"/>
  <c r="AG4" i="12" s="1"/>
  <c r="AH4" i="12" s="1"/>
  <c r="AI4" i="12" s="1"/>
  <c r="AJ4" i="12" s="1"/>
  <c r="AK4" i="12" s="1"/>
  <c r="AL4" i="12" s="1"/>
  <c r="C5" i="12"/>
  <c r="O5" i="12"/>
  <c r="J9" i="12"/>
  <c r="K10" i="12"/>
  <c r="L11" i="12"/>
  <c r="D3" i="13"/>
  <c r="P3" i="13"/>
  <c r="J5" i="13"/>
  <c r="E15" i="12"/>
  <c r="F15" i="12"/>
  <c r="F3" i="13"/>
  <c r="R3" i="13"/>
  <c r="B10" i="12"/>
  <c r="N10" i="12"/>
  <c r="C11" i="12"/>
  <c r="O11" i="12"/>
  <c r="U12" i="12"/>
  <c r="T14" i="9"/>
  <c r="G3" i="13"/>
  <c r="S3" i="13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AI3" i="13" s="1"/>
  <c r="AJ3" i="13" s="1"/>
  <c r="AK3" i="13" s="1"/>
  <c r="AL3" i="13" s="1"/>
  <c r="AM3" i="13" s="1"/>
  <c r="AN3" i="13" s="1"/>
  <c r="AO3" i="13" s="1"/>
  <c r="H15" i="12"/>
  <c r="J10" i="12"/>
  <c r="I11" i="12"/>
  <c r="D15" i="12"/>
  <c r="P15" i="12"/>
  <c r="Q15" i="12" s="1"/>
  <c r="R15" i="12" s="1"/>
  <c r="S15" i="12" s="1"/>
  <c r="T15" i="12" s="1"/>
  <c r="U15" i="12" s="1"/>
  <c r="V15" i="12" s="1"/>
  <c r="W15" i="12" s="1"/>
  <c r="X15" i="12" s="1"/>
  <c r="Y15" i="12" s="1"/>
  <c r="Z15" i="12" s="1"/>
  <c r="AA15" i="12" s="1"/>
  <c r="AB15" i="12" s="1"/>
  <c r="AC15" i="12" s="1"/>
  <c r="AD15" i="12" s="1"/>
  <c r="AE15" i="12" s="1"/>
  <c r="AF15" i="12" s="1"/>
  <c r="AG15" i="12" s="1"/>
  <c r="AH15" i="12" s="1"/>
  <c r="AI15" i="12" s="1"/>
  <c r="AJ15" i="12" s="1"/>
  <c r="AK15" i="12" s="1"/>
  <c r="AL15" i="12" s="1"/>
  <c r="Y21" i="9"/>
  <c r="AK21" i="9"/>
  <c r="S27" i="9"/>
  <c r="L3" i="13"/>
  <c r="D5" i="13"/>
  <c r="P5" i="13"/>
  <c r="L14" i="13"/>
  <c r="M14" i="13"/>
  <c r="B3" i="13"/>
  <c r="N3" i="13"/>
  <c r="F5" i="13"/>
  <c r="R5" i="13"/>
  <c r="B14" i="13"/>
  <c r="N14" i="13"/>
  <c r="G15" i="12"/>
  <c r="AB21" i="9"/>
  <c r="C3" i="13"/>
  <c r="O3" i="13"/>
  <c r="G5" i="13"/>
  <c r="S5" i="13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AI5" i="13" s="1"/>
  <c r="AJ5" i="13" s="1"/>
  <c r="AK5" i="13" s="1"/>
  <c r="AL5" i="13" s="1"/>
  <c r="AM5" i="13" s="1"/>
  <c r="AN5" i="13" s="1"/>
  <c r="AO5" i="13" s="1"/>
  <c r="C14" i="13"/>
  <c r="O14" i="13"/>
  <c r="D14" i="13"/>
  <c r="P14" i="13"/>
  <c r="AC23" i="12"/>
  <c r="E3" i="13"/>
  <c r="Q3" i="13"/>
  <c r="I5" i="13"/>
  <c r="E14" i="13"/>
  <c r="Q14" i="13"/>
  <c r="F14" i="13"/>
  <c r="R14" i="13"/>
  <c r="K5" i="13"/>
  <c r="G14" i="13"/>
  <c r="S14" i="13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AG14" i="13" s="1"/>
  <c r="AH14" i="13" s="1"/>
  <c r="AI14" i="13" s="1"/>
  <c r="AJ14" i="13" s="1"/>
  <c r="AK14" i="13" s="1"/>
  <c r="AL14" i="13" s="1"/>
  <c r="AM14" i="13" s="1"/>
  <c r="AN14" i="13" s="1"/>
  <c r="AO14" i="13" s="1"/>
  <c r="L15" i="12"/>
  <c r="AA27" i="9"/>
  <c r="H3" i="13"/>
  <c r="L5" i="13"/>
  <c r="H14" i="13"/>
  <c r="M15" i="12"/>
  <c r="V21" i="9"/>
  <c r="G21" i="3" s="1"/>
  <c r="AH21" i="9"/>
  <c r="J21" i="3" s="1"/>
  <c r="I3" i="13"/>
  <c r="M5" i="13"/>
  <c r="I14" i="13"/>
  <c r="U27" i="13"/>
  <c r="T30" i="10"/>
  <c r="Q20" i="12" s="1"/>
  <c r="J3" i="13"/>
  <c r="B5" i="13"/>
  <c r="N5" i="13"/>
  <c r="J14" i="13"/>
  <c r="S31" i="10" l="1"/>
  <c r="C31" i="10"/>
  <c r="G13" i="2"/>
  <c r="Q7" i="8"/>
  <c r="J8" i="2"/>
  <c r="G31" i="10"/>
  <c r="G19" i="9"/>
  <c r="G29" i="6"/>
  <c r="G29" i="9" s="1"/>
  <c r="M31" i="10"/>
  <c r="O31" i="10"/>
  <c r="Q24" i="9"/>
  <c r="J7" i="8"/>
  <c r="H10" i="5"/>
  <c r="N10" i="8"/>
  <c r="O8" i="11" s="1"/>
  <c r="K12" i="5"/>
  <c r="D31" i="10"/>
  <c r="F14" i="2"/>
  <c r="J19" i="9"/>
  <c r="D29" i="3"/>
  <c r="J29" i="9" s="1"/>
  <c r="F19" i="9"/>
  <c r="C29" i="3"/>
  <c r="F29" i="9" s="1"/>
  <c r="K7" i="8"/>
  <c r="C19" i="9"/>
  <c r="C29" i="6"/>
  <c r="C29" i="9" s="1"/>
  <c r="I14" i="5"/>
  <c r="O14" i="5"/>
  <c r="S16" i="12"/>
  <c r="R20" i="9"/>
  <c r="H19" i="9"/>
  <c r="H29" i="6"/>
  <c r="H29" i="9" s="1"/>
  <c r="U15" i="10"/>
  <c r="U20" i="10" s="1"/>
  <c r="U3" i="10"/>
  <c r="U5" i="10"/>
  <c r="R18" i="9"/>
  <c r="F18" i="3" s="1"/>
  <c r="R10" i="9"/>
  <c r="F10" i="3" s="1"/>
  <c r="R13" i="9"/>
  <c r="F13" i="3" s="1"/>
  <c r="U3" i="8"/>
  <c r="U6" i="8"/>
  <c r="U5" i="8"/>
  <c r="R5" i="9"/>
  <c r="R3" i="9"/>
  <c r="P19" i="9"/>
  <c r="P29" i="6"/>
  <c r="P29" i="9" s="1"/>
  <c r="R7" i="8"/>
  <c r="N10" i="5"/>
  <c r="AD23" i="12"/>
  <c r="AC27" i="9"/>
  <c r="M7" i="8"/>
  <c r="E10" i="2"/>
  <c r="X2" i="11"/>
  <c r="V2" i="8"/>
  <c r="S21" i="12"/>
  <c r="R25" i="9"/>
  <c r="F25" i="3" s="1"/>
  <c r="O19" i="9"/>
  <c r="O29" i="6"/>
  <c r="O29" i="9" s="1"/>
  <c r="V12" i="12"/>
  <c r="U14" i="9"/>
  <c r="T8" i="12"/>
  <c r="S9" i="9"/>
  <c r="U7" i="12"/>
  <c r="T8" i="9"/>
  <c r="M12" i="5"/>
  <c r="E12" i="5"/>
  <c r="F10" i="8"/>
  <c r="G8" i="11" s="1"/>
  <c r="D19" i="9"/>
  <c r="D29" i="6"/>
  <c r="D29" i="9" s="1"/>
  <c r="S13" i="12"/>
  <c r="R16" i="9"/>
  <c r="F16" i="3" s="1"/>
  <c r="C14" i="2"/>
  <c r="Z9" i="11"/>
  <c r="X13" i="8"/>
  <c r="V27" i="13"/>
  <c r="U30" i="10"/>
  <c r="R20" i="12" s="1"/>
  <c r="S14" i="12"/>
  <c r="R17" i="9"/>
  <c r="F17" i="3" s="1"/>
  <c r="F12" i="5"/>
  <c r="G10" i="8"/>
  <c r="H8" i="11" s="1"/>
  <c r="B19" i="9"/>
  <c r="B29" i="3"/>
  <c r="B29" i="9" s="1"/>
  <c r="I10" i="8"/>
  <c r="J8" i="11" s="1"/>
  <c r="D12" i="2"/>
  <c r="C14" i="5"/>
  <c r="L10" i="8"/>
  <c r="M8" i="11" s="1"/>
  <c r="J12" i="5"/>
  <c r="G12" i="5"/>
  <c r="H10" i="8"/>
  <c r="I8" i="11" s="1"/>
  <c r="B7" i="8"/>
  <c r="B10" i="5"/>
  <c r="W7" i="11"/>
  <c r="U9" i="8"/>
  <c r="G9" i="2" s="1"/>
  <c r="M19" i="9"/>
  <c r="M29" i="6"/>
  <c r="M29" i="9" s="1"/>
  <c r="D10" i="8"/>
  <c r="E8" i="11" s="1"/>
  <c r="D12" i="5"/>
  <c r="P31" i="10"/>
  <c r="T15" i="10"/>
  <c r="T3" i="10"/>
  <c r="G3" i="4" s="1"/>
  <c r="Q18" i="9"/>
  <c r="Q3" i="9"/>
  <c r="T9" i="13" s="1"/>
  <c r="T9" i="10" s="1"/>
  <c r="T5" i="10"/>
  <c r="T5" i="8"/>
  <c r="G5" i="2" s="1"/>
  <c r="Q10" i="9"/>
  <c r="T6" i="8"/>
  <c r="Q13" i="9"/>
  <c r="Q5" i="9"/>
  <c r="T3" i="8"/>
  <c r="T4" i="8"/>
  <c r="G2" i="2"/>
  <c r="N19" i="9"/>
  <c r="E29" i="3"/>
  <c r="N29" i="9" s="1"/>
  <c r="O7" i="8"/>
  <c r="L10" i="5"/>
  <c r="G6" i="2" l="1"/>
  <c r="R24" i="9"/>
  <c r="F24" i="3" s="1"/>
  <c r="M14" i="5"/>
  <c r="Q14" i="8" s="1"/>
  <c r="T7" i="8"/>
  <c r="T10" i="8" s="1"/>
  <c r="Q12" i="9"/>
  <c r="Q4" i="9"/>
  <c r="T10" i="13" s="1"/>
  <c r="T10" i="10" s="1"/>
  <c r="G3" i="2"/>
  <c r="G4" i="2" s="1"/>
  <c r="G7" i="2" s="1"/>
  <c r="G10" i="2" s="1"/>
  <c r="D12" i="8"/>
  <c r="D19" i="13" s="1"/>
  <c r="D14" i="5"/>
  <c r="D14" i="8" s="1"/>
  <c r="Y2" i="11"/>
  <c r="W2" i="8"/>
  <c r="T16" i="12"/>
  <c r="S20" i="9"/>
  <c r="T21" i="12"/>
  <c r="S25" i="9"/>
  <c r="T12" i="13"/>
  <c r="T12" i="10" s="1"/>
  <c r="AA9" i="11"/>
  <c r="Y13" i="8"/>
  <c r="H13" i="2" s="1"/>
  <c r="V7" i="12"/>
  <c r="U8" i="9"/>
  <c r="M10" i="8"/>
  <c r="N8" i="11" s="1"/>
  <c r="E12" i="2"/>
  <c r="T20" i="10"/>
  <c r="G15" i="4"/>
  <c r="G19" i="4" s="1"/>
  <c r="Q6" i="12"/>
  <c r="E14" i="8"/>
  <c r="Q12" i="8"/>
  <c r="Q19" i="13" s="1"/>
  <c r="E12" i="8"/>
  <c r="E19" i="13" s="1"/>
  <c r="U8" i="12"/>
  <c r="T9" i="9"/>
  <c r="I12" i="8"/>
  <c r="I19" i="13" s="1"/>
  <c r="D14" i="2"/>
  <c r="R12" i="9"/>
  <c r="R4" i="9"/>
  <c r="AE23" i="12"/>
  <c r="AD27" i="9"/>
  <c r="I27" i="3" s="1"/>
  <c r="T13" i="12"/>
  <c r="S16" i="9"/>
  <c r="R10" i="8"/>
  <c r="S8" i="11" s="1"/>
  <c r="N12" i="5"/>
  <c r="S10" i="8"/>
  <c r="T8" i="11" s="1"/>
  <c r="U8" i="11" s="1"/>
  <c r="V8" i="11" s="1"/>
  <c r="W8" i="11" s="1"/>
  <c r="X8" i="11" s="1"/>
  <c r="Y8" i="11" s="1"/>
  <c r="Z8" i="11" s="1"/>
  <c r="AA8" i="11" s="1"/>
  <c r="AB8" i="11" s="1"/>
  <c r="AC8" i="11" s="1"/>
  <c r="AD8" i="11" s="1"/>
  <c r="AE8" i="11" s="1"/>
  <c r="AF8" i="11" s="1"/>
  <c r="AG8" i="11" s="1"/>
  <c r="AH8" i="11" s="1"/>
  <c r="AI8" i="11" s="1"/>
  <c r="AJ8" i="11" s="1"/>
  <c r="AK8" i="11" s="1"/>
  <c r="AL8" i="11" s="1"/>
  <c r="AM8" i="11" s="1"/>
  <c r="AN8" i="11" s="1"/>
  <c r="AO8" i="11" s="1"/>
  <c r="AP8" i="11" s="1"/>
  <c r="O10" i="8"/>
  <c r="P8" i="11" s="1"/>
  <c r="L12" i="5"/>
  <c r="P12" i="8" s="1"/>
  <c r="P19" i="13" s="1"/>
  <c r="G5" i="4"/>
  <c r="Q18" i="12"/>
  <c r="B10" i="8"/>
  <c r="C8" i="11" s="1"/>
  <c r="B12" i="5"/>
  <c r="C10" i="8"/>
  <c r="D8" i="11" s="1"/>
  <c r="G29" i="4"/>
  <c r="F14" i="5"/>
  <c r="G12" i="8"/>
  <c r="G19" i="13" s="1"/>
  <c r="J10" i="8"/>
  <c r="K8" i="11" s="1"/>
  <c r="H12" i="5"/>
  <c r="K10" i="8"/>
  <c r="L8" i="11" s="1"/>
  <c r="X7" i="11"/>
  <c r="V9" i="8"/>
  <c r="W12" i="12"/>
  <c r="V14" i="9"/>
  <c r="G14" i="3" s="1"/>
  <c r="N12" i="8"/>
  <c r="N19" i="13" s="1"/>
  <c r="K14" i="5"/>
  <c r="N14" i="8" s="1"/>
  <c r="G9" i="4"/>
  <c r="H12" i="8"/>
  <c r="H19" i="13" s="1"/>
  <c r="G14" i="5"/>
  <c r="H14" i="8" s="1"/>
  <c r="T14" i="12"/>
  <c r="S17" i="9"/>
  <c r="F12" i="8"/>
  <c r="F19" i="13" s="1"/>
  <c r="E14" i="5"/>
  <c r="F14" i="8" s="1"/>
  <c r="U4" i="8"/>
  <c r="U7" i="8" s="1"/>
  <c r="U10" i="8" s="1"/>
  <c r="L12" i="8"/>
  <c r="L19" i="13" s="1"/>
  <c r="J14" i="5"/>
  <c r="L14" i="8" s="1"/>
  <c r="U9" i="13"/>
  <c r="U9" i="10" s="1"/>
  <c r="F3" i="3"/>
  <c r="W27" i="13"/>
  <c r="V30" i="10"/>
  <c r="P10" i="8"/>
  <c r="Q8" i="11" s="1"/>
  <c r="V15" i="10"/>
  <c r="V3" i="10"/>
  <c r="S18" i="9"/>
  <c r="S10" i="9"/>
  <c r="S13" i="9"/>
  <c r="V6" i="8"/>
  <c r="V5" i="8"/>
  <c r="S5" i="9"/>
  <c r="S3" i="9"/>
  <c r="V9" i="13" s="1"/>
  <c r="V9" i="10" s="1"/>
  <c r="V5" i="10"/>
  <c r="V3" i="8"/>
  <c r="V4" i="8" s="1"/>
  <c r="V7" i="8" s="1"/>
  <c r="V10" i="8" s="1"/>
  <c r="U12" i="13"/>
  <c r="U12" i="10" s="1"/>
  <c r="F5" i="3"/>
  <c r="F20" i="3"/>
  <c r="G14" i="8" l="1"/>
  <c r="G12" i="4"/>
  <c r="H14" i="5"/>
  <c r="J12" i="8"/>
  <c r="J19" i="13" s="1"/>
  <c r="K12" i="8"/>
  <c r="K19" i="13" s="1"/>
  <c r="S12" i="9"/>
  <c r="S4" i="9"/>
  <c r="V10" i="13" s="1"/>
  <c r="V10" i="10" s="1"/>
  <c r="V20" i="10"/>
  <c r="U14" i="12"/>
  <c r="T17" i="9"/>
  <c r="N14" i="5"/>
  <c r="R12" i="8"/>
  <c r="R19" i="13" s="1"/>
  <c r="S12" i="8"/>
  <c r="S19" i="13" s="1"/>
  <c r="T19" i="13" s="1"/>
  <c r="U19" i="13" s="1"/>
  <c r="V19" i="13" s="1"/>
  <c r="W19" i="13" s="1"/>
  <c r="X19" i="13" s="1"/>
  <c r="Y19" i="13" s="1"/>
  <c r="Z19" i="13" s="1"/>
  <c r="AA19" i="13" s="1"/>
  <c r="AB19" i="13" s="1"/>
  <c r="AC19" i="13" s="1"/>
  <c r="AD19" i="13" s="1"/>
  <c r="AE19" i="13" s="1"/>
  <c r="AF19" i="13" s="1"/>
  <c r="AG19" i="13" s="1"/>
  <c r="AH19" i="13" s="1"/>
  <c r="AI19" i="13" s="1"/>
  <c r="AJ19" i="13" s="1"/>
  <c r="AK19" i="13" s="1"/>
  <c r="AL19" i="13" s="1"/>
  <c r="AM19" i="13" s="1"/>
  <c r="AN19" i="13" s="1"/>
  <c r="AO19" i="13" s="1"/>
  <c r="V8" i="12"/>
  <c r="U9" i="9"/>
  <c r="W7" i="12"/>
  <c r="V8" i="9"/>
  <c r="G8" i="3" s="1"/>
  <c r="AB9" i="11"/>
  <c r="Z13" i="8"/>
  <c r="X27" i="13"/>
  <c r="W30" i="10"/>
  <c r="U13" i="12"/>
  <c r="T16" i="9"/>
  <c r="T11" i="13"/>
  <c r="T11" i="10" s="1"/>
  <c r="G11" i="4" s="1"/>
  <c r="Q15" i="9"/>
  <c r="Q19" i="9" s="1"/>
  <c r="V12" i="13"/>
  <c r="V12" i="10" s="1"/>
  <c r="B12" i="8"/>
  <c r="B19" i="13" s="1"/>
  <c r="B14" i="5"/>
  <c r="C12" i="8"/>
  <c r="C19" i="13" s="1"/>
  <c r="AF23" i="12"/>
  <c r="AE27" i="9"/>
  <c r="R6" i="12"/>
  <c r="Q7" i="9"/>
  <c r="U21" i="12"/>
  <c r="T25" i="9"/>
  <c r="T11" i="8"/>
  <c r="T12" i="8" s="1"/>
  <c r="U10" i="13"/>
  <c r="U10" i="10" s="1"/>
  <c r="G10" i="4" s="1"/>
  <c r="F4" i="3"/>
  <c r="V11" i="8"/>
  <c r="V12" i="8" s="1"/>
  <c r="X12" i="12"/>
  <c r="W14" i="9"/>
  <c r="R18" i="12"/>
  <c r="Q22" i="9"/>
  <c r="U11" i="13"/>
  <c r="U11" i="10" s="1"/>
  <c r="R15" i="9"/>
  <c r="R19" i="9" s="1"/>
  <c r="F12" i="3"/>
  <c r="F15" i="3" s="1"/>
  <c r="F19" i="3" s="1"/>
  <c r="U11" i="8"/>
  <c r="U12" i="8"/>
  <c r="I14" i="8"/>
  <c r="U16" i="12"/>
  <c r="T20" i="9"/>
  <c r="Y7" i="11"/>
  <c r="W9" i="8"/>
  <c r="O12" i="8"/>
  <c r="O19" i="13" s="1"/>
  <c r="L14" i="5"/>
  <c r="O14" i="8" s="1"/>
  <c r="M12" i="8"/>
  <c r="M19" i="13" s="1"/>
  <c r="E14" i="2"/>
  <c r="M14" i="8" s="1"/>
  <c r="W5" i="10"/>
  <c r="W3" i="10"/>
  <c r="T18" i="9"/>
  <c r="T10" i="9"/>
  <c r="T13" i="9"/>
  <c r="W15" i="10"/>
  <c r="W20" i="10" s="1"/>
  <c r="W6" i="8"/>
  <c r="W5" i="8"/>
  <c r="T5" i="9"/>
  <c r="T3" i="9"/>
  <c r="W9" i="13" s="1"/>
  <c r="W9" i="10" s="1"/>
  <c r="W3" i="8"/>
  <c r="W4" i="8" s="1"/>
  <c r="S20" i="12"/>
  <c r="Z2" i="11"/>
  <c r="X2" i="8"/>
  <c r="AA2" i="11" l="1"/>
  <c r="Y2" i="8"/>
  <c r="H2" i="2" s="1"/>
  <c r="V13" i="12"/>
  <c r="U16" i="9"/>
  <c r="R14" i="8"/>
  <c r="S14" i="8"/>
  <c r="T20" i="12"/>
  <c r="S24" i="9"/>
  <c r="S6" i="12"/>
  <c r="R7" i="9"/>
  <c r="F7" i="3" s="1"/>
  <c r="T12" i="9"/>
  <c r="T4" i="9"/>
  <c r="W10" i="13" s="1"/>
  <c r="W10" i="10" s="1"/>
  <c r="Y27" i="13"/>
  <c r="X30" i="10"/>
  <c r="V14" i="12"/>
  <c r="U17" i="9"/>
  <c r="X5" i="10"/>
  <c r="X15" i="10"/>
  <c r="X3" i="10"/>
  <c r="U13" i="9"/>
  <c r="U18" i="9"/>
  <c r="U10" i="9"/>
  <c r="X5" i="8"/>
  <c r="U5" i="9"/>
  <c r="U3" i="9"/>
  <c r="X9" i="13" s="1"/>
  <c r="X9" i="10" s="1"/>
  <c r="X6" i="8"/>
  <c r="X3" i="8"/>
  <c r="X4" i="8" s="1"/>
  <c r="Y12" i="12"/>
  <c r="X14" i="9"/>
  <c r="W7" i="8"/>
  <c r="W10" i="8" s="1"/>
  <c r="V2" i="13"/>
  <c r="V2" i="10" s="1"/>
  <c r="V21" i="10"/>
  <c r="AG23" i="12"/>
  <c r="AF27" i="9"/>
  <c r="P14" i="8"/>
  <c r="B14" i="8"/>
  <c r="C14" i="8"/>
  <c r="AC9" i="11"/>
  <c r="AA13" i="8"/>
  <c r="W12" i="13"/>
  <c r="W12" i="10" s="1"/>
  <c r="V11" i="13"/>
  <c r="V11" i="10" s="1"/>
  <c r="S15" i="9"/>
  <c r="S19" i="9" s="1"/>
  <c r="Z7" i="11"/>
  <c r="X9" i="8"/>
  <c r="X7" i="12"/>
  <c r="W8" i="9"/>
  <c r="G11" i="2"/>
  <c r="G12" i="2" s="1"/>
  <c r="G14" i="2" s="1"/>
  <c r="V16" i="12"/>
  <c r="U20" i="9"/>
  <c r="S18" i="12"/>
  <c r="R22" i="9"/>
  <c r="T2" i="13"/>
  <c r="T2" i="10" s="1"/>
  <c r="T21" i="10"/>
  <c r="Q22" i="12"/>
  <c r="W8" i="12"/>
  <c r="V9" i="9"/>
  <c r="G9" i="3" s="1"/>
  <c r="J14" i="8"/>
  <c r="K14" i="8"/>
  <c r="V21" i="12"/>
  <c r="U25" i="9"/>
  <c r="U2" i="13"/>
  <c r="U2" i="10" s="1"/>
  <c r="U14" i="10" s="1"/>
  <c r="U21" i="10"/>
  <c r="U29" i="10" s="1"/>
  <c r="H3" i="4" l="1"/>
  <c r="T6" i="12"/>
  <c r="S7" i="9"/>
  <c r="Z12" i="12"/>
  <c r="Y14" i="9"/>
  <c r="X20" i="10"/>
  <c r="U20" i="12"/>
  <c r="T24" i="9"/>
  <c r="X8" i="12"/>
  <c r="W9" i="9"/>
  <c r="AD9" i="11"/>
  <c r="AB13" i="8"/>
  <c r="W11" i="8"/>
  <c r="Y7" i="12"/>
  <c r="X8" i="9"/>
  <c r="U12" i="9"/>
  <c r="U4" i="9"/>
  <c r="X10" i="13" s="1"/>
  <c r="X10" i="10" s="1"/>
  <c r="W21" i="12"/>
  <c r="V25" i="9"/>
  <c r="G25" i="3" s="1"/>
  <c r="W13" i="12"/>
  <c r="V16" i="9"/>
  <c r="G16" i="3" s="1"/>
  <c r="V14" i="10"/>
  <c r="AA7" i="11"/>
  <c r="Y9" i="8"/>
  <c r="H9" i="2" s="1"/>
  <c r="Z27" i="13"/>
  <c r="Y30" i="10"/>
  <c r="H29" i="4" s="1"/>
  <c r="F22" i="3"/>
  <c r="AB2" i="11"/>
  <c r="Z2" i="8"/>
  <c r="R22" i="12"/>
  <c r="Q26" i="9"/>
  <c r="Q28" i="9" s="1"/>
  <c r="Q29" i="9" s="1"/>
  <c r="W14" i="12"/>
  <c r="V17" i="9"/>
  <c r="G17" i="3" s="1"/>
  <c r="T14" i="10"/>
  <c r="G2" i="4"/>
  <c r="G14" i="4" s="1"/>
  <c r="Y5" i="10"/>
  <c r="H5" i="4" s="1"/>
  <c r="Y15" i="10"/>
  <c r="Y20" i="10" s="1"/>
  <c r="V10" i="9"/>
  <c r="G10" i="3" s="1"/>
  <c r="V13" i="9"/>
  <c r="G13" i="3" s="1"/>
  <c r="V5" i="9"/>
  <c r="Y5" i="8"/>
  <c r="H5" i="2" s="1"/>
  <c r="V3" i="9"/>
  <c r="Y3" i="10"/>
  <c r="Y3" i="8"/>
  <c r="H3" i="2" s="1"/>
  <c r="H4" i="2" s="1"/>
  <c r="V18" i="9"/>
  <c r="G18" i="3" s="1"/>
  <c r="Y6" i="8"/>
  <c r="H6" i="2" s="1"/>
  <c r="X12" i="13"/>
  <c r="X12" i="10" s="1"/>
  <c r="U31" i="10"/>
  <c r="T18" i="12"/>
  <c r="S22" i="9"/>
  <c r="AH23" i="12"/>
  <c r="AG27" i="9"/>
  <c r="T29" i="10"/>
  <c r="G20" i="4"/>
  <c r="G28" i="4" s="1"/>
  <c r="X7" i="8"/>
  <c r="X10" i="8" s="1"/>
  <c r="V29" i="10"/>
  <c r="W11" i="13"/>
  <c r="W11" i="10" s="1"/>
  <c r="T15" i="9"/>
  <c r="T19" i="9" s="1"/>
  <c r="W16" i="12"/>
  <c r="V20" i="9"/>
  <c r="H15" i="4" l="1"/>
  <c r="H19" i="4" s="1"/>
  <c r="G30" i="4"/>
  <c r="T31" i="10"/>
  <c r="Q2" i="12" s="1"/>
  <c r="R2" i="12" s="1"/>
  <c r="H12" i="4"/>
  <c r="H7" i="2"/>
  <c r="H10" i="2" s="1"/>
  <c r="Y8" i="12"/>
  <c r="X9" i="9"/>
  <c r="X21" i="12"/>
  <c r="W25" i="9"/>
  <c r="G20" i="3"/>
  <c r="U18" i="12"/>
  <c r="T22" i="9"/>
  <c r="V20" i="12"/>
  <c r="U24" i="9"/>
  <c r="X16" i="12"/>
  <c r="W20" i="9"/>
  <c r="AC2" i="11"/>
  <c r="AA2" i="8"/>
  <c r="X11" i="13"/>
  <c r="X11" i="10" s="1"/>
  <c r="U15" i="9"/>
  <c r="U19" i="9" s="1"/>
  <c r="X13" i="12"/>
  <c r="W16" i="9"/>
  <c r="V12" i="9"/>
  <c r="V4" i="9"/>
  <c r="X14" i="12"/>
  <c r="W17" i="9"/>
  <c r="Q2" i="9"/>
  <c r="Q6" i="9" s="1"/>
  <c r="Q11" i="9" s="1"/>
  <c r="X11" i="8"/>
  <c r="Z7" i="12"/>
  <c r="Y8" i="9"/>
  <c r="Y4" i="8"/>
  <c r="Y7" i="8" s="1"/>
  <c r="Y10" i="8" s="1"/>
  <c r="W12" i="8"/>
  <c r="U6" i="12"/>
  <c r="T7" i="9"/>
  <c r="Y12" i="13"/>
  <c r="Y12" i="10" s="1"/>
  <c r="G5" i="3"/>
  <c r="AA27" i="13"/>
  <c r="Z30" i="10"/>
  <c r="AB7" i="11"/>
  <c r="Z9" i="8"/>
  <c r="AA12" i="12"/>
  <c r="Z14" i="9"/>
  <c r="H14" i="3" s="1"/>
  <c r="Y9" i="13"/>
  <c r="Y9" i="10" s="1"/>
  <c r="H9" i="4" s="1"/>
  <c r="G3" i="3"/>
  <c r="S22" i="12"/>
  <c r="R26" i="9"/>
  <c r="V31" i="10"/>
  <c r="AI23" i="12"/>
  <c r="AH27" i="9"/>
  <c r="J27" i="3" s="1"/>
  <c r="Z5" i="10"/>
  <c r="Z15" i="10"/>
  <c r="Z3" i="10"/>
  <c r="W13" i="9"/>
  <c r="W5" i="9"/>
  <c r="W18" i="9"/>
  <c r="Z5" i="8"/>
  <c r="W3" i="9"/>
  <c r="Z9" i="13" s="1"/>
  <c r="Z9" i="10" s="1"/>
  <c r="Z3" i="8"/>
  <c r="Z6" i="8"/>
  <c r="W10" i="9"/>
  <c r="AE9" i="11"/>
  <c r="AC13" i="8"/>
  <c r="I13" i="2" s="1"/>
  <c r="Z12" i="13" l="1"/>
  <c r="Z12" i="10" s="1"/>
  <c r="H11" i="4"/>
  <c r="W20" i="12"/>
  <c r="V24" i="9"/>
  <c r="G24" i="3" s="1"/>
  <c r="AB12" i="12"/>
  <c r="AA14" i="9"/>
  <c r="AA7" i="12"/>
  <c r="Z8" i="9"/>
  <c r="H8" i="3" s="1"/>
  <c r="Y13" i="12"/>
  <c r="X16" i="9"/>
  <c r="Y11" i="8"/>
  <c r="H11" i="2" s="1"/>
  <c r="H12" i="2" s="1"/>
  <c r="H14" i="2" s="1"/>
  <c r="AF9" i="11"/>
  <c r="AD13" i="8"/>
  <c r="Z20" i="10"/>
  <c r="X12" i="8"/>
  <c r="V6" i="12"/>
  <c r="U7" i="9"/>
  <c r="Y21" i="12"/>
  <c r="X25" i="9"/>
  <c r="S26" i="9"/>
  <c r="S28" i="9" s="1"/>
  <c r="S29" i="9" s="1"/>
  <c r="V18" i="12"/>
  <c r="U22" i="9"/>
  <c r="AB27" i="13"/>
  <c r="AA30" i="10"/>
  <c r="W4" i="9"/>
  <c r="Z10" i="13" s="1"/>
  <c r="Z10" i="10" s="1"/>
  <c r="W12" i="9"/>
  <c r="Y10" i="13"/>
  <c r="Y10" i="10" s="1"/>
  <c r="H10" i="4" s="1"/>
  <c r="G4" i="3"/>
  <c r="AC7" i="11"/>
  <c r="AA9" i="8"/>
  <c r="AJ23" i="12"/>
  <c r="AI27" i="9"/>
  <c r="Z4" i="8"/>
  <c r="Z7" i="8" s="1"/>
  <c r="Z10" i="8" s="1"/>
  <c r="Y16" i="12"/>
  <c r="X20" i="9"/>
  <c r="Z8" i="12"/>
  <c r="Y9" i="9"/>
  <c r="X18" i="9"/>
  <c r="AA15" i="10"/>
  <c r="AA20" i="10" s="1"/>
  <c r="AA3" i="10"/>
  <c r="AA5" i="10"/>
  <c r="X5" i="9"/>
  <c r="X3" i="9"/>
  <c r="AA9" i="13" s="1"/>
  <c r="AA9" i="10" s="1"/>
  <c r="AA4" i="8"/>
  <c r="AA7" i="8" s="1"/>
  <c r="AA10" i="8" s="1"/>
  <c r="X13" i="9"/>
  <c r="AA3" i="8"/>
  <c r="AA6" i="8"/>
  <c r="X10" i="9"/>
  <c r="AA5" i="8"/>
  <c r="S2" i="12"/>
  <c r="R2" i="9"/>
  <c r="AD2" i="11"/>
  <c r="AB2" i="8"/>
  <c r="F26" i="3"/>
  <c r="F28" i="3" s="1"/>
  <c r="F29" i="3" s="1"/>
  <c r="R28" i="9"/>
  <c r="R29" i="9" s="1"/>
  <c r="Y14" i="12"/>
  <c r="X17" i="9"/>
  <c r="W2" i="13"/>
  <c r="W2" i="10" s="1"/>
  <c r="W21" i="10"/>
  <c r="Y11" i="13"/>
  <c r="Y11" i="10" s="1"/>
  <c r="V15" i="9"/>
  <c r="V19" i="9" s="1"/>
  <c r="G12" i="3"/>
  <c r="G15" i="3" s="1"/>
  <c r="G19" i="3" s="1"/>
  <c r="Y12" i="8" l="1"/>
  <c r="Y2" i="13" s="1"/>
  <c r="Y2" i="10" s="1"/>
  <c r="Y14" i="10" s="1"/>
  <c r="Z14" i="12"/>
  <c r="Y17" i="9"/>
  <c r="AA11" i="8"/>
  <c r="AA12" i="8" s="1"/>
  <c r="Z16" i="12"/>
  <c r="Y20" i="9"/>
  <c r="Z13" i="12"/>
  <c r="Y16" i="9"/>
  <c r="Z11" i="8"/>
  <c r="Z12" i="8" s="1"/>
  <c r="AA12" i="13"/>
  <c r="AA12" i="10" s="1"/>
  <c r="AC27" i="13"/>
  <c r="AB30" i="10"/>
  <c r="X2" i="13"/>
  <c r="X2" i="10" s="1"/>
  <c r="X14" i="10" s="1"/>
  <c r="X31" i="10" s="1"/>
  <c r="X21" i="10"/>
  <c r="X29" i="10" s="1"/>
  <c r="AB7" i="12"/>
  <c r="AA8" i="9"/>
  <c r="W6" i="12"/>
  <c r="V7" i="9"/>
  <c r="G7" i="3" s="1"/>
  <c r="AE2" i="11"/>
  <c r="AC2" i="8"/>
  <c r="I2" i="2" s="1"/>
  <c r="W18" i="12"/>
  <c r="V22" i="9"/>
  <c r="AC12" i="12"/>
  <c r="AB14" i="9"/>
  <c r="R6" i="9"/>
  <c r="R11" i="9" s="1"/>
  <c r="F2" i="3"/>
  <c r="F6" i="3" s="1"/>
  <c r="F11" i="3" s="1"/>
  <c r="S2" i="9"/>
  <c r="S6" i="9" s="1"/>
  <c r="S11" i="9" s="1"/>
  <c r="AD7" i="11"/>
  <c r="AB9" i="8"/>
  <c r="Z11" i="13"/>
  <c r="Z11" i="10" s="1"/>
  <c r="W15" i="9"/>
  <c r="W19" i="9" s="1"/>
  <c r="Y18" i="9"/>
  <c r="AB15" i="10"/>
  <c r="AB20" i="10" s="1"/>
  <c r="AB5" i="10"/>
  <c r="Y13" i="9"/>
  <c r="Y3" i="9"/>
  <c r="AB9" i="13" s="1"/>
  <c r="AB9" i="10" s="1"/>
  <c r="AB6" i="8"/>
  <c r="AB3" i="10"/>
  <c r="Y5" i="9"/>
  <c r="AB3" i="8"/>
  <c r="Y10" i="9"/>
  <c r="AB5" i="8"/>
  <c r="AB4" i="8"/>
  <c r="AK23" i="12"/>
  <c r="AJ27" i="9"/>
  <c r="W29" i="10"/>
  <c r="T22" i="12"/>
  <c r="AG9" i="11"/>
  <c r="AE13" i="8"/>
  <c r="X20" i="12"/>
  <c r="W24" i="9"/>
  <c r="Z21" i="12"/>
  <c r="Y25" i="9"/>
  <c r="W14" i="10"/>
  <c r="X12" i="9"/>
  <c r="X4" i="9"/>
  <c r="AA10" i="13" s="1"/>
  <c r="AA10" i="10" s="1"/>
  <c r="AA8" i="12"/>
  <c r="Z9" i="9"/>
  <c r="H9" i="3" s="1"/>
  <c r="H2" i="4" l="1"/>
  <c r="H14" i="4" s="1"/>
  <c r="AB7" i="8"/>
  <c r="AB10" i="8" s="1"/>
  <c r="AB12" i="8" s="1"/>
  <c r="Y21" i="10"/>
  <c r="Y29" i="10" s="1"/>
  <c r="Z2" i="13"/>
  <c r="Z2" i="10" s="1"/>
  <c r="Z21" i="10"/>
  <c r="AA2" i="13"/>
  <c r="AA2" i="10" s="1"/>
  <c r="AA21" i="10"/>
  <c r="AA29" i="10" s="1"/>
  <c r="W31" i="10"/>
  <c r="T2" i="12" s="1"/>
  <c r="AL23" i="12"/>
  <c r="AL27" i="9" s="1"/>
  <c r="K27" i="3" s="1"/>
  <c r="AK27" i="9"/>
  <c r="AC7" i="12"/>
  <c r="AB8" i="9"/>
  <c r="AA16" i="12"/>
  <c r="Z20" i="9"/>
  <c r="AA21" i="12"/>
  <c r="Z25" i="9"/>
  <c r="H25" i="3" s="1"/>
  <c r="Y31" i="10"/>
  <c r="G22" i="3"/>
  <c r="X18" i="12"/>
  <c r="W22" i="9"/>
  <c r="AD27" i="13"/>
  <c r="AC30" i="10"/>
  <c r="I29" i="4" s="1"/>
  <c r="AA14" i="12"/>
  <c r="Z17" i="9"/>
  <c r="H17" i="3" s="1"/>
  <c r="AB11" i="8"/>
  <c r="Y4" i="9"/>
  <c r="AB10" i="13" s="1"/>
  <c r="AB10" i="10" s="1"/>
  <c r="Y12" i="9"/>
  <c r="Y20" i="12"/>
  <c r="X24" i="9"/>
  <c r="AB12" i="13"/>
  <c r="AB12" i="10" s="1"/>
  <c r="AE7" i="11"/>
  <c r="AC9" i="8"/>
  <c r="I9" i="2" s="1"/>
  <c r="AC15" i="10"/>
  <c r="AC20" i="10" s="1"/>
  <c r="AC3" i="10"/>
  <c r="I3" i="4" s="1"/>
  <c r="AC5" i="10"/>
  <c r="I5" i="4" s="1"/>
  <c r="Z13" i="9"/>
  <c r="H13" i="3" s="1"/>
  <c r="Z3" i="9"/>
  <c r="Z18" i="9"/>
  <c r="H18" i="3" s="1"/>
  <c r="Z5" i="9"/>
  <c r="AC3" i="8"/>
  <c r="AC6" i="8"/>
  <c r="I6" i="2" s="1"/>
  <c r="Z10" i="9"/>
  <c r="H10" i="3" s="1"/>
  <c r="AC5" i="8"/>
  <c r="I5" i="2" s="1"/>
  <c r="AF2" i="11"/>
  <c r="AD2" i="8"/>
  <c r="AD12" i="12"/>
  <c r="AC14" i="9"/>
  <c r="AB8" i="12"/>
  <c r="AA9" i="9"/>
  <c r="U22" i="12"/>
  <c r="T26" i="9"/>
  <c r="T28" i="9" s="1"/>
  <c r="T29" i="9" s="1"/>
  <c r="AH9" i="11"/>
  <c r="AF13" i="8"/>
  <c r="AA11" i="13"/>
  <c r="AA11" i="10" s="1"/>
  <c r="X15" i="9"/>
  <c r="X19" i="9" s="1"/>
  <c r="H20" i="4"/>
  <c r="H28" i="4" s="1"/>
  <c r="H30" i="4" s="1"/>
  <c r="X6" i="12"/>
  <c r="W7" i="9"/>
  <c r="AA13" i="12"/>
  <c r="Z16" i="9"/>
  <c r="H16" i="3" s="1"/>
  <c r="AA14" i="10" l="1"/>
  <c r="AA31" i="10" s="1"/>
  <c r="AB21" i="12"/>
  <c r="AA25" i="9"/>
  <c r="AB2" i="13"/>
  <c r="AB2" i="10" s="1"/>
  <c r="AB21" i="10"/>
  <c r="AB29" i="10" s="1"/>
  <c r="AG2" i="11"/>
  <c r="AE2" i="8"/>
  <c r="H20" i="3"/>
  <c r="AB16" i="12"/>
  <c r="AA20" i="9"/>
  <c r="Z29" i="10"/>
  <c r="J13" i="2"/>
  <c r="AE27" i="13"/>
  <c r="AD30" i="10"/>
  <c r="Y18" i="12"/>
  <c r="X22" i="9"/>
  <c r="Z14" i="10"/>
  <c r="AB14" i="12"/>
  <c r="AA17" i="9"/>
  <c r="AI9" i="11"/>
  <c r="AG13" i="8"/>
  <c r="Z12" i="9"/>
  <c r="Z4" i="9"/>
  <c r="AC4" i="8"/>
  <c r="AC7" i="8" s="1"/>
  <c r="AC10" i="8" s="1"/>
  <c r="Z20" i="12"/>
  <c r="Y24" i="9"/>
  <c r="AD7" i="12"/>
  <c r="AC8" i="9"/>
  <c r="AB13" i="12"/>
  <c r="AA16" i="9"/>
  <c r="I3" i="2"/>
  <c r="I4" i="2" s="1"/>
  <c r="I7" i="2" s="1"/>
  <c r="I10" i="2" s="1"/>
  <c r="AF7" i="11"/>
  <c r="AD9" i="8"/>
  <c r="V22" i="12"/>
  <c r="U26" i="9"/>
  <c r="U28" i="9" s="1"/>
  <c r="U29" i="9" s="1"/>
  <c r="AC12" i="13"/>
  <c r="AC12" i="10" s="1"/>
  <c r="I12" i="4" s="1"/>
  <c r="H5" i="3"/>
  <c r="AC8" i="12"/>
  <c r="AB9" i="9"/>
  <c r="AC9" i="13"/>
  <c r="AC9" i="10" s="1"/>
  <c r="I9" i="4" s="1"/>
  <c r="H3" i="3"/>
  <c r="AB11" i="13"/>
  <c r="AB11" i="10" s="1"/>
  <c r="Y15" i="9"/>
  <c r="Y19" i="9" s="1"/>
  <c r="AD15" i="10"/>
  <c r="AD5" i="10"/>
  <c r="AA5" i="9"/>
  <c r="AA18" i="9"/>
  <c r="AD3" i="10"/>
  <c r="AA3" i="9"/>
  <c r="AD9" i="13" s="1"/>
  <c r="AD9" i="10" s="1"/>
  <c r="AA13" i="9"/>
  <c r="AD3" i="8"/>
  <c r="AD4" i="8" s="1"/>
  <c r="AD7" i="8" s="1"/>
  <c r="AD10" i="8" s="1"/>
  <c r="AD6" i="8"/>
  <c r="AA10" i="9"/>
  <c r="AD5" i="8"/>
  <c r="Y6" i="12"/>
  <c r="X7" i="9"/>
  <c r="U2" i="12"/>
  <c r="T2" i="9"/>
  <c r="T6" i="9" s="1"/>
  <c r="T11" i="9" s="1"/>
  <c r="AE12" i="12"/>
  <c r="AD14" i="9"/>
  <c r="I14" i="3" s="1"/>
  <c r="I15" i="4"/>
  <c r="I19" i="4" s="1"/>
  <c r="Z31" i="10" l="1"/>
  <c r="AD11" i="8"/>
  <c r="AC14" i="12"/>
  <c r="AB17" i="9"/>
  <c r="AC13" i="12"/>
  <c r="AB16" i="9"/>
  <c r="AD8" i="12"/>
  <c r="AC9" i="9"/>
  <c r="Z18" i="12"/>
  <c r="Y22" i="9"/>
  <c r="AE15" i="10"/>
  <c r="AE20" i="10" s="1"/>
  <c r="AE5" i="10"/>
  <c r="AB18" i="9"/>
  <c r="AB13" i="9"/>
  <c r="AE3" i="10"/>
  <c r="AB5" i="9"/>
  <c r="AE3" i="8"/>
  <c r="AE4" i="8" s="1"/>
  <c r="AE6" i="8"/>
  <c r="AB10" i="9"/>
  <c r="AE5" i="8"/>
  <c r="AB3" i="9"/>
  <c r="AE9" i="13" s="1"/>
  <c r="AE9" i="10" s="1"/>
  <c r="AH2" i="11"/>
  <c r="AF2" i="8"/>
  <c r="AC12" i="8"/>
  <c r="AC11" i="8"/>
  <c r="I11" i="2" s="1"/>
  <c r="AF27" i="13"/>
  <c r="AE30" i="10"/>
  <c r="AA20" i="12"/>
  <c r="Z24" i="9"/>
  <c r="H24" i="3" s="1"/>
  <c r="AC10" i="13"/>
  <c r="AC10" i="10" s="1"/>
  <c r="I10" i="4" s="1"/>
  <c r="H4" i="3"/>
  <c r="AB14" i="10"/>
  <c r="AB31" i="10" s="1"/>
  <c r="AF12" i="12"/>
  <c r="AE14" i="9"/>
  <c r="Z6" i="12"/>
  <c r="Y7" i="9"/>
  <c r="W22" i="12"/>
  <c r="V26" i="9"/>
  <c r="AC11" i="13"/>
  <c r="AC11" i="10" s="1"/>
  <c r="I11" i="4" s="1"/>
  <c r="Z15" i="9"/>
  <c r="Z19" i="9" s="1"/>
  <c r="H12" i="3"/>
  <c r="H15" i="3" s="1"/>
  <c r="H19" i="3" s="1"/>
  <c r="AD20" i="10"/>
  <c r="AC21" i="12"/>
  <c r="AB25" i="9"/>
  <c r="AE7" i="12"/>
  <c r="AD8" i="9"/>
  <c r="I8" i="3" s="1"/>
  <c r="AD12" i="13"/>
  <c r="AD12" i="10" s="1"/>
  <c r="AG7" i="11"/>
  <c r="AE9" i="8"/>
  <c r="AJ9" i="11"/>
  <c r="AH13" i="8"/>
  <c r="AA12" i="9"/>
  <c r="AA4" i="9"/>
  <c r="AD10" i="13" s="1"/>
  <c r="AD10" i="10" s="1"/>
  <c r="V2" i="12"/>
  <c r="U2" i="9"/>
  <c r="U6" i="9" s="1"/>
  <c r="U11" i="9" s="1"/>
  <c r="I12" i="2"/>
  <c r="I14" i="2" s="1"/>
  <c r="AC16" i="12"/>
  <c r="AB20" i="9"/>
  <c r="AE7" i="8" l="1"/>
  <c r="AE10" i="8" s="1"/>
  <c r="AE11" i="8" s="1"/>
  <c r="AE12" i="8" s="1"/>
  <c r="AA18" i="12"/>
  <c r="Z22" i="9"/>
  <c r="AB20" i="12"/>
  <c r="AA24" i="9"/>
  <c r="AH7" i="11"/>
  <c r="AF9" i="8"/>
  <c r="AE8" i="12"/>
  <c r="AD9" i="9"/>
  <c r="I9" i="3" s="1"/>
  <c r="AB4" i="9"/>
  <c r="AE10" i="13" s="1"/>
  <c r="AE10" i="10" s="1"/>
  <c r="AB12" i="9"/>
  <c r="AE12" i="13"/>
  <c r="AE12" i="10" s="1"/>
  <c r="AD13" i="12"/>
  <c r="AC16" i="9"/>
  <c r="W2" i="12"/>
  <c r="V2" i="9"/>
  <c r="AF7" i="12"/>
  <c r="AE8" i="9"/>
  <c r="AD11" i="13"/>
  <c r="AD11" i="10" s="1"/>
  <c r="AA15" i="9"/>
  <c r="AA19" i="9" s="1"/>
  <c r="AF15" i="10"/>
  <c r="AF3" i="10"/>
  <c r="AF5" i="10"/>
  <c r="AC3" i="9"/>
  <c r="AF9" i="13" s="1"/>
  <c r="AF9" i="10" s="1"/>
  <c r="AC18" i="9"/>
  <c r="AF5" i="8"/>
  <c r="AC10" i="9"/>
  <c r="AC13" i="9"/>
  <c r="AF6" i="8"/>
  <c r="AC5" i="9"/>
  <c r="AF3" i="8"/>
  <c r="AF4" i="8"/>
  <c r="X22" i="12"/>
  <c r="W26" i="9"/>
  <c r="W28" i="9" s="1"/>
  <c r="W29" i="9" s="1"/>
  <c r="AG27" i="13"/>
  <c r="AF30" i="10"/>
  <c r="AI2" i="11"/>
  <c r="AG2" i="8"/>
  <c r="G26" i="3"/>
  <c r="G28" i="3" s="1"/>
  <c r="G29" i="3" s="1"/>
  <c r="V28" i="9"/>
  <c r="V29" i="9" s="1"/>
  <c r="AD21" i="12"/>
  <c r="AC25" i="9"/>
  <c r="AC2" i="13"/>
  <c r="AC2" i="10" s="1"/>
  <c r="AC21" i="10"/>
  <c r="AG12" i="12"/>
  <c r="AF14" i="9"/>
  <c r="AA6" i="12"/>
  <c r="Z7" i="9"/>
  <c r="H7" i="3" s="1"/>
  <c r="AD14" i="12"/>
  <c r="AC17" i="9"/>
  <c r="AD16" i="12"/>
  <c r="AC20" i="9"/>
  <c r="AK9" i="11"/>
  <c r="AI13" i="8"/>
  <c r="AD12" i="8"/>
  <c r="AE2" i="13" l="1"/>
  <c r="AE2" i="10" s="1"/>
  <c r="AE21" i="10"/>
  <c r="AE29" i="10" s="1"/>
  <c r="AE14" i="12"/>
  <c r="AD17" i="9"/>
  <c r="I17" i="3" s="1"/>
  <c r="AF12" i="13"/>
  <c r="AF12" i="10" s="1"/>
  <c r="AE21" i="12"/>
  <c r="AD25" i="9"/>
  <c r="I25" i="3" s="1"/>
  <c r="AB6" i="12"/>
  <c r="AA7" i="9"/>
  <c r="X2" i="12"/>
  <c r="W2" i="9"/>
  <c r="W6" i="9" s="1"/>
  <c r="W11" i="9" s="1"/>
  <c r="AI7" i="11"/>
  <c r="AG9" i="8"/>
  <c r="J9" i="2" s="1"/>
  <c r="V6" i="9"/>
  <c r="V11" i="9" s="1"/>
  <c r="G2" i="3"/>
  <c r="G6" i="3" s="1"/>
  <c r="G11" i="3" s="1"/>
  <c r="AG15" i="10"/>
  <c r="AG20" i="10" s="1"/>
  <c r="AG3" i="10"/>
  <c r="J3" i="4" s="1"/>
  <c r="AG5" i="10"/>
  <c r="AD18" i="9"/>
  <c r="I18" i="3" s="1"/>
  <c r="AD10" i="9"/>
  <c r="I10" i="3" s="1"/>
  <c r="AG3" i="8"/>
  <c r="AD13" i="9"/>
  <c r="I13" i="3" s="1"/>
  <c r="AG6" i="8"/>
  <c r="J6" i="2" s="1"/>
  <c r="AG5" i="8"/>
  <c r="J5" i="2" s="1"/>
  <c r="AG4" i="8"/>
  <c r="AG7" i="8" s="1"/>
  <c r="AD5" i="9"/>
  <c r="AD3" i="9"/>
  <c r="J2" i="2"/>
  <c r="AC20" i="12"/>
  <c r="AB24" i="9"/>
  <c r="AG7" i="12"/>
  <c r="AF8" i="9"/>
  <c r="AE13" i="12"/>
  <c r="AD16" i="9"/>
  <c r="I16" i="3" s="1"/>
  <c r="H22" i="3"/>
  <c r="AH27" i="13"/>
  <c r="AG30" i="10"/>
  <c r="J29" i="4" s="1"/>
  <c r="AB18" i="12"/>
  <c r="AA22" i="9"/>
  <c r="AL9" i="11"/>
  <c r="AJ13" i="8"/>
  <c r="AH12" i="12"/>
  <c r="AG14" i="9"/>
  <c r="Y22" i="12"/>
  <c r="X26" i="9"/>
  <c r="X28" i="9" s="1"/>
  <c r="X29" i="9" s="1"/>
  <c r="AF20" i="10"/>
  <c r="AE11" i="13"/>
  <c r="AE11" i="10" s="1"/>
  <c r="AB15" i="9"/>
  <c r="AB19" i="9" s="1"/>
  <c r="AJ2" i="11"/>
  <c r="AH2" i="8"/>
  <c r="AD2" i="13"/>
  <c r="AD2" i="10" s="1"/>
  <c r="AD21" i="10"/>
  <c r="J5" i="4"/>
  <c r="AC29" i="10"/>
  <c r="I20" i="4"/>
  <c r="I28" i="4" s="1"/>
  <c r="AF7" i="8"/>
  <c r="AF10" i="8" s="1"/>
  <c r="AE16" i="12"/>
  <c r="AD20" i="9"/>
  <c r="AC14" i="10"/>
  <c r="AC31" i="10" s="1"/>
  <c r="I2" i="4"/>
  <c r="I14" i="4" s="1"/>
  <c r="I30" i="4" s="1"/>
  <c r="AC4" i="9"/>
  <c r="AF10" i="13" s="1"/>
  <c r="AF10" i="10" s="1"/>
  <c r="AC12" i="9"/>
  <c r="AF8" i="12"/>
  <c r="AE9" i="9"/>
  <c r="J12" i="4" l="1"/>
  <c r="AF13" i="12"/>
  <c r="AE16" i="9"/>
  <c r="AI12" i="12"/>
  <c r="AH14" i="9"/>
  <c r="J14" i="3" s="1"/>
  <c r="Y2" i="12"/>
  <c r="X2" i="9"/>
  <c r="X6" i="9" s="1"/>
  <c r="X11" i="9" s="1"/>
  <c r="AG10" i="8"/>
  <c r="AF11" i="13"/>
  <c r="AF11" i="10" s="1"/>
  <c r="AC15" i="9"/>
  <c r="AC19" i="9" s="1"/>
  <c r="AD29" i="10"/>
  <c r="K13" i="2"/>
  <c r="AD12" i="9"/>
  <c r="AD4" i="9"/>
  <c r="J3" i="2"/>
  <c r="J4" i="2" s="1"/>
  <c r="J7" i="2" s="1"/>
  <c r="J10" i="2" s="1"/>
  <c r="AD14" i="10"/>
  <c r="AM9" i="11"/>
  <c r="AK13" i="8"/>
  <c r="AH7" i="12"/>
  <c r="AG8" i="9"/>
  <c r="AC6" i="12"/>
  <c r="AB7" i="9"/>
  <c r="AH15" i="10"/>
  <c r="AH3" i="10"/>
  <c r="AE18" i="9"/>
  <c r="AH5" i="10"/>
  <c r="AE10" i="9"/>
  <c r="AE13" i="9"/>
  <c r="AH6" i="8"/>
  <c r="AH5" i="8"/>
  <c r="AE5" i="9"/>
  <c r="AH3" i="8"/>
  <c r="AH4" i="8" s="1"/>
  <c r="AE3" i="9"/>
  <c r="AH9" i="13" s="1"/>
  <c r="AH9" i="10" s="1"/>
  <c r="AK2" i="11"/>
  <c r="AI2" i="8"/>
  <c r="AC18" i="12"/>
  <c r="AB22" i="9"/>
  <c r="AD20" i="12"/>
  <c r="AC24" i="9"/>
  <c r="AF21" i="12"/>
  <c r="AE25" i="9"/>
  <c r="AF16" i="12"/>
  <c r="AE20" i="9"/>
  <c r="I20" i="3"/>
  <c r="AI27" i="13"/>
  <c r="AH30" i="10"/>
  <c r="J15" i="4"/>
  <c r="J19" i="4" s="1"/>
  <c r="AG9" i="13"/>
  <c r="AG9" i="10" s="1"/>
  <c r="J9" i="4" s="1"/>
  <c r="I3" i="3"/>
  <c r="AF14" i="12"/>
  <c r="AE17" i="9"/>
  <c r="AF11" i="8"/>
  <c r="AF12" i="8" s="1"/>
  <c r="AG12" i="13"/>
  <c r="AG12" i="10" s="1"/>
  <c r="I5" i="3"/>
  <c r="Z22" i="12"/>
  <c r="Y26" i="9"/>
  <c r="Y28" i="9" s="1"/>
  <c r="Y29" i="9" s="1"/>
  <c r="AJ7" i="11"/>
  <c r="AH9" i="8"/>
  <c r="AE14" i="10"/>
  <c r="AE31" i="10" s="1"/>
  <c r="AG8" i="12"/>
  <c r="AF9" i="9"/>
  <c r="AH7" i="8" l="1"/>
  <c r="AH10" i="8" s="1"/>
  <c r="AH11" i="8"/>
  <c r="AG16" i="12"/>
  <c r="AF20" i="9"/>
  <c r="AG21" i="12"/>
  <c r="AF25" i="9"/>
  <c r="AI7" i="12"/>
  <c r="AH8" i="9"/>
  <c r="J8" i="3" s="1"/>
  <c r="AF2" i="13"/>
  <c r="AF2" i="10" s="1"/>
  <c r="AF21" i="10"/>
  <c r="AH8" i="12"/>
  <c r="AG9" i="9"/>
  <c r="AE20" i="12"/>
  <c r="AD24" i="9"/>
  <c r="I24" i="3" s="1"/>
  <c r="AN9" i="11"/>
  <c r="AL13" i="8"/>
  <c r="AG11" i="8"/>
  <c r="AG12" i="8" s="1"/>
  <c r="AD18" i="12"/>
  <c r="AC22" i="9"/>
  <c r="AD31" i="10"/>
  <c r="Z2" i="12"/>
  <c r="Y2" i="9"/>
  <c r="Y6" i="9" s="1"/>
  <c r="Y11" i="9" s="1"/>
  <c r="AA22" i="12"/>
  <c r="Z26" i="9"/>
  <c r="AJ27" i="13"/>
  <c r="AI30" i="10"/>
  <c r="AJ12" i="12"/>
  <c r="AI14" i="9"/>
  <c r="AG14" i="12"/>
  <c r="AF17" i="9"/>
  <c r="AK7" i="11"/>
  <c r="AI9" i="8"/>
  <c r="AI5" i="10"/>
  <c r="AF10" i="9"/>
  <c r="AI3" i="10"/>
  <c r="AI15" i="10"/>
  <c r="AI20" i="10" s="1"/>
  <c r="AF13" i="9"/>
  <c r="AI6" i="8"/>
  <c r="AI5" i="8"/>
  <c r="AF18" i="9"/>
  <c r="AF5" i="9"/>
  <c r="AF3" i="9"/>
  <c r="AI9" i="13" s="1"/>
  <c r="AI9" i="10" s="1"/>
  <c r="AI3" i="8"/>
  <c r="AL2" i="11"/>
  <c r="AJ2" i="8"/>
  <c r="AG10" i="13"/>
  <c r="AG10" i="10" s="1"/>
  <c r="J10" i="4" s="1"/>
  <c r="I4" i="3"/>
  <c r="J11" i="2"/>
  <c r="J12" i="2" s="1"/>
  <c r="J14" i="2" s="1"/>
  <c r="AH20" i="10"/>
  <c r="AG11" i="13"/>
  <c r="AG11" i="10" s="1"/>
  <c r="J11" i="4" s="1"/>
  <c r="AD15" i="9"/>
  <c r="AD19" i="9" s="1"/>
  <c r="I12" i="3"/>
  <c r="I15" i="3" s="1"/>
  <c r="I19" i="3" s="1"/>
  <c r="AG13" i="12"/>
  <c r="AF16" i="9"/>
  <c r="AE12" i="9"/>
  <c r="AE4" i="9"/>
  <c r="AH10" i="13" s="1"/>
  <c r="AH10" i="10" s="1"/>
  <c r="AH12" i="13"/>
  <c r="AH12" i="10" s="1"/>
  <c r="AD6" i="12"/>
  <c r="AC7" i="9"/>
  <c r="AI12" i="13" l="1"/>
  <c r="AI12" i="10" s="1"/>
  <c r="AG2" i="13"/>
  <c r="AG2" i="10" s="1"/>
  <c r="AG14" i="10" s="1"/>
  <c r="AG21" i="10"/>
  <c r="AG29" i="10" s="1"/>
  <c r="AE18" i="12"/>
  <c r="AD22" i="9"/>
  <c r="AF14" i="10"/>
  <c r="AH11" i="13"/>
  <c r="AH11" i="10" s="1"/>
  <c r="AE15" i="9"/>
  <c r="AE19" i="9" s="1"/>
  <c r="AJ5" i="10"/>
  <c r="AJ15" i="10"/>
  <c r="AJ20" i="10" s="1"/>
  <c r="AJ3" i="10"/>
  <c r="AG13" i="9"/>
  <c r="AG18" i="9"/>
  <c r="AJ6" i="8"/>
  <c r="AJ5" i="8"/>
  <c r="AG10" i="9"/>
  <c r="AG5" i="9"/>
  <c r="AG3" i="9"/>
  <c r="AJ9" i="13" s="1"/>
  <c r="AJ9" i="10" s="1"/>
  <c r="AJ3" i="8"/>
  <c r="AJ4" i="8" s="1"/>
  <c r="AJ7" i="8" s="1"/>
  <c r="AJ7" i="12"/>
  <c r="AI8" i="9"/>
  <c r="AH13" i="12"/>
  <c r="AG16" i="9"/>
  <c r="AM2" i="11"/>
  <c r="AK2" i="8"/>
  <c r="H26" i="3"/>
  <c r="H28" i="3" s="1"/>
  <c r="H29" i="3" s="1"/>
  <c r="Z28" i="9"/>
  <c r="Z29" i="9" s="1"/>
  <c r="AK27" i="13"/>
  <c r="AJ30" i="10"/>
  <c r="AB22" i="12"/>
  <c r="AA26" i="9"/>
  <c r="AA28" i="9" s="1"/>
  <c r="AA29" i="9" s="1"/>
  <c r="AH21" i="12"/>
  <c r="AG25" i="9"/>
  <c r="AF20" i="12"/>
  <c r="AE24" i="9"/>
  <c r="AF12" i="9"/>
  <c r="AF4" i="9"/>
  <c r="AI10" i="13" s="1"/>
  <c r="AI10" i="10" s="1"/>
  <c r="AL7" i="11"/>
  <c r="AJ9" i="8"/>
  <c r="AH16" i="12"/>
  <c r="AG20" i="9"/>
  <c r="AO9" i="11"/>
  <c r="AM13" i="8"/>
  <c r="AE6" i="12"/>
  <c r="AD7" i="9"/>
  <c r="I7" i="3" s="1"/>
  <c r="AI4" i="8"/>
  <c r="AI7" i="8" s="1"/>
  <c r="AI10" i="8" s="1"/>
  <c r="AH14" i="12"/>
  <c r="AG17" i="9"/>
  <c r="AA2" i="12"/>
  <c r="Z2" i="9"/>
  <c r="K2" i="2"/>
  <c r="AI8" i="12"/>
  <c r="AH9" i="9"/>
  <c r="J9" i="3" s="1"/>
  <c r="AK12" i="12"/>
  <c r="AJ14" i="9"/>
  <c r="AF29" i="10"/>
  <c r="AH12" i="8"/>
  <c r="AG31" i="10" l="1"/>
  <c r="J20" i="4"/>
  <c r="J28" i="4" s="1"/>
  <c r="J30" i="4" s="1"/>
  <c r="J2" i="4"/>
  <c r="J14" i="4" s="1"/>
  <c r="AL27" i="13"/>
  <c r="AK30" i="10"/>
  <c r="K29" i="4" s="1"/>
  <c r="AJ12" i="13"/>
  <c r="AJ12" i="10" s="1"/>
  <c r="AJ10" i="8"/>
  <c r="AF31" i="10"/>
  <c r="AI14" i="12"/>
  <c r="AH17" i="9"/>
  <c r="J17" i="3" s="1"/>
  <c r="AI11" i="13"/>
  <c r="AI11" i="10" s="1"/>
  <c r="AF15" i="9"/>
  <c r="AF19" i="9" s="1"/>
  <c r="AI12" i="8"/>
  <c r="AI11" i="8"/>
  <c r="AK5" i="10"/>
  <c r="AK15" i="10"/>
  <c r="AH18" i="9"/>
  <c r="J18" i="3" s="1"/>
  <c r="AH10" i="9"/>
  <c r="J10" i="3" s="1"/>
  <c r="AK3" i="10"/>
  <c r="AH13" i="9"/>
  <c r="J13" i="3" s="1"/>
  <c r="AH5" i="9"/>
  <c r="AK5" i="8"/>
  <c r="K5" i="2" s="1"/>
  <c r="AK4" i="8"/>
  <c r="AK7" i="8" s="1"/>
  <c r="AH3" i="9"/>
  <c r="AK3" i="8"/>
  <c r="AK6" i="8"/>
  <c r="K6" i="2" s="1"/>
  <c r="AN2" i="11"/>
  <c r="AL2" i="8"/>
  <c r="AF18" i="12"/>
  <c r="AE22" i="9"/>
  <c r="I22" i="3"/>
  <c r="AP9" i="11"/>
  <c r="AO13" i="8" s="1"/>
  <c r="AN13" i="8"/>
  <c r="AG20" i="12"/>
  <c r="AF24" i="9"/>
  <c r="AI13" i="12"/>
  <c r="AH16" i="9"/>
  <c r="J16" i="3" s="1"/>
  <c r="AH2" i="13"/>
  <c r="AH2" i="10" s="1"/>
  <c r="AH21" i="10"/>
  <c r="AL12" i="12"/>
  <c r="AL14" i="9" s="1"/>
  <c r="K14" i="3" s="1"/>
  <c r="AK14" i="9"/>
  <c r="K3" i="4"/>
  <c r="AF6" i="12"/>
  <c r="AE7" i="9"/>
  <c r="AJ8" i="12"/>
  <c r="AI9" i="9"/>
  <c r="AI16" i="12"/>
  <c r="AH20" i="9"/>
  <c r="AI21" i="12"/>
  <c r="AH25" i="9"/>
  <c r="J25" i="3" s="1"/>
  <c r="AK7" i="12"/>
  <c r="AJ8" i="9"/>
  <c r="AB2" i="12"/>
  <c r="AA2" i="9"/>
  <c r="AA6" i="9" s="1"/>
  <c r="AA11" i="9" s="1"/>
  <c r="K5" i="4"/>
  <c r="Z6" i="9"/>
  <c r="Z11" i="9" s="1"/>
  <c r="H2" i="3"/>
  <c r="H6" i="3" s="1"/>
  <c r="H11" i="3" s="1"/>
  <c r="AM7" i="11"/>
  <c r="AK9" i="8"/>
  <c r="K9" i="2" s="1"/>
  <c r="AC22" i="12"/>
  <c r="AB26" i="9"/>
  <c r="AB28" i="9" s="1"/>
  <c r="AB29" i="9" s="1"/>
  <c r="AG12" i="9"/>
  <c r="AG4" i="9"/>
  <c r="AJ10" i="13" s="1"/>
  <c r="AJ10" i="10" s="1"/>
  <c r="K3" i="2"/>
  <c r="K4" i="2" s="1"/>
  <c r="AK10" i="8" l="1"/>
  <c r="K7" i="2"/>
  <c r="K10" i="2" s="1"/>
  <c r="L13" i="2"/>
  <c r="AK12" i="13"/>
  <c r="AK12" i="10" s="1"/>
  <c r="K12" i="4" s="1"/>
  <c r="J5" i="3"/>
  <c r="AJ14" i="12"/>
  <c r="AI17" i="9"/>
  <c r="AC2" i="12"/>
  <c r="AB2" i="9"/>
  <c r="AB6" i="9" s="1"/>
  <c r="AB11" i="9" s="1"/>
  <c r="AJ11" i="13"/>
  <c r="AJ11" i="10" s="1"/>
  <c r="AG15" i="9"/>
  <c r="AG19" i="9" s="1"/>
  <c r="AJ11" i="8"/>
  <c r="AJ12" i="8"/>
  <c r="AG18" i="12"/>
  <c r="AF22" i="9"/>
  <c r="AD22" i="12"/>
  <c r="AC26" i="9"/>
  <c r="AC28" i="9" s="1"/>
  <c r="AC29" i="9" s="1"/>
  <c r="AH29" i="10"/>
  <c r="AL5" i="10"/>
  <c r="AL15" i="10"/>
  <c r="AL3" i="10"/>
  <c r="AI18" i="9"/>
  <c r="AI13" i="9"/>
  <c r="AI5" i="9"/>
  <c r="AL5" i="8"/>
  <c r="AI10" i="9"/>
  <c r="AI3" i="9"/>
  <c r="AL9" i="13" s="1"/>
  <c r="AL9" i="10" s="1"/>
  <c r="AL3" i="8"/>
  <c r="AL6" i="8"/>
  <c r="AK20" i="10"/>
  <c r="K15" i="4"/>
  <c r="K19" i="4" s="1"/>
  <c r="AG6" i="12"/>
  <c r="AF7" i="9"/>
  <c r="AJ21" i="12"/>
  <c r="AI25" i="9"/>
  <c r="AH14" i="10"/>
  <c r="AO2" i="11"/>
  <c r="AM2" i="8"/>
  <c r="AM27" i="13"/>
  <c r="AL30" i="10"/>
  <c r="J20" i="3"/>
  <c r="AL7" i="12"/>
  <c r="AL8" i="9" s="1"/>
  <c r="K8" i="3" s="1"/>
  <c r="AK8" i="9"/>
  <c r="AJ13" i="12"/>
  <c r="AI16" i="9"/>
  <c r="AI2" i="13"/>
  <c r="AI2" i="10" s="1"/>
  <c r="AI14" i="10" s="1"/>
  <c r="AI31" i="10" s="1"/>
  <c r="AI21" i="10"/>
  <c r="AI29" i="10" s="1"/>
  <c r="AN7" i="11"/>
  <c r="AL9" i="8"/>
  <c r="AJ16" i="12"/>
  <c r="AI20" i="9"/>
  <c r="AH12" i="9"/>
  <c r="AH4" i="9"/>
  <c r="AK9" i="13"/>
  <c r="AK9" i="10" s="1"/>
  <c r="K9" i="4" s="1"/>
  <c r="J3" i="3"/>
  <c r="AK8" i="12"/>
  <c r="AJ9" i="9"/>
  <c r="AH20" i="12"/>
  <c r="AG24" i="9"/>
  <c r="AK11" i="8"/>
  <c r="K11" i="2" s="1"/>
  <c r="AL20" i="10" l="1"/>
  <c r="AK12" i="8"/>
  <c r="AN27" i="13"/>
  <c r="AM30" i="10"/>
  <c r="AI12" i="9"/>
  <c r="AI4" i="9"/>
  <c r="AL10" i="13" s="1"/>
  <c r="AL10" i="10" s="1"/>
  <c r="AD2" i="12"/>
  <c r="AC2" i="9"/>
  <c r="AC6" i="9" s="1"/>
  <c r="AC11" i="9" s="1"/>
  <c r="AK16" i="12"/>
  <c r="AJ20" i="9"/>
  <c r="AL8" i="12"/>
  <c r="AL9" i="9" s="1"/>
  <c r="K9" i="3" s="1"/>
  <c r="AK9" i="9"/>
  <c r="AH31" i="10"/>
  <c r="AL4" i="8"/>
  <c r="AL7" i="8" s="1"/>
  <c r="AL10" i="8" s="1"/>
  <c r="AK14" i="12"/>
  <c r="AJ17" i="9"/>
  <c r="AJ18" i="9"/>
  <c r="AM15" i="10"/>
  <c r="AM20" i="10" s="1"/>
  <c r="AM3" i="10"/>
  <c r="AM5" i="10"/>
  <c r="AJ13" i="9"/>
  <c r="AJ5" i="9"/>
  <c r="AJ3" i="9"/>
  <c r="AM9" i="13" s="1"/>
  <c r="AM9" i="10" s="1"/>
  <c r="AM5" i="8"/>
  <c r="AJ10" i="9"/>
  <c r="AM3" i="8"/>
  <c r="AM6" i="8"/>
  <c r="AI20" i="12"/>
  <c r="AH24" i="9"/>
  <c r="J24" i="3" s="1"/>
  <c r="AP2" i="11"/>
  <c r="AO2" i="8" s="1"/>
  <c r="AN2" i="8"/>
  <c r="AE22" i="12"/>
  <c r="AD26" i="9"/>
  <c r="AK13" i="12"/>
  <c r="AJ16" i="9"/>
  <c r="AH18" i="12"/>
  <c r="AG22" i="9"/>
  <c r="AO7" i="11"/>
  <c r="AM9" i="8"/>
  <c r="AK21" i="12"/>
  <c r="AJ25" i="9"/>
  <c r="AL12" i="13"/>
  <c r="AL12" i="10" s="1"/>
  <c r="AK11" i="13"/>
  <c r="AK11" i="10" s="1"/>
  <c r="K11" i="4" s="1"/>
  <c r="AH15" i="9"/>
  <c r="AH19" i="9" s="1"/>
  <c r="J12" i="3"/>
  <c r="J15" i="3" s="1"/>
  <c r="J19" i="3" s="1"/>
  <c r="AJ2" i="13"/>
  <c r="AJ2" i="10" s="1"/>
  <c r="AJ14" i="10" s="1"/>
  <c r="AJ21" i="10"/>
  <c r="AJ29" i="10" s="1"/>
  <c r="AK10" i="13"/>
  <c r="AK10" i="10" s="1"/>
  <c r="K10" i="4" s="1"/>
  <c r="J4" i="3"/>
  <c r="AH6" i="12"/>
  <c r="AG7" i="9"/>
  <c r="K12" i="2"/>
  <c r="K14" i="2" s="1"/>
  <c r="AM12" i="13" l="1"/>
  <c r="AM12" i="10" s="1"/>
  <c r="AO27" i="13"/>
  <c r="AO30" i="10" s="1"/>
  <c r="AN30" i="10"/>
  <c r="L29" i="4" s="1"/>
  <c r="AF22" i="12"/>
  <c r="AE26" i="9"/>
  <c r="AE28" i="9" s="1"/>
  <c r="AE29" i="9" s="1"/>
  <c r="AL16" i="12"/>
  <c r="AL20" i="9" s="1"/>
  <c r="AK20" i="9"/>
  <c r="AK2" i="13"/>
  <c r="AK2" i="10" s="1"/>
  <c r="AK21" i="10"/>
  <c r="AK29" i="10" s="1"/>
  <c r="AL21" i="12"/>
  <c r="AL25" i="9" s="1"/>
  <c r="K25" i="3" s="1"/>
  <c r="AK25" i="9"/>
  <c r="AI6" i="12"/>
  <c r="AH7" i="9"/>
  <c r="J7" i="3" s="1"/>
  <c r="AJ20" i="12"/>
  <c r="AI24" i="9"/>
  <c r="AE2" i="12"/>
  <c r="AD2" i="9"/>
  <c r="I26" i="3"/>
  <c r="I28" i="3" s="1"/>
  <c r="I29" i="3" s="1"/>
  <c r="AD28" i="9"/>
  <c r="AD29" i="9" s="1"/>
  <c r="AO15" i="10"/>
  <c r="AO20" i="10" s="1"/>
  <c r="AO3" i="10"/>
  <c r="AL18" i="9"/>
  <c r="K18" i="3" s="1"/>
  <c r="AL13" i="9"/>
  <c r="K13" i="3" s="1"/>
  <c r="AL3" i="9"/>
  <c r="AL10" i="9"/>
  <c r="K10" i="3" s="1"/>
  <c r="AO3" i="8"/>
  <c r="AL5" i="9"/>
  <c r="AO5" i="10"/>
  <c r="AO6" i="8"/>
  <c r="AO5" i="8"/>
  <c r="AP7" i="11"/>
  <c r="AO9" i="8" s="1"/>
  <c r="AN9" i="8"/>
  <c r="AJ4" i="9"/>
  <c r="AM10" i="13" s="1"/>
  <c r="AM10" i="10" s="1"/>
  <c r="AJ12" i="9"/>
  <c r="AK18" i="9"/>
  <c r="AN15" i="10"/>
  <c r="AN20" i="10" s="1"/>
  <c r="AN5" i="10"/>
  <c r="AK3" i="9"/>
  <c r="AN9" i="13" s="1"/>
  <c r="AN9" i="10" s="1"/>
  <c r="AN6" i="8"/>
  <c r="AK13" i="9"/>
  <c r="AK10" i="9"/>
  <c r="AN3" i="8"/>
  <c r="AN4" i="8" s="1"/>
  <c r="AN3" i="10"/>
  <c r="L3" i="4" s="1"/>
  <c r="AK5" i="9"/>
  <c r="AN5" i="8"/>
  <c r="L5" i="2" s="1"/>
  <c r="L2" i="2"/>
  <c r="AL14" i="12"/>
  <c r="AL17" i="9" s="1"/>
  <c r="K17" i="3" s="1"/>
  <c r="AK17" i="9"/>
  <c r="AM4" i="8"/>
  <c r="AM7" i="8" s="1"/>
  <c r="AM10" i="8" s="1"/>
  <c r="AL11" i="13"/>
  <c r="AL11" i="10" s="1"/>
  <c r="AI15" i="9"/>
  <c r="AI19" i="9" s="1"/>
  <c r="AI18" i="12"/>
  <c r="AH22" i="9"/>
  <c r="AJ31" i="10"/>
  <c r="AL13" i="12"/>
  <c r="AL16" i="9" s="1"/>
  <c r="K16" i="3" s="1"/>
  <c r="AK16" i="9"/>
  <c r="AL11" i="8"/>
  <c r="AL12" i="8" s="1"/>
  <c r="AN12" i="13" l="1"/>
  <c r="AN12" i="10" s="1"/>
  <c r="L9" i="2"/>
  <c r="L5" i="4"/>
  <c r="L6" i="2"/>
  <c r="K20" i="3"/>
  <c r="AO12" i="13"/>
  <c r="AO12" i="10" s="1"/>
  <c r="K5" i="3"/>
  <c r="AF2" i="12"/>
  <c r="AE2" i="9"/>
  <c r="AE6" i="9" s="1"/>
  <c r="AE11" i="9" s="1"/>
  <c r="AL2" i="13"/>
  <c r="AL2" i="10" s="1"/>
  <c r="AL21" i="10"/>
  <c r="AL12" i="9"/>
  <c r="AL4" i="9"/>
  <c r="AG22" i="12"/>
  <c r="AF26" i="9"/>
  <c r="AF28" i="9" s="1"/>
  <c r="AF29" i="9" s="1"/>
  <c r="AK20" i="12"/>
  <c r="AJ24" i="9"/>
  <c r="AD6" i="9"/>
  <c r="AD11" i="9" s="1"/>
  <c r="I2" i="3"/>
  <c r="I6" i="3" s="1"/>
  <c r="I11" i="3" s="1"/>
  <c r="AN7" i="8"/>
  <c r="AN10" i="8" s="1"/>
  <c r="L3" i="2"/>
  <c r="L4" i="2" s="1"/>
  <c r="L7" i="2" s="1"/>
  <c r="L10" i="2" s="1"/>
  <c r="AO4" i="8"/>
  <c r="AO7" i="8" s="1"/>
  <c r="AO10" i="8" s="1"/>
  <c r="J22" i="3"/>
  <c r="AM11" i="13"/>
  <c r="AM11" i="10" s="1"/>
  <c r="AJ15" i="9"/>
  <c r="AJ19" i="9" s="1"/>
  <c r="AO9" i="13"/>
  <c r="AO9" i="10" s="1"/>
  <c r="L9" i="4" s="1"/>
  <c r="K3" i="3"/>
  <c r="AJ6" i="12"/>
  <c r="AI7" i="9"/>
  <c r="AJ18" i="12"/>
  <c r="AI22" i="9"/>
  <c r="AK12" i="9"/>
  <c r="AK4" i="9"/>
  <c r="AN10" i="13" s="1"/>
  <c r="AN10" i="10" s="1"/>
  <c r="L15" i="4"/>
  <c r="L19" i="4" s="1"/>
  <c r="AM11" i="8"/>
  <c r="AM12" i="8" s="1"/>
  <c r="AK14" i="10"/>
  <c r="AK31" i="10" s="1"/>
  <c r="K2" i="4"/>
  <c r="K14" i="4" s="1"/>
  <c r="K20" i="4"/>
  <c r="K28" i="4" s="1"/>
  <c r="L12" i="4" l="1"/>
  <c r="AM2" i="13"/>
  <c r="AM2" i="10" s="1"/>
  <c r="AM14" i="10" s="1"/>
  <c r="AM21" i="10"/>
  <c r="AM29" i="10" s="1"/>
  <c r="AL29" i="10"/>
  <c r="AL14" i="10"/>
  <c r="AL31" i="10" s="1"/>
  <c r="AG2" i="12"/>
  <c r="AF2" i="9"/>
  <c r="AF6" i="9" s="1"/>
  <c r="AF11" i="9" s="1"/>
  <c r="AN11" i="8"/>
  <c r="AN12" i="8" s="1"/>
  <c r="AK18" i="12"/>
  <c r="AJ22" i="9"/>
  <c r="AN11" i="13"/>
  <c r="AN11" i="10" s="1"/>
  <c r="L11" i="4" s="1"/>
  <c r="AK15" i="9"/>
  <c r="AK19" i="9" s="1"/>
  <c r="AH22" i="12"/>
  <c r="AG26" i="9"/>
  <c r="AG28" i="9" s="1"/>
  <c r="AG29" i="9" s="1"/>
  <c r="AO11" i="8"/>
  <c r="AO12" i="8" s="1"/>
  <c r="AO10" i="13"/>
  <c r="AO10" i="10" s="1"/>
  <c r="L10" i="4" s="1"/>
  <c r="K4" i="3"/>
  <c r="K30" i="4"/>
  <c r="AK6" i="12"/>
  <c r="AJ7" i="9"/>
  <c r="AL20" i="12"/>
  <c r="AL24" i="9" s="1"/>
  <c r="K24" i="3" s="1"/>
  <c r="AK24" i="9"/>
  <c r="AO11" i="13"/>
  <c r="AO11" i="10" s="1"/>
  <c r="AL15" i="9"/>
  <c r="AL19" i="9" s="1"/>
  <c r="K12" i="3"/>
  <c r="K15" i="3" s="1"/>
  <c r="K19" i="3" s="1"/>
  <c r="AO2" i="13" l="1"/>
  <c r="AO2" i="10" s="1"/>
  <c r="AO14" i="10" s="1"/>
  <c r="AO21" i="10"/>
  <c r="AO29" i="10" s="1"/>
  <c r="AI22" i="12"/>
  <c r="AH26" i="9"/>
  <c r="AM31" i="10"/>
  <c r="AN2" i="13"/>
  <c r="AN2" i="10" s="1"/>
  <c r="AN21" i="10"/>
  <c r="AH2" i="12"/>
  <c r="AG2" i="9"/>
  <c r="AG6" i="9" s="1"/>
  <c r="AG11" i="9" s="1"/>
  <c r="AL6" i="12"/>
  <c r="AL7" i="9" s="1"/>
  <c r="K7" i="3" s="1"/>
  <c r="AK7" i="9"/>
  <c r="AL18" i="12"/>
  <c r="AL22" i="9" s="1"/>
  <c r="AK22" i="9"/>
  <c r="L11" i="2"/>
  <c r="L12" i="2" s="1"/>
  <c r="L14" i="2" s="1"/>
  <c r="AN14" i="10" l="1"/>
  <c r="L2" i="4"/>
  <c r="L14" i="4" s="1"/>
  <c r="AJ22" i="12"/>
  <c r="AI26" i="9"/>
  <c r="AI28" i="9" s="1"/>
  <c r="AI29" i="9" s="1"/>
  <c r="AI2" i="12"/>
  <c r="AH2" i="9"/>
  <c r="K22" i="3"/>
  <c r="AN29" i="10"/>
  <c r="L20" i="4"/>
  <c r="L28" i="4" s="1"/>
  <c r="J26" i="3"/>
  <c r="J28" i="3" s="1"/>
  <c r="J29" i="3" s="1"/>
  <c r="AH28" i="9"/>
  <c r="AH29" i="9" s="1"/>
  <c r="AO31" i="10"/>
  <c r="AH6" i="9" l="1"/>
  <c r="AH11" i="9" s="1"/>
  <c r="J2" i="3"/>
  <c r="J6" i="3" s="1"/>
  <c r="J11" i="3" s="1"/>
  <c r="AJ2" i="12"/>
  <c r="AI2" i="9"/>
  <c r="AI6" i="9" s="1"/>
  <c r="AI11" i="9" s="1"/>
  <c r="AK22" i="12"/>
  <c r="AJ26" i="9"/>
  <c r="AJ28" i="9" s="1"/>
  <c r="AJ29" i="9" s="1"/>
  <c r="L30" i="4"/>
  <c r="AN31" i="10"/>
  <c r="AL22" i="12" l="1"/>
  <c r="AL26" i="9" s="1"/>
  <c r="AK26" i="9"/>
  <c r="AK28" i="9" s="1"/>
  <c r="AK29" i="9" s="1"/>
  <c r="AK2" i="12"/>
  <c r="AJ2" i="9"/>
  <c r="AJ6" i="9" s="1"/>
  <c r="AJ11" i="9" s="1"/>
  <c r="AL2" i="12" l="1"/>
  <c r="AL2" i="9" s="1"/>
  <c r="AK2" i="9"/>
  <c r="AK6" i="9" s="1"/>
  <c r="AK11" i="9" s="1"/>
  <c r="K26" i="3"/>
  <c r="K28" i="3" s="1"/>
  <c r="K29" i="3" s="1"/>
  <c r="AL28" i="9"/>
  <c r="AL29" i="9" s="1"/>
  <c r="AL6" i="9" l="1"/>
  <c r="AL11" i="9" s="1"/>
  <c r="K2" i="3"/>
  <c r="K6" i="3" s="1"/>
  <c r="K11" i="3" s="1"/>
</calcChain>
</file>

<file path=xl/sharedStrings.xml><?xml version="1.0" encoding="utf-8"?>
<sst xmlns="http://schemas.openxmlformats.org/spreadsheetml/2006/main" count="595" uniqueCount="144">
  <si>
    <t>Assumption</t>
  </si>
  <si>
    <t>Value</t>
  </si>
  <si>
    <t>Note</t>
  </si>
  <si>
    <t>Days in Quarter</t>
  </si>
  <si>
    <t>Used by DSO/DIO/DPO ratios. Approximation; varies 89-92 by quarter.</t>
  </si>
  <si>
    <t>FY2021</t>
  </si>
  <si>
    <t>FY2022</t>
  </si>
  <si>
    <t>FY2023</t>
  </si>
  <si>
    <t>FY2024</t>
  </si>
  <si>
    <t>FY2025</t>
  </si>
  <si>
    <t>FY2026E</t>
  </si>
  <si>
    <t>FY2027E</t>
  </si>
  <si>
    <t>FY2028E</t>
  </si>
  <si>
    <t>FY2029E</t>
  </si>
  <si>
    <t>FY2030E</t>
  </si>
  <si>
    <t>FY2031E</t>
  </si>
  <si>
    <t>Net Sales / Revenue</t>
  </si>
  <si>
    <t>COGS</t>
  </si>
  <si>
    <t>Gross Profit (Loss)</t>
  </si>
  <si>
    <t>SG&amp;A</t>
  </si>
  <si>
    <t>Impairment of Intangibles</t>
  </si>
  <si>
    <t>Income (Loss) from Operations</t>
  </si>
  <si>
    <t>Interest Income (Expense)</t>
  </si>
  <si>
    <t>Other Income (Expense)</t>
  </si>
  <si>
    <t>Pre-Tax Income (Loss)</t>
  </si>
  <si>
    <t>Income Tax (Expense) Benefit</t>
  </si>
  <si>
    <t>Net Income (Loss)</t>
  </si>
  <si>
    <t>Net Income (Loss) Attributable to Noncontrolling Interest</t>
  </si>
  <si>
    <t>Net Income (Loss) Less NCI</t>
  </si>
  <si>
    <t>Basic Earnings (Loss) per Share</t>
  </si>
  <si>
    <t>Diluted Earnings (Loss) per Share</t>
  </si>
  <si>
    <t>Cash &amp; Cash Equivalents</t>
  </si>
  <si>
    <t>Accounts Receivable</t>
  </si>
  <si>
    <t>Inventories</t>
  </si>
  <si>
    <t>Prepaid Expenses</t>
  </si>
  <si>
    <t>Total Current Assets</t>
  </si>
  <si>
    <t>Net PP&amp;E</t>
  </si>
  <si>
    <t>Goodwill</t>
  </si>
  <si>
    <t>Intangible Assets</t>
  </si>
  <si>
    <t>Other Non-Current Assets</t>
  </si>
  <si>
    <t>Total Assets</t>
  </si>
  <si>
    <t>Accounts Payable</t>
  </si>
  <si>
    <t>Accrued Expenses</t>
  </si>
  <si>
    <t>Current Portion of Long-Term Debt</t>
  </si>
  <si>
    <t>Total Current Liabilities</t>
  </si>
  <si>
    <t>Long-Term Debt</t>
  </si>
  <si>
    <t>Deferred Tax Liability</t>
  </si>
  <si>
    <t>Other Non-Current Liabilities</t>
  </si>
  <si>
    <t>Total Liabilities</t>
  </si>
  <si>
    <t>Convertible Preferred Stock</t>
  </si>
  <si>
    <t>Common Stock</t>
  </si>
  <si>
    <t>Additional Paid-in Capital</t>
  </si>
  <si>
    <t>ESOP Debt Retirement Reserve</t>
  </si>
  <si>
    <t>Accumulated Other Comprehensive Income (Loss)</t>
  </si>
  <si>
    <t>Treasury Stock</t>
  </si>
  <si>
    <t>Retained Earnings (Accumulated Deficit)</t>
  </si>
  <si>
    <t>Noncontrolling Interest</t>
  </si>
  <si>
    <t>Total Stockholders' Equity</t>
  </si>
  <si>
    <t>Total Liabilities, Mezzanine &amp; Stockholders' Equity</t>
  </si>
  <si>
    <t>Depreciation &amp; Amortization</t>
  </si>
  <si>
    <t>Gain (Loss) on Extinguishment of Debt</t>
  </si>
  <si>
    <t>Stock-Based Compensation</t>
  </si>
  <si>
    <t>(Benefit) Provision for Deferred Income Taxes</t>
  </si>
  <si>
    <t>Gain (Loss) on Disposal of PP&amp;E</t>
  </si>
  <si>
    <t>Net Change in Other Working Capital</t>
  </si>
  <si>
    <t>Other Operating Items</t>
  </si>
  <si>
    <t>Cash Flow from Operations</t>
  </si>
  <si>
    <t>Purchase of PP&amp;E</t>
  </si>
  <si>
    <t>Proceeds from Sale of Assets</t>
  </si>
  <si>
    <t>Acquisitions, Net of Cash Acquired</t>
  </si>
  <si>
    <t>Other Investing Activities</t>
  </si>
  <si>
    <t>Cash Flow from Investing</t>
  </si>
  <si>
    <t>Common Dividends</t>
  </si>
  <si>
    <t>Proceeds from Short-Term Debt</t>
  </si>
  <si>
    <t>Repayments of Short-Term Debt</t>
  </si>
  <si>
    <t>Net Change in Other Short-Term Debt</t>
  </si>
  <si>
    <t>Proceeds from Issuance of Long-Term Debt</t>
  </si>
  <si>
    <t>Repayments of Long-Term Debt</t>
  </si>
  <si>
    <t>Share Repurchases</t>
  </si>
  <si>
    <t>Stock Options &amp; Other Financing Activities</t>
  </si>
  <si>
    <t>Cash Flow from Financing</t>
  </si>
  <si>
    <t>FX Effect on Cash</t>
  </si>
  <si>
    <t>Net Change in Cash</t>
  </si>
  <si>
    <t>Q1 FY2022</t>
  </si>
  <si>
    <t>Q2 FY2022</t>
  </si>
  <si>
    <t>Q3 FY2022</t>
  </si>
  <si>
    <t>Q1 FY2023</t>
  </si>
  <si>
    <t>Q2 FY2023</t>
  </si>
  <si>
    <t>Q3 FY2023</t>
  </si>
  <si>
    <t>Q1 FY2024</t>
  </si>
  <si>
    <t>Q2 FY2024</t>
  </si>
  <si>
    <t>Q3 FY2024</t>
  </si>
  <si>
    <t>Q1 FY2025</t>
  </si>
  <si>
    <t>Q2 FY2025</t>
  </si>
  <si>
    <t>Q3 FY2025</t>
  </si>
  <si>
    <t>Q1 FY2026</t>
  </si>
  <si>
    <t>Q2 FY2026</t>
  </si>
  <si>
    <t>Weighted Average Shares Outstanding (Basic)</t>
  </si>
  <si>
    <t>Q4 FY2022</t>
  </si>
  <si>
    <t>Q4 FY2023</t>
  </si>
  <si>
    <t>Q4 FY2024</t>
  </si>
  <si>
    <t>Q4 FY2025</t>
  </si>
  <si>
    <t>Net Change in Short-Term Investments</t>
  </si>
  <si>
    <t>Q3 FY2026E</t>
  </si>
  <si>
    <t>Q4 FY2026E</t>
  </si>
  <si>
    <t>Q1 FY2027E</t>
  </si>
  <si>
    <t>Q2 FY2027E</t>
  </si>
  <si>
    <t>Q3 FY2027E</t>
  </si>
  <si>
    <t>Q4 FY2027E</t>
  </si>
  <si>
    <t>Q1 FY2028E</t>
  </si>
  <si>
    <t>Q2 FY2028E</t>
  </si>
  <si>
    <t>Q3 FY2028E</t>
  </si>
  <si>
    <t>Q4 FY2028E</t>
  </si>
  <si>
    <t>Q1 FY2029E</t>
  </si>
  <si>
    <t>Q2 FY2029E</t>
  </si>
  <si>
    <t>Q3 FY2029E</t>
  </si>
  <si>
    <t>Q4 FY2029E</t>
  </si>
  <si>
    <t>Q1 FY2030E</t>
  </si>
  <si>
    <t>Q2 FY2030E</t>
  </si>
  <si>
    <t>Q3 FY2030E</t>
  </si>
  <si>
    <t>Q4 FY2030E</t>
  </si>
  <si>
    <t>Q1 FY2031E</t>
  </si>
  <si>
    <t>Q2 FY2031E</t>
  </si>
  <si>
    <t>Q3 FY2031E</t>
  </si>
  <si>
    <t>Q4 FY2031E</t>
  </si>
  <si>
    <t>Driver</t>
  </si>
  <si>
    <t>Basis</t>
  </si>
  <si>
    <t>Net Sales / Revenue — Growth %</t>
  </si>
  <si>
    <t>YoY</t>
  </si>
  <si>
    <t>COGS — % of Revenue</t>
  </si>
  <si>
    <t>SG&amp;A — % of Revenue</t>
  </si>
  <si>
    <t>Impairment of Intangibles — % of Revenue</t>
  </si>
  <si>
    <t>Income Tax (Expense) Benefit — Effective Tax Rate %</t>
  </si>
  <si>
    <t>Accounts Receivable — DSO (days)</t>
  </si>
  <si>
    <t>Inventories — DIO (days)</t>
  </si>
  <si>
    <t>Prepaid Expenses — % of Revenue</t>
  </si>
  <si>
    <t>Other Non-Current Assets — % of Revenue</t>
  </si>
  <si>
    <t>Accounts Payable — DPO (days)</t>
  </si>
  <si>
    <t>Accrued Expenses — % of Revenue</t>
  </si>
  <si>
    <t>Other Non-Current Liabilities — % of Revenue</t>
  </si>
  <si>
    <t>Depreciation &amp; Amortization — % of Revenue</t>
  </si>
  <si>
    <t>Stock-Based Compensation — % of Revenue</t>
  </si>
  <si>
    <t>Purchase of PP&amp;E — % of Revenue</t>
  </si>
  <si>
    <t>Common Dividends — % of 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</si>
</sst>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;\(#,##0\);&quot;--&quot;"/>
    <numFmt numFmtId="165" formatCode="\$#,##0_);\(\$#,##0\);&quot;$--&quot;_)"/>
    <numFmt numFmtId="166" formatCode="\$#,##0.00_);\(\$#,##0.00\)"/>
    <numFmt numFmtId="167" formatCode="0.0%;\(0.0%\);&quot;--&quot;"/>
    <numFmt numFmtId="168" formatCode="0.0_);\(0.0\)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164" fontId="0" fillId="0" borderId="0" xfId="0" applyNumberFormat="1"/>
    <xf numFmtId="0" fontId="0" fillId="3" borderId="0" xfId="0" applyFill="1"/>
    <xf numFmtId="165" fontId="2" fillId="0" borderId="1" xfId="0" applyNumberFormat="1" applyFont="1" applyBorder="1"/>
    <xf numFmtId="165" fontId="2" fillId="3" borderId="1" xfId="0" applyNumberFormat="1" applyFont="1" applyFill="1" applyBorder="1"/>
    <xf numFmtId="166" fontId="0" fillId="0" borderId="0" xfId="0" applyNumberFormat="1"/>
    <xf numFmtId="166" fontId="0" fillId="3" borderId="0" xfId="0" applyNumberFormat="1" applyFill="1"/>
    <xf numFmtId="0" fontId="0" fillId="4" borderId="0" xfId="0" applyFill="1"/>
    <xf numFmtId="164" fontId="0" fillId="3" borderId="0" xfId="0" applyNumberFormat="1" applyFill="1"/>
    <xf numFmtId="0" fontId="0" fillId="4" borderId="0" xfId="0" applyFill="1" applyAlignment="1">
      <alignment horizontal="center"/>
    </xf>
    <xf numFmtId="167" fontId="0" fillId="0" borderId="0" xfId="0" applyNumberFormat="1"/>
    <xf numFmtId="167" fontId="0" fillId="4" borderId="0" xfId="0" applyNumberFormat="1" applyFill="1"/>
    <xf numFmtId="164" fontId="0" fillId="4" borderId="0" xfId="0" applyNumberFormat="1" applyFill="1"/>
    <xf numFmtId="168" fontId="0" fillId="0" borderId="0" xfId="0" applyNumberFormat="1"/>
    <xf numFmtId="168" fontId="0" fillId="4" borderId="0" xfId="0" applyNumberForma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tabSelected="1"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12" customWidth="1"/>
    <col min="3" max="3" width="60" customWidth="1"/>
  </cols>
  <sheetData>
    <row r="1" spans="1:3" x14ac:dyDescent="0.25">
      <c r="A1" s="2" t="s">
        <v>0</v>
      </c>
      <c r="B1" s="2" t="s">
        <v>1</v>
      </c>
      <c r="C1" s="2" t="s">
        <v>2</v>
      </c>
    </row>
    <row r="2" spans="1:3" x14ac:dyDescent="0.25">
      <c r="A2" s="3" t="s">
        <v>3</v>
      </c>
      <c r="B2" s="10">
        <v>91</v>
      </c>
      <c r="C2" t="s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6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2" width="13" customWidth="1"/>
  </cols>
  <sheetData>
    <row r="1" spans="1:12" x14ac:dyDescent="0.25">
      <c r="A1" s="1"/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</row>
    <row r="2" spans="1:12" x14ac:dyDescent="0.25">
      <c r="A2" s="3" t="s">
        <v>16</v>
      </c>
      <c r="B2" s="4">
        <v>76118</v>
      </c>
      <c r="C2" s="4">
        <v>80187</v>
      </c>
      <c r="D2" s="4">
        <v>82006</v>
      </c>
      <c r="E2" s="4">
        <v>84039</v>
      </c>
      <c r="F2" s="4">
        <v>84284</v>
      </c>
      <c r="G2" s="11">
        <f>'QTR P&amp;L'!R2+'QTR P&amp;L'!S2+'QTR P&amp;L'!T2+'QTR P&amp;L'!U2</f>
        <v>85864.830819851937</v>
      </c>
      <c r="H2" s="11">
        <f>'QTR P&amp;L'!V2+'QTR P&amp;L'!W2+'QTR P&amp;L'!X2+'QTR P&amp;L'!Y2</f>
        <v>87144.052776129771</v>
      </c>
      <c r="I2" s="11">
        <f>'QTR P&amp;L'!Z2+'QTR P&amp;L'!AA2+'QTR P&amp;L'!AB2+'QTR P&amp;L'!AC2</f>
        <v>88442.332695927704</v>
      </c>
      <c r="J2" s="11">
        <f>'QTR P&amp;L'!AD2+'QTR P&amp;L'!AE2+'QTR P&amp;L'!AF2+'QTR P&amp;L'!AG2</f>
        <v>89759.954506496768</v>
      </c>
      <c r="K2" s="11">
        <f>'QTR P&amp;L'!AH2+'QTR P&amp;L'!AI2+'QTR P&amp;L'!AJ2+'QTR P&amp;L'!AK2</f>
        <v>91097.206365061691</v>
      </c>
      <c r="L2" s="11">
        <f>'QTR P&amp;L'!AL2+'QTR P&amp;L'!AM2+'QTR P&amp;L'!AN2+'QTR P&amp;L'!AO2</f>
        <v>92454.380721839407</v>
      </c>
    </row>
    <row r="3" spans="1:12" x14ac:dyDescent="0.25">
      <c r="A3" s="3" t="s">
        <v>17</v>
      </c>
      <c r="B3" s="4">
        <v>-37108</v>
      </c>
      <c r="C3" s="4">
        <v>-42157</v>
      </c>
      <c r="D3" s="4">
        <v>-42760</v>
      </c>
      <c r="E3" s="4">
        <v>-40848</v>
      </c>
      <c r="F3" s="4">
        <v>-41164</v>
      </c>
      <c r="G3" s="11">
        <f>'QTR P&amp;L'!R3+'QTR P&amp;L'!S3+'QTR P&amp;L'!T3+'QTR P&amp;L'!U3</f>
        <v>-41854.653687962709</v>
      </c>
      <c r="H3" s="11">
        <f>'QTR P&amp;L'!V3+'QTR P&amp;L'!W3+'QTR P&amp;L'!X3+'QTR P&amp;L'!Y3</f>
        <v>-42512.548080718203</v>
      </c>
      <c r="I3" s="11">
        <f>'QTR P&amp;L'!Z3+'QTR P&amp;L'!AA3+'QTR P&amp;L'!AB3+'QTR P&amp;L'!AC3</f>
        <v>-43145.903837701757</v>
      </c>
      <c r="J3" s="11">
        <f>'QTR P&amp;L'!AD3+'QTR P&amp;L'!AE3+'QTR P&amp;L'!AF3+'QTR P&amp;L'!AG3</f>
        <v>-43788.695385599145</v>
      </c>
      <c r="K3" s="11">
        <f>'QTR P&amp;L'!AH3+'QTR P&amp;L'!AI3+'QTR P&amp;L'!AJ3+'QTR P&amp;L'!AK3</f>
        <v>-44441.063299670306</v>
      </c>
      <c r="L3" s="11">
        <f>'QTR P&amp;L'!AL3+'QTR P&amp;L'!AM3+'QTR P&amp;L'!AN3+'QTR P&amp;L'!AO3</f>
        <v>-45103.150249478029</v>
      </c>
    </row>
    <row r="4" spans="1:12" x14ac:dyDescent="0.25">
      <c r="A4" s="3" t="s">
        <v>18</v>
      </c>
      <c r="B4" s="6">
        <f t="shared" ref="B4:L4" si="0">B2+B3</f>
        <v>39010</v>
      </c>
      <c r="C4" s="6">
        <f t="shared" si="0"/>
        <v>38030</v>
      </c>
      <c r="D4" s="6">
        <f t="shared" si="0"/>
        <v>39246</v>
      </c>
      <c r="E4" s="6">
        <f t="shared" si="0"/>
        <v>43191</v>
      </c>
      <c r="F4" s="6">
        <f t="shared" si="0"/>
        <v>43120</v>
      </c>
      <c r="G4" s="7">
        <f t="shared" si="0"/>
        <v>44010.177131889228</v>
      </c>
      <c r="H4" s="7">
        <f t="shared" si="0"/>
        <v>44631.504695411568</v>
      </c>
      <c r="I4" s="7">
        <f t="shared" si="0"/>
        <v>45296.428858225947</v>
      </c>
      <c r="J4" s="7">
        <f t="shared" si="0"/>
        <v>45971.259120897623</v>
      </c>
      <c r="K4" s="7">
        <f t="shared" si="0"/>
        <v>46656.143065391385</v>
      </c>
      <c r="L4" s="7">
        <f t="shared" si="0"/>
        <v>47351.230472361378</v>
      </c>
    </row>
    <row r="5" spans="1:12" x14ac:dyDescent="0.25">
      <c r="A5" s="3" t="s">
        <v>19</v>
      </c>
      <c r="B5" s="4">
        <v>-21024</v>
      </c>
      <c r="C5" s="4">
        <v>-20217</v>
      </c>
      <c r="D5" s="4">
        <v>-21112</v>
      </c>
      <c r="E5" s="4">
        <v>-23305</v>
      </c>
      <c r="F5" s="4">
        <v>-22669</v>
      </c>
      <c r="G5" s="11">
        <f>'QTR P&amp;L'!R5+'QTR P&amp;L'!S5+'QTR P&amp;L'!T5+'QTR P&amp;L'!U5</f>
        <v>-22816.127502056486</v>
      </c>
      <c r="H5" s="11">
        <f>'QTR P&amp;L'!V5+'QTR P&amp;L'!W5+'QTR P&amp;L'!X5+'QTR P&amp;L'!Y5</f>
        <v>-23575.354335329052</v>
      </c>
      <c r="I5" s="11">
        <f>'QTR P&amp;L'!Z5+'QTR P&amp;L'!AA5+'QTR P&amp;L'!AB5+'QTR P&amp;L'!AC5</f>
        <v>-23926.582080202341</v>
      </c>
      <c r="J5" s="11">
        <f>'QTR P&amp;L'!AD5+'QTR P&amp;L'!AE5+'QTR P&amp;L'!AF5+'QTR P&amp;L'!AG5</f>
        <v>-24283.042447542892</v>
      </c>
      <c r="K5" s="11">
        <f>'QTR P&amp;L'!AH5+'QTR P&amp;L'!AI5+'QTR P&amp;L'!AJ5+'QTR P&amp;L'!AK5</f>
        <v>-24644.813393429875</v>
      </c>
      <c r="L5" s="11">
        <f>'QTR P&amp;L'!AL5+'QTR P&amp;L'!AM5+'QTR P&amp;L'!AN5+'QTR P&amp;L'!AO5</f>
        <v>-25011.974035339117</v>
      </c>
    </row>
    <row r="6" spans="1:12" x14ac:dyDescent="0.25">
      <c r="A6" s="3" t="s">
        <v>20</v>
      </c>
      <c r="B6" s="4">
        <v>0</v>
      </c>
      <c r="C6" s="4">
        <v>0</v>
      </c>
      <c r="D6" s="4">
        <v>0</v>
      </c>
      <c r="E6" s="4">
        <v>-1341</v>
      </c>
      <c r="F6" s="4">
        <v>0</v>
      </c>
      <c r="G6" s="11">
        <f>'QTR P&amp;L'!R6+'QTR P&amp;L'!S6+'QTR P&amp;L'!T6+'QTR P&amp;L'!U6</f>
        <v>0</v>
      </c>
      <c r="H6" s="11">
        <f>'QTR P&amp;L'!V6+'QTR P&amp;L'!W6+'QTR P&amp;L'!X6+'QTR P&amp;L'!Y6</f>
        <v>0</v>
      </c>
      <c r="I6" s="11">
        <f>'QTR P&amp;L'!Z6+'QTR P&amp;L'!AA6+'QTR P&amp;L'!AB6+'QTR P&amp;L'!AC6</f>
        <v>0</v>
      </c>
      <c r="J6" s="11">
        <f>'QTR P&amp;L'!AD6+'QTR P&amp;L'!AE6+'QTR P&amp;L'!AF6+'QTR P&amp;L'!AG6</f>
        <v>0</v>
      </c>
      <c r="K6" s="11">
        <f>'QTR P&amp;L'!AH6+'QTR P&amp;L'!AI6+'QTR P&amp;L'!AJ6+'QTR P&amp;L'!AK6</f>
        <v>0</v>
      </c>
      <c r="L6" s="11">
        <f>'QTR P&amp;L'!AL6+'QTR P&amp;L'!AM6+'QTR P&amp;L'!AN6+'QTR P&amp;L'!AO6</f>
        <v>0</v>
      </c>
    </row>
    <row r="7" spans="1:12" x14ac:dyDescent="0.25">
      <c r="A7" s="3" t="s">
        <v>21</v>
      </c>
      <c r="B7" s="6">
        <f t="shared" ref="B7:L7" si="1">B4+SUM(B5:B6)</f>
        <v>17986</v>
      </c>
      <c r="C7" s="6">
        <f t="shared" si="1"/>
        <v>17813</v>
      </c>
      <c r="D7" s="6">
        <f t="shared" si="1"/>
        <v>18134</v>
      </c>
      <c r="E7" s="6">
        <f t="shared" si="1"/>
        <v>18545</v>
      </c>
      <c r="F7" s="6">
        <f t="shared" si="1"/>
        <v>20451</v>
      </c>
      <c r="G7" s="7">
        <f t="shared" si="1"/>
        <v>21194.049629832742</v>
      </c>
      <c r="H7" s="7">
        <f t="shared" si="1"/>
        <v>21056.150360082516</v>
      </c>
      <c r="I7" s="7">
        <f t="shared" si="1"/>
        <v>21369.846778023606</v>
      </c>
      <c r="J7" s="7">
        <f t="shared" si="1"/>
        <v>21688.216673354731</v>
      </c>
      <c r="K7" s="7">
        <f t="shared" si="1"/>
        <v>22011.32967196151</v>
      </c>
      <c r="L7" s="7">
        <f t="shared" si="1"/>
        <v>22339.256437022261</v>
      </c>
    </row>
    <row r="8" spans="1:12" x14ac:dyDescent="0.25">
      <c r="A8" s="3" t="s">
        <v>22</v>
      </c>
      <c r="B8" s="4">
        <v>-457</v>
      </c>
      <c r="C8" s="4">
        <v>-388</v>
      </c>
      <c r="D8" s="4">
        <v>-449</v>
      </c>
      <c r="E8" s="4">
        <v>-452</v>
      </c>
      <c r="F8" s="4">
        <v>-438</v>
      </c>
      <c r="G8" s="11">
        <f>'QTR P&amp;L'!R8+'QTR P&amp;L'!S8+'QTR P&amp;L'!T8+'QTR P&amp;L'!U8</f>
        <v>-407</v>
      </c>
      <c r="H8" s="11">
        <f>'QTR P&amp;L'!V8+'QTR P&amp;L'!W8+'QTR P&amp;L'!X8+'QTR P&amp;L'!Y8</f>
        <v>-424</v>
      </c>
      <c r="I8" s="11">
        <f>'QTR P&amp;L'!Z8+'QTR P&amp;L'!AA8+'QTR P&amp;L'!AB8+'QTR P&amp;L'!AC8</f>
        <v>-424</v>
      </c>
      <c r="J8" s="11">
        <f>'QTR P&amp;L'!AD8+'QTR P&amp;L'!AE8+'QTR P&amp;L'!AF8+'QTR P&amp;L'!AG8</f>
        <v>-424</v>
      </c>
      <c r="K8" s="11">
        <f>'QTR P&amp;L'!AH8+'QTR P&amp;L'!AI8+'QTR P&amp;L'!AJ8+'QTR P&amp;L'!AK8</f>
        <v>-424</v>
      </c>
      <c r="L8" s="11">
        <f>'QTR P&amp;L'!AL8+'QTR P&amp;L'!AM8+'QTR P&amp;L'!AN8+'QTR P&amp;L'!AO8</f>
        <v>-424</v>
      </c>
    </row>
    <row r="9" spans="1:12" x14ac:dyDescent="0.25">
      <c r="A9" s="3" t="s">
        <v>23</v>
      </c>
      <c r="B9" s="4">
        <v>86</v>
      </c>
      <c r="C9" s="4">
        <v>570</v>
      </c>
      <c r="D9" s="4">
        <v>668</v>
      </c>
      <c r="E9" s="4">
        <v>668</v>
      </c>
      <c r="F9" s="4">
        <v>154</v>
      </c>
      <c r="G9" s="11">
        <f>'QTR P&amp;L'!R9+'QTR P&amp;L'!S9+'QTR P&amp;L'!T9+'QTR P&amp;L'!U9</f>
        <v>745</v>
      </c>
      <c r="H9" s="11">
        <f>'QTR P&amp;L'!V9+'QTR P&amp;L'!W9+'QTR P&amp;L'!X9+'QTR P&amp;L'!Y9</f>
        <v>636</v>
      </c>
      <c r="I9" s="11">
        <f>'QTR P&amp;L'!Z9+'QTR P&amp;L'!AA9+'QTR P&amp;L'!AB9+'QTR P&amp;L'!AC9</f>
        <v>636</v>
      </c>
      <c r="J9" s="11">
        <f>'QTR P&amp;L'!AD9+'QTR P&amp;L'!AE9+'QTR P&amp;L'!AF9+'QTR P&amp;L'!AG9</f>
        <v>636</v>
      </c>
      <c r="K9" s="11">
        <f>'QTR P&amp;L'!AH9+'QTR P&amp;L'!AI9+'QTR P&amp;L'!AJ9+'QTR P&amp;L'!AK9</f>
        <v>636</v>
      </c>
      <c r="L9" s="11">
        <f>'QTR P&amp;L'!AL9+'QTR P&amp;L'!AM9+'QTR P&amp;L'!AN9+'QTR P&amp;L'!AO9</f>
        <v>636</v>
      </c>
    </row>
    <row r="10" spans="1:12" x14ac:dyDescent="0.25">
      <c r="A10" s="3" t="s">
        <v>24</v>
      </c>
      <c r="B10" s="6">
        <f t="shared" ref="B10:L10" si="2">B7+SUM(B8:B9)</f>
        <v>17615</v>
      </c>
      <c r="C10" s="6">
        <f t="shared" si="2"/>
        <v>17995</v>
      </c>
      <c r="D10" s="6">
        <f t="shared" si="2"/>
        <v>18353</v>
      </c>
      <c r="E10" s="6">
        <f t="shared" si="2"/>
        <v>18761</v>
      </c>
      <c r="F10" s="6">
        <f t="shared" si="2"/>
        <v>20167</v>
      </c>
      <c r="G10" s="7">
        <f t="shared" si="2"/>
        <v>21532.049629832742</v>
      </c>
      <c r="H10" s="7">
        <f t="shared" si="2"/>
        <v>21268.150360082516</v>
      </c>
      <c r="I10" s="7">
        <f t="shared" si="2"/>
        <v>21581.846778023606</v>
      </c>
      <c r="J10" s="7">
        <f t="shared" si="2"/>
        <v>21900.216673354731</v>
      </c>
      <c r="K10" s="7">
        <f t="shared" si="2"/>
        <v>22223.32967196151</v>
      </c>
      <c r="L10" s="7">
        <f t="shared" si="2"/>
        <v>22551.256437022261</v>
      </c>
    </row>
    <row r="11" spans="1:12" x14ac:dyDescent="0.25">
      <c r="A11" s="3" t="s">
        <v>25</v>
      </c>
      <c r="B11" s="4">
        <v>-3263</v>
      </c>
      <c r="C11" s="4">
        <v>-3202</v>
      </c>
      <c r="D11" s="4">
        <v>-3615</v>
      </c>
      <c r="E11" s="4">
        <v>-3787</v>
      </c>
      <c r="F11" s="4">
        <v>-4102</v>
      </c>
      <c r="G11" s="11">
        <f>'QTR P&amp;L'!R11+'QTR P&amp;L'!S11+'QTR P&amp;L'!T11+'QTR P&amp;L'!U11</f>
        <v>-4370.1404496249652</v>
      </c>
      <c r="H11" s="11">
        <f>'QTR P&amp;L'!V11+'QTR P&amp;L'!W11+'QTR P&amp;L'!X11+'QTR P&amp;L'!Y11</f>
        <v>-4277.9634420538732</v>
      </c>
      <c r="I11" s="11">
        <f>'QTR P&amp;L'!Z11+'QTR P&amp;L'!AA11+'QTR P&amp;L'!AB11+'QTR P&amp;L'!AC11</f>
        <v>-4341.0616327820117</v>
      </c>
      <c r="J11" s="11">
        <f>'QTR P&amp;L'!AD11+'QTR P&amp;L'!AE11+'QTR P&amp;L'!AF11+'QTR P&amp;L'!AG11</f>
        <v>-4405.0998660189416</v>
      </c>
      <c r="K11" s="11">
        <f>'QTR P&amp;L'!AH11+'QTR P&amp;L'!AI11+'QTR P&amp;L'!AJ11+'QTR P&amp;L'!AK11</f>
        <v>-4470.0921466023328</v>
      </c>
      <c r="L11" s="11">
        <f>'QTR P&amp;L'!AL11+'QTR P&amp;L'!AM11+'QTR P&amp;L'!AN11+'QTR P&amp;L'!AO11</f>
        <v>-4536.0526880151792</v>
      </c>
    </row>
    <row r="12" spans="1:12" x14ac:dyDescent="0.25">
      <c r="A12" s="3" t="s">
        <v>26</v>
      </c>
      <c r="B12" s="6">
        <f t="shared" ref="B12:L12" si="3">B10+B11</f>
        <v>14352</v>
      </c>
      <c r="C12" s="6">
        <f t="shared" si="3"/>
        <v>14793</v>
      </c>
      <c r="D12" s="6">
        <f t="shared" si="3"/>
        <v>14738</v>
      </c>
      <c r="E12" s="6">
        <f t="shared" si="3"/>
        <v>14974</v>
      </c>
      <c r="F12" s="6">
        <f t="shared" si="3"/>
        <v>16065</v>
      </c>
      <c r="G12" s="7">
        <f t="shared" si="3"/>
        <v>17161.909180207775</v>
      </c>
      <c r="H12" s="7">
        <f t="shared" si="3"/>
        <v>16990.186918028645</v>
      </c>
      <c r="I12" s="7">
        <f t="shared" si="3"/>
        <v>17240.785145241593</v>
      </c>
      <c r="J12" s="7">
        <f t="shared" si="3"/>
        <v>17495.116807335791</v>
      </c>
      <c r="K12" s="7">
        <f t="shared" si="3"/>
        <v>17753.237525359178</v>
      </c>
      <c r="L12" s="7">
        <f t="shared" si="3"/>
        <v>18015.20374900708</v>
      </c>
    </row>
    <row r="13" spans="1:12" x14ac:dyDescent="0.25">
      <c r="A13" s="3" t="s">
        <v>27</v>
      </c>
      <c r="B13" s="4">
        <v>46</v>
      </c>
      <c r="C13" s="4">
        <v>51</v>
      </c>
      <c r="D13" s="4">
        <v>85</v>
      </c>
      <c r="E13" s="4">
        <v>95</v>
      </c>
      <c r="F13" s="4">
        <v>91</v>
      </c>
      <c r="G13" s="11">
        <f>'QTR P&amp;L'!R13+'QTR P&amp;L'!S13+'QTR P&amp;L'!T13+'QTR P&amp;L'!U13</f>
        <v>64</v>
      </c>
      <c r="H13" s="11">
        <f>'QTR P&amp;L'!V13+'QTR P&amp;L'!W13+'QTR P&amp;L'!X13+'QTR P&amp;L'!Y13</f>
        <v>44</v>
      </c>
      <c r="I13" s="11">
        <f>'QTR P&amp;L'!Z13+'QTR P&amp;L'!AA13+'QTR P&amp;L'!AB13+'QTR P&amp;L'!AC13</f>
        <v>44</v>
      </c>
      <c r="J13" s="11">
        <f>'QTR P&amp;L'!AD13+'QTR P&amp;L'!AE13+'QTR P&amp;L'!AF13+'QTR P&amp;L'!AG13</f>
        <v>44</v>
      </c>
      <c r="K13" s="11">
        <f>'QTR P&amp;L'!AH13+'QTR P&amp;L'!AI13+'QTR P&amp;L'!AJ13+'QTR P&amp;L'!AK13</f>
        <v>44</v>
      </c>
      <c r="L13" s="11">
        <f>'QTR P&amp;L'!AL13+'QTR P&amp;L'!AM13+'QTR P&amp;L'!AN13+'QTR P&amp;L'!AO13</f>
        <v>44</v>
      </c>
    </row>
    <row r="14" spans="1:12" x14ac:dyDescent="0.25">
      <c r="A14" s="3" t="s">
        <v>28</v>
      </c>
      <c r="B14" s="6">
        <f t="shared" ref="B14:L14" si="4">B12-B13</f>
        <v>14306</v>
      </c>
      <c r="C14" s="6">
        <f t="shared" si="4"/>
        <v>14742</v>
      </c>
      <c r="D14" s="6">
        <f t="shared" si="4"/>
        <v>14653</v>
      </c>
      <c r="E14" s="6">
        <f t="shared" si="4"/>
        <v>14879</v>
      </c>
      <c r="F14" s="6">
        <f t="shared" si="4"/>
        <v>15974</v>
      </c>
      <c r="G14" s="7">
        <f t="shared" si="4"/>
        <v>17097.909180207775</v>
      </c>
      <c r="H14" s="7">
        <f t="shared" si="4"/>
        <v>16946.186918028645</v>
      </c>
      <c r="I14" s="7">
        <f t="shared" si="4"/>
        <v>17196.785145241593</v>
      </c>
      <c r="J14" s="7">
        <f t="shared" si="4"/>
        <v>17451.116807335791</v>
      </c>
      <c r="K14" s="7">
        <f t="shared" si="4"/>
        <v>17709.237525359178</v>
      </c>
      <c r="L14" s="7">
        <f t="shared" si="4"/>
        <v>17971.20374900708</v>
      </c>
    </row>
    <row r="15" spans="1:12" x14ac:dyDescent="0.25">
      <c r="A15" s="3" t="s">
        <v>29</v>
      </c>
      <c r="B15" s="8">
        <v>5.69</v>
      </c>
      <c r="C15" s="8">
        <v>6</v>
      </c>
      <c r="D15" s="8">
        <v>6.07</v>
      </c>
      <c r="E15" s="8">
        <v>6.18</v>
      </c>
      <c r="F15" s="8">
        <v>6.67</v>
      </c>
      <c r="G15" s="9"/>
      <c r="H15" s="9"/>
      <c r="I15" s="9"/>
      <c r="J15" s="9"/>
      <c r="K15" s="9"/>
      <c r="L15" s="9"/>
    </row>
    <row r="16" spans="1:12" x14ac:dyDescent="0.25">
      <c r="A16" s="3" t="s">
        <v>30</v>
      </c>
      <c r="B16" s="8">
        <v>5.5</v>
      </c>
      <c r="C16" s="8">
        <v>5.81</v>
      </c>
      <c r="D16" s="8">
        <v>5.9</v>
      </c>
      <c r="E16" s="8">
        <v>6.02</v>
      </c>
      <c r="F16" s="8">
        <v>6.51</v>
      </c>
      <c r="G16" s="9"/>
      <c r="H16" s="9"/>
      <c r="I16" s="9"/>
      <c r="J16" s="9"/>
      <c r="K16" s="9"/>
      <c r="L16" s="9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1" width="13" customWidth="1"/>
  </cols>
  <sheetData>
    <row r="1" spans="1:11" x14ac:dyDescent="0.25">
      <c r="A1" s="1"/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15</v>
      </c>
    </row>
    <row r="2" spans="1:11" x14ac:dyDescent="0.25">
      <c r="A2" s="3" t="s">
        <v>31</v>
      </c>
      <c r="B2" s="4">
        <v>7214</v>
      </c>
      <c r="C2" s="4">
        <v>8246</v>
      </c>
      <c r="D2" s="4">
        <v>9482</v>
      </c>
      <c r="E2" s="4">
        <v>9556</v>
      </c>
      <c r="F2" s="11">
        <f>'QTR BS'!R2</f>
        <v>14237.061301436976</v>
      </c>
      <c r="G2" s="11">
        <f>'QTR BS'!V2</f>
        <v>20399.336532197925</v>
      </c>
      <c r="H2" s="11">
        <f>'QTR BS'!Z2</f>
        <v>26652.437120314047</v>
      </c>
      <c r="I2" s="11">
        <f>'QTR BS'!AD2</f>
        <v>32997.716190111169</v>
      </c>
      <c r="J2" s="11">
        <f>'QTR BS'!AH2</f>
        <v>39436.54702488277</v>
      </c>
      <c r="K2" s="11">
        <f>'QTR BS'!AL2</f>
        <v>45970.323367220102</v>
      </c>
    </row>
    <row r="3" spans="1:11" x14ac:dyDescent="0.25">
      <c r="A3" s="3" t="s">
        <v>32</v>
      </c>
      <c r="B3" s="4">
        <v>5143</v>
      </c>
      <c r="C3" s="4">
        <v>5471</v>
      </c>
      <c r="D3" s="4">
        <v>6118</v>
      </c>
      <c r="E3" s="4">
        <v>6185</v>
      </c>
      <c r="F3" s="11">
        <f>'QTR BS'!R3</f>
        <v>5994.0604606525903</v>
      </c>
      <c r="G3" s="11">
        <f>'QTR BS'!V3</f>
        <v>6083.3605113871099</v>
      </c>
      <c r="H3" s="11">
        <f>'QTR BS'!Z3</f>
        <v>6173.9909622925197</v>
      </c>
      <c r="I3" s="11">
        <f>'QTR BS'!AD3</f>
        <v>6265.9716337899781</v>
      </c>
      <c r="J3" s="11">
        <f>'QTR BS'!AH3</f>
        <v>6359.3226415870486</v>
      </c>
      <c r="K3" s="11">
        <f>'QTR BS'!AL3</f>
        <v>6454.0644010769211</v>
      </c>
    </row>
    <row r="4" spans="1:11" x14ac:dyDescent="0.25">
      <c r="A4" s="3" t="s">
        <v>33</v>
      </c>
      <c r="B4" s="4">
        <v>6924</v>
      </c>
      <c r="C4" s="4">
        <v>7073</v>
      </c>
      <c r="D4" s="4">
        <v>7016</v>
      </c>
      <c r="E4" s="4">
        <v>7551</v>
      </c>
      <c r="F4" s="11">
        <f>'QTR BS'!R4</f>
        <v>7462.2663833287625</v>
      </c>
      <c r="G4" s="11">
        <f>'QTR BS'!V4</f>
        <v>7573.4398976768662</v>
      </c>
      <c r="H4" s="11">
        <f>'QTR BS'!Z4</f>
        <v>7686.2696850200073</v>
      </c>
      <c r="I4" s="11">
        <f>'QTR BS'!AD4</f>
        <v>7800.7804206619294</v>
      </c>
      <c r="J4" s="11">
        <f>'QTR BS'!AH4</f>
        <v>7916.9971475212551</v>
      </c>
      <c r="K4" s="11">
        <f>'QTR BS'!AL4</f>
        <v>8034.9452816082639</v>
      </c>
    </row>
    <row r="5" spans="1:11" x14ac:dyDescent="0.25">
      <c r="A5" s="3" t="s">
        <v>34</v>
      </c>
      <c r="B5" s="4">
        <v>2372</v>
      </c>
      <c r="C5" s="4">
        <v>1858</v>
      </c>
      <c r="D5" s="4">
        <v>2095</v>
      </c>
      <c r="E5" s="4">
        <v>2100</v>
      </c>
      <c r="F5" s="11">
        <f>'QTR BS'!R5</f>
        <v>1590.397312859885</v>
      </c>
      <c r="G5" s="11">
        <f>'QTR BS'!V5</f>
        <v>1614.0911947716079</v>
      </c>
      <c r="H5" s="11">
        <f>'QTR BS'!Z5</f>
        <v>1638.1380702626755</v>
      </c>
      <c r="I5" s="11">
        <f>'QTR BS'!AD5</f>
        <v>1662.5431982631158</v>
      </c>
      <c r="J5" s="11">
        <f>'QTR BS'!AH5</f>
        <v>1687.3119160509675</v>
      </c>
      <c r="K5" s="11">
        <f>'QTR BS'!AL5</f>
        <v>1712.4496404195177</v>
      </c>
    </row>
    <row r="6" spans="1:11" x14ac:dyDescent="0.25">
      <c r="A6" s="3" t="s">
        <v>35</v>
      </c>
      <c r="B6" s="6">
        <f t="shared" ref="B6:K6" si="0">SUM(B2:B5)</f>
        <v>21653</v>
      </c>
      <c r="C6" s="6">
        <f t="shared" si="0"/>
        <v>22648</v>
      </c>
      <c r="D6" s="6">
        <f t="shared" si="0"/>
        <v>24711</v>
      </c>
      <c r="E6" s="6">
        <f t="shared" si="0"/>
        <v>25392</v>
      </c>
      <c r="F6" s="7">
        <f t="shared" si="0"/>
        <v>29283.785458278213</v>
      </c>
      <c r="G6" s="7">
        <f t="shared" si="0"/>
        <v>35670.228136033511</v>
      </c>
      <c r="H6" s="7">
        <f t="shared" si="0"/>
        <v>42150.835837889252</v>
      </c>
      <c r="I6" s="7">
        <f t="shared" si="0"/>
        <v>48727.011442826188</v>
      </c>
      <c r="J6" s="7">
        <f t="shared" si="0"/>
        <v>55400.17873004204</v>
      </c>
      <c r="K6" s="7">
        <f t="shared" si="0"/>
        <v>62171.782690324799</v>
      </c>
    </row>
    <row r="7" spans="1:11" x14ac:dyDescent="0.25">
      <c r="A7" s="3" t="s">
        <v>36</v>
      </c>
      <c r="B7" s="4">
        <v>21195</v>
      </c>
      <c r="C7" s="4">
        <v>21909</v>
      </c>
      <c r="D7" s="4">
        <v>22152</v>
      </c>
      <c r="E7" s="4">
        <v>23897</v>
      </c>
      <c r="F7" s="11">
        <f>'QTR BS'!R7</f>
        <v>25165.307513024403</v>
      </c>
      <c r="G7" s="11">
        <f>'QTR BS'!V7</f>
        <v>26597.56522480787</v>
      </c>
      <c r="H7" s="11">
        <f>'QTR BS'!Z7</f>
        <v>28051.160840532542</v>
      </c>
      <c r="I7" s="11">
        <f>'QTR BS'!AD7</f>
        <v>29526.412254206502</v>
      </c>
      <c r="J7" s="11">
        <f>'QTR BS'!AH7</f>
        <v>31023.64209585129</v>
      </c>
      <c r="K7" s="11">
        <f>'QTR BS'!AL7</f>
        <v>32543.177802059476</v>
      </c>
    </row>
    <row r="8" spans="1:11" x14ac:dyDescent="0.25">
      <c r="A8" s="3" t="s">
        <v>37</v>
      </c>
      <c r="B8" s="4">
        <v>39700</v>
      </c>
      <c r="C8" s="4">
        <v>40659</v>
      </c>
      <c r="D8" s="4">
        <v>40303</v>
      </c>
      <c r="E8" s="4">
        <v>41650</v>
      </c>
      <c r="F8" s="11">
        <f>'QTR BS'!R8</f>
        <v>41665</v>
      </c>
      <c r="G8" s="11">
        <f>'QTR BS'!V8</f>
        <v>41665</v>
      </c>
      <c r="H8" s="11">
        <f>'QTR BS'!Z8</f>
        <v>41665</v>
      </c>
      <c r="I8" s="11">
        <f>'QTR BS'!AD8</f>
        <v>41665</v>
      </c>
      <c r="J8" s="11">
        <f>'QTR BS'!AH8</f>
        <v>41665</v>
      </c>
      <c r="K8" s="11">
        <f>'QTR BS'!AL8</f>
        <v>41665</v>
      </c>
    </row>
    <row r="9" spans="1:11" x14ac:dyDescent="0.25">
      <c r="A9" s="3" t="s">
        <v>38</v>
      </c>
      <c r="B9" s="4">
        <v>23679</v>
      </c>
      <c r="C9" s="4">
        <v>23783</v>
      </c>
      <c r="D9" s="4">
        <v>22047</v>
      </c>
      <c r="E9" s="4">
        <v>21910</v>
      </c>
      <c r="F9" s="11">
        <f>'QTR BS'!R9</f>
        <v>21737</v>
      </c>
      <c r="G9" s="11">
        <f>'QTR BS'!V9</f>
        <v>21737</v>
      </c>
      <c r="H9" s="11">
        <f>'QTR BS'!Z9</f>
        <v>21737</v>
      </c>
      <c r="I9" s="11">
        <f>'QTR BS'!AD9</f>
        <v>21737</v>
      </c>
      <c r="J9" s="11">
        <f>'QTR BS'!AH9</f>
        <v>21737</v>
      </c>
      <c r="K9" s="11">
        <f>'QTR BS'!AL9</f>
        <v>21737</v>
      </c>
    </row>
    <row r="10" spans="1:11" x14ac:dyDescent="0.25">
      <c r="A10" s="3" t="s">
        <v>39</v>
      </c>
      <c r="B10" s="4">
        <v>10981</v>
      </c>
      <c r="C10" s="4">
        <v>11830</v>
      </c>
      <c r="D10" s="4">
        <v>13158</v>
      </c>
      <c r="E10" s="4">
        <v>12381</v>
      </c>
      <c r="F10" s="11">
        <f>'QTR BS'!R10</f>
        <v>12227.730600493556</v>
      </c>
      <c r="G10" s="11">
        <f>'QTR BS'!V10</f>
        <v>12409.900428469102</v>
      </c>
      <c r="H10" s="11">
        <f>'QTR BS'!Z10</f>
        <v>12594.784238892322</v>
      </c>
      <c r="I10" s="11">
        <f>'QTR BS'!AD10</f>
        <v>12782.422464917316</v>
      </c>
      <c r="J10" s="11">
        <f>'QTR BS'!AH10</f>
        <v>12972.856142074936</v>
      </c>
      <c r="K10" s="11">
        <f>'QTR BS'!AL10</f>
        <v>13166.126917247058</v>
      </c>
    </row>
    <row r="11" spans="1:11" x14ac:dyDescent="0.25">
      <c r="A11" s="3" t="s">
        <v>40</v>
      </c>
      <c r="B11" s="6">
        <f t="shared" ref="B11:K11" si="1">B6+SUM(B7:B10)</f>
        <v>117208</v>
      </c>
      <c r="C11" s="6">
        <f t="shared" si="1"/>
        <v>120829</v>
      </c>
      <c r="D11" s="6">
        <f t="shared" si="1"/>
        <v>122371</v>
      </c>
      <c r="E11" s="6">
        <f t="shared" si="1"/>
        <v>125230</v>
      </c>
      <c r="F11" s="7">
        <f t="shared" si="1"/>
        <v>130078.82357179617</v>
      </c>
      <c r="G11" s="7">
        <f t="shared" si="1"/>
        <v>138079.69378931049</v>
      </c>
      <c r="H11" s="7">
        <f t="shared" si="1"/>
        <v>146198.78091731411</v>
      </c>
      <c r="I11" s="7">
        <f t="shared" si="1"/>
        <v>154437.84616195</v>
      </c>
      <c r="J11" s="7">
        <f t="shared" si="1"/>
        <v>162798.67696796826</v>
      </c>
      <c r="K11" s="7">
        <f t="shared" si="1"/>
        <v>171283.08740963135</v>
      </c>
    </row>
    <row r="12" spans="1:11" x14ac:dyDescent="0.25">
      <c r="A12" s="3" t="s">
        <v>41</v>
      </c>
      <c r="B12" s="4">
        <v>14882</v>
      </c>
      <c r="C12" s="4">
        <v>14598</v>
      </c>
      <c r="D12" s="4">
        <v>15364</v>
      </c>
      <c r="E12" s="4">
        <v>15227</v>
      </c>
      <c r="F12" s="11">
        <f>'QTR BS'!R12</f>
        <v>14484.452837948997</v>
      </c>
      <c r="G12" s="11">
        <f>'QTR BS'!V12</f>
        <v>14700.243516368311</v>
      </c>
      <c r="H12" s="11">
        <f>'QTR BS'!Z12</f>
        <v>14919.249063682817</v>
      </c>
      <c r="I12" s="11">
        <f>'QTR BS'!AD12</f>
        <v>15141.51737529787</v>
      </c>
      <c r="J12" s="11">
        <f>'QTR BS'!AH12</f>
        <v>15367.097060168862</v>
      </c>
      <c r="K12" s="11">
        <f>'QTR BS'!AL12</f>
        <v>15596.037451431774</v>
      </c>
    </row>
    <row r="13" spans="1:11" x14ac:dyDescent="0.25">
      <c r="A13" s="3" t="s">
        <v>42</v>
      </c>
      <c r="B13" s="4">
        <v>9554</v>
      </c>
      <c r="C13" s="4">
        <v>10929</v>
      </c>
      <c r="D13" s="4">
        <v>11073</v>
      </c>
      <c r="E13" s="4">
        <v>11318</v>
      </c>
      <c r="F13" s="11">
        <f>'QTR BS'!R13</f>
        <v>9988.1915272826973</v>
      </c>
      <c r="G13" s="11">
        <f>'QTR BS'!V13</f>
        <v>10136.996501137653</v>
      </c>
      <c r="H13" s="11">
        <f>'QTR BS'!Z13</f>
        <v>10288.018384848963</v>
      </c>
      <c r="I13" s="11">
        <f>'QTR BS'!AD13</f>
        <v>10441.290206138643</v>
      </c>
      <c r="J13" s="11">
        <f>'QTR BS'!AH13</f>
        <v>10596.845484778674</v>
      </c>
      <c r="K13" s="11">
        <f>'QTR BS'!AL13</f>
        <v>10754.718239921614</v>
      </c>
    </row>
    <row r="14" spans="1:11" x14ac:dyDescent="0.25">
      <c r="A14" s="3" t="s">
        <v>43</v>
      </c>
      <c r="B14" s="4">
        <v>8645</v>
      </c>
      <c r="C14" s="4">
        <v>10229</v>
      </c>
      <c r="D14" s="4">
        <v>7191</v>
      </c>
      <c r="E14" s="4">
        <v>9513</v>
      </c>
      <c r="F14" s="11">
        <f>'QTR BS'!R14</f>
        <v>11062</v>
      </c>
      <c r="G14" s="11">
        <f>'QTR BS'!V14</f>
        <v>11062</v>
      </c>
      <c r="H14" s="11">
        <f>'QTR BS'!Z14</f>
        <v>11062</v>
      </c>
      <c r="I14" s="11">
        <f>'QTR BS'!AD14</f>
        <v>11062</v>
      </c>
      <c r="J14" s="11">
        <f>'QTR BS'!AH14</f>
        <v>11062</v>
      </c>
      <c r="K14" s="11">
        <f>'QTR BS'!AL14</f>
        <v>11062</v>
      </c>
    </row>
    <row r="15" spans="1:11" x14ac:dyDescent="0.25">
      <c r="A15" s="3" t="s">
        <v>44</v>
      </c>
      <c r="B15" s="6">
        <f t="shared" ref="B15:K15" si="2">SUM(B12:B14)</f>
        <v>33081</v>
      </c>
      <c r="C15" s="6">
        <f t="shared" si="2"/>
        <v>35756</v>
      </c>
      <c r="D15" s="6">
        <f t="shared" si="2"/>
        <v>33628</v>
      </c>
      <c r="E15" s="6">
        <f t="shared" si="2"/>
        <v>36058</v>
      </c>
      <c r="F15" s="7">
        <f t="shared" si="2"/>
        <v>35534.644365231696</v>
      </c>
      <c r="G15" s="7">
        <f t="shared" si="2"/>
        <v>35899.240017505967</v>
      </c>
      <c r="H15" s="7">
        <f t="shared" si="2"/>
        <v>36269.267448531784</v>
      </c>
      <c r="I15" s="7">
        <f t="shared" si="2"/>
        <v>36644.807581436515</v>
      </c>
      <c r="J15" s="7">
        <f t="shared" si="2"/>
        <v>37025.942544947538</v>
      </c>
      <c r="K15" s="7">
        <f t="shared" si="2"/>
        <v>37412.755691353392</v>
      </c>
    </row>
    <row r="16" spans="1:11" x14ac:dyDescent="0.25">
      <c r="A16" s="3" t="s">
        <v>45</v>
      </c>
      <c r="B16" s="4">
        <v>22848</v>
      </c>
      <c r="C16" s="4">
        <v>24378</v>
      </c>
      <c r="D16" s="4">
        <v>25269</v>
      </c>
      <c r="E16" s="4">
        <v>24995</v>
      </c>
      <c r="F16" s="11">
        <f>'QTR BS'!R16</f>
        <v>25577</v>
      </c>
      <c r="G16" s="11">
        <f>'QTR BS'!V16</f>
        <v>25577</v>
      </c>
      <c r="H16" s="11">
        <f>'QTR BS'!Z16</f>
        <v>25577</v>
      </c>
      <c r="I16" s="11">
        <f>'QTR BS'!AD16</f>
        <v>25577</v>
      </c>
      <c r="J16" s="11">
        <f>'QTR BS'!AH16</f>
        <v>25577</v>
      </c>
      <c r="K16" s="11">
        <f>'QTR BS'!AL16</f>
        <v>25577</v>
      </c>
    </row>
    <row r="17" spans="1:11" x14ac:dyDescent="0.25">
      <c r="A17" s="3" t="s">
        <v>46</v>
      </c>
      <c r="B17" s="4">
        <v>6809</v>
      </c>
      <c r="C17" s="4">
        <v>6478</v>
      </c>
      <c r="D17" s="4">
        <v>6516</v>
      </c>
      <c r="E17" s="4">
        <v>5774</v>
      </c>
      <c r="F17" s="11">
        <f>'QTR BS'!R17</f>
        <v>5974</v>
      </c>
      <c r="G17" s="11">
        <f>'QTR BS'!V17</f>
        <v>5974</v>
      </c>
      <c r="H17" s="11">
        <f>'QTR BS'!Z17</f>
        <v>5974</v>
      </c>
      <c r="I17" s="11">
        <f>'QTR BS'!AD17</f>
        <v>5974</v>
      </c>
      <c r="J17" s="11">
        <f>'QTR BS'!AH17</f>
        <v>5974</v>
      </c>
      <c r="K17" s="11">
        <f>'QTR BS'!AL17</f>
        <v>5974</v>
      </c>
    </row>
    <row r="18" spans="1:11" x14ac:dyDescent="0.25">
      <c r="A18" s="3" t="s">
        <v>47</v>
      </c>
      <c r="B18" s="4">
        <v>7616</v>
      </c>
      <c r="C18" s="4">
        <v>7152</v>
      </c>
      <c r="D18" s="4">
        <v>6398</v>
      </c>
      <c r="E18" s="4">
        <v>6120</v>
      </c>
      <c r="F18" s="11">
        <f>'QTR BS'!R18</f>
        <v>5459.4731285988482</v>
      </c>
      <c r="G18" s="11">
        <f>'QTR BS'!V18</f>
        <v>5540.8088492790057</v>
      </c>
      <c r="H18" s="11">
        <f>'QTR BS'!Z18</f>
        <v>5623.3563168260744</v>
      </c>
      <c r="I18" s="11">
        <f>'QTR BS'!AD18</f>
        <v>5707.1335839536359</v>
      </c>
      <c r="J18" s="11">
        <f>'QTR BS'!AH18</f>
        <v>5792.1589723262196</v>
      </c>
      <c r="K18" s="11">
        <f>'QTR BS'!AL18</f>
        <v>5878.4510765661589</v>
      </c>
    </row>
    <row r="19" spans="1:11" x14ac:dyDescent="0.25">
      <c r="A19" s="3" t="s">
        <v>48</v>
      </c>
      <c r="B19" s="6">
        <f t="shared" ref="B19:K19" si="3">B15+SUM(B16:B18)</f>
        <v>70354</v>
      </c>
      <c r="C19" s="6">
        <f t="shared" si="3"/>
        <v>73764</v>
      </c>
      <c r="D19" s="6">
        <f t="shared" si="3"/>
        <v>71811</v>
      </c>
      <c r="E19" s="6">
        <f t="shared" si="3"/>
        <v>72947</v>
      </c>
      <c r="F19" s="7">
        <f t="shared" si="3"/>
        <v>72545.117493830534</v>
      </c>
      <c r="G19" s="7">
        <f t="shared" si="3"/>
        <v>72991.048866784971</v>
      </c>
      <c r="H19" s="7">
        <f t="shared" si="3"/>
        <v>73443.623765357857</v>
      </c>
      <c r="I19" s="7">
        <f t="shared" si="3"/>
        <v>73902.941165390148</v>
      </c>
      <c r="J19" s="7">
        <f t="shared" si="3"/>
        <v>74369.101517273753</v>
      </c>
      <c r="K19" s="7">
        <f t="shared" si="3"/>
        <v>74842.206767919561</v>
      </c>
    </row>
    <row r="20" spans="1:11" x14ac:dyDescent="0.25">
      <c r="A20" s="3" t="s">
        <v>49</v>
      </c>
      <c r="B20" s="4">
        <v>843</v>
      </c>
      <c r="C20" s="4">
        <v>819</v>
      </c>
      <c r="D20" s="4">
        <v>798</v>
      </c>
      <c r="E20" s="4">
        <v>777</v>
      </c>
      <c r="F20" s="11">
        <f>'QTR BS'!R20</f>
        <v>767</v>
      </c>
      <c r="G20" s="11">
        <f>'QTR BS'!V20</f>
        <v>767</v>
      </c>
      <c r="H20" s="11">
        <f>'QTR BS'!Z20</f>
        <v>767</v>
      </c>
      <c r="I20" s="11">
        <f>'QTR BS'!AD20</f>
        <v>767</v>
      </c>
      <c r="J20" s="11">
        <f>'QTR BS'!AH20</f>
        <v>767</v>
      </c>
      <c r="K20" s="11">
        <f>'QTR BS'!AL20</f>
        <v>767</v>
      </c>
    </row>
    <row r="21" spans="1:11" x14ac:dyDescent="0.25">
      <c r="A21" s="3" t="s">
        <v>50</v>
      </c>
      <c r="B21" s="4">
        <v>4009</v>
      </c>
      <c r="C21" s="4">
        <v>4009</v>
      </c>
      <c r="D21" s="4">
        <v>4009</v>
      </c>
      <c r="E21" s="4">
        <v>4009</v>
      </c>
      <c r="F21" s="11">
        <f>'QTR BS'!R21</f>
        <v>4009</v>
      </c>
      <c r="G21" s="11">
        <f>'QTR BS'!V21</f>
        <v>4009</v>
      </c>
      <c r="H21" s="11">
        <f>'QTR BS'!Z21</f>
        <v>4009</v>
      </c>
      <c r="I21" s="11">
        <f>'QTR BS'!AD21</f>
        <v>4009</v>
      </c>
      <c r="J21" s="11">
        <f>'QTR BS'!AH21</f>
        <v>4009</v>
      </c>
      <c r="K21" s="11">
        <f>'QTR BS'!AL21</f>
        <v>4009</v>
      </c>
    </row>
    <row r="22" spans="1:11" x14ac:dyDescent="0.25">
      <c r="A22" s="3" t="s">
        <v>51</v>
      </c>
      <c r="B22" s="4">
        <v>65795</v>
      </c>
      <c r="C22" s="4">
        <v>66556</v>
      </c>
      <c r="D22" s="4">
        <v>67684</v>
      </c>
      <c r="E22" s="4">
        <v>68770</v>
      </c>
      <c r="F22" s="11">
        <f>'QTR BS'!R22</f>
        <v>69272.031121469699</v>
      </c>
      <c r="G22" s="11">
        <f>'QTR BS'!V22</f>
        <v>69825.314237528524</v>
      </c>
      <c r="H22" s="11">
        <f>'QTR BS'!Z22</f>
        <v>70386.840215109842</v>
      </c>
      <c r="I22" s="11">
        <f>'QTR BS'!AD22</f>
        <v>70956.731857104431</v>
      </c>
      <c r="J22" s="11">
        <f>'QTR BS'!AH22</f>
        <v>71535.113795931597</v>
      </c>
      <c r="K22" s="11">
        <f>'QTR BS'!AL22</f>
        <v>72122.112520795577</v>
      </c>
    </row>
    <row r="23" spans="1:11" x14ac:dyDescent="0.25">
      <c r="A23" s="3" t="s">
        <v>52</v>
      </c>
      <c r="B23" s="4">
        <v>-916</v>
      </c>
      <c r="C23" s="4">
        <v>-821</v>
      </c>
      <c r="D23" s="4">
        <v>-737</v>
      </c>
      <c r="E23" s="4">
        <v>-672</v>
      </c>
      <c r="F23" s="11">
        <f>'QTR BS'!R23</f>
        <v>0</v>
      </c>
      <c r="G23" s="11">
        <f>'QTR BS'!V23</f>
        <v>0</v>
      </c>
      <c r="H23" s="11">
        <f>'QTR BS'!Z23</f>
        <v>0</v>
      </c>
      <c r="I23" s="11">
        <f>'QTR BS'!AD23</f>
        <v>0</v>
      </c>
      <c r="J23" s="11">
        <f>'QTR BS'!AH23</f>
        <v>0</v>
      </c>
      <c r="K23" s="11">
        <f>'QTR BS'!AL23</f>
        <v>0</v>
      </c>
    </row>
    <row r="24" spans="1:11" x14ac:dyDescent="0.25">
      <c r="A24" s="3" t="s">
        <v>53</v>
      </c>
      <c r="B24" s="4">
        <v>-12189</v>
      </c>
      <c r="C24" s="4">
        <v>-12220</v>
      </c>
      <c r="D24" s="4">
        <v>-11900</v>
      </c>
      <c r="E24" s="4">
        <v>-12143</v>
      </c>
      <c r="F24" s="11">
        <f>'QTR BS'!R24</f>
        <v>-12110</v>
      </c>
      <c r="G24" s="11">
        <f>'QTR BS'!V24</f>
        <v>-12114</v>
      </c>
      <c r="H24" s="11">
        <f>'QTR BS'!Z24</f>
        <v>-12118</v>
      </c>
      <c r="I24" s="11">
        <f>'QTR BS'!AD24</f>
        <v>-12122</v>
      </c>
      <c r="J24" s="11">
        <f>'QTR BS'!AH24</f>
        <v>-12126</v>
      </c>
      <c r="K24" s="11">
        <f>'QTR BS'!AL24</f>
        <v>-12130</v>
      </c>
    </row>
    <row r="25" spans="1:11" x14ac:dyDescent="0.25">
      <c r="A25" s="3" t="s">
        <v>54</v>
      </c>
      <c r="B25" s="4">
        <v>-123382</v>
      </c>
      <c r="C25" s="4">
        <v>-129736</v>
      </c>
      <c r="D25" s="4">
        <v>-133379</v>
      </c>
      <c r="E25" s="4">
        <v>-138702</v>
      </c>
      <c r="F25" s="11">
        <f>'QTR BS'!R25</f>
        <v>-141981</v>
      </c>
      <c r="G25" s="11">
        <f>'QTR BS'!V25</f>
        <v>-141981</v>
      </c>
      <c r="H25" s="11">
        <f>'QTR BS'!Z25</f>
        <v>-141981</v>
      </c>
      <c r="I25" s="11">
        <f>'QTR BS'!AD25</f>
        <v>-141981</v>
      </c>
      <c r="J25" s="11">
        <f>'QTR BS'!AH25</f>
        <v>-141981</v>
      </c>
      <c r="K25" s="11">
        <f>'QTR BS'!AL25</f>
        <v>-141981</v>
      </c>
    </row>
    <row r="26" spans="1:11" x14ac:dyDescent="0.25">
      <c r="A26" s="3" t="s">
        <v>55</v>
      </c>
      <c r="B26" s="4">
        <v>112429</v>
      </c>
      <c r="C26" s="4">
        <v>118170</v>
      </c>
      <c r="D26" s="4">
        <v>123811</v>
      </c>
      <c r="E26" s="4">
        <v>129973</v>
      </c>
      <c r="F26" s="11">
        <f>'QTR BS'!R26</f>
        <v>137300.67495649593</v>
      </c>
      <c r="G26" s="11">
        <f>'QTR BS'!V26</f>
        <v>144306.330684997</v>
      </c>
      <c r="H26" s="11">
        <f>'QTR BS'!Z26</f>
        <v>151415.31693684644</v>
      </c>
      <c r="I26" s="11">
        <f>'QTR BS'!AD26</f>
        <v>158629.17313945544</v>
      </c>
      <c r="J26" s="11">
        <f>'QTR BS'!AH26</f>
        <v>165949.46165476294</v>
      </c>
      <c r="K26" s="11">
        <f>'QTR BS'!AL26</f>
        <v>173377.76812091627</v>
      </c>
    </row>
    <row r="27" spans="1:11" x14ac:dyDescent="0.25">
      <c r="A27" s="3" t="s">
        <v>56</v>
      </c>
      <c r="B27" s="4">
        <v>265</v>
      </c>
      <c r="C27" s="4">
        <v>288</v>
      </c>
      <c r="D27" s="4">
        <v>272</v>
      </c>
      <c r="E27" s="4">
        <v>272</v>
      </c>
      <c r="F27" s="11">
        <f>'QTR BS'!R27</f>
        <v>276</v>
      </c>
      <c r="G27" s="11">
        <f>'QTR BS'!V27</f>
        <v>276</v>
      </c>
      <c r="H27" s="11">
        <f>'QTR BS'!Z27</f>
        <v>276</v>
      </c>
      <c r="I27" s="11">
        <f>'QTR BS'!AD27</f>
        <v>276</v>
      </c>
      <c r="J27" s="11">
        <f>'QTR BS'!AH27</f>
        <v>276</v>
      </c>
      <c r="K27" s="11">
        <f>'QTR BS'!AL27</f>
        <v>276</v>
      </c>
    </row>
    <row r="28" spans="1:11" x14ac:dyDescent="0.25">
      <c r="A28" s="3" t="s">
        <v>57</v>
      </c>
      <c r="B28" s="6">
        <f t="shared" ref="B28:K28" si="4">SUM(B20:B27)</f>
        <v>46854</v>
      </c>
      <c r="C28" s="6">
        <f t="shared" si="4"/>
        <v>47065</v>
      </c>
      <c r="D28" s="6">
        <f t="shared" si="4"/>
        <v>50558</v>
      </c>
      <c r="E28" s="6">
        <f t="shared" si="4"/>
        <v>52284</v>
      </c>
      <c r="F28" s="7">
        <f t="shared" si="4"/>
        <v>57533.706077965631</v>
      </c>
      <c r="G28" s="7">
        <f t="shared" si="4"/>
        <v>65088.64492252552</v>
      </c>
      <c r="H28" s="7">
        <f t="shared" si="4"/>
        <v>72755.157151956286</v>
      </c>
      <c r="I28" s="7">
        <f t="shared" si="4"/>
        <v>80534.904996559868</v>
      </c>
      <c r="J28" s="7">
        <f t="shared" si="4"/>
        <v>88429.575450694538</v>
      </c>
      <c r="K28" s="7">
        <f t="shared" si="4"/>
        <v>96440.880641711847</v>
      </c>
    </row>
    <row r="29" spans="1:11" x14ac:dyDescent="0.25">
      <c r="A29" s="3" t="s">
        <v>58</v>
      </c>
      <c r="B29" s="6">
        <f t="shared" ref="B29:K29" si="5">B19+B28</f>
        <v>117208</v>
      </c>
      <c r="C29" s="6">
        <f t="shared" si="5"/>
        <v>120829</v>
      </c>
      <c r="D29" s="6">
        <f t="shared" si="5"/>
        <v>122369</v>
      </c>
      <c r="E29" s="6">
        <f t="shared" si="5"/>
        <v>125231</v>
      </c>
      <c r="F29" s="7">
        <f t="shared" si="5"/>
        <v>130078.82357179617</v>
      </c>
      <c r="G29" s="7">
        <f t="shared" si="5"/>
        <v>138079.69378931049</v>
      </c>
      <c r="H29" s="7">
        <f t="shared" si="5"/>
        <v>146198.78091731414</v>
      </c>
      <c r="I29" s="7">
        <f t="shared" si="5"/>
        <v>154437.84616195003</v>
      </c>
      <c r="J29" s="7">
        <f t="shared" si="5"/>
        <v>162798.67696796829</v>
      </c>
      <c r="K29" s="7">
        <f t="shared" si="5"/>
        <v>171283.08740963141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2" width="13" customWidth="1"/>
  </cols>
  <sheetData>
    <row r="1" spans="1:12" x14ac:dyDescent="0.25">
      <c r="A1" s="1"/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</row>
    <row r="2" spans="1:12" x14ac:dyDescent="0.25">
      <c r="A2" s="3" t="s">
        <v>26</v>
      </c>
      <c r="B2" s="4">
        <v>14352</v>
      </c>
      <c r="C2" s="4">
        <v>14793</v>
      </c>
      <c r="D2" s="4">
        <v>14738</v>
      </c>
      <c r="E2" s="4">
        <v>14974</v>
      </c>
      <c r="F2" s="4">
        <v>16065</v>
      </c>
      <c r="G2" s="11">
        <f>'QTR CF'!R2+'QTR CF'!S2+'QTR CF'!T2+'QTR CF'!U2</f>
        <v>17162.909180207775</v>
      </c>
      <c r="H2" s="11">
        <f>'QTR CF'!V2+'QTR CF'!W2+'QTR CF'!X2+'QTR CF'!Y2</f>
        <v>16990.186918028638</v>
      </c>
      <c r="I2" s="11">
        <f>'QTR CF'!Z2+'QTR CF'!AA2+'QTR CF'!AB2+'QTR CF'!AC2</f>
        <v>17240.785145241585</v>
      </c>
      <c r="J2" s="11">
        <f>'QTR CF'!AD2+'QTR CF'!AE2+'QTR CF'!AF2+'QTR CF'!AG2</f>
        <v>17495.11680733578</v>
      </c>
      <c r="K2" s="11">
        <f>'QTR CF'!AH2+'QTR CF'!AI2+'QTR CF'!AJ2+'QTR CF'!AK2</f>
        <v>17753.237525359174</v>
      </c>
      <c r="L2" s="11">
        <f>'QTR CF'!AL2+'QTR CF'!AM2+'QTR CF'!AN2+'QTR CF'!AO2</f>
        <v>18015.203749007076</v>
      </c>
    </row>
    <row r="3" spans="1:12" x14ac:dyDescent="0.25">
      <c r="A3" s="3" t="s">
        <v>59</v>
      </c>
      <c r="B3" s="4">
        <v>2735</v>
      </c>
      <c r="C3" s="4">
        <v>2807</v>
      </c>
      <c r="D3" s="4">
        <v>2714</v>
      </c>
      <c r="E3" s="4">
        <v>2896</v>
      </c>
      <c r="F3" s="4">
        <v>2847</v>
      </c>
      <c r="G3" s="11">
        <f>'QTR CF'!R3+'QTR CF'!S3+'QTR CF'!T3+'QTR CF'!U3</f>
        <v>3053.4181519056756</v>
      </c>
      <c r="H3" s="11">
        <f>'QTR CF'!V3+'QTR CF'!W3+'QTR CF'!X3+'QTR CF'!Y3</f>
        <v>3147.0429721927267</v>
      </c>
      <c r="I3" s="11">
        <f>'QTR CF'!Z3+'QTR CF'!AA3+'QTR CF'!AB3+'QTR CF'!AC3</f>
        <v>3193.9279008525764</v>
      </c>
      <c r="J3" s="11">
        <f>'QTR CF'!AD3+'QTR CF'!AE3+'QTR CF'!AF3+'QTR CF'!AG3</f>
        <v>3241.5113253877166</v>
      </c>
      <c r="K3" s="11">
        <f>'QTR CF'!AH3+'QTR CF'!AI3+'QTR CF'!AJ3+'QTR CF'!AK3</f>
        <v>3289.8036520523901</v>
      </c>
      <c r="L3" s="11">
        <f>'QTR CF'!AL3+'QTR CF'!AM3+'QTR CF'!AN3+'QTR CF'!AO3</f>
        <v>3338.8154421341505</v>
      </c>
    </row>
    <row r="4" spans="1:12" x14ac:dyDescent="0.25">
      <c r="A4" s="3" t="s">
        <v>60</v>
      </c>
      <c r="B4" s="4">
        <v>512</v>
      </c>
      <c r="C4" s="4">
        <v>0</v>
      </c>
      <c r="D4" s="4">
        <v>0</v>
      </c>
      <c r="E4" s="4">
        <v>0</v>
      </c>
      <c r="F4" s="4">
        <v>0</v>
      </c>
      <c r="G4" s="11">
        <f>'QTR CF'!R4+'QTR CF'!S4+'QTR CF'!T4+'QTR CF'!U4</f>
        <v>0</v>
      </c>
      <c r="H4" s="11">
        <f>'QTR CF'!V4+'QTR CF'!W4+'QTR CF'!X4+'QTR CF'!Y4</f>
        <v>0</v>
      </c>
      <c r="I4" s="11">
        <f>'QTR CF'!Z4+'QTR CF'!AA4+'QTR CF'!AB4+'QTR CF'!AC4</f>
        <v>0</v>
      </c>
      <c r="J4" s="11">
        <f>'QTR CF'!AD4+'QTR CF'!AE4+'QTR CF'!AF4+'QTR CF'!AG4</f>
        <v>0</v>
      </c>
      <c r="K4" s="11">
        <f>'QTR CF'!AH4+'QTR CF'!AI4+'QTR CF'!AJ4+'QTR CF'!AK4</f>
        <v>0</v>
      </c>
      <c r="L4" s="11">
        <f>'QTR CF'!AL4+'QTR CF'!AM4+'QTR CF'!AN4+'QTR CF'!AO4</f>
        <v>0</v>
      </c>
    </row>
    <row r="5" spans="1:12" x14ac:dyDescent="0.25">
      <c r="A5" s="3" t="s">
        <v>61</v>
      </c>
      <c r="B5" s="4">
        <v>540</v>
      </c>
      <c r="C5" s="4">
        <v>528</v>
      </c>
      <c r="D5" s="4">
        <v>545</v>
      </c>
      <c r="E5" s="4">
        <v>562</v>
      </c>
      <c r="F5" s="4">
        <v>476</v>
      </c>
      <c r="G5" s="11">
        <f>'QTR CF'!R5+'QTR CF'!S5+'QTR CF'!T5+'QTR CF'!U5</f>
        <v>524.03112146970113</v>
      </c>
      <c r="H5" s="11">
        <f>'QTR CF'!V5+'QTR CF'!W5+'QTR CF'!X5+'QTR CF'!Y5</f>
        <v>553.28311605882095</v>
      </c>
      <c r="I5" s="11">
        <f>'QTR CF'!Z5+'QTR CF'!AA5+'QTR CF'!AB5+'QTR CF'!AC5</f>
        <v>561.52597758131333</v>
      </c>
      <c r="J5" s="11">
        <f>'QTR CF'!AD5+'QTR CF'!AE5+'QTR CF'!AF5+'QTR CF'!AG5</f>
        <v>569.89164199459856</v>
      </c>
      <c r="K5" s="11">
        <f>'QTR CF'!AH5+'QTR CF'!AI5+'QTR CF'!AJ5+'QTR CF'!AK5</f>
        <v>578.38193882716587</v>
      </c>
      <c r="L5" s="11">
        <f>'QTR CF'!AL5+'QTR CF'!AM5+'QTR CF'!AN5+'QTR CF'!AO5</f>
        <v>586.99872486398408</v>
      </c>
    </row>
    <row r="6" spans="1:12" x14ac:dyDescent="0.25">
      <c r="A6" s="3" t="s">
        <v>62</v>
      </c>
      <c r="B6" s="4">
        <v>-258</v>
      </c>
      <c r="C6" s="4">
        <v>-402</v>
      </c>
      <c r="D6" s="4">
        <v>-453</v>
      </c>
      <c r="E6" s="4">
        <v>-244</v>
      </c>
      <c r="F6" s="4">
        <v>149</v>
      </c>
      <c r="G6" s="11">
        <f>'QTR CF'!R6+'QTR CF'!S6+'QTR CF'!T6+'QTR CF'!U6</f>
        <v>196</v>
      </c>
      <c r="H6" s="11">
        <f>'QTR CF'!V6+'QTR CF'!W6+'QTR CF'!X6+'QTR CF'!Y6</f>
        <v>0</v>
      </c>
      <c r="I6" s="11">
        <f>'QTR CF'!Z6+'QTR CF'!AA6+'QTR CF'!AB6+'QTR CF'!AC6</f>
        <v>0</v>
      </c>
      <c r="J6" s="11">
        <f>'QTR CF'!AD6+'QTR CF'!AE6+'QTR CF'!AF6+'QTR CF'!AG6</f>
        <v>0</v>
      </c>
      <c r="K6" s="11">
        <f>'QTR CF'!AH6+'QTR CF'!AI6+'QTR CF'!AJ6+'QTR CF'!AK6</f>
        <v>0</v>
      </c>
      <c r="L6" s="11">
        <f>'QTR CF'!AL6+'QTR CF'!AM6+'QTR CF'!AN6+'QTR CF'!AO6</f>
        <v>0</v>
      </c>
    </row>
    <row r="7" spans="1:12" x14ac:dyDescent="0.25">
      <c r="A7" s="3" t="s">
        <v>63</v>
      </c>
      <c r="B7" s="4">
        <v>-16</v>
      </c>
      <c r="C7" s="4">
        <v>-85</v>
      </c>
      <c r="D7" s="4">
        <v>-40</v>
      </c>
      <c r="E7" s="4">
        <v>-215</v>
      </c>
      <c r="F7" s="4">
        <v>755</v>
      </c>
      <c r="G7" s="11">
        <f>'QTR CF'!R7+'QTR CF'!S7+'QTR CF'!T7+'QTR CF'!U7</f>
        <v>1</v>
      </c>
      <c r="H7" s="11">
        <f>'QTR CF'!V7+'QTR CF'!W7+'QTR CF'!X7+'QTR CF'!Y7</f>
        <v>0</v>
      </c>
      <c r="I7" s="11">
        <f>'QTR CF'!Z7+'QTR CF'!AA7+'QTR CF'!AB7+'QTR CF'!AC7</f>
        <v>0</v>
      </c>
      <c r="J7" s="11">
        <f>'QTR CF'!AD7+'QTR CF'!AE7+'QTR CF'!AF7+'QTR CF'!AG7</f>
        <v>0</v>
      </c>
      <c r="K7" s="11">
        <f>'QTR CF'!AH7+'QTR CF'!AI7+'QTR CF'!AJ7+'QTR CF'!AK7</f>
        <v>0</v>
      </c>
      <c r="L7" s="11">
        <f>'QTR CF'!AL7+'QTR CF'!AM7+'QTR CF'!AN7+'QTR CF'!AO7</f>
        <v>0</v>
      </c>
    </row>
    <row r="8" spans="1:12" x14ac:dyDescent="0.25">
      <c r="A8" s="3" t="s">
        <v>20</v>
      </c>
      <c r="B8" s="4">
        <v>0</v>
      </c>
      <c r="C8" s="4">
        <v>0</v>
      </c>
      <c r="D8" s="4">
        <v>0</v>
      </c>
      <c r="E8" s="4">
        <v>1341</v>
      </c>
      <c r="F8" s="4">
        <v>0</v>
      </c>
      <c r="G8" s="11">
        <f>'QTR CF'!R8+'QTR CF'!S8+'QTR CF'!T8+'QTR CF'!U8</f>
        <v>0</v>
      </c>
      <c r="H8" s="11">
        <f>'QTR CF'!V8+'QTR CF'!W8+'QTR CF'!X8+'QTR CF'!Y8</f>
        <v>0</v>
      </c>
      <c r="I8" s="11">
        <f>'QTR CF'!Z8+'QTR CF'!AA8+'QTR CF'!AB8+'QTR CF'!AC8</f>
        <v>0</v>
      </c>
      <c r="J8" s="11">
        <f>'QTR CF'!AD8+'QTR CF'!AE8+'QTR CF'!AF8+'QTR CF'!AG8</f>
        <v>0</v>
      </c>
      <c r="K8" s="11">
        <f>'QTR CF'!AH8+'QTR CF'!AI8+'QTR CF'!AJ8+'QTR CF'!AK8</f>
        <v>0</v>
      </c>
      <c r="L8" s="11">
        <f>'QTR CF'!AL8+'QTR CF'!AM8+'QTR CF'!AN8+'QTR CF'!AO8</f>
        <v>0</v>
      </c>
    </row>
    <row r="9" spans="1:12" x14ac:dyDescent="0.25">
      <c r="A9" s="3" t="s">
        <v>32</v>
      </c>
      <c r="B9" s="4">
        <v>-342</v>
      </c>
      <c r="C9" s="4">
        <v>-694</v>
      </c>
      <c r="D9" s="4">
        <v>-307</v>
      </c>
      <c r="E9" s="4">
        <v>-766</v>
      </c>
      <c r="F9" s="4">
        <v>45</v>
      </c>
      <c r="G9" s="11">
        <f>'QTR CF'!R9+'QTR CF'!S9+'QTR CF'!T9+'QTR CF'!U9</f>
        <v>192.93953934740966</v>
      </c>
      <c r="H9" s="11">
        <f>'QTR CF'!V9+'QTR CF'!W9+'QTR CF'!X9+'QTR CF'!Y9</f>
        <v>-89.300050734519573</v>
      </c>
      <c r="I9" s="11">
        <f>'QTR CF'!Z9+'QTR CF'!AA9+'QTR CF'!AB9+'QTR CF'!AC9</f>
        <v>-90.630450905409816</v>
      </c>
      <c r="J9" s="11">
        <f>'QTR CF'!AD9+'QTR CF'!AE9+'QTR CF'!AF9+'QTR CF'!AG9</f>
        <v>-91.980671497458388</v>
      </c>
      <c r="K9" s="11">
        <f>'QTR CF'!AH9+'QTR CF'!AI9+'QTR CF'!AJ9+'QTR CF'!AK9</f>
        <v>-93.351007797070451</v>
      </c>
      <c r="L9" s="11">
        <f>'QTR CF'!AL9+'QTR CF'!AM9+'QTR CF'!AN9+'QTR CF'!AO9</f>
        <v>-94.741759489872493</v>
      </c>
    </row>
    <row r="10" spans="1:12" x14ac:dyDescent="0.25">
      <c r="A10" s="3" t="s">
        <v>33</v>
      </c>
      <c r="B10" s="4">
        <v>-309</v>
      </c>
      <c r="C10" s="4">
        <v>-1247</v>
      </c>
      <c r="D10" s="4">
        <v>-119</v>
      </c>
      <c r="E10" s="4">
        <v>-70</v>
      </c>
      <c r="F10" s="4">
        <v>-324</v>
      </c>
      <c r="G10" s="11">
        <f>'QTR CF'!R10+'QTR CF'!S10+'QTR CF'!T10+'QTR CF'!U10</f>
        <v>99.733616671237542</v>
      </c>
      <c r="H10" s="11">
        <f>'QTR CF'!V10+'QTR CF'!W10+'QTR CF'!X10+'QTR CF'!Y10</f>
        <v>-111.17351434810371</v>
      </c>
      <c r="I10" s="11">
        <f>'QTR CF'!Z10+'QTR CF'!AA10+'QTR CF'!AB10+'QTR CF'!AC10</f>
        <v>-112.82978734314111</v>
      </c>
      <c r="J10" s="11">
        <f>'QTR CF'!AD10+'QTR CF'!AE10+'QTR CF'!AF10+'QTR CF'!AG10</f>
        <v>-114.51073564192211</v>
      </c>
      <c r="K10" s="11">
        <f>'QTR CF'!AH10+'QTR CF'!AI10+'QTR CF'!AJ10+'QTR CF'!AK10</f>
        <v>-116.21672685932572</v>
      </c>
      <c r="L10" s="11">
        <f>'QTR CF'!AL10+'QTR CF'!AM10+'QTR CF'!AN10+'QTR CF'!AO10</f>
        <v>-117.94813408700884</v>
      </c>
    </row>
    <row r="11" spans="1:12" x14ac:dyDescent="0.25">
      <c r="A11" s="3" t="s">
        <v>41</v>
      </c>
      <c r="B11" s="4">
        <v>1391</v>
      </c>
      <c r="C11" s="4">
        <v>1429</v>
      </c>
      <c r="D11" s="4">
        <v>313</v>
      </c>
      <c r="E11" s="4">
        <v>1814</v>
      </c>
      <c r="F11" s="4">
        <v>-542</v>
      </c>
      <c r="G11" s="11">
        <f>'QTR CF'!R11+'QTR CF'!S11+'QTR CF'!T11+'QTR CF'!U11</f>
        <v>-449.5471620510034</v>
      </c>
      <c r="H11" s="11">
        <f>'QTR CF'!V11+'QTR CF'!W11+'QTR CF'!X11+'QTR CF'!Y11</f>
        <v>215.79067841931464</v>
      </c>
      <c r="I11" s="11">
        <f>'QTR CF'!Z11+'QTR CF'!AA11+'QTR CF'!AB11+'QTR CF'!AC11</f>
        <v>219.00554731450575</v>
      </c>
      <c r="J11" s="11">
        <f>'QTR CF'!AD11+'QTR CF'!AE11+'QTR CF'!AF11+'QTR CF'!AG11</f>
        <v>222.26831161505288</v>
      </c>
      <c r="K11" s="11">
        <f>'QTR CF'!AH11+'QTR CF'!AI11+'QTR CF'!AJ11+'QTR CF'!AK11</f>
        <v>225.57968487099242</v>
      </c>
      <c r="L11" s="11">
        <f>'QTR CF'!AL11+'QTR CF'!AM11+'QTR CF'!AN11+'QTR CF'!AO11</f>
        <v>228.94039126291136</v>
      </c>
    </row>
    <row r="12" spans="1:12" x14ac:dyDescent="0.25">
      <c r="A12" s="3" t="s">
        <v>64</v>
      </c>
      <c r="B12" s="4">
        <v>-369</v>
      </c>
      <c r="C12" s="4">
        <v>-635</v>
      </c>
      <c r="D12" s="4">
        <v>-1107</v>
      </c>
      <c r="E12" s="4">
        <v>-1414</v>
      </c>
      <c r="F12" s="4">
        <v>0</v>
      </c>
      <c r="G12" s="11">
        <f>'QTR CF'!R12+'QTR CF'!S12+'QTR CF'!T12+'QTR CF'!U12</f>
        <v>559.53674252810424</v>
      </c>
      <c r="H12" s="11">
        <f>'QTR CF'!V12+'QTR CF'!W12+'QTR CF'!X12+'QTR CF'!Y12</f>
        <v>24.276984647845211</v>
      </c>
      <c r="I12" s="11">
        <f>'QTR CF'!Z12+'QTR CF'!AA12+'QTR CF'!AB12+'QTR CF'!AC12</f>
        <v>24.638665344090896</v>
      </c>
      <c r="J12" s="11">
        <f>'QTR CF'!AD12+'QTR CF'!AE12+'QTR CF'!AF12+'QTR CF'!AG12</f>
        <v>25.005734391807209</v>
      </c>
      <c r="K12" s="11">
        <f>'QTR CF'!AH12+'QTR CF'!AI12+'QTR CF'!AJ12+'QTR CF'!AK12</f>
        <v>25.378272067143143</v>
      </c>
      <c r="L12" s="11">
        <f>'QTR CF'!AL12+'QTR CF'!AM12+'QTR CF'!AN12+'QTR CF'!AO12</f>
        <v>25.756359842206621</v>
      </c>
    </row>
    <row r="13" spans="1:12" x14ac:dyDescent="0.25">
      <c r="A13" s="3" t="s">
        <v>65</v>
      </c>
      <c r="B13" s="4">
        <v>135</v>
      </c>
      <c r="C13" s="4">
        <v>229</v>
      </c>
      <c r="D13" s="4">
        <v>564</v>
      </c>
      <c r="E13" s="4">
        <v>969</v>
      </c>
      <c r="F13" s="4">
        <v>-1653</v>
      </c>
      <c r="G13" s="11">
        <f>'QTR CF'!R13+'QTR CF'!S13+'QTR CF'!T13+'QTR CF'!U13</f>
        <v>-645</v>
      </c>
      <c r="H13" s="11">
        <f>'QTR CF'!V13+'QTR CF'!W13+'QTR CF'!X13+'QTR CF'!Y13</f>
        <v>0</v>
      </c>
      <c r="I13" s="11">
        <f>'QTR CF'!Z13+'QTR CF'!AA13+'QTR CF'!AB13+'QTR CF'!AC13</f>
        <v>0</v>
      </c>
      <c r="J13" s="11">
        <f>'QTR CF'!AD13+'QTR CF'!AE13+'QTR CF'!AF13+'QTR CF'!AG13</f>
        <v>0</v>
      </c>
      <c r="K13" s="11">
        <f>'QTR CF'!AH13+'QTR CF'!AI13+'QTR CF'!AJ13+'QTR CF'!AK13</f>
        <v>0</v>
      </c>
      <c r="L13" s="11">
        <f>'QTR CF'!AL13+'QTR CF'!AM13+'QTR CF'!AN13+'QTR CF'!AO13</f>
        <v>0</v>
      </c>
    </row>
    <row r="14" spans="1:12" x14ac:dyDescent="0.25">
      <c r="A14" s="3" t="s">
        <v>66</v>
      </c>
      <c r="B14" s="6">
        <f t="shared" ref="B14:L14" si="0">SUM(B2:B13)</f>
        <v>18371</v>
      </c>
      <c r="C14" s="6">
        <f t="shared" si="0"/>
        <v>16723</v>
      </c>
      <c r="D14" s="6">
        <f t="shared" si="0"/>
        <v>16848</v>
      </c>
      <c r="E14" s="6">
        <f t="shared" si="0"/>
        <v>19847</v>
      </c>
      <c r="F14" s="6">
        <f t="shared" si="0"/>
        <v>17818</v>
      </c>
      <c r="G14" s="7">
        <f t="shared" si="0"/>
        <v>20695.021190078896</v>
      </c>
      <c r="H14" s="7">
        <f t="shared" si="0"/>
        <v>20730.107104264724</v>
      </c>
      <c r="I14" s="7">
        <f t="shared" si="0"/>
        <v>21036.42299808552</v>
      </c>
      <c r="J14" s="7">
        <f t="shared" si="0"/>
        <v>21347.302413585581</v>
      </c>
      <c r="K14" s="7">
        <f t="shared" si="0"/>
        <v>21662.813338520471</v>
      </c>
      <c r="L14" s="7">
        <f t="shared" si="0"/>
        <v>21983.024773533449</v>
      </c>
    </row>
    <row r="15" spans="1:12" x14ac:dyDescent="0.25">
      <c r="A15" s="3" t="s">
        <v>67</v>
      </c>
      <c r="B15" s="4">
        <v>-2787</v>
      </c>
      <c r="C15" s="4">
        <v>-3156</v>
      </c>
      <c r="D15" s="4">
        <v>-3062</v>
      </c>
      <c r="E15" s="4">
        <v>-3322</v>
      </c>
      <c r="F15" s="4">
        <v>-3773</v>
      </c>
      <c r="G15" s="11">
        <f>'QTR CF'!R15+'QTR CF'!S15+'QTR CF'!T15+'QTR CF'!U15</f>
        <v>-4535.7256649300798</v>
      </c>
      <c r="H15" s="11">
        <f>'QTR CF'!V15+'QTR CF'!W15+'QTR CF'!X15+'QTR CF'!Y15</f>
        <v>-4579.3006839762002</v>
      </c>
      <c r="I15" s="11">
        <f>'QTR CF'!Z15+'QTR CF'!AA15+'QTR CF'!AB15+'QTR CF'!AC15</f>
        <v>-4647.5235165772519</v>
      </c>
      <c r="J15" s="11">
        <f>'QTR CF'!AD15+'QTR CF'!AE15+'QTR CF'!AF15+'QTR CF'!AG15</f>
        <v>-4716.7627390616772</v>
      </c>
      <c r="K15" s="11">
        <f>'QTR CF'!AH15+'QTR CF'!AI15+'QTR CF'!AJ15+'QTR CF'!AK15</f>
        <v>-4787.0334936971813</v>
      </c>
      <c r="L15" s="11">
        <f>'QTR CF'!AL15+'QTR CF'!AM15+'QTR CF'!AN15+'QTR CF'!AO15</f>
        <v>-4858.3511483423363</v>
      </c>
    </row>
    <row r="16" spans="1:12" x14ac:dyDescent="0.25">
      <c r="A16" s="3" t="s">
        <v>68</v>
      </c>
      <c r="B16" s="4">
        <v>42</v>
      </c>
      <c r="C16" s="4">
        <v>110</v>
      </c>
      <c r="D16" s="4">
        <v>46</v>
      </c>
      <c r="E16" s="4">
        <v>346</v>
      </c>
      <c r="F16" s="4">
        <v>107</v>
      </c>
      <c r="G16" s="11">
        <f>'QTR CF'!R16+'QTR CF'!S16+'QTR CF'!T16+'QTR CF'!U16</f>
        <v>16</v>
      </c>
      <c r="H16" s="11">
        <f>'QTR CF'!V16+'QTR CF'!W16+'QTR CF'!X16+'QTR CF'!Y16</f>
        <v>0</v>
      </c>
      <c r="I16" s="11">
        <f>'QTR CF'!Z16+'QTR CF'!AA16+'QTR CF'!AB16+'QTR CF'!AC16</f>
        <v>0</v>
      </c>
      <c r="J16" s="11">
        <f>'QTR CF'!AD16+'QTR CF'!AE16+'QTR CF'!AF16+'QTR CF'!AG16</f>
        <v>0</v>
      </c>
      <c r="K16" s="11">
        <f>'QTR CF'!AH16+'QTR CF'!AI16+'QTR CF'!AJ16+'QTR CF'!AK16</f>
        <v>0</v>
      </c>
      <c r="L16" s="11">
        <f>'QTR CF'!AL16+'QTR CF'!AM16+'QTR CF'!AN16+'QTR CF'!AO16</f>
        <v>0</v>
      </c>
    </row>
    <row r="17" spans="1:12" x14ac:dyDescent="0.25">
      <c r="A17" s="3" t="s">
        <v>69</v>
      </c>
      <c r="B17" s="4">
        <v>-34</v>
      </c>
      <c r="C17" s="4">
        <v>-1381</v>
      </c>
      <c r="D17" s="4">
        <v>-765</v>
      </c>
      <c r="E17" s="4">
        <v>-21</v>
      </c>
      <c r="F17" s="4">
        <v>-11</v>
      </c>
      <c r="G17" s="11">
        <f>'QTR CF'!R17+'QTR CF'!S17+'QTR CF'!T17+'QTR CF'!U17</f>
        <v>-5</v>
      </c>
      <c r="H17" s="11">
        <f>'QTR CF'!V17+'QTR CF'!W17+'QTR CF'!X17+'QTR CF'!Y17</f>
        <v>0</v>
      </c>
      <c r="I17" s="11">
        <f>'QTR CF'!Z17+'QTR CF'!AA17+'QTR CF'!AB17+'QTR CF'!AC17</f>
        <v>0</v>
      </c>
      <c r="J17" s="11">
        <f>'QTR CF'!AD17+'QTR CF'!AE17+'QTR CF'!AF17+'QTR CF'!AG17</f>
        <v>0</v>
      </c>
      <c r="K17" s="11">
        <f>'QTR CF'!AH17+'QTR CF'!AI17+'QTR CF'!AJ17+'QTR CF'!AK17</f>
        <v>0</v>
      </c>
      <c r="L17" s="11">
        <f>'QTR CF'!AL17+'QTR CF'!AM17+'QTR CF'!AN17+'QTR CF'!AO17</f>
        <v>0</v>
      </c>
    </row>
    <row r="18" spans="1:12" x14ac:dyDescent="0.25">
      <c r="A18" s="3" t="s">
        <v>70</v>
      </c>
      <c r="B18" s="4">
        <v>-55</v>
      </c>
      <c r="C18" s="4">
        <v>3</v>
      </c>
      <c r="D18" s="4">
        <v>281</v>
      </c>
      <c r="E18" s="4">
        <v>-507</v>
      </c>
      <c r="F18" s="4">
        <v>-141</v>
      </c>
      <c r="G18" s="11">
        <f>'QTR CF'!R19+'QTR CF'!S19+'QTR CF'!T19+'QTR CF'!U19</f>
        <v>-408</v>
      </c>
      <c r="H18" s="11">
        <f>'QTR CF'!V19+'QTR CF'!W19+'QTR CF'!X19+'QTR CF'!Y19</f>
        <v>0</v>
      </c>
      <c r="I18" s="11">
        <f>'QTR CF'!Z19+'QTR CF'!AA19+'QTR CF'!AB19+'QTR CF'!AC19</f>
        <v>0</v>
      </c>
      <c r="J18" s="11">
        <f>'QTR CF'!AD19+'QTR CF'!AE19+'QTR CF'!AF19+'QTR CF'!AG19</f>
        <v>0</v>
      </c>
      <c r="K18" s="11">
        <f>'QTR CF'!AH19+'QTR CF'!AI19+'QTR CF'!AJ19+'QTR CF'!AK19</f>
        <v>0</v>
      </c>
      <c r="L18" s="11">
        <f>'QTR CF'!AL19+'QTR CF'!AM19+'QTR CF'!AN19+'QTR CF'!AO19</f>
        <v>0</v>
      </c>
    </row>
    <row r="19" spans="1:12" x14ac:dyDescent="0.25">
      <c r="A19" s="3" t="s">
        <v>71</v>
      </c>
      <c r="B19" s="6">
        <f t="shared" ref="B19:L19" si="1">SUM(B15:B18)</f>
        <v>-2834</v>
      </c>
      <c r="C19" s="6">
        <f t="shared" si="1"/>
        <v>-4424</v>
      </c>
      <c r="D19" s="6">
        <f t="shared" si="1"/>
        <v>-3500</v>
      </c>
      <c r="E19" s="6">
        <f t="shared" si="1"/>
        <v>-3504</v>
      </c>
      <c r="F19" s="6">
        <f t="shared" si="1"/>
        <v>-3818</v>
      </c>
      <c r="G19" s="7">
        <f t="shared" si="1"/>
        <v>-4932.7256649300798</v>
      </c>
      <c r="H19" s="7">
        <f t="shared" si="1"/>
        <v>-4579.3006839762002</v>
      </c>
      <c r="I19" s="7">
        <f t="shared" si="1"/>
        <v>-4647.5235165772519</v>
      </c>
      <c r="J19" s="7">
        <f t="shared" si="1"/>
        <v>-4716.7627390616772</v>
      </c>
      <c r="K19" s="7">
        <f t="shared" si="1"/>
        <v>-4787.0334936971813</v>
      </c>
      <c r="L19" s="7">
        <f t="shared" si="1"/>
        <v>-4858.3511483423363</v>
      </c>
    </row>
    <row r="20" spans="1:12" x14ac:dyDescent="0.25">
      <c r="A20" s="3" t="s">
        <v>72</v>
      </c>
      <c r="B20" s="4">
        <v>-8263</v>
      </c>
      <c r="C20" s="4">
        <v>-8770</v>
      </c>
      <c r="D20" s="4">
        <v>-8999</v>
      </c>
      <c r="E20" s="4">
        <v>-9312</v>
      </c>
      <c r="F20" s="4">
        <v>-9872</v>
      </c>
      <c r="G20" s="11">
        <f>'QTR CF'!R21+'QTR CF'!S21+'QTR CF'!T21+'QTR CF'!U21</f>
        <v>-9824.2342237118446</v>
      </c>
      <c r="H20" s="11">
        <f>'QTR CF'!V21+'QTR CF'!W21+'QTR CF'!X21+'QTR CF'!Y21</f>
        <v>-9984.5311895275699</v>
      </c>
      <c r="I20" s="11">
        <f>'QTR CF'!Z21+'QTR CF'!AA21+'QTR CF'!AB21+'QTR CF'!AC21</f>
        <v>-10131.798893392144</v>
      </c>
      <c r="J20" s="11">
        <f>'QTR CF'!AD21+'QTR CF'!AE21+'QTR CF'!AF21+'QTR CF'!AG21</f>
        <v>-10281.260604726778</v>
      </c>
      <c r="K20" s="11">
        <f>'QTR CF'!AH21+'QTR CF'!AI21+'QTR CF'!AJ21+'QTR CF'!AK21</f>
        <v>-10432.949010051683</v>
      </c>
      <c r="L20" s="11">
        <f>'QTR CF'!AL21+'QTR CF'!AM21+'QTR CF'!AN21+'QTR CF'!AO21</f>
        <v>-10586.897282853777</v>
      </c>
    </row>
    <row r="21" spans="1:12" x14ac:dyDescent="0.25">
      <c r="A21" s="3" t="s">
        <v>73</v>
      </c>
      <c r="B21" s="4">
        <v>7675</v>
      </c>
      <c r="C21" s="4">
        <v>10411</v>
      </c>
      <c r="D21" s="4">
        <v>17168</v>
      </c>
      <c r="E21" s="4">
        <v>3528</v>
      </c>
      <c r="F21" s="4">
        <v>8020</v>
      </c>
      <c r="G21" s="11">
        <f>'QTR CF'!R22+'QTR CF'!S22+'QTR CF'!T22+'QTR CF'!U22</f>
        <v>4180</v>
      </c>
      <c r="H21" s="11">
        <f>'QTR CF'!V22+'QTR CF'!W22+'QTR CF'!X22+'QTR CF'!Y22</f>
        <v>0</v>
      </c>
      <c r="I21" s="11">
        <f>'QTR CF'!Z22+'QTR CF'!AA22+'QTR CF'!AB22+'QTR CF'!AC22</f>
        <v>0</v>
      </c>
      <c r="J21" s="11">
        <f>'QTR CF'!AD22+'QTR CF'!AE22+'QTR CF'!AF22+'QTR CF'!AG22</f>
        <v>0</v>
      </c>
      <c r="K21" s="11">
        <f>'QTR CF'!AH22+'QTR CF'!AI22+'QTR CF'!AJ22+'QTR CF'!AK22</f>
        <v>0</v>
      </c>
      <c r="L21" s="11">
        <f>'QTR CF'!AL22+'QTR CF'!AM22+'QTR CF'!AN22+'QTR CF'!AO22</f>
        <v>0</v>
      </c>
    </row>
    <row r="22" spans="1:12" x14ac:dyDescent="0.25">
      <c r="A22" s="3" t="s">
        <v>74</v>
      </c>
      <c r="B22" s="4">
        <v>-7577</v>
      </c>
      <c r="C22" s="4">
        <v>-11478</v>
      </c>
      <c r="D22" s="4">
        <v>-13031</v>
      </c>
      <c r="E22" s="4">
        <v>-7689</v>
      </c>
      <c r="F22" s="4">
        <v>-6512</v>
      </c>
      <c r="G22" s="11">
        <f>'QTR CF'!R23+'QTR CF'!S23+'QTR CF'!T23+'QTR CF'!U23</f>
        <v>-3270</v>
      </c>
      <c r="H22" s="11">
        <f>'QTR CF'!V23+'QTR CF'!W23+'QTR CF'!X23+'QTR CF'!Y23</f>
        <v>0</v>
      </c>
      <c r="I22" s="11">
        <f>'QTR CF'!Z23+'QTR CF'!AA23+'QTR CF'!AB23+'QTR CF'!AC23</f>
        <v>0</v>
      </c>
      <c r="J22" s="11">
        <f>'QTR CF'!AD23+'QTR CF'!AE23+'QTR CF'!AF23+'QTR CF'!AG23</f>
        <v>0</v>
      </c>
      <c r="K22" s="11">
        <f>'QTR CF'!AH23+'QTR CF'!AI23+'QTR CF'!AJ23+'QTR CF'!AK23</f>
        <v>0</v>
      </c>
      <c r="L22" s="11">
        <f>'QTR CF'!AL23+'QTR CF'!AM23+'QTR CF'!AN23+'QTR CF'!AO23</f>
        <v>0</v>
      </c>
    </row>
    <row r="23" spans="1:12" x14ac:dyDescent="0.25">
      <c r="A23" s="3" t="s">
        <v>75</v>
      </c>
      <c r="B23" s="4">
        <v>-3431</v>
      </c>
      <c r="C23" s="4">
        <v>917</v>
      </c>
      <c r="D23" s="4">
        <v>-3319</v>
      </c>
      <c r="E23" s="4">
        <v>857</v>
      </c>
      <c r="F23" s="4">
        <v>-1138</v>
      </c>
      <c r="G23" s="11">
        <f>'QTR CF'!R24+'QTR CF'!S24+'QTR CF'!T24+'QTR CF'!U24</f>
        <v>-471</v>
      </c>
      <c r="H23" s="11">
        <f>'QTR CF'!V24+'QTR CF'!W24+'QTR CF'!X24+'QTR CF'!Y24</f>
        <v>0</v>
      </c>
      <c r="I23" s="11">
        <f>'QTR CF'!Z24+'QTR CF'!AA24+'QTR CF'!AB24+'QTR CF'!AC24</f>
        <v>0</v>
      </c>
      <c r="J23" s="11">
        <f>'QTR CF'!AD24+'QTR CF'!AE24+'QTR CF'!AF24+'QTR CF'!AG24</f>
        <v>0</v>
      </c>
      <c r="K23" s="11">
        <f>'QTR CF'!AH24+'QTR CF'!AI24+'QTR CF'!AJ24+'QTR CF'!AK24</f>
        <v>0</v>
      </c>
      <c r="L23" s="11">
        <f>'QTR CF'!AL24+'QTR CF'!AM24+'QTR CF'!AN24+'QTR CF'!AO24</f>
        <v>0</v>
      </c>
    </row>
    <row r="24" spans="1:12" x14ac:dyDescent="0.25">
      <c r="A24" s="3" t="s">
        <v>76</v>
      </c>
      <c r="B24" s="4">
        <v>4417</v>
      </c>
      <c r="C24" s="4">
        <v>4385</v>
      </c>
      <c r="D24" s="4">
        <v>3997</v>
      </c>
      <c r="E24" s="4">
        <v>3197</v>
      </c>
      <c r="F24" s="4">
        <v>2237</v>
      </c>
      <c r="G24" s="11">
        <f>'QTR CF'!R25+'QTR CF'!S25+'QTR CF'!T25+'QTR CF'!U25</f>
        <v>2652</v>
      </c>
      <c r="H24" s="11">
        <f>'QTR CF'!V25+'QTR CF'!W25+'QTR CF'!X25+'QTR CF'!Y25</f>
        <v>0</v>
      </c>
      <c r="I24" s="11">
        <f>'QTR CF'!Z25+'QTR CF'!AA25+'QTR CF'!AB25+'QTR CF'!AC25</f>
        <v>0</v>
      </c>
      <c r="J24" s="11">
        <f>'QTR CF'!AD25+'QTR CF'!AE25+'QTR CF'!AF25+'QTR CF'!AG25</f>
        <v>0</v>
      </c>
      <c r="K24" s="11">
        <f>'QTR CF'!AH25+'QTR CF'!AI25+'QTR CF'!AJ25+'QTR CF'!AK25</f>
        <v>0</v>
      </c>
      <c r="L24" s="11">
        <f>'QTR CF'!AL25+'QTR CF'!AM25+'QTR CF'!AN25+'QTR CF'!AO25</f>
        <v>0</v>
      </c>
    </row>
    <row r="25" spans="1:12" x14ac:dyDescent="0.25">
      <c r="A25" s="3" t="s">
        <v>77</v>
      </c>
      <c r="B25" s="4">
        <v>-4987</v>
      </c>
      <c r="C25" s="4">
        <v>-2343</v>
      </c>
      <c r="D25" s="4">
        <v>-1878</v>
      </c>
      <c r="E25" s="4">
        <v>-2335</v>
      </c>
      <c r="F25" s="4">
        <v>-1977</v>
      </c>
      <c r="G25" s="11">
        <f>'QTR CF'!R26+'QTR CF'!S26+'QTR CF'!T26+'QTR CF'!U26</f>
        <v>-1005</v>
      </c>
      <c r="H25" s="11">
        <f>'QTR CF'!V26+'QTR CF'!W26+'QTR CF'!X26+'QTR CF'!Y26</f>
        <v>0</v>
      </c>
      <c r="I25" s="11">
        <f>'QTR CF'!Z26+'QTR CF'!AA26+'QTR CF'!AB26+'QTR CF'!AC26</f>
        <v>0</v>
      </c>
      <c r="J25" s="11">
        <f>'QTR CF'!AD26+'QTR CF'!AE26+'QTR CF'!AF26+'QTR CF'!AG26</f>
        <v>0</v>
      </c>
      <c r="K25" s="11">
        <f>'QTR CF'!AH26+'QTR CF'!AI26+'QTR CF'!AJ26+'QTR CF'!AK26</f>
        <v>0</v>
      </c>
      <c r="L25" s="11">
        <f>'QTR CF'!AL26+'QTR CF'!AM26+'QTR CF'!AN26+'QTR CF'!AO26</f>
        <v>0</v>
      </c>
    </row>
    <row r="26" spans="1:12" x14ac:dyDescent="0.25">
      <c r="A26" s="3" t="s">
        <v>78</v>
      </c>
      <c r="B26" s="4">
        <v>-11009</v>
      </c>
      <c r="C26" s="4">
        <v>-10003</v>
      </c>
      <c r="D26" s="4">
        <v>-7353</v>
      </c>
      <c r="E26" s="4">
        <v>-5006</v>
      </c>
      <c r="F26" s="4">
        <v>-6500</v>
      </c>
      <c r="G26" s="11">
        <f>'QTR CF'!R27+'QTR CF'!S27+'QTR CF'!T27+'QTR CF'!U27</f>
        <v>-3528</v>
      </c>
      <c r="H26" s="11">
        <f>'QTR CF'!V27+'QTR CF'!W27+'QTR CF'!X27+'QTR CF'!Y27</f>
        <v>0</v>
      </c>
      <c r="I26" s="11">
        <f>'QTR CF'!Z27+'QTR CF'!AA27+'QTR CF'!AB27+'QTR CF'!AC27</f>
        <v>0</v>
      </c>
      <c r="J26" s="11">
        <f>'QTR CF'!AD27+'QTR CF'!AE27+'QTR CF'!AF27+'QTR CF'!AG27</f>
        <v>0</v>
      </c>
      <c r="K26" s="11">
        <f>'QTR CF'!AH27+'QTR CF'!AI27+'QTR CF'!AJ27+'QTR CF'!AK27</f>
        <v>0</v>
      </c>
      <c r="L26" s="11">
        <f>'QTR CF'!AL27+'QTR CF'!AM27+'QTR CF'!AN27+'QTR CF'!AO27</f>
        <v>0</v>
      </c>
    </row>
    <row r="27" spans="1:12" x14ac:dyDescent="0.25">
      <c r="A27" s="3" t="s">
        <v>79</v>
      </c>
      <c r="B27" s="4">
        <v>1644</v>
      </c>
      <c r="C27" s="4">
        <v>2005</v>
      </c>
      <c r="D27" s="4">
        <v>1269</v>
      </c>
      <c r="E27" s="4">
        <v>1905</v>
      </c>
      <c r="F27" s="4">
        <v>1707</v>
      </c>
      <c r="G27" s="11">
        <f>'QTR CF'!R28+'QTR CF'!S28+'QTR CF'!T28+'QTR CF'!U28</f>
        <v>208</v>
      </c>
      <c r="H27" s="11">
        <f>'QTR CF'!V28+'QTR CF'!W28+'QTR CF'!X28+'QTR CF'!Y28</f>
        <v>0</v>
      </c>
      <c r="I27" s="11">
        <f>'QTR CF'!Z28+'QTR CF'!AA28+'QTR CF'!AB28+'QTR CF'!AC28</f>
        <v>0</v>
      </c>
      <c r="J27" s="11">
        <f>'QTR CF'!AD28+'QTR CF'!AE28+'QTR CF'!AF28+'QTR CF'!AG28</f>
        <v>0</v>
      </c>
      <c r="K27" s="11">
        <f>'QTR CF'!AH28+'QTR CF'!AI28+'QTR CF'!AJ28+'QTR CF'!AK28</f>
        <v>0</v>
      </c>
      <c r="L27" s="11">
        <f>'QTR CF'!AL28+'QTR CF'!AM28+'QTR CF'!AN28+'QTR CF'!AO28</f>
        <v>0</v>
      </c>
    </row>
    <row r="28" spans="1:12" x14ac:dyDescent="0.25">
      <c r="A28" s="3" t="s">
        <v>80</v>
      </c>
      <c r="B28" s="6">
        <f t="shared" ref="B28:L28" si="2">SUM(B20:B27)</f>
        <v>-21531</v>
      </c>
      <c r="C28" s="6">
        <f t="shared" si="2"/>
        <v>-14876</v>
      </c>
      <c r="D28" s="6">
        <f t="shared" si="2"/>
        <v>-12146</v>
      </c>
      <c r="E28" s="6">
        <f t="shared" si="2"/>
        <v>-14855</v>
      </c>
      <c r="F28" s="6">
        <f t="shared" si="2"/>
        <v>-14035</v>
      </c>
      <c r="G28" s="7">
        <f t="shared" si="2"/>
        <v>-11058.234223711845</v>
      </c>
      <c r="H28" s="7">
        <f t="shared" si="2"/>
        <v>-9984.5311895275699</v>
      </c>
      <c r="I28" s="7">
        <f t="shared" si="2"/>
        <v>-10131.798893392144</v>
      </c>
      <c r="J28" s="7">
        <f t="shared" si="2"/>
        <v>-10281.260604726778</v>
      </c>
      <c r="K28" s="7">
        <f t="shared" si="2"/>
        <v>-10432.949010051683</v>
      </c>
      <c r="L28" s="7">
        <f t="shared" si="2"/>
        <v>-10586.897282853777</v>
      </c>
    </row>
    <row r="29" spans="1:12" x14ac:dyDescent="0.25">
      <c r="A29" s="3" t="s">
        <v>81</v>
      </c>
      <c r="B29" s="4">
        <v>101</v>
      </c>
      <c r="C29" s="4">
        <v>-497</v>
      </c>
      <c r="D29" s="4">
        <v>-170</v>
      </c>
      <c r="E29" s="4">
        <v>-251</v>
      </c>
      <c r="F29" s="4">
        <v>112</v>
      </c>
      <c r="G29" s="11">
        <f>'QTR CF'!R30+'QTR CF'!S30+'QTR CF'!T30+'QTR CF'!U30</f>
        <v>-23</v>
      </c>
      <c r="H29" s="11">
        <f>'QTR CF'!V30+'QTR CF'!W30+'QTR CF'!X30+'QTR CF'!Y30</f>
        <v>-4</v>
      </c>
      <c r="I29" s="11">
        <f>'QTR CF'!Z30+'QTR CF'!AA30+'QTR CF'!AB30+'QTR CF'!AC30</f>
        <v>-4</v>
      </c>
      <c r="J29" s="11">
        <f>'QTR CF'!AD30+'QTR CF'!AE30+'QTR CF'!AF30+'QTR CF'!AG30</f>
        <v>-4</v>
      </c>
      <c r="K29" s="11">
        <f>'QTR CF'!AH30+'QTR CF'!AI30+'QTR CF'!AJ30+'QTR CF'!AK30</f>
        <v>-4</v>
      </c>
      <c r="L29" s="11">
        <f>'QTR CF'!AL30+'QTR CF'!AM30+'QTR CF'!AN30+'QTR CF'!AO30</f>
        <v>-4</v>
      </c>
    </row>
    <row r="30" spans="1:12" x14ac:dyDescent="0.25">
      <c r="A30" s="3" t="s">
        <v>82</v>
      </c>
      <c r="B30" s="6">
        <f t="shared" ref="B30:L30" si="3">B14+B19+B28+B29</f>
        <v>-5893</v>
      </c>
      <c r="C30" s="6">
        <f t="shared" si="3"/>
        <v>-3074</v>
      </c>
      <c r="D30" s="6">
        <f t="shared" si="3"/>
        <v>1032</v>
      </c>
      <c r="E30" s="6">
        <f t="shared" si="3"/>
        <v>1237</v>
      </c>
      <c r="F30" s="6">
        <f t="shared" si="3"/>
        <v>77</v>
      </c>
      <c r="G30" s="7">
        <f t="shared" si="3"/>
        <v>4681.0613014369719</v>
      </c>
      <c r="H30" s="7">
        <f t="shared" si="3"/>
        <v>6162.2752307609535</v>
      </c>
      <c r="I30" s="7">
        <f t="shared" si="3"/>
        <v>6253.1005881161254</v>
      </c>
      <c r="J30" s="7">
        <f t="shared" si="3"/>
        <v>6345.2790697971268</v>
      </c>
      <c r="K30" s="7">
        <f t="shared" si="3"/>
        <v>6438.8308347716065</v>
      </c>
      <c r="L30" s="7">
        <f t="shared" si="3"/>
        <v>6533.7763423373362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5" width="13" customWidth="1"/>
  </cols>
  <sheetData>
    <row r="1" spans="1:15" x14ac:dyDescent="0.25">
      <c r="A1" s="1"/>
      <c r="B1" s="2" t="s">
        <v>83</v>
      </c>
      <c r="C1" s="2" t="s">
        <v>84</v>
      </c>
      <c r="D1" s="2" t="s">
        <v>85</v>
      </c>
      <c r="E1" s="2" t="s">
        <v>86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  <c r="O1" s="2" t="s">
        <v>96</v>
      </c>
    </row>
    <row r="2" spans="1:15" x14ac:dyDescent="0.25">
      <c r="A2" s="3" t="s">
        <v>16</v>
      </c>
      <c r="B2" s="4">
        <v>20338</v>
      </c>
      <c r="C2" s="4">
        <v>41291</v>
      </c>
      <c r="D2" s="4">
        <v>60672</v>
      </c>
      <c r="E2" s="4">
        <v>20612</v>
      </c>
      <c r="F2" s="4">
        <v>41385</v>
      </c>
      <c r="G2" s="4">
        <v>61453</v>
      </c>
      <c r="H2" s="4">
        <v>21871</v>
      </c>
      <c r="I2" s="4">
        <v>43312</v>
      </c>
      <c r="J2" s="4">
        <v>63507</v>
      </c>
      <c r="K2" s="4">
        <v>21737</v>
      </c>
      <c r="L2" s="4">
        <v>43619</v>
      </c>
      <c r="M2" s="4">
        <v>63395</v>
      </c>
      <c r="N2" s="4">
        <v>22386</v>
      </c>
      <c r="O2" s="4">
        <v>44594</v>
      </c>
    </row>
    <row r="3" spans="1:15" x14ac:dyDescent="0.25">
      <c r="A3" s="3" t="s">
        <v>17</v>
      </c>
      <c r="B3" s="4">
        <v>-10365</v>
      </c>
      <c r="C3" s="4">
        <v>-21029</v>
      </c>
      <c r="D3" s="4">
        <v>-31355</v>
      </c>
      <c r="E3" s="4">
        <v>-10846</v>
      </c>
      <c r="F3" s="4">
        <v>-21743</v>
      </c>
      <c r="G3" s="4">
        <v>-32147</v>
      </c>
      <c r="H3" s="4">
        <v>-10501</v>
      </c>
      <c r="I3" s="4">
        <v>-20645</v>
      </c>
      <c r="J3" s="4">
        <v>-30500</v>
      </c>
      <c r="K3" s="4">
        <v>-10421</v>
      </c>
      <c r="L3" s="4">
        <v>-20839</v>
      </c>
      <c r="M3" s="4">
        <v>-30533</v>
      </c>
      <c r="N3" s="4">
        <v>-10887</v>
      </c>
      <c r="O3" s="4">
        <v>-21721</v>
      </c>
    </row>
    <row r="4" spans="1:15" x14ac:dyDescent="0.25">
      <c r="A4" s="3" t="s">
        <v>18</v>
      </c>
      <c r="B4" s="6">
        <f t="shared" ref="B4:O4" si="0">B2+B3</f>
        <v>9973</v>
      </c>
      <c r="C4" s="6">
        <f t="shared" si="0"/>
        <v>20262</v>
      </c>
      <c r="D4" s="6">
        <f t="shared" si="0"/>
        <v>29317</v>
      </c>
      <c r="E4" s="6">
        <f t="shared" si="0"/>
        <v>9766</v>
      </c>
      <c r="F4" s="6">
        <f t="shared" si="0"/>
        <v>19642</v>
      </c>
      <c r="G4" s="6">
        <f t="shared" si="0"/>
        <v>29306</v>
      </c>
      <c r="H4" s="6">
        <f t="shared" si="0"/>
        <v>11370</v>
      </c>
      <c r="I4" s="6">
        <f t="shared" si="0"/>
        <v>22667</v>
      </c>
      <c r="J4" s="6">
        <f t="shared" si="0"/>
        <v>33007</v>
      </c>
      <c r="K4" s="6">
        <f t="shared" si="0"/>
        <v>11316</v>
      </c>
      <c r="L4" s="6">
        <f t="shared" si="0"/>
        <v>22780</v>
      </c>
      <c r="M4" s="6">
        <f t="shared" si="0"/>
        <v>32862</v>
      </c>
      <c r="N4" s="6">
        <f t="shared" si="0"/>
        <v>11499</v>
      </c>
      <c r="O4" s="6">
        <f t="shared" si="0"/>
        <v>22873</v>
      </c>
    </row>
    <row r="5" spans="1:15" x14ac:dyDescent="0.25">
      <c r="A5" s="3" t="s">
        <v>19</v>
      </c>
      <c r="B5" s="4">
        <v>-4950</v>
      </c>
      <c r="C5" s="4">
        <v>-10071</v>
      </c>
      <c r="D5" s="4">
        <v>-15102</v>
      </c>
      <c r="E5" s="4">
        <v>-4827</v>
      </c>
      <c r="F5" s="4">
        <v>-9918</v>
      </c>
      <c r="G5" s="4">
        <v>-15334</v>
      </c>
      <c r="H5" s="4">
        <v>-5604</v>
      </c>
      <c r="I5" s="4">
        <v>-11127</v>
      </c>
      <c r="J5" s="4">
        <v>-17006</v>
      </c>
      <c r="K5" s="4">
        <v>-5519</v>
      </c>
      <c r="L5" s="4">
        <v>-11242</v>
      </c>
      <c r="M5" s="4">
        <v>-16765</v>
      </c>
      <c r="N5" s="4">
        <v>-5643</v>
      </c>
      <c r="O5" s="4">
        <v>-11651</v>
      </c>
    </row>
    <row r="6" spans="1:15" x14ac:dyDescent="0.25">
      <c r="A6" s="3" t="s">
        <v>20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-1341</v>
      </c>
      <c r="J6" s="4">
        <v>-1341</v>
      </c>
      <c r="K6" s="4">
        <v>0</v>
      </c>
      <c r="L6" s="4">
        <v>0</v>
      </c>
      <c r="M6" s="4">
        <v>0</v>
      </c>
      <c r="N6" s="4">
        <v>0</v>
      </c>
      <c r="O6" s="4">
        <v>0</v>
      </c>
    </row>
    <row r="7" spans="1:15" x14ac:dyDescent="0.25">
      <c r="A7" s="3" t="s">
        <v>21</v>
      </c>
      <c r="B7" s="6">
        <f t="shared" ref="B7:O7" si="1">B4+SUM(B5:B6)</f>
        <v>5023</v>
      </c>
      <c r="C7" s="6">
        <f t="shared" si="1"/>
        <v>10191</v>
      </c>
      <c r="D7" s="6">
        <f t="shared" si="1"/>
        <v>14215</v>
      </c>
      <c r="E7" s="6">
        <f t="shared" si="1"/>
        <v>4939</v>
      </c>
      <c r="F7" s="6">
        <f t="shared" si="1"/>
        <v>9724</v>
      </c>
      <c r="G7" s="6">
        <f t="shared" si="1"/>
        <v>13972</v>
      </c>
      <c r="H7" s="6">
        <f t="shared" si="1"/>
        <v>5766</v>
      </c>
      <c r="I7" s="6">
        <f t="shared" si="1"/>
        <v>10199</v>
      </c>
      <c r="J7" s="6">
        <f t="shared" si="1"/>
        <v>14660</v>
      </c>
      <c r="K7" s="6">
        <f t="shared" si="1"/>
        <v>5797</v>
      </c>
      <c r="L7" s="6">
        <f t="shared" si="1"/>
        <v>11538</v>
      </c>
      <c r="M7" s="6">
        <f t="shared" si="1"/>
        <v>16097</v>
      </c>
      <c r="N7" s="6">
        <f t="shared" si="1"/>
        <v>5856</v>
      </c>
      <c r="O7" s="6">
        <f t="shared" si="1"/>
        <v>11222</v>
      </c>
    </row>
    <row r="8" spans="1:15" x14ac:dyDescent="0.25">
      <c r="A8" s="3" t="s">
        <v>22</v>
      </c>
      <c r="B8" s="4">
        <v>-98</v>
      </c>
      <c r="C8" s="4">
        <v>-194</v>
      </c>
      <c r="D8" s="4">
        <v>-294</v>
      </c>
      <c r="E8" s="4">
        <v>-81</v>
      </c>
      <c r="F8" s="4">
        <v>-186</v>
      </c>
      <c r="G8" s="4">
        <v>-325</v>
      </c>
      <c r="H8" s="4">
        <v>-97</v>
      </c>
      <c r="I8" s="4">
        <v>-210</v>
      </c>
      <c r="J8" s="4">
        <v>-339</v>
      </c>
      <c r="K8" s="4">
        <v>-103</v>
      </c>
      <c r="L8" s="4">
        <v>-224</v>
      </c>
      <c r="M8" s="4">
        <v>-330</v>
      </c>
      <c r="N8" s="4">
        <v>-89</v>
      </c>
      <c r="O8" s="4">
        <v>-195</v>
      </c>
    </row>
    <row r="9" spans="1:15" x14ac:dyDescent="0.25">
      <c r="A9" s="3" t="s">
        <v>23</v>
      </c>
      <c r="B9" s="4">
        <v>110</v>
      </c>
      <c r="C9" s="4">
        <v>277</v>
      </c>
      <c r="D9" s="4">
        <v>424</v>
      </c>
      <c r="E9" s="4">
        <v>139</v>
      </c>
      <c r="F9" s="4">
        <v>294</v>
      </c>
      <c r="G9" s="4">
        <v>473</v>
      </c>
      <c r="H9" s="4">
        <v>132</v>
      </c>
      <c r="I9" s="4">
        <v>309</v>
      </c>
      <c r="J9" s="4">
        <v>570</v>
      </c>
      <c r="K9" s="4">
        <v>-554</v>
      </c>
      <c r="L9" s="4">
        <v>-330</v>
      </c>
      <c r="M9" s="4">
        <v>-120</v>
      </c>
      <c r="N9" s="4">
        <v>268</v>
      </c>
      <c r="O9" s="4">
        <v>427</v>
      </c>
    </row>
    <row r="10" spans="1:15" x14ac:dyDescent="0.25">
      <c r="A10" s="3" t="s">
        <v>24</v>
      </c>
      <c r="B10" s="6">
        <f t="shared" ref="B10:O10" si="2">B7+SUM(B8:B9)</f>
        <v>5035</v>
      </c>
      <c r="C10" s="6">
        <f t="shared" si="2"/>
        <v>10274</v>
      </c>
      <c r="D10" s="6">
        <f t="shared" si="2"/>
        <v>14345</v>
      </c>
      <c r="E10" s="6">
        <f t="shared" si="2"/>
        <v>4997</v>
      </c>
      <c r="F10" s="6">
        <f t="shared" si="2"/>
        <v>9832</v>
      </c>
      <c r="G10" s="6">
        <f t="shared" si="2"/>
        <v>14120</v>
      </c>
      <c r="H10" s="6">
        <f t="shared" si="2"/>
        <v>5801</v>
      </c>
      <c r="I10" s="6">
        <f t="shared" si="2"/>
        <v>10298</v>
      </c>
      <c r="J10" s="6">
        <f t="shared" si="2"/>
        <v>14891</v>
      </c>
      <c r="K10" s="6">
        <f t="shared" si="2"/>
        <v>5140</v>
      </c>
      <c r="L10" s="6">
        <f t="shared" si="2"/>
        <v>10984</v>
      </c>
      <c r="M10" s="6">
        <f t="shared" si="2"/>
        <v>15647</v>
      </c>
      <c r="N10" s="6">
        <f t="shared" si="2"/>
        <v>6035</v>
      </c>
      <c r="O10" s="6">
        <f t="shared" si="2"/>
        <v>11454</v>
      </c>
    </row>
    <row r="11" spans="1:15" x14ac:dyDescent="0.25">
      <c r="A11" s="3" t="s">
        <v>25</v>
      </c>
      <c r="B11" s="4">
        <v>-909</v>
      </c>
      <c r="C11" s="4">
        <v>-1906</v>
      </c>
      <c r="D11" s="4">
        <v>-2610</v>
      </c>
      <c r="E11" s="4">
        <v>-1034</v>
      </c>
      <c r="F11" s="4">
        <v>-1910</v>
      </c>
      <c r="G11" s="4">
        <v>-2774</v>
      </c>
      <c r="H11" s="4">
        <v>-1246</v>
      </c>
      <c r="I11" s="4">
        <v>-2250</v>
      </c>
      <c r="J11" s="4">
        <v>-3061</v>
      </c>
      <c r="K11" s="4">
        <v>-1152</v>
      </c>
      <c r="L11" s="4">
        <v>-2339</v>
      </c>
      <c r="M11" s="4">
        <v>-3207</v>
      </c>
      <c r="N11" s="4">
        <v>-1253</v>
      </c>
      <c r="O11" s="4">
        <v>-2343</v>
      </c>
    </row>
    <row r="12" spans="1:15" x14ac:dyDescent="0.25">
      <c r="A12" s="3" t="s">
        <v>26</v>
      </c>
      <c r="B12" s="6">
        <f t="shared" ref="B12:O12" si="3">B10+B11</f>
        <v>4126</v>
      </c>
      <c r="C12" s="6">
        <f t="shared" si="3"/>
        <v>8368</v>
      </c>
      <c r="D12" s="6">
        <f t="shared" si="3"/>
        <v>11735</v>
      </c>
      <c r="E12" s="6">
        <f t="shared" si="3"/>
        <v>3963</v>
      </c>
      <c r="F12" s="6">
        <f t="shared" si="3"/>
        <v>7922</v>
      </c>
      <c r="G12" s="6">
        <f t="shared" si="3"/>
        <v>11346</v>
      </c>
      <c r="H12" s="6">
        <f t="shared" si="3"/>
        <v>4555</v>
      </c>
      <c r="I12" s="6">
        <f t="shared" si="3"/>
        <v>8048</v>
      </c>
      <c r="J12" s="6">
        <f t="shared" si="3"/>
        <v>11830</v>
      </c>
      <c r="K12" s="6">
        <f t="shared" si="3"/>
        <v>3988</v>
      </c>
      <c r="L12" s="6">
        <f t="shared" si="3"/>
        <v>8645</v>
      </c>
      <c r="M12" s="6">
        <f t="shared" si="3"/>
        <v>12440</v>
      </c>
      <c r="N12" s="6">
        <f t="shared" si="3"/>
        <v>4782</v>
      </c>
      <c r="O12" s="6">
        <f t="shared" si="3"/>
        <v>9111</v>
      </c>
    </row>
    <row r="13" spans="1:15" x14ac:dyDescent="0.25">
      <c r="A13" s="3" t="s">
        <v>27</v>
      </c>
      <c r="B13" s="4">
        <v>14</v>
      </c>
      <c r="C13" s="4">
        <v>33</v>
      </c>
      <c r="D13" s="4">
        <v>45</v>
      </c>
      <c r="E13" s="4">
        <v>24</v>
      </c>
      <c r="F13" s="4">
        <v>50</v>
      </c>
      <c r="G13" s="4">
        <v>77</v>
      </c>
      <c r="H13" s="4">
        <v>35</v>
      </c>
      <c r="I13" s="4">
        <v>60</v>
      </c>
      <c r="J13" s="4">
        <v>88</v>
      </c>
      <c r="K13" s="4">
        <v>28</v>
      </c>
      <c r="L13" s="4">
        <v>56</v>
      </c>
      <c r="M13" s="4">
        <v>80</v>
      </c>
      <c r="N13" s="4">
        <v>31</v>
      </c>
      <c r="O13" s="4">
        <v>42</v>
      </c>
    </row>
    <row r="14" spans="1:15" x14ac:dyDescent="0.25">
      <c r="A14" s="3" t="s">
        <v>28</v>
      </c>
      <c r="B14" s="6">
        <f t="shared" ref="B14:O14" si="4">B12-B13</f>
        <v>4112</v>
      </c>
      <c r="C14" s="6">
        <f t="shared" si="4"/>
        <v>8335</v>
      </c>
      <c r="D14" s="6">
        <f t="shared" si="4"/>
        <v>11690</v>
      </c>
      <c r="E14" s="6">
        <f t="shared" si="4"/>
        <v>3939</v>
      </c>
      <c r="F14" s="6">
        <f t="shared" si="4"/>
        <v>7872</v>
      </c>
      <c r="G14" s="6">
        <f t="shared" si="4"/>
        <v>11269</v>
      </c>
      <c r="H14" s="6">
        <f t="shared" si="4"/>
        <v>4520</v>
      </c>
      <c r="I14" s="6">
        <f t="shared" si="4"/>
        <v>7988</v>
      </c>
      <c r="J14" s="6">
        <f t="shared" si="4"/>
        <v>11742</v>
      </c>
      <c r="K14" s="6">
        <f t="shared" si="4"/>
        <v>3960</v>
      </c>
      <c r="L14" s="6">
        <f t="shared" si="4"/>
        <v>8589</v>
      </c>
      <c r="M14" s="6">
        <f t="shared" si="4"/>
        <v>12360</v>
      </c>
      <c r="N14" s="6">
        <f t="shared" si="4"/>
        <v>4751</v>
      </c>
      <c r="O14" s="6">
        <f t="shared" si="4"/>
        <v>9069</v>
      </c>
    </row>
    <row r="15" spans="1:15" x14ac:dyDescent="0.25">
      <c r="A15" s="3" t="s">
        <v>29</v>
      </c>
      <c r="B15" s="8">
        <v>1.66</v>
      </c>
      <c r="C15" s="8">
        <v>3.39</v>
      </c>
      <c r="D15" s="8">
        <v>4.76</v>
      </c>
      <c r="E15" s="8">
        <v>1.62</v>
      </c>
      <c r="F15" s="8">
        <v>3.25</v>
      </c>
      <c r="G15" s="8">
        <v>4.67</v>
      </c>
      <c r="H15" s="8">
        <v>1.89</v>
      </c>
      <c r="I15" s="8">
        <v>3.33</v>
      </c>
      <c r="J15" s="8">
        <v>4.8899999999999997</v>
      </c>
      <c r="K15" s="8">
        <v>1.65</v>
      </c>
      <c r="L15" s="8">
        <v>3.59</v>
      </c>
      <c r="M15" s="8">
        <v>5.16</v>
      </c>
      <c r="N15" s="8">
        <v>2</v>
      </c>
      <c r="O15" s="8">
        <v>3.82</v>
      </c>
    </row>
    <row r="16" spans="1:15" x14ac:dyDescent="0.25">
      <c r="A16" s="3" t="s">
        <v>30</v>
      </c>
      <c r="B16" s="8">
        <v>1.61</v>
      </c>
      <c r="C16" s="8">
        <v>3.27</v>
      </c>
      <c r="D16" s="8">
        <v>4.59</v>
      </c>
      <c r="E16" s="8">
        <v>1.57</v>
      </c>
      <c r="F16" s="8">
        <v>3.16</v>
      </c>
      <c r="G16" s="8">
        <v>4.53</v>
      </c>
      <c r="H16" s="8">
        <v>1.83</v>
      </c>
      <c r="I16" s="8">
        <v>3.23</v>
      </c>
      <c r="J16" s="8">
        <v>4.75</v>
      </c>
      <c r="K16" s="8">
        <v>1.61</v>
      </c>
      <c r="L16" s="8">
        <v>3.49</v>
      </c>
      <c r="M16" s="8">
        <v>5.03</v>
      </c>
      <c r="N16" s="8">
        <v>1.95</v>
      </c>
      <c r="O16" s="8">
        <v>3.73</v>
      </c>
    </row>
    <row r="17" spans="1:15" x14ac:dyDescent="0.25">
      <c r="A17" s="3" t="s">
        <v>97</v>
      </c>
      <c r="B17" s="4">
        <v>2558900000</v>
      </c>
      <c r="C17" s="4">
        <v>2551600000</v>
      </c>
      <c r="D17" s="4">
        <v>2544400000</v>
      </c>
      <c r="E17" s="4">
        <v>2503600000</v>
      </c>
      <c r="F17" s="4">
        <v>2492400000</v>
      </c>
      <c r="G17" s="4">
        <v>2486000000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6" width="13" customWidth="1"/>
  </cols>
  <sheetData>
    <row r="1" spans="1:16" x14ac:dyDescent="0.25">
      <c r="A1" s="1"/>
      <c r="B1" s="2" t="s">
        <v>98</v>
      </c>
      <c r="C1" s="2" t="s">
        <v>86</v>
      </c>
      <c r="D1" s="2" t="s">
        <v>87</v>
      </c>
      <c r="E1" s="2" t="s">
        <v>88</v>
      </c>
      <c r="F1" s="2" t="s">
        <v>99</v>
      </c>
      <c r="G1" s="2" t="s">
        <v>89</v>
      </c>
      <c r="H1" s="2" t="s">
        <v>90</v>
      </c>
      <c r="I1" s="2" t="s">
        <v>91</v>
      </c>
      <c r="J1" s="2" t="s">
        <v>100</v>
      </c>
      <c r="K1" s="2" t="s">
        <v>92</v>
      </c>
      <c r="L1" s="2" t="s">
        <v>93</v>
      </c>
      <c r="M1" s="2" t="s">
        <v>94</v>
      </c>
      <c r="N1" s="2" t="s">
        <v>101</v>
      </c>
      <c r="O1" s="2" t="s">
        <v>95</v>
      </c>
      <c r="P1" s="2" t="s">
        <v>96</v>
      </c>
    </row>
    <row r="2" spans="1:16" x14ac:dyDescent="0.25">
      <c r="A2" s="3" t="s">
        <v>31</v>
      </c>
      <c r="B2" s="4">
        <v>7214</v>
      </c>
      <c r="C2" s="4">
        <v>6710</v>
      </c>
      <c r="D2" s="4">
        <v>6854</v>
      </c>
      <c r="E2" s="4">
        <v>7596</v>
      </c>
      <c r="F2" s="4">
        <v>8246</v>
      </c>
      <c r="G2" s="4">
        <v>9733</v>
      </c>
      <c r="H2" s="4">
        <v>7890</v>
      </c>
      <c r="I2" s="4">
        <v>6828</v>
      </c>
      <c r="J2" s="4">
        <v>9482</v>
      </c>
      <c r="K2" s="4">
        <v>12156</v>
      </c>
      <c r="L2" s="4">
        <v>10230</v>
      </c>
      <c r="M2" s="4">
        <v>9116</v>
      </c>
      <c r="N2" s="4">
        <v>9556</v>
      </c>
      <c r="O2" s="4">
        <v>11171</v>
      </c>
      <c r="P2" s="4">
        <v>10825</v>
      </c>
    </row>
    <row r="3" spans="1:16" x14ac:dyDescent="0.25">
      <c r="A3" s="3" t="s">
        <v>32</v>
      </c>
      <c r="B3" s="4">
        <v>5143</v>
      </c>
      <c r="C3" s="4">
        <v>5720</v>
      </c>
      <c r="D3" s="4">
        <v>5767</v>
      </c>
      <c r="E3" s="4">
        <v>5471</v>
      </c>
      <c r="F3" s="4">
        <v>5471</v>
      </c>
      <c r="G3" s="4">
        <v>6215</v>
      </c>
      <c r="H3" s="4">
        <v>6334</v>
      </c>
      <c r="I3" s="4">
        <v>6124</v>
      </c>
      <c r="J3" s="4">
        <v>6118</v>
      </c>
      <c r="K3" s="4">
        <v>6314</v>
      </c>
      <c r="L3" s="4">
        <v>6234</v>
      </c>
      <c r="M3" s="4">
        <v>6139</v>
      </c>
      <c r="N3" s="4">
        <v>6185</v>
      </c>
      <c r="O3" s="4">
        <v>6487</v>
      </c>
      <c r="P3" s="4">
        <v>6279</v>
      </c>
    </row>
    <row r="4" spans="1:16" x14ac:dyDescent="0.25">
      <c r="A4" s="3" t="s">
        <v>33</v>
      </c>
      <c r="B4" s="4">
        <v>6924</v>
      </c>
      <c r="C4" s="4">
        <v>7590</v>
      </c>
      <c r="D4" s="4">
        <v>7541</v>
      </c>
      <c r="E4" s="4">
        <v>7483</v>
      </c>
      <c r="F4" s="4">
        <v>7073</v>
      </c>
      <c r="G4" s="4">
        <v>7117</v>
      </c>
      <c r="H4" s="4">
        <v>7151</v>
      </c>
      <c r="I4" s="4">
        <v>7077</v>
      </c>
      <c r="J4" s="4">
        <v>7016</v>
      </c>
      <c r="K4" s="4">
        <v>7287</v>
      </c>
      <c r="L4" s="4">
        <v>7020</v>
      </c>
      <c r="M4" s="4">
        <v>7400</v>
      </c>
      <c r="N4" s="4">
        <v>7551</v>
      </c>
      <c r="O4" s="4">
        <v>7848</v>
      </c>
      <c r="P4" s="4">
        <v>7817</v>
      </c>
    </row>
    <row r="5" spans="1:16" x14ac:dyDescent="0.25">
      <c r="A5" s="3" t="s">
        <v>34</v>
      </c>
      <c r="B5" s="4">
        <v>2372</v>
      </c>
      <c r="C5" s="4">
        <v>2501</v>
      </c>
      <c r="D5" s="4">
        <v>1704</v>
      </c>
      <c r="E5" s="4">
        <v>1755</v>
      </c>
      <c r="F5" s="4">
        <v>1858</v>
      </c>
      <c r="G5" s="4">
        <v>1875</v>
      </c>
      <c r="H5" s="4">
        <v>1736</v>
      </c>
      <c r="I5" s="4">
        <v>2428</v>
      </c>
      <c r="J5" s="4">
        <v>2095</v>
      </c>
      <c r="K5" s="4">
        <v>1692</v>
      </c>
      <c r="L5" s="4">
        <v>2158</v>
      </c>
      <c r="M5" s="4">
        <v>1780</v>
      </c>
      <c r="N5" s="4">
        <v>2100</v>
      </c>
      <c r="O5" s="4">
        <v>1612</v>
      </c>
      <c r="P5" s="4">
        <v>1666</v>
      </c>
    </row>
    <row r="6" spans="1:16" x14ac:dyDescent="0.25">
      <c r="A6" s="3" t="s">
        <v>35</v>
      </c>
      <c r="B6" s="6">
        <f t="shared" ref="B6:P6" si="0">SUM(B2:B5)</f>
        <v>21653</v>
      </c>
      <c r="C6" s="6">
        <f t="shared" si="0"/>
        <v>22521</v>
      </c>
      <c r="D6" s="6">
        <f t="shared" si="0"/>
        <v>21866</v>
      </c>
      <c r="E6" s="6">
        <f t="shared" si="0"/>
        <v>22305</v>
      </c>
      <c r="F6" s="6">
        <f t="shared" si="0"/>
        <v>22648</v>
      </c>
      <c r="G6" s="6">
        <f t="shared" si="0"/>
        <v>24940</v>
      </c>
      <c r="H6" s="6">
        <f t="shared" si="0"/>
        <v>23111</v>
      </c>
      <c r="I6" s="6">
        <f t="shared" si="0"/>
        <v>22457</v>
      </c>
      <c r="J6" s="6">
        <f t="shared" si="0"/>
        <v>24711</v>
      </c>
      <c r="K6" s="6">
        <f t="shared" si="0"/>
        <v>27449</v>
      </c>
      <c r="L6" s="6">
        <f t="shared" si="0"/>
        <v>25642</v>
      </c>
      <c r="M6" s="6">
        <f t="shared" si="0"/>
        <v>24435</v>
      </c>
      <c r="N6" s="6">
        <f t="shared" si="0"/>
        <v>25392</v>
      </c>
      <c r="O6" s="6">
        <f t="shared" si="0"/>
        <v>27118</v>
      </c>
      <c r="P6" s="6">
        <f t="shared" si="0"/>
        <v>26587</v>
      </c>
    </row>
    <row r="7" spans="1:16" x14ac:dyDescent="0.25">
      <c r="A7" s="3" t="s">
        <v>36</v>
      </c>
      <c r="B7" s="4">
        <v>21195</v>
      </c>
      <c r="C7" s="4">
        <v>20593</v>
      </c>
      <c r="D7" s="4">
        <v>21167</v>
      </c>
      <c r="E7" s="4">
        <v>21564</v>
      </c>
      <c r="F7" s="4">
        <v>21909</v>
      </c>
      <c r="G7" s="4">
        <v>21636</v>
      </c>
      <c r="H7" s="4">
        <v>22132</v>
      </c>
      <c r="I7" s="4">
        <v>22027</v>
      </c>
      <c r="J7" s="4">
        <v>22152</v>
      </c>
      <c r="K7" s="4">
        <v>22506</v>
      </c>
      <c r="L7" s="4">
        <v>22074</v>
      </c>
      <c r="M7" s="4">
        <v>22728</v>
      </c>
      <c r="N7" s="4">
        <v>23897</v>
      </c>
      <c r="O7" s="4">
        <v>24119</v>
      </c>
      <c r="P7" s="4">
        <v>24487</v>
      </c>
    </row>
    <row r="8" spans="1:16" x14ac:dyDescent="0.25">
      <c r="A8" s="3" t="s">
        <v>37</v>
      </c>
      <c r="B8" s="4">
        <v>39700</v>
      </c>
      <c r="C8" s="4">
        <v>38761</v>
      </c>
      <c r="D8" s="4">
        <v>39951</v>
      </c>
      <c r="E8" s="4">
        <v>40718</v>
      </c>
      <c r="F8" s="4">
        <v>40659</v>
      </c>
      <c r="G8" s="4">
        <v>40239</v>
      </c>
      <c r="H8" s="4">
        <v>40916</v>
      </c>
      <c r="I8" s="4">
        <v>40567</v>
      </c>
      <c r="J8" s="4">
        <v>40303</v>
      </c>
      <c r="K8" s="4">
        <v>40970</v>
      </c>
      <c r="L8" s="4">
        <v>39898</v>
      </c>
      <c r="M8" s="4">
        <v>40476</v>
      </c>
      <c r="N8" s="4">
        <v>41650</v>
      </c>
      <c r="O8" s="4">
        <v>41643</v>
      </c>
      <c r="P8" s="4">
        <v>41665</v>
      </c>
    </row>
    <row r="9" spans="1:16" x14ac:dyDescent="0.25">
      <c r="A9" s="3" t="s">
        <v>38</v>
      </c>
      <c r="B9" s="4">
        <v>23679</v>
      </c>
      <c r="C9" s="4">
        <v>23465</v>
      </c>
      <c r="D9" s="4">
        <v>23594</v>
      </c>
      <c r="E9" s="4">
        <v>23832</v>
      </c>
      <c r="F9" s="4">
        <v>23783</v>
      </c>
      <c r="G9" s="4">
        <v>23637</v>
      </c>
      <c r="H9" s="4">
        <v>22302</v>
      </c>
      <c r="I9" s="4">
        <v>22193</v>
      </c>
      <c r="J9" s="4">
        <v>22047</v>
      </c>
      <c r="K9" s="4">
        <v>22053</v>
      </c>
      <c r="L9" s="4">
        <v>21833</v>
      </c>
      <c r="M9" s="4">
        <v>21836</v>
      </c>
      <c r="N9" s="4">
        <v>21910</v>
      </c>
      <c r="O9" s="4">
        <v>21818</v>
      </c>
      <c r="P9" s="4">
        <v>21737</v>
      </c>
    </row>
    <row r="10" spans="1:16" x14ac:dyDescent="0.25">
      <c r="A10" s="3" t="s">
        <v>39</v>
      </c>
      <c r="B10" s="4">
        <v>10981</v>
      </c>
      <c r="C10" s="4">
        <v>10942</v>
      </c>
      <c r="D10" s="4">
        <v>11137</v>
      </c>
      <c r="E10" s="4">
        <v>11432</v>
      </c>
      <c r="F10" s="4">
        <v>11830</v>
      </c>
      <c r="G10" s="4">
        <v>12079</v>
      </c>
      <c r="H10" s="4">
        <v>12248</v>
      </c>
      <c r="I10" s="4">
        <v>12353</v>
      </c>
      <c r="J10" s="4">
        <v>13158</v>
      </c>
      <c r="K10" s="4">
        <v>13503</v>
      </c>
      <c r="L10" s="4">
        <v>13192</v>
      </c>
      <c r="M10" s="4">
        <v>13508</v>
      </c>
      <c r="N10" s="4">
        <v>12381</v>
      </c>
      <c r="O10" s="4">
        <v>12901</v>
      </c>
      <c r="P10" s="4">
        <v>12809</v>
      </c>
    </row>
    <row r="11" spans="1:16" x14ac:dyDescent="0.25">
      <c r="A11" s="3" t="s">
        <v>40</v>
      </c>
      <c r="B11" s="6">
        <f t="shared" ref="B11:P11" si="1">B6+SUM(B7:B10)</f>
        <v>117208</v>
      </c>
      <c r="C11" s="6">
        <f t="shared" si="1"/>
        <v>116282</v>
      </c>
      <c r="D11" s="6">
        <f t="shared" si="1"/>
        <v>117715</v>
      </c>
      <c r="E11" s="6">
        <f t="shared" si="1"/>
        <v>119851</v>
      </c>
      <c r="F11" s="6">
        <f t="shared" si="1"/>
        <v>120829</v>
      </c>
      <c r="G11" s="6">
        <f t="shared" si="1"/>
        <v>122531</v>
      </c>
      <c r="H11" s="6">
        <f t="shared" si="1"/>
        <v>120709</v>
      </c>
      <c r="I11" s="6">
        <f t="shared" si="1"/>
        <v>119597</v>
      </c>
      <c r="J11" s="6">
        <f t="shared" si="1"/>
        <v>122371</v>
      </c>
      <c r="K11" s="6">
        <f t="shared" si="1"/>
        <v>126481</v>
      </c>
      <c r="L11" s="6">
        <f t="shared" si="1"/>
        <v>122639</v>
      </c>
      <c r="M11" s="6">
        <f t="shared" si="1"/>
        <v>122983</v>
      </c>
      <c r="N11" s="6">
        <f t="shared" si="1"/>
        <v>125230</v>
      </c>
      <c r="O11" s="6">
        <f t="shared" si="1"/>
        <v>127599</v>
      </c>
      <c r="P11" s="6">
        <f t="shared" si="1"/>
        <v>127285</v>
      </c>
    </row>
    <row r="12" spans="1:16" x14ac:dyDescent="0.25">
      <c r="A12" s="3" t="s">
        <v>41</v>
      </c>
      <c r="B12" s="4">
        <v>14882</v>
      </c>
      <c r="C12" s="4">
        <v>14845</v>
      </c>
      <c r="D12" s="4">
        <v>14153</v>
      </c>
      <c r="E12" s="4">
        <v>13790</v>
      </c>
      <c r="F12" s="4">
        <v>14598</v>
      </c>
      <c r="G12" s="4">
        <v>14435</v>
      </c>
      <c r="H12" s="4">
        <v>14234</v>
      </c>
      <c r="I12" s="4">
        <v>13691</v>
      </c>
      <c r="J12" s="4">
        <v>15364</v>
      </c>
      <c r="K12" s="4">
        <v>15350</v>
      </c>
      <c r="L12" s="4">
        <v>14495</v>
      </c>
      <c r="M12" s="4">
        <v>14512</v>
      </c>
      <c r="N12" s="4">
        <v>15227</v>
      </c>
      <c r="O12" s="4">
        <v>15609</v>
      </c>
      <c r="P12" s="4">
        <v>15173</v>
      </c>
    </row>
    <row r="13" spans="1:16" x14ac:dyDescent="0.25">
      <c r="A13" s="3" t="s">
        <v>42</v>
      </c>
      <c r="B13" s="4">
        <v>9554</v>
      </c>
      <c r="C13" s="4">
        <v>10056</v>
      </c>
      <c r="D13" s="4">
        <v>10293</v>
      </c>
      <c r="E13" s="4">
        <v>10523</v>
      </c>
      <c r="F13" s="4">
        <v>10929</v>
      </c>
      <c r="G13" s="4">
        <v>10912</v>
      </c>
      <c r="H13" s="4">
        <v>11100</v>
      </c>
      <c r="I13" s="4">
        <v>10921</v>
      </c>
      <c r="J13" s="4">
        <v>11073</v>
      </c>
      <c r="K13" s="4">
        <v>10661</v>
      </c>
      <c r="L13" s="4">
        <v>9879</v>
      </c>
      <c r="M13" s="4">
        <v>9847</v>
      </c>
      <c r="N13" s="4">
        <v>11318</v>
      </c>
      <c r="O13" s="4">
        <v>10756</v>
      </c>
      <c r="P13" s="4">
        <v>10463</v>
      </c>
    </row>
    <row r="14" spans="1:16" x14ac:dyDescent="0.25">
      <c r="A14" s="3" t="s">
        <v>43</v>
      </c>
      <c r="B14" s="4">
        <v>8645</v>
      </c>
      <c r="C14" s="4">
        <v>11717</v>
      </c>
      <c r="D14" s="4">
        <v>14300</v>
      </c>
      <c r="E14" s="4">
        <v>13717</v>
      </c>
      <c r="F14" s="4">
        <v>10229</v>
      </c>
      <c r="G14" s="4">
        <v>11811</v>
      </c>
      <c r="H14" s="4">
        <v>10616</v>
      </c>
      <c r="I14" s="4">
        <v>7729</v>
      </c>
      <c r="J14" s="4">
        <v>7191</v>
      </c>
      <c r="K14" s="4">
        <v>10409</v>
      </c>
      <c r="L14" s="4">
        <v>9424</v>
      </c>
      <c r="M14" s="4">
        <v>9889</v>
      </c>
      <c r="N14" s="4">
        <v>9513</v>
      </c>
      <c r="O14" s="4">
        <v>11631</v>
      </c>
      <c r="P14" s="4">
        <v>11062</v>
      </c>
    </row>
    <row r="15" spans="1:16" x14ac:dyDescent="0.25">
      <c r="A15" s="3" t="s">
        <v>44</v>
      </c>
      <c r="B15" s="6">
        <f t="shared" ref="B15:P15" si="2">SUM(B12:B14)</f>
        <v>33081</v>
      </c>
      <c r="C15" s="6">
        <f t="shared" si="2"/>
        <v>36618</v>
      </c>
      <c r="D15" s="6">
        <f t="shared" si="2"/>
        <v>38746</v>
      </c>
      <c r="E15" s="6">
        <f t="shared" si="2"/>
        <v>38030</v>
      </c>
      <c r="F15" s="6">
        <f t="shared" si="2"/>
        <v>35756</v>
      </c>
      <c r="G15" s="6">
        <f t="shared" si="2"/>
        <v>37158</v>
      </c>
      <c r="H15" s="6">
        <f t="shared" si="2"/>
        <v>35950</v>
      </c>
      <c r="I15" s="6">
        <f t="shared" si="2"/>
        <v>32341</v>
      </c>
      <c r="J15" s="6">
        <f t="shared" si="2"/>
        <v>33628</v>
      </c>
      <c r="K15" s="6">
        <f t="shared" si="2"/>
        <v>36420</v>
      </c>
      <c r="L15" s="6">
        <f t="shared" si="2"/>
        <v>33798</v>
      </c>
      <c r="M15" s="6">
        <f t="shared" si="2"/>
        <v>34248</v>
      </c>
      <c r="N15" s="6">
        <f t="shared" si="2"/>
        <v>36058</v>
      </c>
      <c r="O15" s="6">
        <f t="shared" si="2"/>
        <v>37996</v>
      </c>
      <c r="P15" s="6">
        <f t="shared" si="2"/>
        <v>36698</v>
      </c>
    </row>
    <row r="16" spans="1:16" x14ac:dyDescent="0.25">
      <c r="A16" s="3" t="s">
        <v>45</v>
      </c>
      <c r="B16" s="4">
        <v>22848</v>
      </c>
      <c r="C16" s="4">
        <v>21286</v>
      </c>
      <c r="D16" s="4">
        <v>20582</v>
      </c>
      <c r="E16" s="4">
        <v>22874</v>
      </c>
      <c r="F16" s="4">
        <v>24378</v>
      </c>
      <c r="G16" s="4">
        <v>24069</v>
      </c>
      <c r="H16" s="4">
        <v>23096</v>
      </c>
      <c r="I16" s="4">
        <v>24253</v>
      </c>
      <c r="J16" s="4">
        <v>25269</v>
      </c>
      <c r="K16" s="4">
        <v>25744</v>
      </c>
      <c r="L16" s="4">
        <v>25263</v>
      </c>
      <c r="M16" s="4">
        <v>24252</v>
      </c>
      <c r="N16" s="4">
        <v>24995</v>
      </c>
      <c r="O16" s="4">
        <v>24315</v>
      </c>
      <c r="P16" s="4">
        <v>25577</v>
      </c>
    </row>
    <row r="17" spans="1:16" x14ac:dyDescent="0.25">
      <c r="A17" s="3" t="s">
        <v>46</v>
      </c>
      <c r="B17" s="4">
        <v>6809</v>
      </c>
      <c r="C17" s="4">
        <v>6986</v>
      </c>
      <c r="D17" s="4">
        <v>6462</v>
      </c>
      <c r="E17" s="4">
        <v>6422</v>
      </c>
      <c r="F17" s="4">
        <v>6478</v>
      </c>
      <c r="G17" s="4">
        <v>6814</v>
      </c>
      <c r="H17" s="4">
        <v>6219</v>
      </c>
      <c r="I17" s="4">
        <v>6284</v>
      </c>
      <c r="J17" s="4">
        <v>6516</v>
      </c>
      <c r="K17" s="4">
        <v>6420</v>
      </c>
      <c r="L17" s="4">
        <v>6725</v>
      </c>
      <c r="M17" s="4">
        <v>6481</v>
      </c>
      <c r="N17" s="4">
        <v>5774</v>
      </c>
      <c r="O17" s="4">
        <v>5893</v>
      </c>
      <c r="P17" s="4">
        <v>5974</v>
      </c>
    </row>
    <row r="18" spans="1:16" x14ac:dyDescent="0.25">
      <c r="A18" s="3" t="s">
        <v>47</v>
      </c>
      <c r="B18" s="4">
        <v>7616</v>
      </c>
      <c r="C18" s="4">
        <v>7058</v>
      </c>
      <c r="D18" s="4">
        <v>7200</v>
      </c>
      <c r="E18" s="4">
        <v>7104</v>
      </c>
      <c r="F18" s="4">
        <v>7152</v>
      </c>
      <c r="G18" s="4">
        <v>6477</v>
      </c>
      <c r="H18" s="4">
        <v>6614</v>
      </c>
      <c r="I18" s="4">
        <v>6386</v>
      </c>
      <c r="J18" s="4">
        <v>6398</v>
      </c>
      <c r="K18" s="4">
        <v>5757</v>
      </c>
      <c r="L18" s="4">
        <v>5411</v>
      </c>
      <c r="M18" s="4">
        <v>5458</v>
      </c>
      <c r="N18" s="4">
        <v>6120</v>
      </c>
      <c r="O18" s="4">
        <v>5844</v>
      </c>
      <c r="P18" s="4">
        <v>5719</v>
      </c>
    </row>
    <row r="19" spans="1:16" x14ac:dyDescent="0.25">
      <c r="A19" s="3" t="s">
        <v>48</v>
      </c>
      <c r="B19" s="6">
        <f t="shared" ref="B19:P19" si="3">B15+SUM(B16:B18)</f>
        <v>70354</v>
      </c>
      <c r="C19" s="6">
        <f t="shared" si="3"/>
        <v>71948</v>
      </c>
      <c r="D19" s="6">
        <f t="shared" si="3"/>
        <v>72990</v>
      </c>
      <c r="E19" s="6">
        <f t="shared" si="3"/>
        <v>74430</v>
      </c>
      <c r="F19" s="6">
        <f t="shared" si="3"/>
        <v>73764</v>
      </c>
      <c r="G19" s="6">
        <f t="shared" si="3"/>
        <v>74518</v>
      </c>
      <c r="H19" s="6">
        <f t="shared" si="3"/>
        <v>71879</v>
      </c>
      <c r="I19" s="6">
        <f t="shared" si="3"/>
        <v>69264</v>
      </c>
      <c r="J19" s="6">
        <f t="shared" si="3"/>
        <v>71811</v>
      </c>
      <c r="K19" s="6">
        <f t="shared" si="3"/>
        <v>74341</v>
      </c>
      <c r="L19" s="6">
        <f t="shared" si="3"/>
        <v>71197</v>
      </c>
      <c r="M19" s="6">
        <f t="shared" si="3"/>
        <v>70439</v>
      </c>
      <c r="N19" s="6">
        <f t="shared" si="3"/>
        <v>72947</v>
      </c>
      <c r="O19" s="6">
        <f t="shared" si="3"/>
        <v>74048</v>
      </c>
      <c r="P19" s="6">
        <f t="shared" si="3"/>
        <v>73968</v>
      </c>
    </row>
    <row r="20" spans="1:16" x14ac:dyDescent="0.25">
      <c r="A20" s="3" t="s">
        <v>49</v>
      </c>
      <c r="B20" s="4">
        <v>843</v>
      </c>
      <c r="C20" s="4">
        <v>834</v>
      </c>
      <c r="D20" s="4">
        <v>831</v>
      </c>
      <c r="E20" s="4">
        <v>822</v>
      </c>
      <c r="F20" s="4">
        <v>819</v>
      </c>
      <c r="G20" s="4">
        <v>812</v>
      </c>
      <c r="H20" s="4">
        <v>809</v>
      </c>
      <c r="I20" s="4">
        <v>801</v>
      </c>
      <c r="J20" s="4">
        <v>798</v>
      </c>
      <c r="K20" s="4">
        <v>791</v>
      </c>
      <c r="L20" s="4">
        <v>788</v>
      </c>
      <c r="M20" s="4">
        <v>781</v>
      </c>
      <c r="N20" s="4">
        <v>777</v>
      </c>
      <c r="O20" s="4">
        <v>770</v>
      </c>
      <c r="P20" s="4">
        <v>767</v>
      </c>
    </row>
    <row r="21" spans="1:16" x14ac:dyDescent="0.25">
      <c r="A21" s="3" t="s">
        <v>50</v>
      </c>
      <c r="B21" s="4">
        <v>4009</v>
      </c>
      <c r="C21" s="4">
        <v>4009</v>
      </c>
      <c r="D21" s="4">
        <v>4009</v>
      </c>
      <c r="E21" s="4">
        <v>4009</v>
      </c>
      <c r="F21" s="4">
        <v>4009</v>
      </c>
      <c r="G21" s="4">
        <v>4009</v>
      </c>
      <c r="H21" s="4">
        <v>4009</v>
      </c>
      <c r="I21" s="4">
        <v>4009</v>
      </c>
      <c r="J21" s="4">
        <v>4009</v>
      </c>
      <c r="K21" s="4">
        <v>4009</v>
      </c>
      <c r="L21" s="4">
        <v>4009</v>
      </c>
      <c r="M21" s="4">
        <v>4009</v>
      </c>
      <c r="N21" s="4">
        <v>4009</v>
      </c>
      <c r="O21" s="4">
        <v>4009</v>
      </c>
      <c r="P21" s="4">
        <v>4009</v>
      </c>
    </row>
    <row r="22" spans="1:16" x14ac:dyDescent="0.25">
      <c r="A22" s="3" t="s">
        <v>51</v>
      </c>
      <c r="B22" s="4">
        <v>65795</v>
      </c>
      <c r="C22" s="4">
        <v>65955</v>
      </c>
      <c r="D22" s="4">
        <v>66145</v>
      </c>
      <c r="E22" s="4">
        <v>66316</v>
      </c>
      <c r="F22" s="4">
        <v>66556</v>
      </c>
      <c r="G22" s="4">
        <v>66822</v>
      </c>
      <c r="H22" s="4">
        <v>66935</v>
      </c>
      <c r="I22" s="4">
        <v>67395</v>
      </c>
      <c r="J22" s="4">
        <v>67684</v>
      </c>
      <c r="K22" s="4">
        <v>68102</v>
      </c>
      <c r="L22" s="4">
        <v>68283</v>
      </c>
      <c r="M22" s="4">
        <v>68615</v>
      </c>
      <c r="N22" s="4">
        <v>68770</v>
      </c>
      <c r="O22" s="4">
        <v>68917</v>
      </c>
      <c r="P22" s="4">
        <v>69010</v>
      </c>
    </row>
    <row r="23" spans="1:16" x14ac:dyDescent="0.25">
      <c r="A23" s="3" t="s">
        <v>52</v>
      </c>
      <c r="B23" s="4">
        <v>-916</v>
      </c>
      <c r="C23" s="4">
        <v>-870</v>
      </c>
      <c r="D23" s="4">
        <v>-870</v>
      </c>
      <c r="E23" s="4">
        <v>-821</v>
      </c>
      <c r="F23" s="4">
        <v>-821</v>
      </c>
      <c r="G23" s="4">
        <v>-782</v>
      </c>
      <c r="H23" s="4">
        <v>-782</v>
      </c>
      <c r="I23" s="4">
        <v>-737</v>
      </c>
      <c r="J23" s="4">
        <v>-737</v>
      </c>
      <c r="K23" s="4">
        <v>-707</v>
      </c>
      <c r="L23" s="4">
        <v>-707</v>
      </c>
      <c r="M23" s="4">
        <v>-672</v>
      </c>
      <c r="N23" s="4">
        <v>-672</v>
      </c>
      <c r="O23" s="4">
        <v>-637</v>
      </c>
      <c r="P23" s="4">
        <v>-637</v>
      </c>
    </row>
    <row r="24" spans="1:16" x14ac:dyDescent="0.25">
      <c r="A24" s="3" t="s">
        <v>53</v>
      </c>
      <c r="B24" s="4">
        <v>-12189</v>
      </c>
      <c r="C24" s="4">
        <v>-12811</v>
      </c>
      <c r="D24" s="4">
        <v>-12506</v>
      </c>
      <c r="E24" s="4">
        <v>-12266</v>
      </c>
      <c r="F24" s="4">
        <v>-12220</v>
      </c>
      <c r="G24" s="4">
        <v>-12583</v>
      </c>
      <c r="H24" s="4">
        <v>-12167</v>
      </c>
      <c r="I24" s="4">
        <v>-12370</v>
      </c>
      <c r="J24" s="4">
        <v>-11900</v>
      </c>
      <c r="K24" s="4">
        <v>-10893</v>
      </c>
      <c r="L24" s="4">
        <v>-11637</v>
      </c>
      <c r="M24" s="4">
        <v>-11307</v>
      </c>
      <c r="N24" s="4">
        <v>-12143</v>
      </c>
      <c r="O24" s="4">
        <v>-12156</v>
      </c>
      <c r="P24" s="4">
        <v>-12108</v>
      </c>
    </row>
    <row r="25" spans="1:16" x14ac:dyDescent="0.25">
      <c r="A25" s="3" t="s">
        <v>54</v>
      </c>
      <c r="B25" s="4">
        <v>-123382</v>
      </c>
      <c r="C25" s="4">
        <v>-127205</v>
      </c>
      <c r="D25" s="4">
        <v>-129012</v>
      </c>
      <c r="E25" s="4">
        <v>-130002</v>
      </c>
      <c r="F25" s="4">
        <v>-129736</v>
      </c>
      <c r="G25" s="4">
        <v>-131029</v>
      </c>
      <c r="H25" s="4">
        <v>-131887</v>
      </c>
      <c r="I25" s="4">
        <v>-132172</v>
      </c>
      <c r="J25" s="4">
        <v>-133379</v>
      </c>
      <c r="K25" s="4">
        <v>-134823</v>
      </c>
      <c r="L25" s="4">
        <v>-137112</v>
      </c>
      <c r="M25" s="4">
        <v>-138073</v>
      </c>
      <c r="N25" s="4">
        <v>-138702</v>
      </c>
      <c r="O25" s="4">
        <v>-139845</v>
      </c>
      <c r="P25" s="4">
        <v>-141981</v>
      </c>
    </row>
    <row r="26" spans="1:16" x14ac:dyDescent="0.25">
      <c r="A26" s="3" t="s">
        <v>55</v>
      </c>
      <c r="B26" s="4">
        <v>112429</v>
      </c>
      <c r="C26" s="4">
        <v>114163</v>
      </c>
      <c r="D26" s="4">
        <v>115858</v>
      </c>
      <c r="E26" s="4">
        <v>117082</v>
      </c>
      <c r="F26" s="4">
        <v>118170</v>
      </c>
      <c r="G26" s="4">
        <v>120443</v>
      </c>
      <c r="H26" s="4">
        <v>121617</v>
      </c>
      <c r="I26" s="4">
        <v>123132</v>
      </c>
      <c r="J26" s="4">
        <v>123811</v>
      </c>
      <c r="K26" s="4">
        <v>125361</v>
      </c>
      <c r="L26" s="4">
        <v>127544</v>
      </c>
      <c r="M26" s="4">
        <v>128919</v>
      </c>
      <c r="N26" s="4">
        <v>129973</v>
      </c>
      <c r="O26" s="4">
        <v>132212</v>
      </c>
      <c r="P26" s="4">
        <v>133981</v>
      </c>
    </row>
    <row r="27" spans="1:16" x14ac:dyDescent="0.25">
      <c r="A27" s="3" t="s">
        <v>56</v>
      </c>
      <c r="B27" s="4">
        <v>265</v>
      </c>
      <c r="C27" s="4">
        <v>259</v>
      </c>
      <c r="D27" s="4">
        <v>270</v>
      </c>
      <c r="E27" s="4">
        <v>281</v>
      </c>
      <c r="F27" s="4">
        <v>288</v>
      </c>
      <c r="G27" s="4">
        <v>321</v>
      </c>
      <c r="H27" s="4">
        <v>294</v>
      </c>
      <c r="I27" s="4">
        <v>275</v>
      </c>
      <c r="J27" s="4">
        <v>272</v>
      </c>
      <c r="K27" s="4">
        <v>300</v>
      </c>
      <c r="L27" s="4">
        <v>275</v>
      </c>
      <c r="M27" s="4">
        <v>273</v>
      </c>
      <c r="N27" s="4">
        <v>272</v>
      </c>
      <c r="O27" s="4">
        <v>281</v>
      </c>
      <c r="P27" s="4">
        <v>276</v>
      </c>
    </row>
    <row r="28" spans="1:16" x14ac:dyDescent="0.25">
      <c r="A28" s="3" t="s">
        <v>57</v>
      </c>
      <c r="B28" s="6">
        <f t="shared" ref="B28:P28" si="4">SUM(B20:B27)</f>
        <v>46854</v>
      </c>
      <c r="C28" s="6">
        <f t="shared" si="4"/>
        <v>44334</v>
      </c>
      <c r="D28" s="6">
        <f t="shared" si="4"/>
        <v>44725</v>
      </c>
      <c r="E28" s="6">
        <f t="shared" si="4"/>
        <v>45421</v>
      </c>
      <c r="F28" s="6">
        <f t="shared" si="4"/>
        <v>47065</v>
      </c>
      <c r="G28" s="6">
        <f t="shared" si="4"/>
        <v>48013</v>
      </c>
      <c r="H28" s="6">
        <f t="shared" si="4"/>
        <v>48828</v>
      </c>
      <c r="I28" s="6">
        <f t="shared" si="4"/>
        <v>50333</v>
      </c>
      <c r="J28" s="6">
        <f t="shared" si="4"/>
        <v>50558</v>
      </c>
      <c r="K28" s="6">
        <f t="shared" si="4"/>
        <v>52140</v>
      </c>
      <c r="L28" s="6">
        <f t="shared" si="4"/>
        <v>51443</v>
      </c>
      <c r="M28" s="6">
        <f t="shared" si="4"/>
        <v>52545</v>
      </c>
      <c r="N28" s="6">
        <f t="shared" si="4"/>
        <v>52284</v>
      </c>
      <c r="O28" s="6">
        <f t="shared" si="4"/>
        <v>53551</v>
      </c>
      <c r="P28" s="6">
        <f t="shared" si="4"/>
        <v>53317</v>
      </c>
    </row>
    <row r="29" spans="1:16" x14ac:dyDescent="0.25">
      <c r="A29" s="3" t="s">
        <v>58</v>
      </c>
      <c r="B29" s="6">
        <f t="shared" ref="B29:P29" si="5">B19+B28</f>
        <v>117208</v>
      </c>
      <c r="C29" s="6">
        <f t="shared" si="5"/>
        <v>116282</v>
      </c>
      <c r="D29" s="6">
        <f t="shared" si="5"/>
        <v>117715</v>
      </c>
      <c r="E29" s="6">
        <f t="shared" si="5"/>
        <v>119851</v>
      </c>
      <c r="F29" s="6">
        <f t="shared" si="5"/>
        <v>120829</v>
      </c>
      <c r="G29" s="6">
        <f t="shared" si="5"/>
        <v>122531</v>
      </c>
      <c r="H29" s="6">
        <f t="shared" si="5"/>
        <v>120707</v>
      </c>
      <c r="I29" s="6">
        <f t="shared" si="5"/>
        <v>119597</v>
      </c>
      <c r="J29" s="6">
        <f t="shared" si="5"/>
        <v>122369</v>
      </c>
      <c r="K29" s="6">
        <f t="shared" si="5"/>
        <v>126481</v>
      </c>
      <c r="L29" s="6">
        <f t="shared" si="5"/>
        <v>122640</v>
      </c>
      <c r="M29" s="6">
        <f t="shared" si="5"/>
        <v>122984</v>
      </c>
      <c r="N29" s="6">
        <f t="shared" si="5"/>
        <v>125231</v>
      </c>
      <c r="O29" s="6">
        <f t="shared" si="5"/>
        <v>127599</v>
      </c>
      <c r="P29" s="6">
        <f t="shared" si="5"/>
        <v>127285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3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15" width="13" customWidth="1"/>
  </cols>
  <sheetData>
    <row r="1" spans="1:15" x14ac:dyDescent="0.25">
      <c r="A1" s="1"/>
      <c r="B1" s="2" t="s">
        <v>83</v>
      </c>
      <c r="C1" s="2" t="s">
        <v>84</v>
      </c>
      <c r="D1" s="2" t="s">
        <v>85</v>
      </c>
      <c r="E1" s="2" t="s">
        <v>86</v>
      </c>
      <c r="F1" s="2" t="s">
        <v>87</v>
      </c>
      <c r="G1" s="2" t="s">
        <v>88</v>
      </c>
      <c r="H1" s="2" t="s">
        <v>89</v>
      </c>
      <c r="I1" s="2" t="s">
        <v>90</v>
      </c>
      <c r="J1" s="2" t="s">
        <v>91</v>
      </c>
      <c r="K1" s="2" t="s">
        <v>92</v>
      </c>
      <c r="L1" s="2" t="s">
        <v>93</v>
      </c>
      <c r="M1" s="2" t="s">
        <v>94</v>
      </c>
      <c r="N1" s="2" t="s">
        <v>95</v>
      </c>
      <c r="O1" s="2" t="s">
        <v>96</v>
      </c>
    </row>
    <row r="2" spans="1:15" x14ac:dyDescent="0.25">
      <c r="A2" s="3" t="s">
        <v>26</v>
      </c>
      <c r="B2" s="4">
        <v>4126</v>
      </c>
      <c r="C2" s="4">
        <v>8368</v>
      </c>
      <c r="D2" s="4">
        <v>11735</v>
      </c>
      <c r="E2" s="4">
        <v>3963</v>
      </c>
      <c r="F2" s="4">
        <v>7922</v>
      </c>
      <c r="G2" s="4">
        <v>11346</v>
      </c>
      <c r="H2" s="4">
        <v>4556</v>
      </c>
      <c r="I2" s="4">
        <v>8049</v>
      </c>
      <c r="J2" s="4">
        <v>11830</v>
      </c>
      <c r="K2" s="4">
        <v>3987</v>
      </c>
      <c r="L2" s="4">
        <v>8646</v>
      </c>
      <c r="M2" s="4">
        <v>12439</v>
      </c>
      <c r="N2" s="4">
        <v>4781</v>
      </c>
      <c r="O2" s="4">
        <v>9112</v>
      </c>
    </row>
    <row r="3" spans="1:15" x14ac:dyDescent="0.25">
      <c r="A3" s="3" t="s">
        <v>59</v>
      </c>
      <c r="B3" s="4">
        <v>711</v>
      </c>
      <c r="C3" s="4">
        <v>1395</v>
      </c>
      <c r="D3" s="4">
        <v>2085</v>
      </c>
      <c r="E3" s="4">
        <v>663</v>
      </c>
      <c r="F3" s="4">
        <v>1316</v>
      </c>
      <c r="G3" s="4">
        <v>2008</v>
      </c>
      <c r="H3" s="4">
        <v>702</v>
      </c>
      <c r="I3" s="4">
        <v>1423</v>
      </c>
      <c r="J3" s="4">
        <v>2135</v>
      </c>
      <c r="K3" s="4">
        <v>728</v>
      </c>
      <c r="L3" s="4">
        <v>1434</v>
      </c>
      <c r="M3" s="4">
        <v>2124</v>
      </c>
      <c r="N3" s="4">
        <v>761</v>
      </c>
      <c r="O3" s="4">
        <v>1563</v>
      </c>
    </row>
    <row r="4" spans="1:15" x14ac:dyDescent="0.25">
      <c r="A4" s="3" t="s">
        <v>60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</row>
    <row r="5" spans="1:15" x14ac:dyDescent="0.25">
      <c r="A5" s="3" t="s">
        <v>61</v>
      </c>
      <c r="B5" s="4">
        <v>116</v>
      </c>
      <c r="C5" s="4">
        <v>268</v>
      </c>
      <c r="D5" s="4">
        <v>398</v>
      </c>
      <c r="E5" s="4">
        <v>105</v>
      </c>
      <c r="F5" s="4">
        <v>250</v>
      </c>
      <c r="G5" s="4">
        <v>406</v>
      </c>
      <c r="H5" s="4">
        <v>125</v>
      </c>
      <c r="I5" s="4">
        <v>275</v>
      </c>
      <c r="J5" s="4">
        <v>433</v>
      </c>
      <c r="K5" s="4">
        <v>105</v>
      </c>
      <c r="L5" s="4">
        <v>241</v>
      </c>
      <c r="M5" s="4">
        <v>364</v>
      </c>
      <c r="N5" s="4">
        <v>121</v>
      </c>
      <c r="O5" s="4">
        <v>262</v>
      </c>
    </row>
    <row r="6" spans="1:15" x14ac:dyDescent="0.25">
      <c r="A6" s="3" t="s">
        <v>62</v>
      </c>
      <c r="B6" s="4">
        <v>57</v>
      </c>
      <c r="C6" s="4">
        <v>-101</v>
      </c>
      <c r="D6" s="4">
        <v>-259</v>
      </c>
      <c r="E6" s="4">
        <v>-130</v>
      </c>
      <c r="F6" s="4">
        <v>-398</v>
      </c>
      <c r="G6" s="4">
        <v>-360</v>
      </c>
      <c r="H6" s="4">
        <v>102</v>
      </c>
      <c r="I6" s="4">
        <v>-154</v>
      </c>
      <c r="J6" s="4">
        <v>-206</v>
      </c>
      <c r="K6" s="4">
        <v>184</v>
      </c>
      <c r="L6" s="4">
        <v>221</v>
      </c>
      <c r="M6" s="4">
        <v>183</v>
      </c>
      <c r="N6" s="4">
        <v>53</v>
      </c>
      <c r="O6" s="4">
        <v>196</v>
      </c>
    </row>
    <row r="7" spans="1:15" x14ac:dyDescent="0.25">
      <c r="A7" s="3" t="s">
        <v>63</v>
      </c>
      <c r="B7" s="4">
        <v>-73</v>
      </c>
      <c r="C7" s="4">
        <v>-82</v>
      </c>
      <c r="D7" s="4">
        <v>-84</v>
      </c>
      <c r="E7" s="4">
        <v>-1</v>
      </c>
      <c r="F7" s="4">
        <v>-3</v>
      </c>
      <c r="G7" s="4">
        <v>-4</v>
      </c>
      <c r="H7" s="4">
        <v>-3</v>
      </c>
      <c r="I7" s="4">
        <v>-3</v>
      </c>
      <c r="J7" s="4">
        <v>-51</v>
      </c>
      <c r="K7" s="4">
        <v>794</v>
      </c>
      <c r="L7" s="4">
        <v>787</v>
      </c>
      <c r="M7" s="4">
        <v>782</v>
      </c>
      <c r="N7" s="4">
        <v>-3</v>
      </c>
      <c r="O7" s="4">
        <v>1</v>
      </c>
    </row>
    <row r="8" spans="1:15" x14ac:dyDescent="0.25">
      <c r="A8" s="3" t="s">
        <v>20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1341</v>
      </c>
      <c r="J8" s="4">
        <v>1341</v>
      </c>
      <c r="K8" s="4">
        <v>0</v>
      </c>
      <c r="L8" s="4">
        <v>0</v>
      </c>
      <c r="M8" s="4">
        <v>0</v>
      </c>
      <c r="N8" s="4">
        <v>0</v>
      </c>
      <c r="O8" s="4">
        <v>0</v>
      </c>
    </row>
    <row r="9" spans="1:15" x14ac:dyDescent="0.25">
      <c r="A9" s="3" t="s">
        <v>32</v>
      </c>
      <c r="B9" s="4">
        <v>-1012</v>
      </c>
      <c r="C9" s="4">
        <v>-644</v>
      </c>
      <c r="D9" s="4">
        <v>-916</v>
      </c>
      <c r="E9" s="4">
        <v>-740</v>
      </c>
      <c r="F9" s="4">
        <v>-654</v>
      </c>
      <c r="G9" s="4">
        <v>-301</v>
      </c>
      <c r="H9" s="4">
        <v>-830</v>
      </c>
      <c r="I9" s="4">
        <v>-839</v>
      </c>
      <c r="J9" s="4">
        <v>-692</v>
      </c>
      <c r="K9" s="4">
        <v>-134</v>
      </c>
      <c r="L9" s="4">
        <v>-262</v>
      </c>
      <c r="M9" s="4">
        <v>-79</v>
      </c>
      <c r="N9" s="4">
        <v>-305</v>
      </c>
      <c r="O9" s="4">
        <v>-92</v>
      </c>
    </row>
    <row r="10" spans="1:15" x14ac:dyDescent="0.25">
      <c r="A10" s="3" t="s">
        <v>33</v>
      </c>
      <c r="B10" s="4">
        <v>-409</v>
      </c>
      <c r="C10" s="4">
        <v>-840</v>
      </c>
      <c r="D10" s="4">
        <v>-1252</v>
      </c>
      <c r="E10" s="4">
        <v>-893</v>
      </c>
      <c r="F10" s="4">
        <v>-655</v>
      </c>
      <c r="G10" s="4">
        <v>-503</v>
      </c>
      <c r="H10" s="4">
        <v>-142</v>
      </c>
      <c r="I10" s="4">
        <v>-32</v>
      </c>
      <c r="J10" s="4">
        <v>-47</v>
      </c>
      <c r="K10" s="4">
        <v>-188</v>
      </c>
      <c r="L10" s="4">
        <v>-170</v>
      </c>
      <c r="M10" s="4">
        <v>-409</v>
      </c>
      <c r="N10" s="4">
        <v>-303</v>
      </c>
      <c r="O10" s="4">
        <v>-255</v>
      </c>
    </row>
    <row r="11" spans="1:15" x14ac:dyDescent="0.25">
      <c r="A11" s="3" t="s">
        <v>41</v>
      </c>
      <c r="B11" s="4">
        <v>1261</v>
      </c>
      <c r="C11" s="4">
        <v>1431</v>
      </c>
      <c r="D11" s="4">
        <v>1347</v>
      </c>
      <c r="E11" s="4">
        <v>1495</v>
      </c>
      <c r="F11" s="4">
        <v>177</v>
      </c>
      <c r="G11" s="4">
        <v>-609</v>
      </c>
      <c r="H11" s="4">
        <v>857</v>
      </c>
      <c r="I11" s="4">
        <v>302</v>
      </c>
      <c r="J11" s="4">
        <v>56</v>
      </c>
      <c r="K11" s="4">
        <v>-648</v>
      </c>
      <c r="L11" s="4">
        <v>-1157</v>
      </c>
      <c r="M11" s="4">
        <v>-1666</v>
      </c>
      <c r="N11" s="4">
        <v>648</v>
      </c>
      <c r="O11" s="4">
        <v>239</v>
      </c>
    </row>
    <row r="12" spans="1:15" x14ac:dyDescent="0.25">
      <c r="A12" s="3" t="s">
        <v>64</v>
      </c>
      <c r="B12" s="4">
        <v>-178</v>
      </c>
      <c r="C12" s="4">
        <v>-84</v>
      </c>
      <c r="D12" s="4">
        <v>-131</v>
      </c>
      <c r="E12" s="4">
        <v>-454</v>
      </c>
      <c r="F12" s="4">
        <v>-535</v>
      </c>
      <c r="G12" s="4">
        <v>-839</v>
      </c>
      <c r="H12" s="4">
        <v>-671</v>
      </c>
      <c r="I12" s="4">
        <v>-704</v>
      </c>
      <c r="J12" s="4">
        <v>-1196</v>
      </c>
      <c r="K12" s="4">
        <v>-558</v>
      </c>
      <c r="L12" s="4">
        <v>-748</v>
      </c>
      <c r="M12" s="4">
        <v>-1125</v>
      </c>
      <c r="N12" s="4">
        <v>0</v>
      </c>
      <c r="O12" s="4">
        <v>0</v>
      </c>
    </row>
    <row r="13" spans="1:15" x14ac:dyDescent="0.25">
      <c r="A13" s="3" t="s">
        <v>65</v>
      </c>
      <c r="B13" s="4">
        <v>44</v>
      </c>
      <c r="C13" s="4">
        <v>53</v>
      </c>
      <c r="D13" s="4">
        <v>87</v>
      </c>
      <c r="E13" s="4">
        <v>62</v>
      </c>
      <c r="F13" s="4">
        <v>224</v>
      </c>
      <c r="G13" s="4">
        <v>363</v>
      </c>
      <c r="H13" s="4">
        <v>208</v>
      </c>
      <c r="I13" s="4">
        <v>346</v>
      </c>
      <c r="J13" s="4">
        <v>490</v>
      </c>
      <c r="K13" s="4">
        <v>32</v>
      </c>
      <c r="L13" s="4">
        <v>135</v>
      </c>
      <c r="M13" s="4">
        <v>218</v>
      </c>
      <c r="N13" s="4">
        <v>-344</v>
      </c>
      <c r="O13" s="4">
        <v>-645</v>
      </c>
    </row>
    <row r="14" spans="1:15" x14ac:dyDescent="0.25">
      <c r="A14" s="3" t="s">
        <v>66</v>
      </c>
      <c r="B14" s="6">
        <f t="shared" ref="B14:O14" si="0">SUM(B2:B13)</f>
        <v>4643</v>
      </c>
      <c r="C14" s="6">
        <f t="shared" si="0"/>
        <v>9764</v>
      </c>
      <c r="D14" s="6">
        <f t="shared" si="0"/>
        <v>13010</v>
      </c>
      <c r="E14" s="6">
        <f t="shared" si="0"/>
        <v>4070</v>
      </c>
      <c r="F14" s="6">
        <f t="shared" si="0"/>
        <v>7644</v>
      </c>
      <c r="G14" s="6">
        <f t="shared" si="0"/>
        <v>11507</v>
      </c>
      <c r="H14" s="6">
        <f t="shared" si="0"/>
        <v>4904</v>
      </c>
      <c r="I14" s="6">
        <f t="shared" si="0"/>
        <v>10004</v>
      </c>
      <c r="J14" s="6">
        <f t="shared" si="0"/>
        <v>14093</v>
      </c>
      <c r="K14" s="6">
        <f t="shared" si="0"/>
        <v>4302</v>
      </c>
      <c r="L14" s="6">
        <f t="shared" si="0"/>
        <v>9127</v>
      </c>
      <c r="M14" s="6">
        <f t="shared" si="0"/>
        <v>12831</v>
      </c>
      <c r="N14" s="6">
        <f t="shared" si="0"/>
        <v>5409</v>
      </c>
      <c r="O14" s="6">
        <f t="shared" si="0"/>
        <v>10381</v>
      </c>
    </row>
    <row r="15" spans="1:15" x14ac:dyDescent="0.25">
      <c r="A15" s="3" t="s">
        <v>67</v>
      </c>
      <c r="B15" s="4">
        <v>-1091</v>
      </c>
      <c r="C15" s="4">
        <v>-1717</v>
      </c>
      <c r="D15" s="4">
        <v>-2464</v>
      </c>
      <c r="E15" s="4">
        <v>-890</v>
      </c>
      <c r="F15" s="4">
        <v>-1598</v>
      </c>
      <c r="G15" s="4">
        <v>-2328</v>
      </c>
      <c r="H15" s="4">
        <v>-925</v>
      </c>
      <c r="I15" s="4">
        <v>-1742</v>
      </c>
      <c r="J15" s="4">
        <v>-2539</v>
      </c>
      <c r="K15" s="4">
        <v>-993</v>
      </c>
      <c r="L15" s="4">
        <v>-1918</v>
      </c>
      <c r="M15" s="4">
        <v>-2777</v>
      </c>
      <c r="N15" s="4">
        <v>-1200</v>
      </c>
      <c r="O15" s="4">
        <v>-2367</v>
      </c>
    </row>
    <row r="16" spans="1:15" x14ac:dyDescent="0.25">
      <c r="A16" s="3" t="s">
        <v>68</v>
      </c>
      <c r="B16" s="4">
        <v>85</v>
      </c>
      <c r="C16" s="4">
        <v>97</v>
      </c>
      <c r="D16" s="4">
        <v>99</v>
      </c>
      <c r="E16" s="4">
        <v>5</v>
      </c>
      <c r="F16" s="4">
        <v>8</v>
      </c>
      <c r="G16" s="4">
        <v>9</v>
      </c>
      <c r="H16" s="4">
        <v>3</v>
      </c>
      <c r="I16" s="4">
        <v>8</v>
      </c>
      <c r="J16" s="4">
        <v>77</v>
      </c>
      <c r="K16" s="4">
        <v>45</v>
      </c>
      <c r="L16" s="4">
        <v>47</v>
      </c>
      <c r="M16" s="4">
        <v>64</v>
      </c>
      <c r="N16" s="4">
        <v>8</v>
      </c>
      <c r="O16" s="4">
        <v>16</v>
      </c>
    </row>
    <row r="17" spans="1:15" x14ac:dyDescent="0.25">
      <c r="A17" s="3" t="s">
        <v>69</v>
      </c>
      <c r="B17" s="4">
        <v>0</v>
      </c>
      <c r="C17" s="4">
        <v>-349</v>
      </c>
      <c r="D17" s="4">
        <v>-1381</v>
      </c>
      <c r="E17" s="4">
        <v>-2</v>
      </c>
      <c r="F17" s="4">
        <v>-76</v>
      </c>
      <c r="G17" s="4">
        <v>-714</v>
      </c>
      <c r="H17" s="4">
        <v>0</v>
      </c>
      <c r="I17" s="4">
        <v>0</v>
      </c>
      <c r="J17" s="4">
        <v>-21</v>
      </c>
      <c r="K17" s="4">
        <v>-6</v>
      </c>
      <c r="L17" s="4">
        <v>-6</v>
      </c>
      <c r="M17" s="4">
        <v>-11</v>
      </c>
      <c r="N17" s="4">
        <v>-5</v>
      </c>
      <c r="O17" s="4">
        <v>-5</v>
      </c>
    </row>
    <row r="18" spans="1:15" x14ac:dyDescent="0.25">
      <c r="A18" s="3" t="s">
        <v>102</v>
      </c>
      <c r="B18" s="4">
        <v>0</v>
      </c>
      <c r="C18" s="4">
        <v>0</v>
      </c>
      <c r="D18" s="4">
        <v>0</v>
      </c>
      <c r="E18" s="4">
        <v>55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</row>
    <row r="19" spans="1:15" x14ac:dyDescent="0.25">
      <c r="A19" s="3" t="s">
        <v>70</v>
      </c>
      <c r="B19" s="4">
        <v>0</v>
      </c>
      <c r="C19" s="4">
        <v>3</v>
      </c>
      <c r="D19" s="4">
        <v>4</v>
      </c>
      <c r="E19" s="4">
        <v>0</v>
      </c>
      <c r="F19" s="4">
        <v>344</v>
      </c>
      <c r="G19" s="4">
        <v>331</v>
      </c>
      <c r="H19" s="4">
        <v>-300</v>
      </c>
      <c r="I19" s="4">
        <v>-489</v>
      </c>
      <c r="J19" s="4">
        <v>-503</v>
      </c>
      <c r="K19" s="4">
        <v>-154</v>
      </c>
      <c r="L19" s="4">
        <v>-153</v>
      </c>
      <c r="M19" s="4">
        <v>-33</v>
      </c>
      <c r="N19" s="4">
        <v>-338</v>
      </c>
      <c r="O19" s="4">
        <v>-408</v>
      </c>
    </row>
    <row r="20" spans="1:15" x14ac:dyDescent="0.25">
      <c r="A20" s="3" t="s">
        <v>71</v>
      </c>
      <c r="B20" s="6">
        <f t="shared" ref="B20:O20" si="1">SUM(B15:B19)</f>
        <v>-1006</v>
      </c>
      <c r="C20" s="6">
        <f t="shared" si="1"/>
        <v>-1966</v>
      </c>
      <c r="D20" s="6">
        <f t="shared" si="1"/>
        <v>-3742</v>
      </c>
      <c r="E20" s="6">
        <f t="shared" si="1"/>
        <v>-832</v>
      </c>
      <c r="F20" s="6">
        <f t="shared" si="1"/>
        <v>-1322</v>
      </c>
      <c r="G20" s="6">
        <f t="shared" si="1"/>
        <v>-2702</v>
      </c>
      <c r="H20" s="6">
        <f t="shared" si="1"/>
        <v>-1222</v>
      </c>
      <c r="I20" s="6">
        <f t="shared" si="1"/>
        <v>-2223</v>
      </c>
      <c r="J20" s="6">
        <f t="shared" si="1"/>
        <v>-2986</v>
      </c>
      <c r="K20" s="6">
        <f t="shared" si="1"/>
        <v>-1108</v>
      </c>
      <c r="L20" s="6">
        <f t="shared" si="1"/>
        <v>-2030</v>
      </c>
      <c r="M20" s="6">
        <f t="shared" si="1"/>
        <v>-2757</v>
      </c>
      <c r="N20" s="6">
        <f t="shared" si="1"/>
        <v>-1535</v>
      </c>
      <c r="O20" s="6">
        <f t="shared" si="1"/>
        <v>-2764</v>
      </c>
    </row>
    <row r="21" spans="1:15" x14ac:dyDescent="0.25">
      <c r="A21" s="3" t="s">
        <v>72</v>
      </c>
      <c r="B21" s="4">
        <v>-2182</v>
      </c>
      <c r="C21" s="4">
        <v>-4353</v>
      </c>
      <c r="D21" s="4">
        <v>-6508</v>
      </c>
      <c r="E21" s="4">
        <v>-2255</v>
      </c>
      <c r="F21" s="4">
        <v>-4486</v>
      </c>
      <c r="G21" s="4">
        <v>-6710</v>
      </c>
      <c r="H21" s="4">
        <v>-2290</v>
      </c>
      <c r="I21" s="4">
        <v>-4578</v>
      </c>
      <c r="J21" s="4">
        <v>-6863</v>
      </c>
      <c r="K21" s="4">
        <v>-2445</v>
      </c>
      <c r="L21" s="4">
        <v>-4886</v>
      </c>
      <c r="M21" s="4">
        <v>-7319</v>
      </c>
      <c r="N21" s="4">
        <v>-2549</v>
      </c>
      <c r="O21" s="4">
        <v>-5093</v>
      </c>
    </row>
    <row r="22" spans="1:15" x14ac:dyDescent="0.25">
      <c r="A22" s="3" t="s">
        <v>73</v>
      </c>
      <c r="B22" s="4">
        <v>1792</v>
      </c>
      <c r="C22" s="4">
        <v>6747</v>
      </c>
      <c r="D22" s="4">
        <v>10146</v>
      </c>
      <c r="E22" s="4">
        <v>2975</v>
      </c>
      <c r="F22" s="4">
        <v>10447</v>
      </c>
      <c r="G22" s="4">
        <v>13778</v>
      </c>
      <c r="H22" s="4">
        <v>2179</v>
      </c>
      <c r="I22" s="4">
        <v>2798</v>
      </c>
      <c r="J22" s="4">
        <v>2961</v>
      </c>
      <c r="K22" s="4">
        <v>4090</v>
      </c>
      <c r="L22" s="4">
        <v>5905</v>
      </c>
      <c r="M22" s="4">
        <v>5905</v>
      </c>
      <c r="N22" s="4">
        <v>1123</v>
      </c>
      <c r="O22" s="4">
        <v>4180</v>
      </c>
    </row>
    <row r="23" spans="1:15" x14ac:dyDescent="0.25">
      <c r="A23" s="3" t="s">
        <v>74</v>
      </c>
      <c r="B23" s="4">
        <v>-1422</v>
      </c>
      <c r="C23" s="4">
        <v>-1730</v>
      </c>
      <c r="D23" s="4">
        <v>-8163</v>
      </c>
      <c r="E23" s="4">
        <v>-265</v>
      </c>
      <c r="F23" s="4">
        <v>-3260</v>
      </c>
      <c r="G23" s="4">
        <v>-9134</v>
      </c>
      <c r="H23" s="4">
        <v>-1906</v>
      </c>
      <c r="I23" s="4">
        <v>-5862</v>
      </c>
      <c r="J23" s="4">
        <v>-7523</v>
      </c>
      <c r="K23" s="4">
        <v>-571</v>
      </c>
      <c r="L23" s="4">
        <v>-571</v>
      </c>
      <c r="M23" s="4">
        <v>-3781</v>
      </c>
      <c r="N23" s="4">
        <v>-1800</v>
      </c>
      <c r="O23" s="4">
        <v>-3270</v>
      </c>
    </row>
    <row r="24" spans="1:15" x14ac:dyDescent="0.25">
      <c r="A24" s="3" t="s">
        <v>75</v>
      </c>
      <c r="B24" s="4">
        <v>512</v>
      </c>
      <c r="C24" s="4">
        <v>-1124</v>
      </c>
      <c r="D24" s="4">
        <v>-849</v>
      </c>
      <c r="E24" s="4">
        <v>1727</v>
      </c>
      <c r="F24" s="4">
        <v>-1759</v>
      </c>
      <c r="G24" s="4">
        <v>-387</v>
      </c>
      <c r="H24" s="4">
        <v>2172</v>
      </c>
      <c r="I24" s="4">
        <v>3740</v>
      </c>
      <c r="J24" s="4">
        <v>2331</v>
      </c>
      <c r="K24" s="4">
        <v>-444</v>
      </c>
      <c r="L24" s="4">
        <v>-2705</v>
      </c>
      <c r="M24" s="4">
        <v>-543</v>
      </c>
      <c r="N24" s="4">
        <v>2108</v>
      </c>
      <c r="O24" s="4">
        <v>-471</v>
      </c>
    </row>
    <row r="25" spans="1:15" x14ac:dyDescent="0.25">
      <c r="A25" s="3" t="s">
        <v>76</v>
      </c>
      <c r="B25" s="4">
        <v>0</v>
      </c>
      <c r="C25" s="4">
        <v>2136</v>
      </c>
      <c r="D25" s="4">
        <v>4385</v>
      </c>
      <c r="E25" s="4">
        <v>0</v>
      </c>
      <c r="F25" s="4">
        <v>0</v>
      </c>
      <c r="G25" s="4">
        <v>2569</v>
      </c>
      <c r="H25" s="4">
        <v>0</v>
      </c>
      <c r="I25" s="4">
        <v>254</v>
      </c>
      <c r="J25" s="4">
        <v>1598</v>
      </c>
      <c r="K25" s="4">
        <v>0</v>
      </c>
      <c r="L25" s="4">
        <v>995</v>
      </c>
      <c r="M25" s="4">
        <v>995</v>
      </c>
      <c r="N25" s="4">
        <v>0</v>
      </c>
      <c r="O25" s="4">
        <v>2652</v>
      </c>
    </row>
    <row r="26" spans="1:15" x14ac:dyDescent="0.25">
      <c r="A26" s="3" t="s">
        <v>77</v>
      </c>
      <c r="B26" s="4">
        <v>-26</v>
      </c>
      <c r="C26" s="4">
        <v>-1673</v>
      </c>
      <c r="D26" s="4">
        <v>-2776</v>
      </c>
      <c r="E26" s="4">
        <v>-1877</v>
      </c>
      <c r="F26" s="4">
        <v>-1877</v>
      </c>
      <c r="G26" s="4">
        <v>-1877</v>
      </c>
      <c r="H26" s="4">
        <v>-1004</v>
      </c>
      <c r="I26" s="4">
        <v>-2335</v>
      </c>
      <c r="J26" s="4">
        <v>-2335</v>
      </c>
      <c r="K26" s="4">
        <v>-70</v>
      </c>
      <c r="L26" s="4">
        <v>-1478</v>
      </c>
      <c r="M26" s="4">
        <v>-1478</v>
      </c>
      <c r="N26" s="4">
        <v>-3</v>
      </c>
      <c r="O26" s="4">
        <v>-1005</v>
      </c>
    </row>
    <row r="27" spans="1:15" x14ac:dyDescent="0.25">
      <c r="A27" s="3" t="s">
        <v>78</v>
      </c>
      <c r="B27" s="4">
        <v>-2750</v>
      </c>
      <c r="C27" s="4">
        <v>-7504</v>
      </c>
      <c r="D27" s="4">
        <v>-8753</v>
      </c>
      <c r="E27" s="4">
        <v>-4000</v>
      </c>
      <c r="F27" s="4">
        <v>-6002</v>
      </c>
      <c r="G27" s="4">
        <v>-7353</v>
      </c>
      <c r="H27" s="4">
        <v>-1500</v>
      </c>
      <c r="I27" s="4">
        <v>-2503</v>
      </c>
      <c r="J27" s="4">
        <v>-3490</v>
      </c>
      <c r="K27" s="4">
        <v>-1939</v>
      </c>
      <c r="L27" s="4">
        <v>-4449</v>
      </c>
      <c r="M27" s="4">
        <v>-5800</v>
      </c>
      <c r="N27" s="4">
        <v>-1250</v>
      </c>
      <c r="O27" s="4">
        <v>-3528</v>
      </c>
    </row>
    <row r="28" spans="1:15" x14ac:dyDescent="0.25">
      <c r="A28" s="3" t="s">
        <v>79</v>
      </c>
      <c r="B28" s="4">
        <v>648</v>
      </c>
      <c r="C28" s="4">
        <v>1215</v>
      </c>
      <c r="D28" s="4">
        <v>1800</v>
      </c>
      <c r="E28" s="4">
        <v>188</v>
      </c>
      <c r="F28" s="4">
        <v>437</v>
      </c>
      <c r="G28" s="4">
        <v>861</v>
      </c>
      <c r="H28" s="4">
        <v>312</v>
      </c>
      <c r="I28" s="4">
        <v>397</v>
      </c>
      <c r="J28" s="4">
        <v>965</v>
      </c>
      <c r="K28" s="4">
        <v>745</v>
      </c>
      <c r="L28" s="4">
        <v>985</v>
      </c>
      <c r="M28" s="4">
        <v>1601</v>
      </c>
      <c r="N28" s="4">
        <v>134</v>
      </c>
      <c r="O28" s="4">
        <v>208</v>
      </c>
    </row>
    <row r="29" spans="1:15" x14ac:dyDescent="0.25">
      <c r="A29" s="3" t="s">
        <v>80</v>
      </c>
      <c r="B29" s="6">
        <f t="shared" ref="B29:O29" si="2">SUM(B21:B28)</f>
        <v>-3428</v>
      </c>
      <c r="C29" s="6">
        <f t="shared" si="2"/>
        <v>-6286</v>
      </c>
      <c r="D29" s="6">
        <f t="shared" si="2"/>
        <v>-10718</v>
      </c>
      <c r="E29" s="6">
        <f t="shared" si="2"/>
        <v>-3507</v>
      </c>
      <c r="F29" s="6">
        <f t="shared" si="2"/>
        <v>-6500</v>
      </c>
      <c r="G29" s="6">
        <f t="shared" si="2"/>
        <v>-8253</v>
      </c>
      <c r="H29" s="6">
        <f t="shared" si="2"/>
        <v>-2037</v>
      </c>
      <c r="I29" s="6">
        <f t="shared" si="2"/>
        <v>-8089</v>
      </c>
      <c r="J29" s="6">
        <f t="shared" si="2"/>
        <v>-12356</v>
      </c>
      <c r="K29" s="6">
        <f t="shared" si="2"/>
        <v>-634</v>
      </c>
      <c r="L29" s="6">
        <f t="shared" si="2"/>
        <v>-6204</v>
      </c>
      <c r="M29" s="6">
        <f t="shared" si="2"/>
        <v>-10420</v>
      </c>
      <c r="N29" s="6">
        <f t="shared" si="2"/>
        <v>-2237</v>
      </c>
      <c r="O29" s="6">
        <f t="shared" si="2"/>
        <v>-6327</v>
      </c>
    </row>
    <row r="30" spans="1:15" x14ac:dyDescent="0.25">
      <c r="A30" s="3" t="s">
        <v>81</v>
      </c>
      <c r="B30" s="4">
        <v>-127</v>
      </c>
      <c r="C30" s="4">
        <v>-256</v>
      </c>
      <c r="D30" s="4">
        <v>-312</v>
      </c>
      <c r="E30" s="4">
        <v>-235</v>
      </c>
      <c r="F30" s="4">
        <v>-182</v>
      </c>
      <c r="G30" s="4">
        <v>-170</v>
      </c>
      <c r="H30" s="4">
        <v>-156</v>
      </c>
      <c r="I30" s="4">
        <v>-49</v>
      </c>
      <c r="J30" s="4">
        <v>-168</v>
      </c>
      <c r="K30" s="4">
        <v>116</v>
      </c>
      <c r="L30" s="4">
        <v>-144</v>
      </c>
      <c r="M30" s="4">
        <v>-22</v>
      </c>
      <c r="N30" s="4">
        <v>-20</v>
      </c>
      <c r="O30" s="4">
        <v>-21</v>
      </c>
    </row>
    <row r="31" spans="1:15" x14ac:dyDescent="0.25">
      <c r="A31" s="3" t="s">
        <v>82</v>
      </c>
      <c r="B31" s="6">
        <f t="shared" ref="B31:O31" si="3">B14+B20+B29+B30</f>
        <v>82</v>
      </c>
      <c r="C31" s="6">
        <f t="shared" si="3"/>
        <v>1256</v>
      </c>
      <c r="D31" s="6">
        <f t="shared" si="3"/>
        <v>-1762</v>
      </c>
      <c r="E31" s="6">
        <f t="shared" si="3"/>
        <v>-504</v>
      </c>
      <c r="F31" s="6">
        <f t="shared" si="3"/>
        <v>-360</v>
      </c>
      <c r="G31" s="6">
        <f t="shared" si="3"/>
        <v>382</v>
      </c>
      <c r="H31" s="6">
        <f t="shared" si="3"/>
        <v>1489</v>
      </c>
      <c r="I31" s="6">
        <f t="shared" si="3"/>
        <v>-357</v>
      </c>
      <c r="J31" s="6">
        <f t="shared" si="3"/>
        <v>-1417</v>
      </c>
      <c r="K31" s="6">
        <f t="shared" si="3"/>
        <v>2676</v>
      </c>
      <c r="L31" s="6">
        <f t="shared" si="3"/>
        <v>749</v>
      </c>
      <c r="M31" s="6">
        <f t="shared" si="3"/>
        <v>-368</v>
      </c>
      <c r="N31" s="6">
        <f t="shared" si="3"/>
        <v>1617</v>
      </c>
      <c r="O31" s="6">
        <f t="shared" si="3"/>
        <v>1269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O1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41" width="13" customWidth="1"/>
  </cols>
  <sheetData>
    <row r="1" spans="1:41" x14ac:dyDescent="0.25">
      <c r="A1" s="1"/>
      <c r="B1" s="2" t="s">
        <v>83</v>
      </c>
      <c r="C1" s="2" t="s">
        <v>84</v>
      </c>
      <c r="D1" s="2" t="s">
        <v>85</v>
      </c>
      <c r="E1" s="2" t="s">
        <v>98</v>
      </c>
      <c r="F1" s="2" t="s">
        <v>86</v>
      </c>
      <c r="G1" s="2" t="s">
        <v>87</v>
      </c>
      <c r="H1" s="2" t="s">
        <v>88</v>
      </c>
      <c r="I1" s="2" t="s">
        <v>99</v>
      </c>
      <c r="J1" s="2" t="s">
        <v>89</v>
      </c>
      <c r="K1" s="2" t="s">
        <v>90</v>
      </c>
      <c r="L1" s="2" t="s">
        <v>91</v>
      </c>
      <c r="M1" s="2" t="s">
        <v>100</v>
      </c>
      <c r="N1" s="2" t="s">
        <v>92</v>
      </c>
      <c r="O1" s="2" t="s">
        <v>93</v>
      </c>
      <c r="P1" s="2" t="s">
        <v>94</v>
      </c>
      <c r="Q1" s="2" t="s">
        <v>101</v>
      </c>
      <c r="R1" s="2" t="s">
        <v>95</v>
      </c>
      <c r="S1" s="2" t="s">
        <v>96</v>
      </c>
      <c r="T1" s="2" t="s">
        <v>103</v>
      </c>
      <c r="U1" s="2" t="s">
        <v>104</v>
      </c>
      <c r="V1" s="2" t="s">
        <v>105</v>
      </c>
      <c r="W1" s="2" t="s">
        <v>106</v>
      </c>
      <c r="X1" s="2" t="s">
        <v>107</v>
      </c>
      <c r="Y1" s="2" t="s">
        <v>108</v>
      </c>
      <c r="Z1" s="2" t="s">
        <v>109</v>
      </c>
      <c r="AA1" s="2" t="s">
        <v>110</v>
      </c>
      <c r="AB1" s="2" t="s">
        <v>111</v>
      </c>
      <c r="AC1" s="2" t="s">
        <v>112</v>
      </c>
      <c r="AD1" s="2" t="s">
        <v>113</v>
      </c>
      <c r="AE1" s="2" t="s">
        <v>114</v>
      </c>
      <c r="AF1" s="2" t="s">
        <v>115</v>
      </c>
      <c r="AG1" s="2" t="s">
        <v>116</v>
      </c>
      <c r="AH1" s="2" t="s">
        <v>117</v>
      </c>
      <c r="AI1" s="2" t="s">
        <v>118</v>
      </c>
      <c r="AJ1" s="2" t="s">
        <v>119</v>
      </c>
      <c r="AK1" s="2" t="s">
        <v>120</v>
      </c>
      <c r="AL1" s="2" t="s">
        <v>121</v>
      </c>
      <c r="AM1" s="2" t="s">
        <v>122</v>
      </c>
      <c r="AN1" s="2" t="s">
        <v>123</v>
      </c>
      <c r="AO1" s="2" t="s">
        <v>124</v>
      </c>
    </row>
    <row r="2" spans="1:41" x14ac:dyDescent="0.25">
      <c r="A2" s="3" t="s">
        <v>16</v>
      </c>
      <c r="B2" s="4">
        <f>'YTD P&amp;L'!B2</f>
        <v>20338</v>
      </c>
      <c r="C2" s="4">
        <f>'YTD P&amp;L'!C2-'YTD P&amp;L'!B2</f>
        <v>20953</v>
      </c>
      <c r="D2" s="4">
        <f>'YTD P&amp;L'!D2-'YTD P&amp;L'!C2</f>
        <v>19381</v>
      </c>
      <c r="E2" s="4">
        <f>'ANNL P&amp;L'!C2-'YTD P&amp;L'!D2</f>
        <v>19515</v>
      </c>
      <c r="F2" s="4">
        <f>'YTD P&amp;L'!E2</f>
        <v>20612</v>
      </c>
      <c r="G2" s="4">
        <f>'YTD P&amp;L'!F2-'YTD P&amp;L'!E2</f>
        <v>20773</v>
      </c>
      <c r="H2" s="4">
        <f>'YTD P&amp;L'!G2-'YTD P&amp;L'!F2</f>
        <v>20068</v>
      </c>
      <c r="I2" s="4">
        <f>'ANNL P&amp;L'!D2-'YTD P&amp;L'!G2</f>
        <v>20553</v>
      </c>
      <c r="J2" s="4">
        <f>'YTD P&amp;L'!H2</f>
        <v>21871</v>
      </c>
      <c r="K2" s="4">
        <f>'YTD P&amp;L'!I2-'YTD P&amp;L'!H2</f>
        <v>21441</v>
      </c>
      <c r="L2" s="4">
        <f>'YTD P&amp;L'!J2-'YTD P&amp;L'!I2</f>
        <v>20195</v>
      </c>
      <c r="M2" s="4">
        <f>'ANNL P&amp;L'!E2-'YTD P&amp;L'!J2</f>
        <v>20532</v>
      </c>
      <c r="N2" s="4">
        <f>'YTD P&amp;L'!K2</f>
        <v>21737</v>
      </c>
      <c r="O2" s="4">
        <f>'YTD P&amp;L'!L2-'YTD P&amp;L'!K2</f>
        <v>21882</v>
      </c>
      <c r="P2" s="4">
        <f>'YTD P&amp;L'!M2-'YTD P&amp;L'!L2</f>
        <v>19776</v>
      </c>
      <c r="Q2" s="4">
        <f>'ANNL P&amp;L'!F2-'YTD P&amp;L'!M2</f>
        <v>20889</v>
      </c>
      <c r="R2" s="4">
        <f>'YTD P&amp;L'!N2</f>
        <v>22386</v>
      </c>
      <c r="S2" s="4">
        <f>'YTD P&amp;L'!O2-'YTD P&amp;L'!N2</f>
        <v>22208</v>
      </c>
      <c r="T2" s="11">
        <f>IF('IS DRIVERS'!$B2="QoQ",'QTR P&amp;L'!S2,'QTR P&amp;L'!P2)*(1+'IS DRIVERS'!U2)</f>
        <v>20070.62462297779</v>
      </c>
      <c r="U2" s="11">
        <f>IF('IS DRIVERS'!$B2="QoQ",'QTR P&amp;L'!T2,'QTR P&amp;L'!Q2)*(1+'IS DRIVERS'!V2)</f>
        <v>21200.206196874144</v>
      </c>
      <c r="V2" s="11">
        <f>IF('IS DRIVERS'!$B2="QoQ",'QTR P&amp;L'!U2,'QTR P&amp;L'!R2)*(1+'IS DRIVERS'!W2)</f>
        <v>22719.508637236082</v>
      </c>
      <c r="W2" s="11">
        <f>IF('IS DRIVERS'!$B2="QoQ",'QTR P&amp;L'!V2,'QTR P&amp;L'!S2)*(1+'IS DRIVERS'!X2)</f>
        <v>22538.856777259847</v>
      </c>
      <c r="X2" s="11">
        <f>IF('IS DRIVERS'!$B2="QoQ",'QTR P&amp;L'!W2,'QTR P&amp;L'!T2)*(1+'IS DRIVERS'!Y2)</f>
        <v>20369.638590032479</v>
      </c>
      <c r="Y2" s="11">
        <f>IF('IS DRIVERS'!$B2="QoQ",'QTR P&amp;L'!X2,'QTR P&amp;L'!U2)*(1+'IS DRIVERS'!Z2)</f>
        <v>21516.048771601359</v>
      </c>
      <c r="Z2" s="11">
        <f>IF('IS DRIVERS'!$B2="QoQ",'QTR P&amp;L'!Y2,'QTR P&amp;L'!V2)*(1+'IS DRIVERS'!AA2)</f>
        <v>23057.985916083489</v>
      </c>
      <c r="AA2" s="11">
        <f>IF('IS DRIVERS'!$B2="QoQ",'QTR P&amp;L'!Z2,'QTR P&amp;L'!W2)*(1+'IS DRIVERS'!AB2)</f>
        <v>22874.642688483076</v>
      </c>
      <c r="AB2" s="11">
        <f>IF('IS DRIVERS'!$B2="QoQ",'QTR P&amp;L'!AA2,'QTR P&amp;L'!X2)*(1+'IS DRIVERS'!AC2)</f>
        <v>20673.107294006091</v>
      </c>
      <c r="AC2" s="11">
        <f>IF('IS DRIVERS'!$B2="QoQ",'QTR P&amp;L'!AB2,'QTR P&amp;L'!Y2)*(1+'IS DRIVERS'!AD2)</f>
        <v>21836.59679735504</v>
      </c>
      <c r="AD2" s="11">
        <f>IF('IS DRIVERS'!$B2="QoQ",'QTR P&amp;L'!AC2,'QTR P&amp;L'!Z2)*(1+'IS DRIVERS'!AE2)</f>
        <v>23401.505859810899</v>
      </c>
      <c r="AE2" s="11">
        <f>IF('IS DRIVERS'!$B2="QoQ",'QTR P&amp;L'!AD2,'QTR P&amp;L'!AA2)*(1+'IS DRIVERS'!AF2)</f>
        <v>23215.431168349882</v>
      </c>
      <c r="AF2" s="11">
        <f>IF('IS DRIVERS'!$B2="QoQ",'QTR P&amp;L'!AE2,'QTR P&amp;L'!AB2)*(1+'IS DRIVERS'!AG2)</f>
        <v>20981.097101969073</v>
      </c>
      <c r="AG2" s="11">
        <f>IF('IS DRIVERS'!$B2="QoQ",'QTR P&amp;L'!AF2,'QTR P&amp;L'!AC2)*(1+'IS DRIVERS'!AH2)</f>
        <v>22161.92037636691</v>
      </c>
      <c r="AH2" s="11">
        <f>IF('IS DRIVERS'!$B2="QoQ",'QTR P&amp;L'!AG2,'QTR P&amp;L'!AD2)*(1+'IS DRIVERS'!AI2)</f>
        <v>23750.143594492296</v>
      </c>
      <c r="AI2" s="11">
        <f>IF('IS DRIVERS'!$B2="QoQ",'QTR P&amp;L'!AH2,'QTR P&amp;L'!AE2)*(1+'IS DRIVERS'!AJ2)</f>
        <v>23561.296745576918</v>
      </c>
      <c r="AJ2" s="11">
        <f>IF('IS DRIVERS'!$B2="QoQ",'QTR P&amp;L'!AI2,'QTR P&amp;L'!AF2)*(1+'IS DRIVERS'!AK2)</f>
        <v>21293.675369734447</v>
      </c>
      <c r="AK2" s="11">
        <f>IF('IS DRIVERS'!$B2="QoQ",'QTR P&amp;L'!AJ2,'QTR P&amp;L'!AG2)*(1+'IS DRIVERS'!AL2)</f>
        <v>22492.090655258035</v>
      </c>
      <c r="AL2" s="11">
        <f>IF('IS DRIVERS'!$B2="QoQ",'QTR P&amp;L'!AK2,'QTR P&amp;L'!AH2)*(1+'IS DRIVERS'!AM2)</f>
        <v>24103.975365436654</v>
      </c>
      <c r="AM2" s="11">
        <f>IF('IS DRIVERS'!$B2="QoQ",'QTR P&amp;L'!AL2,'QTR P&amp;L'!AI2)*(1+'IS DRIVERS'!AN2)</f>
        <v>23912.315059216347</v>
      </c>
      <c r="AN2" s="11">
        <f>IF('IS DRIVERS'!$B2="QoQ",'QTR P&amp;L'!AM2,'QTR P&amp;L'!AJ2)*(1+'IS DRIVERS'!AO2)</f>
        <v>21610.910456588179</v>
      </c>
      <c r="AO2" s="11">
        <f>IF('IS DRIVERS'!$B2="QoQ",'QTR P&amp;L'!AN2,'QTR P&amp;L'!AK2)*(1+'IS DRIVERS'!AP2)</f>
        <v>22827.179840598226</v>
      </c>
    </row>
    <row r="3" spans="1:41" x14ac:dyDescent="0.25">
      <c r="A3" s="3" t="s">
        <v>17</v>
      </c>
      <c r="B3" s="4">
        <f>'YTD P&amp;L'!B3</f>
        <v>-10365</v>
      </c>
      <c r="C3" s="4">
        <f>'YTD P&amp;L'!C3-'YTD P&amp;L'!B3</f>
        <v>-10664</v>
      </c>
      <c r="D3" s="4">
        <f>'YTD P&amp;L'!D3-'YTD P&amp;L'!C3</f>
        <v>-10326</v>
      </c>
      <c r="E3" s="4">
        <f>'ANNL P&amp;L'!C3-'YTD P&amp;L'!D3</f>
        <v>-10802</v>
      </c>
      <c r="F3" s="4">
        <f>'YTD P&amp;L'!E3</f>
        <v>-10846</v>
      </c>
      <c r="G3" s="4">
        <f>'YTD P&amp;L'!F3-'YTD P&amp;L'!E3</f>
        <v>-10897</v>
      </c>
      <c r="H3" s="4">
        <f>'YTD P&amp;L'!G3-'YTD P&amp;L'!F3</f>
        <v>-10404</v>
      </c>
      <c r="I3" s="4">
        <f>'ANNL P&amp;L'!D3-'YTD P&amp;L'!G3</f>
        <v>-10613</v>
      </c>
      <c r="J3" s="4">
        <f>'YTD P&amp;L'!H3</f>
        <v>-10501</v>
      </c>
      <c r="K3" s="4">
        <f>'YTD P&amp;L'!I3-'YTD P&amp;L'!H3</f>
        <v>-10144</v>
      </c>
      <c r="L3" s="4">
        <f>'YTD P&amp;L'!J3-'YTD P&amp;L'!I3</f>
        <v>-9855</v>
      </c>
      <c r="M3" s="4">
        <f>'ANNL P&amp;L'!E3-'YTD P&amp;L'!J3</f>
        <v>-10348</v>
      </c>
      <c r="N3" s="4">
        <f>'YTD P&amp;L'!K3</f>
        <v>-10421</v>
      </c>
      <c r="O3" s="4">
        <f>'YTD P&amp;L'!L3-'YTD P&amp;L'!K3</f>
        <v>-10418</v>
      </c>
      <c r="P3" s="4">
        <f>'YTD P&amp;L'!M3-'YTD P&amp;L'!L3</f>
        <v>-9694</v>
      </c>
      <c r="Q3" s="4">
        <f>'ANNL P&amp;L'!F3-'YTD P&amp;L'!M3</f>
        <v>-10631</v>
      </c>
      <c r="R3" s="4">
        <f>'YTD P&amp;L'!N3</f>
        <v>-10887</v>
      </c>
      <c r="S3" s="4">
        <f>'YTD P&amp;L'!O3-'YTD P&amp;L'!N3</f>
        <v>-10834</v>
      </c>
      <c r="T3" s="11">
        <f>'QTR P&amp;L'!T2*'IS DRIVERS'!U3</f>
        <v>-9791.2980531944049</v>
      </c>
      <c r="U3" s="11">
        <f>'QTR P&amp;L'!U2*'IS DRIVERS'!V3</f>
        <v>-10342.355634768302</v>
      </c>
      <c r="V3" s="11">
        <f>'QTR P&amp;L'!V2*'IS DRIVERS'!W3</f>
        <v>-11083.535508637235</v>
      </c>
      <c r="W3" s="11">
        <f>'QTR P&amp;L'!W2*'IS DRIVERS'!X3</f>
        <v>-10995.405904396306</v>
      </c>
      <c r="X3" s="11">
        <f>'QTR P&amp;L'!X2*'IS DRIVERS'!Y3</f>
        <v>-9937.1696904003893</v>
      </c>
      <c r="Y3" s="11">
        <f>'QTR P&amp;L'!Y2*'IS DRIVERS'!Z3</f>
        <v>-10496.436977284273</v>
      </c>
      <c r="Z3" s="11">
        <f>'QTR P&amp;L'!Z2*'IS DRIVERS'!AA3</f>
        <v>-11248.659015438063</v>
      </c>
      <c r="AA3" s="11">
        <f>'QTR P&amp;L'!AA2*'IS DRIVERS'!AB3</f>
        <v>-11159.216448443158</v>
      </c>
      <c r="AB3" s="11">
        <f>'QTR P&amp;L'!AB2*'IS DRIVERS'!AC3</f>
        <v>-10085.214536350053</v>
      </c>
      <c r="AC3" s="11">
        <f>'QTR P&amp;L'!AC2*'IS DRIVERS'!AD3</f>
        <v>-10652.813837470483</v>
      </c>
      <c r="AD3" s="11">
        <f>'QTR P&amp;L'!AD2*'IS DRIVERS'!AE3</f>
        <v>-11416.242547063728</v>
      </c>
      <c r="AE3" s="11">
        <f>'QTR P&amp;L'!AE2*'IS DRIVERS'!AF3</f>
        <v>-11325.46745667789</v>
      </c>
      <c r="AF3" s="11">
        <f>'QTR P&amp;L'!AF2*'IS DRIVERS'!AG3</f>
        <v>-10235.464967702312</v>
      </c>
      <c r="AG3" s="11">
        <f>'QTR P&amp;L'!AG2*'IS DRIVERS'!AH3</f>
        <v>-10811.520414155219</v>
      </c>
      <c r="AH3" s="11">
        <f>'QTR P&amp;L'!AH2*'IS DRIVERS'!AI3</f>
        <v>-11586.322753184866</v>
      </c>
      <c r="AI3" s="11">
        <f>'QTR P&amp;L'!AI2*'IS DRIVERS'!AJ3</f>
        <v>-11494.195287355022</v>
      </c>
      <c r="AJ3" s="11">
        <f>'QTR P&amp;L'!AJ2*'IS DRIVERS'!AK3</f>
        <v>-10387.953843466452</v>
      </c>
      <c r="AK3" s="11">
        <f>'QTR P&amp;L'!AK2*'IS DRIVERS'!AL3</f>
        <v>-10972.591415663974</v>
      </c>
      <c r="AL3" s="11">
        <f>'QTR P&amp;L'!AL2*'IS DRIVERS'!AM3</f>
        <v>-11758.9368294822</v>
      </c>
      <c r="AM3" s="11">
        <f>'QTR P&amp;L'!AM2*'IS DRIVERS'!AN3</f>
        <v>-11665.4368403976</v>
      </c>
      <c r="AN3" s="11">
        <f>'QTR P&amp;L'!AN2*'IS DRIVERS'!AO3</f>
        <v>-10542.714512188235</v>
      </c>
      <c r="AO3" s="11">
        <f>'QTR P&amp;L'!AO2*'IS DRIVERS'!AP3</f>
        <v>-11136.062067409996</v>
      </c>
    </row>
    <row r="4" spans="1:41" x14ac:dyDescent="0.25">
      <c r="A4" s="3" t="s">
        <v>18</v>
      </c>
      <c r="B4" s="6">
        <f>'YTD P&amp;L'!B4</f>
        <v>9973</v>
      </c>
      <c r="C4" s="6">
        <f>'YTD P&amp;L'!C4-'YTD P&amp;L'!B4</f>
        <v>10289</v>
      </c>
      <c r="D4" s="6">
        <f>'YTD P&amp;L'!D4-'YTD P&amp;L'!C4</f>
        <v>9055</v>
      </c>
      <c r="E4" s="6">
        <f>'ANNL P&amp;L'!C4-'YTD P&amp;L'!D4</f>
        <v>8713</v>
      </c>
      <c r="F4" s="6">
        <f>'YTD P&amp;L'!E4</f>
        <v>9766</v>
      </c>
      <c r="G4" s="6">
        <f>'YTD P&amp;L'!F4-'YTD P&amp;L'!E4</f>
        <v>9876</v>
      </c>
      <c r="H4" s="6">
        <f>'YTD P&amp;L'!G4-'YTD P&amp;L'!F4</f>
        <v>9664</v>
      </c>
      <c r="I4" s="6">
        <f>'ANNL P&amp;L'!D4-'YTD P&amp;L'!G4</f>
        <v>9940</v>
      </c>
      <c r="J4" s="6">
        <f>'YTD P&amp;L'!H4</f>
        <v>11370</v>
      </c>
      <c r="K4" s="6">
        <f>'YTD P&amp;L'!I4-'YTD P&amp;L'!H4</f>
        <v>11297</v>
      </c>
      <c r="L4" s="6">
        <f>'YTD P&amp;L'!J4-'YTD P&amp;L'!I4</f>
        <v>10340</v>
      </c>
      <c r="M4" s="6">
        <f>'ANNL P&amp;L'!E4-'YTD P&amp;L'!J4</f>
        <v>10184</v>
      </c>
      <c r="N4" s="6">
        <f>'YTD P&amp;L'!K4</f>
        <v>11316</v>
      </c>
      <c r="O4" s="6">
        <f>'YTD P&amp;L'!L4-'YTD P&amp;L'!K4</f>
        <v>11464</v>
      </c>
      <c r="P4" s="6">
        <f>'YTD P&amp;L'!M4-'YTD P&amp;L'!L4</f>
        <v>10082</v>
      </c>
      <c r="Q4" s="6">
        <f>'ANNL P&amp;L'!F4-'YTD P&amp;L'!M4</f>
        <v>10258</v>
      </c>
      <c r="R4" s="6">
        <f>'YTD P&amp;L'!N4</f>
        <v>11499</v>
      </c>
      <c r="S4" s="6">
        <f>'YTD P&amp;L'!O4-'YTD P&amp;L'!N4</f>
        <v>11374</v>
      </c>
      <c r="T4" s="7">
        <f t="shared" ref="T4:AO4" si="0">T2+T3</f>
        <v>10279.326569783385</v>
      </c>
      <c r="U4" s="7">
        <f t="shared" si="0"/>
        <v>10857.850562105841</v>
      </c>
      <c r="V4" s="7">
        <f t="shared" si="0"/>
        <v>11635.973128598847</v>
      </c>
      <c r="W4" s="7">
        <f t="shared" si="0"/>
        <v>11543.450872863541</v>
      </c>
      <c r="X4" s="7">
        <f t="shared" si="0"/>
        <v>10432.468899632089</v>
      </c>
      <c r="Y4" s="7">
        <f t="shared" si="0"/>
        <v>11019.611794317087</v>
      </c>
      <c r="Z4" s="7">
        <f t="shared" si="0"/>
        <v>11809.326900645427</v>
      </c>
      <c r="AA4" s="7">
        <f t="shared" si="0"/>
        <v>11715.426240039918</v>
      </c>
      <c r="AB4" s="7">
        <f t="shared" si="0"/>
        <v>10587.892757656038</v>
      </c>
      <c r="AC4" s="7">
        <f t="shared" si="0"/>
        <v>11183.782959884556</v>
      </c>
      <c r="AD4" s="7">
        <f t="shared" si="0"/>
        <v>11985.263312747171</v>
      </c>
      <c r="AE4" s="7">
        <f t="shared" si="0"/>
        <v>11889.963711671991</v>
      </c>
      <c r="AF4" s="7">
        <f t="shared" si="0"/>
        <v>10745.632134266762</v>
      </c>
      <c r="AG4" s="7">
        <f t="shared" si="0"/>
        <v>11350.399962211692</v>
      </c>
      <c r="AH4" s="7">
        <f t="shared" si="0"/>
        <v>12163.82084130743</v>
      </c>
      <c r="AI4" s="7">
        <f t="shared" si="0"/>
        <v>12067.101458221896</v>
      </c>
      <c r="AJ4" s="7">
        <f t="shared" si="0"/>
        <v>10905.721526267995</v>
      </c>
      <c r="AK4" s="7">
        <f t="shared" si="0"/>
        <v>11519.499239594061</v>
      </c>
      <c r="AL4" s="7">
        <f t="shared" si="0"/>
        <v>12345.038535954454</v>
      </c>
      <c r="AM4" s="7">
        <f t="shared" si="0"/>
        <v>12246.878218818747</v>
      </c>
      <c r="AN4" s="7">
        <f t="shared" si="0"/>
        <v>11068.195944399944</v>
      </c>
      <c r="AO4" s="7">
        <f t="shared" si="0"/>
        <v>11691.117773188231</v>
      </c>
    </row>
    <row r="5" spans="1:41" x14ac:dyDescent="0.25">
      <c r="A5" s="3" t="s">
        <v>19</v>
      </c>
      <c r="B5" s="4">
        <f>'YTD P&amp;L'!B5</f>
        <v>-4950</v>
      </c>
      <c r="C5" s="4">
        <f>'YTD P&amp;L'!C5-'YTD P&amp;L'!B5</f>
        <v>-5121</v>
      </c>
      <c r="D5" s="4">
        <f>'YTD P&amp;L'!D5-'YTD P&amp;L'!C5</f>
        <v>-5031</v>
      </c>
      <c r="E5" s="4">
        <f>'ANNL P&amp;L'!C5-'YTD P&amp;L'!D5</f>
        <v>-5115</v>
      </c>
      <c r="F5" s="4">
        <f>'YTD P&amp;L'!E5</f>
        <v>-4827</v>
      </c>
      <c r="G5" s="4">
        <f>'YTD P&amp;L'!F5-'YTD P&amp;L'!E5</f>
        <v>-5091</v>
      </c>
      <c r="H5" s="4">
        <f>'YTD P&amp;L'!G5-'YTD P&amp;L'!F5</f>
        <v>-5416</v>
      </c>
      <c r="I5" s="4">
        <f>'ANNL P&amp;L'!D5-'YTD P&amp;L'!G5</f>
        <v>-5778</v>
      </c>
      <c r="J5" s="4">
        <f>'YTD P&amp;L'!H5</f>
        <v>-5604</v>
      </c>
      <c r="K5" s="4">
        <f>'YTD P&amp;L'!I5-'YTD P&amp;L'!H5</f>
        <v>-5523</v>
      </c>
      <c r="L5" s="4">
        <f>'YTD P&amp;L'!J5-'YTD P&amp;L'!I5</f>
        <v>-5879</v>
      </c>
      <c r="M5" s="4">
        <f>'ANNL P&amp;L'!E5-'YTD P&amp;L'!J5</f>
        <v>-6299</v>
      </c>
      <c r="N5" s="4">
        <f>'YTD P&amp;L'!K5</f>
        <v>-5519</v>
      </c>
      <c r="O5" s="4">
        <f>'YTD P&amp;L'!L5-'YTD P&amp;L'!K5</f>
        <v>-5723</v>
      </c>
      <c r="P5" s="4">
        <f>'YTD P&amp;L'!M5-'YTD P&amp;L'!L5</f>
        <v>-5523</v>
      </c>
      <c r="Q5" s="4">
        <f>'ANNL P&amp;L'!F5-'YTD P&amp;L'!M5</f>
        <v>-5904</v>
      </c>
      <c r="R5" s="4">
        <f>'YTD P&amp;L'!N5</f>
        <v>-5643</v>
      </c>
      <c r="S5" s="4">
        <f>'YTD P&amp;L'!O5-'YTD P&amp;L'!N5</f>
        <v>-6008</v>
      </c>
      <c r="T5" s="11">
        <f>'QTR P&amp;L'!T2*'IS DRIVERS'!U4</f>
        <v>-5429.7691253084731</v>
      </c>
      <c r="U5" s="11">
        <f>'QTR P&amp;L'!U2*'IS DRIVERS'!V4</f>
        <v>-5735.3583767480122</v>
      </c>
      <c r="V5" s="11">
        <f>'QTR P&amp;L'!V2*'IS DRIVERS'!W4</f>
        <v>-6146.3800383877151</v>
      </c>
      <c r="W5" s="11">
        <f>'QTR P&amp;L'!W2*'IS DRIVERS'!X4</f>
        <v>-6097.5077232428475</v>
      </c>
      <c r="X5" s="11">
        <f>'QTR P&amp;L'!X2*'IS DRIVERS'!Y4</f>
        <v>-5510.6623130815533</v>
      </c>
      <c r="Y5" s="11">
        <f>'QTR P&amp;L'!Y2*'IS DRIVERS'!Z4</f>
        <v>-5820.8042606169383</v>
      </c>
      <c r="Z5" s="11">
        <f>'QTR P&amp;L'!Z2*'IS DRIVERS'!AA4</f>
        <v>-6237.9493598626441</v>
      </c>
      <c r="AA5" s="11">
        <f>'QTR P&amp;L'!AA2*'IS DRIVERS'!AB4</f>
        <v>-6188.3489405802557</v>
      </c>
      <c r="AB5" s="11">
        <f>'QTR P&amp;L'!AB2*'IS DRIVERS'!AC4</f>
        <v>-5592.7606548265758</v>
      </c>
      <c r="AC5" s="11">
        <f>'QTR P&amp;L'!AC2*'IS DRIVERS'!AD4</f>
        <v>-5907.5231249328654</v>
      </c>
      <c r="AD5" s="11">
        <f>'QTR P&amp;L'!AD2*'IS DRIVERS'!AE4</f>
        <v>-6330.8828893076316</v>
      </c>
      <c r="AE5" s="11">
        <f>'QTR P&amp;L'!AE2*'IS DRIVERS'!AF4</f>
        <v>-6280.5435185269316</v>
      </c>
      <c r="AF5" s="11">
        <f>'QTR P&amp;L'!AF2*'IS DRIVERS'!AG4</f>
        <v>-5676.0821050355817</v>
      </c>
      <c r="AG5" s="11">
        <f>'QTR P&amp;L'!AG2*'IS DRIVERS'!AH4</f>
        <v>-5995.5339346727487</v>
      </c>
      <c r="AH5" s="11">
        <f>'QTR P&amp;L'!AH2*'IS DRIVERS'!AI4</f>
        <v>-6425.2009508154588</v>
      </c>
      <c r="AI5" s="11">
        <f>'QTR P&amp;L'!AI2*'IS DRIVERS'!AJ4</f>
        <v>-6374.1116195707009</v>
      </c>
      <c r="AJ5" s="11">
        <f>'QTR P&amp;L'!AJ2*'IS DRIVERS'!AK4</f>
        <v>-5760.6448856882453</v>
      </c>
      <c r="AK5" s="11">
        <f>'QTR P&amp;L'!AK2*'IS DRIVERS'!AL4</f>
        <v>-6084.8559373554699</v>
      </c>
      <c r="AL5" s="11">
        <f>'QTR P&amp;L'!AL2*'IS DRIVERS'!AM4</f>
        <v>-6520.9241712690664</v>
      </c>
      <c r="AM5" s="11">
        <f>'QTR P&amp;L'!AM2*'IS DRIVERS'!AN4</f>
        <v>-6469.073706581944</v>
      </c>
      <c r="AN5" s="11">
        <f>'QTR P&amp;L'!AN2*'IS DRIVERS'!AO4</f>
        <v>-5846.4674902369316</v>
      </c>
      <c r="AO5" s="11">
        <f>'QTR P&amp;L'!AO2*'IS DRIVERS'!AP4</f>
        <v>-6175.508667251177</v>
      </c>
    </row>
    <row r="6" spans="1:41" x14ac:dyDescent="0.25">
      <c r="A6" s="3" t="s">
        <v>20</v>
      </c>
      <c r="B6" s="4">
        <f>'YTD P&amp;L'!B6</f>
        <v>0</v>
      </c>
      <c r="C6" s="4">
        <f>'YTD P&amp;L'!C6-'YTD P&amp;L'!B6</f>
        <v>0</v>
      </c>
      <c r="D6" s="4">
        <f>'YTD P&amp;L'!D6-'YTD P&amp;L'!C6</f>
        <v>0</v>
      </c>
      <c r="E6" s="4">
        <f>'ANNL P&amp;L'!C6-'YTD P&amp;L'!D6</f>
        <v>0</v>
      </c>
      <c r="F6" s="4">
        <f>'YTD P&amp;L'!E6</f>
        <v>0</v>
      </c>
      <c r="G6" s="4">
        <f>'YTD P&amp;L'!F6-'YTD P&amp;L'!E6</f>
        <v>0</v>
      </c>
      <c r="H6" s="4">
        <f>'YTD P&amp;L'!G6-'YTD P&amp;L'!F6</f>
        <v>0</v>
      </c>
      <c r="I6" s="4">
        <f>'ANNL P&amp;L'!D6-'YTD P&amp;L'!G6</f>
        <v>0</v>
      </c>
      <c r="J6" s="4">
        <f>'YTD P&amp;L'!H6</f>
        <v>0</v>
      </c>
      <c r="K6" s="4">
        <f>'YTD P&amp;L'!I6-'YTD P&amp;L'!H6</f>
        <v>-1341</v>
      </c>
      <c r="L6" s="4">
        <f>'YTD P&amp;L'!J6-'YTD P&amp;L'!I6</f>
        <v>0</v>
      </c>
      <c r="M6" s="4">
        <f>'ANNL P&amp;L'!E6-'YTD P&amp;L'!J6</f>
        <v>0</v>
      </c>
      <c r="N6" s="4">
        <f>'YTD P&amp;L'!K6</f>
        <v>0</v>
      </c>
      <c r="O6" s="4">
        <f>'YTD P&amp;L'!L6-'YTD P&amp;L'!K6</f>
        <v>0</v>
      </c>
      <c r="P6" s="4">
        <f>'YTD P&amp;L'!M6-'YTD P&amp;L'!L6</f>
        <v>0</v>
      </c>
      <c r="Q6" s="4">
        <f>'ANNL P&amp;L'!F6-'YTD P&amp;L'!M6</f>
        <v>0</v>
      </c>
      <c r="R6" s="4">
        <f>'YTD P&amp;L'!N6</f>
        <v>0</v>
      </c>
      <c r="S6" s="4">
        <f>'YTD P&amp;L'!O6-'YTD P&amp;L'!N6</f>
        <v>0</v>
      </c>
      <c r="T6" s="11">
        <f>'QTR P&amp;L'!T2*'IS DRIVERS'!U5</f>
        <v>0</v>
      </c>
      <c r="U6" s="11">
        <f>'QTR P&amp;L'!U2*'IS DRIVERS'!V5</f>
        <v>0</v>
      </c>
      <c r="V6" s="11">
        <f>'QTR P&amp;L'!V2*'IS DRIVERS'!W5</f>
        <v>0</v>
      </c>
      <c r="W6" s="11">
        <f>'QTR P&amp;L'!W2*'IS DRIVERS'!X5</f>
        <v>0</v>
      </c>
      <c r="X6" s="11">
        <f>'QTR P&amp;L'!X2*'IS DRIVERS'!Y5</f>
        <v>0</v>
      </c>
      <c r="Y6" s="11">
        <f>'QTR P&amp;L'!Y2*'IS DRIVERS'!Z5</f>
        <v>0</v>
      </c>
      <c r="Z6" s="11">
        <f>'QTR P&amp;L'!Z2*'IS DRIVERS'!AA5</f>
        <v>0</v>
      </c>
      <c r="AA6" s="11">
        <f>'QTR P&amp;L'!AA2*'IS DRIVERS'!AB5</f>
        <v>0</v>
      </c>
      <c r="AB6" s="11">
        <f>'QTR P&amp;L'!AB2*'IS DRIVERS'!AC5</f>
        <v>0</v>
      </c>
      <c r="AC6" s="11">
        <f>'QTR P&amp;L'!AC2*'IS DRIVERS'!AD5</f>
        <v>0</v>
      </c>
      <c r="AD6" s="11">
        <f>'QTR P&amp;L'!AD2*'IS DRIVERS'!AE5</f>
        <v>0</v>
      </c>
      <c r="AE6" s="11">
        <f>'QTR P&amp;L'!AE2*'IS DRIVERS'!AF5</f>
        <v>0</v>
      </c>
      <c r="AF6" s="11">
        <f>'QTR P&amp;L'!AF2*'IS DRIVERS'!AG5</f>
        <v>0</v>
      </c>
      <c r="AG6" s="11">
        <f>'QTR P&amp;L'!AG2*'IS DRIVERS'!AH5</f>
        <v>0</v>
      </c>
      <c r="AH6" s="11">
        <f>'QTR P&amp;L'!AH2*'IS DRIVERS'!AI5</f>
        <v>0</v>
      </c>
      <c r="AI6" s="11">
        <f>'QTR P&amp;L'!AI2*'IS DRIVERS'!AJ5</f>
        <v>0</v>
      </c>
      <c r="AJ6" s="11">
        <f>'QTR P&amp;L'!AJ2*'IS DRIVERS'!AK5</f>
        <v>0</v>
      </c>
      <c r="AK6" s="11">
        <f>'QTR P&amp;L'!AK2*'IS DRIVERS'!AL5</f>
        <v>0</v>
      </c>
      <c r="AL6" s="11">
        <f>'QTR P&amp;L'!AL2*'IS DRIVERS'!AM5</f>
        <v>0</v>
      </c>
      <c r="AM6" s="11">
        <f>'QTR P&amp;L'!AM2*'IS DRIVERS'!AN5</f>
        <v>0</v>
      </c>
      <c r="AN6" s="11">
        <f>'QTR P&amp;L'!AN2*'IS DRIVERS'!AO5</f>
        <v>0</v>
      </c>
      <c r="AO6" s="11">
        <f>'QTR P&amp;L'!AO2*'IS DRIVERS'!AP5</f>
        <v>0</v>
      </c>
    </row>
    <row r="7" spans="1:41" x14ac:dyDescent="0.25">
      <c r="A7" s="3" t="s">
        <v>21</v>
      </c>
      <c r="B7" s="6">
        <f>'YTD P&amp;L'!B7</f>
        <v>5023</v>
      </c>
      <c r="C7" s="6">
        <f>'YTD P&amp;L'!C7-'YTD P&amp;L'!B7</f>
        <v>5168</v>
      </c>
      <c r="D7" s="6">
        <f>'YTD P&amp;L'!D7-'YTD P&amp;L'!C7</f>
        <v>4024</v>
      </c>
      <c r="E7" s="6">
        <f>'ANNL P&amp;L'!C7-'YTD P&amp;L'!D7</f>
        <v>3598</v>
      </c>
      <c r="F7" s="6">
        <f>'YTD P&amp;L'!E7</f>
        <v>4939</v>
      </c>
      <c r="G7" s="6">
        <f>'YTD P&amp;L'!F7-'YTD P&amp;L'!E7</f>
        <v>4785</v>
      </c>
      <c r="H7" s="6">
        <f>'YTD P&amp;L'!G7-'YTD P&amp;L'!F7</f>
        <v>4248</v>
      </c>
      <c r="I7" s="6">
        <f>'ANNL P&amp;L'!D7-'YTD P&amp;L'!G7</f>
        <v>4162</v>
      </c>
      <c r="J7" s="6">
        <f>'YTD P&amp;L'!H7</f>
        <v>5766</v>
      </c>
      <c r="K7" s="6">
        <f>'YTD P&amp;L'!I7-'YTD P&amp;L'!H7</f>
        <v>4433</v>
      </c>
      <c r="L7" s="6">
        <f>'YTD P&amp;L'!J7-'YTD P&amp;L'!I7</f>
        <v>4461</v>
      </c>
      <c r="M7" s="6">
        <f>'ANNL P&amp;L'!E7-'YTD P&amp;L'!J7</f>
        <v>3885</v>
      </c>
      <c r="N7" s="6">
        <f>'YTD P&amp;L'!K7</f>
        <v>5797</v>
      </c>
      <c r="O7" s="6">
        <f>'YTD P&amp;L'!L7-'YTD P&amp;L'!K7</f>
        <v>5741</v>
      </c>
      <c r="P7" s="6">
        <f>'YTD P&amp;L'!M7-'YTD P&amp;L'!L7</f>
        <v>4559</v>
      </c>
      <c r="Q7" s="6">
        <f>'ANNL P&amp;L'!F7-'YTD P&amp;L'!M7</f>
        <v>4354</v>
      </c>
      <c r="R7" s="6">
        <f>'YTD P&amp;L'!N7</f>
        <v>5856</v>
      </c>
      <c r="S7" s="6">
        <f>'YTD P&amp;L'!O7-'YTD P&amp;L'!N7</f>
        <v>5366</v>
      </c>
      <c r="T7" s="7">
        <f t="shared" ref="T7:AO7" si="1">T4+SUM(T5:T6)</f>
        <v>4849.5574444749118</v>
      </c>
      <c r="U7" s="7">
        <f t="shared" si="1"/>
        <v>5122.4921853578289</v>
      </c>
      <c r="V7" s="7">
        <f t="shared" si="1"/>
        <v>5489.5930902111322</v>
      </c>
      <c r="W7" s="7">
        <f t="shared" si="1"/>
        <v>5445.9431496206935</v>
      </c>
      <c r="X7" s="7">
        <f t="shared" si="1"/>
        <v>4921.8065865505359</v>
      </c>
      <c r="Y7" s="7">
        <f t="shared" si="1"/>
        <v>5198.8075337001483</v>
      </c>
      <c r="Z7" s="7">
        <f t="shared" si="1"/>
        <v>5571.3775407827825</v>
      </c>
      <c r="AA7" s="7">
        <f t="shared" si="1"/>
        <v>5527.0772994596628</v>
      </c>
      <c r="AB7" s="7">
        <f t="shared" si="1"/>
        <v>4995.1321028294624</v>
      </c>
      <c r="AC7" s="7">
        <f t="shared" si="1"/>
        <v>5276.2598349516911</v>
      </c>
      <c r="AD7" s="7">
        <f t="shared" si="1"/>
        <v>5654.3804234395393</v>
      </c>
      <c r="AE7" s="7">
        <f t="shared" si="1"/>
        <v>5609.4201931450598</v>
      </c>
      <c r="AF7" s="7">
        <f t="shared" si="1"/>
        <v>5069.5500292311799</v>
      </c>
      <c r="AG7" s="7">
        <f t="shared" si="1"/>
        <v>5354.8660275389429</v>
      </c>
      <c r="AH7" s="7">
        <f t="shared" si="1"/>
        <v>5738.6198904919711</v>
      </c>
      <c r="AI7" s="7">
        <f t="shared" si="1"/>
        <v>5692.989838651195</v>
      </c>
      <c r="AJ7" s="7">
        <f t="shared" si="1"/>
        <v>5145.0766405797494</v>
      </c>
      <c r="AK7" s="7">
        <f t="shared" si="1"/>
        <v>5434.6433022385909</v>
      </c>
      <c r="AL7" s="7">
        <f t="shared" si="1"/>
        <v>5824.114364685388</v>
      </c>
      <c r="AM7" s="7">
        <f t="shared" si="1"/>
        <v>5777.804512236803</v>
      </c>
      <c r="AN7" s="7">
        <f t="shared" si="1"/>
        <v>5221.7284541630124</v>
      </c>
      <c r="AO7" s="7">
        <f t="shared" si="1"/>
        <v>5515.6091059370538</v>
      </c>
    </row>
    <row r="8" spans="1:41" x14ac:dyDescent="0.25">
      <c r="A8" s="3" t="s">
        <v>22</v>
      </c>
      <c r="B8" s="4">
        <f>'YTD P&amp;L'!B8</f>
        <v>-98</v>
      </c>
      <c r="C8" s="4">
        <f>'YTD P&amp;L'!C8-'YTD P&amp;L'!B8</f>
        <v>-96</v>
      </c>
      <c r="D8" s="4">
        <f>'YTD P&amp;L'!D8-'YTD P&amp;L'!C8</f>
        <v>-100</v>
      </c>
      <c r="E8" s="4">
        <f>'ANNL P&amp;L'!C8-'YTD P&amp;L'!D8</f>
        <v>-94</v>
      </c>
      <c r="F8" s="4">
        <f>'YTD P&amp;L'!E8</f>
        <v>-81</v>
      </c>
      <c r="G8" s="4">
        <f>'YTD P&amp;L'!F8-'YTD P&amp;L'!E8</f>
        <v>-105</v>
      </c>
      <c r="H8" s="4">
        <f>'YTD P&amp;L'!G8-'YTD P&amp;L'!F8</f>
        <v>-139</v>
      </c>
      <c r="I8" s="4">
        <f>'ANNL P&amp;L'!D8-'YTD P&amp;L'!G8</f>
        <v>-124</v>
      </c>
      <c r="J8" s="4">
        <f>'YTD P&amp;L'!H8</f>
        <v>-97</v>
      </c>
      <c r="K8" s="4">
        <f>'YTD P&amp;L'!I8-'YTD P&amp;L'!H8</f>
        <v>-113</v>
      </c>
      <c r="L8" s="4">
        <f>'YTD P&amp;L'!J8-'YTD P&amp;L'!I8</f>
        <v>-129</v>
      </c>
      <c r="M8" s="4">
        <f>'ANNL P&amp;L'!E8-'YTD P&amp;L'!J8</f>
        <v>-113</v>
      </c>
      <c r="N8" s="4">
        <f>'YTD P&amp;L'!K8</f>
        <v>-103</v>
      </c>
      <c r="O8" s="4">
        <f>'YTD P&amp;L'!L8-'YTD P&amp;L'!K8</f>
        <v>-121</v>
      </c>
      <c r="P8" s="4">
        <f>'YTD P&amp;L'!M8-'YTD P&amp;L'!L8</f>
        <v>-106</v>
      </c>
      <c r="Q8" s="4">
        <f>'ANNL P&amp;L'!F8-'YTD P&amp;L'!M8</f>
        <v>-108</v>
      </c>
      <c r="R8" s="4">
        <f>'YTD P&amp;L'!N8</f>
        <v>-89</v>
      </c>
      <c r="S8" s="4">
        <f>'YTD P&amp;L'!O8-'YTD P&amp;L'!N8</f>
        <v>-106</v>
      </c>
      <c r="T8" s="11">
        <f>'IS DRIVERS'!U6</f>
        <v>-106</v>
      </c>
      <c r="U8" s="11">
        <f>'IS DRIVERS'!V6</f>
        <v>-106</v>
      </c>
      <c r="V8" s="11">
        <f>'IS DRIVERS'!W6</f>
        <v>-106</v>
      </c>
      <c r="W8" s="11">
        <f>'IS DRIVERS'!X6</f>
        <v>-106</v>
      </c>
      <c r="X8" s="11">
        <f>'IS DRIVERS'!Y6</f>
        <v>-106</v>
      </c>
      <c r="Y8" s="11">
        <f>'IS DRIVERS'!Z6</f>
        <v>-106</v>
      </c>
      <c r="Z8" s="11">
        <f>'IS DRIVERS'!AA6</f>
        <v>-106</v>
      </c>
      <c r="AA8" s="11">
        <f>'IS DRIVERS'!AB6</f>
        <v>-106</v>
      </c>
      <c r="AB8" s="11">
        <f>'IS DRIVERS'!AC6</f>
        <v>-106</v>
      </c>
      <c r="AC8" s="11">
        <f>'IS DRIVERS'!AD6</f>
        <v>-106</v>
      </c>
      <c r="AD8" s="11">
        <f>'IS DRIVERS'!AE6</f>
        <v>-106</v>
      </c>
      <c r="AE8" s="11">
        <f>'IS DRIVERS'!AF6</f>
        <v>-106</v>
      </c>
      <c r="AF8" s="11">
        <f>'IS DRIVERS'!AG6</f>
        <v>-106</v>
      </c>
      <c r="AG8" s="11">
        <f>'IS DRIVERS'!AH6</f>
        <v>-106</v>
      </c>
      <c r="AH8" s="11">
        <f>'IS DRIVERS'!AI6</f>
        <v>-106</v>
      </c>
      <c r="AI8" s="11">
        <f>'IS DRIVERS'!AJ6</f>
        <v>-106</v>
      </c>
      <c r="AJ8" s="11">
        <f>'IS DRIVERS'!AK6</f>
        <v>-106</v>
      </c>
      <c r="AK8" s="11">
        <f>'IS DRIVERS'!AL6</f>
        <v>-106</v>
      </c>
      <c r="AL8" s="11">
        <f>'IS DRIVERS'!AM6</f>
        <v>-106</v>
      </c>
      <c r="AM8" s="11">
        <f>'IS DRIVERS'!AN6</f>
        <v>-106</v>
      </c>
      <c r="AN8" s="11">
        <f>'IS DRIVERS'!AO6</f>
        <v>-106</v>
      </c>
      <c r="AO8" s="11">
        <f>'IS DRIVERS'!AP6</f>
        <v>-106</v>
      </c>
    </row>
    <row r="9" spans="1:41" x14ac:dyDescent="0.25">
      <c r="A9" s="3" t="s">
        <v>23</v>
      </c>
      <c r="B9" s="4">
        <f>'YTD P&amp;L'!B9</f>
        <v>110</v>
      </c>
      <c r="C9" s="4">
        <f>'YTD P&amp;L'!C9-'YTD P&amp;L'!B9</f>
        <v>167</v>
      </c>
      <c r="D9" s="4">
        <f>'YTD P&amp;L'!D9-'YTD P&amp;L'!C9</f>
        <v>147</v>
      </c>
      <c r="E9" s="4">
        <f>'ANNL P&amp;L'!C9-'YTD P&amp;L'!D9</f>
        <v>146</v>
      </c>
      <c r="F9" s="4">
        <f>'YTD P&amp;L'!E9</f>
        <v>139</v>
      </c>
      <c r="G9" s="4">
        <f>'YTD P&amp;L'!F9-'YTD P&amp;L'!E9</f>
        <v>155</v>
      </c>
      <c r="H9" s="4">
        <f>'YTD P&amp;L'!G9-'YTD P&amp;L'!F9</f>
        <v>179</v>
      </c>
      <c r="I9" s="4">
        <f>'ANNL P&amp;L'!D9-'YTD P&amp;L'!G9</f>
        <v>195</v>
      </c>
      <c r="J9" s="4">
        <f>'YTD P&amp;L'!H9</f>
        <v>132</v>
      </c>
      <c r="K9" s="4">
        <f>'YTD P&amp;L'!I9-'YTD P&amp;L'!H9</f>
        <v>177</v>
      </c>
      <c r="L9" s="4">
        <f>'YTD P&amp;L'!J9-'YTD P&amp;L'!I9</f>
        <v>261</v>
      </c>
      <c r="M9" s="4">
        <f>'ANNL P&amp;L'!E9-'YTD P&amp;L'!J9</f>
        <v>98</v>
      </c>
      <c r="N9" s="4">
        <f>'YTD P&amp;L'!K9</f>
        <v>-554</v>
      </c>
      <c r="O9" s="4">
        <f>'YTD P&amp;L'!L9-'YTD P&amp;L'!K9</f>
        <v>224</v>
      </c>
      <c r="P9" s="4">
        <f>'YTD P&amp;L'!M9-'YTD P&amp;L'!L9</f>
        <v>210</v>
      </c>
      <c r="Q9" s="4">
        <f>'ANNL P&amp;L'!F9-'YTD P&amp;L'!M9</f>
        <v>274</v>
      </c>
      <c r="R9" s="4">
        <f>'YTD P&amp;L'!N9</f>
        <v>268</v>
      </c>
      <c r="S9" s="4">
        <f>'YTD P&amp;L'!O9-'YTD P&amp;L'!N9</f>
        <v>159</v>
      </c>
      <c r="T9" s="11">
        <f>'IS DRIVERS'!U7</f>
        <v>159</v>
      </c>
      <c r="U9" s="11">
        <f>'IS DRIVERS'!V7</f>
        <v>159</v>
      </c>
      <c r="V9" s="11">
        <f>'IS DRIVERS'!W7</f>
        <v>159</v>
      </c>
      <c r="W9" s="11">
        <f>'IS DRIVERS'!X7</f>
        <v>159</v>
      </c>
      <c r="X9" s="11">
        <f>'IS DRIVERS'!Y7</f>
        <v>159</v>
      </c>
      <c r="Y9" s="11">
        <f>'IS DRIVERS'!Z7</f>
        <v>159</v>
      </c>
      <c r="Z9" s="11">
        <f>'IS DRIVERS'!AA7</f>
        <v>159</v>
      </c>
      <c r="AA9" s="11">
        <f>'IS DRIVERS'!AB7</f>
        <v>159</v>
      </c>
      <c r="AB9" s="11">
        <f>'IS DRIVERS'!AC7</f>
        <v>159</v>
      </c>
      <c r="AC9" s="11">
        <f>'IS DRIVERS'!AD7</f>
        <v>159</v>
      </c>
      <c r="AD9" s="11">
        <f>'IS DRIVERS'!AE7</f>
        <v>159</v>
      </c>
      <c r="AE9" s="11">
        <f>'IS DRIVERS'!AF7</f>
        <v>159</v>
      </c>
      <c r="AF9" s="11">
        <f>'IS DRIVERS'!AG7</f>
        <v>159</v>
      </c>
      <c r="AG9" s="11">
        <f>'IS DRIVERS'!AH7</f>
        <v>159</v>
      </c>
      <c r="AH9" s="11">
        <f>'IS DRIVERS'!AI7</f>
        <v>159</v>
      </c>
      <c r="AI9" s="11">
        <f>'IS DRIVERS'!AJ7</f>
        <v>159</v>
      </c>
      <c r="AJ9" s="11">
        <f>'IS DRIVERS'!AK7</f>
        <v>159</v>
      </c>
      <c r="AK9" s="11">
        <f>'IS DRIVERS'!AL7</f>
        <v>159</v>
      </c>
      <c r="AL9" s="11">
        <f>'IS DRIVERS'!AM7</f>
        <v>159</v>
      </c>
      <c r="AM9" s="11">
        <f>'IS DRIVERS'!AN7</f>
        <v>159</v>
      </c>
      <c r="AN9" s="11">
        <f>'IS DRIVERS'!AO7</f>
        <v>159</v>
      </c>
      <c r="AO9" s="11">
        <f>'IS DRIVERS'!AP7</f>
        <v>159</v>
      </c>
    </row>
    <row r="10" spans="1:41" x14ac:dyDescent="0.25">
      <c r="A10" s="3" t="s">
        <v>24</v>
      </c>
      <c r="B10" s="6">
        <f>'YTD P&amp;L'!B10</f>
        <v>5035</v>
      </c>
      <c r="C10" s="6">
        <f>'YTD P&amp;L'!C10-'YTD P&amp;L'!B10</f>
        <v>5239</v>
      </c>
      <c r="D10" s="6">
        <f>'YTD P&amp;L'!D10-'YTD P&amp;L'!C10</f>
        <v>4071</v>
      </c>
      <c r="E10" s="6">
        <f>'ANNL P&amp;L'!C10-'YTD P&amp;L'!D10</f>
        <v>3650</v>
      </c>
      <c r="F10" s="6">
        <f>'YTD P&amp;L'!E10</f>
        <v>4997</v>
      </c>
      <c r="G10" s="6">
        <f>'YTD P&amp;L'!F10-'YTD P&amp;L'!E10</f>
        <v>4835</v>
      </c>
      <c r="H10" s="6">
        <f>'YTD P&amp;L'!G10-'YTD P&amp;L'!F10</f>
        <v>4288</v>
      </c>
      <c r="I10" s="6">
        <f>'ANNL P&amp;L'!D10-'YTD P&amp;L'!G10</f>
        <v>4233</v>
      </c>
      <c r="J10" s="6">
        <f>'YTD P&amp;L'!H10</f>
        <v>5801</v>
      </c>
      <c r="K10" s="6">
        <f>'YTD P&amp;L'!I10-'YTD P&amp;L'!H10</f>
        <v>4497</v>
      </c>
      <c r="L10" s="6">
        <f>'YTD P&amp;L'!J10-'YTD P&amp;L'!I10</f>
        <v>4593</v>
      </c>
      <c r="M10" s="6">
        <f>'ANNL P&amp;L'!E10-'YTD P&amp;L'!J10</f>
        <v>3870</v>
      </c>
      <c r="N10" s="6">
        <f>'YTD P&amp;L'!K10</f>
        <v>5140</v>
      </c>
      <c r="O10" s="6">
        <f>'YTD P&amp;L'!L10-'YTD P&amp;L'!K10</f>
        <v>5844</v>
      </c>
      <c r="P10" s="6">
        <f>'YTD P&amp;L'!M10-'YTD P&amp;L'!L10</f>
        <v>4663</v>
      </c>
      <c r="Q10" s="6">
        <f>'ANNL P&amp;L'!F10-'YTD P&amp;L'!M10</f>
        <v>4520</v>
      </c>
      <c r="R10" s="6">
        <f>'YTD P&amp;L'!N10</f>
        <v>6035</v>
      </c>
      <c r="S10" s="6">
        <f>'YTD P&amp;L'!O10-'YTD P&amp;L'!N10</f>
        <v>5419</v>
      </c>
      <c r="T10" s="7">
        <f t="shared" ref="T10:AO10" si="2">T7+SUM(T8:T9)</f>
        <v>4902.5574444749118</v>
      </c>
      <c r="U10" s="7">
        <f t="shared" si="2"/>
        <v>5175.4921853578289</v>
      </c>
      <c r="V10" s="7">
        <f t="shared" si="2"/>
        <v>5542.5930902111322</v>
      </c>
      <c r="W10" s="7">
        <f t="shared" si="2"/>
        <v>5498.9431496206935</v>
      </c>
      <c r="X10" s="7">
        <f t="shared" si="2"/>
        <v>4974.8065865505359</v>
      </c>
      <c r="Y10" s="7">
        <f t="shared" si="2"/>
        <v>5251.8075337001483</v>
      </c>
      <c r="Z10" s="7">
        <f t="shared" si="2"/>
        <v>5624.3775407827825</v>
      </c>
      <c r="AA10" s="7">
        <f t="shared" si="2"/>
        <v>5580.0772994596628</v>
      </c>
      <c r="AB10" s="7">
        <f t="shared" si="2"/>
        <v>5048.1321028294624</v>
      </c>
      <c r="AC10" s="7">
        <f t="shared" si="2"/>
        <v>5329.2598349516911</v>
      </c>
      <c r="AD10" s="7">
        <f t="shared" si="2"/>
        <v>5707.3804234395393</v>
      </c>
      <c r="AE10" s="7">
        <f t="shared" si="2"/>
        <v>5662.4201931450598</v>
      </c>
      <c r="AF10" s="7">
        <f t="shared" si="2"/>
        <v>5122.5500292311799</v>
      </c>
      <c r="AG10" s="7">
        <f t="shared" si="2"/>
        <v>5407.8660275389429</v>
      </c>
      <c r="AH10" s="7">
        <f t="shared" si="2"/>
        <v>5791.6198904919711</v>
      </c>
      <c r="AI10" s="7">
        <f t="shared" si="2"/>
        <v>5745.989838651195</v>
      </c>
      <c r="AJ10" s="7">
        <f t="shared" si="2"/>
        <v>5198.0766405797494</v>
      </c>
      <c r="AK10" s="7">
        <f t="shared" si="2"/>
        <v>5487.6433022385909</v>
      </c>
      <c r="AL10" s="7">
        <f t="shared" si="2"/>
        <v>5877.114364685388</v>
      </c>
      <c r="AM10" s="7">
        <f t="shared" si="2"/>
        <v>5830.804512236803</v>
      </c>
      <c r="AN10" s="7">
        <f t="shared" si="2"/>
        <v>5274.7284541630124</v>
      </c>
      <c r="AO10" s="7">
        <f t="shared" si="2"/>
        <v>5568.6091059370538</v>
      </c>
    </row>
    <row r="11" spans="1:41" x14ac:dyDescent="0.25">
      <c r="A11" s="3" t="s">
        <v>25</v>
      </c>
      <c r="B11" s="4">
        <f>'YTD P&amp;L'!B11</f>
        <v>-909</v>
      </c>
      <c r="C11" s="4">
        <f>'YTD P&amp;L'!C11-'YTD P&amp;L'!B11</f>
        <v>-997</v>
      </c>
      <c r="D11" s="4">
        <f>'YTD P&amp;L'!D11-'YTD P&amp;L'!C11</f>
        <v>-704</v>
      </c>
      <c r="E11" s="4">
        <f>'ANNL P&amp;L'!C11-'YTD P&amp;L'!D11</f>
        <v>-592</v>
      </c>
      <c r="F11" s="4">
        <f>'YTD P&amp;L'!E11</f>
        <v>-1034</v>
      </c>
      <c r="G11" s="4">
        <f>'YTD P&amp;L'!F11-'YTD P&amp;L'!E11</f>
        <v>-876</v>
      </c>
      <c r="H11" s="4">
        <f>'YTD P&amp;L'!G11-'YTD P&amp;L'!F11</f>
        <v>-864</v>
      </c>
      <c r="I11" s="4">
        <f>'ANNL P&amp;L'!D11-'YTD P&amp;L'!G11</f>
        <v>-841</v>
      </c>
      <c r="J11" s="4">
        <f>'YTD P&amp;L'!H11</f>
        <v>-1246</v>
      </c>
      <c r="K11" s="4">
        <f>'YTD P&amp;L'!I11-'YTD P&amp;L'!H11</f>
        <v>-1004</v>
      </c>
      <c r="L11" s="4">
        <f>'YTD P&amp;L'!J11-'YTD P&amp;L'!I11</f>
        <v>-811</v>
      </c>
      <c r="M11" s="4">
        <f>'ANNL P&amp;L'!E11-'YTD P&amp;L'!J11</f>
        <v>-726</v>
      </c>
      <c r="N11" s="4">
        <f>'YTD P&amp;L'!K11</f>
        <v>-1152</v>
      </c>
      <c r="O11" s="4">
        <f>'YTD P&amp;L'!L11-'YTD P&amp;L'!K11</f>
        <v>-1187</v>
      </c>
      <c r="P11" s="4">
        <f>'YTD P&amp;L'!M11-'YTD P&amp;L'!L11</f>
        <v>-868</v>
      </c>
      <c r="Q11" s="4">
        <f>'ANNL P&amp;L'!F11-'YTD P&amp;L'!M11</f>
        <v>-895</v>
      </c>
      <c r="R11" s="4">
        <f>'YTD P&amp;L'!N11</f>
        <v>-1253</v>
      </c>
      <c r="S11" s="4">
        <f>'YTD P&amp;L'!O11-'YTD P&amp;L'!N11</f>
        <v>-1090</v>
      </c>
      <c r="T11" s="11">
        <f>'QTR P&amp;L'!T10*'IS DRIVERS'!U8</f>
        <v>-986.12061533080896</v>
      </c>
      <c r="U11" s="11">
        <f>'QTR P&amp;L'!U10*'IS DRIVERS'!V8</f>
        <v>-1041.0198342941565</v>
      </c>
      <c r="V11" s="11">
        <f>'QTR P&amp;L'!V10*'IS DRIVERS'!W8</f>
        <v>-1114.8600236815159</v>
      </c>
      <c r="W11" s="11">
        <f>'QTR P&amp;L'!W10*'IS DRIVERS'!X8</f>
        <v>-1106.0800946828854</v>
      </c>
      <c r="X11" s="11">
        <f>'QTR P&amp;L'!X10*'IS DRIVERS'!Y8</f>
        <v>-1000.6531056172881</v>
      </c>
      <c r="Y11" s="11">
        <f>'QTR P&amp;L'!Y10*'IS DRIVERS'!Z8</f>
        <v>-1056.3702180721834</v>
      </c>
      <c r="Z11" s="11">
        <f>'QTR P&amp;L'!Z10*'IS DRIVERS'!AA8</f>
        <v>-1131.3104852284985</v>
      </c>
      <c r="AA11" s="11">
        <f>'QTR P&amp;L'!AA10*'IS DRIVERS'!AB8</f>
        <v>-1122.399752059611</v>
      </c>
      <c r="AB11" s="11">
        <f>'QTR P&amp;L'!AB10*'IS DRIVERS'!AC8</f>
        <v>-1015.4021022484064</v>
      </c>
      <c r="AC11" s="11">
        <f>'QTR P&amp;L'!AC10*'IS DRIVERS'!AD8</f>
        <v>-1071.9492932454962</v>
      </c>
      <c r="AD11" s="11">
        <f>'QTR P&amp;L'!AD10*'IS DRIVERS'!AE8</f>
        <v>-1148.0060272281044</v>
      </c>
      <c r="AE11" s="11">
        <f>'QTR P&amp;L'!AE10*'IS DRIVERS'!AF8</f>
        <v>-1138.9625411566922</v>
      </c>
      <c r="AF11" s="11">
        <f>'QTR P&amp;L'!AF10*'IS DRIVERS'!AG8</f>
        <v>-1030.3708307551183</v>
      </c>
      <c r="AG11" s="11">
        <f>'QTR P&amp;L'!AG10*'IS DRIVERS'!AH8</f>
        <v>-1087.760466879027</v>
      </c>
      <c r="AH11" s="11">
        <f>'QTR P&amp;L'!AH10*'IS DRIVERS'!AI8</f>
        <v>-1164.9503009109151</v>
      </c>
      <c r="AI11" s="11">
        <f>'QTR P&amp;L'!AI10*'IS DRIVERS'!AJ8</f>
        <v>-1155.7720841723201</v>
      </c>
      <c r="AJ11" s="11">
        <f>'QTR P&amp;L'!AJ10*'IS DRIVERS'!AK8</f>
        <v>-1045.5625647226291</v>
      </c>
      <c r="AK11" s="11">
        <f>'QTR P&amp;L'!AK10*'IS DRIVERS'!AL8</f>
        <v>-1103.8071967964688</v>
      </c>
      <c r="AL11" s="11">
        <f>'QTR P&amp;L'!AL10*'IS DRIVERS'!AM8</f>
        <v>-1182.1470119038702</v>
      </c>
      <c r="AM11" s="11">
        <f>'QTR P&amp;L'!AM10*'IS DRIVERS'!AN8</f>
        <v>-1172.8320572685211</v>
      </c>
      <c r="AN11" s="11">
        <f>'QTR P&amp;L'!AN10*'IS DRIVERS'!AO8</f>
        <v>-1060.9806265063082</v>
      </c>
      <c r="AO11" s="11">
        <f>'QTR P&amp;L'!AO10*'IS DRIVERS'!AP8</f>
        <v>-1120.0929923364806</v>
      </c>
    </row>
    <row r="12" spans="1:41" x14ac:dyDescent="0.25">
      <c r="A12" s="3" t="s">
        <v>26</v>
      </c>
      <c r="B12" s="6">
        <f>'YTD P&amp;L'!B12</f>
        <v>4126</v>
      </c>
      <c r="C12" s="6">
        <f>'YTD P&amp;L'!C12-'YTD P&amp;L'!B12</f>
        <v>4242</v>
      </c>
      <c r="D12" s="6">
        <f>'YTD P&amp;L'!D12-'YTD P&amp;L'!C12</f>
        <v>3367</v>
      </c>
      <c r="E12" s="6">
        <f>'ANNL P&amp;L'!C12-'YTD P&amp;L'!D12</f>
        <v>3058</v>
      </c>
      <c r="F12" s="6">
        <f>'YTD P&amp;L'!E12</f>
        <v>3963</v>
      </c>
      <c r="G12" s="6">
        <f>'YTD P&amp;L'!F12-'YTD P&amp;L'!E12</f>
        <v>3959</v>
      </c>
      <c r="H12" s="6">
        <f>'YTD P&amp;L'!G12-'YTD P&amp;L'!F12</f>
        <v>3424</v>
      </c>
      <c r="I12" s="6">
        <f>'ANNL P&amp;L'!D12-'YTD P&amp;L'!G12</f>
        <v>3392</v>
      </c>
      <c r="J12" s="6">
        <f>'YTD P&amp;L'!H12</f>
        <v>4555</v>
      </c>
      <c r="K12" s="6">
        <f>'YTD P&amp;L'!I12-'YTD P&amp;L'!H12</f>
        <v>3493</v>
      </c>
      <c r="L12" s="6">
        <f>'YTD P&amp;L'!J12-'YTD P&amp;L'!I12</f>
        <v>3782</v>
      </c>
      <c r="M12" s="6">
        <f>'ANNL P&amp;L'!E12-'YTD P&amp;L'!J12</f>
        <v>3144</v>
      </c>
      <c r="N12" s="6">
        <f>'YTD P&amp;L'!K12</f>
        <v>3988</v>
      </c>
      <c r="O12" s="6">
        <f>'YTD P&amp;L'!L12-'YTD P&amp;L'!K12</f>
        <v>4657</v>
      </c>
      <c r="P12" s="6">
        <f>'YTD P&amp;L'!M12-'YTD P&amp;L'!L12</f>
        <v>3795</v>
      </c>
      <c r="Q12" s="6">
        <f>'ANNL P&amp;L'!F12-'YTD P&amp;L'!M12</f>
        <v>3625</v>
      </c>
      <c r="R12" s="6">
        <f>'YTD P&amp;L'!N12</f>
        <v>4782</v>
      </c>
      <c r="S12" s="6">
        <f>'YTD P&amp;L'!O12-'YTD P&amp;L'!N12</f>
        <v>4329</v>
      </c>
      <c r="T12" s="7">
        <f t="shared" ref="T12:AO12" si="3">T10+T11</f>
        <v>3916.4368291441028</v>
      </c>
      <c r="U12" s="7">
        <f t="shared" si="3"/>
        <v>4134.4723510636722</v>
      </c>
      <c r="V12" s="7">
        <f t="shared" si="3"/>
        <v>4427.7330665296158</v>
      </c>
      <c r="W12" s="7">
        <f t="shared" si="3"/>
        <v>4392.8630549378086</v>
      </c>
      <c r="X12" s="7">
        <f t="shared" si="3"/>
        <v>3974.1534809332479</v>
      </c>
      <c r="Y12" s="7">
        <f t="shared" si="3"/>
        <v>4195.4373156279653</v>
      </c>
      <c r="Z12" s="7">
        <f t="shared" si="3"/>
        <v>4493.0670555542838</v>
      </c>
      <c r="AA12" s="7">
        <f t="shared" si="3"/>
        <v>4457.6775474000515</v>
      </c>
      <c r="AB12" s="7">
        <f t="shared" si="3"/>
        <v>4032.7300005810557</v>
      </c>
      <c r="AC12" s="7">
        <f t="shared" si="3"/>
        <v>4257.3105417061952</v>
      </c>
      <c r="AD12" s="7">
        <f t="shared" si="3"/>
        <v>4559.3743962114349</v>
      </c>
      <c r="AE12" s="7">
        <f t="shared" si="3"/>
        <v>4523.4576519883676</v>
      </c>
      <c r="AF12" s="7">
        <f t="shared" si="3"/>
        <v>4092.1791984760616</v>
      </c>
      <c r="AG12" s="7">
        <f t="shared" si="3"/>
        <v>4320.1055606599157</v>
      </c>
      <c r="AH12" s="7">
        <f t="shared" si="3"/>
        <v>4626.6695895810562</v>
      </c>
      <c r="AI12" s="7">
        <f t="shared" si="3"/>
        <v>4590.2177544788747</v>
      </c>
      <c r="AJ12" s="7">
        <f t="shared" si="3"/>
        <v>4152.5140758571206</v>
      </c>
      <c r="AK12" s="7">
        <f t="shared" si="3"/>
        <v>4383.8361054421221</v>
      </c>
      <c r="AL12" s="7">
        <f t="shared" si="3"/>
        <v>4694.9673527815175</v>
      </c>
      <c r="AM12" s="7">
        <f t="shared" si="3"/>
        <v>4657.9724549682815</v>
      </c>
      <c r="AN12" s="7">
        <f t="shared" si="3"/>
        <v>4213.7478276567044</v>
      </c>
      <c r="AO12" s="7">
        <f t="shared" si="3"/>
        <v>4448.5161136005736</v>
      </c>
    </row>
    <row r="13" spans="1:41" x14ac:dyDescent="0.25">
      <c r="A13" s="3" t="s">
        <v>27</v>
      </c>
      <c r="B13" s="4">
        <f>'YTD P&amp;L'!B13</f>
        <v>14</v>
      </c>
      <c r="C13" s="4">
        <f>'YTD P&amp;L'!C13-'YTD P&amp;L'!B13</f>
        <v>19</v>
      </c>
      <c r="D13" s="4">
        <f>'YTD P&amp;L'!D13-'YTD P&amp;L'!C13</f>
        <v>12</v>
      </c>
      <c r="E13" s="4">
        <f>'ANNL P&amp;L'!C13-'YTD P&amp;L'!D13</f>
        <v>6</v>
      </c>
      <c r="F13" s="4">
        <f>'YTD P&amp;L'!E13</f>
        <v>24</v>
      </c>
      <c r="G13" s="4">
        <f>'YTD P&amp;L'!F13-'YTD P&amp;L'!E13</f>
        <v>26</v>
      </c>
      <c r="H13" s="4">
        <f>'YTD P&amp;L'!G13-'YTD P&amp;L'!F13</f>
        <v>27</v>
      </c>
      <c r="I13" s="4">
        <f>'ANNL P&amp;L'!D13-'YTD P&amp;L'!G13</f>
        <v>8</v>
      </c>
      <c r="J13" s="4">
        <f>'YTD P&amp;L'!H13</f>
        <v>35</v>
      </c>
      <c r="K13" s="4">
        <f>'YTD P&amp;L'!I13-'YTD P&amp;L'!H13</f>
        <v>25</v>
      </c>
      <c r="L13" s="4">
        <f>'YTD P&amp;L'!J13-'YTD P&amp;L'!I13</f>
        <v>28</v>
      </c>
      <c r="M13" s="4">
        <f>'ANNL P&amp;L'!E13-'YTD P&amp;L'!J13</f>
        <v>7</v>
      </c>
      <c r="N13" s="4">
        <f>'YTD P&amp;L'!K13</f>
        <v>28</v>
      </c>
      <c r="O13" s="4">
        <f>'YTD P&amp;L'!L13-'YTD P&amp;L'!K13</f>
        <v>28</v>
      </c>
      <c r="P13" s="4">
        <f>'YTD P&amp;L'!M13-'YTD P&amp;L'!L13</f>
        <v>24</v>
      </c>
      <c r="Q13" s="4">
        <f>'ANNL P&amp;L'!F13-'YTD P&amp;L'!M13</f>
        <v>11</v>
      </c>
      <c r="R13" s="4">
        <f>'YTD P&amp;L'!N13</f>
        <v>31</v>
      </c>
      <c r="S13" s="4">
        <f>'YTD P&amp;L'!O13-'YTD P&amp;L'!N13</f>
        <v>11</v>
      </c>
      <c r="T13" s="11">
        <f>'IS DRIVERS'!U9</f>
        <v>11</v>
      </c>
      <c r="U13" s="11">
        <f>'IS DRIVERS'!V9</f>
        <v>11</v>
      </c>
      <c r="V13" s="11">
        <f>'IS DRIVERS'!W9</f>
        <v>11</v>
      </c>
      <c r="W13" s="11">
        <f>'IS DRIVERS'!X9</f>
        <v>11</v>
      </c>
      <c r="X13" s="11">
        <f>'IS DRIVERS'!Y9</f>
        <v>11</v>
      </c>
      <c r="Y13" s="11">
        <f>'IS DRIVERS'!Z9</f>
        <v>11</v>
      </c>
      <c r="Z13" s="11">
        <f>'IS DRIVERS'!AA9</f>
        <v>11</v>
      </c>
      <c r="AA13" s="11">
        <f>'IS DRIVERS'!AB9</f>
        <v>11</v>
      </c>
      <c r="AB13" s="11">
        <f>'IS DRIVERS'!AC9</f>
        <v>11</v>
      </c>
      <c r="AC13" s="11">
        <f>'IS DRIVERS'!AD9</f>
        <v>11</v>
      </c>
      <c r="AD13" s="11">
        <f>'IS DRIVERS'!AE9</f>
        <v>11</v>
      </c>
      <c r="AE13" s="11">
        <f>'IS DRIVERS'!AF9</f>
        <v>11</v>
      </c>
      <c r="AF13" s="11">
        <f>'IS DRIVERS'!AG9</f>
        <v>11</v>
      </c>
      <c r="AG13" s="11">
        <f>'IS DRIVERS'!AH9</f>
        <v>11</v>
      </c>
      <c r="AH13" s="11">
        <f>'IS DRIVERS'!AI9</f>
        <v>11</v>
      </c>
      <c r="AI13" s="11">
        <f>'IS DRIVERS'!AJ9</f>
        <v>11</v>
      </c>
      <c r="AJ13" s="11">
        <f>'IS DRIVERS'!AK9</f>
        <v>11</v>
      </c>
      <c r="AK13" s="11">
        <f>'IS DRIVERS'!AL9</f>
        <v>11</v>
      </c>
      <c r="AL13" s="11">
        <f>'IS DRIVERS'!AM9</f>
        <v>11</v>
      </c>
      <c r="AM13" s="11">
        <f>'IS DRIVERS'!AN9</f>
        <v>11</v>
      </c>
      <c r="AN13" s="11">
        <f>'IS DRIVERS'!AO9</f>
        <v>11</v>
      </c>
      <c r="AO13" s="11">
        <f>'IS DRIVERS'!AP9</f>
        <v>11</v>
      </c>
    </row>
    <row r="14" spans="1:41" x14ac:dyDescent="0.25">
      <c r="A14" s="3" t="s">
        <v>28</v>
      </c>
      <c r="B14" s="6">
        <f>'YTD P&amp;L'!B14</f>
        <v>4112</v>
      </c>
      <c r="C14" s="6">
        <f>'YTD P&amp;L'!C14-'YTD P&amp;L'!B14</f>
        <v>4223</v>
      </c>
      <c r="D14" s="6">
        <f>'YTD P&amp;L'!D14-'YTD P&amp;L'!C14</f>
        <v>3355</v>
      </c>
      <c r="E14" s="6">
        <f>'ANNL P&amp;L'!C14-'YTD P&amp;L'!D14</f>
        <v>3052</v>
      </c>
      <c r="F14" s="6">
        <f>'YTD P&amp;L'!E14</f>
        <v>3939</v>
      </c>
      <c r="G14" s="6">
        <f>'YTD P&amp;L'!F14-'YTD P&amp;L'!E14</f>
        <v>3933</v>
      </c>
      <c r="H14" s="6">
        <f>'YTD P&amp;L'!G14-'YTD P&amp;L'!F14</f>
        <v>3397</v>
      </c>
      <c r="I14" s="6">
        <f>'ANNL P&amp;L'!D14-'YTD P&amp;L'!G14</f>
        <v>3384</v>
      </c>
      <c r="J14" s="6">
        <f>'YTD P&amp;L'!H14</f>
        <v>4520</v>
      </c>
      <c r="K14" s="6">
        <f>'YTD P&amp;L'!I14-'YTD P&amp;L'!H14</f>
        <v>3468</v>
      </c>
      <c r="L14" s="6">
        <f>'YTD P&amp;L'!J14-'YTD P&amp;L'!I14</f>
        <v>3754</v>
      </c>
      <c r="M14" s="6">
        <f>'ANNL P&amp;L'!E14-'YTD P&amp;L'!J14</f>
        <v>3137</v>
      </c>
      <c r="N14" s="6">
        <f>'YTD P&amp;L'!K14</f>
        <v>3960</v>
      </c>
      <c r="O14" s="6">
        <f>'YTD P&amp;L'!L14-'YTD P&amp;L'!K14</f>
        <v>4629</v>
      </c>
      <c r="P14" s="6">
        <f>'YTD P&amp;L'!M14-'YTD P&amp;L'!L14</f>
        <v>3771</v>
      </c>
      <c r="Q14" s="6">
        <f>'ANNL P&amp;L'!F14-'YTD P&amp;L'!M14</f>
        <v>3614</v>
      </c>
      <c r="R14" s="6">
        <f>'YTD P&amp;L'!N14</f>
        <v>4751</v>
      </c>
      <c r="S14" s="6">
        <f>'YTD P&amp;L'!O14-'YTD P&amp;L'!N14</f>
        <v>4318</v>
      </c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</row>
    <row r="15" spans="1:41" x14ac:dyDescent="0.25">
      <c r="A15" s="3" t="s">
        <v>29</v>
      </c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spans="1:41" x14ac:dyDescent="0.25">
      <c r="A16" s="3" t="s">
        <v>30</v>
      </c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spans="1:41" x14ac:dyDescent="0.25">
      <c r="A17" s="3" t="s">
        <v>97</v>
      </c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L2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38" width="13" customWidth="1"/>
  </cols>
  <sheetData>
    <row r="1" spans="1:38" x14ac:dyDescent="0.25">
      <c r="A1" s="1"/>
      <c r="B1" s="2" t="s">
        <v>98</v>
      </c>
      <c r="C1" s="2" t="s">
        <v>86</v>
      </c>
      <c r="D1" s="2" t="s">
        <v>87</v>
      </c>
      <c r="E1" s="2" t="s">
        <v>88</v>
      </c>
      <c r="F1" s="2" t="s">
        <v>99</v>
      </c>
      <c r="G1" s="2" t="s">
        <v>89</v>
      </c>
      <c r="H1" s="2" t="s">
        <v>90</v>
      </c>
      <c r="I1" s="2" t="s">
        <v>91</v>
      </c>
      <c r="J1" s="2" t="s">
        <v>100</v>
      </c>
      <c r="K1" s="2" t="s">
        <v>92</v>
      </c>
      <c r="L1" s="2" t="s">
        <v>93</v>
      </c>
      <c r="M1" s="2" t="s">
        <v>94</v>
      </c>
      <c r="N1" s="2" t="s">
        <v>101</v>
      </c>
      <c r="O1" s="2" t="s">
        <v>95</v>
      </c>
      <c r="P1" s="2" t="s">
        <v>96</v>
      </c>
      <c r="Q1" s="2" t="s">
        <v>103</v>
      </c>
      <c r="R1" s="2" t="s">
        <v>104</v>
      </c>
      <c r="S1" s="2" t="s">
        <v>105</v>
      </c>
      <c r="T1" s="2" t="s">
        <v>106</v>
      </c>
      <c r="U1" s="2" t="s">
        <v>107</v>
      </c>
      <c r="V1" s="2" t="s">
        <v>108</v>
      </c>
      <c r="W1" s="2" t="s">
        <v>109</v>
      </c>
      <c r="X1" s="2" t="s">
        <v>110</v>
      </c>
      <c r="Y1" s="2" t="s">
        <v>111</v>
      </c>
      <c r="Z1" s="2" t="s">
        <v>112</v>
      </c>
      <c r="AA1" s="2" t="s">
        <v>113</v>
      </c>
      <c r="AB1" s="2" t="s">
        <v>114</v>
      </c>
      <c r="AC1" s="2" t="s">
        <v>115</v>
      </c>
      <c r="AD1" s="2" t="s">
        <v>116</v>
      </c>
      <c r="AE1" s="2" t="s">
        <v>117</v>
      </c>
      <c r="AF1" s="2" t="s">
        <v>118</v>
      </c>
      <c r="AG1" s="2" t="s">
        <v>119</v>
      </c>
      <c r="AH1" s="2" t="s">
        <v>120</v>
      </c>
      <c r="AI1" s="2" t="s">
        <v>121</v>
      </c>
      <c r="AJ1" s="2" t="s">
        <v>122</v>
      </c>
      <c r="AK1" s="2" t="s">
        <v>123</v>
      </c>
      <c r="AL1" s="2" t="s">
        <v>124</v>
      </c>
    </row>
    <row r="2" spans="1:38" x14ac:dyDescent="0.25">
      <c r="A2" s="3" t="s">
        <v>31</v>
      </c>
      <c r="B2" s="4">
        <f>'BALANCE SHEET'!B2</f>
        <v>7214</v>
      </c>
      <c r="C2" s="4">
        <f>'YTD BS'!C2</f>
        <v>6710</v>
      </c>
      <c r="D2" s="4">
        <f>'YTD BS'!D2</f>
        <v>6854</v>
      </c>
      <c r="E2" s="4">
        <f>'YTD BS'!E2</f>
        <v>7596</v>
      </c>
      <c r="F2" s="4">
        <f>'BALANCE SHEET'!C2</f>
        <v>8246</v>
      </c>
      <c r="G2" s="4">
        <f>'YTD BS'!G2</f>
        <v>9733</v>
      </c>
      <c r="H2" s="4">
        <f>'YTD BS'!H2</f>
        <v>7890</v>
      </c>
      <c r="I2" s="4">
        <f>'YTD BS'!I2</f>
        <v>6828</v>
      </c>
      <c r="J2" s="4">
        <f>'BALANCE SHEET'!D2</f>
        <v>9482</v>
      </c>
      <c r="K2" s="4">
        <f>'YTD BS'!K2</f>
        <v>12156</v>
      </c>
      <c r="L2" s="4">
        <f>'YTD BS'!L2</f>
        <v>10230</v>
      </c>
      <c r="M2" s="4">
        <f>'YTD BS'!M2</f>
        <v>9116</v>
      </c>
      <c r="N2" s="4">
        <f>'BALANCE SHEET'!E2</f>
        <v>9556</v>
      </c>
      <c r="O2" s="4">
        <f>'YTD BS'!O2</f>
        <v>11171</v>
      </c>
      <c r="P2" s="4">
        <f>'YTD BS'!P2</f>
        <v>10825</v>
      </c>
      <c r="Q2" s="11">
        <f>'BS DRIVERS'!Q2</f>
        <v>12605.50226606736</v>
      </c>
      <c r="R2" s="11">
        <f>'BS DRIVERS'!R2</f>
        <v>14237.061301436976</v>
      </c>
      <c r="S2" s="11">
        <f>'BS DRIVERS'!S2</f>
        <v>16023.07323630972</v>
      </c>
      <c r="T2" s="11">
        <f>'BS DRIVERS'!T2</f>
        <v>17583.42250448011</v>
      </c>
      <c r="U2" s="11">
        <f>'BS DRIVERS'!U2</f>
        <v>18743.715576910799</v>
      </c>
      <c r="V2" s="11">
        <f>'BS DRIVERS'!V2</f>
        <v>20399.336532197925</v>
      </c>
      <c r="W2" s="11">
        <f>'BS DRIVERS'!W2</f>
        <v>22211.711440147763</v>
      </c>
      <c r="X2" s="11">
        <f>'BS DRIVERS'!X2</f>
        <v>23795.061738732555</v>
      </c>
      <c r="Y2" s="11">
        <f>'BS DRIVERS'!Y2</f>
        <v>24972.395768466824</v>
      </c>
      <c r="Z2" s="11">
        <f>'BS DRIVERS'!Z2</f>
        <v>26652.437120314047</v>
      </c>
      <c r="AA2" s="11">
        <f>'BS DRIVERS'!AA2</f>
        <v>28491.567759280064</v>
      </c>
      <c r="AB2" s="11">
        <f>'BS DRIVERS'!AB2</f>
        <v>30098.261759694811</v>
      </c>
      <c r="AC2" s="11">
        <f>'BS DRIVERS'!AC2</f>
        <v>31292.890624444066</v>
      </c>
      <c r="AD2" s="11">
        <f>'BS DRIVERS'!AD2</f>
        <v>32997.716190111169</v>
      </c>
      <c r="AE2" s="11">
        <f>'BS DRIVERS'!AE2</f>
        <v>34864.001169375486</v>
      </c>
      <c r="AF2" s="11">
        <f>'BS DRIVERS'!AF2</f>
        <v>36494.386648185246</v>
      </c>
      <c r="AG2" s="11">
        <f>'BS DRIVERS'!AG2</f>
        <v>37706.568007953807</v>
      </c>
      <c r="AH2" s="11">
        <f>'BS DRIVERS'!AH2</f>
        <v>39436.54702488277</v>
      </c>
      <c r="AI2" s="11">
        <f>'BS DRIVERS'!AI2</f>
        <v>41330.390892244366</v>
      </c>
      <c r="AJ2" s="11">
        <f>'BS DRIVERS'!AJ2</f>
        <v>42984.820807220676</v>
      </c>
      <c r="AK2" s="11">
        <f>'BS DRIVERS'!AK2</f>
        <v>44214.816160654766</v>
      </c>
      <c r="AL2" s="11">
        <f>'BS DRIVERS'!AL2</f>
        <v>45970.323367220102</v>
      </c>
    </row>
    <row r="3" spans="1:38" x14ac:dyDescent="0.25">
      <c r="A3" s="3" t="s">
        <v>32</v>
      </c>
      <c r="B3" s="4">
        <f>'BALANCE SHEET'!B3</f>
        <v>5143</v>
      </c>
      <c r="C3" s="4">
        <f>'YTD BS'!C3</f>
        <v>5720</v>
      </c>
      <c r="D3" s="4">
        <f>'YTD BS'!D3</f>
        <v>5767</v>
      </c>
      <c r="E3" s="4">
        <f>'YTD BS'!E3</f>
        <v>5471</v>
      </c>
      <c r="F3" s="4">
        <f>'BALANCE SHEET'!C3</f>
        <v>5471</v>
      </c>
      <c r="G3" s="4">
        <f>'YTD BS'!G3</f>
        <v>6215</v>
      </c>
      <c r="H3" s="4">
        <f>'YTD BS'!H3</f>
        <v>6334</v>
      </c>
      <c r="I3" s="4">
        <f>'YTD BS'!I3</f>
        <v>6124</v>
      </c>
      <c r="J3" s="4">
        <f>'BALANCE SHEET'!D3</f>
        <v>6118</v>
      </c>
      <c r="K3" s="4">
        <f>'YTD BS'!K3</f>
        <v>6314</v>
      </c>
      <c r="L3" s="4">
        <f>'YTD BS'!L3</f>
        <v>6234</v>
      </c>
      <c r="M3" s="4">
        <f>'YTD BS'!M3</f>
        <v>6139</v>
      </c>
      <c r="N3" s="4">
        <f>'BALANCE SHEET'!E3</f>
        <v>6185</v>
      </c>
      <c r="O3" s="4">
        <f>'YTD BS'!O3</f>
        <v>6487</v>
      </c>
      <c r="P3" s="4">
        <f>'YTD BS'!P3</f>
        <v>6279</v>
      </c>
      <c r="Q3" s="11">
        <f>'QTR P&amp;L'!T2*'BS DRIVERS'!Q3/ASSUMPTIONS!$B$2</f>
        <v>5674.6871401151629</v>
      </c>
      <c r="R3" s="11">
        <f>'QTR P&amp;L'!U2*'BS DRIVERS'!R3/ASSUMPTIONS!$B$2</f>
        <v>5994.0604606525903</v>
      </c>
      <c r="S3" s="11">
        <f>'QTR P&amp;L'!V2*'BS DRIVERS'!S3/ASSUMPTIONS!$B$2</f>
        <v>6423.6218809980792</v>
      </c>
      <c r="T3" s="11">
        <f>'QTR P&amp;L'!W2*'BS DRIVERS'!T3/ASSUMPTIONS!$B$2</f>
        <v>6372.5451055662179</v>
      </c>
      <c r="U3" s="11">
        <f>'QTR P&amp;L'!X2*'BS DRIVERS'!U3/ASSUMPTIONS!$B$2</f>
        <v>5759.2291384552382</v>
      </c>
      <c r="V3" s="11">
        <f>'QTR P&amp;L'!Y2*'BS DRIVERS'!V3/ASSUMPTIONS!$B$2</f>
        <v>6083.3605113871099</v>
      </c>
      <c r="W3" s="11">
        <f>'QTR P&amp;L'!Z2*'BS DRIVERS'!W3/ASSUMPTIONS!$B$2</f>
        <v>6519.3215763278195</v>
      </c>
      <c r="X3" s="11">
        <f>'QTR P&amp;L'!AA2*'BS DRIVERS'!X3/ASSUMPTIONS!$B$2</f>
        <v>6467.4838545112216</v>
      </c>
      <c r="Y3" s="11">
        <f>'QTR P&amp;L'!AB2*'BS DRIVERS'!Y3/ASSUMPTIONS!$B$2</f>
        <v>5845.0306510745786</v>
      </c>
      <c r="Z3" s="11">
        <f>'QTR P&amp;L'!AC2*'BS DRIVERS'!Z3/ASSUMPTIONS!$B$2</f>
        <v>6173.9909622925197</v>
      </c>
      <c r="AA3" s="11">
        <f>'QTR P&amp;L'!AD2*'BS DRIVERS'!AA3/ASSUMPTIONS!$B$2</f>
        <v>6616.4470143080252</v>
      </c>
      <c r="AB3" s="11">
        <f>'QTR P&amp;L'!AE2*'BS DRIVERS'!AB3/ASSUMPTIONS!$B$2</f>
        <v>6563.8370094591546</v>
      </c>
      <c r="AC3" s="11">
        <f>'QTR P&amp;L'!AF2*'BS DRIVERS'!AC3/ASSUMPTIONS!$B$2</f>
        <v>5932.1104423299621</v>
      </c>
      <c r="AD3" s="11">
        <f>'QTR P&amp;L'!AG2*'BS DRIVERS'!AD3/ASSUMPTIONS!$B$2</f>
        <v>6265.9716337899781</v>
      </c>
      <c r="AE3" s="11">
        <f>'QTR P&amp;L'!AH2*'BS DRIVERS'!AE3/ASSUMPTIONS!$B$2</f>
        <v>6715.0194357806695</v>
      </c>
      <c r="AF3" s="11">
        <f>'QTR P&amp;L'!AI2*'BS DRIVERS'!AF3/ASSUMPTIONS!$B$2</f>
        <v>6661.6256423575933</v>
      </c>
      <c r="AG3" s="11">
        <f>'QTR P&amp;L'!AJ2*'BS DRIVERS'!AG3/ASSUMPTIONS!$B$2</f>
        <v>6020.487556131241</v>
      </c>
      <c r="AH3" s="11">
        <f>'QTR P&amp;L'!AK2*'BS DRIVERS'!AH3/ASSUMPTIONS!$B$2</f>
        <v>6359.3226415870486</v>
      </c>
      <c r="AI3" s="11">
        <f>'QTR P&amp;L'!AL2*'BS DRIVERS'!AI3/ASSUMPTIONS!$B$2</f>
        <v>6815.0603980356955</v>
      </c>
      <c r="AJ3" s="11">
        <f>'QTR P&amp;L'!AM2*'BS DRIVERS'!AJ3/ASSUMPTIONS!$B$2</f>
        <v>6760.8711390858898</v>
      </c>
      <c r="AK3" s="11">
        <f>'QTR P&amp;L'!AN2*'BS DRIVERS'!AK3/ASSUMPTIONS!$B$2</f>
        <v>6110.1813201061395</v>
      </c>
      <c r="AL3" s="11">
        <f>'QTR P&amp;L'!AO2*'BS DRIVERS'!AL3/ASSUMPTIONS!$B$2</f>
        <v>6454.0644010769211</v>
      </c>
    </row>
    <row r="4" spans="1:38" x14ac:dyDescent="0.25">
      <c r="A4" s="3" t="s">
        <v>33</v>
      </c>
      <c r="B4" s="4">
        <f>'BALANCE SHEET'!B4</f>
        <v>6924</v>
      </c>
      <c r="C4" s="4">
        <f>'YTD BS'!C4</f>
        <v>7590</v>
      </c>
      <c r="D4" s="4">
        <f>'YTD BS'!D4</f>
        <v>7541</v>
      </c>
      <c r="E4" s="4">
        <f>'YTD BS'!E4</f>
        <v>7483</v>
      </c>
      <c r="F4" s="4">
        <f>'BALANCE SHEET'!C4</f>
        <v>7073</v>
      </c>
      <c r="G4" s="4">
        <f>'YTD BS'!G4</f>
        <v>7117</v>
      </c>
      <c r="H4" s="4">
        <f>'YTD BS'!H4</f>
        <v>7151</v>
      </c>
      <c r="I4" s="4">
        <f>'YTD BS'!I4</f>
        <v>7077</v>
      </c>
      <c r="J4" s="4">
        <f>'BALANCE SHEET'!D4</f>
        <v>7016</v>
      </c>
      <c r="K4" s="4">
        <f>'YTD BS'!K4</f>
        <v>7287</v>
      </c>
      <c r="L4" s="4">
        <f>'YTD BS'!L4</f>
        <v>7020</v>
      </c>
      <c r="M4" s="4">
        <f>'YTD BS'!M4</f>
        <v>7400</v>
      </c>
      <c r="N4" s="4">
        <f>'BALANCE SHEET'!E4</f>
        <v>7551</v>
      </c>
      <c r="O4" s="4">
        <f>'YTD BS'!O4</f>
        <v>7848</v>
      </c>
      <c r="P4" s="4">
        <f>'YTD BS'!P4</f>
        <v>7817</v>
      </c>
      <c r="Q4" s="11">
        <f>'QTR P&amp;L'!T3*'BS DRIVERS'!Q4/ASSUMPTIONS!$B$2</f>
        <v>7064.6646558815446</v>
      </c>
      <c r="R4" s="11">
        <f>'QTR P&amp;L'!U3*'BS DRIVERS'!R4/ASSUMPTIONS!$B$2</f>
        <v>7462.2663833287625</v>
      </c>
      <c r="S4" s="11">
        <f>'QTR P&amp;L'!V3*'BS DRIVERS'!S4/ASSUMPTIONS!$B$2</f>
        <v>7997.0460652591155</v>
      </c>
      <c r="T4" s="11">
        <f>'QTR P&amp;L'!W3*'BS DRIVERS'!T4/ASSUMPTIONS!$B$2</f>
        <v>7933.4583676080783</v>
      </c>
      <c r="U4" s="11">
        <f>'QTR P&amp;L'!X3*'BS DRIVERS'!U4/ASSUMPTIONS!$B$2</f>
        <v>7169.9146640077388</v>
      </c>
      <c r="V4" s="11">
        <f>'QTR P&amp;L'!Y3*'BS DRIVERS'!V4/ASSUMPTIONS!$B$2</f>
        <v>7573.4398976768662</v>
      </c>
      <c r="W4" s="11">
        <f>'QTR P&amp;L'!Z3*'BS DRIVERS'!W4/ASSUMPTIONS!$B$2</f>
        <v>8116.1867753073038</v>
      </c>
      <c r="X4" s="11">
        <f>'QTR P&amp;L'!AA3*'BS DRIVERS'!X4/ASSUMPTIONS!$B$2</f>
        <v>8051.6517424294034</v>
      </c>
      <c r="Y4" s="11">
        <f>'QTR P&amp;L'!AB3*'BS DRIVERS'!Y4/ASSUMPTIONS!$B$2</f>
        <v>7276.7326962016214</v>
      </c>
      <c r="Z4" s="11">
        <f>'QTR P&amp;L'!AC3*'BS DRIVERS'!Z4/ASSUMPTIONS!$B$2</f>
        <v>7686.2696850200073</v>
      </c>
      <c r="AA4" s="11">
        <f>'QTR P&amp;L'!AD3*'BS DRIVERS'!AA4/ASSUMPTIONS!$B$2</f>
        <v>8237.1024543471631</v>
      </c>
      <c r="AB4" s="11">
        <f>'QTR P&amp;L'!AE3*'BS DRIVERS'!AB4/ASSUMPTIONS!$B$2</f>
        <v>8171.6059727571601</v>
      </c>
      <c r="AC4" s="11">
        <f>'QTR P&amp;L'!AF3*'BS DRIVERS'!AC4/ASSUMPTIONS!$B$2</f>
        <v>7385.1421130264871</v>
      </c>
      <c r="AD4" s="11">
        <f>'QTR P&amp;L'!AG3*'BS DRIVERS'!AD4/ASSUMPTIONS!$B$2</f>
        <v>7800.7804206619294</v>
      </c>
      <c r="AE4" s="11">
        <f>'QTR P&amp;L'!AH3*'BS DRIVERS'!AE4/ASSUMPTIONS!$B$2</f>
        <v>8359.8195460260376</v>
      </c>
      <c r="AF4" s="11">
        <f>'QTR P&amp;L'!AI3*'BS DRIVERS'!AF4/ASSUMPTIONS!$B$2</f>
        <v>8293.3472919747273</v>
      </c>
      <c r="AG4" s="11">
        <f>'QTR P&amp;L'!AJ3*'BS DRIVERS'!AG4/ASSUMPTIONS!$B$2</f>
        <v>7495.1666230734036</v>
      </c>
      <c r="AH4" s="11">
        <f>'QTR P&amp;L'!AK3*'BS DRIVERS'!AH4/ASSUMPTIONS!$B$2</f>
        <v>7916.9971475212551</v>
      </c>
      <c r="AI4" s="11">
        <f>'QTR P&amp;L'!AL3*'BS DRIVERS'!AI4/ASSUMPTIONS!$B$2</f>
        <v>8484.3648879511129</v>
      </c>
      <c r="AJ4" s="11">
        <f>'QTR P&amp;L'!AM3*'BS DRIVERS'!AJ4/ASSUMPTIONS!$B$2</f>
        <v>8416.9023242927851</v>
      </c>
      <c r="AK4" s="11">
        <f>'QTR P&amp;L'!AN3*'BS DRIVERS'!AK4/ASSUMPTIONS!$B$2</f>
        <v>7606.8302881461541</v>
      </c>
      <c r="AL4" s="11">
        <f>'QTR P&amp;L'!AO3*'BS DRIVERS'!AL4/ASSUMPTIONS!$B$2</f>
        <v>8034.9452816082639</v>
      </c>
    </row>
    <row r="5" spans="1:38" x14ac:dyDescent="0.25">
      <c r="A5" s="3" t="s">
        <v>34</v>
      </c>
      <c r="B5" s="4">
        <f>'BALANCE SHEET'!B5</f>
        <v>2372</v>
      </c>
      <c r="C5" s="4">
        <f>'YTD BS'!C5</f>
        <v>2501</v>
      </c>
      <c r="D5" s="4">
        <f>'YTD BS'!D5</f>
        <v>1704</v>
      </c>
      <c r="E5" s="4">
        <f>'YTD BS'!E5</f>
        <v>1755</v>
      </c>
      <c r="F5" s="4">
        <f>'BALANCE SHEET'!C5</f>
        <v>1858</v>
      </c>
      <c r="G5" s="4">
        <f>'YTD BS'!G5</f>
        <v>1875</v>
      </c>
      <c r="H5" s="4">
        <f>'YTD BS'!H5</f>
        <v>1736</v>
      </c>
      <c r="I5" s="4">
        <f>'YTD BS'!I5</f>
        <v>2428</v>
      </c>
      <c r="J5" s="4">
        <f>'BALANCE SHEET'!D5</f>
        <v>2095</v>
      </c>
      <c r="K5" s="4">
        <f>'YTD BS'!K5</f>
        <v>1692</v>
      </c>
      <c r="L5" s="4">
        <f>'YTD BS'!L5</f>
        <v>2158</v>
      </c>
      <c r="M5" s="4">
        <f>'YTD BS'!M5</f>
        <v>1780</v>
      </c>
      <c r="N5" s="4">
        <f>'BALANCE SHEET'!E5</f>
        <v>2100</v>
      </c>
      <c r="O5" s="4">
        <f>'YTD BS'!O5</f>
        <v>1612</v>
      </c>
      <c r="P5" s="4">
        <f>'YTD BS'!P5</f>
        <v>1666</v>
      </c>
      <c r="Q5" s="11">
        <f>'QTR P&amp;L'!T2*'BS DRIVERS'!Q5</f>
        <v>1505.6583493282151</v>
      </c>
      <c r="R5" s="11">
        <f>'QTR P&amp;L'!U2*'BS DRIVERS'!R5</f>
        <v>1590.397312859885</v>
      </c>
      <c r="S5" s="11">
        <f>'QTR P&amp;L'!V2*'BS DRIVERS'!S5</f>
        <v>1704.3723608445296</v>
      </c>
      <c r="T5" s="11">
        <f>'QTR P&amp;L'!W2*'BS DRIVERS'!T5</f>
        <v>1690.8202175303902</v>
      </c>
      <c r="U5" s="11">
        <f>'QTR P&amp;L'!X2*'BS DRIVERS'!U5</f>
        <v>1528.0897825555705</v>
      </c>
      <c r="V5" s="11">
        <f>'QTR P&amp;L'!Y2*'BS DRIVERS'!V5</f>
        <v>1614.0911947716079</v>
      </c>
      <c r="W5" s="11">
        <f>'QTR P&amp;L'!Z2*'BS DRIVERS'!W5</f>
        <v>1729.7642532508598</v>
      </c>
      <c r="X5" s="11">
        <f>'QTR P&amp;L'!AA2*'BS DRIVERS'!X5</f>
        <v>1716.0102088892654</v>
      </c>
      <c r="Y5" s="11">
        <f>'QTR P&amp;L'!AB2*'BS DRIVERS'!Y5</f>
        <v>1550.8554012884613</v>
      </c>
      <c r="Z5" s="11">
        <f>'QTR P&amp;L'!AC2*'BS DRIVERS'!Z5</f>
        <v>1638.1380702626755</v>
      </c>
      <c r="AA5" s="11">
        <f>'QTR P&amp;L'!AD2*'BS DRIVERS'!AA5</f>
        <v>1755.5344363492868</v>
      </c>
      <c r="AB5" s="11">
        <f>'QTR P&amp;L'!AE2*'BS DRIVERS'!AB5</f>
        <v>1741.5754830003109</v>
      </c>
      <c r="AC5" s="11">
        <f>'QTR P&amp;L'!AF2*'BS DRIVERS'!AC5</f>
        <v>1573.9601842525431</v>
      </c>
      <c r="AD5" s="11">
        <f>'QTR P&amp;L'!AG2*'BS DRIVERS'!AD5</f>
        <v>1662.5431982631158</v>
      </c>
      <c r="AE5" s="11">
        <f>'QTR P&amp;L'!AH2*'BS DRIVERS'!AE5</f>
        <v>1781.6885459484945</v>
      </c>
      <c r="AF5" s="11">
        <f>'QTR P&amp;L'!AI2*'BS DRIVERS'!AF5</f>
        <v>1767.5216308596519</v>
      </c>
      <c r="AG5" s="11">
        <f>'QTR P&amp;L'!AJ2*'BS DRIVERS'!AG5</f>
        <v>1597.4091843469737</v>
      </c>
      <c r="AH5" s="11">
        <f>'QTR P&amp;L'!AK2*'BS DRIVERS'!AH5</f>
        <v>1687.3119160509675</v>
      </c>
      <c r="AI5" s="11">
        <f>'QTR P&amp;L'!AL2*'BS DRIVERS'!AI5</f>
        <v>1808.2323018199509</v>
      </c>
      <c r="AJ5" s="11">
        <f>'QTR P&amp;L'!AM2*'BS DRIVERS'!AJ5</f>
        <v>1793.8543267585751</v>
      </c>
      <c r="AK5" s="11">
        <f>'QTR P&amp;L'!AN2*'BS DRIVERS'!AK5</f>
        <v>1621.2075297494555</v>
      </c>
      <c r="AL5" s="11">
        <f>'QTR P&amp;L'!AO2*'BS DRIVERS'!AL5</f>
        <v>1712.4496404195177</v>
      </c>
    </row>
    <row r="6" spans="1:38" x14ac:dyDescent="0.25">
      <c r="A6" s="3" t="s">
        <v>35</v>
      </c>
      <c r="B6" s="6">
        <f>'BALANCE SHEET'!B6</f>
        <v>21653</v>
      </c>
      <c r="C6" s="6">
        <f>'YTD BS'!C6</f>
        <v>22521</v>
      </c>
      <c r="D6" s="6">
        <f>'YTD BS'!D6</f>
        <v>21866</v>
      </c>
      <c r="E6" s="6">
        <f>'YTD BS'!E6</f>
        <v>22305</v>
      </c>
      <c r="F6" s="6">
        <f>'BALANCE SHEET'!C6</f>
        <v>22648</v>
      </c>
      <c r="G6" s="6">
        <f>'YTD BS'!G6</f>
        <v>24940</v>
      </c>
      <c r="H6" s="6">
        <f>'YTD BS'!H6</f>
        <v>23111</v>
      </c>
      <c r="I6" s="6">
        <f>'YTD BS'!I6</f>
        <v>22457</v>
      </c>
      <c r="J6" s="6">
        <f>'BALANCE SHEET'!D6</f>
        <v>24711</v>
      </c>
      <c r="K6" s="6">
        <f>'YTD BS'!K6</f>
        <v>27449</v>
      </c>
      <c r="L6" s="6">
        <f>'YTD BS'!L6</f>
        <v>25642</v>
      </c>
      <c r="M6" s="6">
        <f>'YTD BS'!M6</f>
        <v>24435</v>
      </c>
      <c r="N6" s="6">
        <f>'BALANCE SHEET'!E6</f>
        <v>25392</v>
      </c>
      <c r="O6" s="6">
        <f>'YTD BS'!O6</f>
        <v>27118</v>
      </c>
      <c r="P6" s="6">
        <f>'YTD BS'!P6</f>
        <v>26587</v>
      </c>
      <c r="Q6" s="7">
        <f t="shared" ref="Q6:AL6" si="0">SUM(Q2:Q5)</f>
        <v>26850.512411392283</v>
      </c>
      <c r="R6" s="7">
        <f t="shared" si="0"/>
        <v>29283.785458278213</v>
      </c>
      <c r="S6" s="7">
        <f t="shared" si="0"/>
        <v>32148.11354341144</v>
      </c>
      <c r="T6" s="7">
        <f t="shared" si="0"/>
        <v>33580.246195184794</v>
      </c>
      <c r="U6" s="7">
        <f t="shared" si="0"/>
        <v>33200.949161929348</v>
      </c>
      <c r="V6" s="7">
        <f t="shared" si="0"/>
        <v>35670.228136033511</v>
      </c>
      <c r="W6" s="7">
        <f t="shared" si="0"/>
        <v>38576.984045033751</v>
      </c>
      <c r="X6" s="7">
        <f t="shared" si="0"/>
        <v>40030.207544562443</v>
      </c>
      <c r="Y6" s="7">
        <f t="shared" si="0"/>
        <v>39645.014517031486</v>
      </c>
      <c r="Z6" s="7">
        <f t="shared" si="0"/>
        <v>42150.835837889252</v>
      </c>
      <c r="AA6" s="7">
        <f t="shared" si="0"/>
        <v>45100.651664284538</v>
      </c>
      <c r="AB6" s="7">
        <f t="shared" si="0"/>
        <v>46575.280224911439</v>
      </c>
      <c r="AC6" s="7">
        <f t="shared" si="0"/>
        <v>46184.103364053059</v>
      </c>
      <c r="AD6" s="7">
        <f t="shared" si="0"/>
        <v>48727.011442826188</v>
      </c>
      <c r="AE6" s="7">
        <f t="shared" si="0"/>
        <v>51720.528697130685</v>
      </c>
      <c r="AF6" s="7">
        <f t="shared" si="0"/>
        <v>53216.881213377215</v>
      </c>
      <c r="AG6" s="7">
        <f t="shared" si="0"/>
        <v>52819.631371505428</v>
      </c>
      <c r="AH6" s="7">
        <f t="shared" si="0"/>
        <v>55400.17873004204</v>
      </c>
      <c r="AI6" s="7">
        <f t="shared" si="0"/>
        <v>58438.048480051133</v>
      </c>
      <c r="AJ6" s="7">
        <f t="shared" si="0"/>
        <v>59956.448597357929</v>
      </c>
      <c r="AK6" s="7">
        <f t="shared" si="0"/>
        <v>59553.035298656512</v>
      </c>
      <c r="AL6" s="7">
        <f t="shared" si="0"/>
        <v>62171.782690324799</v>
      </c>
    </row>
    <row r="7" spans="1:38" x14ac:dyDescent="0.25">
      <c r="A7" s="3" t="s">
        <v>36</v>
      </c>
      <c r="B7" s="4">
        <f>'BALANCE SHEET'!B7</f>
        <v>21195</v>
      </c>
      <c r="C7" s="4">
        <f>'YTD BS'!C7</f>
        <v>20593</v>
      </c>
      <c r="D7" s="4">
        <f>'YTD BS'!D7</f>
        <v>21167</v>
      </c>
      <c r="E7" s="4">
        <f>'YTD BS'!E7</f>
        <v>21564</v>
      </c>
      <c r="F7" s="4">
        <f>'BALANCE SHEET'!C7</f>
        <v>21909</v>
      </c>
      <c r="G7" s="4">
        <f>'YTD BS'!G7</f>
        <v>21636</v>
      </c>
      <c r="H7" s="4">
        <f>'YTD BS'!H7</f>
        <v>22132</v>
      </c>
      <c r="I7" s="4">
        <f>'YTD BS'!I7</f>
        <v>22027</v>
      </c>
      <c r="J7" s="4">
        <f>'BALANCE SHEET'!D7</f>
        <v>22152</v>
      </c>
      <c r="K7" s="4">
        <f>'YTD BS'!K7</f>
        <v>22506</v>
      </c>
      <c r="L7" s="4">
        <f>'YTD BS'!L7</f>
        <v>22074</v>
      </c>
      <c r="M7" s="4">
        <f>'YTD BS'!M7</f>
        <v>22728</v>
      </c>
      <c r="N7" s="4">
        <f>'BALANCE SHEET'!E7</f>
        <v>23897</v>
      </c>
      <c r="O7" s="4">
        <f>'YTD BS'!O7</f>
        <v>24119</v>
      </c>
      <c r="P7" s="4">
        <f>'YTD BS'!P7</f>
        <v>24487</v>
      </c>
      <c r="Q7" s="11">
        <f>'BS DRIVERS'!Q6</f>
        <v>24816.871126953658</v>
      </c>
      <c r="R7" s="11">
        <f>'BS DRIVERS'!R6</f>
        <v>25165.307513024403</v>
      </c>
      <c r="S7" s="11">
        <f>'BS DRIVERS'!S6</f>
        <v>25538.714422813267</v>
      </c>
      <c r="T7" s="11">
        <f>'BS DRIVERS'!T6</f>
        <v>25909.152225573525</v>
      </c>
      <c r="U7" s="11">
        <f>'BS DRIVERS'!U6</f>
        <v>26243.937802183838</v>
      </c>
      <c r="V7" s="11">
        <f>'BS DRIVERS'!V6</f>
        <v>26597.56522480787</v>
      </c>
      <c r="W7" s="11">
        <f>'BS DRIVERS'!W6</f>
        <v>26976.535184253586</v>
      </c>
      <c r="X7" s="11">
        <f>'BS DRIVERS'!X6</f>
        <v>27352.491802647692</v>
      </c>
      <c r="Y7" s="11">
        <f>'BS DRIVERS'!Y6</f>
        <v>27692.265044826734</v>
      </c>
      <c r="Z7" s="11">
        <f>'BS DRIVERS'!Z6</f>
        <v>28051.160840532542</v>
      </c>
      <c r="AA7" s="11">
        <f>'BS DRIVERS'!AA6</f>
        <v>28435.7767284482</v>
      </c>
      <c r="AB7" s="11">
        <f>'BS DRIVERS'!AB6</f>
        <v>28817.334382286805</v>
      </c>
      <c r="AC7" s="11">
        <f>'BS DRIVERS'!AC6</f>
        <v>29162.169596723885</v>
      </c>
      <c r="AD7" s="11">
        <f>'BS DRIVERS'!AD6</f>
        <v>29526.412254206502</v>
      </c>
      <c r="AE7" s="11">
        <f>'BS DRIVERS'!AE6</f>
        <v>29916.758184141196</v>
      </c>
      <c r="AF7" s="11">
        <f>'BS DRIVERS'!AF6</f>
        <v>30304.000318153063</v>
      </c>
      <c r="AG7" s="11">
        <f>'BS DRIVERS'!AG6</f>
        <v>30653.972918565214</v>
      </c>
      <c r="AH7" s="11">
        <f>'BS DRIVERS'!AH6</f>
        <v>31023.64209585129</v>
      </c>
      <c r="AI7" s="11">
        <f>'BS DRIVERS'!AI6</f>
        <v>31419.803434485315</v>
      </c>
      <c r="AJ7" s="11">
        <f>'BS DRIVERS'!AJ6</f>
        <v>31812.814736566273</v>
      </c>
      <c r="AK7" s="11">
        <f>'BS DRIVERS'!AK6</f>
        <v>32168.001260190857</v>
      </c>
      <c r="AL7" s="11">
        <f>'BS DRIVERS'!AL6</f>
        <v>32543.177802059476</v>
      </c>
    </row>
    <row r="8" spans="1:38" x14ac:dyDescent="0.25">
      <c r="A8" s="3" t="s">
        <v>37</v>
      </c>
      <c r="B8" s="4">
        <f>'BALANCE SHEET'!B8</f>
        <v>39700</v>
      </c>
      <c r="C8" s="4">
        <f>'YTD BS'!C8</f>
        <v>38761</v>
      </c>
      <c r="D8" s="4">
        <f>'YTD BS'!D8</f>
        <v>39951</v>
      </c>
      <c r="E8" s="4">
        <f>'YTD BS'!E8</f>
        <v>40718</v>
      </c>
      <c r="F8" s="4">
        <f>'BALANCE SHEET'!C8</f>
        <v>40659</v>
      </c>
      <c r="G8" s="4">
        <f>'YTD BS'!G8</f>
        <v>40239</v>
      </c>
      <c r="H8" s="4">
        <f>'YTD BS'!H8</f>
        <v>40916</v>
      </c>
      <c r="I8" s="4">
        <f>'YTD BS'!I8</f>
        <v>40567</v>
      </c>
      <c r="J8" s="4">
        <f>'BALANCE SHEET'!D8</f>
        <v>40303</v>
      </c>
      <c r="K8" s="4">
        <f>'YTD BS'!K8</f>
        <v>40970</v>
      </c>
      <c r="L8" s="4">
        <f>'YTD BS'!L8</f>
        <v>39898</v>
      </c>
      <c r="M8" s="4">
        <f>'YTD BS'!M8</f>
        <v>40476</v>
      </c>
      <c r="N8" s="4">
        <f>'BALANCE SHEET'!E8</f>
        <v>41650</v>
      </c>
      <c r="O8" s="4">
        <f>'YTD BS'!O8</f>
        <v>41643</v>
      </c>
      <c r="P8" s="4">
        <f>'YTD BS'!P8</f>
        <v>41665</v>
      </c>
      <c r="Q8" s="11">
        <f>'BS DRIVERS'!Q7</f>
        <v>41665</v>
      </c>
      <c r="R8" s="11">
        <f>'BS DRIVERS'!R7</f>
        <v>41665</v>
      </c>
      <c r="S8" s="11">
        <f>'BS DRIVERS'!S7</f>
        <v>41665</v>
      </c>
      <c r="T8" s="11">
        <f>'BS DRIVERS'!T7</f>
        <v>41665</v>
      </c>
      <c r="U8" s="11">
        <f>'BS DRIVERS'!U7</f>
        <v>41665</v>
      </c>
      <c r="V8" s="11">
        <f>'BS DRIVERS'!V7</f>
        <v>41665</v>
      </c>
      <c r="W8" s="11">
        <f>'BS DRIVERS'!W7</f>
        <v>41665</v>
      </c>
      <c r="X8" s="11">
        <f>'BS DRIVERS'!X7</f>
        <v>41665</v>
      </c>
      <c r="Y8" s="11">
        <f>'BS DRIVERS'!Y7</f>
        <v>41665</v>
      </c>
      <c r="Z8" s="11">
        <f>'BS DRIVERS'!Z7</f>
        <v>41665</v>
      </c>
      <c r="AA8" s="11">
        <f>'BS DRIVERS'!AA7</f>
        <v>41665</v>
      </c>
      <c r="AB8" s="11">
        <f>'BS DRIVERS'!AB7</f>
        <v>41665</v>
      </c>
      <c r="AC8" s="11">
        <f>'BS DRIVERS'!AC7</f>
        <v>41665</v>
      </c>
      <c r="AD8" s="11">
        <f>'BS DRIVERS'!AD7</f>
        <v>41665</v>
      </c>
      <c r="AE8" s="11">
        <f>'BS DRIVERS'!AE7</f>
        <v>41665</v>
      </c>
      <c r="AF8" s="11">
        <f>'BS DRIVERS'!AF7</f>
        <v>41665</v>
      </c>
      <c r="AG8" s="11">
        <f>'BS DRIVERS'!AG7</f>
        <v>41665</v>
      </c>
      <c r="AH8" s="11">
        <f>'BS DRIVERS'!AH7</f>
        <v>41665</v>
      </c>
      <c r="AI8" s="11">
        <f>'BS DRIVERS'!AI7</f>
        <v>41665</v>
      </c>
      <c r="AJ8" s="11">
        <f>'BS DRIVERS'!AJ7</f>
        <v>41665</v>
      </c>
      <c r="AK8" s="11">
        <f>'BS DRIVERS'!AK7</f>
        <v>41665</v>
      </c>
      <c r="AL8" s="11">
        <f>'BS DRIVERS'!AL7</f>
        <v>41665</v>
      </c>
    </row>
    <row r="9" spans="1:38" x14ac:dyDescent="0.25">
      <c r="A9" s="3" t="s">
        <v>38</v>
      </c>
      <c r="B9" s="4">
        <f>'BALANCE SHEET'!B9</f>
        <v>23679</v>
      </c>
      <c r="C9" s="4">
        <f>'YTD BS'!C9</f>
        <v>23465</v>
      </c>
      <c r="D9" s="4">
        <f>'YTD BS'!D9</f>
        <v>23594</v>
      </c>
      <c r="E9" s="4">
        <f>'YTD BS'!E9</f>
        <v>23832</v>
      </c>
      <c r="F9" s="4">
        <f>'BALANCE SHEET'!C9</f>
        <v>23783</v>
      </c>
      <c r="G9" s="4">
        <f>'YTD BS'!G9</f>
        <v>23637</v>
      </c>
      <c r="H9" s="4">
        <f>'YTD BS'!H9</f>
        <v>22302</v>
      </c>
      <c r="I9" s="4">
        <f>'YTD BS'!I9</f>
        <v>22193</v>
      </c>
      <c r="J9" s="4">
        <f>'BALANCE SHEET'!D9</f>
        <v>22047</v>
      </c>
      <c r="K9" s="4">
        <f>'YTD BS'!K9</f>
        <v>22053</v>
      </c>
      <c r="L9" s="4">
        <f>'YTD BS'!L9</f>
        <v>21833</v>
      </c>
      <c r="M9" s="4">
        <f>'YTD BS'!M9</f>
        <v>21836</v>
      </c>
      <c r="N9" s="4">
        <f>'BALANCE SHEET'!E9</f>
        <v>21910</v>
      </c>
      <c r="O9" s="4">
        <f>'YTD BS'!O9</f>
        <v>21818</v>
      </c>
      <c r="P9" s="4">
        <f>'YTD BS'!P9</f>
        <v>21737</v>
      </c>
      <c r="Q9" s="11">
        <f>'BS DRIVERS'!Q8</f>
        <v>21737</v>
      </c>
      <c r="R9" s="11">
        <f>'BS DRIVERS'!R8</f>
        <v>21737</v>
      </c>
      <c r="S9" s="11">
        <f>'BS DRIVERS'!S8</f>
        <v>21737</v>
      </c>
      <c r="T9" s="11">
        <f>'BS DRIVERS'!T8</f>
        <v>21737</v>
      </c>
      <c r="U9" s="11">
        <f>'BS DRIVERS'!U8</f>
        <v>21737</v>
      </c>
      <c r="V9" s="11">
        <f>'BS DRIVERS'!V8</f>
        <v>21737</v>
      </c>
      <c r="W9" s="11">
        <f>'BS DRIVERS'!W8</f>
        <v>21737</v>
      </c>
      <c r="X9" s="11">
        <f>'BS DRIVERS'!X8</f>
        <v>21737</v>
      </c>
      <c r="Y9" s="11">
        <f>'BS DRIVERS'!Y8</f>
        <v>21737</v>
      </c>
      <c r="Z9" s="11">
        <f>'BS DRIVERS'!Z8</f>
        <v>21737</v>
      </c>
      <c r="AA9" s="11">
        <f>'BS DRIVERS'!AA8</f>
        <v>21737</v>
      </c>
      <c r="AB9" s="11">
        <f>'BS DRIVERS'!AB8</f>
        <v>21737</v>
      </c>
      <c r="AC9" s="11">
        <f>'BS DRIVERS'!AC8</f>
        <v>21737</v>
      </c>
      <c r="AD9" s="11">
        <f>'BS DRIVERS'!AD8</f>
        <v>21737</v>
      </c>
      <c r="AE9" s="11">
        <f>'BS DRIVERS'!AE8</f>
        <v>21737</v>
      </c>
      <c r="AF9" s="11">
        <f>'BS DRIVERS'!AF8</f>
        <v>21737</v>
      </c>
      <c r="AG9" s="11">
        <f>'BS DRIVERS'!AG8</f>
        <v>21737</v>
      </c>
      <c r="AH9" s="11">
        <f>'BS DRIVERS'!AH8</f>
        <v>21737</v>
      </c>
      <c r="AI9" s="11">
        <f>'BS DRIVERS'!AI8</f>
        <v>21737</v>
      </c>
      <c r="AJ9" s="11">
        <f>'BS DRIVERS'!AJ8</f>
        <v>21737</v>
      </c>
      <c r="AK9" s="11">
        <f>'BS DRIVERS'!AK8</f>
        <v>21737</v>
      </c>
      <c r="AL9" s="11">
        <f>'BS DRIVERS'!AL8</f>
        <v>21737</v>
      </c>
    </row>
    <row r="10" spans="1:38" x14ac:dyDescent="0.25">
      <c r="A10" s="3" t="s">
        <v>39</v>
      </c>
      <c r="B10" s="4">
        <f>'BALANCE SHEET'!B10</f>
        <v>10981</v>
      </c>
      <c r="C10" s="4">
        <f>'YTD BS'!C10</f>
        <v>10942</v>
      </c>
      <c r="D10" s="4">
        <f>'YTD BS'!D10</f>
        <v>11137</v>
      </c>
      <c r="E10" s="4">
        <f>'YTD BS'!E10</f>
        <v>11432</v>
      </c>
      <c r="F10" s="4">
        <f>'BALANCE SHEET'!C10</f>
        <v>11830</v>
      </c>
      <c r="G10" s="4">
        <f>'YTD BS'!G10</f>
        <v>12079</v>
      </c>
      <c r="H10" s="4">
        <f>'YTD BS'!H10</f>
        <v>12248</v>
      </c>
      <c r="I10" s="4">
        <f>'YTD BS'!I10</f>
        <v>12353</v>
      </c>
      <c r="J10" s="4">
        <f>'BALANCE SHEET'!D10</f>
        <v>13158</v>
      </c>
      <c r="K10" s="4">
        <f>'YTD BS'!K10</f>
        <v>13503</v>
      </c>
      <c r="L10" s="4">
        <f>'YTD BS'!L10</f>
        <v>13192</v>
      </c>
      <c r="M10" s="4">
        <f>'YTD BS'!M10</f>
        <v>13508</v>
      </c>
      <c r="N10" s="4">
        <f>'BALANCE SHEET'!E10</f>
        <v>12381</v>
      </c>
      <c r="O10" s="4">
        <f>'YTD BS'!O10</f>
        <v>12901</v>
      </c>
      <c r="P10" s="4">
        <f>'YTD BS'!P10</f>
        <v>12809</v>
      </c>
      <c r="Q10" s="11">
        <f>'QTR P&amp;L'!T2*'BS DRIVERS'!Q9</f>
        <v>11576.217164792981</v>
      </c>
      <c r="R10" s="11">
        <f>'QTR P&amp;L'!U2*'BS DRIVERS'!R9</f>
        <v>12227.730600493556</v>
      </c>
      <c r="S10" s="11">
        <f>'QTR P&amp;L'!V2*'BS DRIVERS'!S9</f>
        <v>13104.024952015354</v>
      </c>
      <c r="T10" s="11">
        <f>'QTR P&amp;L'!W2*'BS DRIVERS'!T9</f>
        <v>12999.829631660725</v>
      </c>
      <c r="U10" s="11">
        <f>'QTR P&amp;L'!X2*'BS DRIVERS'!U9</f>
        <v>11748.680687127433</v>
      </c>
      <c r="V10" s="11">
        <f>'QTR P&amp;L'!Y2*'BS DRIVERS'!V9</f>
        <v>12409.900428469102</v>
      </c>
      <c r="W10" s="11">
        <f>'QTR P&amp;L'!Z2*'BS DRIVERS'!W9</f>
        <v>13299.249891890913</v>
      </c>
      <c r="X10" s="11">
        <f>'QTR P&amp;L'!AA2*'BS DRIVERS'!X9</f>
        <v>13193.502260301681</v>
      </c>
      <c r="Y10" s="11">
        <f>'QTR P&amp;L'!AB2*'BS DRIVERS'!Y9</f>
        <v>11923.713586496939</v>
      </c>
      <c r="Z10" s="11">
        <f>'QTR P&amp;L'!AC2*'BS DRIVERS'!Z9</f>
        <v>12594.784238892322</v>
      </c>
      <c r="AA10" s="11">
        <f>'QTR P&amp;L'!AD2*'BS DRIVERS'!AA9</f>
        <v>13497.383310442985</v>
      </c>
      <c r="AB10" s="11">
        <f>'QTR P&amp;L'!AE2*'BS DRIVERS'!AB9</f>
        <v>13390.060241147048</v>
      </c>
      <c r="AC10" s="11">
        <f>'QTR P&amp;L'!AF2*'BS DRIVERS'!AC9</f>
        <v>12101.354141711179</v>
      </c>
      <c r="AD10" s="11">
        <f>'QTR P&amp;L'!AG2*'BS DRIVERS'!AD9</f>
        <v>12782.422464917316</v>
      </c>
      <c r="AE10" s="11">
        <f>'QTR P&amp;L'!AH2*'BS DRIVERS'!AE9</f>
        <v>13698.468538447938</v>
      </c>
      <c r="AF10" s="11">
        <f>'QTR P&amp;L'!AI2*'BS DRIVERS'!AF9</f>
        <v>13589.54656043294</v>
      </c>
      <c r="AG10" s="11">
        <f>'QTR P&amp;L'!AJ2*'BS DRIVERS'!AG9</f>
        <v>12281.641201860975</v>
      </c>
      <c r="AH10" s="11">
        <f>'QTR P&amp;L'!AK2*'BS DRIVERS'!AH9</f>
        <v>12972.856142074936</v>
      </c>
      <c r="AI10" s="11">
        <f>'QTR P&amp;L'!AL2*'BS DRIVERS'!AI9</f>
        <v>13902.54955222794</v>
      </c>
      <c r="AJ10" s="11">
        <f>'QTR P&amp;L'!AM2*'BS DRIVERS'!AJ9</f>
        <v>13792.004844808276</v>
      </c>
      <c r="AK10" s="11">
        <f>'QTR P&amp;L'!AN2*'BS DRIVERS'!AK9</f>
        <v>12464.61419481439</v>
      </c>
      <c r="AL10" s="11">
        <f>'QTR P&amp;L'!AO2*'BS DRIVERS'!AL9</f>
        <v>13166.126917247058</v>
      </c>
    </row>
    <row r="11" spans="1:38" x14ac:dyDescent="0.25">
      <c r="A11" s="3" t="s">
        <v>40</v>
      </c>
      <c r="B11" s="6">
        <f>'BALANCE SHEET'!B11</f>
        <v>117208</v>
      </c>
      <c r="C11" s="6">
        <f>'YTD BS'!C11</f>
        <v>116282</v>
      </c>
      <c r="D11" s="6">
        <f>'YTD BS'!D11</f>
        <v>117715</v>
      </c>
      <c r="E11" s="6">
        <f>'YTD BS'!E11</f>
        <v>119851</v>
      </c>
      <c r="F11" s="6">
        <f>'BALANCE SHEET'!C11</f>
        <v>120829</v>
      </c>
      <c r="G11" s="6">
        <f>'YTD BS'!G11</f>
        <v>122531</v>
      </c>
      <c r="H11" s="6">
        <f>'YTD BS'!H11</f>
        <v>120709</v>
      </c>
      <c r="I11" s="6">
        <f>'YTD BS'!I11</f>
        <v>119597</v>
      </c>
      <c r="J11" s="6">
        <f>'BALANCE SHEET'!D11</f>
        <v>122371</v>
      </c>
      <c r="K11" s="6">
        <f>'YTD BS'!K11</f>
        <v>126481</v>
      </c>
      <c r="L11" s="6">
        <f>'YTD BS'!L11</f>
        <v>122639</v>
      </c>
      <c r="M11" s="6">
        <f>'YTD BS'!M11</f>
        <v>122983</v>
      </c>
      <c r="N11" s="6">
        <f>'BALANCE SHEET'!E11</f>
        <v>125230</v>
      </c>
      <c r="O11" s="6">
        <f>'YTD BS'!O11</f>
        <v>127599</v>
      </c>
      <c r="P11" s="6">
        <f>'YTD BS'!P11</f>
        <v>127285</v>
      </c>
      <c r="Q11" s="7">
        <f t="shared" ref="Q11:AL11" si="1">Q6+SUM(Q7:Q10)</f>
        <v>126645.60070313892</v>
      </c>
      <c r="R11" s="7">
        <f t="shared" si="1"/>
        <v>130078.82357179617</v>
      </c>
      <c r="S11" s="7">
        <f t="shared" si="1"/>
        <v>134192.85291824007</v>
      </c>
      <c r="T11" s="7">
        <f t="shared" si="1"/>
        <v>135891.22805241903</v>
      </c>
      <c r="U11" s="7">
        <f t="shared" si="1"/>
        <v>134595.56765124062</v>
      </c>
      <c r="V11" s="7">
        <f t="shared" si="1"/>
        <v>138079.69378931049</v>
      </c>
      <c r="W11" s="7">
        <f t="shared" si="1"/>
        <v>142254.76912117825</v>
      </c>
      <c r="X11" s="7">
        <f t="shared" si="1"/>
        <v>143978.20160751182</v>
      </c>
      <c r="Y11" s="7">
        <f t="shared" si="1"/>
        <v>142662.99314835516</v>
      </c>
      <c r="Z11" s="7">
        <f t="shared" si="1"/>
        <v>146198.78091731411</v>
      </c>
      <c r="AA11" s="7">
        <f t="shared" si="1"/>
        <v>150435.81170317571</v>
      </c>
      <c r="AB11" s="7">
        <f t="shared" si="1"/>
        <v>152184.67484834528</v>
      </c>
      <c r="AC11" s="7">
        <f t="shared" si="1"/>
        <v>150849.62710248813</v>
      </c>
      <c r="AD11" s="7">
        <f t="shared" si="1"/>
        <v>154437.84616195</v>
      </c>
      <c r="AE11" s="7">
        <f t="shared" si="1"/>
        <v>158737.75541971982</v>
      </c>
      <c r="AF11" s="7">
        <f t="shared" si="1"/>
        <v>160512.42809196323</v>
      </c>
      <c r="AG11" s="7">
        <f t="shared" si="1"/>
        <v>159157.24549193162</v>
      </c>
      <c r="AH11" s="7">
        <f t="shared" si="1"/>
        <v>162798.67696796826</v>
      </c>
      <c r="AI11" s="7">
        <f t="shared" si="1"/>
        <v>167162.40146676439</v>
      </c>
      <c r="AJ11" s="7">
        <f t="shared" si="1"/>
        <v>168963.26817873248</v>
      </c>
      <c r="AK11" s="7">
        <f t="shared" si="1"/>
        <v>167587.65075366176</v>
      </c>
      <c r="AL11" s="7">
        <f t="shared" si="1"/>
        <v>171283.08740963135</v>
      </c>
    </row>
    <row r="12" spans="1:38" x14ac:dyDescent="0.25">
      <c r="A12" s="3" t="s">
        <v>41</v>
      </c>
      <c r="B12" s="4">
        <f>'BALANCE SHEET'!B12</f>
        <v>14882</v>
      </c>
      <c r="C12" s="4">
        <f>'YTD BS'!C12</f>
        <v>14845</v>
      </c>
      <c r="D12" s="4">
        <f>'YTD BS'!D12</f>
        <v>14153</v>
      </c>
      <c r="E12" s="4">
        <f>'YTD BS'!E12</f>
        <v>13790</v>
      </c>
      <c r="F12" s="4">
        <f>'BALANCE SHEET'!C12</f>
        <v>14598</v>
      </c>
      <c r="G12" s="4">
        <f>'YTD BS'!G12</f>
        <v>14435</v>
      </c>
      <c r="H12" s="4">
        <f>'YTD BS'!H12</f>
        <v>14234</v>
      </c>
      <c r="I12" s="4">
        <f>'YTD BS'!I12</f>
        <v>13691</v>
      </c>
      <c r="J12" s="4">
        <f>'BALANCE SHEET'!D12</f>
        <v>15364</v>
      </c>
      <c r="K12" s="4">
        <f>'YTD BS'!K12</f>
        <v>15350</v>
      </c>
      <c r="L12" s="4">
        <f>'YTD BS'!L12</f>
        <v>14495</v>
      </c>
      <c r="M12" s="4">
        <f>'YTD BS'!M12</f>
        <v>14512</v>
      </c>
      <c r="N12" s="4">
        <f>'BALANCE SHEET'!E12</f>
        <v>15227</v>
      </c>
      <c r="O12" s="4">
        <f>'YTD BS'!O12</f>
        <v>15609</v>
      </c>
      <c r="P12" s="4">
        <f>'YTD BS'!P12</f>
        <v>15173</v>
      </c>
      <c r="Q12" s="11">
        <f>'QTR P&amp;L'!T3*'BS DRIVERS'!Q10/ASSUMPTIONS!$B$2</f>
        <v>13712.697559638056</v>
      </c>
      <c r="R12" s="11">
        <f>'QTR P&amp;L'!U3*'BS DRIVERS'!R10/ASSUMPTIONS!$B$2</f>
        <v>14484.452837948997</v>
      </c>
      <c r="S12" s="11">
        <f>'QTR P&amp;L'!V3*'BS DRIVERS'!S10/ASSUMPTIONS!$B$2</f>
        <v>15522.474088291743</v>
      </c>
      <c r="T12" s="11">
        <f>'QTR P&amp;L'!W3*'BS DRIVERS'!T10/ASSUMPTIONS!$B$2</f>
        <v>15399.048715839501</v>
      </c>
      <c r="U12" s="11">
        <f>'QTR P&amp;L'!X3*'BS DRIVERS'!U10/ASSUMPTIONS!$B$2</f>
        <v>13916.990558652862</v>
      </c>
      <c r="V12" s="11">
        <f>'QTR P&amp;L'!Y3*'BS DRIVERS'!V10/ASSUMPTIONS!$B$2</f>
        <v>14700.243516368311</v>
      </c>
      <c r="W12" s="11">
        <f>'QTR P&amp;L'!Z3*'BS DRIVERS'!W10/ASSUMPTIONS!$B$2</f>
        <v>15753.72930046536</v>
      </c>
      <c r="X12" s="11">
        <f>'QTR P&amp;L'!AA3*'BS DRIVERS'!X10/ASSUMPTIONS!$B$2</f>
        <v>15628.465125736386</v>
      </c>
      <c r="Y12" s="11">
        <f>'QTR P&amp;L'!AB3*'BS DRIVERS'!Y10/ASSUMPTIONS!$B$2</f>
        <v>14124.327133103134</v>
      </c>
      <c r="Z12" s="11">
        <f>'QTR P&amp;L'!AC3*'BS DRIVERS'!Z10/ASSUMPTIONS!$B$2</f>
        <v>14919.249063682817</v>
      </c>
      <c r="AA12" s="11">
        <f>'QTR P&amp;L'!AD3*'BS DRIVERS'!AA10/ASSUMPTIONS!$B$2</f>
        <v>15988.429773546051</v>
      </c>
      <c r="AB12" s="11">
        <f>'QTR P&amp;L'!AE3*'BS DRIVERS'!AB10/ASSUMPTIONS!$B$2</f>
        <v>15861.299401898987</v>
      </c>
      <c r="AC12" s="11">
        <f>'QTR P&amp;L'!AF3*'BS DRIVERS'!AC10/ASSUMPTIONS!$B$2</f>
        <v>14334.752626448881</v>
      </c>
      <c r="AD12" s="11">
        <f>'QTR P&amp;L'!AG3*'BS DRIVERS'!AD10/ASSUMPTIONS!$B$2</f>
        <v>15141.51737529787</v>
      </c>
      <c r="AE12" s="11">
        <f>'QTR P&amp;L'!AH3*'BS DRIVERS'!AE10/ASSUMPTIONS!$B$2</f>
        <v>16226.626835340037</v>
      </c>
      <c r="AF12" s="11">
        <f>'QTR P&amp;L'!AI3*'BS DRIVERS'!AF10/ASSUMPTIONS!$B$2</f>
        <v>16097.602464005698</v>
      </c>
      <c r="AG12" s="11">
        <f>'QTR P&amp;L'!AJ3*'BS DRIVERS'!AG10/ASSUMPTIONS!$B$2</f>
        <v>14548.313057681047</v>
      </c>
      <c r="AH12" s="11">
        <f>'QTR P&amp;L'!AK3*'BS DRIVERS'!AH10/ASSUMPTIONS!$B$2</f>
        <v>15367.097060168862</v>
      </c>
      <c r="AI12" s="11">
        <f>'QTR P&amp;L'!AL3*'BS DRIVERS'!AI10/ASSUMPTIONS!$B$2</f>
        <v>16468.3725783398</v>
      </c>
      <c r="AJ12" s="11">
        <f>'QTR P&amp;L'!AM3*'BS DRIVERS'!AJ10/ASSUMPTIONS!$B$2</f>
        <v>16337.425990340849</v>
      </c>
      <c r="AK12" s="11">
        <f>'QTR P&amp;L'!AN3*'BS DRIVERS'!AK10/ASSUMPTIONS!$B$2</f>
        <v>14765.055131385645</v>
      </c>
      <c r="AL12" s="11">
        <f>'QTR P&amp;L'!AO3*'BS DRIVERS'!AL10/ASSUMPTIONS!$B$2</f>
        <v>15596.037451431774</v>
      </c>
    </row>
    <row r="13" spans="1:38" x14ac:dyDescent="0.25">
      <c r="A13" s="3" t="s">
        <v>42</v>
      </c>
      <c r="B13" s="4">
        <f>'BALANCE SHEET'!B13</f>
        <v>9554</v>
      </c>
      <c r="C13" s="4">
        <f>'YTD BS'!C13</f>
        <v>10056</v>
      </c>
      <c r="D13" s="4">
        <f>'YTD BS'!D13</f>
        <v>10293</v>
      </c>
      <c r="E13" s="4">
        <f>'YTD BS'!E13</f>
        <v>10523</v>
      </c>
      <c r="F13" s="4">
        <f>'BALANCE SHEET'!C13</f>
        <v>10929</v>
      </c>
      <c r="G13" s="4">
        <f>'YTD BS'!G13</f>
        <v>10912</v>
      </c>
      <c r="H13" s="4">
        <f>'YTD BS'!H13</f>
        <v>11100</v>
      </c>
      <c r="I13" s="4">
        <f>'YTD BS'!I13</f>
        <v>10921</v>
      </c>
      <c r="J13" s="4">
        <f>'BALANCE SHEET'!D13</f>
        <v>11073</v>
      </c>
      <c r="K13" s="4">
        <f>'YTD BS'!K13</f>
        <v>10661</v>
      </c>
      <c r="L13" s="4">
        <f>'YTD BS'!L13</f>
        <v>9879</v>
      </c>
      <c r="M13" s="4">
        <f>'YTD BS'!M13</f>
        <v>9847</v>
      </c>
      <c r="N13" s="4">
        <f>'BALANCE SHEET'!E13</f>
        <v>11318</v>
      </c>
      <c r="O13" s="4">
        <f>'YTD BS'!O13</f>
        <v>10756</v>
      </c>
      <c r="P13" s="4">
        <f>'YTD BS'!P13</f>
        <v>10463</v>
      </c>
      <c r="Q13" s="11">
        <f>'QTR P&amp;L'!T2*'BS DRIVERS'!Q11</f>
        <v>9456.0043871675352</v>
      </c>
      <c r="R13" s="11">
        <f>'QTR P&amp;L'!U2*'BS DRIVERS'!R11</f>
        <v>9988.1915272826973</v>
      </c>
      <c r="S13" s="11">
        <f>'QTR P&amp;L'!V2*'BS DRIVERS'!S11</f>
        <v>10703.990403071015</v>
      </c>
      <c r="T13" s="11">
        <f>'QTR P&amp;L'!W2*'BS DRIVERS'!T11</f>
        <v>10618.878713097522</v>
      </c>
      <c r="U13" s="11">
        <f>'QTR P&amp;L'!X2*'BS DRIVERS'!U11</f>
        <v>9596.8807892430577</v>
      </c>
      <c r="V13" s="11">
        <f>'QTR P&amp;L'!Y2*'BS DRIVERS'!V11</f>
        <v>10136.996501137653</v>
      </c>
      <c r="W13" s="11">
        <f>'QTR P&amp;L'!Z2*'BS DRIVERS'!W11</f>
        <v>10863.459412823377</v>
      </c>
      <c r="X13" s="11">
        <f>'QTR P&amp;L'!AA2*'BS DRIVERS'!X11</f>
        <v>10777.079721253531</v>
      </c>
      <c r="Y13" s="11">
        <f>'QTR P&amp;L'!AB2*'BS DRIVERS'!Y11</f>
        <v>9739.8559806009416</v>
      </c>
      <c r="Z13" s="11">
        <f>'QTR P&amp;L'!AC2*'BS DRIVERS'!Z11</f>
        <v>10288.018384848963</v>
      </c>
      <c r="AA13" s="11">
        <f>'QTR P&amp;L'!AD2*'BS DRIVERS'!AA11</f>
        <v>11025.30420619603</v>
      </c>
      <c r="AB13" s="11">
        <f>'QTR P&amp;L'!AE2*'BS DRIVERS'!AB11</f>
        <v>10937.637622228242</v>
      </c>
      <c r="AC13" s="11">
        <f>'QTR P&amp;L'!AF2*'BS DRIVERS'!AC11</f>
        <v>9884.9612291922913</v>
      </c>
      <c r="AD13" s="11">
        <f>'QTR P&amp;L'!AG2*'BS DRIVERS'!AD11</f>
        <v>10441.290206138643</v>
      </c>
      <c r="AE13" s="11">
        <f>'QTR P&amp;L'!AH2*'BS DRIVERS'!AE11</f>
        <v>11189.560177826588</v>
      </c>
      <c r="AF13" s="11">
        <f>'QTR P&amp;L'!AI2*'BS DRIVERS'!AF11</f>
        <v>11100.58752922241</v>
      </c>
      <c r="AG13" s="11">
        <f>'QTR P&amp;L'!AJ2*'BS DRIVERS'!AG11</f>
        <v>10032.228268800951</v>
      </c>
      <c r="AH13" s="11">
        <f>'QTR P&amp;L'!AK2*'BS DRIVERS'!AH11</f>
        <v>10596.845484778674</v>
      </c>
      <c r="AI13" s="11">
        <f>'QTR P&amp;L'!AL2*'BS DRIVERS'!AI11</f>
        <v>11356.263249665153</v>
      </c>
      <c r="AJ13" s="11">
        <f>'QTR P&amp;L'!AM2*'BS DRIVERS'!AJ11</f>
        <v>11265.965078556404</v>
      </c>
      <c r="AK13" s="11">
        <f>'QTR P&amp;L'!AN2*'BS DRIVERS'!AK11</f>
        <v>10181.689305983524</v>
      </c>
      <c r="AL13" s="11">
        <f>'QTR P&amp;L'!AO2*'BS DRIVERS'!AL11</f>
        <v>10754.718239921614</v>
      </c>
    </row>
    <row r="14" spans="1:38" x14ac:dyDescent="0.25">
      <c r="A14" s="3" t="s">
        <v>43</v>
      </c>
      <c r="B14" s="4">
        <f>'BALANCE SHEET'!B14</f>
        <v>8645</v>
      </c>
      <c r="C14" s="4">
        <f>'YTD BS'!C14</f>
        <v>11717</v>
      </c>
      <c r="D14" s="4">
        <f>'YTD BS'!D14</f>
        <v>14300</v>
      </c>
      <c r="E14" s="4">
        <f>'YTD BS'!E14</f>
        <v>13717</v>
      </c>
      <c r="F14" s="4">
        <f>'BALANCE SHEET'!C14</f>
        <v>10229</v>
      </c>
      <c r="G14" s="4">
        <f>'YTD BS'!G14</f>
        <v>11811</v>
      </c>
      <c r="H14" s="4">
        <f>'YTD BS'!H14</f>
        <v>10616</v>
      </c>
      <c r="I14" s="4">
        <f>'YTD BS'!I14</f>
        <v>7729</v>
      </c>
      <c r="J14" s="4">
        <f>'BALANCE SHEET'!D14</f>
        <v>7191</v>
      </c>
      <c r="K14" s="4">
        <f>'YTD BS'!K14</f>
        <v>10409</v>
      </c>
      <c r="L14" s="4">
        <f>'YTD BS'!L14</f>
        <v>9424</v>
      </c>
      <c r="M14" s="4">
        <f>'YTD BS'!M14</f>
        <v>9889</v>
      </c>
      <c r="N14" s="4">
        <f>'BALANCE SHEET'!E14</f>
        <v>9513</v>
      </c>
      <c r="O14" s="4">
        <f>'YTD BS'!O14</f>
        <v>11631</v>
      </c>
      <c r="P14" s="4">
        <f>'YTD BS'!P14</f>
        <v>11062</v>
      </c>
      <c r="Q14" s="11">
        <f>'BS DRIVERS'!Q12</f>
        <v>11062</v>
      </c>
      <c r="R14" s="11">
        <f>'BS DRIVERS'!R12</f>
        <v>11062</v>
      </c>
      <c r="S14" s="11">
        <f>'BS DRIVERS'!S12</f>
        <v>11062</v>
      </c>
      <c r="T14" s="11">
        <f>'BS DRIVERS'!T12</f>
        <v>11062</v>
      </c>
      <c r="U14" s="11">
        <f>'BS DRIVERS'!U12</f>
        <v>11062</v>
      </c>
      <c r="V14" s="11">
        <f>'BS DRIVERS'!V12</f>
        <v>11062</v>
      </c>
      <c r="W14" s="11">
        <f>'BS DRIVERS'!W12</f>
        <v>11062</v>
      </c>
      <c r="X14" s="11">
        <f>'BS DRIVERS'!X12</f>
        <v>11062</v>
      </c>
      <c r="Y14" s="11">
        <f>'BS DRIVERS'!Y12</f>
        <v>11062</v>
      </c>
      <c r="Z14" s="11">
        <f>'BS DRIVERS'!Z12</f>
        <v>11062</v>
      </c>
      <c r="AA14" s="11">
        <f>'BS DRIVERS'!AA12</f>
        <v>11062</v>
      </c>
      <c r="AB14" s="11">
        <f>'BS DRIVERS'!AB12</f>
        <v>11062</v>
      </c>
      <c r="AC14" s="11">
        <f>'BS DRIVERS'!AC12</f>
        <v>11062</v>
      </c>
      <c r="AD14" s="11">
        <f>'BS DRIVERS'!AD12</f>
        <v>11062</v>
      </c>
      <c r="AE14" s="11">
        <f>'BS DRIVERS'!AE12</f>
        <v>11062</v>
      </c>
      <c r="AF14" s="11">
        <f>'BS DRIVERS'!AF12</f>
        <v>11062</v>
      </c>
      <c r="AG14" s="11">
        <f>'BS DRIVERS'!AG12</f>
        <v>11062</v>
      </c>
      <c r="AH14" s="11">
        <f>'BS DRIVERS'!AH12</f>
        <v>11062</v>
      </c>
      <c r="AI14" s="11">
        <f>'BS DRIVERS'!AI12</f>
        <v>11062</v>
      </c>
      <c r="AJ14" s="11">
        <f>'BS DRIVERS'!AJ12</f>
        <v>11062</v>
      </c>
      <c r="AK14" s="11">
        <f>'BS DRIVERS'!AK12</f>
        <v>11062</v>
      </c>
      <c r="AL14" s="11">
        <f>'BS DRIVERS'!AL12</f>
        <v>11062</v>
      </c>
    </row>
    <row r="15" spans="1:38" x14ac:dyDescent="0.25">
      <c r="A15" s="3" t="s">
        <v>44</v>
      </c>
      <c r="B15" s="6">
        <f>'BALANCE SHEET'!B15</f>
        <v>33081</v>
      </c>
      <c r="C15" s="6">
        <f>'YTD BS'!C15</f>
        <v>36618</v>
      </c>
      <c r="D15" s="6">
        <f>'YTD BS'!D15</f>
        <v>38746</v>
      </c>
      <c r="E15" s="6">
        <f>'YTD BS'!E15</f>
        <v>38030</v>
      </c>
      <c r="F15" s="6">
        <f>'BALANCE SHEET'!C15</f>
        <v>35756</v>
      </c>
      <c r="G15" s="6">
        <f>'YTD BS'!G15</f>
        <v>37158</v>
      </c>
      <c r="H15" s="6">
        <f>'YTD BS'!H15</f>
        <v>35950</v>
      </c>
      <c r="I15" s="6">
        <f>'YTD BS'!I15</f>
        <v>32341</v>
      </c>
      <c r="J15" s="6">
        <f>'BALANCE SHEET'!D15</f>
        <v>33628</v>
      </c>
      <c r="K15" s="6">
        <f>'YTD BS'!K15</f>
        <v>36420</v>
      </c>
      <c r="L15" s="6">
        <f>'YTD BS'!L15</f>
        <v>33798</v>
      </c>
      <c r="M15" s="6">
        <f>'YTD BS'!M15</f>
        <v>34248</v>
      </c>
      <c r="N15" s="6">
        <f>'BALANCE SHEET'!E15</f>
        <v>36058</v>
      </c>
      <c r="O15" s="6">
        <f>'YTD BS'!O15</f>
        <v>37996</v>
      </c>
      <c r="P15" s="6">
        <f>'YTD BS'!P15</f>
        <v>36698</v>
      </c>
      <c r="Q15" s="7">
        <f t="shared" ref="Q15:AL15" si="2">SUM(Q12:Q14)</f>
        <v>34230.701946805595</v>
      </c>
      <c r="R15" s="7">
        <f t="shared" si="2"/>
        <v>35534.644365231696</v>
      </c>
      <c r="S15" s="7">
        <f t="shared" si="2"/>
        <v>37288.464491362756</v>
      </c>
      <c r="T15" s="7">
        <f t="shared" si="2"/>
        <v>37079.927428937022</v>
      </c>
      <c r="U15" s="7">
        <f t="shared" si="2"/>
        <v>34575.871347895918</v>
      </c>
      <c r="V15" s="7">
        <f t="shared" si="2"/>
        <v>35899.240017505967</v>
      </c>
      <c r="W15" s="7">
        <f t="shared" si="2"/>
        <v>37679.188713288735</v>
      </c>
      <c r="X15" s="7">
        <f t="shared" si="2"/>
        <v>37467.544846989913</v>
      </c>
      <c r="Y15" s="7">
        <f t="shared" si="2"/>
        <v>34926.183113704072</v>
      </c>
      <c r="Z15" s="7">
        <f t="shared" si="2"/>
        <v>36269.267448531784</v>
      </c>
      <c r="AA15" s="7">
        <f t="shared" si="2"/>
        <v>38075.733979742079</v>
      </c>
      <c r="AB15" s="7">
        <f t="shared" si="2"/>
        <v>37860.937024127226</v>
      </c>
      <c r="AC15" s="7">
        <f t="shared" si="2"/>
        <v>35281.713855641174</v>
      </c>
      <c r="AD15" s="7">
        <f t="shared" si="2"/>
        <v>36644.807581436515</v>
      </c>
      <c r="AE15" s="7">
        <f t="shared" si="2"/>
        <v>38478.187013166622</v>
      </c>
      <c r="AF15" s="7">
        <f t="shared" si="2"/>
        <v>38260.189993228109</v>
      </c>
      <c r="AG15" s="7">
        <f t="shared" si="2"/>
        <v>35642.541326481994</v>
      </c>
      <c r="AH15" s="7">
        <f t="shared" si="2"/>
        <v>37025.942544947538</v>
      </c>
      <c r="AI15" s="7">
        <f t="shared" si="2"/>
        <v>38886.635828004954</v>
      </c>
      <c r="AJ15" s="7">
        <f t="shared" si="2"/>
        <v>38665.391068897254</v>
      </c>
      <c r="AK15" s="7">
        <f t="shared" si="2"/>
        <v>36008.744437369169</v>
      </c>
      <c r="AL15" s="7">
        <f t="shared" si="2"/>
        <v>37412.755691353392</v>
      </c>
    </row>
    <row r="16" spans="1:38" x14ac:dyDescent="0.25">
      <c r="A16" s="3" t="s">
        <v>45</v>
      </c>
      <c r="B16" s="4">
        <f>'BALANCE SHEET'!B16</f>
        <v>22848</v>
      </c>
      <c r="C16" s="4">
        <f>'YTD BS'!C16</f>
        <v>21286</v>
      </c>
      <c r="D16" s="4">
        <f>'YTD BS'!D16</f>
        <v>20582</v>
      </c>
      <c r="E16" s="4">
        <f>'YTD BS'!E16</f>
        <v>22874</v>
      </c>
      <c r="F16" s="4">
        <f>'BALANCE SHEET'!C16</f>
        <v>24378</v>
      </c>
      <c r="G16" s="4">
        <f>'YTD BS'!G16</f>
        <v>24069</v>
      </c>
      <c r="H16" s="4">
        <f>'YTD BS'!H16</f>
        <v>23096</v>
      </c>
      <c r="I16" s="4">
        <f>'YTD BS'!I16</f>
        <v>24253</v>
      </c>
      <c r="J16" s="4">
        <f>'BALANCE SHEET'!D16</f>
        <v>25269</v>
      </c>
      <c r="K16" s="4">
        <f>'YTD BS'!K16</f>
        <v>25744</v>
      </c>
      <c r="L16" s="4">
        <f>'YTD BS'!L16</f>
        <v>25263</v>
      </c>
      <c r="M16" s="4">
        <f>'YTD BS'!M16</f>
        <v>24252</v>
      </c>
      <c r="N16" s="4">
        <f>'BALANCE SHEET'!E16</f>
        <v>24995</v>
      </c>
      <c r="O16" s="4">
        <f>'YTD BS'!O16</f>
        <v>24315</v>
      </c>
      <c r="P16" s="4">
        <f>'YTD BS'!P16</f>
        <v>25577</v>
      </c>
      <c r="Q16" s="11">
        <f>'BS DRIVERS'!Q13</f>
        <v>25577</v>
      </c>
      <c r="R16" s="11">
        <f>'BS DRIVERS'!R13</f>
        <v>25577</v>
      </c>
      <c r="S16" s="11">
        <f>'BS DRIVERS'!S13</f>
        <v>25577</v>
      </c>
      <c r="T16" s="11">
        <f>'BS DRIVERS'!T13</f>
        <v>25577</v>
      </c>
      <c r="U16" s="11">
        <f>'BS DRIVERS'!U13</f>
        <v>25577</v>
      </c>
      <c r="V16" s="11">
        <f>'BS DRIVERS'!V13</f>
        <v>25577</v>
      </c>
      <c r="W16" s="11">
        <f>'BS DRIVERS'!W13</f>
        <v>25577</v>
      </c>
      <c r="X16" s="11">
        <f>'BS DRIVERS'!X13</f>
        <v>25577</v>
      </c>
      <c r="Y16" s="11">
        <f>'BS DRIVERS'!Y13</f>
        <v>25577</v>
      </c>
      <c r="Z16" s="11">
        <f>'BS DRIVERS'!Z13</f>
        <v>25577</v>
      </c>
      <c r="AA16" s="11">
        <f>'BS DRIVERS'!AA13</f>
        <v>25577</v>
      </c>
      <c r="AB16" s="11">
        <f>'BS DRIVERS'!AB13</f>
        <v>25577</v>
      </c>
      <c r="AC16" s="11">
        <f>'BS DRIVERS'!AC13</f>
        <v>25577</v>
      </c>
      <c r="AD16" s="11">
        <f>'BS DRIVERS'!AD13</f>
        <v>25577</v>
      </c>
      <c r="AE16" s="11">
        <f>'BS DRIVERS'!AE13</f>
        <v>25577</v>
      </c>
      <c r="AF16" s="11">
        <f>'BS DRIVERS'!AF13</f>
        <v>25577</v>
      </c>
      <c r="AG16" s="11">
        <f>'BS DRIVERS'!AG13</f>
        <v>25577</v>
      </c>
      <c r="AH16" s="11">
        <f>'BS DRIVERS'!AH13</f>
        <v>25577</v>
      </c>
      <c r="AI16" s="11">
        <f>'BS DRIVERS'!AI13</f>
        <v>25577</v>
      </c>
      <c r="AJ16" s="11">
        <f>'BS DRIVERS'!AJ13</f>
        <v>25577</v>
      </c>
      <c r="AK16" s="11">
        <f>'BS DRIVERS'!AK13</f>
        <v>25577</v>
      </c>
      <c r="AL16" s="11">
        <f>'BS DRIVERS'!AL13</f>
        <v>25577</v>
      </c>
    </row>
    <row r="17" spans="1:38" x14ac:dyDescent="0.25">
      <c r="A17" s="3" t="s">
        <v>46</v>
      </c>
      <c r="B17" s="4">
        <f>'BALANCE SHEET'!B17</f>
        <v>6809</v>
      </c>
      <c r="C17" s="4">
        <f>'YTD BS'!C17</f>
        <v>6986</v>
      </c>
      <c r="D17" s="4">
        <f>'YTD BS'!D17</f>
        <v>6462</v>
      </c>
      <c r="E17" s="4">
        <f>'YTD BS'!E17</f>
        <v>6422</v>
      </c>
      <c r="F17" s="4">
        <f>'BALANCE SHEET'!C17</f>
        <v>6478</v>
      </c>
      <c r="G17" s="4">
        <f>'YTD BS'!G17</f>
        <v>6814</v>
      </c>
      <c r="H17" s="4">
        <f>'YTD BS'!H17</f>
        <v>6219</v>
      </c>
      <c r="I17" s="4">
        <f>'YTD BS'!I17</f>
        <v>6284</v>
      </c>
      <c r="J17" s="4">
        <f>'BALANCE SHEET'!D17</f>
        <v>6516</v>
      </c>
      <c r="K17" s="4">
        <f>'YTD BS'!K17</f>
        <v>6420</v>
      </c>
      <c r="L17" s="4">
        <f>'YTD BS'!L17</f>
        <v>6725</v>
      </c>
      <c r="M17" s="4">
        <f>'YTD BS'!M17</f>
        <v>6481</v>
      </c>
      <c r="N17" s="4">
        <f>'BALANCE SHEET'!E17</f>
        <v>5774</v>
      </c>
      <c r="O17" s="4">
        <f>'YTD BS'!O17</f>
        <v>5893</v>
      </c>
      <c r="P17" s="4">
        <f>'YTD BS'!P17</f>
        <v>5974</v>
      </c>
      <c r="Q17" s="11">
        <f>'BS DRIVERS'!Q14</f>
        <v>5974</v>
      </c>
      <c r="R17" s="11">
        <f>'BS DRIVERS'!R14</f>
        <v>5974</v>
      </c>
      <c r="S17" s="11">
        <f>'BS DRIVERS'!S14</f>
        <v>5974</v>
      </c>
      <c r="T17" s="11">
        <f>'BS DRIVERS'!T14</f>
        <v>5974</v>
      </c>
      <c r="U17" s="11">
        <f>'BS DRIVERS'!U14</f>
        <v>5974</v>
      </c>
      <c r="V17" s="11">
        <f>'BS DRIVERS'!V14</f>
        <v>5974</v>
      </c>
      <c r="W17" s="11">
        <f>'BS DRIVERS'!W14</f>
        <v>5974</v>
      </c>
      <c r="X17" s="11">
        <f>'BS DRIVERS'!X14</f>
        <v>5974</v>
      </c>
      <c r="Y17" s="11">
        <f>'BS DRIVERS'!Y14</f>
        <v>5974</v>
      </c>
      <c r="Z17" s="11">
        <f>'BS DRIVERS'!Z14</f>
        <v>5974</v>
      </c>
      <c r="AA17" s="11">
        <f>'BS DRIVERS'!AA14</f>
        <v>5974</v>
      </c>
      <c r="AB17" s="11">
        <f>'BS DRIVERS'!AB14</f>
        <v>5974</v>
      </c>
      <c r="AC17" s="11">
        <f>'BS DRIVERS'!AC14</f>
        <v>5974</v>
      </c>
      <c r="AD17" s="11">
        <f>'BS DRIVERS'!AD14</f>
        <v>5974</v>
      </c>
      <c r="AE17" s="11">
        <f>'BS DRIVERS'!AE14</f>
        <v>5974</v>
      </c>
      <c r="AF17" s="11">
        <f>'BS DRIVERS'!AF14</f>
        <v>5974</v>
      </c>
      <c r="AG17" s="11">
        <f>'BS DRIVERS'!AG14</f>
        <v>5974</v>
      </c>
      <c r="AH17" s="11">
        <f>'BS DRIVERS'!AH14</f>
        <v>5974</v>
      </c>
      <c r="AI17" s="11">
        <f>'BS DRIVERS'!AI14</f>
        <v>5974</v>
      </c>
      <c r="AJ17" s="11">
        <f>'BS DRIVERS'!AJ14</f>
        <v>5974</v>
      </c>
      <c r="AK17" s="11">
        <f>'BS DRIVERS'!AK14</f>
        <v>5974</v>
      </c>
      <c r="AL17" s="11">
        <f>'BS DRIVERS'!AL14</f>
        <v>5974</v>
      </c>
    </row>
    <row r="18" spans="1:38" x14ac:dyDescent="0.25">
      <c r="A18" s="3" t="s">
        <v>47</v>
      </c>
      <c r="B18" s="4">
        <f>'BALANCE SHEET'!B18</f>
        <v>7616</v>
      </c>
      <c r="C18" s="4">
        <f>'YTD BS'!C18</f>
        <v>7058</v>
      </c>
      <c r="D18" s="4">
        <f>'YTD BS'!D18</f>
        <v>7200</v>
      </c>
      <c r="E18" s="4">
        <f>'YTD BS'!E18</f>
        <v>7104</v>
      </c>
      <c r="F18" s="4">
        <f>'BALANCE SHEET'!C18</f>
        <v>7152</v>
      </c>
      <c r="G18" s="4">
        <f>'YTD BS'!G18</f>
        <v>6477</v>
      </c>
      <c r="H18" s="4">
        <f>'YTD BS'!H18</f>
        <v>6614</v>
      </c>
      <c r="I18" s="4">
        <f>'YTD BS'!I18</f>
        <v>6386</v>
      </c>
      <c r="J18" s="4">
        <f>'BALANCE SHEET'!D18</f>
        <v>6398</v>
      </c>
      <c r="K18" s="4">
        <f>'YTD BS'!K18</f>
        <v>5757</v>
      </c>
      <c r="L18" s="4">
        <f>'YTD BS'!L18</f>
        <v>5411</v>
      </c>
      <c r="M18" s="4">
        <f>'YTD BS'!M18</f>
        <v>5458</v>
      </c>
      <c r="N18" s="4">
        <f>'BALANCE SHEET'!E18</f>
        <v>6120</v>
      </c>
      <c r="O18" s="4">
        <f>'YTD BS'!O18</f>
        <v>5844</v>
      </c>
      <c r="P18" s="4">
        <f>'YTD BS'!P18</f>
        <v>5719</v>
      </c>
      <c r="Q18" s="11">
        <f>'QTR P&amp;L'!T2*'BS DRIVERS'!Q15</f>
        <v>5168.583493282149</v>
      </c>
      <c r="R18" s="11">
        <f>'QTR P&amp;L'!U2*'BS DRIVERS'!R15</f>
        <v>5459.4731285988482</v>
      </c>
      <c r="S18" s="11">
        <f>'QTR P&amp;L'!V2*'BS DRIVERS'!S15</f>
        <v>5850.7236084452961</v>
      </c>
      <c r="T18" s="11">
        <f>'QTR P&amp;L'!W2*'BS DRIVERS'!T15</f>
        <v>5804.2021753039016</v>
      </c>
      <c r="U18" s="11">
        <f>'QTR P&amp;L'!X2*'BS DRIVERS'!U15</f>
        <v>5245.5855140668109</v>
      </c>
      <c r="V18" s="11">
        <f>'QTR P&amp;L'!Y2*'BS DRIVERS'!V15</f>
        <v>5540.8088492790057</v>
      </c>
      <c r="W18" s="11">
        <f>'QTR P&amp;L'!Z2*'BS DRIVERS'!W15</f>
        <v>5937.8882138905556</v>
      </c>
      <c r="X18" s="11">
        <f>'QTR P&amp;L'!AA2*'BS DRIVERS'!X15</f>
        <v>5890.6737002627297</v>
      </c>
      <c r="Y18" s="11">
        <f>'QTR P&amp;L'!AB2*'BS DRIVERS'!Y15</f>
        <v>5323.7347178683731</v>
      </c>
      <c r="Z18" s="11">
        <f>'QTR P&amp;L'!AC2*'BS DRIVERS'!Z15</f>
        <v>5623.3563168260744</v>
      </c>
      <c r="AA18" s="11">
        <f>'QTR P&amp;L'!AD2*'BS DRIVERS'!AA15</f>
        <v>6026.3514054511224</v>
      </c>
      <c r="AB18" s="11">
        <f>'QTR P&amp;L'!AE2*'BS DRIVERS'!AB15</f>
        <v>5978.4334857615704</v>
      </c>
      <c r="AC18" s="11">
        <f>'QTR P&amp;L'!AF2*'BS DRIVERS'!AC15</f>
        <v>5403.048195522385</v>
      </c>
      <c r="AD18" s="11">
        <f>'QTR P&amp;L'!AG2*'BS DRIVERS'!AD15</f>
        <v>5707.1335839536359</v>
      </c>
      <c r="AE18" s="11">
        <f>'QTR P&amp;L'!AH2*'BS DRIVERS'!AE15</f>
        <v>6116.132529579495</v>
      </c>
      <c r="AF18" s="11">
        <f>'QTR P&amp;L'!AI2*'BS DRIVERS'!AF15</f>
        <v>6067.5007244215767</v>
      </c>
      <c r="AG18" s="11">
        <f>'QTR P&amp;L'!AJ2*'BS DRIVERS'!AG15</f>
        <v>5483.5432924851984</v>
      </c>
      <c r="AH18" s="11">
        <f>'QTR P&amp;L'!AK2*'BS DRIVERS'!AH15</f>
        <v>5792.1589723262196</v>
      </c>
      <c r="AI18" s="11">
        <f>'QTR P&amp;L'!AL2*'BS DRIVERS'!AI15</f>
        <v>6207.2512209533597</v>
      </c>
      <c r="AJ18" s="11">
        <f>'QTR P&amp;L'!AM2*'BS DRIVERS'!AJ15</f>
        <v>6157.8948947972931</v>
      </c>
      <c r="AK18" s="11">
        <f>'QTR P&amp;L'!AN2*'BS DRIVERS'!AK15</f>
        <v>5565.2376126273321</v>
      </c>
      <c r="AL18" s="11">
        <f>'QTR P&amp;L'!AO2*'BS DRIVERS'!AL15</f>
        <v>5878.4510765661589</v>
      </c>
    </row>
    <row r="19" spans="1:38" x14ac:dyDescent="0.25">
      <c r="A19" s="3" t="s">
        <v>48</v>
      </c>
      <c r="B19" s="6">
        <f>'BALANCE SHEET'!B19</f>
        <v>70354</v>
      </c>
      <c r="C19" s="6">
        <f>'YTD BS'!C19</f>
        <v>71948</v>
      </c>
      <c r="D19" s="6">
        <f>'YTD BS'!D19</f>
        <v>72990</v>
      </c>
      <c r="E19" s="6">
        <f>'YTD BS'!E19</f>
        <v>74430</v>
      </c>
      <c r="F19" s="6">
        <f>'BALANCE SHEET'!C19</f>
        <v>73764</v>
      </c>
      <c r="G19" s="6">
        <f>'YTD BS'!G19</f>
        <v>74518</v>
      </c>
      <c r="H19" s="6">
        <f>'YTD BS'!H19</f>
        <v>71879</v>
      </c>
      <c r="I19" s="6">
        <f>'YTD BS'!I19</f>
        <v>69264</v>
      </c>
      <c r="J19" s="6">
        <f>'BALANCE SHEET'!D19</f>
        <v>71811</v>
      </c>
      <c r="K19" s="6">
        <f>'YTD BS'!K19</f>
        <v>74341</v>
      </c>
      <c r="L19" s="6">
        <f>'YTD BS'!L19</f>
        <v>71197</v>
      </c>
      <c r="M19" s="6">
        <f>'YTD BS'!M19</f>
        <v>70439</v>
      </c>
      <c r="N19" s="6">
        <f>'BALANCE SHEET'!E19</f>
        <v>72947</v>
      </c>
      <c r="O19" s="6">
        <f>'YTD BS'!O19</f>
        <v>74048</v>
      </c>
      <c r="P19" s="6">
        <f>'YTD BS'!P19</f>
        <v>73968</v>
      </c>
      <c r="Q19" s="7">
        <f t="shared" ref="Q19:AL19" si="3">Q15+SUM(Q16:Q18)</f>
        <v>70950.28544008774</v>
      </c>
      <c r="R19" s="7">
        <f t="shared" si="3"/>
        <v>72545.117493830534</v>
      </c>
      <c r="S19" s="7">
        <f t="shared" si="3"/>
        <v>74690.18809980806</v>
      </c>
      <c r="T19" s="7">
        <f t="shared" si="3"/>
        <v>74435.129604240923</v>
      </c>
      <c r="U19" s="7">
        <f t="shared" si="3"/>
        <v>71372.456861962739</v>
      </c>
      <c r="V19" s="7">
        <f t="shared" si="3"/>
        <v>72991.048866784971</v>
      </c>
      <c r="W19" s="7">
        <f t="shared" si="3"/>
        <v>75168.076927179296</v>
      </c>
      <c r="X19" s="7">
        <f t="shared" si="3"/>
        <v>74909.218547252647</v>
      </c>
      <c r="Y19" s="7">
        <f t="shared" si="3"/>
        <v>71800.917831572442</v>
      </c>
      <c r="Z19" s="7">
        <f t="shared" si="3"/>
        <v>73443.623765357857</v>
      </c>
      <c r="AA19" s="7">
        <f t="shared" si="3"/>
        <v>75653.085385193204</v>
      </c>
      <c r="AB19" s="7">
        <f t="shared" si="3"/>
        <v>75390.370509888802</v>
      </c>
      <c r="AC19" s="7">
        <f t="shared" si="3"/>
        <v>72235.762051163561</v>
      </c>
      <c r="AD19" s="7">
        <f t="shared" si="3"/>
        <v>73902.941165390148</v>
      </c>
      <c r="AE19" s="7">
        <f t="shared" si="3"/>
        <v>76145.319542746118</v>
      </c>
      <c r="AF19" s="7">
        <f t="shared" si="3"/>
        <v>75878.690717649675</v>
      </c>
      <c r="AG19" s="7">
        <f t="shared" si="3"/>
        <v>72677.084618967201</v>
      </c>
      <c r="AH19" s="7">
        <f t="shared" si="3"/>
        <v>74369.101517273753</v>
      </c>
      <c r="AI19" s="7">
        <f t="shared" si="3"/>
        <v>76644.887048958306</v>
      </c>
      <c r="AJ19" s="7">
        <f t="shared" si="3"/>
        <v>76374.28596369455</v>
      </c>
      <c r="AK19" s="7">
        <f t="shared" si="3"/>
        <v>73124.982049996499</v>
      </c>
      <c r="AL19" s="7">
        <f t="shared" si="3"/>
        <v>74842.206767919561</v>
      </c>
    </row>
    <row r="20" spans="1:38" x14ac:dyDescent="0.25">
      <c r="A20" s="3" t="s">
        <v>49</v>
      </c>
      <c r="B20" s="4">
        <f>'BALANCE SHEET'!B20</f>
        <v>843</v>
      </c>
      <c r="C20" s="4">
        <f>'YTD BS'!C20</f>
        <v>834</v>
      </c>
      <c r="D20" s="4">
        <f>'YTD BS'!D20</f>
        <v>831</v>
      </c>
      <c r="E20" s="4">
        <f>'YTD BS'!E20</f>
        <v>822</v>
      </c>
      <c r="F20" s="4">
        <f>'BALANCE SHEET'!C20</f>
        <v>819</v>
      </c>
      <c r="G20" s="4">
        <f>'YTD BS'!G20</f>
        <v>812</v>
      </c>
      <c r="H20" s="4">
        <f>'YTD BS'!H20</f>
        <v>809</v>
      </c>
      <c r="I20" s="4">
        <f>'YTD BS'!I20</f>
        <v>801</v>
      </c>
      <c r="J20" s="4">
        <f>'BALANCE SHEET'!D20</f>
        <v>798</v>
      </c>
      <c r="K20" s="4">
        <f>'YTD BS'!K20</f>
        <v>791</v>
      </c>
      <c r="L20" s="4">
        <f>'YTD BS'!L20</f>
        <v>788</v>
      </c>
      <c r="M20" s="4">
        <f>'YTD BS'!M20</f>
        <v>781</v>
      </c>
      <c r="N20" s="4">
        <f>'BALANCE SHEET'!E20</f>
        <v>777</v>
      </c>
      <c r="O20" s="4">
        <f>'YTD BS'!O20</f>
        <v>770</v>
      </c>
      <c r="P20" s="4">
        <f>'YTD BS'!P20</f>
        <v>767</v>
      </c>
      <c r="Q20" s="11">
        <f>'BS DRIVERS'!Q16</f>
        <v>767</v>
      </c>
      <c r="R20" s="11">
        <f>'BS DRIVERS'!R16</f>
        <v>767</v>
      </c>
      <c r="S20" s="11">
        <f>'BS DRIVERS'!S16</f>
        <v>767</v>
      </c>
      <c r="T20" s="11">
        <f>'BS DRIVERS'!T16</f>
        <v>767</v>
      </c>
      <c r="U20" s="11">
        <f>'BS DRIVERS'!U16</f>
        <v>767</v>
      </c>
      <c r="V20" s="11">
        <f>'BS DRIVERS'!V16</f>
        <v>767</v>
      </c>
      <c r="W20" s="11">
        <f>'BS DRIVERS'!W16</f>
        <v>767</v>
      </c>
      <c r="X20" s="11">
        <f>'BS DRIVERS'!X16</f>
        <v>767</v>
      </c>
      <c r="Y20" s="11">
        <f>'BS DRIVERS'!Y16</f>
        <v>767</v>
      </c>
      <c r="Z20" s="11">
        <f>'BS DRIVERS'!Z16</f>
        <v>767</v>
      </c>
      <c r="AA20" s="11">
        <f>'BS DRIVERS'!AA16</f>
        <v>767</v>
      </c>
      <c r="AB20" s="11">
        <f>'BS DRIVERS'!AB16</f>
        <v>767</v>
      </c>
      <c r="AC20" s="11">
        <f>'BS DRIVERS'!AC16</f>
        <v>767</v>
      </c>
      <c r="AD20" s="11">
        <f>'BS DRIVERS'!AD16</f>
        <v>767</v>
      </c>
      <c r="AE20" s="11">
        <f>'BS DRIVERS'!AE16</f>
        <v>767</v>
      </c>
      <c r="AF20" s="11">
        <f>'BS DRIVERS'!AF16</f>
        <v>767</v>
      </c>
      <c r="AG20" s="11">
        <f>'BS DRIVERS'!AG16</f>
        <v>767</v>
      </c>
      <c r="AH20" s="11">
        <f>'BS DRIVERS'!AH16</f>
        <v>767</v>
      </c>
      <c r="AI20" s="11">
        <f>'BS DRIVERS'!AI16</f>
        <v>767</v>
      </c>
      <c r="AJ20" s="11">
        <f>'BS DRIVERS'!AJ16</f>
        <v>767</v>
      </c>
      <c r="AK20" s="11">
        <f>'BS DRIVERS'!AK16</f>
        <v>767</v>
      </c>
      <c r="AL20" s="11">
        <f>'BS DRIVERS'!AL16</f>
        <v>767</v>
      </c>
    </row>
    <row r="21" spans="1:38" x14ac:dyDescent="0.25">
      <c r="A21" s="3" t="s">
        <v>50</v>
      </c>
      <c r="B21" s="4">
        <f>'BALANCE SHEET'!B21</f>
        <v>4009</v>
      </c>
      <c r="C21" s="4">
        <f>'YTD BS'!C21</f>
        <v>4009</v>
      </c>
      <c r="D21" s="4">
        <f>'YTD BS'!D21</f>
        <v>4009</v>
      </c>
      <c r="E21" s="4">
        <f>'YTD BS'!E21</f>
        <v>4009</v>
      </c>
      <c r="F21" s="4">
        <f>'BALANCE SHEET'!C21</f>
        <v>4009</v>
      </c>
      <c r="G21" s="4">
        <f>'YTD BS'!G21</f>
        <v>4009</v>
      </c>
      <c r="H21" s="4">
        <f>'YTD BS'!H21</f>
        <v>4009</v>
      </c>
      <c r="I21" s="4">
        <f>'YTD BS'!I21</f>
        <v>4009</v>
      </c>
      <c r="J21" s="4">
        <f>'BALANCE SHEET'!D21</f>
        <v>4009</v>
      </c>
      <c r="K21" s="4">
        <f>'YTD BS'!K21</f>
        <v>4009</v>
      </c>
      <c r="L21" s="4">
        <f>'YTD BS'!L21</f>
        <v>4009</v>
      </c>
      <c r="M21" s="4">
        <f>'YTD BS'!M21</f>
        <v>4009</v>
      </c>
      <c r="N21" s="4">
        <f>'BALANCE SHEET'!E21</f>
        <v>4009</v>
      </c>
      <c r="O21" s="4">
        <f>'YTD BS'!O21</f>
        <v>4009</v>
      </c>
      <c r="P21" s="4">
        <f>'YTD BS'!P21</f>
        <v>4009</v>
      </c>
      <c r="Q21" s="11">
        <f>'BS DRIVERS'!Q17</f>
        <v>4009</v>
      </c>
      <c r="R21" s="11">
        <f>'BS DRIVERS'!R17</f>
        <v>4009</v>
      </c>
      <c r="S21" s="11">
        <f>'BS DRIVERS'!S17</f>
        <v>4009</v>
      </c>
      <c r="T21" s="11">
        <f>'BS DRIVERS'!T17</f>
        <v>4009</v>
      </c>
      <c r="U21" s="11">
        <f>'BS DRIVERS'!U17</f>
        <v>4009</v>
      </c>
      <c r="V21" s="11">
        <f>'BS DRIVERS'!V17</f>
        <v>4009</v>
      </c>
      <c r="W21" s="11">
        <f>'BS DRIVERS'!W17</f>
        <v>4009</v>
      </c>
      <c r="X21" s="11">
        <f>'BS DRIVERS'!X17</f>
        <v>4009</v>
      </c>
      <c r="Y21" s="11">
        <f>'BS DRIVERS'!Y17</f>
        <v>4009</v>
      </c>
      <c r="Z21" s="11">
        <f>'BS DRIVERS'!Z17</f>
        <v>4009</v>
      </c>
      <c r="AA21" s="11">
        <f>'BS DRIVERS'!AA17</f>
        <v>4009</v>
      </c>
      <c r="AB21" s="11">
        <f>'BS DRIVERS'!AB17</f>
        <v>4009</v>
      </c>
      <c r="AC21" s="11">
        <f>'BS DRIVERS'!AC17</f>
        <v>4009</v>
      </c>
      <c r="AD21" s="11">
        <f>'BS DRIVERS'!AD17</f>
        <v>4009</v>
      </c>
      <c r="AE21" s="11">
        <f>'BS DRIVERS'!AE17</f>
        <v>4009</v>
      </c>
      <c r="AF21" s="11">
        <f>'BS DRIVERS'!AF17</f>
        <v>4009</v>
      </c>
      <c r="AG21" s="11">
        <f>'BS DRIVERS'!AG17</f>
        <v>4009</v>
      </c>
      <c r="AH21" s="11">
        <f>'BS DRIVERS'!AH17</f>
        <v>4009</v>
      </c>
      <c r="AI21" s="11">
        <f>'BS DRIVERS'!AI17</f>
        <v>4009</v>
      </c>
      <c r="AJ21" s="11">
        <f>'BS DRIVERS'!AJ17</f>
        <v>4009</v>
      </c>
      <c r="AK21" s="11">
        <f>'BS DRIVERS'!AK17</f>
        <v>4009</v>
      </c>
      <c r="AL21" s="11">
        <f>'BS DRIVERS'!AL17</f>
        <v>4009</v>
      </c>
    </row>
    <row r="22" spans="1:38" x14ac:dyDescent="0.25">
      <c r="A22" s="3" t="s">
        <v>51</v>
      </c>
      <c r="B22" s="4">
        <f>'BALANCE SHEET'!B22</f>
        <v>65795</v>
      </c>
      <c r="C22" s="4">
        <f>'YTD BS'!C22</f>
        <v>65955</v>
      </c>
      <c r="D22" s="4">
        <f>'YTD BS'!D22</f>
        <v>66145</v>
      </c>
      <c r="E22" s="4">
        <f>'YTD BS'!E22</f>
        <v>66316</v>
      </c>
      <c r="F22" s="4">
        <f>'BALANCE SHEET'!C22</f>
        <v>66556</v>
      </c>
      <c r="G22" s="4">
        <f>'YTD BS'!G22</f>
        <v>66822</v>
      </c>
      <c r="H22" s="4">
        <f>'YTD BS'!H22</f>
        <v>66935</v>
      </c>
      <c r="I22" s="4">
        <f>'YTD BS'!I22</f>
        <v>67395</v>
      </c>
      <c r="J22" s="4">
        <f>'BALANCE SHEET'!D22</f>
        <v>67684</v>
      </c>
      <c r="K22" s="4">
        <f>'YTD BS'!K22</f>
        <v>68102</v>
      </c>
      <c r="L22" s="4">
        <f>'YTD BS'!L22</f>
        <v>68283</v>
      </c>
      <c r="M22" s="4">
        <f>'YTD BS'!M22</f>
        <v>68615</v>
      </c>
      <c r="N22" s="4">
        <f>'BALANCE SHEET'!E22</f>
        <v>68770</v>
      </c>
      <c r="O22" s="4">
        <f>'YTD BS'!O22</f>
        <v>68917</v>
      </c>
      <c r="P22" s="4">
        <f>'YTD BS'!P22</f>
        <v>69010</v>
      </c>
      <c r="Q22" s="11">
        <f>'BS DRIVERS'!Q18</f>
        <v>69137.429668220459</v>
      </c>
      <c r="R22" s="11">
        <f>'BS DRIVERS'!R18</f>
        <v>69272.031121469699</v>
      </c>
      <c r="S22" s="11">
        <f>'BS DRIVERS'!S18</f>
        <v>69416.278722237461</v>
      </c>
      <c r="T22" s="11">
        <f>'BS DRIVERS'!T18</f>
        <v>69559.379352892793</v>
      </c>
      <c r="U22" s="11">
        <f>'BS DRIVERS'!U18</f>
        <v>69688.70747974774</v>
      </c>
      <c r="V22" s="11">
        <f>'BS DRIVERS'!V18</f>
        <v>69825.314237528524</v>
      </c>
      <c r="W22" s="11">
        <f>'BS DRIVERS'!W18</f>
        <v>69971.710851999334</v>
      </c>
      <c r="X22" s="11">
        <f>'BS DRIVERS'!X18</f>
        <v>70116.943408694046</v>
      </c>
      <c r="Y22" s="11">
        <f>'BS DRIVERS'!Y18</f>
        <v>70248.198277590607</v>
      </c>
      <c r="Z22" s="11">
        <f>'BS DRIVERS'!Z18</f>
        <v>70386.840215109842</v>
      </c>
      <c r="AA22" s="11">
        <f>'BS DRIVERS'!AA18</f>
        <v>70535.417859482739</v>
      </c>
      <c r="AB22" s="11">
        <f>'BS DRIVERS'!AB18</f>
        <v>70682.814103842305</v>
      </c>
      <c r="AC22" s="11">
        <f>'BS DRIVERS'!AC18</f>
        <v>70816.024419556357</v>
      </c>
      <c r="AD22" s="11">
        <f>'BS DRIVERS'!AD18</f>
        <v>70956.731857104431</v>
      </c>
      <c r="AE22" s="11">
        <f>'BS DRIVERS'!AE18</f>
        <v>71107.523024558657</v>
      </c>
      <c r="AF22" s="11">
        <f>'BS DRIVERS'!AF18</f>
        <v>71257.115191396122</v>
      </c>
      <c r="AG22" s="11">
        <f>'BS DRIVERS'!AG18</f>
        <v>71392.310086349855</v>
      </c>
      <c r="AH22" s="11">
        <f>'BS DRIVERS'!AH18</f>
        <v>71535.113795931597</v>
      </c>
      <c r="AI22" s="11">
        <f>'BS DRIVERS'!AI18</f>
        <v>71688.151463732691</v>
      </c>
      <c r="AJ22" s="11">
        <f>'BS DRIVERS'!AJ18</f>
        <v>71839.972268098209</v>
      </c>
      <c r="AK22" s="11">
        <f>'BS DRIVERS'!AK18</f>
        <v>71977.181308731262</v>
      </c>
      <c r="AL22" s="11">
        <f>'BS DRIVERS'!AL18</f>
        <v>72122.112520795577</v>
      </c>
    </row>
    <row r="23" spans="1:38" x14ac:dyDescent="0.25">
      <c r="A23" s="3" t="s">
        <v>52</v>
      </c>
      <c r="B23" s="4">
        <f>'BALANCE SHEET'!B23</f>
        <v>-916</v>
      </c>
      <c r="C23" s="4">
        <f>'YTD BS'!C23</f>
        <v>-870</v>
      </c>
      <c r="D23" s="4">
        <f>'YTD BS'!D23</f>
        <v>-870</v>
      </c>
      <c r="E23" s="4">
        <f>'YTD BS'!E23</f>
        <v>-821</v>
      </c>
      <c r="F23" s="4">
        <f>'BALANCE SHEET'!C23</f>
        <v>-821</v>
      </c>
      <c r="G23" s="4">
        <f>'YTD BS'!G23</f>
        <v>-782</v>
      </c>
      <c r="H23" s="4">
        <f>'YTD BS'!H23</f>
        <v>-782</v>
      </c>
      <c r="I23" s="4">
        <f>'YTD BS'!I23</f>
        <v>-737</v>
      </c>
      <c r="J23" s="4">
        <f>'BALANCE SHEET'!D23</f>
        <v>-737</v>
      </c>
      <c r="K23" s="4">
        <f>'YTD BS'!K23</f>
        <v>-707</v>
      </c>
      <c r="L23" s="4">
        <f>'YTD BS'!L23</f>
        <v>-707</v>
      </c>
      <c r="M23" s="4">
        <f>'YTD BS'!M23</f>
        <v>-672</v>
      </c>
      <c r="N23" s="4">
        <f>'BALANCE SHEET'!E23</f>
        <v>-672</v>
      </c>
      <c r="O23" s="4">
        <f>'YTD BS'!O23</f>
        <v>-637</v>
      </c>
      <c r="P23" s="4">
        <f>'YTD BS'!P23</f>
        <v>-637</v>
      </c>
      <c r="Q23" s="11">
        <f>'BS DRIVERS'!Q19</f>
        <v>0</v>
      </c>
      <c r="R23" s="11">
        <f>'BS DRIVERS'!R19</f>
        <v>0</v>
      </c>
      <c r="S23" s="11">
        <f>'BS DRIVERS'!S19</f>
        <v>0</v>
      </c>
      <c r="T23" s="11">
        <f>'BS DRIVERS'!T19</f>
        <v>0</v>
      </c>
      <c r="U23" s="11">
        <f>'BS DRIVERS'!U19</f>
        <v>0</v>
      </c>
      <c r="V23" s="11">
        <f>'BS DRIVERS'!V19</f>
        <v>0</v>
      </c>
      <c r="W23" s="11">
        <f>'BS DRIVERS'!W19</f>
        <v>0</v>
      </c>
      <c r="X23" s="11">
        <f>'BS DRIVERS'!X19</f>
        <v>0</v>
      </c>
      <c r="Y23" s="11">
        <f>'BS DRIVERS'!Y19</f>
        <v>0</v>
      </c>
      <c r="Z23" s="11">
        <f>'BS DRIVERS'!Z19</f>
        <v>0</v>
      </c>
      <c r="AA23" s="11">
        <f>'BS DRIVERS'!AA19</f>
        <v>0</v>
      </c>
      <c r="AB23" s="11">
        <f>'BS DRIVERS'!AB19</f>
        <v>0</v>
      </c>
      <c r="AC23" s="11">
        <f>'BS DRIVERS'!AC19</f>
        <v>0</v>
      </c>
      <c r="AD23" s="11">
        <f>'BS DRIVERS'!AD19</f>
        <v>0</v>
      </c>
      <c r="AE23" s="11">
        <f>'BS DRIVERS'!AE19</f>
        <v>0</v>
      </c>
      <c r="AF23" s="11">
        <f>'BS DRIVERS'!AF19</f>
        <v>0</v>
      </c>
      <c r="AG23" s="11">
        <f>'BS DRIVERS'!AG19</f>
        <v>0</v>
      </c>
      <c r="AH23" s="11">
        <f>'BS DRIVERS'!AH19</f>
        <v>0</v>
      </c>
      <c r="AI23" s="11">
        <f>'BS DRIVERS'!AI19</f>
        <v>0</v>
      </c>
      <c r="AJ23" s="11">
        <f>'BS DRIVERS'!AJ19</f>
        <v>0</v>
      </c>
      <c r="AK23" s="11">
        <f>'BS DRIVERS'!AK19</f>
        <v>0</v>
      </c>
      <c r="AL23" s="11">
        <f>'BS DRIVERS'!AL19</f>
        <v>0</v>
      </c>
    </row>
    <row r="24" spans="1:38" x14ac:dyDescent="0.25">
      <c r="A24" s="3" t="s">
        <v>53</v>
      </c>
      <c r="B24" s="4">
        <f>'BALANCE SHEET'!B24</f>
        <v>-12189</v>
      </c>
      <c r="C24" s="4">
        <f>'YTD BS'!C24</f>
        <v>-12811</v>
      </c>
      <c r="D24" s="4">
        <f>'YTD BS'!D24</f>
        <v>-12506</v>
      </c>
      <c r="E24" s="4">
        <f>'YTD BS'!E24</f>
        <v>-12266</v>
      </c>
      <c r="F24" s="4">
        <f>'BALANCE SHEET'!C24</f>
        <v>-12220</v>
      </c>
      <c r="G24" s="4">
        <f>'YTD BS'!G24</f>
        <v>-12583</v>
      </c>
      <c r="H24" s="4">
        <f>'YTD BS'!H24</f>
        <v>-12167</v>
      </c>
      <c r="I24" s="4">
        <f>'YTD BS'!I24</f>
        <v>-12370</v>
      </c>
      <c r="J24" s="4">
        <f>'BALANCE SHEET'!D24</f>
        <v>-11900</v>
      </c>
      <c r="K24" s="4">
        <f>'YTD BS'!K24</f>
        <v>-10893</v>
      </c>
      <c r="L24" s="4">
        <f>'YTD BS'!L24</f>
        <v>-11637</v>
      </c>
      <c r="M24" s="4">
        <f>'YTD BS'!M24</f>
        <v>-11307</v>
      </c>
      <c r="N24" s="4">
        <f>'BALANCE SHEET'!E24</f>
        <v>-12143</v>
      </c>
      <c r="O24" s="4">
        <f>'YTD BS'!O24</f>
        <v>-12156</v>
      </c>
      <c r="P24" s="4">
        <f>'YTD BS'!P24</f>
        <v>-12108</v>
      </c>
      <c r="Q24" s="11">
        <f>'BS DRIVERS'!Q20</f>
        <v>-12109</v>
      </c>
      <c r="R24" s="11">
        <f>'BS DRIVERS'!R20</f>
        <v>-12110</v>
      </c>
      <c r="S24" s="11">
        <f>'BS DRIVERS'!S20</f>
        <v>-12111</v>
      </c>
      <c r="T24" s="11">
        <f>'BS DRIVERS'!T20</f>
        <v>-12112</v>
      </c>
      <c r="U24" s="11">
        <f>'BS DRIVERS'!U20</f>
        <v>-12113</v>
      </c>
      <c r="V24" s="11">
        <f>'BS DRIVERS'!V20</f>
        <v>-12114</v>
      </c>
      <c r="W24" s="11">
        <f>'BS DRIVERS'!W20</f>
        <v>-12115</v>
      </c>
      <c r="X24" s="11">
        <f>'BS DRIVERS'!X20</f>
        <v>-12116</v>
      </c>
      <c r="Y24" s="11">
        <f>'BS DRIVERS'!Y20</f>
        <v>-12117</v>
      </c>
      <c r="Z24" s="11">
        <f>'BS DRIVERS'!Z20</f>
        <v>-12118</v>
      </c>
      <c r="AA24" s="11">
        <f>'BS DRIVERS'!AA20</f>
        <v>-12119</v>
      </c>
      <c r="AB24" s="11">
        <f>'BS DRIVERS'!AB20</f>
        <v>-12120</v>
      </c>
      <c r="AC24" s="11">
        <f>'BS DRIVERS'!AC20</f>
        <v>-12121</v>
      </c>
      <c r="AD24" s="11">
        <f>'BS DRIVERS'!AD20</f>
        <v>-12122</v>
      </c>
      <c r="AE24" s="11">
        <f>'BS DRIVERS'!AE20</f>
        <v>-12123</v>
      </c>
      <c r="AF24" s="11">
        <f>'BS DRIVERS'!AF20</f>
        <v>-12124</v>
      </c>
      <c r="AG24" s="11">
        <f>'BS DRIVERS'!AG20</f>
        <v>-12125</v>
      </c>
      <c r="AH24" s="11">
        <f>'BS DRIVERS'!AH20</f>
        <v>-12126</v>
      </c>
      <c r="AI24" s="11">
        <f>'BS DRIVERS'!AI20</f>
        <v>-12127</v>
      </c>
      <c r="AJ24" s="11">
        <f>'BS DRIVERS'!AJ20</f>
        <v>-12128</v>
      </c>
      <c r="AK24" s="11">
        <f>'BS DRIVERS'!AK20</f>
        <v>-12129</v>
      </c>
      <c r="AL24" s="11">
        <f>'BS DRIVERS'!AL20</f>
        <v>-12130</v>
      </c>
    </row>
    <row r="25" spans="1:38" x14ac:dyDescent="0.25">
      <c r="A25" s="3" t="s">
        <v>54</v>
      </c>
      <c r="B25" s="4">
        <f>'BALANCE SHEET'!B25</f>
        <v>-123382</v>
      </c>
      <c r="C25" s="4">
        <f>'YTD BS'!C25</f>
        <v>-127205</v>
      </c>
      <c r="D25" s="4">
        <f>'YTD BS'!D25</f>
        <v>-129012</v>
      </c>
      <c r="E25" s="4">
        <f>'YTD BS'!E25</f>
        <v>-130002</v>
      </c>
      <c r="F25" s="4">
        <f>'BALANCE SHEET'!C25</f>
        <v>-129736</v>
      </c>
      <c r="G25" s="4">
        <f>'YTD BS'!G25</f>
        <v>-131029</v>
      </c>
      <c r="H25" s="4">
        <f>'YTD BS'!H25</f>
        <v>-131887</v>
      </c>
      <c r="I25" s="4">
        <f>'YTD BS'!I25</f>
        <v>-132172</v>
      </c>
      <c r="J25" s="4">
        <f>'BALANCE SHEET'!D25</f>
        <v>-133379</v>
      </c>
      <c r="K25" s="4">
        <f>'YTD BS'!K25</f>
        <v>-134823</v>
      </c>
      <c r="L25" s="4">
        <f>'YTD BS'!L25</f>
        <v>-137112</v>
      </c>
      <c r="M25" s="4">
        <f>'YTD BS'!M25</f>
        <v>-138073</v>
      </c>
      <c r="N25" s="4">
        <f>'BALANCE SHEET'!E25</f>
        <v>-138702</v>
      </c>
      <c r="O25" s="4">
        <f>'YTD BS'!O25</f>
        <v>-139845</v>
      </c>
      <c r="P25" s="4">
        <f>'YTD BS'!P25</f>
        <v>-141981</v>
      </c>
      <c r="Q25" s="11">
        <f>'BS DRIVERS'!Q21</f>
        <v>-141981</v>
      </c>
      <c r="R25" s="11">
        <f>'BS DRIVERS'!R21</f>
        <v>-141981</v>
      </c>
      <c r="S25" s="11">
        <f>'BS DRIVERS'!S21</f>
        <v>-141981</v>
      </c>
      <c r="T25" s="11">
        <f>'BS DRIVERS'!T21</f>
        <v>-141981</v>
      </c>
      <c r="U25" s="11">
        <f>'BS DRIVERS'!U21</f>
        <v>-141981</v>
      </c>
      <c r="V25" s="11">
        <f>'BS DRIVERS'!V21</f>
        <v>-141981</v>
      </c>
      <c r="W25" s="11">
        <f>'BS DRIVERS'!W21</f>
        <v>-141981</v>
      </c>
      <c r="X25" s="11">
        <f>'BS DRIVERS'!X21</f>
        <v>-141981</v>
      </c>
      <c r="Y25" s="11">
        <f>'BS DRIVERS'!Y21</f>
        <v>-141981</v>
      </c>
      <c r="Z25" s="11">
        <f>'BS DRIVERS'!Z21</f>
        <v>-141981</v>
      </c>
      <c r="AA25" s="11">
        <f>'BS DRIVERS'!AA21</f>
        <v>-141981</v>
      </c>
      <c r="AB25" s="11">
        <f>'BS DRIVERS'!AB21</f>
        <v>-141981</v>
      </c>
      <c r="AC25" s="11">
        <f>'BS DRIVERS'!AC21</f>
        <v>-141981</v>
      </c>
      <c r="AD25" s="11">
        <f>'BS DRIVERS'!AD21</f>
        <v>-141981</v>
      </c>
      <c r="AE25" s="11">
        <f>'BS DRIVERS'!AE21</f>
        <v>-141981</v>
      </c>
      <c r="AF25" s="11">
        <f>'BS DRIVERS'!AF21</f>
        <v>-141981</v>
      </c>
      <c r="AG25" s="11">
        <f>'BS DRIVERS'!AG21</f>
        <v>-141981</v>
      </c>
      <c r="AH25" s="11">
        <f>'BS DRIVERS'!AH21</f>
        <v>-141981</v>
      </c>
      <c r="AI25" s="11">
        <f>'BS DRIVERS'!AI21</f>
        <v>-141981</v>
      </c>
      <c r="AJ25" s="11">
        <f>'BS DRIVERS'!AJ21</f>
        <v>-141981</v>
      </c>
      <c r="AK25" s="11">
        <f>'BS DRIVERS'!AK21</f>
        <v>-141981</v>
      </c>
      <c r="AL25" s="11">
        <f>'BS DRIVERS'!AL21</f>
        <v>-141981</v>
      </c>
    </row>
    <row r="26" spans="1:38" x14ac:dyDescent="0.25">
      <c r="A26" s="3" t="s">
        <v>55</v>
      </c>
      <c r="B26" s="4">
        <f>'BALANCE SHEET'!B26</f>
        <v>112429</v>
      </c>
      <c r="C26" s="4">
        <f>'YTD BS'!C26</f>
        <v>114163</v>
      </c>
      <c r="D26" s="4">
        <f>'YTD BS'!D26</f>
        <v>115858</v>
      </c>
      <c r="E26" s="4">
        <f>'YTD BS'!E26</f>
        <v>117082</v>
      </c>
      <c r="F26" s="4">
        <f>'BALANCE SHEET'!C26</f>
        <v>118170</v>
      </c>
      <c r="G26" s="4">
        <f>'YTD BS'!G26</f>
        <v>120443</v>
      </c>
      <c r="H26" s="4">
        <f>'YTD BS'!H26</f>
        <v>121617</v>
      </c>
      <c r="I26" s="4">
        <f>'YTD BS'!I26</f>
        <v>123132</v>
      </c>
      <c r="J26" s="4">
        <f>'BALANCE SHEET'!D26</f>
        <v>123811</v>
      </c>
      <c r="K26" s="4">
        <f>'YTD BS'!K26</f>
        <v>125361</v>
      </c>
      <c r="L26" s="4">
        <f>'YTD BS'!L26</f>
        <v>127544</v>
      </c>
      <c r="M26" s="4">
        <f>'YTD BS'!M26</f>
        <v>128919</v>
      </c>
      <c r="N26" s="4">
        <f>'BALANCE SHEET'!E26</f>
        <v>129973</v>
      </c>
      <c r="O26" s="4">
        <f>'YTD BS'!O26</f>
        <v>132212</v>
      </c>
      <c r="P26" s="4">
        <f>'YTD BS'!P26</f>
        <v>133981</v>
      </c>
      <c r="Q26" s="11">
        <f>'BS DRIVERS'!Q22</f>
        <v>135595.88559483073</v>
      </c>
      <c r="R26" s="11">
        <f>'BS DRIVERS'!R22</f>
        <v>137300.67495649593</v>
      </c>
      <c r="S26" s="11">
        <f>'BS DRIVERS'!S22</f>
        <v>139126.38609619456</v>
      </c>
      <c r="T26" s="11">
        <f>'BS DRIVERS'!T22</f>
        <v>140937.71909528534</v>
      </c>
      <c r="U26" s="11">
        <f>'BS DRIVERS'!U22</f>
        <v>142576.40330953017</v>
      </c>
      <c r="V26" s="11">
        <f>'BS DRIVERS'!V22</f>
        <v>144306.330684997</v>
      </c>
      <c r="W26" s="11">
        <f>'BS DRIVERS'!W22</f>
        <v>146158.98134199961</v>
      </c>
      <c r="X26" s="11">
        <f>'BS DRIVERS'!X22</f>
        <v>147997.03965156514</v>
      </c>
      <c r="Y26" s="11">
        <f>'BS DRIVERS'!Y22</f>
        <v>149659.87703919213</v>
      </c>
      <c r="Z26" s="11">
        <f>'BS DRIVERS'!Z22</f>
        <v>151415.31693684644</v>
      </c>
      <c r="AA26" s="11">
        <f>'BS DRIVERS'!AA22</f>
        <v>153295.30845849981</v>
      </c>
      <c r="AB26" s="11">
        <f>'BS DRIVERS'!AB22</f>
        <v>155160.4902346142</v>
      </c>
      <c r="AC26" s="11">
        <f>'BS DRIVERS'!AC22</f>
        <v>156847.84063176822</v>
      </c>
      <c r="AD26" s="11">
        <f>'BS DRIVERS'!AD22</f>
        <v>158629.17313945544</v>
      </c>
      <c r="AE26" s="11">
        <f>'BS DRIVERS'!AE22</f>
        <v>160536.91285241506</v>
      </c>
      <c r="AF26" s="11">
        <f>'BS DRIVERS'!AF22</f>
        <v>162429.62218291746</v>
      </c>
      <c r="AG26" s="11">
        <f>'BS DRIVERS'!AG22</f>
        <v>164141.85078661461</v>
      </c>
      <c r="AH26" s="11">
        <f>'BS DRIVERS'!AH22</f>
        <v>165949.46165476294</v>
      </c>
      <c r="AI26" s="11">
        <f>'BS DRIVERS'!AI22</f>
        <v>167885.36295407341</v>
      </c>
      <c r="AJ26" s="11">
        <f>'BS DRIVERS'!AJ22</f>
        <v>169806.00994693977</v>
      </c>
      <c r="AK26" s="11">
        <f>'BS DRIVERS'!AK22</f>
        <v>171543.48739493405</v>
      </c>
      <c r="AL26" s="11">
        <f>'BS DRIVERS'!AL22</f>
        <v>173377.76812091627</v>
      </c>
    </row>
    <row r="27" spans="1:38" x14ac:dyDescent="0.25">
      <c r="A27" s="3" t="s">
        <v>56</v>
      </c>
      <c r="B27" s="4">
        <f>'BALANCE SHEET'!B27</f>
        <v>265</v>
      </c>
      <c r="C27" s="4">
        <f>'YTD BS'!C27</f>
        <v>259</v>
      </c>
      <c r="D27" s="4">
        <f>'YTD BS'!D27</f>
        <v>270</v>
      </c>
      <c r="E27" s="4">
        <f>'YTD BS'!E27</f>
        <v>281</v>
      </c>
      <c r="F27" s="4">
        <f>'BALANCE SHEET'!C27</f>
        <v>288</v>
      </c>
      <c r="G27" s="4">
        <f>'YTD BS'!G27</f>
        <v>321</v>
      </c>
      <c r="H27" s="4">
        <f>'YTD BS'!H27</f>
        <v>294</v>
      </c>
      <c r="I27" s="4">
        <f>'YTD BS'!I27</f>
        <v>275</v>
      </c>
      <c r="J27" s="4">
        <f>'BALANCE SHEET'!D27</f>
        <v>272</v>
      </c>
      <c r="K27" s="4">
        <f>'YTD BS'!K27</f>
        <v>300</v>
      </c>
      <c r="L27" s="4">
        <f>'YTD BS'!L27</f>
        <v>275</v>
      </c>
      <c r="M27" s="4">
        <f>'YTD BS'!M27</f>
        <v>273</v>
      </c>
      <c r="N27" s="4">
        <f>'BALANCE SHEET'!E27</f>
        <v>272</v>
      </c>
      <c r="O27" s="4">
        <f>'YTD BS'!O27</f>
        <v>281</v>
      </c>
      <c r="P27" s="4">
        <f>'YTD BS'!P27</f>
        <v>276</v>
      </c>
      <c r="Q27" s="11">
        <f>'BS DRIVERS'!Q23</f>
        <v>276</v>
      </c>
      <c r="R27" s="11">
        <f>'BS DRIVERS'!R23</f>
        <v>276</v>
      </c>
      <c r="S27" s="11">
        <f>'BS DRIVERS'!S23</f>
        <v>276</v>
      </c>
      <c r="T27" s="11">
        <f>'BS DRIVERS'!T23</f>
        <v>276</v>
      </c>
      <c r="U27" s="11">
        <f>'BS DRIVERS'!U23</f>
        <v>276</v>
      </c>
      <c r="V27" s="11">
        <f>'BS DRIVERS'!V23</f>
        <v>276</v>
      </c>
      <c r="W27" s="11">
        <f>'BS DRIVERS'!W23</f>
        <v>276</v>
      </c>
      <c r="X27" s="11">
        <f>'BS DRIVERS'!X23</f>
        <v>276</v>
      </c>
      <c r="Y27" s="11">
        <f>'BS DRIVERS'!Y23</f>
        <v>276</v>
      </c>
      <c r="Z27" s="11">
        <f>'BS DRIVERS'!Z23</f>
        <v>276</v>
      </c>
      <c r="AA27" s="11">
        <f>'BS DRIVERS'!AA23</f>
        <v>276</v>
      </c>
      <c r="AB27" s="11">
        <f>'BS DRIVERS'!AB23</f>
        <v>276</v>
      </c>
      <c r="AC27" s="11">
        <f>'BS DRIVERS'!AC23</f>
        <v>276</v>
      </c>
      <c r="AD27" s="11">
        <f>'BS DRIVERS'!AD23</f>
        <v>276</v>
      </c>
      <c r="AE27" s="11">
        <f>'BS DRIVERS'!AE23</f>
        <v>276</v>
      </c>
      <c r="AF27" s="11">
        <f>'BS DRIVERS'!AF23</f>
        <v>276</v>
      </c>
      <c r="AG27" s="11">
        <f>'BS DRIVERS'!AG23</f>
        <v>276</v>
      </c>
      <c r="AH27" s="11">
        <f>'BS DRIVERS'!AH23</f>
        <v>276</v>
      </c>
      <c r="AI27" s="11">
        <f>'BS DRIVERS'!AI23</f>
        <v>276</v>
      </c>
      <c r="AJ27" s="11">
        <f>'BS DRIVERS'!AJ23</f>
        <v>276</v>
      </c>
      <c r="AK27" s="11">
        <f>'BS DRIVERS'!AK23</f>
        <v>276</v>
      </c>
      <c r="AL27" s="11">
        <f>'BS DRIVERS'!AL23</f>
        <v>276</v>
      </c>
    </row>
    <row r="28" spans="1:38" x14ac:dyDescent="0.25">
      <c r="A28" s="3" t="s">
        <v>57</v>
      </c>
      <c r="B28" s="6">
        <f>'BALANCE SHEET'!B28</f>
        <v>46854</v>
      </c>
      <c r="C28" s="6">
        <f>'YTD BS'!C28</f>
        <v>44334</v>
      </c>
      <c r="D28" s="6">
        <f>'YTD BS'!D28</f>
        <v>44725</v>
      </c>
      <c r="E28" s="6">
        <f>'YTD BS'!E28</f>
        <v>45421</v>
      </c>
      <c r="F28" s="6">
        <f>'BALANCE SHEET'!C28</f>
        <v>47065</v>
      </c>
      <c r="G28" s="6">
        <f>'YTD BS'!G28</f>
        <v>48013</v>
      </c>
      <c r="H28" s="6">
        <f>'YTD BS'!H28</f>
        <v>48828</v>
      </c>
      <c r="I28" s="6">
        <f>'YTD BS'!I28</f>
        <v>50333</v>
      </c>
      <c r="J28" s="6">
        <f>'BALANCE SHEET'!D28</f>
        <v>50558</v>
      </c>
      <c r="K28" s="6">
        <f>'YTD BS'!K28</f>
        <v>52140</v>
      </c>
      <c r="L28" s="6">
        <f>'YTD BS'!L28</f>
        <v>51443</v>
      </c>
      <c r="M28" s="6">
        <f>'YTD BS'!M28</f>
        <v>52545</v>
      </c>
      <c r="N28" s="6">
        <f>'BALANCE SHEET'!E28</f>
        <v>52284</v>
      </c>
      <c r="O28" s="6">
        <f>'YTD BS'!O28</f>
        <v>53551</v>
      </c>
      <c r="P28" s="6">
        <f>'YTD BS'!P28</f>
        <v>53317</v>
      </c>
      <c r="Q28" s="7">
        <f t="shared" ref="Q28:AL28" si="4">SUM(Q20:Q27)</f>
        <v>55695.31526305119</v>
      </c>
      <c r="R28" s="7">
        <f t="shared" si="4"/>
        <v>57533.706077965631</v>
      </c>
      <c r="S28" s="7">
        <f t="shared" si="4"/>
        <v>59502.664818432022</v>
      </c>
      <c r="T28" s="7">
        <f t="shared" si="4"/>
        <v>61456.098448178134</v>
      </c>
      <c r="U28" s="7">
        <f t="shared" si="4"/>
        <v>63223.110789277911</v>
      </c>
      <c r="V28" s="7">
        <f t="shared" si="4"/>
        <v>65088.64492252552</v>
      </c>
      <c r="W28" s="7">
        <f t="shared" si="4"/>
        <v>67086.692193998941</v>
      </c>
      <c r="X28" s="7">
        <f t="shared" si="4"/>
        <v>69068.983060259183</v>
      </c>
      <c r="Y28" s="7">
        <f t="shared" si="4"/>
        <v>70862.075316782735</v>
      </c>
      <c r="Z28" s="7">
        <f t="shared" si="4"/>
        <v>72755.157151956286</v>
      </c>
      <c r="AA28" s="7">
        <f t="shared" si="4"/>
        <v>74782.726317982553</v>
      </c>
      <c r="AB28" s="7">
        <f t="shared" si="4"/>
        <v>76794.30433845651</v>
      </c>
      <c r="AC28" s="7">
        <f t="shared" si="4"/>
        <v>78613.865051324581</v>
      </c>
      <c r="AD28" s="7">
        <f t="shared" si="4"/>
        <v>80534.904996559868</v>
      </c>
      <c r="AE28" s="7">
        <f t="shared" si="4"/>
        <v>82592.435876973715</v>
      </c>
      <c r="AF28" s="7">
        <f t="shared" si="4"/>
        <v>84633.737374313583</v>
      </c>
      <c r="AG28" s="7">
        <f t="shared" si="4"/>
        <v>86480.160872964465</v>
      </c>
      <c r="AH28" s="7">
        <f t="shared" si="4"/>
        <v>88429.575450694538</v>
      </c>
      <c r="AI28" s="7">
        <f t="shared" si="4"/>
        <v>90517.514417806102</v>
      </c>
      <c r="AJ28" s="7">
        <f t="shared" si="4"/>
        <v>92588.982215037977</v>
      </c>
      <c r="AK28" s="7">
        <f t="shared" si="4"/>
        <v>94462.668703665317</v>
      </c>
      <c r="AL28" s="7">
        <f t="shared" si="4"/>
        <v>96440.880641711847</v>
      </c>
    </row>
    <row r="29" spans="1:38" x14ac:dyDescent="0.25">
      <c r="A29" s="3" t="s">
        <v>58</v>
      </c>
      <c r="B29" s="6">
        <f>'BALANCE SHEET'!B29</f>
        <v>117208</v>
      </c>
      <c r="C29" s="6">
        <f>'YTD BS'!C29</f>
        <v>116282</v>
      </c>
      <c r="D29" s="6">
        <f>'YTD BS'!D29</f>
        <v>117715</v>
      </c>
      <c r="E29" s="6">
        <f>'YTD BS'!E29</f>
        <v>119851</v>
      </c>
      <c r="F29" s="6">
        <f>'BALANCE SHEET'!C29</f>
        <v>120829</v>
      </c>
      <c r="G29" s="6">
        <f>'YTD BS'!G29</f>
        <v>122531</v>
      </c>
      <c r="H29" s="6">
        <f>'YTD BS'!H29</f>
        <v>120707</v>
      </c>
      <c r="I29" s="6">
        <f>'YTD BS'!I29</f>
        <v>119597</v>
      </c>
      <c r="J29" s="6">
        <f>'BALANCE SHEET'!D29</f>
        <v>122369</v>
      </c>
      <c r="K29" s="6">
        <f>'YTD BS'!K29</f>
        <v>126481</v>
      </c>
      <c r="L29" s="6">
        <f>'YTD BS'!L29</f>
        <v>122640</v>
      </c>
      <c r="M29" s="6">
        <f>'YTD BS'!M29</f>
        <v>122984</v>
      </c>
      <c r="N29" s="6">
        <f>'BALANCE SHEET'!E29</f>
        <v>125231</v>
      </c>
      <c r="O29" s="6">
        <f>'YTD BS'!O29</f>
        <v>127599</v>
      </c>
      <c r="P29" s="6">
        <f>'YTD BS'!P29</f>
        <v>127285</v>
      </c>
      <c r="Q29" s="7">
        <f t="shared" ref="Q29:AL29" si="5">Q19+Q28</f>
        <v>126645.60070313893</v>
      </c>
      <c r="R29" s="7">
        <f t="shared" si="5"/>
        <v>130078.82357179617</v>
      </c>
      <c r="S29" s="7">
        <f t="shared" si="5"/>
        <v>134192.85291824007</v>
      </c>
      <c r="T29" s="7">
        <f t="shared" si="5"/>
        <v>135891.22805241906</v>
      </c>
      <c r="U29" s="7">
        <f t="shared" si="5"/>
        <v>134595.56765124065</v>
      </c>
      <c r="V29" s="7">
        <f t="shared" si="5"/>
        <v>138079.69378931049</v>
      </c>
      <c r="W29" s="7">
        <f t="shared" si="5"/>
        <v>142254.76912117825</v>
      </c>
      <c r="X29" s="7">
        <f t="shared" si="5"/>
        <v>143978.20160751184</v>
      </c>
      <c r="Y29" s="7">
        <f t="shared" si="5"/>
        <v>142662.99314835516</v>
      </c>
      <c r="Z29" s="7">
        <f t="shared" si="5"/>
        <v>146198.78091731414</v>
      </c>
      <c r="AA29" s="7">
        <f t="shared" si="5"/>
        <v>150435.81170317577</v>
      </c>
      <c r="AB29" s="7">
        <f t="shared" si="5"/>
        <v>152184.67484834531</v>
      </c>
      <c r="AC29" s="7">
        <f t="shared" si="5"/>
        <v>150849.62710248813</v>
      </c>
      <c r="AD29" s="7">
        <f t="shared" si="5"/>
        <v>154437.84616195003</v>
      </c>
      <c r="AE29" s="7">
        <f t="shared" si="5"/>
        <v>158737.75541971985</v>
      </c>
      <c r="AF29" s="7">
        <f t="shared" si="5"/>
        <v>160512.42809196326</v>
      </c>
      <c r="AG29" s="7">
        <f t="shared" si="5"/>
        <v>159157.24549193168</v>
      </c>
      <c r="AH29" s="7">
        <f t="shared" si="5"/>
        <v>162798.67696796829</v>
      </c>
      <c r="AI29" s="7">
        <f t="shared" si="5"/>
        <v>167162.40146676439</v>
      </c>
      <c r="AJ29" s="7">
        <f t="shared" si="5"/>
        <v>168963.26817873254</v>
      </c>
      <c r="AK29" s="7">
        <f t="shared" si="5"/>
        <v>167587.65075366182</v>
      </c>
      <c r="AL29" s="7">
        <f t="shared" si="5"/>
        <v>171283.08740963141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3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42" customWidth="1"/>
    <col min="2" max="41" width="13" customWidth="1"/>
  </cols>
  <sheetData>
    <row r="1" spans="1:41" x14ac:dyDescent="0.25">
      <c r="A1" s="1"/>
      <c r="B1" s="2" t="s">
        <v>83</v>
      </c>
      <c r="C1" s="2" t="s">
        <v>84</v>
      </c>
      <c r="D1" s="2" t="s">
        <v>85</v>
      </c>
      <c r="E1" s="2" t="s">
        <v>98</v>
      </c>
      <c r="F1" s="2" t="s">
        <v>86</v>
      </c>
      <c r="G1" s="2" t="s">
        <v>87</v>
      </c>
      <c r="H1" s="2" t="s">
        <v>88</v>
      </c>
      <c r="I1" s="2" t="s">
        <v>99</v>
      </c>
      <c r="J1" s="2" t="s">
        <v>89</v>
      </c>
      <c r="K1" s="2" t="s">
        <v>90</v>
      </c>
      <c r="L1" s="2" t="s">
        <v>91</v>
      </c>
      <c r="M1" s="2" t="s">
        <v>100</v>
      </c>
      <c r="N1" s="2" t="s">
        <v>92</v>
      </c>
      <c r="O1" s="2" t="s">
        <v>93</v>
      </c>
      <c r="P1" s="2" t="s">
        <v>94</v>
      </c>
      <c r="Q1" s="2" t="s">
        <v>101</v>
      </c>
      <c r="R1" s="2" t="s">
        <v>95</v>
      </c>
      <c r="S1" s="2" t="s">
        <v>96</v>
      </c>
      <c r="T1" s="2" t="s">
        <v>103</v>
      </c>
      <c r="U1" s="2" t="s">
        <v>104</v>
      </c>
      <c r="V1" s="2" t="s">
        <v>105</v>
      </c>
      <c r="W1" s="2" t="s">
        <v>106</v>
      </c>
      <c r="X1" s="2" t="s">
        <v>107</v>
      </c>
      <c r="Y1" s="2" t="s">
        <v>108</v>
      </c>
      <c r="Z1" s="2" t="s">
        <v>109</v>
      </c>
      <c r="AA1" s="2" t="s">
        <v>110</v>
      </c>
      <c r="AB1" s="2" t="s">
        <v>111</v>
      </c>
      <c r="AC1" s="2" t="s">
        <v>112</v>
      </c>
      <c r="AD1" s="2" t="s">
        <v>113</v>
      </c>
      <c r="AE1" s="2" t="s">
        <v>114</v>
      </c>
      <c r="AF1" s="2" t="s">
        <v>115</v>
      </c>
      <c r="AG1" s="2" t="s">
        <v>116</v>
      </c>
      <c r="AH1" s="2" t="s">
        <v>117</v>
      </c>
      <c r="AI1" s="2" t="s">
        <v>118</v>
      </c>
      <c r="AJ1" s="2" t="s">
        <v>119</v>
      </c>
      <c r="AK1" s="2" t="s">
        <v>120</v>
      </c>
      <c r="AL1" s="2" t="s">
        <v>121</v>
      </c>
      <c r="AM1" s="2" t="s">
        <v>122</v>
      </c>
      <c r="AN1" s="2" t="s">
        <v>123</v>
      </c>
      <c r="AO1" s="2" t="s">
        <v>124</v>
      </c>
    </row>
    <row r="2" spans="1:41" x14ac:dyDescent="0.25">
      <c r="A2" s="3" t="s">
        <v>26</v>
      </c>
      <c r="B2" s="4">
        <f>'YTD CF'!B2</f>
        <v>4126</v>
      </c>
      <c r="C2" s="4">
        <f>'YTD CF'!C2-'YTD CF'!B2</f>
        <v>4242</v>
      </c>
      <c r="D2" s="4">
        <f>'YTD CF'!D2-'YTD CF'!C2</f>
        <v>3367</v>
      </c>
      <c r="E2" s="4">
        <f>'CASH FLOW'!C2-'YTD CF'!D2</f>
        <v>3058</v>
      </c>
      <c r="F2" s="4">
        <f>'YTD CF'!E2</f>
        <v>3963</v>
      </c>
      <c r="G2" s="4">
        <f>'YTD CF'!F2-'YTD CF'!E2</f>
        <v>3959</v>
      </c>
      <c r="H2" s="4">
        <f>'YTD CF'!G2-'YTD CF'!F2</f>
        <v>3424</v>
      </c>
      <c r="I2" s="4">
        <f>'CASH FLOW'!D2-'YTD CF'!G2</f>
        <v>3392</v>
      </c>
      <c r="J2" s="4">
        <f>'YTD CF'!H2</f>
        <v>4556</v>
      </c>
      <c r="K2" s="4">
        <f>'YTD CF'!I2-'YTD CF'!H2</f>
        <v>3493</v>
      </c>
      <c r="L2" s="4">
        <f>'YTD CF'!J2-'YTD CF'!I2</f>
        <v>3781</v>
      </c>
      <c r="M2" s="4">
        <f>'CASH FLOW'!E2-'YTD CF'!J2</f>
        <v>3144</v>
      </c>
      <c r="N2" s="4">
        <f>'YTD CF'!K2</f>
        <v>3987</v>
      </c>
      <c r="O2" s="4">
        <f>'YTD CF'!L2-'YTD CF'!K2</f>
        <v>4659</v>
      </c>
      <c r="P2" s="4">
        <f>'YTD CF'!M2-'YTD CF'!L2</f>
        <v>3793</v>
      </c>
      <c r="Q2" s="4">
        <f>'CASH FLOW'!F2-'YTD CF'!M2</f>
        <v>3626</v>
      </c>
      <c r="R2" s="4">
        <f>'YTD CF'!N2</f>
        <v>4781</v>
      </c>
      <c r="S2" s="4">
        <f>'YTD CF'!O2-'YTD CF'!N2</f>
        <v>4331</v>
      </c>
      <c r="T2" s="11">
        <f>'CF DRIVERS'!T2</f>
        <v>3916.4368291441028</v>
      </c>
      <c r="U2" s="11">
        <f>'CF DRIVERS'!U2</f>
        <v>4134.4723510636722</v>
      </c>
      <c r="V2" s="11">
        <f>'CF DRIVERS'!V2</f>
        <v>4427.7330665296158</v>
      </c>
      <c r="W2" s="11">
        <f>'CF DRIVERS'!W2</f>
        <v>4392.8630549378086</v>
      </c>
      <c r="X2" s="11">
        <f>'CF DRIVERS'!X2</f>
        <v>3974.1534809332479</v>
      </c>
      <c r="Y2" s="11">
        <f>'CF DRIVERS'!Y2</f>
        <v>4195.4373156279653</v>
      </c>
      <c r="Z2" s="11">
        <f>'CF DRIVERS'!Z2</f>
        <v>4493.0670555542838</v>
      </c>
      <c r="AA2" s="11">
        <f>'CF DRIVERS'!AA2</f>
        <v>4457.6775474000515</v>
      </c>
      <c r="AB2" s="11">
        <f>'CF DRIVERS'!AB2</f>
        <v>4032.7300005810557</v>
      </c>
      <c r="AC2" s="11">
        <f>'CF DRIVERS'!AC2</f>
        <v>4257.3105417061952</v>
      </c>
      <c r="AD2" s="11">
        <f>'CF DRIVERS'!AD2</f>
        <v>4559.3743962114349</v>
      </c>
      <c r="AE2" s="11">
        <f>'CF DRIVERS'!AE2</f>
        <v>4523.4576519883676</v>
      </c>
      <c r="AF2" s="11">
        <f>'CF DRIVERS'!AF2</f>
        <v>4092.1791984760616</v>
      </c>
      <c r="AG2" s="11">
        <f>'CF DRIVERS'!AG2</f>
        <v>4320.1055606599157</v>
      </c>
      <c r="AH2" s="11">
        <f>'CF DRIVERS'!AH2</f>
        <v>4626.6695895810562</v>
      </c>
      <c r="AI2" s="11">
        <f>'CF DRIVERS'!AI2</f>
        <v>4590.2177544788747</v>
      </c>
      <c r="AJ2" s="11">
        <f>'CF DRIVERS'!AJ2</f>
        <v>4152.5140758571206</v>
      </c>
      <c r="AK2" s="11">
        <f>'CF DRIVERS'!AK2</f>
        <v>4383.8361054421221</v>
      </c>
      <c r="AL2" s="11">
        <f>'CF DRIVERS'!AL2</f>
        <v>4694.9673527815175</v>
      </c>
      <c r="AM2" s="11">
        <f>'CF DRIVERS'!AM2</f>
        <v>4657.9724549682815</v>
      </c>
      <c r="AN2" s="11">
        <f>'CF DRIVERS'!AN2</f>
        <v>4213.7478276567044</v>
      </c>
      <c r="AO2" s="11">
        <f>'CF DRIVERS'!AO2</f>
        <v>4448.5161136005736</v>
      </c>
    </row>
    <row r="3" spans="1:41" x14ac:dyDescent="0.25">
      <c r="A3" s="3" t="s">
        <v>59</v>
      </c>
      <c r="B3" s="4">
        <f>'YTD CF'!B3</f>
        <v>711</v>
      </c>
      <c r="C3" s="4">
        <f>'YTD CF'!C3-'YTD CF'!B3</f>
        <v>684</v>
      </c>
      <c r="D3" s="4">
        <f>'YTD CF'!D3-'YTD CF'!C3</f>
        <v>690</v>
      </c>
      <c r="E3" s="4">
        <f>'CASH FLOW'!C3-'YTD CF'!D3</f>
        <v>722</v>
      </c>
      <c r="F3" s="4">
        <f>'YTD CF'!E3</f>
        <v>663</v>
      </c>
      <c r="G3" s="4">
        <f>'YTD CF'!F3-'YTD CF'!E3</f>
        <v>653</v>
      </c>
      <c r="H3" s="4">
        <f>'YTD CF'!G3-'YTD CF'!F3</f>
        <v>692</v>
      </c>
      <c r="I3" s="4">
        <f>'CASH FLOW'!D3-'YTD CF'!G3</f>
        <v>706</v>
      </c>
      <c r="J3" s="4">
        <f>'YTD CF'!H3</f>
        <v>702</v>
      </c>
      <c r="K3" s="4">
        <f>'YTD CF'!I3-'YTD CF'!H3</f>
        <v>721</v>
      </c>
      <c r="L3" s="4">
        <f>'YTD CF'!J3-'YTD CF'!I3</f>
        <v>712</v>
      </c>
      <c r="M3" s="4">
        <f>'CASH FLOW'!E3-'YTD CF'!J3</f>
        <v>761</v>
      </c>
      <c r="N3" s="4">
        <f>'YTD CF'!K3</f>
        <v>728</v>
      </c>
      <c r="O3" s="4">
        <f>'YTD CF'!L3-'YTD CF'!K3</f>
        <v>706</v>
      </c>
      <c r="P3" s="4">
        <f>'YTD CF'!M3-'YTD CF'!L3</f>
        <v>690</v>
      </c>
      <c r="Q3" s="4">
        <f>'CASH FLOW'!F3-'YTD CF'!M3</f>
        <v>723</v>
      </c>
      <c r="R3" s="4">
        <f>'YTD CF'!N3</f>
        <v>761</v>
      </c>
      <c r="S3" s="4">
        <f>'YTD CF'!O3-'YTD CF'!N3</f>
        <v>802</v>
      </c>
      <c r="T3" s="11">
        <f>'QTR P&amp;L'!T2*'CF DRIVERS'!T3</f>
        <v>724.81272278585141</v>
      </c>
      <c r="U3" s="11">
        <f>'QTR P&amp;L'!U2*'CF DRIVERS'!U3</f>
        <v>765.60542911982452</v>
      </c>
      <c r="V3" s="11">
        <f>'QTR P&amp;L'!V2*'CF DRIVERS'!V3</f>
        <v>820.47216890595007</v>
      </c>
      <c r="W3" s="11">
        <f>'QTR P&amp;L'!W2*'CF DRIVERS'!W3</f>
        <v>813.9482679828169</v>
      </c>
      <c r="X3" s="11">
        <f>'QTR P&amp;L'!X2*'CF DRIVERS'!X3</f>
        <v>735.61104778485446</v>
      </c>
      <c r="Y3" s="11">
        <f>'QTR P&amp;L'!Y2*'CF DRIVERS'!Y3</f>
        <v>777.01148751910534</v>
      </c>
      <c r="Z3" s="11">
        <f>'QTR P&amp;L'!Z2*'CF DRIVERS'!Z3</f>
        <v>832.69563691908138</v>
      </c>
      <c r="AA3" s="11">
        <f>'QTR P&amp;L'!AA2*'CF DRIVERS'!AA3</f>
        <v>826.07454233444832</v>
      </c>
      <c r="AB3" s="11">
        <f>'QTR P&amp;L'!AB2*'CF DRIVERS'!AB3</f>
        <v>746.57024719888716</v>
      </c>
      <c r="AC3" s="11">
        <f>'QTR P&amp;L'!AC2*'CF DRIVERS'!AC3</f>
        <v>788.58747440015952</v>
      </c>
      <c r="AD3" s="11">
        <f>'QTR P&amp;L'!AD2*'CF DRIVERS'!AD3</f>
        <v>845.10121125577905</v>
      </c>
      <c r="AE3" s="11">
        <f>'QTR P&amp;L'!AE2*'CF DRIVERS'!AE3</f>
        <v>838.38147500975356</v>
      </c>
      <c r="AF3" s="11">
        <f>'QTR P&amp;L'!AF2*'CF DRIVERS'!AF3</f>
        <v>757.69271774942354</v>
      </c>
      <c r="AG3" s="11">
        <f>'QTR P&amp;L'!AG2*'CF DRIVERS'!AG3</f>
        <v>800.33592137276037</v>
      </c>
      <c r="AH3" s="11">
        <f>'QTR P&amp;L'!AH2*'CF DRIVERS'!AH3</f>
        <v>857.69160495239657</v>
      </c>
      <c r="AI3" s="11">
        <f>'QTR P&amp;L'!AI2*'CF DRIVERS'!AI3</f>
        <v>850.87175747265348</v>
      </c>
      <c r="AJ3" s="11">
        <f>'QTR P&amp;L'!AJ2*'CF DRIVERS'!AJ3</f>
        <v>768.98089186450954</v>
      </c>
      <c r="AK3" s="11">
        <f>'QTR P&amp;L'!AK2*'CF DRIVERS'!AK3</f>
        <v>812.25939776283076</v>
      </c>
      <c r="AL3" s="11">
        <f>'QTR P&amp;L'!AL2*'CF DRIVERS'!AL3</f>
        <v>870.46957146434613</v>
      </c>
      <c r="AM3" s="11">
        <f>'QTR P&amp;L'!AM2*'CF DRIVERS'!AM3</f>
        <v>863.5481212847402</v>
      </c>
      <c r="AN3" s="11">
        <f>'QTR P&amp;L'!AN2*'CF DRIVERS'!AN3</f>
        <v>780.43723821072228</v>
      </c>
      <c r="AO3" s="11">
        <f>'QTR P&amp;L'!AO2*'CF DRIVERS'!AO3</f>
        <v>824.36051117434158</v>
      </c>
    </row>
    <row r="4" spans="1:41" x14ac:dyDescent="0.25">
      <c r="A4" s="3" t="s">
        <v>60</v>
      </c>
      <c r="B4" s="4">
        <f>'YTD CF'!B4</f>
        <v>0</v>
      </c>
      <c r="C4" s="4">
        <f>'YTD CF'!C4-'YTD CF'!B4</f>
        <v>0</v>
      </c>
      <c r="D4" s="4">
        <f>'YTD CF'!D4-'YTD CF'!C4</f>
        <v>0</v>
      </c>
      <c r="E4" s="4">
        <f>'CASH FLOW'!C4-'YTD CF'!D4</f>
        <v>0</v>
      </c>
      <c r="F4" s="4">
        <f>'YTD CF'!E4</f>
        <v>0</v>
      </c>
      <c r="G4" s="4">
        <f>'YTD CF'!F4-'YTD CF'!E4</f>
        <v>0</v>
      </c>
      <c r="H4" s="4">
        <f>'YTD CF'!G4-'YTD CF'!F4</f>
        <v>0</v>
      </c>
      <c r="I4" s="4">
        <f>'CASH FLOW'!D4-'YTD CF'!G4</f>
        <v>0</v>
      </c>
      <c r="J4" s="4">
        <f>'YTD CF'!H4</f>
        <v>0</v>
      </c>
      <c r="K4" s="4">
        <f>'YTD CF'!I4-'YTD CF'!H4</f>
        <v>0</v>
      </c>
      <c r="L4" s="4">
        <f>'YTD CF'!J4-'YTD CF'!I4</f>
        <v>0</v>
      </c>
      <c r="M4" s="4">
        <f>'CASH FLOW'!E4-'YTD CF'!J4</f>
        <v>0</v>
      </c>
      <c r="N4" s="4">
        <f>'YTD CF'!K4</f>
        <v>0</v>
      </c>
      <c r="O4" s="4">
        <f>'YTD CF'!L4-'YTD CF'!K4</f>
        <v>0</v>
      </c>
      <c r="P4" s="4">
        <f>'YTD CF'!M4-'YTD CF'!L4</f>
        <v>0</v>
      </c>
      <c r="Q4" s="4">
        <f>'CASH FLOW'!F4-'YTD CF'!M4</f>
        <v>0</v>
      </c>
      <c r="R4" s="4">
        <f>'YTD CF'!N4</f>
        <v>0</v>
      </c>
      <c r="S4" s="4">
        <f>'YTD CF'!O4-'YTD CF'!N4</f>
        <v>0</v>
      </c>
      <c r="T4" s="11">
        <f>'CF DRIVERS'!T4</f>
        <v>0</v>
      </c>
      <c r="U4" s="11">
        <f>'CF DRIVERS'!U4</f>
        <v>0</v>
      </c>
      <c r="V4" s="11">
        <f>'CF DRIVERS'!V4</f>
        <v>0</v>
      </c>
      <c r="W4" s="11">
        <f>'CF DRIVERS'!W4</f>
        <v>0</v>
      </c>
      <c r="X4" s="11">
        <f>'CF DRIVERS'!X4</f>
        <v>0</v>
      </c>
      <c r="Y4" s="11">
        <f>'CF DRIVERS'!Y4</f>
        <v>0</v>
      </c>
      <c r="Z4" s="11">
        <f>'CF DRIVERS'!Z4</f>
        <v>0</v>
      </c>
      <c r="AA4" s="11">
        <f>'CF DRIVERS'!AA4</f>
        <v>0</v>
      </c>
      <c r="AB4" s="11">
        <f>'CF DRIVERS'!AB4</f>
        <v>0</v>
      </c>
      <c r="AC4" s="11">
        <f>'CF DRIVERS'!AC4</f>
        <v>0</v>
      </c>
      <c r="AD4" s="11">
        <f>'CF DRIVERS'!AD4</f>
        <v>0</v>
      </c>
      <c r="AE4" s="11">
        <f>'CF DRIVERS'!AE4</f>
        <v>0</v>
      </c>
      <c r="AF4" s="11">
        <f>'CF DRIVERS'!AF4</f>
        <v>0</v>
      </c>
      <c r="AG4" s="11">
        <f>'CF DRIVERS'!AG4</f>
        <v>0</v>
      </c>
      <c r="AH4" s="11">
        <f>'CF DRIVERS'!AH4</f>
        <v>0</v>
      </c>
      <c r="AI4" s="11">
        <f>'CF DRIVERS'!AI4</f>
        <v>0</v>
      </c>
      <c r="AJ4" s="11">
        <f>'CF DRIVERS'!AJ4</f>
        <v>0</v>
      </c>
      <c r="AK4" s="11">
        <f>'CF DRIVERS'!AK4</f>
        <v>0</v>
      </c>
      <c r="AL4" s="11">
        <f>'CF DRIVERS'!AL4</f>
        <v>0</v>
      </c>
      <c r="AM4" s="11">
        <f>'CF DRIVERS'!AM4</f>
        <v>0</v>
      </c>
      <c r="AN4" s="11">
        <f>'CF DRIVERS'!AN4</f>
        <v>0</v>
      </c>
      <c r="AO4" s="11">
        <f>'CF DRIVERS'!AO4</f>
        <v>0</v>
      </c>
    </row>
    <row r="5" spans="1:41" x14ac:dyDescent="0.25">
      <c r="A5" s="3" t="s">
        <v>61</v>
      </c>
      <c r="B5" s="4">
        <f>'YTD CF'!B5</f>
        <v>116</v>
      </c>
      <c r="C5" s="4">
        <f>'YTD CF'!C5-'YTD CF'!B5</f>
        <v>152</v>
      </c>
      <c r="D5" s="4">
        <f>'YTD CF'!D5-'YTD CF'!C5</f>
        <v>130</v>
      </c>
      <c r="E5" s="4">
        <f>'CASH FLOW'!C5-'YTD CF'!D5</f>
        <v>130</v>
      </c>
      <c r="F5" s="4">
        <f>'YTD CF'!E5</f>
        <v>105</v>
      </c>
      <c r="G5" s="4">
        <f>'YTD CF'!F5-'YTD CF'!E5</f>
        <v>145</v>
      </c>
      <c r="H5" s="4">
        <f>'YTD CF'!G5-'YTD CF'!F5</f>
        <v>156</v>
      </c>
      <c r="I5" s="4">
        <f>'CASH FLOW'!D5-'YTD CF'!G5</f>
        <v>139</v>
      </c>
      <c r="J5" s="4">
        <f>'YTD CF'!H5</f>
        <v>125</v>
      </c>
      <c r="K5" s="4">
        <f>'YTD CF'!I5-'YTD CF'!H5</f>
        <v>150</v>
      </c>
      <c r="L5" s="4">
        <f>'YTD CF'!J5-'YTD CF'!I5</f>
        <v>158</v>
      </c>
      <c r="M5" s="4">
        <f>'CASH FLOW'!E5-'YTD CF'!J5</f>
        <v>129</v>
      </c>
      <c r="N5" s="4">
        <f>'YTD CF'!K5</f>
        <v>105</v>
      </c>
      <c r="O5" s="4">
        <f>'YTD CF'!L5-'YTD CF'!K5</f>
        <v>136</v>
      </c>
      <c r="P5" s="4">
        <f>'YTD CF'!M5-'YTD CF'!L5</f>
        <v>123</v>
      </c>
      <c r="Q5" s="4">
        <f>'CASH FLOW'!F5-'YTD CF'!M5</f>
        <v>112</v>
      </c>
      <c r="R5" s="4">
        <f>'YTD CF'!N5</f>
        <v>121</v>
      </c>
      <c r="S5" s="4">
        <f>'YTD CF'!O5-'YTD CF'!N5</f>
        <v>141</v>
      </c>
      <c r="T5" s="11">
        <f>'QTR P&amp;L'!T2*'CF DRIVERS'!T5</f>
        <v>127.42966822045517</v>
      </c>
      <c r="U5" s="11">
        <f>'QTR P&amp;L'!U2*'CF DRIVERS'!U5</f>
        <v>134.60145324924596</v>
      </c>
      <c r="V5" s="11">
        <f>'QTR P&amp;L'!V2*'CF DRIVERS'!V5</f>
        <v>144.24760076775431</v>
      </c>
      <c r="W5" s="11">
        <f>'QTR P&amp;L'!W2*'CF DRIVERS'!W5</f>
        <v>143.10063065533316</v>
      </c>
      <c r="X5" s="11">
        <f>'QTR P&amp;L'!X2*'CF DRIVERS'!X5</f>
        <v>129.32812685494324</v>
      </c>
      <c r="Y5" s="11">
        <f>'QTR P&amp;L'!Y2*'CF DRIVERS'!Y5</f>
        <v>136.60675778079033</v>
      </c>
      <c r="Z5" s="11">
        <f>'QTR P&amp;L'!Z2*'CF DRIVERS'!Z5</f>
        <v>146.39661447081107</v>
      </c>
      <c r="AA5" s="11">
        <f>'QTR P&amp;L'!AA2*'CF DRIVERS'!AA5</f>
        <v>145.23255669470973</v>
      </c>
      <c r="AB5" s="11">
        <f>'QTR P&amp;L'!AB2*'CF DRIVERS'!AB5</f>
        <v>131.25486889656244</v>
      </c>
      <c r="AC5" s="11">
        <f>'QTR P&amp;L'!AC2*'CF DRIVERS'!AC5</f>
        <v>138.64193751923005</v>
      </c>
      <c r="AD5" s="11">
        <f>'QTR P&amp;L'!AD2*'CF DRIVERS'!AD5</f>
        <v>148.57764437289882</v>
      </c>
      <c r="AE5" s="11">
        <f>'QTR P&amp;L'!AE2*'CF DRIVERS'!AE5</f>
        <v>147.39624435957012</v>
      </c>
      <c r="AF5" s="11">
        <f>'QTR P&amp;L'!AF2*'CF DRIVERS'!AF5</f>
        <v>133.21031571405078</v>
      </c>
      <c r="AG5" s="11">
        <f>'QTR P&amp;L'!AG2*'CF DRIVERS'!AG5</f>
        <v>140.70743754807881</v>
      </c>
      <c r="AH5" s="11">
        <f>'QTR P&amp;L'!AH2*'CF DRIVERS'!AH5</f>
        <v>150.79116745422434</v>
      </c>
      <c r="AI5" s="11">
        <f>'QTR P&amp;L'!AI2*'CF DRIVERS'!AI5</f>
        <v>149.59216683746152</v>
      </c>
      <c r="AJ5" s="11">
        <f>'QTR P&amp;L'!AJ2*'CF DRIVERS'!AJ5</f>
        <v>135.19489495373546</v>
      </c>
      <c r="AK5" s="11">
        <f>'QTR P&amp;L'!AK2*'CF DRIVERS'!AK5</f>
        <v>142.80370958174456</v>
      </c>
      <c r="AL5" s="11">
        <f>'QTR P&amp;L'!AL2*'CF DRIVERS'!AL5</f>
        <v>153.03766780108828</v>
      </c>
      <c r="AM5" s="11">
        <f>'QTR P&amp;L'!AM2*'CF DRIVERS'!AM5</f>
        <v>151.82080436552167</v>
      </c>
      <c r="AN5" s="11">
        <f>'QTR P&amp;L'!AN2*'CF DRIVERS'!AN5</f>
        <v>137.20904063305716</v>
      </c>
      <c r="AO5" s="11">
        <f>'QTR P&amp;L'!AO2*'CF DRIVERS'!AO5</f>
        <v>144.93121206431692</v>
      </c>
    </row>
    <row r="6" spans="1:41" x14ac:dyDescent="0.25">
      <c r="A6" s="3" t="s">
        <v>62</v>
      </c>
      <c r="B6" s="4">
        <f>'YTD CF'!B6</f>
        <v>57</v>
      </c>
      <c r="C6" s="4">
        <f>'YTD CF'!C6-'YTD CF'!B6</f>
        <v>-158</v>
      </c>
      <c r="D6" s="4">
        <f>'YTD CF'!D6-'YTD CF'!C6</f>
        <v>-158</v>
      </c>
      <c r="E6" s="4">
        <f>'CASH FLOW'!C6-'YTD CF'!D6</f>
        <v>-143</v>
      </c>
      <c r="F6" s="4">
        <f>'YTD CF'!E6</f>
        <v>-130</v>
      </c>
      <c r="G6" s="4">
        <f>'YTD CF'!F6-'YTD CF'!E6</f>
        <v>-268</v>
      </c>
      <c r="H6" s="4">
        <f>'YTD CF'!G6-'YTD CF'!F6</f>
        <v>38</v>
      </c>
      <c r="I6" s="4">
        <f>'CASH FLOW'!D6-'YTD CF'!G6</f>
        <v>-93</v>
      </c>
      <c r="J6" s="4">
        <f>'YTD CF'!H6</f>
        <v>102</v>
      </c>
      <c r="K6" s="4">
        <f>'YTD CF'!I6-'YTD CF'!H6</f>
        <v>-256</v>
      </c>
      <c r="L6" s="4">
        <f>'YTD CF'!J6-'YTD CF'!I6</f>
        <v>-52</v>
      </c>
      <c r="M6" s="4">
        <f>'CASH FLOW'!E6-'YTD CF'!J6</f>
        <v>-38</v>
      </c>
      <c r="N6" s="4">
        <f>'YTD CF'!K6</f>
        <v>184</v>
      </c>
      <c r="O6" s="4">
        <f>'YTD CF'!L6-'YTD CF'!K6</f>
        <v>37</v>
      </c>
      <c r="P6" s="4">
        <f>'YTD CF'!M6-'YTD CF'!L6</f>
        <v>-38</v>
      </c>
      <c r="Q6" s="4">
        <f>'CASH FLOW'!F6-'YTD CF'!M6</f>
        <v>-34</v>
      </c>
      <c r="R6" s="4">
        <f>'YTD CF'!N6</f>
        <v>53</v>
      </c>
      <c r="S6" s="4">
        <f>'YTD CF'!O6-'YTD CF'!N6</f>
        <v>143</v>
      </c>
      <c r="T6" s="11">
        <f>'CF DRIVERS'!T6</f>
        <v>0</v>
      </c>
      <c r="U6" s="11">
        <f>'CF DRIVERS'!U6</f>
        <v>0</v>
      </c>
      <c r="V6" s="11">
        <f>'CF DRIVERS'!V6</f>
        <v>0</v>
      </c>
      <c r="W6" s="11">
        <f>'CF DRIVERS'!W6</f>
        <v>0</v>
      </c>
      <c r="X6" s="11">
        <f>'CF DRIVERS'!X6</f>
        <v>0</v>
      </c>
      <c r="Y6" s="11">
        <f>'CF DRIVERS'!Y6</f>
        <v>0</v>
      </c>
      <c r="Z6" s="11">
        <f>'CF DRIVERS'!Z6</f>
        <v>0</v>
      </c>
      <c r="AA6" s="11">
        <f>'CF DRIVERS'!AA6</f>
        <v>0</v>
      </c>
      <c r="AB6" s="11">
        <f>'CF DRIVERS'!AB6</f>
        <v>0</v>
      </c>
      <c r="AC6" s="11">
        <f>'CF DRIVERS'!AC6</f>
        <v>0</v>
      </c>
      <c r="AD6" s="11">
        <f>'CF DRIVERS'!AD6</f>
        <v>0</v>
      </c>
      <c r="AE6" s="11">
        <f>'CF DRIVERS'!AE6</f>
        <v>0</v>
      </c>
      <c r="AF6" s="11">
        <f>'CF DRIVERS'!AF6</f>
        <v>0</v>
      </c>
      <c r="AG6" s="11">
        <f>'CF DRIVERS'!AG6</f>
        <v>0</v>
      </c>
      <c r="AH6" s="11">
        <f>'CF DRIVERS'!AH6</f>
        <v>0</v>
      </c>
      <c r="AI6" s="11">
        <f>'CF DRIVERS'!AI6</f>
        <v>0</v>
      </c>
      <c r="AJ6" s="11">
        <f>'CF DRIVERS'!AJ6</f>
        <v>0</v>
      </c>
      <c r="AK6" s="11">
        <f>'CF DRIVERS'!AK6</f>
        <v>0</v>
      </c>
      <c r="AL6" s="11">
        <f>'CF DRIVERS'!AL6</f>
        <v>0</v>
      </c>
      <c r="AM6" s="11">
        <f>'CF DRIVERS'!AM6</f>
        <v>0</v>
      </c>
      <c r="AN6" s="11">
        <f>'CF DRIVERS'!AN6</f>
        <v>0</v>
      </c>
      <c r="AO6" s="11">
        <f>'CF DRIVERS'!AO6</f>
        <v>0</v>
      </c>
    </row>
    <row r="7" spans="1:41" x14ac:dyDescent="0.25">
      <c r="A7" s="3" t="s">
        <v>63</v>
      </c>
      <c r="B7" s="4">
        <f>'YTD CF'!B7</f>
        <v>-73</v>
      </c>
      <c r="C7" s="4">
        <f>'YTD CF'!C7-'YTD CF'!B7</f>
        <v>-9</v>
      </c>
      <c r="D7" s="4">
        <f>'YTD CF'!D7-'YTD CF'!C7</f>
        <v>-2</v>
      </c>
      <c r="E7" s="4">
        <f>'CASH FLOW'!C7-'YTD CF'!D7</f>
        <v>-1</v>
      </c>
      <c r="F7" s="4">
        <f>'YTD CF'!E7</f>
        <v>-1</v>
      </c>
      <c r="G7" s="4">
        <f>'YTD CF'!F7-'YTD CF'!E7</f>
        <v>-2</v>
      </c>
      <c r="H7" s="4">
        <f>'YTD CF'!G7-'YTD CF'!F7</f>
        <v>-1</v>
      </c>
      <c r="I7" s="4">
        <f>'CASH FLOW'!D7-'YTD CF'!G7</f>
        <v>-36</v>
      </c>
      <c r="J7" s="4">
        <f>'YTD CF'!H7</f>
        <v>-3</v>
      </c>
      <c r="K7" s="4">
        <f>'YTD CF'!I7-'YTD CF'!H7</f>
        <v>0</v>
      </c>
      <c r="L7" s="4">
        <f>'YTD CF'!J7-'YTD CF'!I7</f>
        <v>-48</v>
      </c>
      <c r="M7" s="4">
        <f>'CASH FLOW'!E7-'YTD CF'!J7</f>
        <v>-164</v>
      </c>
      <c r="N7" s="4">
        <f>'YTD CF'!K7</f>
        <v>794</v>
      </c>
      <c r="O7" s="4">
        <f>'YTD CF'!L7-'YTD CF'!K7</f>
        <v>-7</v>
      </c>
      <c r="P7" s="4">
        <f>'YTD CF'!M7-'YTD CF'!L7</f>
        <v>-5</v>
      </c>
      <c r="Q7" s="4">
        <f>'CASH FLOW'!F7-'YTD CF'!M7</f>
        <v>-27</v>
      </c>
      <c r="R7" s="4">
        <f>'YTD CF'!N7</f>
        <v>-3</v>
      </c>
      <c r="S7" s="4">
        <f>'YTD CF'!O7-'YTD CF'!N7</f>
        <v>4</v>
      </c>
      <c r="T7" s="11">
        <f>'CF DRIVERS'!T7</f>
        <v>0</v>
      </c>
      <c r="U7" s="11">
        <f>'CF DRIVERS'!U7</f>
        <v>0</v>
      </c>
      <c r="V7" s="11">
        <f>'CF DRIVERS'!V7</f>
        <v>0</v>
      </c>
      <c r="W7" s="11">
        <f>'CF DRIVERS'!W7</f>
        <v>0</v>
      </c>
      <c r="X7" s="11">
        <f>'CF DRIVERS'!X7</f>
        <v>0</v>
      </c>
      <c r="Y7" s="11">
        <f>'CF DRIVERS'!Y7</f>
        <v>0</v>
      </c>
      <c r="Z7" s="11">
        <f>'CF DRIVERS'!Z7</f>
        <v>0</v>
      </c>
      <c r="AA7" s="11">
        <f>'CF DRIVERS'!AA7</f>
        <v>0</v>
      </c>
      <c r="AB7" s="11">
        <f>'CF DRIVERS'!AB7</f>
        <v>0</v>
      </c>
      <c r="AC7" s="11">
        <f>'CF DRIVERS'!AC7</f>
        <v>0</v>
      </c>
      <c r="AD7" s="11">
        <f>'CF DRIVERS'!AD7</f>
        <v>0</v>
      </c>
      <c r="AE7" s="11">
        <f>'CF DRIVERS'!AE7</f>
        <v>0</v>
      </c>
      <c r="AF7" s="11">
        <f>'CF DRIVERS'!AF7</f>
        <v>0</v>
      </c>
      <c r="AG7" s="11">
        <f>'CF DRIVERS'!AG7</f>
        <v>0</v>
      </c>
      <c r="AH7" s="11">
        <f>'CF DRIVERS'!AH7</f>
        <v>0</v>
      </c>
      <c r="AI7" s="11">
        <f>'CF DRIVERS'!AI7</f>
        <v>0</v>
      </c>
      <c r="AJ7" s="11">
        <f>'CF DRIVERS'!AJ7</f>
        <v>0</v>
      </c>
      <c r="AK7" s="11">
        <f>'CF DRIVERS'!AK7</f>
        <v>0</v>
      </c>
      <c r="AL7" s="11">
        <f>'CF DRIVERS'!AL7</f>
        <v>0</v>
      </c>
      <c r="AM7" s="11">
        <f>'CF DRIVERS'!AM7</f>
        <v>0</v>
      </c>
      <c r="AN7" s="11">
        <f>'CF DRIVERS'!AN7</f>
        <v>0</v>
      </c>
      <c r="AO7" s="11">
        <f>'CF DRIVERS'!AO7</f>
        <v>0</v>
      </c>
    </row>
    <row r="8" spans="1:41" x14ac:dyDescent="0.25">
      <c r="A8" s="3" t="s">
        <v>20</v>
      </c>
      <c r="B8" s="4">
        <f>'YTD CF'!B8</f>
        <v>0</v>
      </c>
      <c r="C8" s="4">
        <f>'YTD CF'!C8-'YTD CF'!B8</f>
        <v>0</v>
      </c>
      <c r="D8" s="4">
        <f>'YTD CF'!D8-'YTD CF'!C8</f>
        <v>0</v>
      </c>
      <c r="E8" s="4">
        <f>'CASH FLOW'!C8-'YTD CF'!D8</f>
        <v>0</v>
      </c>
      <c r="F8" s="4">
        <f>'YTD CF'!E8</f>
        <v>0</v>
      </c>
      <c r="G8" s="4">
        <f>'YTD CF'!F8-'YTD CF'!E8</f>
        <v>0</v>
      </c>
      <c r="H8" s="4">
        <f>'YTD CF'!G8-'YTD CF'!F8</f>
        <v>0</v>
      </c>
      <c r="I8" s="4">
        <f>'CASH FLOW'!D8-'YTD CF'!G8</f>
        <v>0</v>
      </c>
      <c r="J8" s="4">
        <f>'YTD CF'!H8</f>
        <v>0</v>
      </c>
      <c r="K8" s="4">
        <f>'YTD CF'!I8-'YTD CF'!H8</f>
        <v>1341</v>
      </c>
      <c r="L8" s="4">
        <f>'YTD CF'!J8-'YTD CF'!I8</f>
        <v>0</v>
      </c>
      <c r="M8" s="4">
        <f>'CASH FLOW'!E8-'YTD CF'!J8</f>
        <v>0</v>
      </c>
      <c r="N8" s="4">
        <f>'YTD CF'!K8</f>
        <v>0</v>
      </c>
      <c r="O8" s="4">
        <f>'YTD CF'!L8-'YTD CF'!K8</f>
        <v>0</v>
      </c>
      <c r="P8" s="4">
        <f>'YTD CF'!M8-'YTD CF'!L8</f>
        <v>0</v>
      </c>
      <c r="Q8" s="4">
        <f>'CASH FLOW'!F8-'YTD CF'!M8</f>
        <v>0</v>
      </c>
      <c r="R8" s="4">
        <f>'YTD CF'!N8</f>
        <v>0</v>
      </c>
      <c r="S8" s="4">
        <f>'YTD CF'!O8-'YTD CF'!N8</f>
        <v>0</v>
      </c>
      <c r="T8" s="11">
        <f>'CF DRIVERS'!T8</f>
        <v>0</v>
      </c>
      <c r="U8" s="11">
        <f>'CF DRIVERS'!U8</f>
        <v>0</v>
      </c>
      <c r="V8" s="11">
        <f>'CF DRIVERS'!V8</f>
        <v>0</v>
      </c>
      <c r="W8" s="11">
        <f>'CF DRIVERS'!W8</f>
        <v>0</v>
      </c>
      <c r="X8" s="11">
        <f>'CF DRIVERS'!X8</f>
        <v>0</v>
      </c>
      <c r="Y8" s="11">
        <f>'CF DRIVERS'!Y8</f>
        <v>0</v>
      </c>
      <c r="Z8" s="11">
        <f>'CF DRIVERS'!Z8</f>
        <v>0</v>
      </c>
      <c r="AA8" s="11">
        <f>'CF DRIVERS'!AA8</f>
        <v>0</v>
      </c>
      <c r="AB8" s="11">
        <f>'CF DRIVERS'!AB8</f>
        <v>0</v>
      </c>
      <c r="AC8" s="11">
        <f>'CF DRIVERS'!AC8</f>
        <v>0</v>
      </c>
      <c r="AD8" s="11">
        <f>'CF DRIVERS'!AD8</f>
        <v>0</v>
      </c>
      <c r="AE8" s="11">
        <f>'CF DRIVERS'!AE8</f>
        <v>0</v>
      </c>
      <c r="AF8" s="11">
        <f>'CF DRIVERS'!AF8</f>
        <v>0</v>
      </c>
      <c r="AG8" s="11">
        <f>'CF DRIVERS'!AG8</f>
        <v>0</v>
      </c>
      <c r="AH8" s="11">
        <f>'CF DRIVERS'!AH8</f>
        <v>0</v>
      </c>
      <c r="AI8" s="11">
        <f>'CF DRIVERS'!AI8</f>
        <v>0</v>
      </c>
      <c r="AJ8" s="11">
        <f>'CF DRIVERS'!AJ8</f>
        <v>0</v>
      </c>
      <c r="AK8" s="11">
        <f>'CF DRIVERS'!AK8</f>
        <v>0</v>
      </c>
      <c r="AL8" s="11">
        <f>'CF DRIVERS'!AL8</f>
        <v>0</v>
      </c>
      <c r="AM8" s="11">
        <f>'CF DRIVERS'!AM8</f>
        <v>0</v>
      </c>
      <c r="AN8" s="11">
        <f>'CF DRIVERS'!AN8</f>
        <v>0</v>
      </c>
      <c r="AO8" s="11">
        <f>'CF DRIVERS'!AO8</f>
        <v>0</v>
      </c>
    </row>
    <row r="9" spans="1:41" x14ac:dyDescent="0.25">
      <c r="A9" s="3" t="s">
        <v>32</v>
      </c>
      <c r="B9" s="4">
        <f>'YTD CF'!B9</f>
        <v>-1012</v>
      </c>
      <c r="C9" s="4">
        <f>'YTD CF'!C9-'YTD CF'!B9</f>
        <v>368</v>
      </c>
      <c r="D9" s="4">
        <f>'YTD CF'!D9-'YTD CF'!C9</f>
        <v>-272</v>
      </c>
      <c r="E9" s="4">
        <f>'CASH FLOW'!C9-'YTD CF'!D9</f>
        <v>222</v>
      </c>
      <c r="F9" s="4">
        <f>'YTD CF'!E9</f>
        <v>-740</v>
      </c>
      <c r="G9" s="4">
        <f>'YTD CF'!F9-'YTD CF'!E9</f>
        <v>86</v>
      </c>
      <c r="H9" s="4">
        <f>'YTD CF'!G9-'YTD CF'!F9</f>
        <v>353</v>
      </c>
      <c r="I9" s="4">
        <f>'CASH FLOW'!D9-'YTD CF'!G9</f>
        <v>-6</v>
      </c>
      <c r="J9" s="4">
        <f>'YTD CF'!H9</f>
        <v>-830</v>
      </c>
      <c r="K9" s="4">
        <f>'YTD CF'!I9-'YTD CF'!H9</f>
        <v>-9</v>
      </c>
      <c r="L9" s="4">
        <f>'YTD CF'!J9-'YTD CF'!I9</f>
        <v>147</v>
      </c>
      <c r="M9" s="4">
        <f>'CASH FLOW'!E9-'YTD CF'!J9</f>
        <v>-74</v>
      </c>
      <c r="N9" s="4">
        <f>'YTD CF'!K9</f>
        <v>-134</v>
      </c>
      <c r="O9" s="4">
        <f>'YTD CF'!L9-'YTD CF'!K9</f>
        <v>-128</v>
      </c>
      <c r="P9" s="4">
        <f>'YTD CF'!M9-'YTD CF'!L9</f>
        <v>183</v>
      </c>
      <c r="Q9" s="4">
        <f>'CASH FLOW'!F9-'YTD CF'!M9</f>
        <v>124</v>
      </c>
      <c r="R9" s="4">
        <f>'YTD CF'!N9</f>
        <v>-305</v>
      </c>
      <c r="S9" s="4">
        <f>'YTD CF'!O9-'YTD CF'!N9</f>
        <v>213</v>
      </c>
      <c r="T9" s="11">
        <f>'CF DRIVERS'!T9</f>
        <v>604.31285988483705</v>
      </c>
      <c r="U9" s="11">
        <f>'CF DRIVERS'!U9</f>
        <v>-319.37332053742739</v>
      </c>
      <c r="V9" s="11">
        <f>'CF DRIVERS'!V9</f>
        <v>-429.56142034548884</v>
      </c>
      <c r="W9" s="11">
        <f>'CF DRIVERS'!W9</f>
        <v>51.076775431861279</v>
      </c>
      <c r="X9" s="11">
        <f>'CF DRIVERS'!X9</f>
        <v>613.31596711097973</v>
      </c>
      <c r="Y9" s="11">
        <f>'CF DRIVERS'!Y9</f>
        <v>-324.13137293187174</v>
      </c>
      <c r="Z9" s="11">
        <f>'CF DRIVERS'!Z9</f>
        <v>-435.96106494070955</v>
      </c>
      <c r="AA9" s="11">
        <f>'CF DRIVERS'!AA9</f>
        <v>51.837721816597877</v>
      </c>
      <c r="AB9" s="11">
        <f>'CF DRIVERS'!AB9</f>
        <v>622.45320343664298</v>
      </c>
      <c r="AC9" s="11">
        <f>'CF DRIVERS'!AC9</f>
        <v>-328.96031121794113</v>
      </c>
      <c r="AD9" s="11">
        <f>'CF DRIVERS'!AD9</f>
        <v>-442.45605201550552</v>
      </c>
      <c r="AE9" s="11">
        <f>'CF DRIVERS'!AE9</f>
        <v>52.610004848870631</v>
      </c>
      <c r="AF9" s="11">
        <f>'CF DRIVERS'!AF9</f>
        <v>631.72656712919252</v>
      </c>
      <c r="AG9" s="11">
        <f>'CF DRIVERS'!AG9</f>
        <v>-333.86119146001602</v>
      </c>
      <c r="AH9" s="11">
        <f>'CF DRIVERS'!AH9</f>
        <v>-449.04780199069137</v>
      </c>
      <c r="AI9" s="11">
        <f>'CF DRIVERS'!AI9</f>
        <v>53.393793423076204</v>
      </c>
      <c r="AJ9" s="11">
        <f>'CF DRIVERS'!AJ9</f>
        <v>641.13808622635224</v>
      </c>
      <c r="AK9" s="11">
        <f>'CF DRIVERS'!AK9</f>
        <v>-338.83508545580753</v>
      </c>
      <c r="AL9" s="11">
        <f>'CF DRIVERS'!AL9</f>
        <v>-455.73775644864691</v>
      </c>
      <c r="AM9" s="11">
        <f>'CF DRIVERS'!AM9</f>
        <v>54.189258949805662</v>
      </c>
      <c r="AN9" s="11">
        <f>'CF DRIVERS'!AN9</f>
        <v>650.68981897975027</v>
      </c>
      <c r="AO9" s="11">
        <f>'CF DRIVERS'!AO9</f>
        <v>-343.88308097078152</v>
      </c>
    </row>
    <row r="10" spans="1:41" x14ac:dyDescent="0.25">
      <c r="A10" s="3" t="s">
        <v>33</v>
      </c>
      <c r="B10" s="4">
        <f>'YTD CF'!B10</f>
        <v>-409</v>
      </c>
      <c r="C10" s="4">
        <f>'YTD CF'!C10-'YTD CF'!B10</f>
        <v>-431</v>
      </c>
      <c r="D10" s="4">
        <f>'YTD CF'!D10-'YTD CF'!C10</f>
        <v>-412</v>
      </c>
      <c r="E10" s="4">
        <f>'CASH FLOW'!C10-'YTD CF'!D10</f>
        <v>5</v>
      </c>
      <c r="F10" s="4">
        <f>'YTD CF'!E10</f>
        <v>-893</v>
      </c>
      <c r="G10" s="4">
        <f>'YTD CF'!F10-'YTD CF'!E10</f>
        <v>238</v>
      </c>
      <c r="H10" s="4">
        <f>'YTD CF'!G10-'YTD CF'!F10</f>
        <v>152</v>
      </c>
      <c r="I10" s="4">
        <f>'CASH FLOW'!D10-'YTD CF'!G10</f>
        <v>384</v>
      </c>
      <c r="J10" s="4">
        <f>'YTD CF'!H10</f>
        <v>-142</v>
      </c>
      <c r="K10" s="4">
        <f>'YTD CF'!I10-'YTD CF'!H10</f>
        <v>110</v>
      </c>
      <c r="L10" s="4">
        <f>'YTD CF'!J10-'YTD CF'!I10</f>
        <v>-15</v>
      </c>
      <c r="M10" s="4">
        <f>'CASH FLOW'!E10-'YTD CF'!J10</f>
        <v>-23</v>
      </c>
      <c r="N10" s="4">
        <f>'YTD CF'!K10</f>
        <v>-188</v>
      </c>
      <c r="O10" s="4">
        <f>'YTD CF'!L10-'YTD CF'!K10</f>
        <v>18</v>
      </c>
      <c r="P10" s="4">
        <f>'YTD CF'!M10-'YTD CF'!L10</f>
        <v>-239</v>
      </c>
      <c r="Q10" s="4">
        <f>'CASH FLOW'!F10-'YTD CF'!M10</f>
        <v>85</v>
      </c>
      <c r="R10" s="4">
        <f>'YTD CF'!N10</f>
        <v>-303</v>
      </c>
      <c r="S10" s="4">
        <f>'YTD CF'!O10-'YTD CF'!N10</f>
        <v>48</v>
      </c>
      <c r="T10" s="11">
        <f>'CF DRIVERS'!T10</f>
        <v>752.3353441184554</v>
      </c>
      <c r="U10" s="11">
        <f>'CF DRIVERS'!U10</f>
        <v>-397.60172744721785</v>
      </c>
      <c r="V10" s="11">
        <f>'CF DRIVERS'!V10</f>
        <v>-534.77968193035304</v>
      </c>
      <c r="W10" s="11">
        <f>'CF DRIVERS'!W10</f>
        <v>63.587697651037161</v>
      </c>
      <c r="X10" s="11">
        <f>'CF DRIVERS'!X10</f>
        <v>763.54370360033954</v>
      </c>
      <c r="Y10" s="11">
        <f>'CF DRIVERS'!Y10</f>
        <v>-403.52523366912737</v>
      </c>
      <c r="Z10" s="11">
        <f>'CF DRIVERS'!Z10</f>
        <v>-542.74687763043767</v>
      </c>
      <c r="AA10" s="11">
        <f>'CF DRIVERS'!AA10</f>
        <v>64.535032877900449</v>
      </c>
      <c r="AB10" s="11">
        <f>'CF DRIVERS'!AB10</f>
        <v>774.91904622778202</v>
      </c>
      <c r="AC10" s="11">
        <f>'CF DRIVERS'!AC10</f>
        <v>-409.53698881838591</v>
      </c>
      <c r="AD10" s="11">
        <f>'CF DRIVERS'!AD10</f>
        <v>-550.8327693271558</v>
      </c>
      <c r="AE10" s="11">
        <f>'CF DRIVERS'!AE10</f>
        <v>65.496481590002986</v>
      </c>
      <c r="AF10" s="11">
        <f>'CF DRIVERS'!AF10</f>
        <v>786.46385973067299</v>
      </c>
      <c r="AG10" s="11">
        <f>'CF DRIVERS'!AG10</f>
        <v>-415.63830763544229</v>
      </c>
      <c r="AH10" s="11">
        <f>'CF DRIVERS'!AH10</f>
        <v>-559.03912536410826</v>
      </c>
      <c r="AI10" s="11">
        <f>'CF DRIVERS'!AI10</f>
        <v>66.472254051310301</v>
      </c>
      <c r="AJ10" s="11">
        <f>'CF DRIVERS'!AJ10</f>
        <v>798.18066890132377</v>
      </c>
      <c r="AK10" s="11">
        <f>'CF DRIVERS'!AK10</f>
        <v>-421.83052444785153</v>
      </c>
      <c r="AL10" s="11">
        <f>'CF DRIVERS'!AL10</f>
        <v>-567.3677404298578</v>
      </c>
      <c r="AM10" s="11">
        <f>'CF DRIVERS'!AM10</f>
        <v>67.462563658327781</v>
      </c>
      <c r="AN10" s="11">
        <f>'CF DRIVERS'!AN10</f>
        <v>810.07203614663104</v>
      </c>
      <c r="AO10" s="11">
        <f>'CF DRIVERS'!AO10</f>
        <v>-428.11499346210985</v>
      </c>
    </row>
    <row r="11" spans="1:41" x14ac:dyDescent="0.25">
      <c r="A11" s="3" t="s">
        <v>41</v>
      </c>
      <c r="B11" s="4">
        <f>'YTD CF'!B11</f>
        <v>1261</v>
      </c>
      <c r="C11" s="4">
        <f>'YTD CF'!C11-'YTD CF'!B11</f>
        <v>170</v>
      </c>
      <c r="D11" s="4">
        <f>'YTD CF'!D11-'YTD CF'!C11</f>
        <v>-84</v>
      </c>
      <c r="E11" s="4">
        <f>'CASH FLOW'!C11-'YTD CF'!D11</f>
        <v>82</v>
      </c>
      <c r="F11" s="4">
        <f>'YTD CF'!E11</f>
        <v>1495</v>
      </c>
      <c r="G11" s="4">
        <f>'YTD CF'!F11-'YTD CF'!E11</f>
        <v>-1318</v>
      </c>
      <c r="H11" s="4">
        <f>'YTD CF'!G11-'YTD CF'!F11</f>
        <v>-786</v>
      </c>
      <c r="I11" s="4">
        <f>'CASH FLOW'!D11-'YTD CF'!G11</f>
        <v>922</v>
      </c>
      <c r="J11" s="4">
        <f>'YTD CF'!H11</f>
        <v>857</v>
      </c>
      <c r="K11" s="4">
        <f>'YTD CF'!I11-'YTD CF'!H11</f>
        <v>-555</v>
      </c>
      <c r="L11" s="4">
        <f>'YTD CF'!J11-'YTD CF'!I11</f>
        <v>-246</v>
      </c>
      <c r="M11" s="4">
        <f>'CASH FLOW'!E11-'YTD CF'!J11</f>
        <v>1758</v>
      </c>
      <c r="N11" s="4">
        <f>'YTD CF'!K11</f>
        <v>-648</v>
      </c>
      <c r="O11" s="4">
        <f>'YTD CF'!L11-'YTD CF'!K11</f>
        <v>-509</v>
      </c>
      <c r="P11" s="4">
        <f>'YTD CF'!M11-'YTD CF'!L11</f>
        <v>-509</v>
      </c>
      <c r="Q11" s="4">
        <f>'CASH FLOW'!F11-'YTD CF'!M11</f>
        <v>1124</v>
      </c>
      <c r="R11" s="4">
        <f>'YTD CF'!N11</f>
        <v>648</v>
      </c>
      <c r="S11" s="4">
        <f>'YTD CF'!O11-'YTD CF'!N11</f>
        <v>-409</v>
      </c>
      <c r="T11" s="11">
        <f>'CF DRIVERS'!T11</f>
        <v>-1460.3024403619438</v>
      </c>
      <c r="U11" s="11">
        <f>'CF DRIVERS'!U11</f>
        <v>771.75527831094041</v>
      </c>
      <c r="V11" s="11">
        <f>'CF DRIVERS'!V11</f>
        <v>1038.0212503427465</v>
      </c>
      <c r="W11" s="11">
        <f>'CF DRIVERS'!W11</f>
        <v>-123.4253724522423</v>
      </c>
      <c r="X11" s="11">
        <f>'CF DRIVERS'!X11</f>
        <v>-1482.0581571866387</v>
      </c>
      <c r="Y11" s="11">
        <f>'CF DRIVERS'!Y11</f>
        <v>783.25295771544916</v>
      </c>
      <c r="Z11" s="11">
        <f>'CF DRIVERS'!Z11</f>
        <v>1053.485784097049</v>
      </c>
      <c r="AA11" s="11">
        <f>'CF DRIVERS'!AA11</f>
        <v>-125.26417472897447</v>
      </c>
      <c r="AB11" s="11">
        <f>'CF DRIVERS'!AB11</f>
        <v>-1504.137992633252</v>
      </c>
      <c r="AC11" s="11">
        <f>'CF DRIVERS'!AC11</f>
        <v>794.92193057968325</v>
      </c>
      <c r="AD11" s="11">
        <f>'CF DRIVERS'!AD11</f>
        <v>1069.1807098632344</v>
      </c>
      <c r="AE11" s="11">
        <f>'CF DRIVERS'!AE11</f>
        <v>-127.13037164706475</v>
      </c>
      <c r="AF11" s="11">
        <f>'CF DRIVERS'!AF11</f>
        <v>-1526.546775450106</v>
      </c>
      <c r="AG11" s="11">
        <f>'CF DRIVERS'!AG11</f>
        <v>806.76474884898926</v>
      </c>
      <c r="AH11" s="11">
        <f>'CF DRIVERS'!AH11</f>
        <v>1085.1094600421675</v>
      </c>
      <c r="AI11" s="11">
        <f>'CF DRIVERS'!AI11</f>
        <v>-129.02437133433887</v>
      </c>
      <c r="AJ11" s="11">
        <f>'CF DRIVERS'!AJ11</f>
        <v>-1549.2894063246513</v>
      </c>
      <c r="AK11" s="11">
        <f>'CF DRIVERS'!AK11</f>
        <v>818.78400248781509</v>
      </c>
      <c r="AL11" s="11">
        <f>'CF DRIVERS'!AL11</f>
        <v>1101.2755181709381</v>
      </c>
      <c r="AM11" s="11">
        <f>'CF DRIVERS'!AM11</f>
        <v>-130.94658799895114</v>
      </c>
      <c r="AN11" s="11">
        <f>'CF DRIVERS'!AN11</f>
        <v>-1572.3708589552043</v>
      </c>
      <c r="AO11" s="11">
        <f>'CF DRIVERS'!AO11</f>
        <v>830.98232004612873</v>
      </c>
    </row>
    <row r="12" spans="1:41" x14ac:dyDescent="0.25">
      <c r="A12" s="3" t="s">
        <v>64</v>
      </c>
      <c r="B12" s="4">
        <f>'YTD CF'!B12</f>
        <v>-178</v>
      </c>
      <c r="C12" s="4">
        <f>'YTD CF'!C12-'YTD CF'!B12</f>
        <v>94</v>
      </c>
      <c r="D12" s="4">
        <f>'YTD CF'!D12-'YTD CF'!C12</f>
        <v>-47</v>
      </c>
      <c r="E12" s="4">
        <f>'CASH FLOW'!C12-'YTD CF'!D12</f>
        <v>-504</v>
      </c>
      <c r="F12" s="4">
        <f>'YTD CF'!E12</f>
        <v>-454</v>
      </c>
      <c r="G12" s="4">
        <f>'YTD CF'!F12-'YTD CF'!E12</f>
        <v>-81</v>
      </c>
      <c r="H12" s="4">
        <f>'YTD CF'!G12-'YTD CF'!F12</f>
        <v>-304</v>
      </c>
      <c r="I12" s="4">
        <f>'CASH FLOW'!D12-'YTD CF'!G12</f>
        <v>-268</v>
      </c>
      <c r="J12" s="4">
        <f>'YTD CF'!H12</f>
        <v>-671</v>
      </c>
      <c r="K12" s="4">
        <f>'YTD CF'!I12-'YTD CF'!H12</f>
        <v>-33</v>
      </c>
      <c r="L12" s="4">
        <f>'YTD CF'!J12-'YTD CF'!I12</f>
        <v>-492</v>
      </c>
      <c r="M12" s="4">
        <f>'CASH FLOW'!E12-'YTD CF'!J12</f>
        <v>-218</v>
      </c>
      <c r="N12" s="4">
        <f>'YTD CF'!K12</f>
        <v>-558</v>
      </c>
      <c r="O12" s="4">
        <f>'YTD CF'!L12-'YTD CF'!K12</f>
        <v>-190</v>
      </c>
      <c r="P12" s="4">
        <f>'YTD CF'!M12-'YTD CF'!L12</f>
        <v>-377</v>
      </c>
      <c r="Q12" s="4">
        <f>'CASH FLOW'!F12-'YTD CF'!M12</f>
        <v>1125</v>
      </c>
      <c r="R12" s="4">
        <f>'YTD CF'!N12</f>
        <v>0</v>
      </c>
      <c r="S12" s="4">
        <f>'YTD CF'!O12-'YTD CF'!N12</f>
        <v>0</v>
      </c>
      <c r="T12" s="11">
        <f>'CF DRIVERS'!T12</f>
        <v>472.71236632848832</v>
      </c>
      <c r="U12" s="11">
        <f>'CF DRIVERS'!U12</f>
        <v>86.824376199615926</v>
      </c>
      <c r="V12" s="11">
        <f>'CF DRIVERS'!V12</f>
        <v>116.77995612832342</v>
      </c>
      <c r="W12" s="11">
        <f>'CF DRIVERS'!W12</f>
        <v>-13.885659446119462</v>
      </c>
      <c r="X12" s="11">
        <f>'CF DRIVERS'!X12</f>
        <v>-166.73520558344308</v>
      </c>
      <c r="Y12" s="11">
        <f>'CF DRIVERS'!Y12</f>
        <v>88.117893549084329</v>
      </c>
      <c r="Z12" s="11">
        <f>'CF DRIVERS'!Z12</f>
        <v>118.51975439620969</v>
      </c>
      <c r="AA12" s="11">
        <f>'CF DRIVERS'!AA12</f>
        <v>-14.092529246844606</v>
      </c>
      <c r="AB12" s="11">
        <f>'CF DRIVERS'!AB12</f>
        <v>-169.21924164139978</v>
      </c>
      <c r="AC12" s="11">
        <f>'CF DRIVERS'!AC12</f>
        <v>89.430681836125586</v>
      </c>
      <c r="AD12" s="11">
        <f>'CF DRIVERS'!AD12</f>
        <v>120.28547233483982</v>
      </c>
      <c r="AE12" s="11">
        <f>'CF DRIVERS'!AE12</f>
        <v>-14.302481012427279</v>
      </c>
      <c r="AF12" s="11">
        <f>'CF DRIVERS'!AF12</f>
        <v>-171.74028509149889</v>
      </c>
      <c r="AG12" s="11">
        <f>'CF DRIVERS'!AG12</f>
        <v>90.763028160893555</v>
      </c>
      <c r="AH12" s="11">
        <f>'CF DRIVERS'!AH12</f>
        <v>122.07749609780308</v>
      </c>
      <c r="AI12" s="11">
        <f>'CF DRIVERS'!AI12</f>
        <v>-14.515560658255936</v>
      </c>
      <c r="AJ12" s="11">
        <f>'CF DRIVERS'!AJ12</f>
        <v>-174.2988872731944</v>
      </c>
      <c r="AK12" s="11">
        <f>'CF DRIVERS'!AK12</f>
        <v>92.115223900790397</v>
      </c>
      <c r="AL12" s="11">
        <f>'CF DRIVERS'!AL12</f>
        <v>123.89621759163151</v>
      </c>
      <c r="AM12" s="11">
        <f>'CF DRIVERS'!AM12</f>
        <v>-14.731814783775917</v>
      </c>
      <c r="AN12" s="11">
        <f>'CF DRIVERS'!AN12</f>
        <v>-176.89560773983635</v>
      </c>
      <c r="AO12" s="11">
        <f>'CF DRIVERS'!AO12</f>
        <v>93.487564774187376</v>
      </c>
    </row>
    <row r="13" spans="1:41" x14ac:dyDescent="0.25">
      <c r="A13" s="3" t="s">
        <v>65</v>
      </c>
      <c r="B13" s="4">
        <f>'YTD CF'!B13</f>
        <v>44</v>
      </c>
      <c r="C13" s="4">
        <f>'YTD CF'!C13-'YTD CF'!B13</f>
        <v>9</v>
      </c>
      <c r="D13" s="4">
        <f>'YTD CF'!D13-'YTD CF'!C13</f>
        <v>34</v>
      </c>
      <c r="E13" s="4">
        <f>'CASH FLOW'!C13-'YTD CF'!D13</f>
        <v>142</v>
      </c>
      <c r="F13" s="4">
        <f>'YTD CF'!E13</f>
        <v>62</v>
      </c>
      <c r="G13" s="4">
        <f>'YTD CF'!F13-'YTD CF'!E13</f>
        <v>162</v>
      </c>
      <c r="H13" s="4">
        <f>'YTD CF'!G13-'YTD CF'!F13</f>
        <v>139</v>
      </c>
      <c r="I13" s="4">
        <f>'CASH FLOW'!D13-'YTD CF'!G13</f>
        <v>201</v>
      </c>
      <c r="J13" s="4">
        <f>'YTD CF'!H13</f>
        <v>208</v>
      </c>
      <c r="K13" s="4">
        <f>'YTD CF'!I13-'YTD CF'!H13</f>
        <v>138</v>
      </c>
      <c r="L13" s="4">
        <f>'YTD CF'!J13-'YTD CF'!I13</f>
        <v>144</v>
      </c>
      <c r="M13" s="4">
        <f>'CASH FLOW'!E13-'YTD CF'!J13</f>
        <v>479</v>
      </c>
      <c r="N13" s="4">
        <f>'YTD CF'!K13</f>
        <v>32</v>
      </c>
      <c r="O13" s="4">
        <f>'YTD CF'!L13-'YTD CF'!K13</f>
        <v>103</v>
      </c>
      <c r="P13" s="4">
        <f>'YTD CF'!M13-'YTD CF'!L13</f>
        <v>83</v>
      </c>
      <c r="Q13" s="4">
        <f>'CASH FLOW'!F13-'YTD CF'!M13</f>
        <v>-1871</v>
      </c>
      <c r="R13" s="4">
        <f>'YTD CF'!N13</f>
        <v>-344</v>
      </c>
      <c r="S13" s="4">
        <f>'YTD CF'!O13-'YTD CF'!N13</f>
        <v>-301</v>
      </c>
      <c r="T13" s="11">
        <f>'CF DRIVERS'!T13</f>
        <v>0</v>
      </c>
      <c r="U13" s="11">
        <f>'CF DRIVERS'!U13</f>
        <v>0</v>
      </c>
      <c r="V13" s="11">
        <f>'CF DRIVERS'!V13</f>
        <v>0</v>
      </c>
      <c r="W13" s="11">
        <f>'CF DRIVERS'!W13</f>
        <v>0</v>
      </c>
      <c r="X13" s="11">
        <f>'CF DRIVERS'!X13</f>
        <v>0</v>
      </c>
      <c r="Y13" s="11">
        <f>'CF DRIVERS'!Y13</f>
        <v>0</v>
      </c>
      <c r="Z13" s="11">
        <f>'CF DRIVERS'!Z13</f>
        <v>0</v>
      </c>
      <c r="AA13" s="11">
        <f>'CF DRIVERS'!AA13</f>
        <v>0</v>
      </c>
      <c r="AB13" s="11">
        <f>'CF DRIVERS'!AB13</f>
        <v>0</v>
      </c>
      <c r="AC13" s="11">
        <f>'CF DRIVERS'!AC13</f>
        <v>0</v>
      </c>
      <c r="AD13" s="11">
        <f>'CF DRIVERS'!AD13</f>
        <v>0</v>
      </c>
      <c r="AE13" s="11">
        <f>'CF DRIVERS'!AE13</f>
        <v>0</v>
      </c>
      <c r="AF13" s="11">
        <f>'CF DRIVERS'!AF13</f>
        <v>0</v>
      </c>
      <c r="AG13" s="11">
        <f>'CF DRIVERS'!AG13</f>
        <v>0</v>
      </c>
      <c r="AH13" s="11">
        <f>'CF DRIVERS'!AH13</f>
        <v>0</v>
      </c>
      <c r="AI13" s="11">
        <f>'CF DRIVERS'!AI13</f>
        <v>0</v>
      </c>
      <c r="AJ13" s="11">
        <f>'CF DRIVERS'!AJ13</f>
        <v>0</v>
      </c>
      <c r="AK13" s="11">
        <f>'CF DRIVERS'!AK13</f>
        <v>0</v>
      </c>
      <c r="AL13" s="11">
        <f>'CF DRIVERS'!AL13</f>
        <v>0</v>
      </c>
      <c r="AM13" s="11">
        <f>'CF DRIVERS'!AM13</f>
        <v>0</v>
      </c>
      <c r="AN13" s="11">
        <f>'CF DRIVERS'!AN13</f>
        <v>0</v>
      </c>
      <c r="AO13" s="11">
        <f>'CF DRIVERS'!AO13</f>
        <v>0</v>
      </c>
    </row>
    <row r="14" spans="1:41" x14ac:dyDescent="0.25">
      <c r="A14" s="3" t="s">
        <v>66</v>
      </c>
      <c r="B14" s="6">
        <f>'YTD CF'!B14</f>
        <v>4643</v>
      </c>
      <c r="C14" s="6">
        <f>'YTD CF'!C14-'YTD CF'!B14</f>
        <v>5121</v>
      </c>
      <c r="D14" s="6">
        <f>'YTD CF'!D14-'YTD CF'!C14</f>
        <v>3246</v>
      </c>
      <c r="E14" s="6">
        <f>'CASH FLOW'!C14-'YTD CF'!D14</f>
        <v>3713</v>
      </c>
      <c r="F14" s="6">
        <f>'YTD CF'!E14</f>
        <v>4070</v>
      </c>
      <c r="G14" s="6">
        <f>'YTD CF'!F14-'YTD CF'!E14</f>
        <v>3574</v>
      </c>
      <c r="H14" s="6">
        <f>'YTD CF'!G14-'YTD CF'!F14</f>
        <v>3863</v>
      </c>
      <c r="I14" s="6">
        <f>'CASH FLOW'!D14-'YTD CF'!G14</f>
        <v>5341</v>
      </c>
      <c r="J14" s="6">
        <f>'YTD CF'!H14</f>
        <v>4904</v>
      </c>
      <c r="K14" s="6">
        <f>'YTD CF'!I14-'YTD CF'!H14</f>
        <v>5100</v>
      </c>
      <c r="L14" s="6">
        <f>'YTD CF'!J14-'YTD CF'!I14</f>
        <v>4089</v>
      </c>
      <c r="M14" s="6">
        <f>'CASH FLOW'!E14-'YTD CF'!J14</f>
        <v>5754</v>
      </c>
      <c r="N14" s="6">
        <f>'YTD CF'!K14</f>
        <v>4302</v>
      </c>
      <c r="O14" s="6">
        <f>'YTD CF'!L14-'YTD CF'!K14</f>
        <v>4825</v>
      </c>
      <c r="P14" s="6">
        <f>'YTD CF'!M14-'YTD CF'!L14</f>
        <v>3704</v>
      </c>
      <c r="Q14" s="6">
        <f>'CASH FLOW'!F14-'YTD CF'!M14</f>
        <v>4987</v>
      </c>
      <c r="R14" s="6">
        <f>'YTD CF'!N14</f>
        <v>5409</v>
      </c>
      <c r="S14" s="6">
        <f>'YTD CF'!O14-'YTD CF'!N14</f>
        <v>4972</v>
      </c>
      <c r="T14" s="7">
        <f t="shared" ref="T14:AO14" si="0">SUM(T2:T13)</f>
        <v>5137.7373501202464</v>
      </c>
      <c r="U14" s="7">
        <f t="shared" si="0"/>
        <v>5176.2838399586544</v>
      </c>
      <c r="V14" s="7">
        <f t="shared" si="0"/>
        <v>5582.912940398548</v>
      </c>
      <c r="W14" s="7">
        <f t="shared" si="0"/>
        <v>5327.2653947604958</v>
      </c>
      <c r="X14" s="7">
        <f t="shared" si="0"/>
        <v>4567.1589635142827</v>
      </c>
      <c r="Y14" s="7">
        <f t="shared" si="0"/>
        <v>5252.7698055913961</v>
      </c>
      <c r="Z14" s="7">
        <f t="shared" si="0"/>
        <v>5665.4569028662872</v>
      </c>
      <c r="AA14" s="7">
        <f t="shared" si="0"/>
        <v>5406.0006971478888</v>
      </c>
      <c r="AB14" s="7">
        <f t="shared" si="0"/>
        <v>4634.5701320662783</v>
      </c>
      <c r="AC14" s="7">
        <f t="shared" si="0"/>
        <v>5330.3952660050663</v>
      </c>
      <c r="AD14" s="7">
        <f t="shared" si="0"/>
        <v>5749.2306126955264</v>
      </c>
      <c r="AE14" s="7">
        <f t="shared" si="0"/>
        <v>5485.9090051370731</v>
      </c>
      <c r="AF14" s="7">
        <f t="shared" si="0"/>
        <v>4702.9855982577974</v>
      </c>
      <c r="AG14" s="7">
        <f t="shared" si="0"/>
        <v>5409.1771974951798</v>
      </c>
      <c r="AH14" s="7">
        <f t="shared" si="0"/>
        <v>5834.2523907728482</v>
      </c>
      <c r="AI14" s="7">
        <f t="shared" si="0"/>
        <v>5567.0077942707812</v>
      </c>
      <c r="AJ14" s="7">
        <f t="shared" si="0"/>
        <v>4772.4203242051954</v>
      </c>
      <c r="AK14" s="7">
        <f t="shared" si="0"/>
        <v>5489.1328292716444</v>
      </c>
      <c r="AL14" s="7">
        <f t="shared" si="0"/>
        <v>5920.540830931016</v>
      </c>
      <c r="AM14" s="7">
        <f t="shared" si="0"/>
        <v>5649.314800443949</v>
      </c>
      <c r="AN14" s="7">
        <f t="shared" si="0"/>
        <v>4842.8894949318246</v>
      </c>
      <c r="AO14" s="7">
        <f t="shared" si="0"/>
        <v>5570.2796472266573</v>
      </c>
    </row>
    <row r="15" spans="1:41" x14ac:dyDescent="0.25">
      <c r="A15" s="3" t="s">
        <v>67</v>
      </c>
      <c r="B15" s="4">
        <f>'YTD CF'!B15</f>
        <v>-1091</v>
      </c>
      <c r="C15" s="4">
        <f>'YTD CF'!C15-'YTD CF'!B15</f>
        <v>-626</v>
      </c>
      <c r="D15" s="4">
        <f>'YTD CF'!D15-'YTD CF'!C15</f>
        <v>-747</v>
      </c>
      <c r="E15" s="4">
        <f>'CASH FLOW'!C15-'YTD CF'!D15</f>
        <v>-692</v>
      </c>
      <c r="F15" s="4">
        <f>'YTD CF'!E15</f>
        <v>-890</v>
      </c>
      <c r="G15" s="4">
        <f>'YTD CF'!F15-'YTD CF'!E15</f>
        <v>-708</v>
      </c>
      <c r="H15" s="4">
        <f>'YTD CF'!G15-'YTD CF'!F15</f>
        <v>-730</v>
      </c>
      <c r="I15" s="4">
        <f>'CASH FLOW'!D15-'YTD CF'!G15</f>
        <v>-734</v>
      </c>
      <c r="J15" s="4">
        <f>'YTD CF'!H15</f>
        <v>-925</v>
      </c>
      <c r="K15" s="4">
        <f>'YTD CF'!I15-'YTD CF'!H15</f>
        <v>-817</v>
      </c>
      <c r="L15" s="4">
        <f>'YTD CF'!J15-'YTD CF'!I15</f>
        <v>-797</v>
      </c>
      <c r="M15" s="4">
        <f>'CASH FLOW'!E15-'YTD CF'!J15</f>
        <v>-783</v>
      </c>
      <c r="N15" s="4">
        <f>'YTD CF'!K15</f>
        <v>-993</v>
      </c>
      <c r="O15" s="4">
        <f>'YTD CF'!L15-'YTD CF'!K15</f>
        <v>-925</v>
      </c>
      <c r="P15" s="4">
        <f>'YTD CF'!M15-'YTD CF'!L15</f>
        <v>-859</v>
      </c>
      <c r="Q15" s="4">
        <f>'CASH FLOW'!F15-'YTD CF'!M15</f>
        <v>-996</v>
      </c>
      <c r="R15" s="4">
        <f>'YTD CF'!N15</f>
        <v>-1200</v>
      </c>
      <c r="S15" s="4">
        <f>'YTD CF'!O15-'YTD CF'!N15</f>
        <v>-1167</v>
      </c>
      <c r="T15" s="11">
        <f>'QTR P&amp;L'!T2*'CF DRIVERS'!T14</f>
        <v>-1054.683849739512</v>
      </c>
      <c r="U15" s="11">
        <f>'QTR P&amp;L'!U2*'CF DRIVERS'!U14</f>
        <v>-1114.0418151905676</v>
      </c>
      <c r="V15" s="11">
        <f>'QTR P&amp;L'!V2*'CF DRIVERS'!V14</f>
        <v>-1193.8790786948175</v>
      </c>
      <c r="W15" s="11">
        <f>'QTR P&amp;L'!W2*'CF DRIVERS'!W14</f>
        <v>-1184.3860707430765</v>
      </c>
      <c r="X15" s="11">
        <f>'QTR P&amp;L'!X2*'CF DRIVERS'!X14</f>
        <v>-1070.3966243951686</v>
      </c>
      <c r="Y15" s="11">
        <f>'QTR P&amp;L'!Y2*'CF DRIVERS'!Y14</f>
        <v>-1130.6389101431371</v>
      </c>
      <c r="Z15" s="11">
        <f>'QTR P&amp;L'!Z2*'CF DRIVERS'!Z14</f>
        <v>-1211.6655963647979</v>
      </c>
      <c r="AA15" s="11">
        <f>'QTR P&amp;L'!AA2*'CF DRIVERS'!AA14</f>
        <v>-1202.0311607285551</v>
      </c>
      <c r="AB15" s="11">
        <f>'QTR P&amp;L'!AB2*'CF DRIVERS'!AB14</f>
        <v>-1086.3434893779317</v>
      </c>
      <c r="AC15" s="11">
        <f>'QTR P&amp;L'!AC2*'CF DRIVERS'!AC14</f>
        <v>-1147.4832701059677</v>
      </c>
      <c r="AD15" s="11">
        <f>'QTR P&amp;L'!AD2*'CF DRIVERS'!AD14</f>
        <v>-1229.717099171439</v>
      </c>
      <c r="AE15" s="11">
        <f>'QTR P&amp;L'!AE2*'CF DRIVERS'!AE14</f>
        <v>-1219.9391288483571</v>
      </c>
      <c r="AF15" s="11">
        <f>'QTR P&amp;L'!AF2*'CF DRIVERS'!AF14</f>
        <v>-1102.5279321865053</v>
      </c>
      <c r="AG15" s="11">
        <f>'QTR P&amp;L'!AG2*'CF DRIVERS'!AG14</f>
        <v>-1164.5785788553758</v>
      </c>
      <c r="AH15" s="11">
        <f>'QTR P&amp;L'!AH2*'CF DRIVERS'!AH14</f>
        <v>-1248.0375348870907</v>
      </c>
      <c r="AI15" s="11">
        <f>'QTR P&amp;L'!AI2*'CF DRIVERS'!AI14</f>
        <v>-1238.1138914845219</v>
      </c>
      <c r="AJ15" s="11">
        <f>'QTR P&amp;L'!AJ2*'CF DRIVERS'!AJ14</f>
        <v>-1118.9534922766616</v>
      </c>
      <c r="AK15" s="11">
        <f>'QTR P&amp;L'!AK2*'CF DRIVERS'!AK14</f>
        <v>-1181.9285750489071</v>
      </c>
      <c r="AL15" s="11">
        <f>'QTR P&amp;L'!AL2*'CF DRIVERS'!AL14</f>
        <v>-1266.630910098369</v>
      </c>
      <c r="AM15" s="11">
        <f>'QTR P&amp;L'!AM2*'CF DRIVERS'!AM14</f>
        <v>-1256.5594233657007</v>
      </c>
      <c r="AN15" s="11">
        <f>'QTR P&amp;L'!AN2*'CF DRIVERS'!AN14</f>
        <v>-1135.623761835303</v>
      </c>
      <c r="AO15" s="11">
        <f>'QTR P&amp;L'!AO2*'CF DRIVERS'!AO14</f>
        <v>-1199.5370530429634</v>
      </c>
    </row>
    <row r="16" spans="1:41" x14ac:dyDescent="0.25">
      <c r="A16" s="3" t="s">
        <v>68</v>
      </c>
      <c r="B16" s="4">
        <f>'YTD CF'!B16</f>
        <v>85</v>
      </c>
      <c r="C16" s="4">
        <f>'YTD CF'!C16-'YTD CF'!B16</f>
        <v>12</v>
      </c>
      <c r="D16" s="4">
        <f>'YTD CF'!D16-'YTD CF'!C16</f>
        <v>2</v>
      </c>
      <c r="E16" s="4">
        <f>'CASH FLOW'!C16-'YTD CF'!D16</f>
        <v>11</v>
      </c>
      <c r="F16" s="4">
        <f>'YTD CF'!E16</f>
        <v>5</v>
      </c>
      <c r="G16" s="4">
        <f>'YTD CF'!F16-'YTD CF'!E16</f>
        <v>3</v>
      </c>
      <c r="H16" s="4">
        <f>'YTD CF'!G16-'YTD CF'!F16</f>
        <v>1</v>
      </c>
      <c r="I16" s="4">
        <f>'CASH FLOW'!D16-'YTD CF'!G16</f>
        <v>37</v>
      </c>
      <c r="J16" s="4">
        <f>'YTD CF'!H16</f>
        <v>3</v>
      </c>
      <c r="K16" s="4">
        <f>'YTD CF'!I16-'YTD CF'!H16</f>
        <v>5</v>
      </c>
      <c r="L16" s="4">
        <f>'YTD CF'!J16-'YTD CF'!I16</f>
        <v>69</v>
      </c>
      <c r="M16" s="4">
        <f>'CASH FLOW'!E16-'YTD CF'!J16</f>
        <v>269</v>
      </c>
      <c r="N16" s="4">
        <f>'YTD CF'!K16</f>
        <v>45</v>
      </c>
      <c r="O16" s="4">
        <f>'YTD CF'!L16-'YTD CF'!K16</f>
        <v>2</v>
      </c>
      <c r="P16" s="4">
        <f>'YTD CF'!M16-'YTD CF'!L16</f>
        <v>17</v>
      </c>
      <c r="Q16" s="4">
        <f>'CASH FLOW'!F16-'YTD CF'!M16</f>
        <v>43</v>
      </c>
      <c r="R16" s="4">
        <f>'YTD CF'!N16</f>
        <v>8</v>
      </c>
      <c r="S16" s="4">
        <f>'YTD CF'!O16-'YTD CF'!N16</f>
        <v>8</v>
      </c>
      <c r="T16" s="11">
        <f>'CF DRIVERS'!T15</f>
        <v>0</v>
      </c>
      <c r="U16" s="11">
        <f>'CF DRIVERS'!U15</f>
        <v>0</v>
      </c>
      <c r="V16" s="11">
        <f>'CF DRIVERS'!V15</f>
        <v>0</v>
      </c>
      <c r="W16" s="11">
        <f>'CF DRIVERS'!W15</f>
        <v>0</v>
      </c>
      <c r="X16" s="11">
        <f>'CF DRIVERS'!X15</f>
        <v>0</v>
      </c>
      <c r="Y16" s="11">
        <f>'CF DRIVERS'!Y15</f>
        <v>0</v>
      </c>
      <c r="Z16" s="11">
        <f>'CF DRIVERS'!Z15</f>
        <v>0</v>
      </c>
      <c r="AA16" s="11">
        <f>'CF DRIVERS'!AA15</f>
        <v>0</v>
      </c>
      <c r="AB16" s="11">
        <f>'CF DRIVERS'!AB15</f>
        <v>0</v>
      </c>
      <c r="AC16" s="11">
        <f>'CF DRIVERS'!AC15</f>
        <v>0</v>
      </c>
      <c r="AD16" s="11">
        <f>'CF DRIVERS'!AD15</f>
        <v>0</v>
      </c>
      <c r="AE16" s="11">
        <f>'CF DRIVERS'!AE15</f>
        <v>0</v>
      </c>
      <c r="AF16" s="11">
        <f>'CF DRIVERS'!AF15</f>
        <v>0</v>
      </c>
      <c r="AG16" s="11">
        <f>'CF DRIVERS'!AG15</f>
        <v>0</v>
      </c>
      <c r="AH16" s="11">
        <f>'CF DRIVERS'!AH15</f>
        <v>0</v>
      </c>
      <c r="AI16" s="11">
        <f>'CF DRIVERS'!AI15</f>
        <v>0</v>
      </c>
      <c r="AJ16" s="11">
        <f>'CF DRIVERS'!AJ15</f>
        <v>0</v>
      </c>
      <c r="AK16" s="11">
        <f>'CF DRIVERS'!AK15</f>
        <v>0</v>
      </c>
      <c r="AL16" s="11">
        <f>'CF DRIVERS'!AL15</f>
        <v>0</v>
      </c>
      <c r="AM16" s="11">
        <f>'CF DRIVERS'!AM15</f>
        <v>0</v>
      </c>
      <c r="AN16" s="11">
        <f>'CF DRIVERS'!AN15</f>
        <v>0</v>
      </c>
      <c r="AO16" s="11">
        <f>'CF DRIVERS'!AO15</f>
        <v>0</v>
      </c>
    </row>
    <row r="17" spans="1:41" x14ac:dyDescent="0.25">
      <c r="A17" s="3" t="s">
        <v>69</v>
      </c>
      <c r="B17" s="4">
        <f>'YTD CF'!B17</f>
        <v>0</v>
      </c>
      <c r="C17" s="4">
        <f>'YTD CF'!C17-'YTD CF'!B17</f>
        <v>-349</v>
      </c>
      <c r="D17" s="4">
        <f>'YTD CF'!D17-'YTD CF'!C17</f>
        <v>-1032</v>
      </c>
      <c r="E17" s="4">
        <f>'CASH FLOW'!C17-'YTD CF'!D17</f>
        <v>0</v>
      </c>
      <c r="F17" s="4">
        <f>'YTD CF'!E17</f>
        <v>-2</v>
      </c>
      <c r="G17" s="4">
        <f>'YTD CF'!F17-'YTD CF'!E17</f>
        <v>-74</v>
      </c>
      <c r="H17" s="4">
        <f>'YTD CF'!G17-'YTD CF'!F17</f>
        <v>-638</v>
      </c>
      <c r="I17" s="4">
        <f>'CASH FLOW'!D17-'YTD CF'!G17</f>
        <v>-51</v>
      </c>
      <c r="J17" s="4">
        <f>'YTD CF'!H17</f>
        <v>0</v>
      </c>
      <c r="K17" s="4">
        <f>'YTD CF'!I17-'YTD CF'!H17</f>
        <v>0</v>
      </c>
      <c r="L17" s="4">
        <f>'YTD CF'!J17-'YTD CF'!I17</f>
        <v>-21</v>
      </c>
      <c r="M17" s="4">
        <f>'CASH FLOW'!E17-'YTD CF'!J17</f>
        <v>0</v>
      </c>
      <c r="N17" s="4">
        <f>'YTD CF'!K17</f>
        <v>-6</v>
      </c>
      <c r="O17" s="4">
        <f>'YTD CF'!L17-'YTD CF'!K17</f>
        <v>0</v>
      </c>
      <c r="P17" s="4">
        <f>'YTD CF'!M17-'YTD CF'!L17</f>
        <v>-5</v>
      </c>
      <c r="Q17" s="4">
        <f>'CASH FLOW'!F17-'YTD CF'!M17</f>
        <v>0</v>
      </c>
      <c r="R17" s="4">
        <f>'YTD CF'!N17</f>
        <v>-5</v>
      </c>
      <c r="S17" s="4">
        <f>'YTD CF'!O17-'YTD CF'!N17</f>
        <v>0</v>
      </c>
      <c r="T17" s="11">
        <f>'CF DRIVERS'!T16</f>
        <v>0</v>
      </c>
      <c r="U17" s="11">
        <f>'CF DRIVERS'!U16</f>
        <v>0</v>
      </c>
      <c r="V17" s="11">
        <f>'CF DRIVERS'!V16</f>
        <v>0</v>
      </c>
      <c r="W17" s="11">
        <f>'CF DRIVERS'!W16</f>
        <v>0</v>
      </c>
      <c r="X17" s="11">
        <f>'CF DRIVERS'!X16</f>
        <v>0</v>
      </c>
      <c r="Y17" s="11">
        <f>'CF DRIVERS'!Y16</f>
        <v>0</v>
      </c>
      <c r="Z17" s="11">
        <f>'CF DRIVERS'!Z16</f>
        <v>0</v>
      </c>
      <c r="AA17" s="11">
        <f>'CF DRIVERS'!AA16</f>
        <v>0</v>
      </c>
      <c r="AB17" s="11">
        <f>'CF DRIVERS'!AB16</f>
        <v>0</v>
      </c>
      <c r="AC17" s="11">
        <f>'CF DRIVERS'!AC16</f>
        <v>0</v>
      </c>
      <c r="AD17" s="11">
        <f>'CF DRIVERS'!AD16</f>
        <v>0</v>
      </c>
      <c r="AE17" s="11">
        <f>'CF DRIVERS'!AE16</f>
        <v>0</v>
      </c>
      <c r="AF17" s="11">
        <f>'CF DRIVERS'!AF16</f>
        <v>0</v>
      </c>
      <c r="AG17" s="11">
        <f>'CF DRIVERS'!AG16</f>
        <v>0</v>
      </c>
      <c r="AH17" s="11">
        <f>'CF DRIVERS'!AH16</f>
        <v>0</v>
      </c>
      <c r="AI17" s="11">
        <f>'CF DRIVERS'!AI16</f>
        <v>0</v>
      </c>
      <c r="AJ17" s="11">
        <f>'CF DRIVERS'!AJ16</f>
        <v>0</v>
      </c>
      <c r="AK17" s="11">
        <f>'CF DRIVERS'!AK16</f>
        <v>0</v>
      </c>
      <c r="AL17" s="11">
        <f>'CF DRIVERS'!AL16</f>
        <v>0</v>
      </c>
      <c r="AM17" s="11">
        <f>'CF DRIVERS'!AM16</f>
        <v>0</v>
      </c>
      <c r="AN17" s="11">
        <f>'CF DRIVERS'!AN16</f>
        <v>0</v>
      </c>
      <c r="AO17" s="11">
        <f>'CF DRIVERS'!AO16</f>
        <v>0</v>
      </c>
    </row>
    <row r="18" spans="1:41" x14ac:dyDescent="0.25">
      <c r="A18" s="3" t="s">
        <v>102</v>
      </c>
      <c r="B18" s="4">
        <f>'YTD CF'!B18</f>
        <v>0</v>
      </c>
      <c r="C18" s="4">
        <f>'YTD CF'!C18-'YTD CF'!B18</f>
        <v>0</v>
      </c>
      <c r="D18" s="4">
        <f>'YTD CF'!D18-'YTD CF'!C18</f>
        <v>0</v>
      </c>
      <c r="F18" s="4">
        <f>'YTD CF'!E18</f>
        <v>55</v>
      </c>
      <c r="G18" s="4">
        <f>'YTD CF'!F18-'YTD CF'!E18</f>
        <v>-55</v>
      </c>
      <c r="H18" s="4">
        <f>'YTD CF'!G18-'YTD CF'!F18</f>
        <v>0</v>
      </c>
      <c r="J18" s="4">
        <f>'YTD CF'!H18</f>
        <v>0</v>
      </c>
      <c r="K18" s="4">
        <f>'YTD CF'!I18-'YTD CF'!H18</f>
        <v>0</v>
      </c>
      <c r="L18" s="4">
        <f>'YTD CF'!J18-'YTD CF'!I18</f>
        <v>0</v>
      </c>
      <c r="N18" s="4">
        <f>'YTD CF'!K18</f>
        <v>0</v>
      </c>
      <c r="O18" s="4">
        <f>'YTD CF'!L18-'YTD CF'!K18</f>
        <v>0</v>
      </c>
      <c r="P18" s="4">
        <f>'YTD CF'!M18-'YTD CF'!L18</f>
        <v>0</v>
      </c>
      <c r="R18" s="4">
        <f>'YTD CF'!N18</f>
        <v>0</v>
      </c>
      <c r="S18" s="4">
        <f>'YTD CF'!O18-'YTD CF'!N18</f>
        <v>0</v>
      </c>
      <c r="T18" s="11">
        <f>'CF DRIVERS'!T17</f>
        <v>0</v>
      </c>
      <c r="U18" s="11">
        <f>'CF DRIVERS'!U17</f>
        <v>0</v>
      </c>
      <c r="V18" s="11">
        <f>'CF DRIVERS'!V17</f>
        <v>0</v>
      </c>
      <c r="W18" s="11">
        <f>'CF DRIVERS'!W17</f>
        <v>0</v>
      </c>
      <c r="X18" s="11">
        <f>'CF DRIVERS'!X17</f>
        <v>0</v>
      </c>
      <c r="Y18" s="11">
        <f>'CF DRIVERS'!Y17</f>
        <v>0</v>
      </c>
      <c r="Z18" s="11">
        <f>'CF DRIVERS'!Z17</f>
        <v>0</v>
      </c>
      <c r="AA18" s="11">
        <f>'CF DRIVERS'!AA17</f>
        <v>0</v>
      </c>
      <c r="AB18" s="11">
        <f>'CF DRIVERS'!AB17</f>
        <v>0</v>
      </c>
      <c r="AC18" s="11">
        <f>'CF DRIVERS'!AC17</f>
        <v>0</v>
      </c>
      <c r="AD18" s="11">
        <f>'CF DRIVERS'!AD17</f>
        <v>0</v>
      </c>
      <c r="AE18" s="11">
        <f>'CF DRIVERS'!AE17</f>
        <v>0</v>
      </c>
      <c r="AF18" s="11">
        <f>'CF DRIVERS'!AF17</f>
        <v>0</v>
      </c>
      <c r="AG18" s="11">
        <f>'CF DRIVERS'!AG17</f>
        <v>0</v>
      </c>
      <c r="AH18" s="11">
        <f>'CF DRIVERS'!AH17</f>
        <v>0</v>
      </c>
      <c r="AI18" s="11">
        <f>'CF DRIVERS'!AI17</f>
        <v>0</v>
      </c>
      <c r="AJ18" s="11">
        <f>'CF DRIVERS'!AJ17</f>
        <v>0</v>
      </c>
      <c r="AK18" s="11">
        <f>'CF DRIVERS'!AK17</f>
        <v>0</v>
      </c>
      <c r="AL18" s="11">
        <f>'CF DRIVERS'!AL17</f>
        <v>0</v>
      </c>
      <c r="AM18" s="11">
        <f>'CF DRIVERS'!AM17</f>
        <v>0</v>
      </c>
      <c r="AN18" s="11">
        <f>'CF DRIVERS'!AN17</f>
        <v>0</v>
      </c>
      <c r="AO18" s="11">
        <f>'CF DRIVERS'!AO17</f>
        <v>0</v>
      </c>
    </row>
    <row r="19" spans="1:41" x14ac:dyDescent="0.25">
      <c r="A19" s="3" t="s">
        <v>70</v>
      </c>
      <c r="B19" s="4">
        <f>'YTD CF'!B19</f>
        <v>0</v>
      </c>
      <c r="C19" s="4">
        <f>'YTD CF'!C19-'YTD CF'!B19</f>
        <v>3</v>
      </c>
      <c r="D19" s="4">
        <f>'YTD CF'!D19-'YTD CF'!C19</f>
        <v>1</v>
      </c>
      <c r="E19" s="4">
        <f>'CASH FLOW'!C18-'YTD CF'!D19</f>
        <v>-1</v>
      </c>
      <c r="F19" s="4">
        <f>'YTD CF'!E19</f>
        <v>0</v>
      </c>
      <c r="G19" s="4">
        <f>'YTD CF'!F19-'YTD CF'!E19</f>
        <v>344</v>
      </c>
      <c r="H19" s="4">
        <f>'YTD CF'!G19-'YTD CF'!F19</f>
        <v>-13</v>
      </c>
      <c r="I19" s="4">
        <f>'CASH FLOW'!D18-'YTD CF'!G19</f>
        <v>-50</v>
      </c>
      <c r="J19" s="4">
        <f>'YTD CF'!H19</f>
        <v>-300</v>
      </c>
      <c r="K19" s="4">
        <f>'YTD CF'!I19-'YTD CF'!H19</f>
        <v>-189</v>
      </c>
      <c r="L19" s="4">
        <f>'YTD CF'!J19-'YTD CF'!I19</f>
        <v>-14</v>
      </c>
      <c r="M19" s="4">
        <f>'CASH FLOW'!E18-'YTD CF'!J19</f>
        <v>-4</v>
      </c>
      <c r="N19" s="4">
        <f>'YTD CF'!K19</f>
        <v>-154</v>
      </c>
      <c r="O19" s="4">
        <f>'YTD CF'!L19-'YTD CF'!K19</f>
        <v>1</v>
      </c>
      <c r="P19" s="4">
        <f>'YTD CF'!M19-'YTD CF'!L19</f>
        <v>120</v>
      </c>
      <c r="Q19" s="4">
        <f>'CASH FLOW'!F18-'YTD CF'!M19</f>
        <v>-108</v>
      </c>
      <c r="R19" s="4">
        <f>'YTD CF'!N19</f>
        <v>-338</v>
      </c>
      <c r="S19" s="4">
        <f>'YTD CF'!O19-'YTD CF'!N19</f>
        <v>-70</v>
      </c>
      <c r="T19" s="11">
        <f>'CF DRIVERS'!T18</f>
        <v>0</v>
      </c>
      <c r="U19" s="11">
        <f>'CF DRIVERS'!U18</f>
        <v>0</v>
      </c>
      <c r="V19" s="11">
        <f>'CF DRIVERS'!V18</f>
        <v>0</v>
      </c>
      <c r="W19" s="11">
        <f>'CF DRIVERS'!W18</f>
        <v>0</v>
      </c>
      <c r="X19" s="11">
        <f>'CF DRIVERS'!X18</f>
        <v>0</v>
      </c>
      <c r="Y19" s="11">
        <f>'CF DRIVERS'!Y18</f>
        <v>0</v>
      </c>
      <c r="Z19" s="11">
        <f>'CF DRIVERS'!Z18</f>
        <v>0</v>
      </c>
      <c r="AA19" s="11">
        <f>'CF DRIVERS'!AA18</f>
        <v>0</v>
      </c>
      <c r="AB19" s="11">
        <f>'CF DRIVERS'!AB18</f>
        <v>0</v>
      </c>
      <c r="AC19" s="11">
        <f>'CF DRIVERS'!AC18</f>
        <v>0</v>
      </c>
      <c r="AD19" s="11">
        <f>'CF DRIVERS'!AD18</f>
        <v>0</v>
      </c>
      <c r="AE19" s="11">
        <f>'CF DRIVERS'!AE18</f>
        <v>0</v>
      </c>
      <c r="AF19" s="11">
        <f>'CF DRIVERS'!AF18</f>
        <v>0</v>
      </c>
      <c r="AG19" s="11">
        <f>'CF DRIVERS'!AG18</f>
        <v>0</v>
      </c>
      <c r="AH19" s="11">
        <f>'CF DRIVERS'!AH18</f>
        <v>0</v>
      </c>
      <c r="AI19" s="11">
        <f>'CF DRIVERS'!AI18</f>
        <v>0</v>
      </c>
      <c r="AJ19" s="11">
        <f>'CF DRIVERS'!AJ18</f>
        <v>0</v>
      </c>
      <c r="AK19" s="11">
        <f>'CF DRIVERS'!AK18</f>
        <v>0</v>
      </c>
      <c r="AL19" s="11">
        <f>'CF DRIVERS'!AL18</f>
        <v>0</v>
      </c>
      <c r="AM19" s="11">
        <f>'CF DRIVERS'!AM18</f>
        <v>0</v>
      </c>
      <c r="AN19" s="11">
        <f>'CF DRIVERS'!AN18</f>
        <v>0</v>
      </c>
      <c r="AO19" s="11">
        <f>'CF DRIVERS'!AO18</f>
        <v>0</v>
      </c>
    </row>
    <row r="20" spans="1:41" x14ac:dyDescent="0.25">
      <c r="A20" s="3" t="s">
        <v>71</v>
      </c>
      <c r="B20" s="6">
        <f>'YTD CF'!B20</f>
        <v>-1006</v>
      </c>
      <c r="C20" s="6">
        <f>'YTD CF'!C20-'YTD CF'!B20</f>
        <v>-960</v>
      </c>
      <c r="D20" s="6">
        <f>'YTD CF'!D20-'YTD CF'!C20</f>
        <v>-1776</v>
      </c>
      <c r="E20" s="6">
        <f>'CASH FLOW'!C19-'YTD CF'!D20</f>
        <v>-682</v>
      </c>
      <c r="F20" s="6">
        <f>'YTD CF'!E20</f>
        <v>-832</v>
      </c>
      <c r="G20" s="6">
        <f>'YTD CF'!F20-'YTD CF'!E20</f>
        <v>-490</v>
      </c>
      <c r="H20" s="6">
        <f>'YTD CF'!G20-'YTD CF'!F20</f>
        <v>-1380</v>
      </c>
      <c r="I20" s="6">
        <f>'CASH FLOW'!D19-'YTD CF'!G20</f>
        <v>-798</v>
      </c>
      <c r="J20" s="6">
        <f>'YTD CF'!H20</f>
        <v>-1222</v>
      </c>
      <c r="K20" s="6">
        <f>'YTD CF'!I20-'YTD CF'!H20</f>
        <v>-1001</v>
      </c>
      <c r="L20" s="6">
        <f>'YTD CF'!J20-'YTD CF'!I20</f>
        <v>-763</v>
      </c>
      <c r="M20" s="6">
        <f>'CASH FLOW'!E19-'YTD CF'!J20</f>
        <v>-518</v>
      </c>
      <c r="N20" s="6">
        <f>'YTD CF'!K20</f>
        <v>-1108</v>
      </c>
      <c r="O20" s="6">
        <f>'YTD CF'!L20-'YTD CF'!K20</f>
        <v>-922</v>
      </c>
      <c r="P20" s="6">
        <f>'YTD CF'!M20-'YTD CF'!L20</f>
        <v>-727</v>
      </c>
      <c r="Q20" s="6">
        <f>'CASH FLOW'!F19-'YTD CF'!M20</f>
        <v>-1061</v>
      </c>
      <c r="R20" s="6">
        <f>'YTD CF'!N20</f>
        <v>-1535</v>
      </c>
      <c r="S20" s="6">
        <f>'YTD CF'!O20-'YTD CF'!N20</f>
        <v>-1229</v>
      </c>
      <c r="T20" s="7">
        <f t="shared" ref="T20:AO20" si="1">SUM(T15:T19)</f>
        <v>-1054.683849739512</v>
      </c>
      <c r="U20" s="7">
        <f t="shared" si="1"/>
        <v>-1114.0418151905676</v>
      </c>
      <c r="V20" s="7">
        <f t="shared" si="1"/>
        <v>-1193.8790786948175</v>
      </c>
      <c r="W20" s="7">
        <f t="shared" si="1"/>
        <v>-1184.3860707430765</v>
      </c>
      <c r="X20" s="7">
        <f t="shared" si="1"/>
        <v>-1070.3966243951686</v>
      </c>
      <c r="Y20" s="7">
        <f t="shared" si="1"/>
        <v>-1130.6389101431371</v>
      </c>
      <c r="Z20" s="7">
        <f t="shared" si="1"/>
        <v>-1211.6655963647979</v>
      </c>
      <c r="AA20" s="7">
        <f t="shared" si="1"/>
        <v>-1202.0311607285551</v>
      </c>
      <c r="AB20" s="7">
        <f t="shared" si="1"/>
        <v>-1086.3434893779317</v>
      </c>
      <c r="AC20" s="7">
        <f t="shared" si="1"/>
        <v>-1147.4832701059677</v>
      </c>
      <c r="AD20" s="7">
        <f t="shared" si="1"/>
        <v>-1229.717099171439</v>
      </c>
      <c r="AE20" s="7">
        <f t="shared" si="1"/>
        <v>-1219.9391288483571</v>
      </c>
      <c r="AF20" s="7">
        <f t="shared" si="1"/>
        <v>-1102.5279321865053</v>
      </c>
      <c r="AG20" s="7">
        <f t="shared" si="1"/>
        <v>-1164.5785788553758</v>
      </c>
      <c r="AH20" s="7">
        <f t="shared" si="1"/>
        <v>-1248.0375348870907</v>
      </c>
      <c r="AI20" s="7">
        <f t="shared" si="1"/>
        <v>-1238.1138914845219</v>
      </c>
      <c r="AJ20" s="7">
        <f t="shared" si="1"/>
        <v>-1118.9534922766616</v>
      </c>
      <c r="AK20" s="7">
        <f t="shared" si="1"/>
        <v>-1181.9285750489071</v>
      </c>
      <c r="AL20" s="7">
        <f t="shared" si="1"/>
        <v>-1266.630910098369</v>
      </c>
      <c r="AM20" s="7">
        <f t="shared" si="1"/>
        <v>-1256.5594233657007</v>
      </c>
      <c r="AN20" s="7">
        <f t="shared" si="1"/>
        <v>-1135.623761835303</v>
      </c>
      <c r="AO20" s="7">
        <f t="shared" si="1"/>
        <v>-1199.5370530429634</v>
      </c>
    </row>
    <row r="21" spans="1:41" x14ac:dyDescent="0.25">
      <c r="A21" s="3" t="s">
        <v>72</v>
      </c>
      <c r="B21" s="4">
        <f>'YTD CF'!B21</f>
        <v>-2182</v>
      </c>
      <c r="C21" s="4">
        <f>'YTD CF'!C21-'YTD CF'!B21</f>
        <v>-2171</v>
      </c>
      <c r="D21" s="4">
        <f>'YTD CF'!D21-'YTD CF'!C21</f>
        <v>-2155</v>
      </c>
      <c r="E21" s="4">
        <f>'CASH FLOW'!C20-'YTD CF'!D21</f>
        <v>-2262</v>
      </c>
      <c r="F21" s="4">
        <f>'YTD CF'!E21</f>
        <v>-2255</v>
      </c>
      <c r="G21" s="4">
        <f>'YTD CF'!F21-'YTD CF'!E21</f>
        <v>-2231</v>
      </c>
      <c r="H21" s="4">
        <f>'YTD CF'!G21-'YTD CF'!F21</f>
        <v>-2224</v>
      </c>
      <c r="I21" s="4">
        <f>'CASH FLOW'!D20-'YTD CF'!G21</f>
        <v>-2289</v>
      </c>
      <c r="J21" s="4">
        <f>'YTD CF'!H21</f>
        <v>-2290</v>
      </c>
      <c r="K21" s="4">
        <f>'YTD CF'!I21-'YTD CF'!H21</f>
        <v>-2288</v>
      </c>
      <c r="L21" s="4">
        <f>'YTD CF'!J21-'YTD CF'!I21</f>
        <v>-2285</v>
      </c>
      <c r="M21" s="4">
        <f>'CASH FLOW'!E20-'YTD CF'!J21</f>
        <v>-2449</v>
      </c>
      <c r="N21" s="4">
        <f>'YTD CF'!K21</f>
        <v>-2445</v>
      </c>
      <c r="O21" s="4">
        <f>'YTD CF'!L21-'YTD CF'!K21</f>
        <v>-2441</v>
      </c>
      <c r="P21" s="4">
        <f>'YTD CF'!M21-'YTD CF'!L21</f>
        <v>-2433</v>
      </c>
      <c r="Q21" s="4">
        <f>'CASH FLOW'!F20-'YTD CF'!M21</f>
        <v>-2553</v>
      </c>
      <c r="R21" s="4">
        <f>'YTD CF'!N21</f>
        <v>-2549</v>
      </c>
      <c r="S21" s="4">
        <f>'YTD CF'!O21-'YTD CF'!N21</f>
        <v>-2544</v>
      </c>
      <c r="T21" s="11">
        <f>'QTR P&amp;L'!T12*'CF DRIVERS'!T19</f>
        <v>-2301.5512343133742</v>
      </c>
      <c r="U21" s="11">
        <f>'QTR P&amp;L'!U12*'CF DRIVERS'!U19</f>
        <v>-2429.6829893984709</v>
      </c>
      <c r="V21" s="11">
        <f>'QTR P&amp;L'!V12*'CF DRIVERS'!V19</f>
        <v>-2602.021926830987</v>
      </c>
      <c r="W21" s="11">
        <f>'QTR P&amp;L'!W12*'CF DRIVERS'!W19</f>
        <v>-2581.5300558470281</v>
      </c>
      <c r="X21" s="11">
        <f>'QTR P&amp;L'!X12*'CF DRIVERS'!X19</f>
        <v>-2335.4692666884225</v>
      </c>
      <c r="Y21" s="11">
        <f>'QTR P&amp;L'!Y12*'CF DRIVERS'!Y19</f>
        <v>-2465.5099401611324</v>
      </c>
      <c r="Z21" s="11">
        <f>'QTR P&amp;L'!Z12*'CF DRIVERS'!Z19</f>
        <v>-2640.4163985516511</v>
      </c>
      <c r="AA21" s="11">
        <f>'QTR P&amp;L'!AA12*'CF DRIVERS'!AA19</f>
        <v>-2619.6192378345413</v>
      </c>
      <c r="AB21" s="11">
        <f>'QTR P&amp;L'!AB12*'CF DRIVERS'!AB19</f>
        <v>-2369.8926129540782</v>
      </c>
      <c r="AC21" s="11">
        <f>'QTR P&amp;L'!AC12*'CF DRIVERS'!AC19</f>
        <v>-2501.8706440518736</v>
      </c>
      <c r="AD21" s="11">
        <f>'QTR P&amp;L'!AD12*'CF DRIVERS'!AD19</f>
        <v>-2679.3828745580709</v>
      </c>
      <c r="AE21" s="11">
        <f>'QTR P&amp;L'!AE12*'CF DRIVERS'!AE19</f>
        <v>-2658.2758758739678</v>
      </c>
      <c r="AF21" s="11">
        <f>'QTR P&amp;L'!AF12*'CF DRIVERS'!AF19</f>
        <v>-2404.8288013220376</v>
      </c>
      <c r="AG21" s="11">
        <f>'QTR P&amp;L'!AG12*'CF DRIVERS'!AG19</f>
        <v>-2538.7730529727014</v>
      </c>
      <c r="AH21" s="11">
        <f>'QTR P&amp;L'!AH12*'CF DRIVERS'!AH19</f>
        <v>-2718.9298766214383</v>
      </c>
      <c r="AI21" s="11">
        <f>'QTR P&amp;L'!AI12*'CF DRIVERS'!AI19</f>
        <v>-2697.5084239764974</v>
      </c>
      <c r="AJ21" s="11">
        <f>'QTR P&amp;L'!AJ12*'CF DRIVERS'!AJ19</f>
        <v>-2440.2854721599711</v>
      </c>
      <c r="AK21" s="11">
        <f>'QTR P&amp;L'!AK12*'CF DRIVERS'!AK19</f>
        <v>-2576.2252372937764</v>
      </c>
      <c r="AL21" s="11">
        <f>'QTR P&amp;L'!AL12*'CF DRIVERS'!AL19</f>
        <v>-2759.066053471051</v>
      </c>
      <c r="AM21" s="11">
        <f>'QTR P&amp;L'!AM12*'CF DRIVERS'!AM19</f>
        <v>-2737.3254621019419</v>
      </c>
      <c r="AN21" s="11">
        <f>'QTR P&amp;L'!AN12*'CF DRIVERS'!AN19</f>
        <v>-2476.2703796624291</v>
      </c>
      <c r="AO21" s="11">
        <f>'QTR P&amp;L'!AO12*'CF DRIVERS'!AO19</f>
        <v>-2614.2353876183547</v>
      </c>
    </row>
    <row r="22" spans="1:41" x14ac:dyDescent="0.25">
      <c r="A22" s="3" t="s">
        <v>73</v>
      </c>
      <c r="B22" s="4">
        <f>'YTD CF'!B22</f>
        <v>1792</v>
      </c>
      <c r="C22" s="4">
        <f>'YTD CF'!C22-'YTD CF'!B22</f>
        <v>4955</v>
      </c>
      <c r="D22" s="4">
        <f>'YTD CF'!D22-'YTD CF'!C22</f>
        <v>3399</v>
      </c>
      <c r="E22" s="4">
        <f>'CASH FLOW'!C21-'YTD CF'!D22</f>
        <v>265</v>
      </c>
      <c r="F22" s="4">
        <f>'YTD CF'!E22</f>
        <v>2975</v>
      </c>
      <c r="G22" s="4">
        <f>'YTD CF'!F22-'YTD CF'!E22</f>
        <v>7472</v>
      </c>
      <c r="H22" s="4">
        <f>'YTD CF'!G22-'YTD CF'!F22</f>
        <v>3331</v>
      </c>
      <c r="I22" s="4">
        <f>'CASH FLOW'!D21-'YTD CF'!G22</f>
        <v>3390</v>
      </c>
      <c r="J22" s="4">
        <f>'YTD CF'!H22</f>
        <v>2179</v>
      </c>
      <c r="K22" s="4">
        <f>'YTD CF'!I22-'YTD CF'!H22</f>
        <v>619</v>
      </c>
      <c r="L22" s="4">
        <f>'YTD CF'!J22-'YTD CF'!I22</f>
        <v>163</v>
      </c>
      <c r="M22" s="4">
        <f>'CASH FLOW'!E21-'YTD CF'!J22</f>
        <v>567</v>
      </c>
      <c r="N22" s="4">
        <f>'YTD CF'!K22</f>
        <v>4090</v>
      </c>
      <c r="O22" s="4">
        <f>'YTD CF'!L22-'YTD CF'!K22</f>
        <v>1815</v>
      </c>
      <c r="P22" s="4">
        <f>'YTD CF'!M22-'YTD CF'!L22</f>
        <v>0</v>
      </c>
      <c r="Q22" s="4">
        <f>'CASH FLOW'!F21-'YTD CF'!M22</f>
        <v>2115</v>
      </c>
      <c r="R22" s="4">
        <f>'YTD CF'!N22</f>
        <v>1123</v>
      </c>
      <c r="S22" s="4">
        <f>'YTD CF'!O22-'YTD CF'!N22</f>
        <v>3057</v>
      </c>
      <c r="T22" s="11">
        <f>'CF DRIVERS'!T20</f>
        <v>0</v>
      </c>
      <c r="U22" s="11">
        <f>'CF DRIVERS'!U20</f>
        <v>0</v>
      </c>
      <c r="V22" s="11">
        <f>'CF DRIVERS'!V20</f>
        <v>0</v>
      </c>
      <c r="W22" s="11">
        <f>'CF DRIVERS'!W20</f>
        <v>0</v>
      </c>
      <c r="X22" s="11">
        <f>'CF DRIVERS'!X20</f>
        <v>0</v>
      </c>
      <c r="Y22" s="11">
        <f>'CF DRIVERS'!Y20</f>
        <v>0</v>
      </c>
      <c r="Z22" s="11">
        <f>'CF DRIVERS'!Z20</f>
        <v>0</v>
      </c>
      <c r="AA22" s="11">
        <f>'CF DRIVERS'!AA20</f>
        <v>0</v>
      </c>
      <c r="AB22" s="11">
        <f>'CF DRIVERS'!AB20</f>
        <v>0</v>
      </c>
      <c r="AC22" s="11">
        <f>'CF DRIVERS'!AC20</f>
        <v>0</v>
      </c>
      <c r="AD22" s="11">
        <f>'CF DRIVERS'!AD20</f>
        <v>0</v>
      </c>
      <c r="AE22" s="11">
        <f>'CF DRIVERS'!AE20</f>
        <v>0</v>
      </c>
      <c r="AF22" s="11">
        <f>'CF DRIVERS'!AF20</f>
        <v>0</v>
      </c>
      <c r="AG22" s="11">
        <f>'CF DRIVERS'!AG20</f>
        <v>0</v>
      </c>
      <c r="AH22" s="11">
        <f>'CF DRIVERS'!AH20</f>
        <v>0</v>
      </c>
      <c r="AI22" s="11">
        <f>'CF DRIVERS'!AI20</f>
        <v>0</v>
      </c>
      <c r="AJ22" s="11">
        <f>'CF DRIVERS'!AJ20</f>
        <v>0</v>
      </c>
      <c r="AK22" s="11">
        <f>'CF DRIVERS'!AK20</f>
        <v>0</v>
      </c>
      <c r="AL22" s="11">
        <f>'CF DRIVERS'!AL20</f>
        <v>0</v>
      </c>
      <c r="AM22" s="11">
        <f>'CF DRIVERS'!AM20</f>
        <v>0</v>
      </c>
      <c r="AN22" s="11">
        <f>'CF DRIVERS'!AN20</f>
        <v>0</v>
      </c>
      <c r="AO22" s="11">
        <f>'CF DRIVERS'!AO20</f>
        <v>0</v>
      </c>
    </row>
    <row r="23" spans="1:41" x14ac:dyDescent="0.25">
      <c r="A23" s="3" t="s">
        <v>74</v>
      </c>
      <c r="B23" s="4">
        <f>'YTD CF'!B23</f>
        <v>-1422</v>
      </c>
      <c r="C23" s="4">
        <f>'YTD CF'!C23-'YTD CF'!B23</f>
        <v>-308</v>
      </c>
      <c r="D23" s="4">
        <f>'YTD CF'!D23-'YTD CF'!C23</f>
        <v>-6433</v>
      </c>
      <c r="E23" s="4">
        <f>'CASH FLOW'!C22-'YTD CF'!D23</f>
        <v>-3315</v>
      </c>
      <c r="F23" s="4">
        <f>'YTD CF'!E23</f>
        <v>-265</v>
      </c>
      <c r="G23" s="4">
        <f>'YTD CF'!F23-'YTD CF'!E23</f>
        <v>-2995</v>
      </c>
      <c r="H23" s="4">
        <f>'YTD CF'!G23-'YTD CF'!F23</f>
        <v>-5874</v>
      </c>
      <c r="I23" s="4">
        <f>'CASH FLOW'!D22-'YTD CF'!G23</f>
        <v>-3897</v>
      </c>
      <c r="J23" s="4">
        <f>'YTD CF'!H23</f>
        <v>-1906</v>
      </c>
      <c r="K23" s="4">
        <f>'YTD CF'!I23-'YTD CF'!H23</f>
        <v>-3956</v>
      </c>
      <c r="L23" s="4">
        <f>'YTD CF'!J23-'YTD CF'!I23</f>
        <v>-1661</v>
      </c>
      <c r="M23" s="4">
        <f>'CASH FLOW'!E22-'YTD CF'!J23</f>
        <v>-166</v>
      </c>
      <c r="N23" s="4">
        <f>'YTD CF'!K23</f>
        <v>-571</v>
      </c>
      <c r="O23" s="4">
        <f>'YTD CF'!L23-'YTD CF'!K23</f>
        <v>0</v>
      </c>
      <c r="P23" s="4">
        <f>'YTD CF'!M23-'YTD CF'!L23</f>
        <v>-3210</v>
      </c>
      <c r="Q23" s="4">
        <f>'CASH FLOW'!F22-'YTD CF'!M23</f>
        <v>-2731</v>
      </c>
      <c r="R23" s="4">
        <f>'YTD CF'!N23</f>
        <v>-1800</v>
      </c>
      <c r="S23" s="4">
        <f>'YTD CF'!O23-'YTD CF'!N23</f>
        <v>-1470</v>
      </c>
      <c r="T23" s="11">
        <f>'CF DRIVERS'!T21</f>
        <v>0</v>
      </c>
      <c r="U23" s="11">
        <f>'CF DRIVERS'!U21</f>
        <v>0</v>
      </c>
      <c r="V23" s="11">
        <f>'CF DRIVERS'!V21</f>
        <v>0</v>
      </c>
      <c r="W23" s="11">
        <f>'CF DRIVERS'!W21</f>
        <v>0</v>
      </c>
      <c r="X23" s="11">
        <f>'CF DRIVERS'!X21</f>
        <v>0</v>
      </c>
      <c r="Y23" s="11">
        <f>'CF DRIVERS'!Y21</f>
        <v>0</v>
      </c>
      <c r="Z23" s="11">
        <f>'CF DRIVERS'!Z21</f>
        <v>0</v>
      </c>
      <c r="AA23" s="11">
        <f>'CF DRIVERS'!AA21</f>
        <v>0</v>
      </c>
      <c r="AB23" s="11">
        <f>'CF DRIVERS'!AB21</f>
        <v>0</v>
      </c>
      <c r="AC23" s="11">
        <f>'CF DRIVERS'!AC21</f>
        <v>0</v>
      </c>
      <c r="AD23" s="11">
        <f>'CF DRIVERS'!AD21</f>
        <v>0</v>
      </c>
      <c r="AE23" s="11">
        <f>'CF DRIVERS'!AE21</f>
        <v>0</v>
      </c>
      <c r="AF23" s="11">
        <f>'CF DRIVERS'!AF21</f>
        <v>0</v>
      </c>
      <c r="AG23" s="11">
        <f>'CF DRIVERS'!AG21</f>
        <v>0</v>
      </c>
      <c r="AH23" s="11">
        <f>'CF DRIVERS'!AH21</f>
        <v>0</v>
      </c>
      <c r="AI23" s="11">
        <f>'CF DRIVERS'!AI21</f>
        <v>0</v>
      </c>
      <c r="AJ23" s="11">
        <f>'CF DRIVERS'!AJ21</f>
        <v>0</v>
      </c>
      <c r="AK23" s="11">
        <f>'CF DRIVERS'!AK21</f>
        <v>0</v>
      </c>
      <c r="AL23" s="11">
        <f>'CF DRIVERS'!AL21</f>
        <v>0</v>
      </c>
      <c r="AM23" s="11">
        <f>'CF DRIVERS'!AM21</f>
        <v>0</v>
      </c>
      <c r="AN23" s="11">
        <f>'CF DRIVERS'!AN21</f>
        <v>0</v>
      </c>
      <c r="AO23" s="11">
        <f>'CF DRIVERS'!AO21</f>
        <v>0</v>
      </c>
    </row>
    <row r="24" spans="1:41" x14ac:dyDescent="0.25">
      <c r="A24" s="3" t="s">
        <v>75</v>
      </c>
      <c r="B24" s="4">
        <f>'YTD CF'!B24</f>
        <v>512</v>
      </c>
      <c r="C24" s="4">
        <f>'YTD CF'!C24-'YTD CF'!B24</f>
        <v>-1636</v>
      </c>
      <c r="D24" s="4">
        <f>'YTD CF'!D24-'YTD CF'!C24</f>
        <v>275</v>
      </c>
      <c r="E24" s="4">
        <f>'CASH FLOW'!C23-'YTD CF'!D24</f>
        <v>1766</v>
      </c>
      <c r="F24" s="4">
        <f>'YTD CF'!E24</f>
        <v>1727</v>
      </c>
      <c r="G24" s="4">
        <f>'YTD CF'!F24-'YTD CF'!E24</f>
        <v>-3486</v>
      </c>
      <c r="H24" s="4">
        <f>'YTD CF'!G24-'YTD CF'!F24</f>
        <v>1372</v>
      </c>
      <c r="I24" s="4">
        <f>'CASH FLOW'!D23-'YTD CF'!G24</f>
        <v>-2932</v>
      </c>
      <c r="J24" s="4">
        <f>'YTD CF'!H24</f>
        <v>2172</v>
      </c>
      <c r="K24" s="4">
        <f>'YTD CF'!I24-'YTD CF'!H24</f>
        <v>1568</v>
      </c>
      <c r="L24" s="4">
        <f>'YTD CF'!J24-'YTD CF'!I24</f>
        <v>-1409</v>
      </c>
      <c r="M24" s="4">
        <f>'CASH FLOW'!E23-'YTD CF'!J24</f>
        <v>-1474</v>
      </c>
      <c r="N24" s="4">
        <f>'YTD CF'!K24</f>
        <v>-444</v>
      </c>
      <c r="O24" s="4">
        <f>'YTD CF'!L24-'YTD CF'!K24</f>
        <v>-2261</v>
      </c>
      <c r="P24" s="4">
        <f>'YTD CF'!M24-'YTD CF'!L24</f>
        <v>2162</v>
      </c>
      <c r="Q24" s="4">
        <f>'CASH FLOW'!F23-'YTD CF'!M24</f>
        <v>-595</v>
      </c>
      <c r="R24" s="4">
        <f>'YTD CF'!N24</f>
        <v>2108</v>
      </c>
      <c r="S24" s="4">
        <f>'YTD CF'!O24-'YTD CF'!N24</f>
        <v>-2579</v>
      </c>
      <c r="T24" s="11">
        <f>'CF DRIVERS'!T22</f>
        <v>0</v>
      </c>
      <c r="U24" s="11">
        <f>'CF DRIVERS'!U22</f>
        <v>0</v>
      </c>
      <c r="V24" s="11">
        <f>'CF DRIVERS'!V22</f>
        <v>0</v>
      </c>
      <c r="W24" s="11">
        <f>'CF DRIVERS'!W22</f>
        <v>0</v>
      </c>
      <c r="X24" s="11">
        <f>'CF DRIVERS'!X22</f>
        <v>0</v>
      </c>
      <c r="Y24" s="11">
        <f>'CF DRIVERS'!Y22</f>
        <v>0</v>
      </c>
      <c r="Z24" s="11">
        <f>'CF DRIVERS'!Z22</f>
        <v>0</v>
      </c>
      <c r="AA24" s="11">
        <f>'CF DRIVERS'!AA22</f>
        <v>0</v>
      </c>
      <c r="AB24" s="11">
        <f>'CF DRIVERS'!AB22</f>
        <v>0</v>
      </c>
      <c r="AC24" s="11">
        <f>'CF DRIVERS'!AC22</f>
        <v>0</v>
      </c>
      <c r="AD24" s="11">
        <f>'CF DRIVERS'!AD22</f>
        <v>0</v>
      </c>
      <c r="AE24" s="11">
        <f>'CF DRIVERS'!AE22</f>
        <v>0</v>
      </c>
      <c r="AF24" s="11">
        <f>'CF DRIVERS'!AF22</f>
        <v>0</v>
      </c>
      <c r="AG24" s="11">
        <f>'CF DRIVERS'!AG22</f>
        <v>0</v>
      </c>
      <c r="AH24" s="11">
        <f>'CF DRIVERS'!AH22</f>
        <v>0</v>
      </c>
      <c r="AI24" s="11">
        <f>'CF DRIVERS'!AI22</f>
        <v>0</v>
      </c>
      <c r="AJ24" s="11">
        <f>'CF DRIVERS'!AJ22</f>
        <v>0</v>
      </c>
      <c r="AK24" s="11">
        <f>'CF DRIVERS'!AK22</f>
        <v>0</v>
      </c>
      <c r="AL24" s="11">
        <f>'CF DRIVERS'!AL22</f>
        <v>0</v>
      </c>
      <c r="AM24" s="11">
        <f>'CF DRIVERS'!AM22</f>
        <v>0</v>
      </c>
      <c r="AN24" s="11">
        <f>'CF DRIVERS'!AN22</f>
        <v>0</v>
      </c>
      <c r="AO24" s="11">
        <f>'CF DRIVERS'!AO22</f>
        <v>0</v>
      </c>
    </row>
    <row r="25" spans="1:41" x14ac:dyDescent="0.25">
      <c r="A25" s="3" t="s">
        <v>76</v>
      </c>
      <c r="B25" s="4">
        <f>'YTD CF'!B25</f>
        <v>0</v>
      </c>
      <c r="C25" s="4">
        <f>'YTD CF'!C25-'YTD CF'!B25</f>
        <v>2136</v>
      </c>
      <c r="D25" s="4">
        <f>'YTD CF'!D25-'YTD CF'!C25</f>
        <v>2249</v>
      </c>
      <c r="E25" s="4">
        <f>'CASH FLOW'!C24-'YTD CF'!D25</f>
        <v>0</v>
      </c>
      <c r="F25" s="4">
        <f>'YTD CF'!E25</f>
        <v>0</v>
      </c>
      <c r="G25" s="4">
        <f>'YTD CF'!F25-'YTD CF'!E25</f>
        <v>0</v>
      </c>
      <c r="H25" s="4">
        <f>'YTD CF'!G25-'YTD CF'!F25</f>
        <v>2569</v>
      </c>
      <c r="I25" s="4">
        <f>'CASH FLOW'!D24-'YTD CF'!G25</f>
        <v>1428</v>
      </c>
      <c r="J25" s="4">
        <f>'YTD CF'!H25</f>
        <v>0</v>
      </c>
      <c r="K25" s="4">
        <f>'YTD CF'!I25-'YTD CF'!H25</f>
        <v>254</v>
      </c>
      <c r="L25" s="4">
        <f>'YTD CF'!J25-'YTD CF'!I25</f>
        <v>1344</v>
      </c>
      <c r="M25" s="4">
        <f>'CASH FLOW'!E24-'YTD CF'!J25</f>
        <v>1599</v>
      </c>
      <c r="N25" s="4">
        <f>'YTD CF'!K25</f>
        <v>0</v>
      </c>
      <c r="O25" s="4">
        <f>'YTD CF'!L25-'YTD CF'!K25</f>
        <v>995</v>
      </c>
      <c r="P25" s="4">
        <f>'YTD CF'!M25-'YTD CF'!L25</f>
        <v>0</v>
      </c>
      <c r="Q25" s="4">
        <f>'CASH FLOW'!F24-'YTD CF'!M25</f>
        <v>1242</v>
      </c>
      <c r="R25" s="4">
        <f>'YTD CF'!N25</f>
        <v>0</v>
      </c>
      <c r="S25" s="4">
        <f>'YTD CF'!O25-'YTD CF'!N25</f>
        <v>2652</v>
      </c>
      <c r="T25" s="11">
        <f>'CF DRIVERS'!T23</f>
        <v>0</v>
      </c>
      <c r="U25" s="11">
        <f>'CF DRIVERS'!U23</f>
        <v>0</v>
      </c>
      <c r="V25" s="11">
        <f>'CF DRIVERS'!V23</f>
        <v>0</v>
      </c>
      <c r="W25" s="11">
        <f>'CF DRIVERS'!W23</f>
        <v>0</v>
      </c>
      <c r="X25" s="11">
        <f>'CF DRIVERS'!X23</f>
        <v>0</v>
      </c>
      <c r="Y25" s="11">
        <f>'CF DRIVERS'!Y23</f>
        <v>0</v>
      </c>
      <c r="Z25" s="11">
        <f>'CF DRIVERS'!Z23</f>
        <v>0</v>
      </c>
      <c r="AA25" s="11">
        <f>'CF DRIVERS'!AA23</f>
        <v>0</v>
      </c>
      <c r="AB25" s="11">
        <f>'CF DRIVERS'!AB23</f>
        <v>0</v>
      </c>
      <c r="AC25" s="11">
        <f>'CF DRIVERS'!AC23</f>
        <v>0</v>
      </c>
      <c r="AD25" s="11">
        <f>'CF DRIVERS'!AD23</f>
        <v>0</v>
      </c>
      <c r="AE25" s="11">
        <f>'CF DRIVERS'!AE23</f>
        <v>0</v>
      </c>
      <c r="AF25" s="11">
        <f>'CF DRIVERS'!AF23</f>
        <v>0</v>
      </c>
      <c r="AG25" s="11">
        <f>'CF DRIVERS'!AG23</f>
        <v>0</v>
      </c>
      <c r="AH25" s="11">
        <f>'CF DRIVERS'!AH23</f>
        <v>0</v>
      </c>
      <c r="AI25" s="11">
        <f>'CF DRIVERS'!AI23</f>
        <v>0</v>
      </c>
      <c r="AJ25" s="11">
        <f>'CF DRIVERS'!AJ23</f>
        <v>0</v>
      </c>
      <c r="AK25" s="11">
        <f>'CF DRIVERS'!AK23</f>
        <v>0</v>
      </c>
      <c r="AL25" s="11">
        <f>'CF DRIVERS'!AL23</f>
        <v>0</v>
      </c>
      <c r="AM25" s="11">
        <f>'CF DRIVERS'!AM23</f>
        <v>0</v>
      </c>
      <c r="AN25" s="11">
        <f>'CF DRIVERS'!AN23</f>
        <v>0</v>
      </c>
      <c r="AO25" s="11">
        <f>'CF DRIVERS'!AO23</f>
        <v>0</v>
      </c>
    </row>
    <row r="26" spans="1:41" x14ac:dyDescent="0.25">
      <c r="A26" s="3" t="s">
        <v>77</v>
      </c>
      <c r="B26" s="4">
        <f>'YTD CF'!B26</f>
        <v>-26</v>
      </c>
      <c r="C26" s="4">
        <f>'YTD CF'!C26-'YTD CF'!B26</f>
        <v>-1647</v>
      </c>
      <c r="D26" s="4">
        <f>'YTD CF'!D26-'YTD CF'!C26</f>
        <v>-1103</v>
      </c>
      <c r="E26" s="4">
        <f>'CASH FLOW'!C25-'YTD CF'!D26</f>
        <v>433</v>
      </c>
      <c r="F26" s="4">
        <f>'YTD CF'!E26</f>
        <v>-1877</v>
      </c>
      <c r="G26" s="4">
        <f>'YTD CF'!F26-'YTD CF'!E26</f>
        <v>0</v>
      </c>
      <c r="H26" s="4">
        <f>'YTD CF'!G26-'YTD CF'!F26</f>
        <v>0</v>
      </c>
      <c r="I26" s="4">
        <f>'CASH FLOW'!D25-'YTD CF'!G26</f>
        <v>-1</v>
      </c>
      <c r="J26" s="4">
        <f>'YTD CF'!H26</f>
        <v>-1004</v>
      </c>
      <c r="K26" s="4">
        <f>'YTD CF'!I26-'YTD CF'!H26</f>
        <v>-1331</v>
      </c>
      <c r="L26" s="4">
        <f>'YTD CF'!J26-'YTD CF'!I26</f>
        <v>0</v>
      </c>
      <c r="M26" s="4">
        <f>'CASH FLOW'!E25-'YTD CF'!J26</f>
        <v>0</v>
      </c>
      <c r="N26" s="4">
        <f>'YTD CF'!K26</f>
        <v>-70</v>
      </c>
      <c r="O26" s="4">
        <f>'YTD CF'!L26-'YTD CF'!K26</f>
        <v>-1408</v>
      </c>
      <c r="P26" s="4">
        <f>'YTD CF'!M26-'YTD CF'!L26</f>
        <v>0</v>
      </c>
      <c r="Q26" s="4">
        <f>'CASH FLOW'!F25-'YTD CF'!M26</f>
        <v>-499</v>
      </c>
      <c r="R26" s="4">
        <f>'YTD CF'!N26</f>
        <v>-3</v>
      </c>
      <c r="S26" s="4">
        <f>'YTD CF'!O26-'YTD CF'!N26</f>
        <v>-1002</v>
      </c>
      <c r="T26" s="11">
        <f>'CF DRIVERS'!T24</f>
        <v>0</v>
      </c>
      <c r="U26" s="11">
        <f>'CF DRIVERS'!U24</f>
        <v>0</v>
      </c>
      <c r="V26" s="11">
        <f>'CF DRIVERS'!V24</f>
        <v>0</v>
      </c>
      <c r="W26" s="11">
        <f>'CF DRIVERS'!W24</f>
        <v>0</v>
      </c>
      <c r="X26" s="11">
        <f>'CF DRIVERS'!X24</f>
        <v>0</v>
      </c>
      <c r="Y26" s="11">
        <f>'CF DRIVERS'!Y24</f>
        <v>0</v>
      </c>
      <c r="Z26" s="11">
        <f>'CF DRIVERS'!Z24</f>
        <v>0</v>
      </c>
      <c r="AA26" s="11">
        <f>'CF DRIVERS'!AA24</f>
        <v>0</v>
      </c>
      <c r="AB26" s="11">
        <f>'CF DRIVERS'!AB24</f>
        <v>0</v>
      </c>
      <c r="AC26" s="11">
        <f>'CF DRIVERS'!AC24</f>
        <v>0</v>
      </c>
      <c r="AD26" s="11">
        <f>'CF DRIVERS'!AD24</f>
        <v>0</v>
      </c>
      <c r="AE26" s="11">
        <f>'CF DRIVERS'!AE24</f>
        <v>0</v>
      </c>
      <c r="AF26" s="11">
        <f>'CF DRIVERS'!AF24</f>
        <v>0</v>
      </c>
      <c r="AG26" s="11">
        <f>'CF DRIVERS'!AG24</f>
        <v>0</v>
      </c>
      <c r="AH26" s="11">
        <f>'CF DRIVERS'!AH24</f>
        <v>0</v>
      </c>
      <c r="AI26" s="11">
        <f>'CF DRIVERS'!AI24</f>
        <v>0</v>
      </c>
      <c r="AJ26" s="11">
        <f>'CF DRIVERS'!AJ24</f>
        <v>0</v>
      </c>
      <c r="AK26" s="11">
        <f>'CF DRIVERS'!AK24</f>
        <v>0</v>
      </c>
      <c r="AL26" s="11">
        <f>'CF DRIVERS'!AL24</f>
        <v>0</v>
      </c>
      <c r="AM26" s="11">
        <f>'CF DRIVERS'!AM24</f>
        <v>0</v>
      </c>
      <c r="AN26" s="11">
        <f>'CF DRIVERS'!AN24</f>
        <v>0</v>
      </c>
      <c r="AO26" s="11">
        <f>'CF DRIVERS'!AO24</f>
        <v>0</v>
      </c>
    </row>
    <row r="27" spans="1:41" x14ac:dyDescent="0.25">
      <c r="A27" s="3" t="s">
        <v>78</v>
      </c>
      <c r="B27" s="4">
        <f>'YTD CF'!B27</f>
        <v>-2750</v>
      </c>
      <c r="C27" s="4">
        <f>'YTD CF'!C27-'YTD CF'!B27</f>
        <v>-4754</v>
      </c>
      <c r="D27" s="4">
        <f>'YTD CF'!D27-'YTD CF'!C27</f>
        <v>-1249</v>
      </c>
      <c r="E27" s="4">
        <f>'CASH FLOW'!C26-'YTD CF'!D27</f>
        <v>-1250</v>
      </c>
      <c r="F27" s="4">
        <f>'YTD CF'!E27</f>
        <v>-4000</v>
      </c>
      <c r="G27" s="4">
        <f>'YTD CF'!F27-'YTD CF'!E27</f>
        <v>-2002</v>
      </c>
      <c r="H27" s="4">
        <f>'YTD CF'!G27-'YTD CF'!F27</f>
        <v>-1351</v>
      </c>
      <c r="I27" s="4">
        <f>'CASH FLOW'!D26-'YTD CF'!G27</f>
        <v>0</v>
      </c>
      <c r="J27" s="4">
        <f>'YTD CF'!H27</f>
        <v>-1500</v>
      </c>
      <c r="K27" s="4">
        <f>'YTD CF'!I27-'YTD CF'!H27</f>
        <v>-1003</v>
      </c>
      <c r="L27" s="4">
        <f>'YTD CF'!J27-'YTD CF'!I27</f>
        <v>-987</v>
      </c>
      <c r="M27" s="4">
        <f>'CASH FLOW'!E26-'YTD CF'!J27</f>
        <v>-1516</v>
      </c>
      <c r="N27" s="4">
        <f>'YTD CF'!K27</f>
        <v>-1939</v>
      </c>
      <c r="O27" s="4">
        <f>'YTD CF'!L27-'YTD CF'!K27</f>
        <v>-2510</v>
      </c>
      <c r="P27" s="4">
        <f>'YTD CF'!M27-'YTD CF'!L27</f>
        <v>-1351</v>
      </c>
      <c r="Q27" s="4">
        <f>'CASH FLOW'!F26-'YTD CF'!M27</f>
        <v>-700</v>
      </c>
      <c r="R27" s="4">
        <f>'YTD CF'!N27</f>
        <v>-1250</v>
      </c>
      <c r="S27" s="4">
        <f>'YTD CF'!O27-'YTD CF'!N27</f>
        <v>-2278</v>
      </c>
      <c r="T27" s="11">
        <f>'CF DRIVERS'!T25</f>
        <v>0</v>
      </c>
      <c r="U27" s="11">
        <f>'CF DRIVERS'!U25</f>
        <v>0</v>
      </c>
      <c r="V27" s="11">
        <f>'CF DRIVERS'!V25</f>
        <v>0</v>
      </c>
      <c r="W27" s="11">
        <f>'CF DRIVERS'!W25</f>
        <v>0</v>
      </c>
      <c r="X27" s="11">
        <f>'CF DRIVERS'!X25</f>
        <v>0</v>
      </c>
      <c r="Y27" s="11">
        <f>'CF DRIVERS'!Y25</f>
        <v>0</v>
      </c>
      <c r="Z27" s="11">
        <f>'CF DRIVERS'!Z25</f>
        <v>0</v>
      </c>
      <c r="AA27" s="11">
        <f>'CF DRIVERS'!AA25</f>
        <v>0</v>
      </c>
      <c r="AB27" s="11">
        <f>'CF DRIVERS'!AB25</f>
        <v>0</v>
      </c>
      <c r="AC27" s="11">
        <f>'CF DRIVERS'!AC25</f>
        <v>0</v>
      </c>
      <c r="AD27" s="11">
        <f>'CF DRIVERS'!AD25</f>
        <v>0</v>
      </c>
      <c r="AE27" s="11">
        <f>'CF DRIVERS'!AE25</f>
        <v>0</v>
      </c>
      <c r="AF27" s="11">
        <f>'CF DRIVERS'!AF25</f>
        <v>0</v>
      </c>
      <c r="AG27" s="11">
        <f>'CF DRIVERS'!AG25</f>
        <v>0</v>
      </c>
      <c r="AH27" s="11">
        <f>'CF DRIVERS'!AH25</f>
        <v>0</v>
      </c>
      <c r="AI27" s="11">
        <f>'CF DRIVERS'!AI25</f>
        <v>0</v>
      </c>
      <c r="AJ27" s="11">
        <f>'CF DRIVERS'!AJ25</f>
        <v>0</v>
      </c>
      <c r="AK27" s="11">
        <f>'CF DRIVERS'!AK25</f>
        <v>0</v>
      </c>
      <c r="AL27" s="11">
        <f>'CF DRIVERS'!AL25</f>
        <v>0</v>
      </c>
      <c r="AM27" s="11">
        <f>'CF DRIVERS'!AM25</f>
        <v>0</v>
      </c>
      <c r="AN27" s="11">
        <f>'CF DRIVERS'!AN25</f>
        <v>0</v>
      </c>
      <c r="AO27" s="11">
        <f>'CF DRIVERS'!AO25</f>
        <v>0</v>
      </c>
    </row>
    <row r="28" spans="1:41" x14ac:dyDescent="0.25">
      <c r="A28" s="3" t="s">
        <v>79</v>
      </c>
      <c r="B28" s="4">
        <f>'YTD CF'!B28</f>
        <v>648</v>
      </c>
      <c r="C28" s="4">
        <f>'YTD CF'!C28-'YTD CF'!B28</f>
        <v>567</v>
      </c>
      <c r="D28" s="4">
        <f>'YTD CF'!D28-'YTD CF'!C28</f>
        <v>585</v>
      </c>
      <c r="E28" s="4">
        <f>'CASH FLOW'!C27-'YTD CF'!D28</f>
        <v>205</v>
      </c>
      <c r="F28" s="4">
        <f>'YTD CF'!E28</f>
        <v>188</v>
      </c>
      <c r="G28" s="4">
        <f>'YTD CF'!F28-'YTD CF'!E28</f>
        <v>249</v>
      </c>
      <c r="H28" s="4">
        <f>'YTD CF'!G28-'YTD CF'!F28</f>
        <v>424</v>
      </c>
      <c r="I28" s="4">
        <f>'CASH FLOW'!D27-'YTD CF'!G28</f>
        <v>408</v>
      </c>
      <c r="J28" s="4">
        <f>'YTD CF'!H28</f>
        <v>312</v>
      </c>
      <c r="K28" s="4">
        <f>'YTD CF'!I28-'YTD CF'!H28</f>
        <v>85</v>
      </c>
      <c r="L28" s="4">
        <f>'YTD CF'!J28-'YTD CF'!I28</f>
        <v>568</v>
      </c>
      <c r="M28" s="4">
        <f>'CASH FLOW'!E27-'YTD CF'!J28</f>
        <v>940</v>
      </c>
      <c r="N28" s="4">
        <f>'YTD CF'!K28</f>
        <v>745</v>
      </c>
      <c r="O28" s="4">
        <f>'YTD CF'!L28-'YTD CF'!K28</f>
        <v>240</v>
      </c>
      <c r="P28" s="4">
        <f>'YTD CF'!M28-'YTD CF'!L28</f>
        <v>616</v>
      </c>
      <c r="Q28" s="4">
        <f>'CASH FLOW'!F27-'YTD CF'!M28</f>
        <v>106</v>
      </c>
      <c r="R28" s="4">
        <f>'YTD CF'!N28</f>
        <v>134</v>
      </c>
      <c r="S28" s="4">
        <f>'YTD CF'!O28-'YTD CF'!N28</f>
        <v>74</v>
      </c>
      <c r="T28" s="11">
        <f>'CF DRIVERS'!T26</f>
        <v>0</v>
      </c>
      <c r="U28" s="11">
        <f>'CF DRIVERS'!U26</f>
        <v>0</v>
      </c>
      <c r="V28" s="11">
        <f>'CF DRIVERS'!V26</f>
        <v>0</v>
      </c>
      <c r="W28" s="11">
        <f>'CF DRIVERS'!W26</f>
        <v>0</v>
      </c>
      <c r="X28" s="11">
        <f>'CF DRIVERS'!X26</f>
        <v>0</v>
      </c>
      <c r="Y28" s="11">
        <f>'CF DRIVERS'!Y26</f>
        <v>0</v>
      </c>
      <c r="Z28" s="11">
        <f>'CF DRIVERS'!Z26</f>
        <v>0</v>
      </c>
      <c r="AA28" s="11">
        <f>'CF DRIVERS'!AA26</f>
        <v>0</v>
      </c>
      <c r="AB28" s="11">
        <f>'CF DRIVERS'!AB26</f>
        <v>0</v>
      </c>
      <c r="AC28" s="11">
        <f>'CF DRIVERS'!AC26</f>
        <v>0</v>
      </c>
      <c r="AD28" s="11">
        <f>'CF DRIVERS'!AD26</f>
        <v>0</v>
      </c>
      <c r="AE28" s="11">
        <f>'CF DRIVERS'!AE26</f>
        <v>0</v>
      </c>
      <c r="AF28" s="11">
        <f>'CF DRIVERS'!AF26</f>
        <v>0</v>
      </c>
      <c r="AG28" s="11">
        <f>'CF DRIVERS'!AG26</f>
        <v>0</v>
      </c>
      <c r="AH28" s="11">
        <f>'CF DRIVERS'!AH26</f>
        <v>0</v>
      </c>
      <c r="AI28" s="11">
        <f>'CF DRIVERS'!AI26</f>
        <v>0</v>
      </c>
      <c r="AJ28" s="11">
        <f>'CF DRIVERS'!AJ26</f>
        <v>0</v>
      </c>
      <c r="AK28" s="11">
        <f>'CF DRIVERS'!AK26</f>
        <v>0</v>
      </c>
      <c r="AL28" s="11">
        <f>'CF DRIVERS'!AL26</f>
        <v>0</v>
      </c>
      <c r="AM28" s="11">
        <f>'CF DRIVERS'!AM26</f>
        <v>0</v>
      </c>
      <c r="AN28" s="11">
        <f>'CF DRIVERS'!AN26</f>
        <v>0</v>
      </c>
      <c r="AO28" s="11">
        <f>'CF DRIVERS'!AO26</f>
        <v>0</v>
      </c>
    </row>
    <row r="29" spans="1:41" x14ac:dyDescent="0.25">
      <c r="A29" s="3" t="s">
        <v>80</v>
      </c>
      <c r="B29" s="6">
        <f>'YTD CF'!B29</f>
        <v>-3428</v>
      </c>
      <c r="C29" s="6">
        <f>'YTD CF'!C29-'YTD CF'!B29</f>
        <v>-2858</v>
      </c>
      <c r="D29" s="6">
        <f>'YTD CF'!D29-'YTD CF'!C29</f>
        <v>-4432</v>
      </c>
      <c r="E29" s="6">
        <f>'CASH FLOW'!C28-'YTD CF'!D29</f>
        <v>-4158</v>
      </c>
      <c r="F29" s="6">
        <f>'YTD CF'!E29</f>
        <v>-3507</v>
      </c>
      <c r="G29" s="6">
        <f>'YTD CF'!F29-'YTD CF'!E29</f>
        <v>-2993</v>
      </c>
      <c r="H29" s="6">
        <f>'YTD CF'!G29-'YTD CF'!F29</f>
        <v>-1753</v>
      </c>
      <c r="I29" s="6">
        <f>'CASH FLOW'!D28-'YTD CF'!G29</f>
        <v>-3893</v>
      </c>
      <c r="J29" s="6">
        <f>'YTD CF'!H29</f>
        <v>-2037</v>
      </c>
      <c r="K29" s="6">
        <f>'YTD CF'!I29-'YTD CF'!H29</f>
        <v>-6052</v>
      </c>
      <c r="L29" s="6">
        <f>'YTD CF'!J29-'YTD CF'!I29</f>
        <v>-4267</v>
      </c>
      <c r="M29" s="6">
        <f>'CASH FLOW'!E28-'YTD CF'!J29</f>
        <v>-2499</v>
      </c>
      <c r="N29" s="6">
        <f>'YTD CF'!K29</f>
        <v>-634</v>
      </c>
      <c r="O29" s="6">
        <f>'YTD CF'!L29-'YTD CF'!K29</f>
        <v>-5570</v>
      </c>
      <c r="P29" s="6">
        <f>'YTD CF'!M29-'YTD CF'!L29</f>
        <v>-4216</v>
      </c>
      <c r="Q29" s="6">
        <f>'CASH FLOW'!F28-'YTD CF'!M29</f>
        <v>-3615</v>
      </c>
      <c r="R29" s="6">
        <f>'YTD CF'!N29</f>
        <v>-2237</v>
      </c>
      <c r="S29" s="6">
        <f>'YTD CF'!O29-'YTD CF'!N29</f>
        <v>-4090</v>
      </c>
      <c r="T29" s="7">
        <f t="shared" ref="T29:AO29" si="2">SUM(T21:T28)</f>
        <v>-2301.5512343133742</v>
      </c>
      <c r="U29" s="7">
        <f t="shared" si="2"/>
        <v>-2429.6829893984709</v>
      </c>
      <c r="V29" s="7">
        <f t="shared" si="2"/>
        <v>-2602.021926830987</v>
      </c>
      <c r="W29" s="7">
        <f t="shared" si="2"/>
        <v>-2581.5300558470281</v>
      </c>
      <c r="X29" s="7">
        <f t="shared" si="2"/>
        <v>-2335.4692666884225</v>
      </c>
      <c r="Y29" s="7">
        <f t="shared" si="2"/>
        <v>-2465.5099401611324</v>
      </c>
      <c r="Z29" s="7">
        <f t="shared" si="2"/>
        <v>-2640.4163985516511</v>
      </c>
      <c r="AA29" s="7">
        <f t="shared" si="2"/>
        <v>-2619.6192378345413</v>
      </c>
      <c r="AB29" s="7">
        <f t="shared" si="2"/>
        <v>-2369.8926129540782</v>
      </c>
      <c r="AC29" s="7">
        <f t="shared" si="2"/>
        <v>-2501.8706440518736</v>
      </c>
      <c r="AD29" s="7">
        <f t="shared" si="2"/>
        <v>-2679.3828745580709</v>
      </c>
      <c r="AE29" s="7">
        <f t="shared" si="2"/>
        <v>-2658.2758758739678</v>
      </c>
      <c r="AF29" s="7">
        <f t="shared" si="2"/>
        <v>-2404.8288013220376</v>
      </c>
      <c r="AG29" s="7">
        <f t="shared" si="2"/>
        <v>-2538.7730529727014</v>
      </c>
      <c r="AH29" s="7">
        <f t="shared" si="2"/>
        <v>-2718.9298766214383</v>
      </c>
      <c r="AI29" s="7">
        <f t="shared" si="2"/>
        <v>-2697.5084239764974</v>
      </c>
      <c r="AJ29" s="7">
        <f t="shared" si="2"/>
        <v>-2440.2854721599711</v>
      </c>
      <c r="AK29" s="7">
        <f t="shared" si="2"/>
        <v>-2576.2252372937764</v>
      </c>
      <c r="AL29" s="7">
        <f t="shared" si="2"/>
        <v>-2759.066053471051</v>
      </c>
      <c r="AM29" s="7">
        <f t="shared" si="2"/>
        <v>-2737.3254621019419</v>
      </c>
      <c r="AN29" s="7">
        <f t="shared" si="2"/>
        <v>-2476.2703796624291</v>
      </c>
      <c r="AO29" s="7">
        <f t="shared" si="2"/>
        <v>-2614.2353876183547</v>
      </c>
    </row>
    <row r="30" spans="1:41" x14ac:dyDescent="0.25">
      <c r="A30" s="3" t="s">
        <v>81</v>
      </c>
      <c r="B30" s="4">
        <f>'YTD CF'!B30</f>
        <v>-127</v>
      </c>
      <c r="C30" s="4">
        <f>'YTD CF'!C30-'YTD CF'!B30</f>
        <v>-129</v>
      </c>
      <c r="D30" s="4">
        <f>'YTD CF'!D30-'YTD CF'!C30</f>
        <v>-56</v>
      </c>
      <c r="E30" s="4">
        <f>'CASH FLOW'!C29-'YTD CF'!D30</f>
        <v>-185</v>
      </c>
      <c r="F30" s="4">
        <f>'YTD CF'!E30</f>
        <v>-235</v>
      </c>
      <c r="G30" s="4">
        <f>'YTD CF'!F30-'YTD CF'!E30</f>
        <v>53</v>
      </c>
      <c r="H30" s="4">
        <f>'YTD CF'!G30-'YTD CF'!F30</f>
        <v>12</v>
      </c>
      <c r="I30" s="4">
        <f>'CASH FLOW'!D29-'YTD CF'!G30</f>
        <v>0</v>
      </c>
      <c r="J30" s="4">
        <f>'YTD CF'!H30</f>
        <v>-156</v>
      </c>
      <c r="K30" s="4">
        <f>'YTD CF'!I30-'YTD CF'!H30</f>
        <v>107</v>
      </c>
      <c r="L30" s="4">
        <f>'YTD CF'!J30-'YTD CF'!I30</f>
        <v>-119</v>
      </c>
      <c r="M30" s="4">
        <f>'CASH FLOW'!E29-'YTD CF'!J30</f>
        <v>-83</v>
      </c>
      <c r="N30" s="4">
        <f>'YTD CF'!K30</f>
        <v>116</v>
      </c>
      <c r="O30" s="4">
        <f>'YTD CF'!L30-'YTD CF'!K30</f>
        <v>-260</v>
      </c>
      <c r="P30" s="4">
        <f>'YTD CF'!M30-'YTD CF'!L30</f>
        <v>122</v>
      </c>
      <c r="Q30" s="4">
        <f>'CASH FLOW'!F29-'YTD CF'!M30</f>
        <v>134</v>
      </c>
      <c r="R30" s="4">
        <f>'YTD CF'!N30</f>
        <v>-20</v>
      </c>
      <c r="S30" s="4">
        <f>'YTD CF'!O30-'YTD CF'!N30</f>
        <v>-1</v>
      </c>
      <c r="T30" s="11">
        <f>'CF DRIVERS'!T27</f>
        <v>-1</v>
      </c>
      <c r="U30" s="11">
        <f>'CF DRIVERS'!U27</f>
        <v>-1</v>
      </c>
      <c r="V30" s="11">
        <f>'CF DRIVERS'!V27</f>
        <v>-1</v>
      </c>
      <c r="W30" s="11">
        <f>'CF DRIVERS'!W27</f>
        <v>-1</v>
      </c>
      <c r="X30" s="11">
        <f>'CF DRIVERS'!X27</f>
        <v>-1</v>
      </c>
      <c r="Y30" s="11">
        <f>'CF DRIVERS'!Y27</f>
        <v>-1</v>
      </c>
      <c r="Z30" s="11">
        <f>'CF DRIVERS'!Z27</f>
        <v>-1</v>
      </c>
      <c r="AA30" s="11">
        <f>'CF DRIVERS'!AA27</f>
        <v>-1</v>
      </c>
      <c r="AB30" s="11">
        <f>'CF DRIVERS'!AB27</f>
        <v>-1</v>
      </c>
      <c r="AC30" s="11">
        <f>'CF DRIVERS'!AC27</f>
        <v>-1</v>
      </c>
      <c r="AD30" s="11">
        <f>'CF DRIVERS'!AD27</f>
        <v>-1</v>
      </c>
      <c r="AE30" s="11">
        <f>'CF DRIVERS'!AE27</f>
        <v>-1</v>
      </c>
      <c r="AF30" s="11">
        <f>'CF DRIVERS'!AF27</f>
        <v>-1</v>
      </c>
      <c r="AG30" s="11">
        <f>'CF DRIVERS'!AG27</f>
        <v>-1</v>
      </c>
      <c r="AH30" s="11">
        <f>'CF DRIVERS'!AH27</f>
        <v>-1</v>
      </c>
      <c r="AI30" s="11">
        <f>'CF DRIVERS'!AI27</f>
        <v>-1</v>
      </c>
      <c r="AJ30" s="11">
        <f>'CF DRIVERS'!AJ27</f>
        <v>-1</v>
      </c>
      <c r="AK30" s="11">
        <f>'CF DRIVERS'!AK27</f>
        <v>-1</v>
      </c>
      <c r="AL30" s="11">
        <f>'CF DRIVERS'!AL27</f>
        <v>-1</v>
      </c>
      <c r="AM30" s="11">
        <f>'CF DRIVERS'!AM27</f>
        <v>-1</v>
      </c>
      <c r="AN30" s="11">
        <f>'CF DRIVERS'!AN27</f>
        <v>-1</v>
      </c>
      <c r="AO30" s="11">
        <f>'CF DRIVERS'!AO27</f>
        <v>-1</v>
      </c>
    </row>
    <row r="31" spans="1:41" x14ac:dyDescent="0.25">
      <c r="A31" s="3" t="s">
        <v>82</v>
      </c>
      <c r="B31" s="6">
        <f>'YTD CF'!B31</f>
        <v>82</v>
      </c>
      <c r="C31" s="6">
        <f>'YTD CF'!C31-'YTD CF'!B31</f>
        <v>1174</v>
      </c>
      <c r="D31" s="6">
        <f>'YTD CF'!D31-'YTD CF'!C31</f>
        <v>-3018</v>
      </c>
      <c r="E31" s="6">
        <f>'CASH FLOW'!C30-'YTD CF'!D31</f>
        <v>-1312</v>
      </c>
      <c r="F31" s="6">
        <f>'YTD CF'!E31</f>
        <v>-504</v>
      </c>
      <c r="G31" s="6">
        <f>'YTD CF'!F31-'YTD CF'!E31</f>
        <v>144</v>
      </c>
      <c r="H31" s="6">
        <f>'YTD CF'!G31-'YTD CF'!F31</f>
        <v>742</v>
      </c>
      <c r="I31" s="6">
        <f>'CASH FLOW'!D30-'YTD CF'!G31</f>
        <v>650</v>
      </c>
      <c r="J31" s="6">
        <f>'YTD CF'!H31</f>
        <v>1489</v>
      </c>
      <c r="K31" s="6">
        <f>'YTD CF'!I31-'YTD CF'!H31</f>
        <v>-1846</v>
      </c>
      <c r="L31" s="6">
        <f>'YTD CF'!J31-'YTD CF'!I31</f>
        <v>-1060</v>
      </c>
      <c r="M31" s="6">
        <f>'CASH FLOW'!E30-'YTD CF'!J31</f>
        <v>2654</v>
      </c>
      <c r="N31" s="6">
        <f>'YTD CF'!K31</f>
        <v>2676</v>
      </c>
      <c r="O31" s="6">
        <f>'YTD CF'!L31-'YTD CF'!K31</f>
        <v>-1927</v>
      </c>
      <c r="P31" s="6">
        <f>'YTD CF'!M31-'YTD CF'!L31</f>
        <v>-1117</v>
      </c>
      <c r="Q31" s="6">
        <f>'CASH FLOW'!F30-'YTD CF'!M31</f>
        <v>445</v>
      </c>
      <c r="R31" s="6">
        <f>'YTD CF'!N31</f>
        <v>1617</v>
      </c>
      <c r="S31" s="6">
        <f>'YTD CF'!O31-'YTD CF'!N31</f>
        <v>-348</v>
      </c>
      <c r="T31" s="7">
        <f t="shared" ref="T31:AO31" si="3">T14+T20+T29+T30</f>
        <v>1780.5022660673603</v>
      </c>
      <c r="U31" s="7">
        <f t="shared" si="3"/>
        <v>1631.5590353696157</v>
      </c>
      <c r="V31" s="7">
        <f t="shared" si="3"/>
        <v>1786.0119348727435</v>
      </c>
      <c r="W31" s="7">
        <f t="shared" si="3"/>
        <v>1560.349268170391</v>
      </c>
      <c r="X31" s="7">
        <f t="shared" si="3"/>
        <v>1160.2930724306916</v>
      </c>
      <c r="Y31" s="7">
        <f t="shared" si="3"/>
        <v>1655.6209552871269</v>
      </c>
      <c r="Z31" s="7">
        <f t="shared" si="3"/>
        <v>1812.374907949838</v>
      </c>
      <c r="AA31" s="7">
        <f t="shared" si="3"/>
        <v>1583.3502985847927</v>
      </c>
      <c r="AB31" s="7">
        <f t="shared" si="3"/>
        <v>1177.3340297342684</v>
      </c>
      <c r="AC31" s="7">
        <f t="shared" si="3"/>
        <v>1680.0413518472251</v>
      </c>
      <c r="AD31" s="7">
        <f t="shared" si="3"/>
        <v>1839.1306389660162</v>
      </c>
      <c r="AE31" s="7">
        <f t="shared" si="3"/>
        <v>1606.6940004147486</v>
      </c>
      <c r="AF31" s="7">
        <f t="shared" si="3"/>
        <v>1194.6288647492543</v>
      </c>
      <c r="AG31" s="7">
        <f t="shared" si="3"/>
        <v>1704.8255656671026</v>
      </c>
      <c r="AH31" s="7">
        <f t="shared" si="3"/>
        <v>1866.2849792643187</v>
      </c>
      <c r="AI31" s="7">
        <f t="shared" si="3"/>
        <v>1630.3854788097624</v>
      </c>
      <c r="AJ31" s="7">
        <f t="shared" si="3"/>
        <v>1212.1813597685627</v>
      </c>
      <c r="AK31" s="7">
        <f t="shared" si="3"/>
        <v>1729.9790169289608</v>
      </c>
      <c r="AL31" s="7">
        <f t="shared" si="3"/>
        <v>1893.843867361596</v>
      </c>
      <c r="AM31" s="7">
        <f t="shared" si="3"/>
        <v>1654.4299149763069</v>
      </c>
      <c r="AN31" s="7">
        <f t="shared" si="3"/>
        <v>1229.9953534340925</v>
      </c>
      <c r="AO31" s="7">
        <f t="shared" si="3"/>
        <v>1755.5072065653389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8" customWidth="1"/>
    <col min="2" max="2" width="8" customWidth="1"/>
    <col min="3" max="42" width="13" customWidth="1"/>
  </cols>
  <sheetData>
    <row r="1" spans="1:42" x14ac:dyDescent="0.25">
      <c r="A1" s="1" t="s">
        <v>125</v>
      </c>
      <c r="B1" s="2" t="s">
        <v>126</v>
      </c>
      <c r="C1" s="2" t="s">
        <v>83</v>
      </c>
      <c r="D1" s="2" t="s">
        <v>84</v>
      </c>
      <c r="E1" s="2" t="s">
        <v>85</v>
      </c>
      <c r="F1" s="2" t="s">
        <v>98</v>
      </c>
      <c r="G1" s="2" t="s">
        <v>86</v>
      </c>
      <c r="H1" s="2" t="s">
        <v>87</v>
      </c>
      <c r="I1" s="2" t="s">
        <v>88</v>
      </c>
      <c r="J1" s="2" t="s">
        <v>99</v>
      </c>
      <c r="K1" s="2" t="s">
        <v>89</v>
      </c>
      <c r="L1" s="2" t="s">
        <v>90</v>
      </c>
      <c r="M1" s="2" t="s">
        <v>91</v>
      </c>
      <c r="N1" s="2" t="s">
        <v>100</v>
      </c>
      <c r="O1" s="2" t="s">
        <v>92</v>
      </c>
      <c r="P1" s="2" t="s">
        <v>93</v>
      </c>
      <c r="Q1" s="2" t="s">
        <v>94</v>
      </c>
      <c r="R1" s="2" t="s">
        <v>101</v>
      </c>
      <c r="S1" s="2" t="s">
        <v>95</v>
      </c>
      <c r="T1" s="2" t="s">
        <v>96</v>
      </c>
      <c r="U1" s="2" t="s">
        <v>103</v>
      </c>
      <c r="V1" s="2" t="s">
        <v>104</v>
      </c>
      <c r="W1" s="2" t="s">
        <v>105</v>
      </c>
      <c r="X1" s="2" t="s">
        <v>106</v>
      </c>
      <c r="Y1" s="2" t="s">
        <v>107</v>
      </c>
      <c r="Z1" s="2" t="s">
        <v>108</v>
      </c>
      <c r="AA1" s="2" t="s">
        <v>109</v>
      </c>
      <c r="AB1" s="2" t="s">
        <v>110</v>
      </c>
      <c r="AC1" s="2" t="s">
        <v>111</v>
      </c>
      <c r="AD1" s="2" t="s">
        <v>112</v>
      </c>
      <c r="AE1" s="2" t="s">
        <v>113</v>
      </c>
      <c r="AF1" s="2" t="s">
        <v>114</v>
      </c>
      <c r="AG1" s="2" t="s">
        <v>115</v>
      </c>
      <c r="AH1" s="2" t="s">
        <v>116</v>
      </c>
      <c r="AI1" s="2" t="s">
        <v>117</v>
      </c>
      <c r="AJ1" s="2" t="s">
        <v>118</v>
      </c>
      <c r="AK1" s="2" t="s">
        <v>119</v>
      </c>
      <c r="AL1" s="2" t="s">
        <v>120</v>
      </c>
      <c r="AM1" s="2" t="s">
        <v>121</v>
      </c>
      <c r="AN1" s="2" t="s">
        <v>122</v>
      </c>
      <c r="AO1" s="2" t="s">
        <v>123</v>
      </c>
      <c r="AP1" s="2" t="s">
        <v>124</v>
      </c>
    </row>
    <row r="2" spans="1:42" x14ac:dyDescent="0.25">
      <c r="A2" s="3" t="s">
        <v>127</v>
      </c>
      <c r="B2" s="12" t="s">
        <v>128</v>
      </c>
      <c r="D2" s="13">
        <f>IFERROR('QTR P&amp;L'!C2/'QTR P&amp;L'!B2-1,"")</f>
        <v>3.0238961549808208E-2</v>
      </c>
      <c r="E2" s="13">
        <f>IFERROR('QTR P&amp;L'!D2/'QTR P&amp;L'!C2-1,"")</f>
        <v>-7.5025056077888563E-2</v>
      </c>
      <c r="F2" s="13">
        <f>IFERROR('QTR P&amp;L'!E2/'QTR P&amp;L'!D2-1,"")</f>
        <v>6.9139879263195869E-3</v>
      </c>
      <c r="G2" s="13">
        <f>IFERROR('QTR P&amp;L'!F2/IF($B2="QoQ",'QTR P&amp;L'!E2,'QTR P&amp;L'!B2)-1,"")</f>
        <v>1.3472317828695068E-2</v>
      </c>
      <c r="H2" s="13">
        <f>IFERROR('QTR P&amp;L'!G2/IF($B2="QoQ",'QTR P&amp;L'!F2,'QTR P&amp;L'!C2)-1,"")</f>
        <v>-8.5906552760941501E-3</v>
      </c>
      <c r="I2" s="13">
        <f>IFERROR('QTR P&amp;L'!H2/IF($B2="QoQ",'QTR P&amp;L'!G2,'QTR P&amp;L'!D2)-1,"")</f>
        <v>3.5447087353593698E-2</v>
      </c>
      <c r="J2" s="13">
        <f>IFERROR('QTR P&amp;L'!I2/IF($B2="QoQ",'QTR P&amp;L'!H2,'QTR P&amp;L'!E2)-1,"")</f>
        <v>5.3189853958493405E-2</v>
      </c>
      <c r="K2" s="13">
        <f>IFERROR('QTR P&amp;L'!J2/IF($B2="QoQ",'QTR P&amp;L'!I2,'QTR P&amp;L'!F2)-1,"")</f>
        <v>6.1080923733747294E-2</v>
      </c>
      <c r="L2" s="13">
        <f>IFERROR('QTR P&amp;L'!K2/IF($B2="QoQ",'QTR P&amp;L'!J2,'QTR P&amp;L'!G2)-1,"")</f>
        <v>3.2157127039907474E-2</v>
      </c>
      <c r="M2" s="13">
        <f>IFERROR('QTR P&amp;L'!L2/IF($B2="QoQ",'QTR P&amp;L'!K2,'QTR P&amp;L'!H2)-1,"")</f>
        <v>6.3284831572651967E-3</v>
      </c>
      <c r="N2" s="13">
        <f>IFERROR('QTR P&amp;L'!M2/IF($B2="QoQ",'QTR P&amp;L'!L2,'QTR P&amp;L'!I2)-1,"")</f>
        <v>-1.0217486498321771E-3</v>
      </c>
      <c r="O2" s="13">
        <f>IFERROR('QTR P&amp;L'!N2/IF($B2="QoQ",'QTR P&amp;L'!M2,'QTR P&amp;L'!J2)-1,"")</f>
        <v>-6.1268346211879043E-3</v>
      </c>
      <c r="P2" s="13">
        <f>IFERROR('QTR P&amp;L'!O2/IF($B2="QoQ",'QTR P&amp;L'!N2,'QTR P&amp;L'!K2)-1,"")</f>
        <v>2.0568070519098924E-2</v>
      </c>
      <c r="Q2" s="13">
        <f>IFERROR('QTR P&amp;L'!P2/IF($B2="QoQ",'QTR P&amp;L'!O2,'QTR P&amp;L'!L2)-1,"")</f>
        <v>-2.0747709829165628E-2</v>
      </c>
      <c r="R2" s="13">
        <f>IFERROR('QTR P&amp;L'!Q2/IF($B2="QoQ",'QTR P&amp;L'!P2,'QTR P&amp;L'!M2)-1,"")</f>
        <v>1.7387492694330708E-2</v>
      </c>
      <c r="S2" s="13">
        <f>IFERROR('QTR P&amp;L'!R2/IF($B2="QoQ",'QTR P&amp;L'!Q2,'QTR P&amp;L'!N2)-1,"")</f>
        <v>2.9856925978746007E-2</v>
      </c>
      <c r="T2" s="13">
        <f>IFERROR('QTR P&amp;L'!S2/IF($B2="QoQ",'QTR P&amp;L'!R2,'QTR P&amp;L'!O2)-1,"")</f>
        <v>1.4898089754135757E-2</v>
      </c>
      <c r="U2" s="14">
        <f t="shared" ref="U2:AP2" si="0">T2</f>
        <v>1.4898089754135757E-2</v>
      </c>
      <c r="V2" s="14">
        <f t="shared" si="0"/>
        <v>1.4898089754135757E-2</v>
      </c>
      <c r="W2" s="14">
        <f t="shared" si="0"/>
        <v>1.4898089754135757E-2</v>
      </c>
      <c r="X2" s="14">
        <f t="shared" si="0"/>
        <v>1.4898089754135757E-2</v>
      </c>
      <c r="Y2" s="14">
        <f t="shared" si="0"/>
        <v>1.4898089754135757E-2</v>
      </c>
      <c r="Z2" s="14">
        <f t="shared" si="0"/>
        <v>1.4898089754135757E-2</v>
      </c>
      <c r="AA2" s="14">
        <f t="shared" si="0"/>
        <v>1.4898089754135757E-2</v>
      </c>
      <c r="AB2" s="14">
        <f t="shared" si="0"/>
        <v>1.4898089754135757E-2</v>
      </c>
      <c r="AC2" s="14">
        <f t="shared" si="0"/>
        <v>1.4898089754135757E-2</v>
      </c>
      <c r="AD2" s="14">
        <f t="shared" si="0"/>
        <v>1.4898089754135757E-2</v>
      </c>
      <c r="AE2" s="14">
        <f t="shared" si="0"/>
        <v>1.4898089754135757E-2</v>
      </c>
      <c r="AF2" s="14">
        <f t="shared" si="0"/>
        <v>1.4898089754135757E-2</v>
      </c>
      <c r="AG2" s="14">
        <f t="shared" si="0"/>
        <v>1.4898089754135757E-2</v>
      </c>
      <c r="AH2" s="14">
        <f t="shared" si="0"/>
        <v>1.4898089754135757E-2</v>
      </c>
      <c r="AI2" s="14">
        <f t="shared" si="0"/>
        <v>1.4898089754135757E-2</v>
      </c>
      <c r="AJ2" s="14">
        <f t="shared" si="0"/>
        <v>1.4898089754135757E-2</v>
      </c>
      <c r="AK2" s="14">
        <f t="shared" si="0"/>
        <v>1.4898089754135757E-2</v>
      </c>
      <c r="AL2" s="14">
        <f t="shared" si="0"/>
        <v>1.4898089754135757E-2</v>
      </c>
      <c r="AM2" s="14">
        <f t="shared" si="0"/>
        <v>1.4898089754135757E-2</v>
      </c>
      <c r="AN2" s="14">
        <f t="shared" si="0"/>
        <v>1.4898089754135757E-2</v>
      </c>
      <c r="AO2" s="14">
        <f t="shared" si="0"/>
        <v>1.4898089754135757E-2</v>
      </c>
      <c r="AP2" s="14">
        <f t="shared" si="0"/>
        <v>1.4898089754135757E-2</v>
      </c>
    </row>
    <row r="3" spans="1:42" x14ac:dyDescent="0.25">
      <c r="A3" s="3" t="s">
        <v>129</v>
      </c>
      <c r="C3" s="13">
        <f>IFERROR('QTR P&amp;L'!B3/'QTR P&amp;L'!B2,"")</f>
        <v>-0.5096371324614023</v>
      </c>
      <c r="D3" s="13">
        <f>IFERROR('QTR P&amp;L'!C3/'QTR P&amp;L'!C2,"")</f>
        <v>-0.50894859924593139</v>
      </c>
      <c r="E3" s="13">
        <f>IFERROR('QTR P&amp;L'!D3/'QTR P&amp;L'!D2,"")</f>
        <v>-0.53278984572519483</v>
      </c>
      <c r="F3" s="13">
        <f>IFERROR('QTR P&amp;L'!E3/'QTR P&amp;L'!E2,"")</f>
        <v>-0.55352293107865747</v>
      </c>
      <c r="G3" s="13">
        <f>IFERROR('QTR P&amp;L'!F3/'QTR P&amp;L'!F2,"")</f>
        <v>-0.52619833106928005</v>
      </c>
      <c r="H3" s="13">
        <f>IFERROR('QTR P&amp;L'!G3/'QTR P&amp;L'!G2,"")</f>
        <v>-0.52457516969142637</v>
      </c>
      <c r="I3" s="13">
        <f>IFERROR('QTR P&amp;L'!H3/'QTR P&amp;L'!H2,"")</f>
        <v>-0.51843731313533981</v>
      </c>
      <c r="J3" s="13">
        <f>IFERROR('QTR P&amp;L'!I3/'QTR P&amp;L'!I2,"")</f>
        <v>-0.51637230574611981</v>
      </c>
      <c r="K3" s="13">
        <f>IFERROR('QTR P&amp;L'!J3/'QTR P&amp;L'!J2,"")</f>
        <v>-0.48013351012756617</v>
      </c>
      <c r="L3" s="13">
        <f>IFERROR('QTR P&amp;L'!K3/'QTR P&amp;L'!K2,"")</f>
        <v>-0.47311226155496477</v>
      </c>
      <c r="M3" s="13">
        <f>IFERROR('QTR P&amp;L'!L3/'QTR P&amp;L'!L2,"")</f>
        <v>-0.48799207724684329</v>
      </c>
      <c r="N3" s="13">
        <f>IFERROR('QTR P&amp;L'!M3/'QTR P&amp;L'!M2,"")</f>
        <v>-0.50399376582894995</v>
      </c>
      <c r="O3" s="13">
        <f>IFERROR('QTR P&amp;L'!N3/'QTR P&amp;L'!N2,"")</f>
        <v>-0.47941298247228226</v>
      </c>
      <c r="P3" s="13">
        <f>IFERROR('QTR P&amp;L'!O3/'QTR P&amp;L'!O2,"")</f>
        <v>-0.47609907686683117</v>
      </c>
      <c r="Q3" s="13">
        <f>IFERROR('QTR P&amp;L'!P3/'QTR P&amp;L'!P2,"")</f>
        <v>-0.4901901294498382</v>
      </c>
      <c r="R3" s="13">
        <f>IFERROR('QTR P&amp;L'!Q3/'QTR P&amp;L'!Q2,"")</f>
        <v>-0.50892814399923403</v>
      </c>
      <c r="S3" s="13">
        <f>IFERROR('QTR P&amp;L'!R3/'QTR P&amp;L'!R2,"")</f>
        <v>-0.48633074242830343</v>
      </c>
      <c r="T3" s="13">
        <f>IFERROR('QTR P&amp;L'!S3/'QTR P&amp;L'!S2,"")</f>
        <v>-0.48784221902017288</v>
      </c>
      <c r="U3" s="14">
        <f t="shared" ref="U3:AP3" si="1">T3</f>
        <v>-0.48784221902017288</v>
      </c>
      <c r="V3" s="14">
        <f t="shared" si="1"/>
        <v>-0.48784221902017288</v>
      </c>
      <c r="W3" s="14">
        <f t="shared" si="1"/>
        <v>-0.48784221902017288</v>
      </c>
      <c r="X3" s="14">
        <f t="shared" si="1"/>
        <v>-0.48784221902017288</v>
      </c>
      <c r="Y3" s="14">
        <f t="shared" si="1"/>
        <v>-0.48784221902017288</v>
      </c>
      <c r="Z3" s="14">
        <f t="shared" si="1"/>
        <v>-0.48784221902017288</v>
      </c>
      <c r="AA3" s="14">
        <f t="shared" si="1"/>
        <v>-0.48784221902017288</v>
      </c>
      <c r="AB3" s="14">
        <f t="shared" si="1"/>
        <v>-0.48784221902017288</v>
      </c>
      <c r="AC3" s="14">
        <f t="shared" si="1"/>
        <v>-0.48784221902017288</v>
      </c>
      <c r="AD3" s="14">
        <f t="shared" si="1"/>
        <v>-0.48784221902017288</v>
      </c>
      <c r="AE3" s="14">
        <f t="shared" si="1"/>
        <v>-0.48784221902017288</v>
      </c>
      <c r="AF3" s="14">
        <f t="shared" si="1"/>
        <v>-0.48784221902017288</v>
      </c>
      <c r="AG3" s="14">
        <f t="shared" si="1"/>
        <v>-0.48784221902017288</v>
      </c>
      <c r="AH3" s="14">
        <f t="shared" si="1"/>
        <v>-0.48784221902017288</v>
      </c>
      <c r="AI3" s="14">
        <f t="shared" si="1"/>
        <v>-0.48784221902017288</v>
      </c>
      <c r="AJ3" s="14">
        <f t="shared" si="1"/>
        <v>-0.48784221902017288</v>
      </c>
      <c r="AK3" s="14">
        <f t="shared" si="1"/>
        <v>-0.48784221902017288</v>
      </c>
      <c r="AL3" s="14">
        <f t="shared" si="1"/>
        <v>-0.48784221902017288</v>
      </c>
      <c r="AM3" s="14">
        <f t="shared" si="1"/>
        <v>-0.48784221902017288</v>
      </c>
      <c r="AN3" s="14">
        <f t="shared" si="1"/>
        <v>-0.48784221902017288</v>
      </c>
      <c r="AO3" s="14">
        <f t="shared" si="1"/>
        <v>-0.48784221902017288</v>
      </c>
      <c r="AP3" s="14">
        <f t="shared" si="1"/>
        <v>-0.48784221902017288</v>
      </c>
    </row>
    <row r="4" spans="1:42" x14ac:dyDescent="0.25">
      <c r="A4" s="3" t="s">
        <v>130</v>
      </c>
      <c r="C4" s="13">
        <f>IFERROR('QTR P&amp;L'!B5/'QTR P&amp;L'!B2,"")</f>
        <v>-0.24338676369357853</v>
      </c>
      <c r="D4" s="13">
        <f>IFERROR('QTR P&amp;L'!C5/'QTR P&amp;L'!C2,"")</f>
        <v>-0.24440414260487758</v>
      </c>
      <c r="E4" s="13">
        <f>IFERROR('QTR P&amp;L'!D5/'QTR P&amp;L'!D2,"")</f>
        <v>-0.25958412878592435</v>
      </c>
      <c r="F4" s="13">
        <f>IFERROR('QTR P&amp;L'!E5/'QTR P&amp;L'!E2,"")</f>
        <v>-0.26210607225211374</v>
      </c>
      <c r="G4" s="13">
        <f>IFERROR('QTR P&amp;L'!F5/'QTR P&amp;L'!F2,"")</f>
        <v>-0.23418397050261983</v>
      </c>
      <c r="H4" s="13">
        <f>IFERROR('QTR P&amp;L'!G5/'QTR P&amp;L'!G2,"")</f>
        <v>-0.24507774514995426</v>
      </c>
      <c r="I4" s="13">
        <f>IFERROR('QTR P&amp;L'!H5/'QTR P&amp;L'!H2,"")</f>
        <v>-0.26988239984054213</v>
      </c>
      <c r="J4" s="13">
        <f>IFERROR('QTR P&amp;L'!I5/'QTR P&amp;L'!I2,"")</f>
        <v>-0.28112684279667199</v>
      </c>
      <c r="K4" s="13">
        <f>IFERROR('QTR P&amp;L'!J5/'QTR P&amp;L'!J2,"")</f>
        <v>-0.25622971057564814</v>
      </c>
      <c r="L4" s="13">
        <f>IFERROR('QTR P&amp;L'!K5/'QTR P&amp;L'!K2,"")</f>
        <v>-0.25759059745347701</v>
      </c>
      <c r="M4" s="13">
        <f>IFERROR('QTR P&amp;L'!L5/'QTR P&amp;L'!L2,"")</f>
        <v>-0.29111166130230254</v>
      </c>
      <c r="N4" s="13">
        <f>IFERROR('QTR P&amp;L'!M5/'QTR P&amp;L'!M2,"")</f>
        <v>-0.30678940190921489</v>
      </c>
      <c r="O4" s="13">
        <f>IFERROR('QTR P&amp;L'!N5/'QTR P&amp;L'!N2,"")</f>
        <v>-0.25389888209044487</v>
      </c>
      <c r="P4" s="13">
        <f>IFERROR('QTR P&amp;L'!O5/'QTR P&amp;L'!O2,"")</f>
        <v>-0.2615391646101819</v>
      </c>
      <c r="Q4" s="13">
        <f>IFERROR('QTR P&amp;L'!P5/'QTR P&amp;L'!P2,"")</f>
        <v>-0.2792779126213592</v>
      </c>
      <c r="R4" s="13">
        <f>IFERROR('QTR P&amp;L'!Q5/'QTR P&amp;L'!Q2,"")</f>
        <v>-0.28263679448513573</v>
      </c>
      <c r="S4" s="13">
        <f>IFERROR('QTR P&amp;L'!R5/'QTR P&amp;L'!R2,"")</f>
        <v>-0.25207719110158133</v>
      </c>
      <c r="T4" s="13">
        <f>IFERROR('QTR P&amp;L'!S5/'QTR P&amp;L'!S2,"")</f>
        <v>-0.27053314121037464</v>
      </c>
      <c r="U4" s="14">
        <f t="shared" ref="U4:AP4" si="2">T4</f>
        <v>-0.27053314121037464</v>
      </c>
      <c r="V4" s="14">
        <f t="shared" si="2"/>
        <v>-0.27053314121037464</v>
      </c>
      <c r="W4" s="14">
        <f t="shared" si="2"/>
        <v>-0.27053314121037464</v>
      </c>
      <c r="X4" s="14">
        <f t="shared" si="2"/>
        <v>-0.27053314121037464</v>
      </c>
      <c r="Y4" s="14">
        <f t="shared" si="2"/>
        <v>-0.27053314121037464</v>
      </c>
      <c r="Z4" s="14">
        <f t="shared" si="2"/>
        <v>-0.27053314121037464</v>
      </c>
      <c r="AA4" s="14">
        <f t="shared" si="2"/>
        <v>-0.27053314121037464</v>
      </c>
      <c r="AB4" s="14">
        <f t="shared" si="2"/>
        <v>-0.27053314121037464</v>
      </c>
      <c r="AC4" s="14">
        <f t="shared" si="2"/>
        <v>-0.27053314121037464</v>
      </c>
      <c r="AD4" s="14">
        <f t="shared" si="2"/>
        <v>-0.27053314121037464</v>
      </c>
      <c r="AE4" s="14">
        <f t="shared" si="2"/>
        <v>-0.27053314121037464</v>
      </c>
      <c r="AF4" s="14">
        <f t="shared" si="2"/>
        <v>-0.27053314121037464</v>
      </c>
      <c r="AG4" s="14">
        <f t="shared" si="2"/>
        <v>-0.27053314121037464</v>
      </c>
      <c r="AH4" s="14">
        <f t="shared" si="2"/>
        <v>-0.27053314121037464</v>
      </c>
      <c r="AI4" s="14">
        <f t="shared" si="2"/>
        <v>-0.27053314121037464</v>
      </c>
      <c r="AJ4" s="14">
        <f t="shared" si="2"/>
        <v>-0.27053314121037464</v>
      </c>
      <c r="AK4" s="14">
        <f t="shared" si="2"/>
        <v>-0.27053314121037464</v>
      </c>
      <c r="AL4" s="14">
        <f t="shared" si="2"/>
        <v>-0.27053314121037464</v>
      </c>
      <c r="AM4" s="14">
        <f t="shared" si="2"/>
        <v>-0.27053314121037464</v>
      </c>
      <c r="AN4" s="14">
        <f t="shared" si="2"/>
        <v>-0.27053314121037464</v>
      </c>
      <c r="AO4" s="14">
        <f t="shared" si="2"/>
        <v>-0.27053314121037464</v>
      </c>
      <c r="AP4" s="14">
        <f t="shared" si="2"/>
        <v>-0.27053314121037464</v>
      </c>
    </row>
    <row r="5" spans="1:42" x14ac:dyDescent="0.25">
      <c r="A5" s="3" t="s">
        <v>131</v>
      </c>
      <c r="C5" s="13">
        <f>IFERROR('QTR P&amp;L'!B6/'QTR P&amp;L'!B2,"")</f>
        <v>0</v>
      </c>
      <c r="D5" s="13">
        <f>IFERROR('QTR P&amp;L'!C6/'QTR P&amp;L'!C2,"")</f>
        <v>0</v>
      </c>
      <c r="E5" s="13">
        <f>IFERROR('QTR P&amp;L'!D6/'QTR P&amp;L'!D2,"")</f>
        <v>0</v>
      </c>
      <c r="F5" s="13">
        <f>IFERROR('QTR P&amp;L'!E6/'QTR P&amp;L'!E2,"")</f>
        <v>0</v>
      </c>
      <c r="G5" s="13">
        <f>IFERROR('QTR P&amp;L'!F6/'QTR P&amp;L'!F2,"")</f>
        <v>0</v>
      </c>
      <c r="H5" s="13">
        <f>IFERROR('QTR P&amp;L'!G6/'QTR P&amp;L'!G2,"")</f>
        <v>0</v>
      </c>
      <c r="I5" s="13">
        <f>IFERROR('QTR P&amp;L'!H6/'QTR P&amp;L'!H2,"")</f>
        <v>0</v>
      </c>
      <c r="J5" s="13">
        <f>IFERROR('QTR P&amp;L'!I6/'QTR P&amp;L'!I2,"")</f>
        <v>0</v>
      </c>
      <c r="K5" s="13">
        <f>IFERROR('QTR P&amp;L'!J6/'QTR P&amp;L'!J2,"")</f>
        <v>0</v>
      </c>
      <c r="L5" s="13">
        <f>IFERROR('QTR P&amp;L'!K6/'QTR P&amp;L'!K2,"")</f>
        <v>-6.2543724639708975E-2</v>
      </c>
      <c r="M5" s="13">
        <f>IFERROR('QTR P&amp;L'!L6/'QTR P&amp;L'!L2,"")</f>
        <v>0</v>
      </c>
      <c r="N5" s="13">
        <f>IFERROR('QTR P&amp;L'!M6/'QTR P&amp;L'!M2,"")</f>
        <v>0</v>
      </c>
      <c r="O5" s="13">
        <f>IFERROR('QTR P&amp;L'!N6/'QTR P&amp;L'!N2,"")</f>
        <v>0</v>
      </c>
      <c r="P5" s="13">
        <f>IFERROR('QTR P&amp;L'!O6/'QTR P&amp;L'!O2,"")</f>
        <v>0</v>
      </c>
      <c r="Q5" s="13">
        <f>IFERROR('QTR P&amp;L'!P6/'QTR P&amp;L'!P2,"")</f>
        <v>0</v>
      </c>
      <c r="R5" s="13">
        <f>IFERROR('QTR P&amp;L'!Q6/'QTR P&amp;L'!Q2,"")</f>
        <v>0</v>
      </c>
      <c r="S5" s="13">
        <f>IFERROR('QTR P&amp;L'!R6/'QTR P&amp;L'!R2,"")</f>
        <v>0</v>
      </c>
      <c r="T5" s="13">
        <f>IFERROR('QTR P&amp;L'!S6/'QTR P&amp;L'!S2,"")</f>
        <v>0</v>
      </c>
      <c r="U5" s="14">
        <f t="shared" ref="U5:AP5" si="3">T5</f>
        <v>0</v>
      </c>
      <c r="V5" s="14">
        <f t="shared" si="3"/>
        <v>0</v>
      </c>
      <c r="W5" s="14">
        <f t="shared" si="3"/>
        <v>0</v>
      </c>
      <c r="X5" s="14">
        <f t="shared" si="3"/>
        <v>0</v>
      </c>
      <c r="Y5" s="14">
        <f t="shared" si="3"/>
        <v>0</v>
      </c>
      <c r="Z5" s="14">
        <f t="shared" si="3"/>
        <v>0</v>
      </c>
      <c r="AA5" s="14">
        <f t="shared" si="3"/>
        <v>0</v>
      </c>
      <c r="AB5" s="14">
        <f t="shared" si="3"/>
        <v>0</v>
      </c>
      <c r="AC5" s="14">
        <f t="shared" si="3"/>
        <v>0</v>
      </c>
      <c r="AD5" s="14">
        <f t="shared" si="3"/>
        <v>0</v>
      </c>
      <c r="AE5" s="14">
        <f t="shared" si="3"/>
        <v>0</v>
      </c>
      <c r="AF5" s="14">
        <f t="shared" si="3"/>
        <v>0</v>
      </c>
      <c r="AG5" s="14">
        <f t="shared" si="3"/>
        <v>0</v>
      </c>
      <c r="AH5" s="14">
        <f t="shared" si="3"/>
        <v>0</v>
      </c>
      <c r="AI5" s="14">
        <f t="shared" si="3"/>
        <v>0</v>
      </c>
      <c r="AJ5" s="14">
        <f t="shared" si="3"/>
        <v>0</v>
      </c>
      <c r="AK5" s="14">
        <f t="shared" si="3"/>
        <v>0</v>
      </c>
      <c r="AL5" s="14">
        <f t="shared" si="3"/>
        <v>0</v>
      </c>
      <c r="AM5" s="14">
        <f t="shared" si="3"/>
        <v>0</v>
      </c>
      <c r="AN5" s="14">
        <f t="shared" si="3"/>
        <v>0</v>
      </c>
      <c r="AO5" s="14">
        <f t="shared" si="3"/>
        <v>0</v>
      </c>
      <c r="AP5" s="14">
        <f t="shared" si="3"/>
        <v>0</v>
      </c>
    </row>
    <row r="6" spans="1:42" x14ac:dyDescent="0.25">
      <c r="A6" s="3" t="s">
        <v>22</v>
      </c>
      <c r="C6" s="4">
        <f>'QTR P&amp;L'!B8</f>
        <v>-98</v>
      </c>
      <c r="D6" s="4">
        <f>'QTR P&amp;L'!C8</f>
        <v>-96</v>
      </c>
      <c r="E6" s="4">
        <f>'QTR P&amp;L'!D8</f>
        <v>-100</v>
      </c>
      <c r="F6" s="4">
        <f>'QTR P&amp;L'!E8</f>
        <v>-94</v>
      </c>
      <c r="G6" s="4">
        <f>'QTR P&amp;L'!F8</f>
        <v>-81</v>
      </c>
      <c r="H6" s="4">
        <f>'QTR P&amp;L'!G8</f>
        <v>-105</v>
      </c>
      <c r="I6" s="4">
        <f>'QTR P&amp;L'!H8</f>
        <v>-139</v>
      </c>
      <c r="J6" s="4">
        <f>'QTR P&amp;L'!I8</f>
        <v>-124</v>
      </c>
      <c r="K6" s="4">
        <f>'QTR P&amp;L'!J8</f>
        <v>-97</v>
      </c>
      <c r="L6" s="4">
        <f>'QTR P&amp;L'!K8</f>
        <v>-113</v>
      </c>
      <c r="M6" s="4">
        <f>'QTR P&amp;L'!L8</f>
        <v>-129</v>
      </c>
      <c r="N6" s="4">
        <f>'QTR P&amp;L'!M8</f>
        <v>-113</v>
      </c>
      <c r="O6" s="4">
        <f>'QTR P&amp;L'!N8</f>
        <v>-103</v>
      </c>
      <c r="P6" s="4">
        <f>'QTR P&amp;L'!O8</f>
        <v>-121</v>
      </c>
      <c r="Q6" s="4">
        <f>'QTR P&amp;L'!P8</f>
        <v>-106</v>
      </c>
      <c r="R6" s="4">
        <f>'QTR P&amp;L'!Q8</f>
        <v>-108</v>
      </c>
      <c r="S6" s="4">
        <f>'QTR P&amp;L'!R8</f>
        <v>-89</v>
      </c>
      <c r="T6" s="4">
        <f>'QTR P&amp;L'!S8</f>
        <v>-106</v>
      </c>
      <c r="U6" s="15">
        <f t="shared" ref="U6:AP6" si="4">T6</f>
        <v>-106</v>
      </c>
      <c r="V6" s="15">
        <f t="shared" si="4"/>
        <v>-106</v>
      </c>
      <c r="W6" s="15">
        <f t="shared" si="4"/>
        <v>-106</v>
      </c>
      <c r="X6" s="15">
        <f t="shared" si="4"/>
        <v>-106</v>
      </c>
      <c r="Y6" s="15">
        <f t="shared" si="4"/>
        <v>-106</v>
      </c>
      <c r="Z6" s="15">
        <f t="shared" si="4"/>
        <v>-106</v>
      </c>
      <c r="AA6" s="15">
        <f t="shared" si="4"/>
        <v>-106</v>
      </c>
      <c r="AB6" s="15">
        <f t="shared" si="4"/>
        <v>-106</v>
      </c>
      <c r="AC6" s="15">
        <f t="shared" si="4"/>
        <v>-106</v>
      </c>
      <c r="AD6" s="15">
        <f t="shared" si="4"/>
        <v>-106</v>
      </c>
      <c r="AE6" s="15">
        <f t="shared" si="4"/>
        <v>-106</v>
      </c>
      <c r="AF6" s="15">
        <f t="shared" si="4"/>
        <v>-106</v>
      </c>
      <c r="AG6" s="15">
        <f t="shared" si="4"/>
        <v>-106</v>
      </c>
      <c r="AH6" s="15">
        <f t="shared" si="4"/>
        <v>-106</v>
      </c>
      <c r="AI6" s="15">
        <f t="shared" si="4"/>
        <v>-106</v>
      </c>
      <c r="AJ6" s="15">
        <f t="shared" si="4"/>
        <v>-106</v>
      </c>
      <c r="AK6" s="15">
        <f t="shared" si="4"/>
        <v>-106</v>
      </c>
      <c r="AL6" s="15">
        <f t="shared" si="4"/>
        <v>-106</v>
      </c>
      <c r="AM6" s="15">
        <f t="shared" si="4"/>
        <v>-106</v>
      </c>
      <c r="AN6" s="15">
        <f t="shared" si="4"/>
        <v>-106</v>
      </c>
      <c r="AO6" s="15">
        <f t="shared" si="4"/>
        <v>-106</v>
      </c>
      <c r="AP6" s="15">
        <f t="shared" si="4"/>
        <v>-106</v>
      </c>
    </row>
    <row r="7" spans="1:42" x14ac:dyDescent="0.25">
      <c r="A7" s="3" t="s">
        <v>23</v>
      </c>
      <c r="C7" s="4">
        <f>'QTR P&amp;L'!B9</f>
        <v>110</v>
      </c>
      <c r="D7" s="4">
        <f>'QTR P&amp;L'!C9</f>
        <v>167</v>
      </c>
      <c r="E7" s="4">
        <f>'QTR P&amp;L'!D9</f>
        <v>147</v>
      </c>
      <c r="F7" s="4">
        <f>'QTR P&amp;L'!E9</f>
        <v>146</v>
      </c>
      <c r="G7" s="4">
        <f>'QTR P&amp;L'!F9</f>
        <v>139</v>
      </c>
      <c r="H7" s="4">
        <f>'QTR P&amp;L'!G9</f>
        <v>155</v>
      </c>
      <c r="I7" s="4">
        <f>'QTR P&amp;L'!H9</f>
        <v>179</v>
      </c>
      <c r="J7" s="4">
        <f>'QTR P&amp;L'!I9</f>
        <v>195</v>
      </c>
      <c r="K7" s="4">
        <f>'QTR P&amp;L'!J9</f>
        <v>132</v>
      </c>
      <c r="L7" s="4">
        <f>'QTR P&amp;L'!K9</f>
        <v>177</v>
      </c>
      <c r="M7" s="4">
        <f>'QTR P&amp;L'!L9</f>
        <v>261</v>
      </c>
      <c r="N7" s="4">
        <f>'QTR P&amp;L'!M9</f>
        <v>98</v>
      </c>
      <c r="O7" s="4">
        <f>'QTR P&amp;L'!N9</f>
        <v>-554</v>
      </c>
      <c r="P7" s="4">
        <f>'QTR P&amp;L'!O9</f>
        <v>224</v>
      </c>
      <c r="Q7" s="4">
        <f>'QTR P&amp;L'!P9</f>
        <v>210</v>
      </c>
      <c r="R7" s="4">
        <f>'QTR P&amp;L'!Q9</f>
        <v>274</v>
      </c>
      <c r="S7" s="4">
        <f>'QTR P&amp;L'!R9</f>
        <v>268</v>
      </c>
      <c r="T7" s="4">
        <f>'QTR P&amp;L'!S9</f>
        <v>159</v>
      </c>
      <c r="U7" s="15">
        <f t="shared" ref="U7:AP7" si="5">T7</f>
        <v>159</v>
      </c>
      <c r="V7" s="15">
        <f t="shared" si="5"/>
        <v>159</v>
      </c>
      <c r="W7" s="15">
        <f t="shared" si="5"/>
        <v>159</v>
      </c>
      <c r="X7" s="15">
        <f t="shared" si="5"/>
        <v>159</v>
      </c>
      <c r="Y7" s="15">
        <f t="shared" si="5"/>
        <v>159</v>
      </c>
      <c r="Z7" s="15">
        <f t="shared" si="5"/>
        <v>159</v>
      </c>
      <c r="AA7" s="15">
        <f t="shared" si="5"/>
        <v>159</v>
      </c>
      <c r="AB7" s="15">
        <f t="shared" si="5"/>
        <v>159</v>
      </c>
      <c r="AC7" s="15">
        <f t="shared" si="5"/>
        <v>159</v>
      </c>
      <c r="AD7" s="15">
        <f t="shared" si="5"/>
        <v>159</v>
      </c>
      <c r="AE7" s="15">
        <f t="shared" si="5"/>
        <v>159</v>
      </c>
      <c r="AF7" s="15">
        <f t="shared" si="5"/>
        <v>159</v>
      </c>
      <c r="AG7" s="15">
        <f t="shared" si="5"/>
        <v>159</v>
      </c>
      <c r="AH7" s="15">
        <f t="shared" si="5"/>
        <v>159</v>
      </c>
      <c r="AI7" s="15">
        <f t="shared" si="5"/>
        <v>159</v>
      </c>
      <c r="AJ7" s="15">
        <f t="shared" si="5"/>
        <v>159</v>
      </c>
      <c r="AK7" s="15">
        <f t="shared" si="5"/>
        <v>159</v>
      </c>
      <c r="AL7" s="15">
        <f t="shared" si="5"/>
        <v>159</v>
      </c>
      <c r="AM7" s="15">
        <f t="shared" si="5"/>
        <v>159</v>
      </c>
      <c r="AN7" s="15">
        <f t="shared" si="5"/>
        <v>159</v>
      </c>
      <c r="AO7" s="15">
        <f t="shared" si="5"/>
        <v>159</v>
      </c>
      <c r="AP7" s="15">
        <f t="shared" si="5"/>
        <v>159</v>
      </c>
    </row>
    <row r="8" spans="1:42" x14ac:dyDescent="0.25">
      <c r="A8" s="3" t="s">
        <v>132</v>
      </c>
      <c r="C8" s="13">
        <f>IFERROR('QTR P&amp;L'!B11/'QTR P&amp;L'!B10,"")</f>
        <v>-0.18053624627606751</v>
      </c>
      <c r="D8" s="13">
        <f>IFERROR('QTR P&amp;L'!C11/'QTR P&amp;L'!C10,"")</f>
        <v>-0.19030349303302158</v>
      </c>
      <c r="E8" s="13">
        <f>IFERROR('QTR P&amp;L'!D11/'QTR P&amp;L'!D10,"")</f>
        <v>-0.17293048391058707</v>
      </c>
      <c r="F8" s="13">
        <f>IFERROR('QTR P&amp;L'!E11/'QTR P&amp;L'!E10,"")</f>
        <v>-0.16219178082191782</v>
      </c>
      <c r="G8" s="13">
        <f>IFERROR('QTR P&amp;L'!F11/'QTR P&amp;L'!F10,"")</f>
        <v>-0.20692415449269561</v>
      </c>
      <c r="H8" s="13">
        <f>IFERROR('QTR P&amp;L'!G11/'QTR P&amp;L'!G10,"")</f>
        <v>-0.18117890382626681</v>
      </c>
      <c r="I8" s="13">
        <f>IFERROR('QTR P&amp;L'!H11/'QTR P&amp;L'!H10,"")</f>
        <v>-0.20149253731343283</v>
      </c>
      <c r="J8" s="13">
        <f>IFERROR('QTR P&amp;L'!I11/'QTR P&amp;L'!I10,"")</f>
        <v>-0.19867706118592016</v>
      </c>
      <c r="K8" s="13">
        <f>IFERROR('QTR P&amp;L'!J11/'QTR P&amp;L'!J10,"")</f>
        <v>-0.2147905533528702</v>
      </c>
      <c r="L8" s="13">
        <f>IFERROR('QTR P&amp;L'!K11/'QTR P&amp;L'!K10,"")</f>
        <v>-0.22325995107849678</v>
      </c>
      <c r="M8" s="13">
        <f>IFERROR('QTR P&amp;L'!L11/'QTR P&amp;L'!L10,"")</f>
        <v>-0.17657304593947312</v>
      </c>
      <c r="N8" s="13">
        <f>IFERROR('QTR P&amp;L'!M11/'QTR P&amp;L'!M10,"")</f>
        <v>-0.18759689922480621</v>
      </c>
      <c r="O8" s="13">
        <f>IFERROR('QTR P&amp;L'!N11/'QTR P&amp;L'!N10,"")</f>
        <v>-0.22412451361867705</v>
      </c>
      <c r="P8" s="13">
        <f>IFERROR('QTR P&amp;L'!O11/'QTR P&amp;L'!O10,"")</f>
        <v>-0.20311430527036275</v>
      </c>
      <c r="Q8" s="13">
        <f>IFERROR('QTR P&amp;L'!P11/'QTR P&amp;L'!P10,"")</f>
        <v>-0.18614625777396526</v>
      </c>
      <c r="R8" s="13">
        <f>IFERROR('QTR P&amp;L'!Q11/'QTR P&amp;L'!Q10,"")</f>
        <v>-0.19800884955752213</v>
      </c>
      <c r="S8" s="13">
        <f>IFERROR('QTR P&amp;L'!R11/'QTR P&amp;L'!R10,"")</f>
        <v>-0.20762220381110191</v>
      </c>
      <c r="T8" s="13">
        <f>IFERROR('QTR P&amp;L'!S11/'QTR P&amp;L'!S10,"")</f>
        <v>-0.20114412253183245</v>
      </c>
      <c r="U8" s="14">
        <f t="shared" ref="U8:AP8" si="6">T8</f>
        <v>-0.20114412253183245</v>
      </c>
      <c r="V8" s="14">
        <f t="shared" si="6"/>
        <v>-0.20114412253183245</v>
      </c>
      <c r="W8" s="14">
        <f t="shared" si="6"/>
        <v>-0.20114412253183245</v>
      </c>
      <c r="X8" s="14">
        <f t="shared" si="6"/>
        <v>-0.20114412253183245</v>
      </c>
      <c r="Y8" s="14">
        <f t="shared" si="6"/>
        <v>-0.20114412253183245</v>
      </c>
      <c r="Z8" s="14">
        <f t="shared" si="6"/>
        <v>-0.20114412253183245</v>
      </c>
      <c r="AA8" s="14">
        <f t="shared" si="6"/>
        <v>-0.20114412253183245</v>
      </c>
      <c r="AB8" s="14">
        <f t="shared" si="6"/>
        <v>-0.20114412253183245</v>
      </c>
      <c r="AC8" s="14">
        <f t="shared" si="6"/>
        <v>-0.20114412253183245</v>
      </c>
      <c r="AD8" s="14">
        <f t="shared" si="6"/>
        <v>-0.20114412253183245</v>
      </c>
      <c r="AE8" s="14">
        <f t="shared" si="6"/>
        <v>-0.20114412253183245</v>
      </c>
      <c r="AF8" s="14">
        <f t="shared" si="6"/>
        <v>-0.20114412253183245</v>
      </c>
      <c r="AG8" s="14">
        <f t="shared" si="6"/>
        <v>-0.20114412253183245</v>
      </c>
      <c r="AH8" s="14">
        <f t="shared" si="6"/>
        <v>-0.20114412253183245</v>
      </c>
      <c r="AI8" s="14">
        <f t="shared" si="6"/>
        <v>-0.20114412253183245</v>
      </c>
      <c r="AJ8" s="14">
        <f t="shared" si="6"/>
        <v>-0.20114412253183245</v>
      </c>
      <c r="AK8" s="14">
        <f t="shared" si="6"/>
        <v>-0.20114412253183245</v>
      </c>
      <c r="AL8" s="14">
        <f t="shared" si="6"/>
        <v>-0.20114412253183245</v>
      </c>
      <c r="AM8" s="14">
        <f t="shared" si="6"/>
        <v>-0.20114412253183245</v>
      </c>
      <c r="AN8" s="14">
        <f t="shared" si="6"/>
        <v>-0.20114412253183245</v>
      </c>
      <c r="AO8" s="14">
        <f t="shared" si="6"/>
        <v>-0.20114412253183245</v>
      </c>
      <c r="AP8" s="14">
        <f t="shared" si="6"/>
        <v>-0.20114412253183245</v>
      </c>
    </row>
    <row r="9" spans="1:42" x14ac:dyDescent="0.25">
      <c r="A9" s="3" t="s">
        <v>27</v>
      </c>
      <c r="C9" s="4">
        <f>'QTR P&amp;L'!B13</f>
        <v>14</v>
      </c>
      <c r="D9" s="4">
        <f>'QTR P&amp;L'!C13</f>
        <v>19</v>
      </c>
      <c r="E9" s="4">
        <f>'QTR P&amp;L'!D13</f>
        <v>12</v>
      </c>
      <c r="F9" s="4">
        <f>'QTR P&amp;L'!E13</f>
        <v>6</v>
      </c>
      <c r="G9" s="4">
        <f>'QTR P&amp;L'!F13</f>
        <v>24</v>
      </c>
      <c r="H9" s="4">
        <f>'QTR P&amp;L'!G13</f>
        <v>26</v>
      </c>
      <c r="I9" s="4">
        <f>'QTR P&amp;L'!H13</f>
        <v>27</v>
      </c>
      <c r="J9" s="4">
        <f>'QTR P&amp;L'!I13</f>
        <v>8</v>
      </c>
      <c r="K9" s="4">
        <f>'QTR P&amp;L'!J13</f>
        <v>35</v>
      </c>
      <c r="L9" s="4">
        <f>'QTR P&amp;L'!K13</f>
        <v>25</v>
      </c>
      <c r="M9" s="4">
        <f>'QTR P&amp;L'!L13</f>
        <v>28</v>
      </c>
      <c r="N9" s="4">
        <f>'QTR P&amp;L'!M13</f>
        <v>7</v>
      </c>
      <c r="O9" s="4">
        <f>'QTR P&amp;L'!N13</f>
        <v>28</v>
      </c>
      <c r="P9" s="4">
        <f>'QTR P&amp;L'!O13</f>
        <v>28</v>
      </c>
      <c r="Q9" s="4">
        <f>'QTR P&amp;L'!P13</f>
        <v>24</v>
      </c>
      <c r="R9" s="4">
        <f>'QTR P&amp;L'!Q13</f>
        <v>11</v>
      </c>
      <c r="S9" s="4">
        <f>'QTR P&amp;L'!R13</f>
        <v>31</v>
      </c>
      <c r="T9" s="4">
        <f>'QTR P&amp;L'!S13</f>
        <v>11</v>
      </c>
      <c r="U9" s="15">
        <f t="shared" ref="U9:AP9" si="7">T9</f>
        <v>11</v>
      </c>
      <c r="V9" s="15">
        <f t="shared" si="7"/>
        <v>11</v>
      </c>
      <c r="W9" s="15">
        <f t="shared" si="7"/>
        <v>11</v>
      </c>
      <c r="X9" s="15">
        <f t="shared" si="7"/>
        <v>11</v>
      </c>
      <c r="Y9" s="15">
        <f t="shared" si="7"/>
        <v>11</v>
      </c>
      <c r="Z9" s="15">
        <f t="shared" si="7"/>
        <v>11</v>
      </c>
      <c r="AA9" s="15">
        <f t="shared" si="7"/>
        <v>11</v>
      </c>
      <c r="AB9" s="15">
        <f t="shared" si="7"/>
        <v>11</v>
      </c>
      <c r="AC9" s="15">
        <f t="shared" si="7"/>
        <v>11</v>
      </c>
      <c r="AD9" s="15">
        <f t="shared" si="7"/>
        <v>11</v>
      </c>
      <c r="AE9" s="15">
        <f t="shared" si="7"/>
        <v>11</v>
      </c>
      <c r="AF9" s="15">
        <f t="shared" si="7"/>
        <v>11</v>
      </c>
      <c r="AG9" s="15">
        <f t="shared" si="7"/>
        <v>11</v>
      </c>
      <c r="AH9" s="15">
        <f t="shared" si="7"/>
        <v>11</v>
      </c>
      <c r="AI9" s="15">
        <f t="shared" si="7"/>
        <v>11</v>
      </c>
      <c r="AJ9" s="15">
        <f t="shared" si="7"/>
        <v>11</v>
      </c>
      <c r="AK9" s="15">
        <f t="shared" si="7"/>
        <v>11</v>
      </c>
      <c r="AL9" s="15">
        <f t="shared" si="7"/>
        <v>11</v>
      </c>
      <c r="AM9" s="15">
        <f t="shared" si="7"/>
        <v>11</v>
      </c>
      <c r="AN9" s="15">
        <f t="shared" si="7"/>
        <v>11</v>
      </c>
      <c r="AO9" s="15">
        <f t="shared" si="7"/>
        <v>11</v>
      </c>
      <c r="AP9" s="15">
        <f t="shared" si="7"/>
        <v>11</v>
      </c>
    </row>
  </sheetData>
  <dataValidations count="1">
    <dataValidation type="list" errorTitle="Invalid basis" error="Basis must be YoY or QoQ" sqref="B2" xr:uid="{00000000-0002-0000-0A00-000000000000}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L2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8" customWidth="1"/>
    <col min="2" max="38" width="13" customWidth="1"/>
  </cols>
  <sheetData>
    <row r="1" spans="1:38" x14ac:dyDescent="0.25">
      <c r="A1" s="1" t="s">
        <v>125</v>
      </c>
      <c r="B1" s="2" t="s">
        <v>98</v>
      </c>
      <c r="C1" s="2" t="s">
        <v>86</v>
      </c>
      <c r="D1" s="2" t="s">
        <v>87</v>
      </c>
      <c r="E1" s="2" t="s">
        <v>88</v>
      </c>
      <c r="F1" s="2" t="s">
        <v>99</v>
      </c>
      <c r="G1" s="2" t="s">
        <v>89</v>
      </c>
      <c r="H1" s="2" t="s">
        <v>90</v>
      </c>
      <c r="I1" s="2" t="s">
        <v>91</v>
      </c>
      <c r="J1" s="2" t="s">
        <v>100</v>
      </c>
      <c r="K1" s="2" t="s">
        <v>92</v>
      </c>
      <c r="L1" s="2" t="s">
        <v>93</v>
      </c>
      <c r="M1" s="2" t="s">
        <v>94</v>
      </c>
      <c r="N1" s="2" t="s">
        <v>101</v>
      </c>
      <c r="O1" s="2" t="s">
        <v>95</v>
      </c>
      <c r="P1" s="2" t="s">
        <v>96</v>
      </c>
      <c r="Q1" s="2" t="s">
        <v>103</v>
      </c>
      <c r="R1" s="2" t="s">
        <v>104</v>
      </c>
      <c r="S1" s="2" t="s">
        <v>105</v>
      </c>
      <c r="T1" s="2" t="s">
        <v>106</v>
      </c>
      <c r="U1" s="2" t="s">
        <v>107</v>
      </c>
      <c r="V1" s="2" t="s">
        <v>108</v>
      </c>
      <c r="W1" s="2" t="s">
        <v>109</v>
      </c>
      <c r="X1" s="2" t="s">
        <v>110</v>
      </c>
      <c r="Y1" s="2" t="s">
        <v>111</v>
      </c>
      <c r="Z1" s="2" t="s">
        <v>112</v>
      </c>
      <c r="AA1" s="2" t="s">
        <v>113</v>
      </c>
      <c r="AB1" s="2" t="s">
        <v>114</v>
      </c>
      <c r="AC1" s="2" t="s">
        <v>115</v>
      </c>
      <c r="AD1" s="2" t="s">
        <v>116</v>
      </c>
      <c r="AE1" s="2" t="s">
        <v>117</v>
      </c>
      <c r="AF1" s="2" t="s">
        <v>118</v>
      </c>
      <c r="AG1" s="2" t="s">
        <v>119</v>
      </c>
      <c r="AH1" s="2" t="s">
        <v>120</v>
      </c>
      <c r="AI1" s="2" t="s">
        <v>121</v>
      </c>
      <c r="AJ1" s="2" t="s">
        <v>122</v>
      </c>
      <c r="AK1" s="2" t="s">
        <v>123</v>
      </c>
      <c r="AL1" s="2" t="s">
        <v>124</v>
      </c>
    </row>
    <row r="2" spans="1:38" x14ac:dyDescent="0.25">
      <c r="A2" s="3" t="s">
        <v>31</v>
      </c>
      <c r="B2" s="4">
        <f>'QTR BS'!B2</f>
        <v>7214</v>
      </c>
      <c r="C2" s="4">
        <f>'QTR BS'!C2</f>
        <v>6710</v>
      </c>
      <c r="D2" s="4">
        <f>'QTR BS'!D2</f>
        <v>6854</v>
      </c>
      <c r="E2" s="4">
        <f>'QTR BS'!E2</f>
        <v>7596</v>
      </c>
      <c r="F2" s="4">
        <f>'QTR BS'!F2</f>
        <v>8246</v>
      </c>
      <c r="G2" s="4">
        <f>'QTR BS'!G2</f>
        <v>9733</v>
      </c>
      <c r="H2" s="4">
        <f>'QTR BS'!H2</f>
        <v>7890</v>
      </c>
      <c r="I2" s="4">
        <f>'QTR BS'!I2</f>
        <v>6828</v>
      </c>
      <c r="J2" s="4">
        <f>'QTR BS'!J2</f>
        <v>9482</v>
      </c>
      <c r="K2" s="4">
        <f>'QTR BS'!K2</f>
        <v>12156</v>
      </c>
      <c r="L2" s="4">
        <f>'QTR BS'!L2</f>
        <v>10230</v>
      </c>
      <c r="M2" s="4">
        <f>'QTR BS'!M2</f>
        <v>9116</v>
      </c>
      <c r="N2" s="4">
        <f>'QTR BS'!N2</f>
        <v>9556</v>
      </c>
      <c r="O2" s="4">
        <f>'QTR BS'!O2</f>
        <v>11171</v>
      </c>
      <c r="P2" s="4">
        <f>'QTR BS'!P2</f>
        <v>10825</v>
      </c>
      <c r="Q2" s="4">
        <f>P2+'QTR CF'!T31</f>
        <v>12605.50226606736</v>
      </c>
      <c r="R2" s="4">
        <f>Q2+'QTR CF'!U31</f>
        <v>14237.061301436976</v>
      </c>
      <c r="S2" s="4">
        <f>R2+'QTR CF'!V31</f>
        <v>16023.07323630972</v>
      </c>
      <c r="T2" s="4">
        <f>S2+'QTR CF'!W31</f>
        <v>17583.42250448011</v>
      </c>
      <c r="U2" s="4">
        <f>T2+'QTR CF'!X31</f>
        <v>18743.715576910799</v>
      </c>
      <c r="V2" s="4">
        <f>U2+'QTR CF'!Y31</f>
        <v>20399.336532197925</v>
      </c>
      <c r="W2" s="4">
        <f>V2+'QTR CF'!Z31</f>
        <v>22211.711440147763</v>
      </c>
      <c r="X2" s="4">
        <f>W2+'QTR CF'!AA31</f>
        <v>23795.061738732555</v>
      </c>
      <c r="Y2" s="4">
        <f>X2+'QTR CF'!AB31</f>
        <v>24972.395768466824</v>
      </c>
      <c r="Z2" s="4">
        <f>Y2+'QTR CF'!AC31</f>
        <v>26652.437120314047</v>
      </c>
      <c r="AA2" s="4">
        <f>Z2+'QTR CF'!AD31</f>
        <v>28491.567759280064</v>
      </c>
      <c r="AB2" s="4">
        <f>AA2+'QTR CF'!AE31</f>
        <v>30098.261759694811</v>
      </c>
      <c r="AC2" s="4">
        <f>AB2+'QTR CF'!AF31</f>
        <v>31292.890624444066</v>
      </c>
      <c r="AD2" s="4">
        <f>AC2+'QTR CF'!AG31</f>
        <v>32997.716190111169</v>
      </c>
      <c r="AE2" s="4">
        <f>AD2+'QTR CF'!AH31</f>
        <v>34864.001169375486</v>
      </c>
      <c r="AF2" s="4">
        <f>AE2+'QTR CF'!AI31</f>
        <v>36494.386648185246</v>
      </c>
      <c r="AG2" s="4">
        <f>AF2+'QTR CF'!AJ31</f>
        <v>37706.568007953807</v>
      </c>
      <c r="AH2" s="4">
        <f>AG2+'QTR CF'!AK31</f>
        <v>39436.54702488277</v>
      </c>
      <c r="AI2" s="4">
        <f>AH2+'QTR CF'!AL31</f>
        <v>41330.390892244366</v>
      </c>
      <c r="AJ2" s="4">
        <f>AI2+'QTR CF'!AM31</f>
        <v>42984.820807220676</v>
      </c>
      <c r="AK2" s="4">
        <f>AJ2+'QTR CF'!AN31</f>
        <v>44214.816160654766</v>
      </c>
      <c r="AL2" s="4">
        <f>AK2+'QTR CF'!AO31</f>
        <v>45970.323367220102</v>
      </c>
    </row>
    <row r="3" spans="1:38" x14ac:dyDescent="0.25">
      <c r="A3" s="3" t="s">
        <v>133</v>
      </c>
      <c r="B3" s="16">
        <f>IFERROR('QTR BS'!B3/'QTR P&amp;L'!E2*ASSUMPTIONS!$B$2,"")</f>
        <v>23.982218806046628</v>
      </c>
      <c r="C3" s="16">
        <f>IFERROR('QTR BS'!C3/'QTR P&amp;L'!F2*ASSUMPTIONS!$B$2,"")</f>
        <v>25.253250533669704</v>
      </c>
      <c r="D3" s="16">
        <f>IFERROR('QTR BS'!D3/'QTR P&amp;L'!G2*ASSUMPTIONS!$B$2,"")</f>
        <v>25.263418861021517</v>
      </c>
      <c r="E3" s="16">
        <f>IFERROR('QTR BS'!E3/'QTR P&amp;L'!H2*ASSUMPTIONS!$B$2,"")</f>
        <v>24.808700418576837</v>
      </c>
      <c r="F3" s="16">
        <f>IFERROR('QTR BS'!F3/'QTR P&amp;L'!I2*ASSUMPTIONS!$B$2,"")</f>
        <v>24.223276407337128</v>
      </c>
      <c r="G3" s="16">
        <f>IFERROR('QTR BS'!G3/'QTR P&amp;L'!J2*ASSUMPTIONS!$B$2,"")</f>
        <v>25.859128526359108</v>
      </c>
      <c r="H3" s="16">
        <f>IFERROR('QTR BS'!H3/'QTR P&amp;L'!K2*ASSUMPTIONS!$B$2,"")</f>
        <v>26.882794645772115</v>
      </c>
      <c r="I3" s="16">
        <f>IFERROR('QTR BS'!I3/'QTR P&amp;L'!L2*ASSUMPTIONS!$B$2,"")</f>
        <v>27.595147313691509</v>
      </c>
      <c r="J3" s="16">
        <f>IFERROR('QTR BS'!J3/'QTR P&amp;L'!M2*ASSUMPTIONS!$B$2,"")</f>
        <v>27.115624391194235</v>
      </c>
      <c r="K3" s="16">
        <f>IFERROR('QTR BS'!K3/'QTR P&amp;L'!N2*ASSUMPTIONS!$B$2,"")</f>
        <v>26.432994433454475</v>
      </c>
      <c r="L3" s="16">
        <f>IFERROR('QTR BS'!L3/'QTR P&amp;L'!O2*ASSUMPTIONS!$B$2,"")</f>
        <v>25.925143953934739</v>
      </c>
      <c r="M3" s="16">
        <f>IFERROR('QTR BS'!M3/'QTR P&amp;L'!P2*ASSUMPTIONS!$B$2,"")</f>
        <v>28.248836974110031</v>
      </c>
      <c r="N3" s="16">
        <f>IFERROR('QTR BS'!N3/'QTR P&amp;L'!Q2*ASSUMPTIONS!$B$2,"")</f>
        <v>26.944085403801044</v>
      </c>
      <c r="O3" s="16">
        <f>IFERROR('QTR BS'!O3/'QTR P&amp;L'!R2*ASSUMPTIONS!$B$2,"")</f>
        <v>26.369918699186993</v>
      </c>
      <c r="P3" s="16">
        <f>IFERROR('QTR BS'!P3/'QTR P&amp;L'!S2*ASSUMPTIONS!$B$2,"")</f>
        <v>25.728971541786741</v>
      </c>
      <c r="Q3" s="17">
        <f t="shared" ref="Q3:AL3" si="0">P3</f>
        <v>25.728971541786741</v>
      </c>
      <c r="R3" s="17">
        <f t="shared" si="0"/>
        <v>25.728971541786741</v>
      </c>
      <c r="S3" s="17">
        <f t="shared" si="0"/>
        <v>25.728971541786741</v>
      </c>
      <c r="T3" s="17">
        <f t="shared" si="0"/>
        <v>25.728971541786741</v>
      </c>
      <c r="U3" s="17">
        <f t="shared" si="0"/>
        <v>25.728971541786741</v>
      </c>
      <c r="V3" s="17">
        <f t="shared" si="0"/>
        <v>25.728971541786741</v>
      </c>
      <c r="W3" s="17">
        <f t="shared" si="0"/>
        <v>25.728971541786741</v>
      </c>
      <c r="X3" s="17">
        <f t="shared" si="0"/>
        <v>25.728971541786741</v>
      </c>
      <c r="Y3" s="17">
        <f t="shared" si="0"/>
        <v>25.728971541786741</v>
      </c>
      <c r="Z3" s="17">
        <f t="shared" si="0"/>
        <v>25.728971541786741</v>
      </c>
      <c r="AA3" s="17">
        <f t="shared" si="0"/>
        <v>25.728971541786741</v>
      </c>
      <c r="AB3" s="17">
        <f t="shared" si="0"/>
        <v>25.728971541786741</v>
      </c>
      <c r="AC3" s="17">
        <f t="shared" si="0"/>
        <v>25.728971541786741</v>
      </c>
      <c r="AD3" s="17">
        <f t="shared" si="0"/>
        <v>25.728971541786741</v>
      </c>
      <c r="AE3" s="17">
        <f t="shared" si="0"/>
        <v>25.728971541786741</v>
      </c>
      <c r="AF3" s="17">
        <f t="shared" si="0"/>
        <v>25.728971541786741</v>
      </c>
      <c r="AG3" s="17">
        <f t="shared" si="0"/>
        <v>25.728971541786741</v>
      </c>
      <c r="AH3" s="17">
        <f t="shared" si="0"/>
        <v>25.728971541786741</v>
      </c>
      <c r="AI3" s="17">
        <f t="shared" si="0"/>
        <v>25.728971541786741</v>
      </c>
      <c r="AJ3" s="17">
        <f t="shared" si="0"/>
        <v>25.728971541786741</v>
      </c>
      <c r="AK3" s="17">
        <f t="shared" si="0"/>
        <v>25.728971541786741</v>
      </c>
      <c r="AL3" s="17">
        <f t="shared" si="0"/>
        <v>25.728971541786741</v>
      </c>
    </row>
    <row r="4" spans="1:38" x14ac:dyDescent="0.25">
      <c r="A4" s="3" t="s">
        <v>134</v>
      </c>
      <c r="B4" s="16">
        <f>IFERROR('QTR BS'!B4/'QTR P&amp;L'!E3*ASSUMPTIONS!$B$2,"")</f>
        <v>-58.330309201999633</v>
      </c>
      <c r="C4" s="16">
        <f>IFERROR('QTR BS'!C4/'QTR P&amp;L'!F3*ASSUMPTIONS!$B$2,"")</f>
        <v>-63.681541582150096</v>
      </c>
      <c r="D4" s="16">
        <f>IFERROR('QTR BS'!D4/'QTR P&amp;L'!G3*ASSUMPTIONS!$B$2,"")</f>
        <v>-62.974304854547121</v>
      </c>
      <c r="E4" s="16">
        <f>IFERROR('QTR BS'!E4/'QTR P&amp;L'!H3*ASSUMPTIONS!$B$2,"")</f>
        <v>-65.451076509034991</v>
      </c>
      <c r="F4" s="16">
        <f>IFERROR('QTR BS'!F4/'QTR P&amp;L'!I3*ASSUMPTIONS!$B$2,"")</f>
        <v>-60.646659756901919</v>
      </c>
      <c r="G4" s="16">
        <f>IFERROR('QTR BS'!G4/'QTR P&amp;L'!J3*ASSUMPTIONS!$B$2,"")</f>
        <v>-61.674792876868871</v>
      </c>
      <c r="H4" s="16">
        <f>IFERROR('QTR BS'!H4/'QTR P&amp;L'!K3*ASSUMPTIONS!$B$2,"")</f>
        <v>-64.150335173501574</v>
      </c>
      <c r="I4" s="16">
        <f>IFERROR('QTR BS'!I4/'QTR P&amp;L'!L3*ASSUMPTIONS!$B$2,"")</f>
        <v>-65.348249619482488</v>
      </c>
      <c r="J4" s="16">
        <f>IFERROR('QTR BS'!J4/'QTR P&amp;L'!M3*ASSUMPTIONS!$B$2,"")</f>
        <v>-61.698492462311556</v>
      </c>
      <c r="K4" s="16">
        <f>IFERROR('QTR BS'!K4/'QTR P&amp;L'!N3*ASSUMPTIONS!$B$2,"")</f>
        <v>-63.632760771519052</v>
      </c>
      <c r="L4" s="16">
        <f>IFERROR('QTR BS'!L4/'QTR P&amp;L'!O3*ASSUMPTIONS!$B$2,"")</f>
        <v>-61.31887118448838</v>
      </c>
      <c r="M4" s="16">
        <f>IFERROR('QTR BS'!M4/'QTR P&amp;L'!P3*ASSUMPTIONS!$B$2,"")</f>
        <v>-69.465648854961842</v>
      </c>
      <c r="N4" s="16">
        <f>IFERROR('QTR BS'!N4/'QTR P&amp;L'!Q3*ASSUMPTIONS!$B$2,"")</f>
        <v>-64.635594017496004</v>
      </c>
      <c r="O4" s="16">
        <f>IFERROR('QTR BS'!O4/'QTR P&amp;L'!R3*ASSUMPTIONS!$B$2,"")</f>
        <v>-65.59823642876826</v>
      </c>
      <c r="P4" s="16">
        <f>IFERROR('QTR BS'!P4/'QTR P&amp;L'!S3*ASSUMPTIONS!$B$2,"")</f>
        <v>-65.658759460956247</v>
      </c>
      <c r="Q4" s="17">
        <f t="shared" ref="Q4:AL4" si="1">P4</f>
        <v>-65.658759460956247</v>
      </c>
      <c r="R4" s="17">
        <f t="shared" si="1"/>
        <v>-65.658759460956247</v>
      </c>
      <c r="S4" s="17">
        <f t="shared" si="1"/>
        <v>-65.658759460956247</v>
      </c>
      <c r="T4" s="17">
        <f t="shared" si="1"/>
        <v>-65.658759460956247</v>
      </c>
      <c r="U4" s="17">
        <f t="shared" si="1"/>
        <v>-65.658759460956247</v>
      </c>
      <c r="V4" s="17">
        <f t="shared" si="1"/>
        <v>-65.658759460956247</v>
      </c>
      <c r="W4" s="17">
        <f t="shared" si="1"/>
        <v>-65.658759460956247</v>
      </c>
      <c r="X4" s="17">
        <f t="shared" si="1"/>
        <v>-65.658759460956247</v>
      </c>
      <c r="Y4" s="17">
        <f t="shared" si="1"/>
        <v>-65.658759460956247</v>
      </c>
      <c r="Z4" s="17">
        <f t="shared" si="1"/>
        <v>-65.658759460956247</v>
      </c>
      <c r="AA4" s="17">
        <f t="shared" si="1"/>
        <v>-65.658759460956247</v>
      </c>
      <c r="AB4" s="17">
        <f t="shared" si="1"/>
        <v>-65.658759460956247</v>
      </c>
      <c r="AC4" s="17">
        <f t="shared" si="1"/>
        <v>-65.658759460956247</v>
      </c>
      <c r="AD4" s="17">
        <f t="shared" si="1"/>
        <v>-65.658759460956247</v>
      </c>
      <c r="AE4" s="17">
        <f t="shared" si="1"/>
        <v>-65.658759460956247</v>
      </c>
      <c r="AF4" s="17">
        <f t="shared" si="1"/>
        <v>-65.658759460956247</v>
      </c>
      <c r="AG4" s="17">
        <f t="shared" si="1"/>
        <v>-65.658759460956247</v>
      </c>
      <c r="AH4" s="17">
        <f t="shared" si="1"/>
        <v>-65.658759460956247</v>
      </c>
      <c r="AI4" s="17">
        <f t="shared" si="1"/>
        <v>-65.658759460956247</v>
      </c>
      <c r="AJ4" s="17">
        <f t="shared" si="1"/>
        <v>-65.658759460956247</v>
      </c>
      <c r="AK4" s="17">
        <f t="shared" si="1"/>
        <v>-65.658759460956247</v>
      </c>
      <c r="AL4" s="17">
        <f t="shared" si="1"/>
        <v>-65.658759460956247</v>
      </c>
    </row>
    <row r="5" spans="1:38" x14ac:dyDescent="0.25">
      <c r="A5" s="3" t="s">
        <v>135</v>
      </c>
      <c r="B5" s="13">
        <f>IFERROR('QTR BS'!B5/'QTR P&amp;L'!E2,"")</f>
        <v>0.1215475275429157</v>
      </c>
      <c r="C5" s="13">
        <f>IFERROR('QTR BS'!C5/'QTR P&amp;L'!F2,"")</f>
        <v>0.1213370851930914</v>
      </c>
      <c r="D5" s="13">
        <f>IFERROR('QTR BS'!D5/'QTR P&amp;L'!G2,"")</f>
        <v>8.2029557598806147E-2</v>
      </c>
      <c r="E5" s="13">
        <f>IFERROR('QTR BS'!E5/'QTR P&amp;L'!H2,"")</f>
        <v>8.7452660952760608E-2</v>
      </c>
      <c r="F5" s="13">
        <f>IFERROR('QTR BS'!F5/'QTR P&amp;L'!I2,"")</f>
        <v>9.0400428161338975E-2</v>
      </c>
      <c r="G5" s="13">
        <f>IFERROR('QTR BS'!G5/'QTR P&amp;L'!J2,"")</f>
        <v>8.5729962050203459E-2</v>
      </c>
      <c r="H5" s="13">
        <f>IFERROR('QTR BS'!H5/'QTR P&amp;L'!K2,"")</f>
        <v>8.0966372837087824E-2</v>
      </c>
      <c r="I5" s="13">
        <f>IFERROR('QTR BS'!I5/'QTR P&amp;L'!L2,"")</f>
        <v>0.12022777915325576</v>
      </c>
      <c r="J5" s="13">
        <f>IFERROR('QTR BS'!J5/'QTR P&amp;L'!M2,"")</f>
        <v>0.10203584648353789</v>
      </c>
      <c r="K5" s="13">
        <f>IFERROR('QTR BS'!K5/'QTR P&amp;L'!N2,"")</f>
        <v>7.7839628283571785E-2</v>
      </c>
      <c r="L5" s="13">
        <f>IFERROR('QTR BS'!L5/'QTR P&amp;L'!O2,"")</f>
        <v>9.8619870212960425E-2</v>
      </c>
      <c r="M5" s="13">
        <f>IFERROR('QTR BS'!M5/'QTR P&amp;L'!P2,"")</f>
        <v>9.0008090614886738E-2</v>
      </c>
      <c r="N5" s="13">
        <f>IFERROR('QTR BS'!N5/'QTR P&amp;L'!Q2,"")</f>
        <v>0.10053138015223323</v>
      </c>
      <c r="O5" s="13">
        <f>IFERROR('QTR BS'!O5/'QTR P&amp;L'!R2,"")</f>
        <v>7.2009291521486649E-2</v>
      </c>
      <c r="P5" s="13">
        <f>IFERROR('QTR BS'!P5/'QTR P&amp;L'!S2,"")</f>
        <v>7.5018011527377526E-2</v>
      </c>
      <c r="Q5" s="14">
        <f t="shared" ref="Q5:AL5" si="2">P5</f>
        <v>7.5018011527377526E-2</v>
      </c>
      <c r="R5" s="14">
        <f t="shared" si="2"/>
        <v>7.5018011527377526E-2</v>
      </c>
      <c r="S5" s="14">
        <f t="shared" si="2"/>
        <v>7.5018011527377526E-2</v>
      </c>
      <c r="T5" s="14">
        <f t="shared" si="2"/>
        <v>7.5018011527377526E-2</v>
      </c>
      <c r="U5" s="14">
        <f t="shared" si="2"/>
        <v>7.5018011527377526E-2</v>
      </c>
      <c r="V5" s="14">
        <f t="shared" si="2"/>
        <v>7.5018011527377526E-2</v>
      </c>
      <c r="W5" s="14">
        <f t="shared" si="2"/>
        <v>7.5018011527377526E-2</v>
      </c>
      <c r="X5" s="14">
        <f t="shared" si="2"/>
        <v>7.5018011527377526E-2</v>
      </c>
      <c r="Y5" s="14">
        <f t="shared" si="2"/>
        <v>7.5018011527377526E-2</v>
      </c>
      <c r="Z5" s="14">
        <f t="shared" si="2"/>
        <v>7.5018011527377526E-2</v>
      </c>
      <c r="AA5" s="14">
        <f t="shared" si="2"/>
        <v>7.5018011527377526E-2</v>
      </c>
      <c r="AB5" s="14">
        <f t="shared" si="2"/>
        <v>7.5018011527377526E-2</v>
      </c>
      <c r="AC5" s="14">
        <f t="shared" si="2"/>
        <v>7.5018011527377526E-2</v>
      </c>
      <c r="AD5" s="14">
        <f t="shared" si="2"/>
        <v>7.5018011527377526E-2</v>
      </c>
      <c r="AE5" s="14">
        <f t="shared" si="2"/>
        <v>7.5018011527377526E-2</v>
      </c>
      <c r="AF5" s="14">
        <f t="shared" si="2"/>
        <v>7.5018011527377526E-2</v>
      </c>
      <c r="AG5" s="14">
        <f t="shared" si="2"/>
        <v>7.5018011527377526E-2</v>
      </c>
      <c r="AH5" s="14">
        <f t="shared" si="2"/>
        <v>7.5018011527377526E-2</v>
      </c>
      <c r="AI5" s="14">
        <f t="shared" si="2"/>
        <v>7.5018011527377526E-2</v>
      </c>
      <c r="AJ5" s="14">
        <f t="shared" si="2"/>
        <v>7.5018011527377526E-2</v>
      </c>
      <c r="AK5" s="14">
        <f t="shared" si="2"/>
        <v>7.5018011527377526E-2</v>
      </c>
      <c r="AL5" s="14">
        <f t="shared" si="2"/>
        <v>7.5018011527377526E-2</v>
      </c>
    </row>
    <row r="6" spans="1:38" x14ac:dyDescent="0.25">
      <c r="A6" s="3" t="s">
        <v>36</v>
      </c>
      <c r="B6" s="4">
        <f>'QTR BS'!B7</f>
        <v>21195</v>
      </c>
      <c r="C6" s="4">
        <f>'QTR BS'!C7</f>
        <v>20593</v>
      </c>
      <c r="D6" s="4">
        <f>'QTR BS'!D7</f>
        <v>21167</v>
      </c>
      <c r="E6" s="4">
        <f>'QTR BS'!E7</f>
        <v>21564</v>
      </c>
      <c r="F6" s="4">
        <f>'QTR BS'!F7</f>
        <v>21909</v>
      </c>
      <c r="G6" s="4">
        <f>'QTR BS'!G7</f>
        <v>21636</v>
      </c>
      <c r="H6" s="4">
        <f>'QTR BS'!H7</f>
        <v>22132</v>
      </c>
      <c r="I6" s="4">
        <f>'QTR BS'!I7</f>
        <v>22027</v>
      </c>
      <c r="J6" s="4">
        <f>'QTR BS'!J7</f>
        <v>22152</v>
      </c>
      <c r="K6" s="4">
        <f>'QTR BS'!K7</f>
        <v>22506</v>
      </c>
      <c r="L6" s="4">
        <f>'QTR BS'!L7</f>
        <v>22074</v>
      </c>
      <c r="M6" s="4">
        <f>'QTR BS'!M7</f>
        <v>22728</v>
      </c>
      <c r="N6" s="4">
        <f>'QTR BS'!N7</f>
        <v>23897</v>
      </c>
      <c r="O6" s="4">
        <f>'QTR BS'!O7</f>
        <v>24119</v>
      </c>
      <c r="P6" s="4">
        <f>'QTR BS'!P7</f>
        <v>24487</v>
      </c>
      <c r="Q6" s="4">
        <f>P6-'QTR CF'!T15-'QTR CF'!T3</f>
        <v>24816.871126953658</v>
      </c>
      <c r="R6" s="4">
        <f>Q6-'QTR CF'!U15-'QTR CF'!U3</f>
        <v>25165.307513024403</v>
      </c>
      <c r="S6" s="4">
        <f>R6-'QTR CF'!V15-'QTR CF'!V3</f>
        <v>25538.714422813267</v>
      </c>
      <c r="T6" s="4">
        <f>S6-'QTR CF'!W15-'QTR CF'!W3</f>
        <v>25909.152225573525</v>
      </c>
      <c r="U6" s="4">
        <f>T6-'QTR CF'!X15-'QTR CF'!X3</f>
        <v>26243.937802183838</v>
      </c>
      <c r="V6" s="4">
        <f>U6-'QTR CF'!Y15-'QTR CF'!Y3</f>
        <v>26597.56522480787</v>
      </c>
      <c r="W6" s="4">
        <f>V6-'QTR CF'!Z15-'QTR CF'!Z3</f>
        <v>26976.535184253586</v>
      </c>
      <c r="X6" s="4">
        <f>W6-'QTR CF'!AA15-'QTR CF'!AA3</f>
        <v>27352.491802647692</v>
      </c>
      <c r="Y6" s="4">
        <f>X6-'QTR CF'!AB15-'QTR CF'!AB3</f>
        <v>27692.265044826734</v>
      </c>
      <c r="Z6" s="4">
        <f>Y6-'QTR CF'!AC15-'QTR CF'!AC3</f>
        <v>28051.160840532542</v>
      </c>
      <c r="AA6" s="4">
        <f>Z6-'QTR CF'!AD15-'QTR CF'!AD3</f>
        <v>28435.7767284482</v>
      </c>
      <c r="AB6" s="4">
        <f>AA6-'QTR CF'!AE15-'QTR CF'!AE3</f>
        <v>28817.334382286805</v>
      </c>
      <c r="AC6" s="4">
        <f>AB6-'QTR CF'!AF15-'QTR CF'!AF3</f>
        <v>29162.169596723885</v>
      </c>
      <c r="AD6" s="4">
        <f>AC6-'QTR CF'!AG15-'QTR CF'!AG3</f>
        <v>29526.412254206502</v>
      </c>
      <c r="AE6" s="4">
        <f>AD6-'QTR CF'!AH15-'QTR CF'!AH3</f>
        <v>29916.758184141196</v>
      </c>
      <c r="AF6" s="4">
        <f>AE6-'QTR CF'!AI15-'QTR CF'!AI3</f>
        <v>30304.000318153063</v>
      </c>
      <c r="AG6" s="4">
        <f>AF6-'QTR CF'!AJ15-'QTR CF'!AJ3</f>
        <v>30653.972918565214</v>
      </c>
      <c r="AH6" s="4">
        <f>AG6-'QTR CF'!AK15-'QTR CF'!AK3</f>
        <v>31023.64209585129</v>
      </c>
      <c r="AI6" s="4">
        <f>AH6-'QTR CF'!AL15-'QTR CF'!AL3</f>
        <v>31419.803434485315</v>
      </c>
      <c r="AJ6" s="4">
        <f>AI6-'QTR CF'!AM15-'QTR CF'!AM3</f>
        <v>31812.814736566273</v>
      </c>
      <c r="AK6" s="4">
        <f>AJ6-'QTR CF'!AN15-'QTR CF'!AN3</f>
        <v>32168.001260190857</v>
      </c>
      <c r="AL6" s="4">
        <f>AK6-'QTR CF'!AO15-'QTR CF'!AO3</f>
        <v>32543.177802059476</v>
      </c>
    </row>
    <row r="7" spans="1:38" x14ac:dyDescent="0.25">
      <c r="A7" s="3" t="s">
        <v>37</v>
      </c>
      <c r="B7" s="4">
        <f>'QTR BS'!B8</f>
        <v>39700</v>
      </c>
      <c r="C7" s="4">
        <f>'QTR BS'!C8</f>
        <v>38761</v>
      </c>
      <c r="D7" s="4">
        <f>'QTR BS'!D8</f>
        <v>39951</v>
      </c>
      <c r="E7" s="4">
        <f>'QTR BS'!E8</f>
        <v>40718</v>
      </c>
      <c r="F7" s="4">
        <f>'QTR BS'!F8</f>
        <v>40659</v>
      </c>
      <c r="G7" s="4">
        <f>'QTR BS'!G8</f>
        <v>40239</v>
      </c>
      <c r="H7" s="4">
        <f>'QTR BS'!H8</f>
        <v>40916</v>
      </c>
      <c r="I7" s="4">
        <f>'QTR BS'!I8</f>
        <v>40567</v>
      </c>
      <c r="J7" s="4">
        <f>'QTR BS'!J8</f>
        <v>40303</v>
      </c>
      <c r="K7" s="4">
        <f>'QTR BS'!K8</f>
        <v>40970</v>
      </c>
      <c r="L7" s="4">
        <f>'QTR BS'!L8</f>
        <v>39898</v>
      </c>
      <c r="M7" s="4">
        <f>'QTR BS'!M8</f>
        <v>40476</v>
      </c>
      <c r="N7" s="4">
        <f>'QTR BS'!N8</f>
        <v>41650</v>
      </c>
      <c r="O7" s="4">
        <f>'QTR BS'!O8</f>
        <v>41643</v>
      </c>
      <c r="P7" s="4">
        <f>'QTR BS'!P8</f>
        <v>41665</v>
      </c>
      <c r="Q7" s="15">
        <f t="shared" ref="Q7:AL7" si="3">P7</f>
        <v>41665</v>
      </c>
      <c r="R7" s="15">
        <f t="shared" si="3"/>
        <v>41665</v>
      </c>
      <c r="S7" s="15">
        <f t="shared" si="3"/>
        <v>41665</v>
      </c>
      <c r="T7" s="15">
        <f t="shared" si="3"/>
        <v>41665</v>
      </c>
      <c r="U7" s="15">
        <f t="shared" si="3"/>
        <v>41665</v>
      </c>
      <c r="V7" s="15">
        <f t="shared" si="3"/>
        <v>41665</v>
      </c>
      <c r="W7" s="15">
        <f t="shared" si="3"/>
        <v>41665</v>
      </c>
      <c r="X7" s="15">
        <f t="shared" si="3"/>
        <v>41665</v>
      </c>
      <c r="Y7" s="15">
        <f t="shared" si="3"/>
        <v>41665</v>
      </c>
      <c r="Z7" s="15">
        <f t="shared" si="3"/>
        <v>41665</v>
      </c>
      <c r="AA7" s="15">
        <f t="shared" si="3"/>
        <v>41665</v>
      </c>
      <c r="AB7" s="15">
        <f t="shared" si="3"/>
        <v>41665</v>
      </c>
      <c r="AC7" s="15">
        <f t="shared" si="3"/>
        <v>41665</v>
      </c>
      <c r="AD7" s="15">
        <f t="shared" si="3"/>
        <v>41665</v>
      </c>
      <c r="AE7" s="15">
        <f t="shared" si="3"/>
        <v>41665</v>
      </c>
      <c r="AF7" s="15">
        <f t="shared" si="3"/>
        <v>41665</v>
      </c>
      <c r="AG7" s="15">
        <f t="shared" si="3"/>
        <v>41665</v>
      </c>
      <c r="AH7" s="15">
        <f t="shared" si="3"/>
        <v>41665</v>
      </c>
      <c r="AI7" s="15">
        <f t="shared" si="3"/>
        <v>41665</v>
      </c>
      <c r="AJ7" s="15">
        <f t="shared" si="3"/>
        <v>41665</v>
      </c>
      <c r="AK7" s="15">
        <f t="shared" si="3"/>
        <v>41665</v>
      </c>
      <c r="AL7" s="15">
        <f t="shared" si="3"/>
        <v>41665</v>
      </c>
    </row>
    <row r="8" spans="1:38" x14ac:dyDescent="0.25">
      <c r="A8" s="3" t="s">
        <v>38</v>
      </c>
      <c r="B8" s="4">
        <f>'QTR BS'!B9</f>
        <v>23679</v>
      </c>
      <c r="C8" s="4">
        <f>'QTR BS'!C9</f>
        <v>23465</v>
      </c>
      <c r="D8" s="4">
        <f>'QTR BS'!D9</f>
        <v>23594</v>
      </c>
      <c r="E8" s="4">
        <f>'QTR BS'!E9</f>
        <v>23832</v>
      </c>
      <c r="F8" s="4">
        <f>'QTR BS'!F9</f>
        <v>23783</v>
      </c>
      <c r="G8" s="4">
        <f>'QTR BS'!G9</f>
        <v>23637</v>
      </c>
      <c r="H8" s="4">
        <f>'QTR BS'!H9</f>
        <v>22302</v>
      </c>
      <c r="I8" s="4">
        <f>'QTR BS'!I9</f>
        <v>22193</v>
      </c>
      <c r="J8" s="4">
        <f>'QTR BS'!J9</f>
        <v>22047</v>
      </c>
      <c r="K8" s="4">
        <f>'QTR BS'!K9</f>
        <v>22053</v>
      </c>
      <c r="L8" s="4">
        <f>'QTR BS'!L9</f>
        <v>21833</v>
      </c>
      <c r="M8" s="4">
        <f>'QTR BS'!M9</f>
        <v>21836</v>
      </c>
      <c r="N8" s="4">
        <f>'QTR BS'!N9</f>
        <v>21910</v>
      </c>
      <c r="O8" s="4">
        <f>'QTR BS'!O9</f>
        <v>21818</v>
      </c>
      <c r="P8" s="4">
        <f>'QTR BS'!P9</f>
        <v>21737</v>
      </c>
      <c r="Q8" s="15">
        <f t="shared" ref="Q8:AL8" si="4">P8</f>
        <v>21737</v>
      </c>
      <c r="R8" s="15">
        <f t="shared" si="4"/>
        <v>21737</v>
      </c>
      <c r="S8" s="15">
        <f t="shared" si="4"/>
        <v>21737</v>
      </c>
      <c r="T8" s="15">
        <f t="shared" si="4"/>
        <v>21737</v>
      </c>
      <c r="U8" s="15">
        <f t="shared" si="4"/>
        <v>21737</v>
      </c>
      <c r="V8" s="15">
        <f t="shared" si="4"/>
        <v>21737</v>
      </c>
      <c r="W8" s="15">
        <f t="shared" si="4"/>
        <v>21737</v>
      </c>
      <c r="X8" s="15">
        <f t="shared" si="4"/>
        <v>21737</v>
      </c>
      <c r="Y8" s="15">
        <f t="shared" si="4"/>
        <v>21737</v>
      </c>
      <c r="Z8" s="15">
        <f t="shared" si="4"/>
        <v>21737</v>
      </c>
      <c r="AA8" s="15">
        <f t="shared" si="4"/>
        <v>21737</v>
      </c>
      <c r="AB8" s="15">
        <f t="shared" si="4"/>
        <v>21737</v>
      </c>
      <c r="AC8" s="15">
        <f t="shared" si="4"/>
        <v>21737</v>
      </c>
      <c r="AD8" s="15">
        <f t="shared" si="4"/>
        <v>21737</v>
      </c>
      <c r="AE8" s="15">
        <f t="shared" si="4"/>
        <v>21737</v>
      </c>
      <c r="AF8" s="15">
        <f t="shared" si="4"/>
        <v>21737</v>
      </c>
      <c r="AG8" s="15">
        <f t="shared" si="4"/>
        <v>21737</v>
      </c>
      <c r="AH8" s="15">
        <f t="shared" si="4"/>
        <v>21737</v>
      </c>
      <c r="AI8" s="15">
        <f t="shared" si="4"/>
        <v>21737</v>
      </c>
      <c r="AJ8" s="15">
        <f t="shared" si="4"/>
        <v>21737</v>
      </c>
      <c r="AK8" s="15">
        <f t="shared" si="4"/>
        <v>21737</v>
      </c>
      <c r="AL8" s="15">
        <f t="shared" si="4"/>
        <v>21737</v>
      </c>
    </row>
    <row r="9" spans="1:38" x14ac:dyDescent="0.25">
      <c r="A9" s="3" t="s">
        <v>136</v>
      </c>
      <c r="B9" s="13">
        <f>IFERROR('QTR BS'!B10/'QTR P&amp;L'!E2,"")</f>
        <v>0.56269536254163466</v>
      </c>
      <c r="C9" s="13">
        <f>IFERROR('QTR BS'!C10/'QTR P&amp;L'!F2,"")</f>
        <v>0.53085581214826316</v>
      </c>
      <c r="D9" s="13">
        <f>IFERROR('QTR BS'!D10/'QTR P&amp;L'!G2,"")</f>
        <v>0.53612862850815968</v>
      </c>
      <c r="E9" s="13">
        <f>IFERROR('QTR BS'!E10/'QTR P&amp;L'!H2,"")</f>
        <v>0.56966314530595974</v>
      </c>
      <c r="F9" s="13">
        <f>IFERROR('QTR BS'!F10/'QTR P&amp;L'!I2,"")</f>
        <v>0.57558507273877291</v>
      </c>
      <c r="G9" s="13">
        <f>IFERROR('QTR BS'!G10/'QTR P&amp;L'!J2,"")</f>
        <v>0.55228384618901738</v>
      </c>
      <c r="H9" s="13">
        <f>IFERROR('QTR BS'!H10/'QTR P&amp;L'!K2,"")</f>
        <v>0.57124201296581312</v>
      </c>
      <c r="I9" s="13">
        <f>IFERROR('QTR BS'!I10/'QTR P&amp;L'!L2,"")</f>
        <v>0.61168606090616484</v>
      </c>
      <c r="J9" s="13">
        <f>IFERROR('QTR BS'!J10/'QTR P&amp;L'!M2,"")</f>
        <v>0.64085330216247804</v>
      </c>
      <c r="K9" s="13">
        <f>IFERROR('QTR BS'!K10/'QTR P&amp;L'!N2,"")</f>
        <v>0.62119887748999403</v>
      </c>
      <c r="L9" s="13">
        <f>IFERROR('QTR BS'!L10/'QTR P&amp;L'!O2,"")</f>
        <v>0.60286993876245321</v>
      </c>
      <c r="M9" s="13">
        <f>IFERROR('QTR BS'!M10/'QTR P&amp;L'!P2,"")</f>
        <v>0.68305016181229772</v>
      </c>
      <c r="N9" s="13">
        <f>IFERROR('QTR BS'!N10/'QTR P&amp;L'!Q2,"")</f>
        <v>0.59270429412609504</v>
      </c>
      <c r="O9" s="13">
        <f>IFERROR('QTR BS'!O10/'QTR P&amp;L'!R2,"")</f>
        <v>0.57629768605378362</v>
      </c>
      <c r="P9" s="13">
        <f>IFERROR('QTR BS'!P10/'QTR P&amp;L'!S2,"")</f>
        <v>0.57677413544668588</v>
      </c>
      <c r="Q9" s="14">
        <f t="shared" ref="Q9:AL9" si="5">P9</f>
        <v>0.57677413544668588</v>
      </c>
      <c r="R9" s="14">
        <f t="shared" si="5"/>
        <v>0.57677413544668588</v>
      </c>
      <c r="S9" s="14">
        <f t="shared" si="5"/>
        <v>0.57677413544668588</v>
      </c>
      <c r="T9" s="14">
        <f t="shared" si="5"/>
        <v>0.57677413544668588</v>
      </c>
      <c r="U9" s="14">
        <f t="shared" si="5"/>
        <v>0.57677413544668588</v>
      </c>
      <c r="V9" s="14">
        <f t="shared" si="5"/>
        <v>0.57677413544668588</v>
      </c>
      <c r="W9" s="14">
        <f t="shared" si="5"/>
        <v>0.57677413544668588</v>
      </c>
      <c r="X9" s="14">
        <f t="shared" si="5"/>
        <v>0.57677413544668588</v>
      </c>
      <c r="Y9" s="14">
        <f t="shared" si="5"/>
        <v>0.57677413544668588</v>
      </c>
      <c r="Z9" s="14">
        <f t="shared" si="5"/>
        <v>0.57677413544668588</v>
      </c>
      <c r="AA9" s="14">
        <f t="shared" si="5"/>
        <v>0.57677413544668588</v>
      </c>
      <c r="AB9" s="14">
        <f t="shared" si="5"/>
        <v>0.57677413544668588</v>
      </c>
      <c r="AC9" s="14">
        <f t="shared" si="5"/>
        <v>0.57677413544668588</v>
      </c>
      <c r="AD9" s="14">
        <f t="shared" si="5"/>
        <v>0.57677413544668588</v>
      </c>
      <c r="AE9" s="14">
        <f t="shared" si="5"/>
        <v>0.57677413544668588</v>
      </c>
      <c r="AF9" s="14">
        <f t="shared" si="5"/>
        <v>0.57677413544668588</v>
      </c>
      <c r="AG9" s="14">
        <f t="shared" si="5"/>
        <v>0.57677413544668588</v>
      </c>
      <c r="AH9" s="14">
        <f t="shared" si="5"/>
        <v>0.57677413544668588</v>
      </c>
      <c r="AI9" s="14">
        <f t="shared" si="5"/>
        <v>0.57677413544668588</v>
      </c>
      <c r="AJ9" s="14">
        <f t="shared" si="5"/>
        <v>0.57677413544668588</v>
      </c>
      <c r="AK9" s="14">
        <f t="shared" si="5"/>
        <v>0.57677413544668588</v>
      </c>
      <c r="AL9" s="14">
        <f t="shared" si="5"/>
        <v>0.57677413544668588</v>
      </c>
    </row>
    <row r="10" spans="1:38" x14ac:dyDescent="0.25">
      <c r="A10" s="3" t="s">
        <v>137</v>
      </c>
      <c r="B10" s="16">
        <f>IFERROR('QTR BS'!B12/'QTR P&amp;L'!E3*ASSUMPTIONS!$B$2,"")</f>
        <v>-125.37141270135162</v>
      </c>
      <c r="C10" s="16">
        <f>IFERROR('QTR BS'!C12/'QTR P&amp;L'!F3*ASSUMPTIONS!$B$2,"")</f>
        <v>-124.55236953715657</v>
      </c>
      <c r="D10" s="16">
        <f>IFERROR('QTR BS'!D12/'QTR P&amp;L'!G3*ASSUMPTIONS!$B$2,"")</f>
        <v>-118.19060291823438</v>
      </c>
      <c r="E10" s="16">
        <f>IFERROR('QTR BS'!E12/'QTR P&amp;L'!H3*ASSUMPTIONS!$B$2,"")</f>
        <v>-120.61610918877355</v>
      </c>
      <c r="F10" s="16">
        <f>IFERROR('QTR BS'!F12/'QTR P&amp;L'!I3*ASSUMPTIONS!$B$2,"")</f>
        <v>-125.1689437482333</v>
      </c>
      <c r="G10" s="16">
        <f>IFERROR('QTR BS'!G12/'QTR P&amp;L'!J3*ASSUMPTIONS!$B$2,"")</f>
        <v>-125.09141986477478</v>
      </c>
      <c r="H10" s="16">
        <f>IFERROR('QTR BS'!H12/'QTR P&amp;L'!K3*ASSUMPTIONS!$B$2,"")</f>
        <v>-127.69065457413249</v>
      </c>
      <c r="I10" s="16">
        <f>IFERROR('QTR BS'!I12/'QTR P&amp;L'!L3*ASSUMPTIONS!$B$2,"")</f>
        <v>-126.42120750887874</v>
      </c>
      <c r="J10" s="16">
        <f>IFERROR('QTR BS'!J12/'QTR P&amp;L'!M3*ASSUMPTIONS!$B$2,"")</f>
        <v>-135.1105527638191</v>
      </c>
      <c r="K10" s="16">
        <f>IFERROR('QTR BS'!K12/'QTR P&amp;L'!N3*ASSUMPTIONS!$B$2,"")</f>
        <v>-134.04183859514441</v>
      </c>
      <c r="L10" s="16">
        <f>IFERROR('QTR BS'!L12/'QTR P&amp;L'!O3*ASSUMPTIONS!$B$2,"")</f>
        <v>-126.61211364945288</v>
      </c>
      <c r="M10" s="16">
        <f>IFERROR('QTR BS'!M12/'QTR P&amp;L'!P3*ASSUMPTIONS!$B$2,"")</f>
        <v>-136.22776975448733</v>
      </c>
      <c r="N10" s="16">
        <f>IFERROR('QTR BS'!N12/'QTR P&amp;L'!Q3*ASSUMPTIONS!$B$2,"")</f>
        <v>-130.34117204402219</v>
      </c>
      <c r="O10" s="16">
        <f>IFERROR('QTR BS'!O12/'QTR P&amp;L'!R3*ASSUMPTIONS!$B$2,"")</f>
        <v>-130.46927528244697</v>
      </c>
      <c r="P10" s="16">
        <f>IFERROR('QTR BS'!P12/'QTR P&amp;L'!S3*ASSUMPTIONS!$B$2,"")</f>
        <v>-127.44535720878714</v>
      </c>
      <c r="Q10" s="17">
        <f t="shared" ref="Q10:AL10" si="6">P10</f>
        <v>-127.44535720878714</v>
      </c>
      <c r="R10" s="17">
        <f t="shared" si="6"/>
        <v>-127.44535720878714</v>
      </c>
      <c r="S10" s="17">
        <f t="shared" si="6"/>
        <v>-127.44535720878714</v>
      </c>
      <c r="T10" s="17">
        <f t="shared" si="6"/>
        <v>-127.44535720878714</v>
      </c>
      <c r="U10" s="17">
        <f t="shared" si="6"/>
        <v>-127.44535720878714</v>
      </c>
      <c r="V10" s="17">
        <f t="shared" si="6"/>
        <v>-127.44535720878714</v>
      </c>
      <c r="W10" s="17">
        <f t="shared" si="6"/>
        <v>-127.44535720878714</v>
      </c>
      <c r="X10" s="17">
        <f t="shared" si="6"/>
        <v>-127.44535720878714</v>
      </c>
      <c r="Y10" s="17">
        <f t="shared" si="6"/>
        <v>-127.44535720878714</v>
      </c>
      <c r="Z10" s="17">
        <f t="shared" si="6"/>
        <v>-127.44535720878714</v>
      </c>
      <c r="AA10" s="17">
        <f t="shared" si="6"/>
        <v>-127.44535720878714</v>
      </c>
      <c r="AB10" s="17">
        <f t="shared" si="6"/>
        <v>-127.44535720878714</v>
      </c>
      <c r="AC10" s="17">
        <f t="shared" si="6"/>
        <v>-127.44535720878714</v>
      </c>
      <c r="AD10" s="17">
        <f t="shared" si="6"/>
        <v>-127.44535720878714</v>
      </c>
      <c r="AE10" s="17">
        <f t="shared" si="6"/>
        <v>-127.44535720878714</v>
      </c>
      <c r="AF10" s="17">
        <f t="shared" si="6"/>
        <v>-127.44535720878714</v>
      </c>
      <c r="AG10" s="17">
        <f t="shared" si="6"/>
        <v>-127.44535720878714</v>
      </c>
      <c r="AH10" s="17">
        <f t="shared" si="6"/>
        <v>-127.44535720878714</v>
      </c>
      <c r="AI10" s="17">
        <f t="shared" si="6"/>
        <v>-127.44535720878714</v>
      </c>
      <c r="AJ10" s="17">
        <f t="shared" si="6"/>
        <v>-127.44535720878714</v>
      </c>
      <c r="AK10" s="17">
        <f t="shared" si="6"/>
        <v>-127.44535720878714</v>
      </c>
      <c r="AL10" s="17">
        <f t="shared" si="6"/>
        <v>-127.44535720878714</v>
      </c>
    </row>
    <row r="11" spans="1:38" x14ac:dyDescent="0.25">
      <c r="A11" s="3" t="s">
        <v>138</v>
      </c>
      <c r="B11" s="13">
        <f>IFERROR('QTR BS'!B13/'QTR P&amp;L'!E2,"")</f>
        <v>0.48957212400717398</v>
      </c>
      <c r="C11" s="13">
        <f>IFERROR('QTR BS'!C13/'QTR P&amp;L'!F2,"")</f>
        <v>0.48787114302348145</v>
      </c>
      <c r="D11" s="13">
        <f>IFERROR('QTR BS'!D13/'QTR P&amp;L'!G2,"")</f>
        <v>0.49549896500264767</v>
      </c>
      <c r="E11" s="13">
        <f>IFERROR('QTR BS'!E13/'QTR P&amp;L'!H2,"")</f>
        <v>0.5243671516842735</v>
      </c>
      <c r="F11" s="13">
        <f>IFERROR('QTR BS'!F13/'QTR P&amp;L'!I2,"")</f>
        <v>0.53174719019121297</v>
      </c>
      <c r="G11" s="13">
        <f>IFERROR('QTR BS'!G13/'QTR P&amp;L'!J2,"")</f>
        <v>0.49892551780897076</v>
      </c>
      <c r="H11" s="13">
        <f>IFERROR('QTR BS'!H13/'QTR P&amp;L'!K2,"")</f>
        <v>0.51769973415419057</v>
      </c>
      <c r="I11" s="13">
        <f>IFERROR('QTR BS'!I13/'QTR P&amp;L'!L2,"")</f>
        <v>0.54077742015350339</v>
      </c>
      <c r="J11" s="13">
        <f>IFERROR('QTR BS'!J13/'QTR P&amp;L'!M2,"")</f>
        <v>0.53930450029222676</v>
      </c>
      <c r="K11" s="13">
        <f>IFERROR('QTR BS'!K13/'QTR P&amp;L'!N2,"")</f>
        <v>0.49045406449832085</v>
      </c>
      <c r="L11" s="13">
        <f>IFERROR('QTR BS'!L13/'QTR P&amp;L'!O2,"")</f>
        <v>0.45146695914450236</v>
      </c>
      <c r="M11" s="13">
        <f>IFERROR('QTR BS'!M13/'QTR P&amp;L'!P2,"")</f>
        <v>0.49792677993527507</v>
      </c>
      <c r="N11" s="13">
        <f>IFERROR('QTR BS'!N13/'QTR P&amp;L'!Q2,"")</f>
        <v>0.54181626693475038</v>
      </c>
      <c r="O11" s="13">
        <f>IFERROR('QTR BS'!O13/'QTR P&amp;L'!R2,"")</f>
        <v>0.48047887072277318</v>
      </c>
      <c r="P11" s="13">
        <f>IFERROR('QTR BS'!P13/'QTR P&amp;L'!S2,"")</f>
        <v>0.4711365273775216</v>
      </c>
      <c r="Q11" s="14">
        <f t="shared" ref="Q11:AL11" si="7">P11</f>
        <v>0.4711365273775216</v>
      </c>
      <c r="R11" s="14">
        <f t="shared" si="7"/>
        <v>0.4711365273775216</v>
      </c>
      <c r="S11" s="14">
        <f t="shared" si="7"/>
        <v>0.4711365273775216</v>
      </c>
      <c r="T11" s="14">
        <f t="shared" si="7"/>
        <v>0.4711365273775216</v>
      </c>
      <c r="U11" s="14">
        <f t="shared" si="7"/>
        <v>0.4711365273775216</v>
      </c>
      <c r="V11" s="14">
        <f t="shared" si="7"/>
        <v>0.4711365273775216</v>
      </c>
      <c r="W11" s="14">
        <f t="shared" si="7"/>
        <v>0.4711365273775216</v>
      </c>
      <c r="X11" s="14">
        <f t="shared" si="7"/>
        <v>0.4711365273775216</v>
      </c>
      <c r="Y11" s="14">
        <f t="shared" si="7"/>
        <v>0.4711365273775216</v>
      </c>
      <c r="Z11" s="14">
        <f t="shared" si="7"/>
        <v>0.4711365273775216</v>
      </c>
      <c r="AA11" s="14">
        <f t="shared" si="7"/>
        <v>0.4711365273775216</v>
      </c>
      <c r="AB11" s="14">
        <f t="shared" si="7"/>
        <v>0.4711365273775216</v>
      </c>
      <c r="AC11" s="14">
        <f t="shared" si="7"/>
        <v>0.4711365273775216</v>
      </c>
      <c r="AD11" s="14">
        <f t="shared" si="7"/>
        <v>0.4711365273775216</v>
      </c>
      <c r="AE11" s="14">
        <f t="shared" si="7"/>
        <v>0.4711365273775216</v>
      </c>
      <c r="AF11" s="14">
        <f t="shared" si="7"/>
        <v>0.4711365273775216</v>
      </c>
      <c r="AG11" s="14">
        <f t="shared" si="7"/>
        <v>0.4711365273775216</v>
      </c>
      <c r="AH11" s="14">
        <f t="shared" si="7"/>
        <v>0.4711365273775216</v>
      </c>
      <c r="AI11" s="14">
        <f t="shared" si="7"/>
        <v>0.4711365273775216</v>
      </c>
      <c r="AJ11" s="14">
        <f t="shared" si="7"/>
        <v>0.4711365273775216</v>
      </c>
      <c r="AK11" s="14">
        <f t="shared" si="7"/>
        <v>0.4711365273775216</v>
      </c>
      <c r="AL11" s="14">
        <f t="shared" si="7"/>
        <v>0.4711365273775216</v>
      </c>
    </row>
    <row r="12" spans="1:38" x14ac:dyDescent="0.25">
      <c r="A12" s="3" t="s">
        <v>43</v>
      </c>
      <c r="B12" s="4">
        <f>'QTR BS'!B14</f>
        <v>8645</v>
      </c>
      <c r="C12" s="4">
        <f>'QTR BS'!C14</f>
        <v>11717</v>
      </c>
      <c r="D12" s="4">
        <f>'QTR BS'!D14</f>
        <v>14300</v>
      </c>
      <c r="E12" s="4">
        <f>'QTR BS'!E14</f>
        <v>13717</v>
      </c>
      <c r="F12" s="4">
        <f>'QTR BS'!F14</f>
        <v>10229</v>
      </c>
      <c r="G12" s="4">
        <f>'QTR BS'!G14</f>
        <v>11811</v>
      </c>
      <c r="H12" s="4">
        <f>'QTR BS'!H14</f>
        <v>10616</v>
      </c>
      <c r="I12" s="4">
        <f>'QTR BS'!I14</f>
        <v>7729</v>
      </c>
      <c r="J12" s="4">
        <f>'QTR BS'!J14</f>
        <v>7191</v>
      </c>
      <c r="K12" s="4">
        <f>'QTR BS'!K14</f>
        <v>10409</v>
      </c>
      <c r="L12" s="4">
        <f>'QTR BS'!L14</f>
        <v>9424</v>
      </c>
      <c r="M12" s="4">
        <f>'QTR BS'!M14</f>
        <v>9889</v>
      </c>
      <c r="N12" s="4">
        <f>'QTR BS'!N14</f>
        <v>9513</v>
      </c>
      <c r="O12" s="4">
        <f>'QTR BS'!O14</f>
        <v>11631</v>
      </c>
      <c r="P12" s="4">
        <f>'QTR BS'!P14</f>
        <v>11062</v>
      </c>
      <c r="Q12" s="15">
        <f t="shared" ref="Q12:AL12" si="8">P12</f>
        <v>11062</v>
      </c>
      <c r="R12" s="15">
        <f t="shared" si="8"/>
        <v>11062</v>
      </c>
      <c r="S12" s="15">
        <f t="shared" si="8"/>
        <v>11062</v>
      </c>
      <c r="T12" s="15">
        <f t="shared" si="8"/>
        <v>11062</v>
      </c>
      <c r="U12" s="15">
        <f t="shared" si="8"/>
        <v>11062</v>
      </c>
      <c r="V12" s="15">
        <f t="shared" si="8"/>
        <v>11062</v>
      </c>
      <c r="W12" s="15">
        <f t="shared" si="8"/>
        <v>11062</v>
      </c>
      <c r="X12" s="15">
        <f t="shared" si="8"/>
        <v>11062</v>
      </c>
      <c r="Y12" s="15">
        <f t="shared" si="8"/>
        <v>11062</v>
      </c>
      <c r="Z12" s="15">
        <f t="shared" si="8"/>
        <v>11062</v>
      </c>
      <c r="AA12" s="15">
        <f t="shared" si="8"/>
        <v>11062</v>
      </c>
      <c r="AB12" s="15">
        <f t="shared" si="8"/>
        <v>11062</v>
      </c>
      <c r="AC12" s="15">
        <f t="shared" si="8"/>
        <v>11062</v>
      </c>
      <c r="AD12" s="15">
        <f t="shared" si="8"/>
        <v>11062</v>
      </c>
      <c r="AE12" s="15">
        <f t="shared" si="8"/>
        <v>11062</v>
      </c>
      <c r="AF12" s="15">
        <f t="shared" si="8"/>
        <v>11062</v>
      </c>
      <c r="AG12" s="15">
        <f t="shared" si="8"/>
        <v>11062</v>
      </c>
      <c r="AH12" s="15">
        <f t="shared" si="8"/>
        <v>11062</v>
      </c>
      <c r="AI12" s="15">
        <f t="shared" si="8"/>
        <v>11062</v>
      </c>
      <c r="AJ12" s="15">
        <f t="shared" si="8"/>
        <v>11062</v>
      </c>
      <c r="AK12" s="15">
        <f t="shared" si="8"/>
        <v>11062</v>
      </c>
      <c r="AL12" s="15">
        <f t="shared" si="8"/>
        <v>11062</v>
      </c>
    </row>
    <row r="13" spans="1:38" x14ac:dyDescent="0.25">
      <c r="A13" s="3" t="s">
        <v>45</v>
      </c>
      <c r="B13" s="4">
        <f>'QTR BS'!B16</f>
        <v>22848</v>
      </c>
      <c r="C13" s="4">
        <f>'QTR BS'!C16</f>
        <v>21286</v>
      </c>
      <c r="D13" s="4">
        <f>'QTR BS'!D16</f>
        <v>20582</v>
      </c>
      <c r="E13" s="4">
        <f>'QTR BS'!E16</f>
        <v>22874</v>
      </c>
      <c r="F13" s="4">
        <f>'QTR BS'!F16</f>
        <v>24378</v>
      </c>
      <c r="G13" s="4">
        <f>'QTR BS'!G16</f>
        <v>24069</v>
      </c>
      <c r="H13" s="4">
        <f>'QTR BS'!H16</f>
        <v>23096</v>
      </c>
      <c r="I13" s="4">
        <f>'QTR BS'!I16</f>
        <v>24253</v>
      </c>
      <c r="J13" s="4">
        <f>'QTR BS'!J16</f>
        <v>25269</v>
      </c>
      <c r="K13" s="4">
        <f>'QTR BS'!K16</f>
        <v>25744</v>
      </c>
      <c r="L13" s="4">
        <f>'QTR BS'!L16</f>
        <v>25263</v>
      </c>
      <c r="M13" s="4">
        <f>'QTR BS'!M16</f>
        <v>24252</v>
      </c>
      <c r="N13" s="4">
        <f>'QTR BS'!N16</f>
        <v>24995</v>
      </c>
      <c r="O13" s="4">
        <f>'QTR BS'!O16</f>
        <v>24315</v>
      </c>
      <c r="P13" s="4">
        <f>'QTR BS'!P16</f>
        <v>25577</v>
      </c>
      <c r="Q13" s="15">
        <f t="shared" ref="Q13:AL13" si="9">P13</f>
        <v>25577</v>
      </c>
      <c r="R13" s="15">
        <f t="shared" si="9"/>
        <v>25577</v>
      </c>
      <c r="S13" s="15">
        <f t="shared" si="9"/>
        <v>25577</v>
      </c>
      <c r="T13" s="15">
        <f t="shared" si="9"/>
        <v>25577</v>
      </c>
      <c r="U13" s="15">
        <f t="shared" si="9"/>
        <v>25577</v>
      </c>
      <c r="V13" s="15">
        <f t="shared" si="9"/>
        <v>25577</v>
      </c>
      <c r="W13" s="15">
        <f t="shared" si="9"/>
        <v>25577</v>
      </c>
      <c r="X13" s="15">
        <f t="shared" si="9"/>
        <v>25577</v>
      </c>
      <c r="Y13" s="15">
        <f t="shared" si="9"/>
        <v>25577</v>
      </c>
      <c r="Z13" s="15">
        <f t="shared" si="9"/>
        <v>25577</v>
      </c>
      <c r="AA13" s="15">
        <f t="shared" si="9"/>
        <v>25577</v>
      </c>
      <c r="AB13" s="15">
        <f t="shared" si="9"/>
        <v>25577</v>
      </c>
      <c r="AC13" s="15">
        <f t="shared" si="9"/>
        <v>25577</v>
      </c>
      <c r="AD13" s="15">
        <f t="shared" si="9"/>
        <v>25577</v>
      </c>
      <c r="AE13" s="15">
        <f t="shared" si="9"/>
        <v>25577</v>
      </c>
      <c r="AF13" s="15">
        <f t="shared" si="9"/>
        <v>25577</v>
      </c>
      <c r="AG13" s="15">
        <f t="shared" si="9"/>
        <v>25577</v>
      </c>
      <c r="AH13" s="15">
        <f t="shared" si="9"/>
        <v>25577</v>
      </c>
      <c r="AI13" s="15">
        <f t="shared" si="9"/>
        <v>25577</v>
      </c>
      <c r="AJ13" s="15">
        <f t="shared" si="9"/>
        <v>25577</v>
      </c>
      <c r="AK13" s="15">
        <f t="shared" si="9"/>
        <v>25577</v>
      </c>
      <c r="AL13" s="15">
        <f t="shared" si="9"/>
        <v>25577</v>
      </c>
    </row>
    <row r="14" spans="1:38" x14ac:dyDescent="0.25">
      <c r="A14" s="3" t="s">
        <v>46</v>
      </c>
      <c r="B14" s="4">
        <f>'QTR BS'!B17</f>
        <v>6809</v>
      </c>
      <c r="C14" s="4">
        <f>'QTR BS'!C17</f>
        <v>6986</v>
      </c>
      <c r="D14" s="4">
        <f>'QTR BS'!D17</f>
        <v>6462</v>
      </c>
      <c r="E14" s="4">
        <f>'QTR BS'!E17</f>
        <v>6422</v>
      </c>
      <c r="F14" s="4">
        <f>'QTR BS'!F17</f>
        <v>6478</v>
      </c>
      <c r="G14" s="4">
        <f>'QTR BS'!G17</f>
        <v>6814</v>
      </c>
      <c r="H14" s="4">
        <f>'QTR BS'!H17</f>
        <v>6219</v>
      </c>
      <c r="I14" s="4">
        <f>'QTR BS'!I17</f>
        <v>6284</v>
      </c>
      <c r="J14" s="4">
        <f>'QTR BS'!J17</f>
        <v>6516</v>
      </c>
      <c r="K14" s="4">
        <f>'QTR BS'!K17</f>
        <v>6420</v>
      </c>
      <c r="L14" s="4">
        <f>'QTR BS'!L17</f>
        <v>6725</v>
      </c>
      <c r="M14" s="4">
        <f>'QTR BS'!M17</f>
        <v>6481</v>
      </c>
      <c r="N14" s="4">
        <f>'QTR BS'!N17</f>
        <v>5774</v>
      </c>
      <c r="O14" s="4">
        <f>'QTR BS'!O17</f>
        <v>5893</v>
      </c>
      <c r="P14" s="4">
        <f>'QTR BS'!P17</f>
        <v>5974</v>
      </c>
      <c r="Q14" s="15">
        <f t="shared" ref="Q14:AL14" si="10">P14</f>
        <v>5974</v>
      </c>
      <c r="R14" s="15">
        <f t="shared" si="10"/>
        <v>5974</v>
      </c>
      <c r="S14" s="15">
        <f t="shared" si="10"/>
        <v>5974</v>
      </c>
      <c r="T14" s="15">
        <f t="shared" si="10"/>
        <v>5974</v>
      </c>
      <c r="U14" s="15">
        <f t="shared" si="10"/>
        <v>5974</v>
      </c>
      <c r="V14" s="15">
        <f t="shared" si="10"/>
        <v>5974</v>
      </c>
      <c r="W14" s="15">
        <f t="shared" si="10"/>
        <v>5974</v>
      </c>
      <c r="X14" s="15">
        <f t="shared" si="10"/>
        <v>5974</v>
      </c>
      <c r="Y14" s="15">
        <f t="shared" si="10"/>
        <v>5974</v>
      </c>
      <c r="Z14" s="15">
        <f t="shared" si="10"/>
        <v>5974</v>
      </c>
      <c r="AA14" s="15">
        <f t="shared" si="10"/>
        <v>5974</v>
      </c>
      <c r="AB14" s="15">
        <f t="shared" si="10"/>
        <v>5974</v>
      </c>
      <c r="AC14" s="15">
        <f t="shared" si="10"/>
        <v>5974</v>
      </c>
      <c r="AD14" s="15">
        <f t="shared" si="10"/>
        <v>5974</v>
      </c>
      <c r="AE14" s="15">
        <f t="shared" si="10"/>
        <v>5974</v>
      </c>
      <c r="AF14" s="15">
        <f t="shared" si="10"/>
        <v>5974</v>
      </c>
      <c r="AG14" s="15">
        <f t="shared" si="10"/>
        <v>5974</v>
      </c>
      <c r="AH14" s="15">
        <f t="shared" si="10"/>
        <v>5974</v>
      </c>
      <c r="AI14" s="15">
        <f t="shared" si="10"/>
        <v>5974</v>
      </c>
      <c r="AJ14" s="15">
        <f t="shared" si="10"/>
        <v>5974</v>
      </c>
      <c r="AK14" s="15">
        <f t="shared" si="10"/>
        <v>5974</v>
      </c>
      <c r="AL14" s="15">
        <f t="shared" si="10"/>
        <v>5974</v>
      </c>
    </row>
    <row r="15" spans="1:38" x14ac:dyDescent="0.25">
      <c r="A15" s="3" t="s">
        <v>139</v>
      </c>
      <c r="B15" s="13">
        <f>IFERROR('QTR BS'!B18/'QTR P&amp;L'!E2,"")</f>
        <v>0.39026389956443763</v>
      </c>
      <c r="C15" s="13">
        <f>IFERROR('QTR BS'!C18/'QTR P&amp;L'!F2,"")</f>
        <v>0.34242189016107122</v>
      </c>
      <c r="D15" s="13">
        <f>IFERROR('QTR BS'!D18/'QTR P&amp;L'!G2,"")</f>
        <v>0.34660376450199781</v>
      </c>
      <c r="E15" s="13">
        <f>IFERROR('QTR BS'!E18/'QTR P&amp;L'!H2,"")</f>
        <v>0.35399641219852501</v>
      </c>
      <c r="F15" s="13">
        <f>IFERROR('QTR BS'!F18/'QTR P&amp;L'!I2,"")</f>
        <v>0.34797839731426067</v>
      </c>
      <c r="G15" s="13">
        <f>IFERROR('QTR BS'!G18/'QTR P&amp;L'!J2,"")</f>
        <v>0.29614558090622284</v>
      </c>
      <c r="H15" s="13">
        <f>IFERROR('QTR BS'!H18/'QTR P&amp;L'!K2,"")</f>
        <v>0.3084744181707943</v>
      </c>
      <c r="I15" s="13">
        <f>IFERROR('QTR BS'!I18/'QTR P&amp;L'!L2,"")</f>
        <v>0.31621688536766529</v>
      </c>
      <c r="J15" s="13">
        <f>IFERROR('QTR BS'!J18/'QTR P&amp;L'!M2,"")</f>
        <v>0.31161114358075198</v>
      </c>
      <c r="K15" s="13">
        <f>IFERROR('QTR BS'!K18/'QTR P&amp;L'!N2,"")</f>
        <v>0.26484795509959974</v>
      </c>
      <c r="L15" s="13">
        <f>IFERROR('QTR BS'!L18/'QTR P&amp;L'!O2,"")</f>
        <v>0.24728087012156111</v>
      </c>
      <c r="M15" s="13">
        <f>IFERROR('QTR BS'!M18/'QTR P&amp;L'!P2,"")</f>
        <v>0.27599110032362462</v>
      </c>
      <c r="N15" s="13">
        <f>IFERROR('QTR BS'!N18/'QTR P&amp;L'!Q2,"")</f>
        <v>0.2929771650150797</v>
      </c>
      <c r="O15" s="13">
        <f>IFERROR('QTR BS'!O18/'QTR P&amp;L'!R2,"")</f>
        <v>0.26105601715357812</v>
      </c>
      <c r="P15" s="13">
        <f>IFERROR('QTR BS'!P18/'QTR P&amp;L'!S2,"")</f>
        <v>0.25751981268011526</v>
      </c>
      <c r="Q15" s="14">
        <f t="shared" ref="Q15:AL15" si="11">P15</f>
        <v>0.25751981268011526</v>
      </c>
      <c r="R15" s="14">
        <f t="shared" si="11"/>
        <v>0.25751981268011526</v>
      </c>
      <c r="S15" s="14">
        <f t="shared" si="11"/>
        <v>0.25751981268011526</v>
      </c>
      <c r="T15" s="14">
        <f t="shared" si="11"/>
        <v>0.25751981268011526</v>
      </c>
      <c r="U15" s="14">
        <f t="shared" si="11"/>
        <v>0.25751981268011526</v>
      </c>
      <c r="V15" s="14">
        <f t="shared" si="11"/>
        <v>0.25751981268011526</v>
      </c>
      <c r="W15" s="14">
        <f t="shared" si="11"/>
        <v>0.25751981268011526</v>
      </c>
      <c r="X15" s="14">
        <f t="shared" si="11"/>
        <v>0.25751981268011526</v>
      </c>
      <c r="Y15" s="14">
        <f t="shared" si="11"/>
        <v>0.25751981268011526</v>
      </c>
      <c r="Z15" s="14">
        <f t="shared" si="11"/>
        <v>0.25751981268011526</v>
      </c>
      <c r="AA15" s="14">
        <f t="shared" si="11"/>
        <v>0.25751981268011526</v>
      </c>
      <c r="AB15" s="14">
        <f t="shared" si="11"/>
        <v>0.25751981268011526</v>
      </c>
      <c r="AC15" s="14">
        <f t="shared" si="11"/>
        <v>0.25751981268011526</v>
      </c>
      <c r="AD15" s="14">
        <f t="shared" si="11"/>
        <v>0.25751981268011526</v>
      </c>
      <c r="AE15" s="14">
        <f t="shared" si="11"/>
        <v>0.25751981268011526</v>
      </c>
      <c r="AF15" s="14">
        <f t="shared" si="11"/>
        <v>0.25751981268011526</v>
      </c>
      <c r="AG15" s="14">
        <f t="shared" si="11"/>
        <v>0.25751981268011526</v>
      </c>
      <c r="AH15" s="14">
        <f t="shared" si="11"/>
        <v>0.25751981268011526</v>
      </c>
      <c r="AI15" s="14">
        <f t="shared" si="11"/>
        <v>0.25751981268011526</v>
      </c>
      <c r="AJ15" s="14">
        <f t="shared" si="11"/>
        <v>0.25751981268011526</v>
      </c>
      <c r="AK15" s="14">
        <f t="shared" si="11"/>
        <v>0.25751981268011526</v>
      </c>
      <c r="AL15" s="14">
        <f t="shared" si="11"/>
        <v>0.25751981268011526</v>
      </c>
    </row>
    <row r="16" spans="1:38" x14ac:dyDescent="0.25">
      <c r="A16" s="3" t="s">
        <v>49</v>
      </c>
      <c r="B16" s="4">
        <f>'QTR BS'!B20</f>
        <v>843</v>
      </c>
      <c r="C16" s="4">
        <f>'QTR BS'!C20</f>
        <v>834</v>
      </c>
      <c r="D16" s="4">
        <f>'QTR BS'!D20</f>
        <v>831</v>
      </c>
      <c r="E16" s="4">
        <f>'QTR BS'!E20</f>
        <v>822</v>
      </c>
      <c r="F16" s="4">
        <f>'QTR BS'!F20</f>
        <v>819</v>
      </c>
      <c r="G16" s="4">
        <f>'QTR BS'!G20</f>
        <v>812</v>
      </c>
      <c r="H16" s="4">
        <f>'QTR BS'!H20</f>
        <v>809</v>
      </c>
      <c r="I16" s="4">
        <f>'QTR BS'!I20</f>
        <v>801</v>
      </c>
      <c r="J16" s="4">
        <f>'QTR BS'!J20</f>
        <v>798</v>
      </c>
      <c r="K16" s="4">
        <f>'QTR BS'!K20</f>
        <v>791</v>
      </c>
      <c r="L16" s="4">
        <f>'QTR BS'!L20</f>
        <v>788</v>
      </c>
      <c r="M16" s="4">
        <f>'QTR BS'!M20</f>
        <v>781</v>
      </c>
      <c r="N16" s="4">
        <f>'QTR BS'!N20</f>
        <v>777</v>
      </c>
      <c r="O16" s="4">
        <f>'QTR BS'!O20</f>
        <v>770</v>
      </c>
      <c r="P16" s="4">
        <f>'QTR BS'!P20</f>
        <v>767</v>
      </c>
      <c r="Q16" s="15">
        <f t="shared" ref="Q16:AL16" si="12">P16</f>
        <v>767</v>
      </c>
      <c r="R16" s="15">
        <f t="shared" si="12"/>
        <v>767</v>
      </c>
      <c r="S16" s="15">
        <f t="shared" si="12"/>
        <v>767</v>
      </c>
      <c r="T16" s="15">
        <f t="shared" si="12"/>
        <v>767</v>
      </c>
      <c r="U16" s="15">
        <f t="shared" si="12"/>
        <v>767</v>
      </c>
      <c r="V16" s="15">
        <f t="shared" si="12"/>
        <v>767</v>
      </c>
      <c r="W16" s="15">
        <f t="shared" si="12"/>
        <v>767</v>
      </c>
      <c r="X16" s="15">
        <f t="shared" si="12"/>
        <v>767</v>
      </c>
      <c r="Y16" s="15">
        <f t="shared" si="12"/>
        <v>767</v>
      </c>
      <c r="Z16" s="15">
        <f t="shared" si="12"/>
        <v>767</v>
      </c>
      <c r="AA16" s="15">
        <f t="shared" si="12"/>
        <v>767</v>
      </c>
      <c r="AB16" s="15">
        <f t="shared" si="12"/>
        <v>767</v>
      </c>
      <c r="AC16" s="15">
        <f t="shared" si="12"/>
        <v>767</v>
      </c>
      <c r="AD16" s="15">
        <f t="shared" si="12"/>
        <v>767</v>
      </c>
      <c r="AE16" s="15">
        <f t="shared" si="12"/>
        <v>767</v>
      </c>
      <c r="AF16" s="15">
        <f t="shared" si="12"/>
        <v>767</v>
      </c>
      <c r="AG16" s="15">
        <f t="shared" si="12"/>
        <v>767</v>
      </c>
      <c r="AH16" s="15">
        <f t="shared" si="12"/>
        <v>767</v>
      </c>
      <c r="AI16" s="15">
        <f t="shared" si="12"/>
        <v>767</v>
      </c>
      <c r="AJ16" s="15">
        <f t="shared" si="12"/>
        <v>767</v>
      </c>
      <c r="AK16" s="15">
        <f t="shared" si="12"/>
        <v>767</v>
      </c>
      <c r="AL16" s="15">
        <f t="shared" si="12"/>
        <v>767</v>
      </c>
    </row>
    <row r="17" spans="1:38" x14ac:dyDescent="0.25">
      <c r="A17" s="3" t="s">
        <v>50</v>
      </c>
      <c r="B17" s="4">
        <f>'QTR BS'!B21</f>
        <v>4009</v>
      </c>
      <c r="C17" s="4">
        <f>'QTR BS'!C21</f>
        <v>4009</v>
      </c>
      <c r="D17" s="4">
        <f>'QTR BS'!D21</f>
        <v>4009</v>
      </c>
      <c r="E17" s="4">
        <f>'QTR BS'!E21</f>
        <v>4009</v>
      </c>
      <c r="F17" s="4">
        <f>'QTR BS'!F21</f>
        <v>4009</v>
      </c>
      <c r="G17" s="4">
        <f>'QTR BS'!G21</f>
        <v>4009</v>
      </c>
      <c r="H17" s="4">
        <f>'QTR BS'!H21</f>
        <v>4009</v>
      </c>
      <c r="I17" s="4">
        <f>'QTR BS'!I21</f>
        <v>4009</v>
      </c>
      <c r="J17" s="4">
        <f>'QTR BS'!J21</f>
        <v>4009</v>
      </c>
      <c r="K17" s="4">
        <f>'QTR BS'!K21</f>
        <v>4009</v>
      </c>
      <c r="L17" s="4">
        <f>'QTR BS'!L21</f>
        <v>4009</v>
      </c>
      <c r="M17" s="4">
        <f>'QTR BS'!M21</f>
        <v>4009</v>
      </c>
      <c r="N17" s="4">
        <f>'QTR BS'!N21</f>
        <v>4009</v>
      </c>
      <c r="O17" s="4">
        <f>'QTR BS'!O21</f>
        <v>4009</v>
      </c>
      <c r="P17" s="4">
        <f>'QTR BS'!P21</f>
        <v>4009</v>
      </c>
      <c r="Q17" s="15">
        <f t="shared" ref="Q17:AL17" si="13">P17</f>
        <v>4009</v>
      </c>
      <c r="R17" s="15">
        <f t="shared" si="13"/>
        <v>4009</v>
      </c>
      <c r="S17" s="15">
        <f t="shared" si="13"/>
        <v>4009</v>
      </c>
      <c r="T17" s="15">
        <f t="shared" si="13"/>
        <v>4009</v>
      </c>
      <c r="U17" s="15">
        <f t="shared" si="13"/>
        <v>4009</v>
      </c>
      <c r="V17" s="15">
        <f t="shared" si="13"/>
        <v>4009</v>
      </c>
      <c r="W17" s="15">
        <f t="shared" si="13"/>
        <v>4009</v>
      </c>
      <c r="X17" s="15">
        <f t="shared" si="13"/>
        <v>4009</v>
      </c>
      <c r="Y17" s="15">
        <f t="shared" si="13"/>
        <v>4009</v>
      </c>
      <c r="Z17" s="15">
        <f t="shared" si="13"/>
        <v>4009</v>
      </c>
      <c r="AA17" s="15">
        <f t="shared" si="13"/>
        <v>4009</v>
      </c>
      <c r="AB17" s="15">
        <f t="shared" si="13"/>
        <v>4009</v>
      </c>
      <c r="AC17" s="15">
        <f t="shared" si="13"/>
        <v>4009</v>
      </c>
      <c r="AD17" s="15">
        <f t="shared" si="13"/>
        <v>4009</v>
      </c>
      <c r="AE17" s="15">
        <f t="shared" si="13"/>
        <v>4009</v>
      </c>
      <c r="AF17" s="15">
        <f t="shared" si="13"/>
        <v>4009</v>
      </c>
      <c r="AG17" s="15">
        <f t="shared" si="13"/>
        <v>4009</v>
      </c>
      <c r="AH17" s="15">
        <f t="shared" si="13"/>
        <v>4009</v>
      </c>
      <c r="AI17" s="15">
        <f t="shared" si="13"/>
        <v>4009</v>
      </c>
      <c r="AJ17" s="15">
        <f t="shared" si="13"/>
        <v>4009</v>
      </c>
      <c r="AK17" s="15">
        <f t="shared" si="13"/>
        <v>4009</v>
      </c>
      <c r="AL17" s="15">
        <f t="shared" si="13"/>
        <v>4009</v>
      </c>
    </row>
    <row r="18" spans="1:38" x14ac:dyDescent="0.25">
      <c r="A18" s="3" t="s">
        <v>51</v>
      </c>
      <c r="B18" s="4">
        <f>'QTR BS'!B22</f>
        <v>65795</v>
      </c>
      <c r="C18" s="4">
        <f>'QTR BS'!C22</f>
        <v>65955</v>
      </c>
      <c r="D18" s="4">
        <f>'QTR BS'!D22</f>
        <v>66145</v>
      </c>
      <c r="E18" s="4">
        <f>'QTR BS'!E22</f>
        <v>66316</v>
      </c>
      <c r="F18" s="4">
        <f>'QTR BS'!F22</f>
        <v>66556</v>
      </c>
      <c r="G18" s="4">
        <f>'QTR BS'!G22</f>
        <v>66822</v>
      </c>
      <c r="H18" s="4">
        <f>'QTR BS'!H22</f>
        <v>66935</v>
      </c>
      <c r="I18" s="4">
        <f>'QTR BS'!I22</f>
        <v>67395</v>
      </c>
      <c r="J18" s="4">
        <f>'QTR BS'!J22</f>
        <v>67684</v>
      </c>
      <c r="K18" s="4">
        <f>'QTR BS'!K22</f>
        <v>68102</v>
      </c>
      <c r="L18" s="4">
        <f>'QTR BS'!L22</f>
        <v>68283</v>
      </c>
      <c r="M18" s="4">
        <f>'QTR BS'!M22</f>
        <v>68615</v>
      </c>
      <c r="N18" s="4">
        <f>'QTR BS'!N22</f>
        <v>68770</v>
      </c>
      <c r="O18" s="4">
        <f>'QTR BS'!O22</f>
        <v>68917</v>
      </c>
      <c r="P18" s="4">
        <f>'QTR BS'!P22</f>
        <v>69010</v>
      </c>
      <c r="Q18" s="4">
        <f>P18+'QTR CF'!T5</f>
        <v>69137.429668220459</v>
      </c>
      <c r="R18" s="4">
        <f>Q18+'QTR CF'!U5</f>
        <v>69272.031121469699</v>
      </c>
      <c r="S18" s="4">
        <f>R18+'QTR CF'!V5</f>
        <v>69416.278722237461</v>
      </c>
      <c r="T18" s="4">
        <f>S18+'QTR CF'!W5</f>
        <v>69559.379352892793</v>
      </c>
      <c r="U18" s="4">
        <f>T18+'QTR CF'!X5</f>
        <v>69688.70747974774</v>
      </c>
      <c r="V18" s="4">
        <f>U18+'QTR CF'!Y5</f>
        <v>69825.314237528524</v>
      </c>
      <c r="W18" s="4">
        <f>V18+'QTR CF'!Z5</f>
        <v>69971.710851999334</v>
      </c>
      <c r="X18" s="4">
        <f>W18+'QTR CF'!AA5</f>
        <v>70116.943408694046</v>
      </c>
      <c r="Y18" s="4">
        <f>X18+'QTR CF'!AB5</f>
        <v>70248.198277590607</v>
      </c>
      <c r="Z18" s="4">
        <f>Y18+'QTR CF'!AC5</f>
        <v>70386.840215109842</v>
      </c>
      <c r="AA18" s="4">
        <f>Z18+'QTR CF'!AD5</f>
        <v>70535.417859482739</v>
      </c>
      <c r="AB18" s="4">
        <f>AA18+'QTR CF'!AE5</f>
        <v>70682.814103842305</v>
      </c>
      <c r="AC18" s="4">
        <f>AB18+'QTR CF'!AF5</f>
        <v>70816.024419556357</v>
      </c>
      <c r="AD18" s="4">
        <f>AC18+'QTR CF'!AG5</f>
        <v>70956.731857104431</v>
      </c>
      <c r="AE18" s="4">
        <f>AD18+'QTR CF'!AH5</f>
        <v>71107.523024558657</v>
      </c>
      <c r="AF18" s="4">
        <f>AE18+'QTR CF'!AI5</f>
        <v>71257.115191396122</v>
      </c>
      <c r="AG18" s="4">
        <f>AF18+'QTR CF'!AJ5</f>
        <v>71392.310086349855</v>
      </c>
      <c r="AH18" s="4">
        <f>AG18+'QTR CF'!AK5</f>
        <v>71535.113795931597</v>
      </c>
      <c r="AI18" s="4">
        <f>AH18+'QTR CF'!AL5</f>
        <v>71688.151463732691</v>
      </c>
      <c r="AJ18" s="4">
        <f>AI18+'QTR CF'!AM5</f>
        <v>71839.972268098209</v>
      </c>
      <c r="AK18" s="4">
        <f>AJ18+'QTR CF'!AN5</f>
        <v>71977.181308731262</v>
      </c>
      <c r="AL18" s="4">
        <f>AK18+'QTR CF'!AO5</f>
        <v>72122.112520795577</v>
      </c>
    </row>
    <row r="19" spans="1:38" x14ac:dyDescent="0.25">
      <c r="A19" s="3" t="s">
        <v>52</v>
      </c>
      <c r="B19" s="4">
        <f>'QTR BS'!B23</f>
        <v>-916</v>
      </c>
      <c r="C19" s="4">
        <f>'QTR BS'!C23</f>
        <v>-870</v>
      </c>
      <c r="D19" s="4">
        <f>'QTR BS'!D23</f>
        <v>-870</v>
      </c>
      <c r="E19" s="4">
        <f>'QTR BS'!E23</f>
        <v>-821</v>
      </c>
      <c r="F19" s="4">
        <f>'QTR BS'!F23</f>
        <v>-821</v>
      </c>
      <c r="G19" s="4">
        <f>'QTR BS'!G23</f>
        <v>-782</v>
      </c>
      <c r="H19" s="4">
        <f>'QTR BS'!H23</f>
        <v>-782</v>
      </c>
      <c r="I19" s="4">
        <f>'QTR BS'!I23</f>
        <v>-737</v>
      </c>
      <c r="J19" s="4">
        <f>'QTR BS'!J23</f>
        <v>-737</v>
      </c>
      <c r="K19" s="4">
        <f>'QTR BS'!K23</f>
        <v>-707</v>
      </c>
      <c r="L19" s="4">
        <f>'QTR BS'!L23</f>
        <v>-707</v>
      </c>
      <c r="M19" s="4">
        <f>'QTR BS'!M23</f>
        <v>-672</v>
      </c>
      <c r="N19" s="4">
        <f>'QTR BS'!N23</f>
        <v>-672</v>
      </c>
      <c r="O19" s="4">
        <f>'QTR BS'!O23</f>
        <v>-637</v>
      </c>
      <c r="P19" s="4">
        <f>'QTR BS'!P23</f>
        <v>-637</v>
      </c>
      <c r="Q19" s="15">
        <v>0</v>
      </c>
      <c r="R19" s="15">
        <v>0</v>
      </c>
      <c r="S19" s="15">
        <v>0</v>
      </c>
      <c r="T19" s="15">
        <v>0</v>
      </c>
      <c r="U19" s="15">
        <v>0</v>
      </c>
      <c r="V19" s="15">
        <v>0</v>
      </c>
      <c r="W19" s="15">
        <v>0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15">
        <v>0</v>
      </c>
      <c r="AD19" s="15">
        <v>0</v>
      </c>
      <c r="AE19" s="15">
        <v>0</v>
      </c>
      <c r="AF19" s="15">
        <v>0</v>
      </c>
      <c r="AG19" s="15">
        <v>0</v>
      </c>
      <c r="AH19" s="15">
        <v>0</v>
      </c>
      <c r="AI19" s="15">
        <v>0</v>
      </c>
      <c r="AJ19" s="15">
        <v>0</v>
      </c>
      <c r="AK19" s="15">
        <v>0</v>
      </c>
      <c r="AL19" s="15">
        <v>0</v>
      </c>
    </row>
    <row r="20" spans="1:38" x14ac:dyDescent="0.25">
      <c r="A20" s="3" t="s">
        <v>53</v>
      </c>
      <c r="B20" s="4">
        <f>'QTR BS'!B24</f>
        <v>-12189</v>
      </c>
      <c r="C20" s="4">
        <f>'QTR BS'!C24</f>
        <v>-12811</v>
      </c>
      <c r="D20" s="4">
        <f>'QTR BS'!D24</f>
        <v>-12506</v>
      </c>
      <c r="E20" s="4">
        <f>'QTR BS'!E24</f>
        <v>-12266</v>
      </c>
      <c r="F20" s="4">
        <f>'QTR BS'!F24</f>
        <v>-12220</v>
      </c>
      <c r="G20" s="4">
        <f>'QTR BS'!G24</f>
        <v>-12583</v>
      </c>
      <c r="H20" s="4">
        <f>'QTR BS'!H24</f>
        <v>-12167</v>
      </c>
      <c r="I20" s="4">
        <f>'QTR BS'!I24</f>
        <v>-12370</v>
      </c>
      <c r="J20" s="4">
        <f>'QTR BS'!J24</f>
        <v>-11900</v>
      </c>
      <c r="K20" s="4">
        <f>'QTR BS'!K24</f>
        <v>-10893</v>
      </c>
      <c r="L20" s="4">
        <f>'QTR BS'!L24</f>
        <v>-11637</v>
      </c>
      <c r="M20" s="4">
        <f>'QTR BS'!M24</f>
        <v>-11307</v>
      </c>
      <c r="N20" s="4">
        <f>'QTR BS'!N24</f>
        <v>-12143</v>
      </c>
      <c r="O20" s="4">
        <f>'QTR BS'!O24</f>
        <v>-12156</v>
      </c>
      <c r="P20" s="4">
        <f>'QTR BS'!P24</f>
        <v>-12108</v>
      </c>
      <c r="Q20" s="4">
        <f>P20+'QTR CF'!T30</f>
        <v>-12109</v>
      </c>
      <c r="R20" s="4">
        <f>Q20+'QTR CF'!U30</f>
        <v>-12110</v>
      </c>
      <c r="S20" s="4">
        <f>R20+'QTR CF'!V30</f>
        <v>-12111</v>
      </c>
      <c r="T20" s="4">
        <f>S20+'QTR CF'!W30</f>
        <v>-12112</v>
      </c>
      <c r="U20" s="4">
        <f>T20+'QTR CF'!X30</f>
        <v>-12113</v>
      </c>
      <c r="V20" s="4">
        <f>U20+'QTR CF'!Y30</f>
        <v>-12114</v>
      </c>
      <c r="W20" s="4">
        <f>V20+'QTR CF'!Z30</f>
        <v>-12115</v>
      </c>
      <c r="X20" s="4">
        <f>W20+'QTR CF'!AA30</f>
        <v>-12116</v>
      </c>
      <c r="Y20" s="4">
        <f>X20+'QTR CF'!AB30</f>
        <v>-12117</v>
      </c>
      <c r="Z20" s="4">
        <f>Y20+'QTR CF'!AC30</f>
        <v>-12118</v>
      </c>
      <c r="AA20" s="4">
        <f>Z20+'QTR CF'!AD30</f>
        <v>-12119</v>
      </c>
      <c r="AB20" s="4">
        <f>AA20+'QTR CF'!AE30</f>
        <v>-12120</v>
      </c>
      <c r="AC20" s="4">
        <f>AB20+'QTR CF'!AF30</f>
        <v>-12121</v>
      </c>
      <c r="AD20" s="4">
        <f>AC20+'QTR CF'!AG30</f>
        <v>-12122</v>
      </c>
      <c r="AE20" s="4">
        <f>AD20+'QTR CF'!AH30</f>
        <v>-12123</v>
      </c>
      <c r="AF20" s="4">
        <f>AE20+'QTR CF'!AI30</f>
        <v>-12124</v>
      </c>
      <c r="AG20" s="4">
        <f>AF20+'QTR CF'!AJ30</f>
        <v>-12125</v>
      </c>
      <c r="AH20" s="4">
        <f>AG20+'QTR CF'!AK30</f>
        <v>-12126</v>
      </c>
      <c r="AI20" s="4">
        <f>AH20+'QTR CF'!AL30</f>
        <v>-12127</v>
      </c>
      <c r="AJ20" s="4">
        <f>AI20+'QTR CF'!AM30</f>
        <v>-12128</v>
      </c>
      <c r="AK20" s="4">
        <f>AJ20+'QTR CF'!AN30</f>
        <v>-12129</v>
      </c>
      <c r="AL20" s="4">
        <f>AK20+'QTR CF'!AO30</f>
        <v>-12130</v>
      </c>
    </row>
    <row r="21" spans="1:38" x14ac:dyDescent="0.25">
      <c r="A21" s="3" t="s">
        <v>54</v>
      </c>
      <c r="B21" s="4">
        <f>'QTR BS'!B25</f>
        <v>-123382</v>
      </c>
      <c r="C21" s="4">
        <f>'QTR BS'!C25</f>
        <v>-127205</v>
      </c>
      <c r="D21" s="4">
        <f>'QTR BS'!D25</f>
        <v>-129012</v>
      </c>
      <c r="E21" s="4">
        <f>'QTR BS'!E25</f>
        <v>-130002</v>
      </c>
      <c r="F21" s="4">
        <f>'QTR BS'!F25</f>
        <v>-129736</v>
      </c>
      <c r="G21" s="4">
        <f>'QTR BS'!G25</f>
        <v>-131029</v>
      </c>
      <c r="H21" s="4">
        <f>'QTR BS'!H25</f>
        <v>-131887</v>
      </c>
      <c r="I21" s="4">
        <f>'QTR BS'!I25</f>
        <v>-132172</v>
      </c>
      <c r="J21" s="4">
        <f>'QTR BS'!J25</f>
        <v>-133379</v>
      </c>
      <c r="K21" s="4">
        <f>'QTR BS'!K25</f>
        <v>-134823</v>
      </c>
      <c r="L21" s="4">
        <f>'QTR BS'!L25</f>
        <v>-137112</v>
      </c>
      <c r="M21" s="4">
        <f>'QTR BS'!M25</f>
        <v>-138073</v>
      </c>
      <c r="N21" s="4">
        <f>'QTR BS'!N25</f>
        <v>-138702</v>
      </c>
      <c r="O21" s="4">
        <f>'QTR BS'!O25</f>
        <v>-139845</v>
      </c>
      <c r="P21" s="4">
        <f>'QTR BS'!P25</f>
        <v>-141981</v>
      </c>
      <c r="Q21" s="15">
        <f t="shared" ref="Q21:AL21" si="14">P21</f>
        <v>-141981</v>
      </c>
      <c r="R21" s="15">
        <f t="shared" si="14"/>
        <v>-141981</v>
      </c>
      <c r="S21" s="15">
        <f t="shared" si="14"/>
        <v>-141981</v>
      </c>
      <c r="T21" s="15">
        <f t="shared" si="14"/>
        <v>-141981</v>
      </c>
      <c r="U21" s="15">
        <f t="shared" si="14"/>
        <v>-141981</v>
      </c>
      <c r="V21" s="15">
        <f t="shared" si="14"/>
        <v>-141981</v>
      </c>
      <c r="W21" s="15">
        <f t="shared" si="14"/>
        <v>-141981</v>
      </c>
      <c r="X21" s="15">
        <f t="shared" si="14"/>
        <v>-141981</v>
      </c>
      <c r="Y21" s="15">
        <f t="shared" si="14"/>
        <v>-141981</v>
      </c>
      <c r="Z21" s="15">
        <f t="shared" si="14"/>
        <v>-141981</v>
      </c>
      <c r="AA21" s="15">
        <f t="shared" si="14"/>
        <v>-141981</v>
      </c>
      <c r="AB21" s="15">
        <f t="shared" si="14"/>
        <v>-141981</v>
      </c>
      <c r="AC21" s="15">
        <f t="shared" si="14"/>
        <v>-141981</v>
      </c>
      <c r="AD21" s="15">
        <f t="shared" si="14"/>
        <v>-141981</v>
      </c>
      <c r="AE21" s="15">
        <f t="shared" si="14"/>
        <v>-141981</v>
      </c>
      <c r="AF21" s="15">
        <f t="shared" si="14"/>
        <v>-141981</v>
      </c>
      <c r="AG21" s="15">
        <f t="shared" si="14"/>
        <v>-141981</v>
      </c>
      <c r="AH21" s="15">
        <f t="shared" si="14"/>
        <v>-141981</v>
      </c>
      <c r="AI21" s="15">
        <f t="shared" si="14"/>
        <v>-141981</v>
      </c>
      <c r="AJ21" s="15">
        <f t="shared" si="14"/>
        <v>-141981</v>
      </c>
      <c r="AK21" s="15">
        <f t="shared" si="14"/>
        <v>-141981</v>
      </c>
      <c r="AL21" s="15">
        <f t="shared" si="14"/>
        <v>-141981</v>
      </c>
    </row>
    <row r="22" spans="1:38" x14ac:dyDescent="0.25">
      <c r="A22" s="3" t="s">
        <v>55</v>
      </c>
      <c r="B22" s="4">
        <f>'QTR BS'!B26</f>
        <v>112429</v>
      </c>
      <c r="C22" s="4">
        <f>'QTR BS'!C26</f>
        <v>114163</v>
      </c>
      <c r="D22" s="4">
        <f>'QTR BS'!D26</f>
        <v>115858</v>
      </c>
      <c r="E22" s="4">
        <f>'QTR BS'!E26</f>
        <v>117082</v>
      </c>
      <c r="F22" s="4">
        <f>'QTR BS'!F26</f>
        <v>118170</v>
      </c>
      <c r="G22" s="4">
        <f>'QTR BS'!G26</f>
        <v>120443</v>
      </c>
      <c r="H22" s="4">
        <f>'QTR BS'!H26</f>
        <v>121617</v>
      </c>
      <c r="I22" s="4">
        <f>'QTR BS'!I26</f>
        <v>123132</v>
      </c>
      <c r="J22" s="4">
        <f>'QTR BS'!J26</f>
        <v>123811</v>
      </c>
      <c r="K22" s="4">
        <f>'QTR BS'!K26</f>
        <v>125361</v>
      </c>
      <c r="L22" s="4">
        <f>'QTR BS'!L26</f>
        <v>127544</v>
      </c>
      <c r="M22" s="4">
        <f>'QTR BS'!M26</f>
        <v>128919</v>
      </c>
      <c r="N22" s="4">
        <f>'QTR BS'!N26</f>
        <v>129973</v>
      </c>
      <c r="O22" s="4">
        <f>'QTR BS'!O26</f>
        <v>132212</v>
      </c>
      <c r="P22" s="4">
        <f>'QTR BS'!P26</f>
        <v>133981</v>
      </c>
      <c r="Q22" s="4">
        <f>P22+'QTR P&amp;L'!T12+'QTR CF'!T21</f>
        <v>135595.88559483073</v>
      </c>
      <c r="R22" s="4">
        <f>Q22+'QTR P&amp;L'!U12+'QTR CF'!U21</f>
        <v>137300.67495649593</v>
      </c>
      <c r="S22" s="4">
        <f>R22+'QTR P&amp;L'!V12+'QTR CF'!V21</f>
        <v>139126.38609619456</v>
      </c>
      <c r="T22" s="4">
        <f>S22+'QTR P&amp;L'!W12+'QTR CF'!W21</f>
        <v>140937.71909528534</v>
      </c>
      <c r="U22" s="4">
        <f>T22+'QTR P&amp;L'!X12+'QTR CF'!X21</f>
        <v>142576.40330953017</v>
      </c>
      <c r="V22" s="4">
        <f>U22+'QTR P&amp;L'!Y12+'QTR CF'!Y21</f>
        <v>144306.330684997</v>
      </c>
      <c r="W22" s="4">
        <f>V22+'QTR P&amp;L'!Z12+'QTR CF'!Z21</f>
        <v>146158.98134199961</v>
      </c>
      <c r="X22" s="4">
        <f>W22+'QTR P&amp;L'!AA12+'QTR CF'!AA21</f>
        <v>147997.03965156514</v>
      </c>
      <c r="Y22" s="4">
        <f>X22+'QTR P&amp;L'!AB12+'QTR CF'!AB21</f>
        <v>149659.87703919213</v>
      </c>
      <c r="Z22" s="4">
        <f>Y22+'QTR P&amp;L'!AC12+'QTR CF'!AC21</f>
        <v>151415.31693684644</v>
      </c>
      <c r="AA22" s="4">
        <f>Z22+'QTR P&amp;L'!AD12+'QTR CF'!AD21</f>
        <v>153295.30845849981</v>
      </c>
      <c r="AB22" s="4">
        <f>AA22+'QTR P&amp;L'!AE12+'QTR CF'!AE21</f>
        <v>155160.4902346142</v>
      </c>
      <c r="AC22" s="4">
        <f>AB22+'QTR P&amp;L'!AF12+'QTR CF'!AF21</f>
        <v>156847.84063176822</v>
      </c>
      <c r="AD22" s="4">
        <f>AC22+'QTR P&amp;L'!AG12+'QTR CF'!AG21</f>
        <v>158629.17313945544</v>
      </c>
      <c r="AE22" s="4">
        <f>AD22+'QTR P&amp;L'!AH12+'QTR CF'!AH21</f>
        <v>160536.91285241506</v>
      </c>
      <c r="AF22" s="4">
        <f>AE22+'QTR P&amp;L'!AI12+'QTR CF'!AI21</f>
        <v>162429.62218291746</v>
      </c>
      <c r="AG22" s="4">
        <f>AF22+'QTR P&amp;L'!AJ12+'QTR CF'!AJ21</f>
        <v>164141.85078661461</v>
      </c>
      <c r="AH22" s="4">
        <f>AG22+'QTR P&amp;L'!AK12+'QTR CF'!AK21</f>
        <v>165949.46165476294</v>
      </c>
      <c r="AI22" s="4">
        <f>AH22+'QTR P&amp;L'!AL12+'QTR CF'!AL21</f>
        <v>167885.36295407341</v>
      </c>
      <c r="AJ22" s="4">
        <f>AI22+'QTR P&amp;L'!AM12+'QTR CF'!AM21</f>
        <v>169806.00994693977</v>
      </c>
      <c r="AK22" s="4">
        <f>AJ22+'QTR P&amp;L'!AN12+'QTR CF'!AN21</f>
        <v>171543.48739493405</v>
      </c>
      <c r="AL22" s="4">
        <f>AK22+'QTR P&amp;L'!AO12+'QTR CF'!AO21</f>
        <v>173377.76812091627</v>
      </c>
    </row>
    <row r="23" spans="1:38" x14ac:dyDescent="0.25">
      <c r="A23" s="3" t="s">
        <v>56</v>
      </c>
      <c r="B23" s="4">
        <f>'QTR BS'!B27</f>
        <v>265</v>
      </c>
      <c r="C23" s="4">
        <f>'QTR BS'!C27</f>
        <v>259</v>
      </c>
      <c r="D23" s="4">
        <f>'QTR BS'!D27</f>
        <v>270</v>
      </c>
      <c r="E23" s="4">
        <f>'QTR BS'!E27</f>
        <v>281</v>
      </c>
      <c r="F23" s="4">
        <f>'QTR BS'!F27</f>
        <v>288</v>
      </c>
      <c r="G23" s="4">
        <f>'QTR BS'!G27</f>
        <v>321</v>
      </c>
      <c r="H23" s="4">
        <f>'QTR BS'!H27</f>
        <v>294</v>
      </c>
      <c r="I23" s="4">
        <f>'QTR BS'!I27</f>
        <v>275</v>
      </c>
      <c r="J23" s="4">
        <f>'QTR BS'!J27</f>
        <v>272</v>
      </c>
      <c r="K23" s="4">
        <f>'QTR BS'!K27</f>
        <v>300</v>
      </c>
      <c r="L23" s="4">
        <f>'QTR BS'!L27</f>
        <v>275</v>
      </c>
      <c r="M23" s="4">
        <f>'QTR BS'!M27</f>
        <v>273</v>
      </c>
      <c r="N23" s="4">
        <f>'QTR BS'!N27</f>
        <v>272</v>
      </c>
      <c r="O23" s="4">
        <f>'QTR BS'!O27</f>
        <v>281</v>
      </c>
      <c r="P23" s="4">
        <f>'QTR BS'!P27</f>
        <v>276</v>
      </c>
      <c r="Q23" s="15">
        <f t="shared" ref="Q23:AL23" si="15">P23</f>
        <v>276</v>
      </c>
      <c r="R23" s="15">
        <f t="shared" si="15"/>
        <v>276</v>
      </c>
      <c r="S23" s="15">
        <f t="shared" si="15"/>
        <v>276</v>
      </c>
      <c r="T23" s="15">
        <f t="shared" si="15"/>
        <v>276</v>
      </c>
      <c r="U23" s="15">
        <f t="shared" si="15"/>
        <v>276</v>
      </c>
      <c r="V23" s="15">
        <f t="shared" si="15"/>
        <v>276</v>
      </c>
      <c r="W23" s="15">
        <f t="shared" si="15"/>
        <v>276</v>
      </c>
      <c r="X23" s="15">
        <f t="shared" si="15"/>
        <v>276</v>
      </c>
      <c r="Y23" s="15">
        <f t="shared" si="15"/>
        <v>276</v>
      </c>
      <c r="Z23" s="15">
        <f t="shared" si="15"/>
        <v>276</v>
      </c>
      <c r="AA23" s="15">
        <f t="shared" si="15"/>
        <v>276</v>
      </c>
      <c r="AB23" s="15">
        <f t="shared" si="15"/>
        <v>276</v>
      </c>
      <c r="AC23" s="15">
        <f t="shared" si="15"/>
        <v>276</v>
      </c>
      <c r="AD23" s="15">
        <f t="shared" si="15"/>
        <v>276</v>
      </c>
      <c r="AE23" s="15">
        <f t="shared" si="15"/>
        <v>276</v>
      </c>
      <c r="AF23" s="15">
        <f t="shared" si="15"/>
        <v>276</v>
      </c>
      <c r="AG23" s="15">
        <f t="shared" si="15"/>
        <v>276</v>
      </c>
      <c r="AH23" s="15">
        <f t="shared" si="15"/>
        <v>276</v>
      </c>
      <c r="AI23" s="15">
        <f t="shared" si="15"/>
        <v>276</v>
      </c>
      <c r="AJ23" s="15">
        <f t="shared" si="15"/>
        <v>276</v>
      </c>
      <c r="AK23" s="15">
        <f t="shared" si="15"/>
        <v>276</v>
      </c>
      <c r="AL23" s="15">
        <f t="shared" si="15"/>
        <v>276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O27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8" customWidth="1"/>
    <col min="2" max="41" width="13" customWidth="1"/>
  </cols>
  <sheetData>
    <row r="1" spans="1:41" x14ac:dyDescent="0.25">
      <c r="A1" s="1" t="s">
        <v>125</v>
      </c>
      <c r="B1" s="2" t="s">
        <v>83</v>
      </c>
      <c r="C1" s="2" t="s">
        <v>84</v>
      </c>
      <c r="D1" s="2" t="s">
        <v>85</v>
      </c>
      <c r="E1" s="2" t="s">
        <v>98</v>
      </c>
      <c r="F1" s="2" t="s">
        <v>86</v>
      </c>
      <c r="G1" s="2" t="s">
        <v>87</v>
      </c>
      <c r="H1" s="2" t="s">
        <v>88</v>
      </c>
      <c r="I1" s="2" t="s">
        <v>99</v>
      </c>
      <c r="J1" s="2" t="s">
        <v>89</v>
      </c>
      <c r="K1" s="2" t="s">
        <v>90</v>
      </c>
      <c r="L1" s="2" t="s">
        <v>91</v>
      </c>
      <c r="M1" s="2" t="s">
        <v>100</v>
      </c>
      <c r="N1" s="2" t="s">
        <v>92</v>
      </c>
      <c r="O1" s="2" t="s">
        <v>93</v>
      </c>
      <c r="P1" s="2" t="s">
        <v>94</v>
      </c>
      <c r="Q1" s="2" t="s">
        <v>101</v>
      </c>
      <c r="R1" s="2" t="s">
        <v>95</v>
      </c>
      <c r="S1" s="2" t="s">
        <v>96</v>
      </c>
      <c r="T1" s="2" t="s">
        <v>103</v>
      </c>
      <c r="U1" s="2" t="s">
        <v>104</v>
      </c>
      <c r="V1" s="2" t="s">
        <v>105</v>
      </c>
      <c r="W1" s="2" t="s">
        <v>106</v>
      </c>
      <c r="X1" s="2" t="s">
        <v>107</v>
      </c>
      <c r="Y1" s="2" t="s">
        <v>108</v>
      </c>
      <c r="Z1" s="2" t="s">
        <v>109</v>
      </c>
      <c r="AA1" s="2" t="s">
        <v>110</v>
      </c>
      <c r="AB1" s="2" t="s">
        <v>111</v>
      </c>
      <c r="AC1" s="2" t="s">
        <v>112</v>
      </c>
      <c r="AD1" s="2" t="s">
        <v>113</v>
      </c>
      <c r="AE1" s="2" t="s">
        <v>114</v>
      </c>
      <c r="AF1" s="2" t="s">
        <v>115</v>
      </c>
      <c r="AG1" s="2" t="s">
        <v>116</v>
      </c>
      <c r="AH1" s="2" t="s">
        <v>117</v>
      </c>
      <c r="AI1" s="2" t="s">
        <v>118</v>
      </c>
      <c r="AJ1" s="2" t="s">
        <v>119</v>
      </c>
      <c r="AK1" s="2" t="s">
        <v>120</v>
      </c>
      <c r="AL1" s="2" t="s">
        <v>121</v>
      </c>
      <c r="AM1" s="2" t="s">
        <v>122</v>
      </c>
      <c r="AN1" s="2" t="s">
        <v>123</v>
      </c>
      <c r="AO1" s="2" t="s">
        <v>124</v>
      </c>
    </row>
    <row r="2" spans="1:41" x14ac:dyDescent="0.25">
      <c r="A2" s="3" t="s">
        <v>26</v>
      </c>
      <c r="B2" s="4">
        <f>'QTR CF'!B2</f>
        <v>4126</v>
      </c>
      <c r="C2" s="4">
        <f>'QTR CF'!C2</f>
        <v>4242</v>
      </c>
      <c r="D2" s="4">
        <f>'QTR CF'!D2</f>
        <v>3367</v>
      </c>
      <c r="E2" s="4">
        <f>'QTR CF'!E2</f>
        <v>3058</v>
      </c>
      <c r="F2" s="4">
        <f>'QTR CF'!F2</f>
        <v>3963</v>
      </c>
      <c r="G2" s="4">
        <f>'QTR CF'!G2</f>
        <v>3959</v>
      </c>
      <c r="H2" s="4">
        <f>'QTR CF'!H2</f>
        <v>3424</v>
      </c>
      <c r="I2" s="4">
        <f>'QTR CF'!I2</f>
        <v>3392</v>
      </c>
      <c r="J2" s="4">
        <f>'QTR CF'!J2</f>
        <v>4556</v>
      </c>
      <c r="K2" s="4">
        <f>'QTR CF'!K2</f>
        <v>3493</v>
      </c>
      <c r="L2" s="4">
        <f>'QTR CF'!L2</f>
        <v>3781</v>
      </c>
      <c r="M2" s="4">
        <f>'QTR CF'!M2</f>
        <v>3144</v>
      </c>
      <c r="N2" s="4">
        <f>'QTR CF'!N2</f>
        <v>3987</v>
      </c>
      <c r="O2" s="4">
        <f>'QTR CF'!O2</f>
        <v>4659</v>
      </c>
      <c r="P2" s="4">
        <f>'QTR CF'!P2</f>
        <v>3793</v>
      </c>
      <c r="Q2" s="4">
        <f>'QTR CF'!Q2</f>
        <v>3626</v>
      </c>
      <c r="R2" s="4">
        <f>'QTR CF'!R2</f>
        <v>4781</v>
      </c>
      <c r="S2" s="4">
        <f>'QTR CF'!S2</f>
        <v>4331</v>
      </c>
      <c r="T2" s="4">
        <f>'QTR P&amp;L'!T12</f>
        <v>3916.4368291441028</v>
      </c>
      <c r="U2" s="4">
        <f>'QTR P&amp;L'!U12</f>
        <v>4134.4723510636722</v>
      </c>
      <c r="V2" s="4">
        <f>'QTR P&amp;L'!V12</f>
        <v>4427.7330665296158</v>
      </c>
      <c r="W2" s="4">
        <f>'QTR P&amp;L'!W12</f>
        <v>4392.8630549378086</v>
      </c>
      <c r="X2" s="4">
        <f>'QTR P&amp;L'!X12</f>
        <v>3974.1534809332479</v>
      </c>
      <c r="Y2" s="4">
        <f>'QTR P&amp;L'!Y12</f>
        <v>4195.4373156279653</v>
      </c>
      <c r="Z2" s="4">
        <f>'QTR P&amp;L'!Z12</f>
        <v>4493.0670555542838</v>
      </c>
      <c r="AA2" s="4">
        <f>'QTR P&amp;L'!AA12</f>
        <v>4457.6775474000515</v>
      </c>
      <c r="AB2" s="4">
        <f>'QTR P&amp;L'!AB12</f>
        <v>4032.7300005810557</v>
      </c>
      <c r="AC2" s="4">
        <f>'QTR P&amp;L'!AC12</f>
        <v>4257.3105417061952</v>
      </c>
      <c r="AD2" s="4">
        <f>'QTR P&amp;L'!AD12</f>
        <v>4559.3743962114349</v>
      </c>
      <c r="AE2" s="4">
        <f>'QTR P&amp;L'!AE12</f>
        <v>4523.4576519883676</v>
      </c>
      <c r="AF2" s="4">
        <f>'QTR P&amp;L'!AF12</f>
        <v>4092.1791984760616</v>
      </c>
      <c r="AG2" s="4">
        <f>'QTR P&amp;L'!AG12</f>
        <v>4320.1055606599157</v>
      </c>
      <c r="AH2" s="4">
        <f>'QTR P&amp;L'!AH12</f>
        <v>4626.6695895810562</v>
      </c>
      <c r="AI2" s="4">
        <f>'QTR P&amp;L'!AI12</f>
        <v>4590.2177544788747</v>
      </c>
      <c r="AJ2" s="4">
        <f>'QTR P&amp;L'!AJ12</f>
        <v>4152.5140758571206</v>
      </c>
      <c r="AK2" s="4">
        <f>'QTR P&amp;L'!AK12</f>
        <v>4383.8361054421221</v>
      </c>
      <c r="AL2" s="4">
        <f>'QTR P&amp;L'!AL12</f>
        <v>4694.9673527815175</v>
      </c>
      <c r="AM2" s="4">
        <f>'QTR P&amp;L'!AM12</f>
        <v>4657.9724549682815</v>
      </c>
      <c r="AN2" s="4">
        <f>'QTR P&amp;L'!AN12</f>
        <v>4213.7478276567044</v>
      </c>
      <c r="AO2" s="4">
        <f>'QTR P&amp;L'!AO12</f>
        <v>4448.5161136005736</v>
      </c>
    </row>
    <row r="3" spans="1:41" x14ac:dyDescent="0.25">
      <c r="A3" s="3" t="s">
        <v>140</v>
      </c>
      <c r="B3" s="13">
        <f>IFERROR('QTR CF'!B3/'QTR P&amp;L'!B2,"")</f>
        <v>3.4959189694168551E-2</v>
      </c>
      <c r="C3" s="13">
        <f>IFERROR('QTR CF'!C3/'QTR P&amp;L'!C2,"")</f>
        <v>3.2644490049157641E-2</v>
      </c>
      <c r="D3" s="13">
        <f>IFERROR('QTR CF'!D3/'QTR P&amp;L'!D2,"")</f>
        <v>3.560187812806357E-2</v>
      </c>
      <c r="E3" s="13">
        <f>IFERROR('QTR CF'!E3/'QTR P&amp;L'!E2,"")</f>
        <v>3.6997181655137074E-2</v>
      </c>
      <c r="F3" s="13">
        <f>IFERROR('QTR CF'!F3/'QTR P&amp;L'!F2,"")</f>
        <v>3.2165728701727146E-2</v>
      </c>
      <c r="G3" s="13">
        <f>IFERROR('QTR CF'!G3/'QTR P&amp;L'!G2,"")</f>
        <v>3.1435035863861746E-2</v>
      </c>
      <c r="H3" s="13">
        <f>IFERROR('QTR CF'!H3/'QTR P&amp;L'!H2,"")</f>
        <v>3.4482758620689655E-2</v>
      </c>
      <c r="I3" s="13">
        <f>IFERROR('QTR CF'!I3/'QTR P&amp;L'!I2,"")</f>
        <v>3.435021651340437E-2</v>
      </c>
      <c r="J3" s="13">
        <f>IFERROR('QTR CF'!J3/'QTR P&amp;L'!J2,"")</f>
        <v>3.2097297791596174E-2</v>
      </c>
      <c r="K3" s="13">
        <f>IFERROR('QTR CF'!K3/'QTR P&amp;L'!K2,"")</f>
        <v>3.3627162912177606E-2</v>
      </c>
      <c r="L3" s="13">
        <f>IFERROR('QTR CF'!L3/'QTR P&amp;L'!L2,"")</f>
        <v>3.5256251547412729E-2</v>
      </c>
      <c r="M3" s="13">
        <f>IFERROR('QTR CF'!M3/'QTR P&amp;L'!M2,"")</f>
        <v>3.7064095071108513E-2</v>
      </c>
      <c r="N3" s="13">
        <f>IFERROR('QTR CF'!N3/'QTR P&amp;L'!N2,"")</f>
        <v>3.3491282145650274E-2</v>
      </c>
      <c r="O3" s="13">
        <f>IFERROR('QTR CF'!O3/'QTR P&amp;L'!O2,"")</f>
        <v>3.2263961246686776E-2</v>
      </c>
      <c r="P3" s="13">
        <f>IFERROR('QTR CF'!P3/'QTR P&amp;L'!P2,"")</f>
        <v>3.4890776699029125E-2</v>
      </c>
      <c r="Q3" s="13">
        <f>IFERROR('QTR CF'!Q3/'QTR P&amp;L'!Q2,"")</f>
        <v>3.4611518023840299E-2</v>
      </c>
      <c r="R3" s="13">
        <f>IFERROR('QTR CF'!R3/'QTR P&amp;L'!R2,"")</f>
        <v>3.3994460823729117E-2</v>
      </c>
      <c r="S3" s="13">
        <f>IFERROR('QTR CF'!S3/'QTR P&amp;L'!S2,"")</f>
        <v>3.6113112391930838E-2</v>
      </c>
      <c r="T3" s="14">
        <f t="shared" ref="T3:AO3" si="0">S3</f>
        <v>3.6113112391930838E-2</v>
      </c>
      <c r="U3" s="14">
        <f t="shared" si="0"/>
        <v>3.6113112391930838E-2</v>
      </c>
      <c r="V3" s="14">
        <f t="shared" si="0"/>
        <v>3.6113112391930838E-2</v>
      </c>
      <c r="W3" s="14">
        <f t="shared" si="0"/>
        <v>3.6113112391930838E-2</v>
      </c>
      <c r="X3" s="14">
        <f t="shared" si="0"/>
        <v>3.6113112391930838E-2</v>
      </c>
      <c r="Y3" s="14">
        <f t="shared" si="0"/>
        <v>3.6113112391930838E-2</v>
      </c>
      <c r="Z3" s="14">
        <f t="shared" si="0"/>
        <v>3.6113112391930838E-2</v>
      </c>
      <c r="AA3" s="14">
        <f t="shared" si="0"/>
        <v>3.6113112391930838E-2</v>
      </c>
      <c r="AB3" s="14">
        <f t="shared" si="0"/>
        <v>3.6113112391930838E-2</v>
      </c>
      <c r="AC3" s="14">
        <f t="shared" si="0"/>
        <v>3.6113112391930838E-2</v>
      </c>
      <c r="AD3" s="14">
        <f t="shared" si="0"/>
        <v>3.6113112391930838E-2</v>
      </c>
      <c r="AE3" s="14">
        <f t="shared" si="0"/>
        <v>3.6113112391930838E-2</v>
      </c>
      <c r="AF3" s="14">
        <f t="shared" si="0"/>
        <v>3.6113112391930838E-2</v>
      </c>
      <c r="AG3" s="14">
        <f t="shared" si="0"/>
        <v>3.6113112391930838E-2</v>
      </c>
      <c r="AH3" s="14">
        <f t="shared" si="0"/>
        <v>3.6113112391930838E-2</v>
      </c>
      <c r="AI3" s="14">
        <f t="shared" si="0"/>
        <v>3.6113112391930838E-2</v>
      </c>
      <c r="AJ3" s="14">
        <f t="shared" si="0"/>
        <v>3.6113112391930838E-2</v>
      </c>
      <c r="AK3" s="14">
        <f t="shared" si="0"/>
        <v>3.6113112391930838E-2</v>
      </c>
      <c r="AL3" s="14">
        <f t="shared" si="0"/>
        <v>3.6113112391930838E-2</v>
      </c>
      <c r="AM3" s="14">
        <f t="shared" si="0"/>
        <v>3.6113112391930838E-2</v>
      </c>
      <c r="AN3" s="14">
        <f t="shared" si="0"/>
        <v>3.6113112391930838E-2</v>
      </c>
      <c r="AO3" s="14">
        <f t="shared" si="0"/>
        <v>3.6113112391930838E-2</v>
      </c>
    </row>
    <row r="4" spans="1:41" x14ac:dyDescent="0.25">
      <c r="A4" s="3" t="s">
        <v>60</v>
      </c>
      <c r="B4" s="4">
        <f>'QTR CF'!B4</f>
        <v>0</v>
      </c>
      <c r="C4" s="4">
        <f>'QTR CF'!C4</f>
        <v>0</v>
      </c>
      <c r="D4" s="4">
        <f>'QTR CF'!D4</f>
        <v>0</v>
      </c>
      <c r="E4" s="4">
        <f>'QTR CF'!E4</f>
        <v>0</v>
      </c>
      <c r="F4" s="4">
        <f>'QTR CF'!F4</f>
        <v>0</v>
      </c>
      <c r="G4" s="4">
        <f>'QTR CF'!G4</f>
        <v>0</v>
      </c>
      <c r="H4" s="4">
        <f>'QTR CF'!H4</f>
        <v>0</v>
      </c>
      <c r="I4" s="4">
        <f>'QTR CF'!I4</f>
        <v>0</v>
      </c>
      <c r="J4" s="4">
        <f>'QTR CF'!J4</f>
        <v>0</v>
      </c>
      <c r="K4" s="4">
        <f>'QTR CF'!K4</f>
        <v>0</v>
      </c>
      <c r="L4" s="4">
        <f>'QTR CF'!L4</f>
        <v>0</v>
      </c>
      <c r="M4" s="4">
        <f>'QTR CF'!M4</f>
        <v>0</v>
      </c>
      <c r="N4" s="4">
        <f>'QTR CF'!N4</f>
        <v>0</v>
      </c>
      <c r="O4" s="4">
        <f>'QTR CF'!O4</f>
        <v>0</v>
      </c>
      <c r="P4" s="4">
        <f>'QTR CF'!P4</f>
        <v>0</v>
      </c>
      <c r="Q4" s="4">
        <f>'QTR CF'!Q4</f>
        <v>0</v>
      </c>
      <c r="R4" s="4">
        <f>'QTR CF'!R4</f>
        <v>0</v>
      </c>
      <c r="S4" s="4">
        <f>'QTR CF'!S4</f>
        <v>0</v>
      </c>
      <c r="T4" s="15">
        <v>0</v>
      </c>
      <c r="U4" s="15">
        <v>0</v>
      </c>
      <c r="V4" s="15">
        <v>0</v>
      </c>
      <c r="W4" s="15">
        <v>0</v>
      </c>
      <c r="X4" s="15">
        <v>0</v>
      </c>
      <c r="Y4" s="15">
        <v>0</v>
      </c>
      <c r="Z4" s="15">
        <v>0</v>
      </c>
      <c r="AA4" s="15">
        <v>0</v>
      </c>
      <c r="AB4" s="15">
        <v>0</v>
      </c>
      <c r="AC4" s="15">
        <v>0</v>
      </c>
      <c r="AD4" s="15">
        <v>0</v>
      </c>
      <c r="AE4" s="15">
        <v>0</v>
      </c>
      <c r="AF4" s="15">
        <v>0</v>
      </c>
      <c r="AG4" s="15">
        <v>0</v>
      </c>
      <c r="AH4" s="15">
        <v>0</v>
      </c>
      <c r="AI4" s="15">
        <v>0</v>
      </c>
      <c r="AJ4" s="15">
        <v>0</v>
      </c>
      <c r="AK4" s="15">
        <v>0</v>
      </c>
      <c r="AL4" s="15">
        <v>0</v>
      </c>
      <c r="AM4" s="15">
        <v>0</v>
      </c>
      <c r="AN4" s="15">
        <v>0</v>
      </c>
      <c r="AO4" s="15">
        <v>0</v>
      </c>
    </row>
    <row r="5" spans="1:41" x14ac:dyDescent="0.25">
      <c r="A5" s="3" t="s">
        <v>141</v>
      </c>
      <c r="B5" s="13">
        <f>IFERROR('QTR CF'!B5/'QTR P&amp;L'!B2,"")</f>
        <v>5.7036090077687085E-3</v>
      </c>
      <c r="C5" s="13">
        <f>IFERROR('QTR CF'!C5/'QTR P&amp;L'!C2,"")</f>
        <v>7.2543311220350307E-3</v>
      </c>
      <c r="D5" s="13">
        <f>IFERROR('QTR CF'!D5/'QTR P&amp;L'!D2,"")</f>
        <v>6.707600227026469E-3</v>
      </c>
      <c r="E5" s="13">
        <f>IFERROR('QTR CF'!E5/'QTR P&amp;L'!E2,"")</f>
        <v>6.6615424032795282E-3</v>
      </c>
      <c r="F5" s="13">
        <f>IFERROR('QTR CF'!F5/'QTR P&amp;L'!F2,"")</f>
        <v>5.0941199301377839E-3</v>
      </c>
      <c r="G5" s="13">
        <f>IFERROR('QTR CF'!G5/'QTR P&amp;L'!G2,"")</f>
        <v>6.9802147017763447E-3</v>
      </c>
      <c r="H5" s="13">
        <f>IFERROR('QTR CF'!H5/'QTR P&amp;L'!H2,"")</f>
        <v>7.7735698624676105E-3</v>
      </c>
      <c r="I5" s="13">
        <f>IFERROR('QTR CF'!I5/'QTR P&amp;L'!I2,"")</f>
        <v>6.7630029679365544E-3</v>
      </c>
      <c r="J5" s="13">
        <f>IFERROR('QTR CF'!J5/'QTR P&amp;L'!J2,"")</f>
        <v>5.7153308033468979E-3</v>
      </c>
      <c r="K5" s="13">
        <f>IFERROR('QTR CF'!K5/'QTR P&amp;L'!K2,"")</f>
        <v>6.9959423534350076E-3</v>
      </c>
      <c r="L5" s="13">
        <f>IFERROR('QTR CF'!L5/'QTR P&amp;L'!L2,"")</f>
        <v>7.8237187422629372E-3</v>
      </c>
      <c r="M5" s="13">
        <f>IFERROR('QTR CF'!M5/'QTR P&amp;L'!M2,"")</f>
        <v>6.2828755113968435E-3</v>
      </c>
      <c r="N5" s="13">
        <f>IFERROR('QTR CF'!N5/'QTR P&amp;L'!N2,"")</f>
        <v>4.8304733863918665E-3</v>
      </c>
      <c r="O5" s="13">
        <f>IFERROR('QTR CF'!O5/'QTR P&amp;L'!O2,"")</f>
        <v>6.2151540078603422E-3</v>
      </c>
      <c r="P5" s="13">
        <f>IFERROR('QTR CF'!P5/'QTR P&amp;L'!P2,"")</f>
        <v>6.2196601941747571E-3</v>
      </c>
      <c r="Q5" s="13">
        <f>IFERROR('QTR CF'!Q5/'QTR P&amp;L'!Q2,"")</f>
        <v>5.3616736081191054E-3</v>
      </c>
      <c r="R5" s="13">
        <f>IFERROR('QTR CF'!R5/'QTR P&amp;L'!R2,"")</f>
        <v>5.405163941749308E-3</v>
      </c>
      <c r="S5" s="13">
        <f>IFERROR('QTR CF'!S5/'QTR P&amp;L'!S2,"")</f>
        <v>6.3490634005763692E-3</v>
      </c>
      <c r="T5" s="14">
        <f t="shared" ref="T5:AO5" si="1">S5</f>
        <v>6.3490634005763692E-3</v>
      </c>
      <c r="U5" s="14">
        <f t="shared" si="1"/>
        <v>6.3490634005763692E-3</v>
      </c>
      <c r="V5" s="14">
        <f t="shared" si="1"/>
        <v>6.3490634005763692E-3</v>
      </c>
      <c r="W5" s="14">
        <f t="shared" si="1"/>
        <v>6.3490634005763692E-3</v>
      </c>
      <c r="X5" s="14">
        <f t="shared" si="1"/>
        <v>6.3490634005763692E-3</v>
      </c>
      <c r="Y5" s="14">
        <f t="shared" si="1"/>
        <v>6.3490634005763692E-3</v>
      </c>
      <c r="Z5" s="14">
        <f t="shared" si="1"/>
        <v>6.3490634005763692E-3</v>
      </c>
      <c r="AA5" s="14">
        <f t="shared" si="1"/>
        <v>6.3490634005763692E-3</v>
      </c>
      <c r="AB5" s="14">
        <f t="shared" si="1"/>
        <v>6.3490634005763692E-3</v>
      </c>
      <c r="AC5" s="14">
        <f t="shared" si="1"/>
        <v>6.3490634005763692E-3</v>
      </c>
      <c r="AD5" s="14">
        <f t="shared" si="1"/>
        <v>6.3490634005763692E-3</v>
      </c>
      <c r="AE5" s="14">
        <f t="shared" si="1"/>
        <v>6.3490634005763692E-3</v>
      </c>
      <c r="AF5" s="14">
        <f t="shared" si="1"/>
        <v>6.3490634005763692E-3</v>
      </c>
      <c r="AG5" s="14">
        <f t="shared" si="1"/>
        <v>6.3490634005763692E-3</v>
      </c>
      <c r="AH5" s="14">
        <f t="shared" si="1"/>
        <v>6.3490634005763692E-3</v>
      </c>
      <c r="AI5" s="14">
        <f t="shared" si="1"/>
        <v>6.3490634005763692E-3</v>
      </c>
      <c r="AJ5" s="14">
        <f t="shared" si="1"/>
        <v>6.3490634005763692E-3</v>
      </c>
      <c r="AK5" s="14">
        <f t="shared" si="1"/>
        <v>6.3490634005763692E-3</v>
      </c>
      <c r="AL5" s="14">
        <f t="shared" si="1"/>
        <v>6.3490634005763692E-3</v>
      </c>
      <c r="AM5" s="14">
        <f t="shared" si="1"/>
        <v>6.3490634005763692E-3</v>
      </c>
      <c r="AN5" s="14">
        <f t="shared" si="1"/>
        <v>6.3490634005763692E-3</v>
      </c>
      <c r="AO5" s="14">
        <f t="shared" si="1"/>
        <v>6.3490634005763692E-3</v>
      </c>
    </row>
    <row r="6" spans="1:41" x14ac:dyDescent="0.25">
      <c r="A6" s="3" t="s">
        <v>62</v>
      </c>
      <c r="B6" s="4">
        <f>'QTR CF'!B6</f>
        <v>57</v>
      </c>
      <c r="C6" s="4">
        <f>'QTR CF'!C6</f>
        <v>-158</v>
      </c>
      <c r="D6" s="4">
        <f>'QTR CF'!D6</f>
        <v>-158</v>
      </c>
      <c r="E6" s="4">
        <f>'QTR CF'!E6</f>
        <v>-143</v>
      </c>
      <c r="F6" s="4">
        <f>'QTR CF'!F6</f>
        <v>-130</v>
      </c>
      <c r="G6" s="4">
        <f>'QTR CF'!G6</f>
        <v>-268</v>
      </c>
      <c r="H6" s="4">
        <f>'QTR CF'!H6</f>
        <v>38</v>
      </c>
      <c r="I6" s="4">
        <f>'QTR CF'!I6</f>
        <v>-93</v>
      </c>
      <c r="J6" s="4">
        <f>'QTR CF'!J6</f>
        <v>102</v>
      </c>
      <c r="K6" s="4">
        <f>'QTR CF'!K6</f>
        <v>-256</v>
      </c>
      <c r="L6" s="4">
        <f>'QTR CF'!L6</f>
        <v>-52</v>
      </c>
      <c r="M6" s="4">
        <f>'QTR CF'!M6</f>
        <v>-38</v>
      </c>
      <c r="N6" s="4">
        <f>'QTR CF'!N6</f>
        <v>184</v>
      </c>
      <c r="O6" s="4">
        <f>'QTR CF'!O6</f>
        <v>37</v>
      </c>
      <c r="P6" s="4">
        <f>'QTR CF'!P6</f>
        <v>-38</v>
      </c>
      <c r="Q6" s="4">
        <f>'QTR CF'!Q6</f>
        <v>-34</v>
      </c>
      <c r="R6" s="4">
        <f>'QTR CF'!R6</f>
        <v>53</v>
      </c>
      <c r="S6" s="4">
        <f>'QTR CF'!S6</f>
        <v>143</v>
      </c>
      <c r="T6" s="15">
        <v>0</v>
      </c>
      <c r="U6" s="15">
        <v>0</v>
      </c>
      <c r="V6" s="15">
        <v>0</v>
      </c>
      <c r="W6" s="15">
        <v>0</v>
      </c>
      <c r="X6" s="15">
        <v>0</v>
      </c>
      <c r="Y6" s="15">
        <v>0</v>
      </c>
      <c r="Z6" s="15">
        <v>0</v>
      </c>
      <c r="AA6" s="15">
        <v>0</v>
      </c>
      <c r="AB6" s="15">
        <v>0</v>
      </c>
      <c r="AC6" s="15">
        <v>0</v>
      </c>
      <c r="AD6" s="15">
        <v>0</v>
      </c>
      <c r="AE6" s="15">
        <v>0</v>
      </c>
      <c r="AF6" s="15">
        <v>0</v>
      </c>
      <c r="AG6" s="15">
        <v>0</v>
      </c>
      <c r="AH6" s="15">
        <v>0</v>
      </c>
      <c r="AI6" s="15">
        <v>0</v>
      </c>
      <c r="AJ6" s="15">
        <v>0</v>
      </c>
      <c r="AK6" s="15">
        <v>0</v>
      </c>
      <c r="AL6" s="15">
        <v>0</v>
      </c>
      <c r="AM6" s="15">
        <v>0</v>
      </c>
      <c r="AN6" s="15">
        <v>0</v>
      </c>
      <c r="AO6" s="15">
        <v>0</v>
      </c>
    </row>
    <row r="7" spans="1:41" x14ac:dyDescent="0.25">
      <c r="A7" s="3" t="s">
        <v>63</v>
      </c>
      <c r="B7" s="4">
        <f>'QTR CF'!B7</f>
        <v>-73</v>
      </c>
      <c r="C7" s="4">
        <f>'QTR CF'!C7</f>
        <v>-9</v>
      </c>
      <c r="D7" s="4">
        <f>'QTR CF'!D7</f>
        <v>-2</v>
      </c>
      <c r="E7" s="4">
        <f>'QTR CF'!E7</f>
        <v>-1</v>
      </c>
      <c r="F7" s="4">
        <f>'QTR CF'!F7</f>
        <v>-1</v>
      </c>
      <c r="G7" s="4">
        <f>'QTR CF'!G7</f>
        <v>-2</v>
      </c>
      <c r="H7" s="4">
        <f>'QTR CF'!H7</f>
        <v>-1</v>
      </c>
      <c r="I7" s="4">
        <f>'QTR CF'!I7</f>
        <v>-36</v>
      </c>
      <c r="J7" s="4">
        <f>'QTR CF'!J7</f>
        <v>-3</v>
      </c>
      <c r="K7" s="4">
        <f>'QTR CF'!K7</f>
        <v>0</v>
      </c>
      <c r="L7" s="4">
        <f>'QTR CF'!L7</f>
        <v>-48</v>
      </c>
      <c r="M7" s="4">
        <f>'QTR CF'!M7</f>
        <v>-164</v>
      </c>
      <c r="N7" s="4">
        <f>'QTR CF'!N7</f>
        <v>794</v>
      </c>
      <c r="O7" s="4">
        <f>'QTR CF'!O7</f>
        <v>-7</v>
      </c>
      <c r="P7" s="4">
        <f>'QTR CF'!P7</f>
        <v>-5</v>
      </c>
      <c r="Q7" s="4">
        <f>'QTR CF'!Q7</f>
        <v>-27</v>
      </c>
      <c r="R7" s="4">
        <f>'QTR CF'!R7</f>
        <v>-3</v>
      </c>
      <c r="S7" s="4">
        <f>'QTR CF'!S7</f>
        <v>4</v>
      </c>
      <c r="T7" s="15">
        <v>0</v>
      </c>
      <c r="U7" s="15">
        <v>0</v>
      </c>
      <c r="V7" s="15">
        <v>0</v>
      </c>
      <c r="W7" s="15">
        <v>0</v>
      </c>
      <c r="X7" s="15">
        <v>0</v>
      </c>
      <c r="Y7" s="15">
        <v>0</v>
      </c>
      <c r="Z7" s="15">
        <v>0</v>
      </c>
      <c r="AA7" s="15">
        <v>0</v>
      </c>
      <c r="AB7" s="15">
        <v>0</v>
      </c>
      <c r="AC7" s="15">
        <v>0</v>
      </c>
      <c r="AD7" s="15">
        <v>0</v>
      </c>
      <c r="AE7" s="15">
        <v>0</v>
      </c>
      <c r="AF7" s="15">
        <v>0</v>
      </c>
      <c r="AG7" s="15">
        <v>0</v>
      </c>
      <c r="AH7" s="15">
        <v>0</v>
      </c>
      <c r="AI7" s="15">
        <v>0</v>
      </c>
      <c r="AJ7" s="15">
        <v>0</v>
      </c>
      <c r="AK7" s="15">
        <v>0</v>
      </c>
      <c r="AL7" s="15">
        <v>0</v>
      </c>
      <c r="AM7" s="15">
        <v>0</v>
      </c>
      <c r="AN7" s="15">
        <v>0</v>
      </c>
      <c r="AO7" s="15">
        <v>0</v>
      </c>
    </row>
    <row r="8" spans="1:41" x14ac:dyDescent="0.25">
      <c r="A8" s="3" t="s">
        <v>20</v>
      </c>
      <c r="B8" s="4">
        <f>'QTR CF'!B8</f>
        <v>0</v>
      </c>
      <c r="C8" s="4">
        <f>'QTR CF'!C8</f>
        <v>0</v>
      </c>
      <c r="D8" s="4">
        <f>'QTR CF'!D8</f>
        <v>0</v>
      </c>
      <c r="E8" s="4">
        <f>'QTR CF'!E8</f>
        <v>0</v>
      </c>
      <c r="F8" s="4">
        <f>'QTR CF'!F8</f>
        <v>0</v>
      </c>
      <c r="G8" s="4">
        <f>'QTR CF'!G8</f>
        <v>0</v>
      </c>
      <c r="H8" s="4">
        <f>'QTR CF'!H8</f>
        <v>0</v>
      </c>
      <c r="I8" s="4">
        <f>'QTR CF'!I8</f>
        <v>0</v>
      </c>
      <c r="J8" s="4">
        <f>'QTR CF'!J8</f>
        <v>0</v>
      </c>
      <c r="K8" s="4">
        <f>'QTR CF'!K8</f>
        <v>1341</v>
      </c>
      <c r="L8" s="4">
        <f>'QTR CF'!L8</f>
        <v>0</v>
      </c>
      <c r="M8" s="4">
        <f>'QTR CF'!M8</f>
        <v>0</v>
      </c>
      <c r="N8" s="4">
        <f>'QTR CF'!N8</f>
        <v>0</v>
      </c>
      <c r="O8" s="4">
        <f>'QTR CF'!O8</f>
        <v>0</v>
      </c>
      <c r="P8" s="4">
        <f>'QTR CF'!P8</f>
        <v>0</v>
      </c>
      <c r="Q8" s="4">
        <f>'QTR CF'!Q8</f>
        <v>0</v>
      </c>
      <c r="R8" s="4">
        <f>'QTR CF'!R8</f>
        <v>0</v>
      </c>
      <c r="S8" s="4">
        <f>'QTR CF'!S8</f>
        <v>0</v>
      </c>
      <c r="T8" s="15">
        <v>0</v>
      </c>
      <c r="U8" s="15">
        <v>0</v>
      </c>
      <c r="V8" s="15">
        <v>0</v>
      </c>
      <c r="W8" s="15">
        <v>0</v>
      </c>
      <c r="X8" s="15">
        <v>0</v>
      </c>
      <c r="Y8" s="15">
        <v>0</v>
      </c>
      <c r="Z8" s="15">
        <v>0</v>
      </c>
      <c r="AA8" s="15">
        <v>0</v>
      </c>
      <c r="AB8" s="15">
        <v>0</v>
      </c>
      <c r="AC8" s="15">
        <v>0</v>
      </c>
      <c r="AD8" s="15">
        <v>0</v>
      </c>
      <c r="AE8" s="15">
        <v>0</v>
      </c>
      <c r="AF8" s="15">
        <v>0</v>
      </c>
      <c r="AG8" s="15">
        <v>0</v>
      </c>
      <c r="AH8" s="15">
        <v>0</v>
      </c>
      <c r="AI8" s="15">
        <v>0</v>
      </c>
      <c r="AJ8" s="15">
        <v>0</v>
      </c>
      <c r="AK8" s="15">
        <v>0</v>
      </c>
      <c r="AL8" s="15">
        <v>0</v>
      </c>
      <c r="AM8" s="15">
        <v>0</v>
      </c>
      <c r="AN8" s="15">
        <v>0</v>
      </c>
      <c r="AO8" s="15">
        <v>0</v>
      </c>
    </row>
    <row r="9" spans="1:41" x14ac:dyDescent="0.25">
      <c r="A9" s="3" t="s">
        <v>32</v>
      </c>
      <c r="B9" s="4">
        <f>'QTR CF'!B9</f>
        <v>-1012</v>
      </c>
      <c r="C9" s="4">
        <f>'QTR CF'!C9</f>
        <v>368</v>
      </c>
      <c r="D9" s="4">
        <f>'QTR CF'!D9</f>
        <v>-272</v>
      </c>
      <c r="E9" s="4">
        <f>'QTR CF'!E9</f>
        <v>222</v>
      </c>
      <c r="F9" s="4">
        <f>'QTR CF'!F9</f>
        <v>-740</v>
      </c>
      <c r="G9" s="4">
        <f>'QTR CF'!G9</f>
        <v>86</v>
      </c>
      <c r="H9" s="4">
        <f>'QTR CF'!H9</f>
        <v>353</v>
      </c>
      <c r="I9" s="4">
        <f>'QTR CF'!I9</f>
        <v>-6</v>
      </c>
      <c r="J9" s="4">
        <f>'QTR CF'!J9</f>
        <v>-830</v>
      </c>
      <c r="K9" s="4">
        <f>'QTR CF'!K9</f>
        <v>-9</v>
      </c>
      <c r="L9" s="4">
        <f>'QTR CF'!L9</f>
        <v>147</v>
      </c>
      <c r="M9" s="4">
        <f>'QTR CF'!M9</f>
        <v>-74</v>
      </c>
      <c r="N9" s="4">
        <f>'QTR CF'!N9</f>
        <v>-134</v>
      </c>
      <c r="O9" s="4">
        <f>'QTR CF'!O9</f>
        <v>-128</v>
      </c>
      <c r="P9" s="4">
        <f>'QTR CF'!P9</f>
        <v>183</v>
      </c>
      <c r="Q9" s="4">
        <f>'QTR CF'!Q9</f>
        <v>124</v>
      </c>
      <c r="R9" s="4">
        <f>'QTR CF'!R9</f>
        <v>-305</v>
      </c>
      <c r="S9" s="4">
        <f>'QTR CF'!S9</f>
        <v>213</v>
      </c>
      <c r="T9" s="4">
        <f>-('QTR BS'!Q3-'QTR BS'!P3)</f>
        <v>604.31285988483705</v>
      </c>
      <c r="U9" s="4">
        <f>-('QTR BS'!R3-'QTR BS'!Q3)</f>
        <v>-319.37332053742739</v>
      </c>
      <c r="V9" s="4">
        <f>-('QTR BS'!S3-'QTR BS'!R3)</f>
        <v>-429.56142034548884</v>
      </c>
      <c r="W9" s="4">
        <f>-('QTR BS'!T3-'QTR BS'!S3)</f>
        <v>51.076775431861279</v>
      </c>
      <c r="X9" s="4">
        <f>-('QTR BS'!U3-'QTR BS'!T3)</f>
        <v>613.31596711097973</v>
      </c>
      <c r="Y9" s="4">
        <f>-('QTR BS'!V3-'QTR BS'!U3)</f>
        <v>-324.13137293187174</v>
      </c>
      <c r="Z9" s="4">
        <f>-('QTR BS'!W3-'QTR BS'!V3)</f>
        <v>-435.96106494070955</v>
      </c>
      <c r="AA9" s="4">
        <f>-('QTR BS'!X3-'QTR BS'!W3)</f>
        <v>51.837721816597877</v>
      </c>
      <c r="AB9" s="4">
        <f>-('QTR BS'!Y3-'QTR BS'!X3)</f>
        <v>622.45320343664298</v>
      </c>
      <c r="AC9" s="4">
        <f>-('QTR BS'!Z3-'QTR BS'!Y3)</f>
        <v>-328.96031121794113</v>
      </c>
      <c r="AD9" s="4">
        <f>-('QTR BS'!AA3-'QTR BS'!Z3)</f>
        <v>-442.45605201550552</v>
      </c>
      <c r="AE9" s="4">
        <f>-('QTR BS'!AB3-'QTR BS'!AA3)</f>
        <v>52.610004848870631</v>
      </c>
      <c r="AF9" s="4">
        <f>-('QTR BS'!AC3-'QTR BS'!AB3)</f>
        <v>631.72656712919252</v>
      </c>
      <c r="AG9" s="4">
        <f>-('QTR BS'!AD3-'QTR BS'!AC3)</f>
        <v>-333.86119146001602</v>
      </c>
      <c r="AH9" s="4">
        <f>-('QTR BS'!AE3-'QTR BS'!AD3)</f>
        <v>-449.04780199069137</v>
      </c>
      <c r="AI9" s="4">
        <f>-('QTR BS'!AF3-'QTR BS'!AE3)</f>
        <v>53.393793423076204</v>
      </c>
      <c r="AJ9" s="4">
        <f>-('QTR BS'!AG3-'QTR BS'!AF3)</f>
        <v>641.13808622635224</v>
      </c>
      <c r="AK9" s="4">
        <f>-('QTR BS'!AH3-'QTR BS'!AG3)</f>
        <v>-338.83508545580753</v>
      </c>
      <c r="AL9" s="4">
        <f>-('QTR BS'!AI3-'QTR BS'!AH3)</f>
        <v>-455.73775644864691</v>
      </c>
      <c r="AM9" s="4">
        <f>-('QTR BS'!AJ3-'QTR BS'!AI3)</f>
        <v>54.189258949805662</v>
      </c>
      <c r="AN9" s="4">
        <f>-('QTR BS'!AK3-'QTR BS'!AJ3)</f>
        <v>650.68981897975027</v>
      </c>
      <c r="AO9" s="4">
        <f>-('QTR BS'!AL3-'QTR BS'!AK3)</f>
        <v>-343.88308097078152</v>
      </c>
    </row>
    <row r="10" spans="1:41" x14ac:dyDescent="0.25">
      <c r="A10" s="3" t="s">
        <v>33</v>
      </c>
      <c r="B10" s="4">
        <f>'QTR CF'!B10</f>
        <v>-409</v>
      </c>
      <c r="C10" s="4">
        <f>'QTR CF'!C10</f>
        <v>-431</v>
      </c>
      <c r="D10" s="4">
        <f>'QTR CF'!D10</f>
        <v>-412</v>
      </c>
      <c r="E10" s="4">
        <f>'QTR CF'!E10</f>
        <v>5</v>
      </c>
      <c r="F10" s="4">
        <f>'QTR CF'!F10</f>
        <v>-893</v>
      </c>
      <c r="G10" s="4">
        <f>'QTR CF'!G10</f>
        <v>238</v>
      </c>
      <c r="H10" s="4">
        <f>'QTR CF'!H10</f>
        <v>152</v>
      </c>
      <c r="I10" s="4">
        <f>'QTR CF'!I10</f>
        <v>384</v>
      </c>
      <c r="J10" s="4">
        <f>'QTR CF'!J10</f>
        <v>-142</v>
      </c>
      <c r="K10" s="4">
        <f>'QTR CF'!K10</f>
        <v>110</v>
      </c>
      <c r="L10" s="4">
        <f>'QTR CF'!L10</f>
        <v>-15</v>
      </c>
      <c r="M10" s="4">
        <f>'QTR CF'!M10</f>
        <v>-23</v>
      </c>
      <c r="N10" s="4">
        <f>'QTR CF'!N10</f>
        <v>-188</v>
      </c>
      <c r="O10" s="4">
        <f>'QTR CF'!O10</f>
        <v>18</v>
      </c>
      <c r="P10" s="4">
        <f>'QTR CF'!P10</f>
        <v>-239</v>
      </c>
      <c r="Q10" s="4">
        <f>'QTR CF'!Q10</f>
        <v>85</v>
      </c>
      <c r="R10" s="4">
        <f>'QTR CF'!R10</f>
        <v>-303</v>
      </c>
      <c r="S10" s="4">
        <f>'QTR CF'!S10</f>
        <v>48</v>
      </c>
      <c r="T10" s="4">
        <f>-('QTR BS'!Q4-'QTR BS'!P4)</f>
        <v>752.3353441184554</v>
      </c>
      <c r="U10" s="4">
        <f>-('QTR BS'!R4-'QTR BS'!Q4)</f>
        <v>-397.60172744721785</v>
      </c>
      <c r="V10" s="4">
        <f>-('QTR BS'!S4-'QTR BS'!R4)</f>
        <v>-534.77968193035304</v>
      </c>
      <c r="W10" s="4">
        <f>-('QTR BS'!T4-'QTR BS'!S4)</f>
        <v>63.587697651037161</v>
      </c>
      <c r="X10" s="4">
        <f>-('QTR BS'!U4-'QTR BS'!T4)</f>
        <v>763.54370360033954</v>
      </c>
      <c r="Y10" s="4">
        <f>-('QTR BS'!V4-'QTR BS'!U4)</f>
        <v>-403.52523366912737</v>
      </c>
      <c r="Z10" s="4">
        <f>-('QTR BS'!W4-'QTR BS'!V4)</f>
        <v>-542.74687763043767</v>
      </c>
      <c r="AA10" s="4">
        <f>-('QTR BS'!X4-'QTR BS'!W4)</f>
        <v>64.535032877900449</v>
      </c>
      <c r="AB10" s="4">
        <f>-('QTR BS'!Y4-'QTR BS'!X4)</f>
        <v>774.91904622778202</v>
      </c>
      <c r="AC10" s="4">
        <f>-('QTR BS'!Z4-'QTR BS'!Y4)</f>
        <v>-409.53698881838591</v>
      </c>
      <c r="AD10" s="4">
        <f>-('QTR BS'!AA4-'QTR BS'!Z4)</f>
        <v>-550.8327693271558</v>
      </c>
      <c r="AE10" s="4">
        <f>-('QTR BS'!AB4-'QTR BS'!AA4)</f>
        <v>65.496481590002986</v>
      </c>
      <c r="AF10" s="4">
        <f>-('QTR BS'!AC4-'QTR BS'!AB4)</f>
        <v>786.46385973067299</v>
      </c>
      <c r="AG10" s="4">
        <f>-('QTR BS'!AD4-'QTR BS'!AC4)</f>
        <v>-415.63830763544229</v>
      </c>
      <c r="AH10" s="4">
        <f>-('QTR BS'!AE4-'QTR BS'!AD4)</f>
        <v>-559.03912536410826</v>
      </c>
      <c r="AI10" s="4">
        <f>-('QTR BS'!AF4-'QTR BS'!AE4)</f>
        <v>66.472254051310301</v>
      </c>
      <c r="AJ10" s="4">
        <f>-('QTR BS'!AG4-'QTR BS'!AF4)</f>
        <v>798.18066890132377</v>
      </c>
      <c r="AK10" s="4">
        <f>-('QTR BS'!AH4-'QTR BS'!AG4)</f>
        <v>-421.83052444785153</v>
      </c>
      <c r="AL10" s="4">
        <f>-('QTR BS'!AI4-'QTR BS'!AH4)</f>
        <v>-567.3677404298578</v>
      </c>
      <c r="AM10" s="4">
        <f>-('QTR BS'!AJ4-'QTR BS'!AI4)</f>
        <v>67.462563658327781</v>
      </c>
      <c r="AN10" s="4">
        <f>-('QTR BS'!AK4-'QTR BS'!AJ4)</f>
        <v>810.07203614663104</v>
      </c>
      <c r="AO10" s="4">
        <f>-('QTR BS'!AL4-'QTR BS'!AK4)</f>
        <v>-428.11499346210985</v>
      </c>
    </row>
    <row r="11" spans="1:41" x14ac:dyDescent="0.25">
      <c r="A11" s="3" t="s">
        <v>41</v>
      </c>
      <c r="B11" s="4">
        <f>'QTR CF'!B11</f>
        <v>1261</v>
      </c>
      <c r="C11" s="4">
        <f>'QTR CF'!C11</f>
        <v>170</v>
      </c>
      <c r="D11" s="4">
        <f>'QTR CF'!D11</f>
        <v>-84</v>
      </c>
      <c r="E11" s="4">
        <f>'QTR CF'!E11</f>
        <v>82</v>
      </c>
      <c r="F11" s="4">
        <f>'QTR CF'!F11</f>
        <v>1495</v>
      </c>
      <c r="G11" s="4">
        <f>'QTR CF'!G11</f>
        <v>-1318</v>
      </c>
      <c r="H11" s="4">
        <f>'QTR CF'!H11</f>
        <v>-786</v>
      </c>
      <c r="I11" s="4">
        <f>'QTR CF'!I11</f>
        <v>922</v>
      </c>
      <c r="J11" s="4">
        <f>'QTR CF'!J11</f>
        <v>857</v>
      </c>
      <c r="K11" s="4">
        <f>'QTR CF'!K11</f>
        <v>-555</v>
      </c>
      <c r="L11" s="4">
        <f>'QTR CF'!L11</f>
        <v>-246</v>
      </c>
      <c r="M11" s="4">
        <f>'QTR CF'!M11</f>
        <v>1758</v>
      </c>
      <c r="N11" s="4">
        <f>'QTR CF'!N11</f>
        <v>-648</v>
      </c>
      <c r="O11" s="4">
        <f>'QTR CF'!O11</f>
        <v>-509</v>
      </c>
      <c r="P11" s="4">
        <f>'QTR CF'!P11</f>
        <v>-509</v>
      </c>
      <c r="Q11" s="4">
        <f>'QTR CF'!Q11</f>
        <v>1124</v>
      </c>
      <c r="R11" s="4">
        <f>'QTR CF'!R11</f>
        <v>648</v>
      </c>
      <c r="S11" s="4">
        <f>'QTR CF'!S11</f>
        <v>-409</v>
      </c>
      <c r="T11" s="4">
        <f>('QTR BS'!Q12-'QTR BS'!P12)</f>
        <v>-1460.3024403619438</v>
      </c>
      <c r="U11" s="4">
        <f>('QTR BS'!R12-'QTR BS'!Q12)</f>
        <v>771.75527831094041</v>
      </c>
      <c r="V11" s="4">
        <f>('QTR BS'!S12-'QTR BS'!R12)</f>
        <v>1038.0212503427465</v>
      </c>
      <c r="W11" s="4">
        <f>('QTR BS'!T12-'QTR BS'!S12)</f>
        <v>-123.4253724522423</v>
      </c>
      <c r="X11" s="4">
        <f>('QTR BS'!U12-'QTR BS'!T12)</f>
        <v>-1482.0581571866387</v>
      </c>
      <c r="Y11" s="4">
        <f>('QTR BS'!V12-'QTR BS'!U12)</f>
        <v>783.25295771544916</v>
      </c>
      <c r="Z11" s="4">
        <f>('QTR BS'!W12-'QTR BS'!V12)</f>
        <v>1053.485784097049</v>
      </c>
      <c r="AA11" s="4">
        <f>('QTR BS'!X12-'QTR BS'!W12)</f>
        <v>-125.26417472897447</v>
      </c>
      <c r="AB11" s="4">
        <f>('QTR BS'!Y12-'QTR BS'!X12)</f>
        <v>-1504.137992633252</v>
      </c>
      <c r="AC11" s="4">
        <f>('QTR BS'!Z12-'QTR BS'!Y12)</f>
        <v>794.92193057968325</v>
      </c>
      <c r="AD11" s="4">
        <f>('QTR BS'!AA12-'QTR BS'!Z12)</f>
        <v>1069.1807098632344</v>
      </c>
      <c r="AE11" s="4">
        <f>('QTR BS'!AB12-'QTR BS'!AA12)</f>
        <v>-127.13037164706475</v>
      </c>
      <c r="AF11" s="4">
        <f>('QTR BS'!AC12-'QTR BS'!AB12)</f>
        <v>-1526.546775450106</v>
      </c>
      <c r="AG11" s="4">
        <f>('QTR BS'!AD12-'QTR BS'!AC12)</f>
        <v>806.76474884898926</v>
      </c>
      <c r="AH11" s="4">
        <f>('QTR BS'!AE12-'QTR BS'!AD12)</f>
        <v>1085.1094600421675</v>
      </c>
      <c r="AI11" s="4">
        <f>('QTR BS'!AF12-'QTR BS'!AE12)</f>
        <v>-129.02437133433887</v>
      </c>
      <c r="AJ11" s="4">
        <f>('QTR BS'!AG12-'QTR BS'!AF12)</f>
        <v>-1549.2894063246513</v>
      </c>
      <c r="AK11" s="4">
        <f>('QTR BS'!AH12-'QTR BS'!AG12)</f>
        <v>818.78400248781509</v>
      </c>
      <c r="AL11" s="4">
        <f>('QTR BS'!AI12-'QTR BS'!AH12)</f>
        <v>1101.2755181709381</v>
      </c>
      <c r="AM11" s="4">
        <f>('QTR BS'!AJ12-'QTR BS'!AI12)</f>
        <v>-130.94658799895114</v>
      </c>
      <c r="AN11" s="4">
        <f>('QTR BS'!AK12-'QTR BS'!AJ12)</f>
        <v>-1572.3708589552043</v>
      </c>
      <c r="AO11" s="4">
        <f>('QTR BS'!AL12-'QTR BS'!AK12)</f>
        <v>830.98232004612873</v>
      </c>
    </row>
    <row r="12" spans="1:41" x14ac:dyDescent="0.25">
      <c r="A12" s="3" t="s">
        <v>64</v>
      </c>
      <c r="B12" s="4">
        <f>'QTR CF'!B12</f>
        <v>-178</v>
      </c>
      <c r="C12" s="4">
        <f>'QTR CF'!C12</f>
        <v>94</v>
      </c>
      <c r="D12" s="4">
        <f>'QTR CF'!D12</f>
        <v>-47</v>
      </c>
      <c r="E12" s="4">
        <f>'QTR CF'!E12</f>
        <v>-504</v>
      </c>
      <c r="F12" s="4">
        <f>'QTR CF'!F12</f>
        <v>-454</v>
      </c>
      <c r="G12" s="4">
        <f>'QTR CF'!G12</f>
        <v>-81</v>
      </c>
      <c r="H12" s="4">
        <f>'QTR CF'!H12</f>
        <v>-304</v>
      </c>
      <c r="I12" s="4">
        <f>'QTR CF'!I12</f>
        <v>-268</v>
      </c>
      <c r="J12" s="4">
        <f>'QTR CF'!J12</f>
        <v>-671</v>
      </c>
      <c r="K12" s="4">
        <f>'QTR CF'!K12</f>
        <v>-33</v>
      </c>
      <c r="L12" s="4">
        <f>'QTR CF'!L12</f>
        <v>-492</v>
      </c>
      <c r="M12" s="4">
        <f>'QTR CF'!M12</f>
        <v>-218</v>
      </c>
      <c r="N12" s="4">
        <f>'QTR CF'!N12</f>
        <v>-558</v>
      </c>
      <c r="O12" s="4">
        <f>'QTR CF'!O12</f>
        <v>-190</v>
      </c>
      <c r="P12" s="4">
        <f>'QTR CF'!P12</f>
        <v>-377</v>
      </c>
      <c r="Q12" s="4">
        <f>'QTR CF'!Q12</f>
        <v>1125</v>
      </c>
      <c r="R12" s="4">
        <f>'QTR CF'!R12</f>
        <v>0</v>
      </c>
      <c r="S12" s="4">
        <f>'QTR CF'!S12</f>
        <v>0</v>
      </c>
      <c r="T12" s="4">
        <f>-('QTR BS'!Q5-'QTR BS'!P5)-('QTR BS'!Q10-'QTR BS'!P10)+('QTR BS'!Q13-'QTR BS'!P13)+('QTR BS'!Q18-'QTR BS'!P18)-('QTR BS'!Q8-'QTR BS'!P8)-('QTR BS'!Q9-'QTR BS'!P9)+('QTR BS'!Q14-'QTR BS'!P14)+('QTR BS'!Q16-'QTR BS'!P16)+('QTR BS'!Q17-'QTR BS'!P17)+('QTR BS'!Q21-'QTR BS'!P21)+('QTR BS'!Q23-'QTR BS'!P23)+('QTR BS'!Q25-'QTR BS'!P25)+('QTR BS'!Q27-'QTR BS'!P27)</f>
        <v>472.71236632848832</v>
      </c>
      <c r="U12" s="4">
        <f>-('QTR BS'!R5-'QTR BS'!Q5)-('QTR BS'!R10-'QTR BS'!Q10)+('QTR BS'!R13-'QTR BS'!Q13)+('QTR BS'!R18-'QTR BS'!Q18)-('QTR BS'!R8-'QTR BS'!Q8)-('QTR BS'!R9-'QTR BS'!Q9)+('QTR BS'!R14-'QTR BS'!Q14)+('QTR BS'!R16-'QTR BS'!Q16)+('QTR BS'!R17-'QTR BS'!Q17)+('QTR BS'!R21-'QTR BS'!Q21)+('QTR BS'!R23-'QTR BS'!Q23)+('QTR BS'!R25-'QTR BS'!Q25)+('QTR BS'!R27-'QTR BS'!Q27)</f>
        <v>86.824376199615926</v>
      </c>
      <c r="V12" s="4">
        <f>-('QTR BS'!S5-'QTR BS'!R5)-('QTR BS'!S10-'QTR BS'!R10)+('QTR BS'!S13-'QTR BS'!R13)+('QTR BS'!S18-'QTR BS'!R18)-('QTR BS'!S8-'QTR BS'!R8)-('QTR BS'!S9-'QTR BS'!R9)+('QTR BS'!S14-'QTR BS'!R14)+('QTR BS'!S16-'QTR BS'!R16)+('QTR BS'!S17-'QTR BS'!R17)+('QTR BS'!S21-'QTR BS'!R21)+('QTR BS'!S23-'QTR BS'!R23)+('QTR BS'!S25-'QTR BS'!R25)+('QTR BS'!S27-'QTR BS'!R27)</f>
        <v>116.77995612832342</v>
      </c>
      <c r="W12" s="4">
        <f>-('QTR BS'!T5-'QTR BS'!S5)-('QTR BS'!T10-'QTR BS'!S10)+('QTR BS'!T13-'QTR BS'!S13)+('QTR BS'!T18-'QTR BS'!S18)-('QTR BS'!T8-'QTR BS'!S8)-('QTR BS'!T9-'QTR BS'!S9)+('QTR BS'!T14-'QTR BS'!S14)+('QTR BS'!T16-'QTR BS'!S16)+('QTR BS'!T17-'QTR BS'!S17)+('QTR BS'!T21-'QTR BS'!S21)+('QTR BS'!T23-'QTR BS'!S23)+('QTR BS'!T25-'QTR BS'!S25)+('QTR BS'!T27-'QTR BS'!S27)</f>
        <v>-13.885659446119462</v>
      </c>
      <c r="X12" s="4">
        <f>-('QTR BS'!U5-'QTR BS'!T5)-('QTR BS'!U10-'QTR BS'!T10)+('QTR BS'!U13-'QTR BS'!T13)+('QTR BS'!U18-'QTR BS'!T18)-('QTR BS'!U8-'QTR BS'!T8)-('QTR BS'!U9-'QTR BS'!T9)+('QTR BS'!U14-'QTR BS'!T14)+('QTR BS'!U16-'QTR BS'!T16)+('QTR BS'!U17-'QTR BS'!T17)+('QTR BS'!U21-'QTR BS'!T21)+('QTR BS'!U23-'QTR BS'!T23)+('QTR BS'!U25-'QTR BS'!T25)+('QTR BS'!U27-'QTR BS'!T27)</f>
        <v>-166.73520558344308</v>
      </c>
      <c r="Y12" s="4">
        <f>-('QTR BS'!V5-'QTR BS'!U5)-('QTR BS'!V10-'QTR BS'!U10)+('QTR BS'!V13-'QTR BS'!U13)+('QTR BS'!V18-'QTR BS'!U18)-('QTR BS'!V8-'QTR BS'!U8)-('QTR BS'!V9-'QTR BS'!U9)+('QTR BS'!V14-'QTR BS'!U14)+('QTR BS'!V16-'QTR BS'!U16)+('QTR BS'!V17-'QTR BS'!U17)+('QTR BS'!V21-'QTR BS'!U21)+('QTR BS'!V23-'QTR BS'!U23)+('QTR BS'!V25-'QTR BS'!U25)+('QTR BS'!V27-'QTR BS'!U27)</f>
        <v>88.117893549084329</v>
      </c>
      <c r="Z12" s="4">
        <f>-('QTR BS'!W5-'QTR BS'!V5)-('QTR BS'!W10-'QTR BS'!V10)+('QTR BS'!W13-'QTR BS'!V13)+('QTR BS'!W18-'QTR BS'!V18)-('QTR BS'!W8-'QTR BS'!V8)-('QTR BS'!W9-'QTR BS'!V9)+('QTR BS'!W14-'QTR BS'!V14)+('QTR BS'!W16-'QTR BS'!V16)+('QTR BS'!W17-'QTR BS'!V17)+('QTR BS'!W21-'QTR BS'!V21)+('QTR BS'!W23-'QTR BS'!V23)+('QTR BS'!W25-'QTR BS'!V25)+('QTR BS'!W27-'QTR BS'!V27)</f>
        <v>118.51975439620969</v>
      </c>
      <c r="AA12" s="4">
        <f>-('QTR BS'!X5-'QTR BS'!W5)-('QTR BS'!X10-'QTR BS'!W10)+('QTR BS'!X13-'QTR BS'!W13)+('QTR BS'!X18-'QTR BS'!W18)-('QTR BS'!X8-'QTR BS'!W8)-('QTR BS'!X9-'QTR BS'!W9)+('QTR BS'!X14-'QTR BS'!W14)+('QTR BS'!X16-'QTR BS'!W16)+('QTR BS'!X17-'QTR BS'!W17)+('QTR BS'!X21-'QTR BS'!W21)+('QTR BS'!X23-'QTR BS'!W23)+('QTR BS'!X25-'QTR BS'!W25)+('QTR BS'!X27-'QTR BS'!W27)</f>
        <v>-14.092529246844606</v>
      </c>
      <c r="AB12" s="4">
        <f>-('QTR BS'!Y5-'QTR BS'!X5)-('QTR BS'!Y10-'QTR BS'!X10)+('QTR BS'!Y13-'QTR BS'!X13)+('QTR BS'!Y18-'QTR BS'!X18)-('QTR BS'!Y8-'QTR BS'!X8)-('QTR BS'!Y9-'QTR BS'!X9)+('QTR BS'!Y14-'QTR BS'!X14)+('QTR BS'!Y16-'QTR BS'!X16)+('QTR BS'!Y17-'QTR BS'!X17)+('QTR BS'!Y21-'QTR BS'!X21)+('QTR BS'!Y23-'QTR BS'!X23)+('QTR BS'!Y25-'QTR BS'!X25)+('QTR BS'!Y27-'QTR BS'!X27)</f>
        <v>-169.21924164139978</v>
      </c>
      <c r="AC12" s="4">
        <f>-('QTR BS'!Z5-'QTR BS'!Y5)-('QTR BS'!Z10-'QTR BS'!Y10)+('QTR BS'!Z13-'QTR BS'!Y13)+('QTR BS'!Z18-'QTR BS'!Y18)-('QTR BS'!Z8-'QTR BS'!Y8)-('QTR BS'!Z9-'QTR BS'!Y9)+('QTR BS'!Z14-'QTR BS'!Y14)+('QTR BS'!Z16-'QTR BS'!Y16)+('QTR BS'!Z17-'QTR BS'!Y17)+('QTR BS'!Z21-'QTR BS'!Y21)+('QTR BS'!Z23-'QTR BS'!Y23)+('QTR BS'!Z25-'QTR BS'!Y25)+('QTR BS'!Z27-'QTR BS'!Y27)</f>
        <v>89.430681836125586</v>
      </c>
      <c r="AD12" s="4">
        <f>-('QTR BS'!AA5-'QTR BS'!Z5)-('QTR BS'!AA10-'QTR BS'!Z10)+('QTR BS'!AA13-'QTR BS'!Z13)+('QTR BS'!AA18-'QTR BS'!Z18)-('QTR BS'!AA8-'QTR BS'!Z8)-('QTR BS'!AA9-'QTR BS'!Z9)+('QTR BS'!AA14-'QTR BS'!Z14)+('QTR BS'!AA16-'QTR BS'!Z16)+('QTR BS'!AA17-'QTR BS'!Z17)+('QTR BS'!AA21-'QTR BS'!Z21)+('QTR BS'!AA23-'QTR BS'!Z23)+('QTR BS'!AA25-'QTR BS'!Z25)+('QTR BS'!AA27-'QTR BS'!Z27)</f>
        <v>120.28547233483982</v>
      </c>
      <c r="AE12" s="4">
        <f>-('QTR BS'!AB5-'QTR BS'!AA5)-('QTR BS'!AB10-'QTR BS'!AA10)+('QTR BS'!AB13-'QTR BS'!AA13)+('QTR BS'!AB18-'QTR BS'!AA18)-('QTR BS'!AB8-'QTR BS'!AA8)-('QTR BS'!AB9-'QTR BS'!AA9)+('QTR BS'!AB14-'QTR BS'!AA14)+('QTR BS'!AB16-'QTR BS'!AA16)+('QTR BS'!AB17-'QTR BS'!AA17)+('QTR BS'!AB21-'QTR BS'!AA21)+('QTR BS'!AB23-'QTR BS'!AA23)+('QTR BS'!AB25-'QTR BS'!AA25)+('QTR BS'!AB27-'QTR BS'!AA27)</f>
        <v>-14.302481012427279</v>
      </c>
      <c r="AF12" s="4">
        <f>-('QTR BS'!AC5-'QTR BS'!AB5)-('QTR BS'!AC10-'QTR BS'!AB10)+('QTR BS'!AC13-'QTR BS'!AB13)+('QTR BS'!AC18-'QTR BS'!AB18)-('QTR BS'!AC8-'QTR BS'!AB8)-('QTR BS'!AC9-'QTR BS'!AB9)+('QTR BS'!AC14-'QTR BS'!AB14)+('QTR BS'!AC16-'QTR BS'!AB16)+('QTR BS'!AC17-'QTR BS'!AB17)+('QTR BS'!AC21-'QTR BS'!AB21)+('QTR BS'!AC23-'QTR BS'!AB23)+('QTR BS'!AC25-'QTR BS'!AB25)+('QTR BS'!AC27-'QTR BS'!AB27)</f>
        <v>-171.74028509149889</v>
      </c>
      <c r="AG12" s="4">
        <f>-('QTR BS'!AD5-'QTR BS'!AC5)-('QTR BS'!AD10-'QTR BS'!AC10)+('QTR BS'!AD13-'QTR BS'!AC13)+('QTR BS'!AD18-'QTR BS'!AC18)-('QTR BS'!AD8-'QTR BS'!AC8)-('QTR BS'!AD9-'QTR BS'!AC9)+('QTR BS'!AD14-'QTR BS'!AC14)+('QTR BS'!AD16-'QTR BS'!AC16)+('QTR BS'!AD17-'QTR BS'!AC17)+('QTR BS'!AD21-'QTR BS'!AC21)+('QTR BS'!AD23-'QTR BS'!AC23)+('QTR BS'!AD25-'QTR BS'!AC25)+('QTR BS'!AD27-'QTR BS'!AC27)</f>
        <v>90.763028160893555</v>
      </c>
      <c r="AH12" s="4">
        <f>-('QTR BS'!AE5-'QTR BS'!AD5)-('QTR BS'!AE10-'QTR BS'!AD10)+('QTR BS'!AE13-'QTR BS'!AD13)+('QTR BS'!AE18-'QTR BS'!AD18)-('QTR BS'!AE8-'QTR BS'!AD8)-('QTR BS'!AE9-'QTR BS'!AD9)+('QTR BS'!AE14-'QTR BS'!AD14)+('QTR BS'!AE16-'QTR BS'!AD16)+('QTR BS'!AE17-'QTR BS'!AD17)+('QTR BS'!AE21-'QTR BS'!AD21)+('QTR BS'!AE23-'QTR BS'!AD23)+('QTR BS'!AE25-'QTR BS'!AD25)+('QTR BS'!AE27-'QTR BS'!AD27)</f>
        <v>122.07749609780308</v>
      </c>
      <c r="AI12" s="4">
        <f>-('QTR BS'!AF5-'QTR BS'!AE5)-('QTR BS'!AF10-'QTR BS'!AE10)+('QTR BS'!AF13-'QTR BS'!AE13)+('QTR BS'!AF18-'QTR BS'!AE18)-('QTR BS'!AF8-'QTR BS'!AE8)-('QTR BS'!AF9-'QTR BS'!AE9)+('QTR BS'!AF14-'QTR BS'!AE14)+('QTR BS'!AF16-'QTR BS'!AE16)+('QTR BS'!AF17-'QTR BS'!AE17)+('QTR BS'!AF21-'QTR BS'!AE21)+('QTR BS'!AF23-'QTR BS'!AE23)+('QTR BS'!AF25-'QTR BS'!AE25)+('QTR BS'!AF27-'QTR BS'!AE27)</f>
        <v>-14.515560658255936</v>
      </c>
      <c r="AJ12" s="4">
        <f>-('QTR BS'!AG5-'QTR BS'!AF5)-('QTR BS'!AG10-'QTR BS'!AF10)+('QTR BS'!AG13-'QTR BS'!AF13)+('QTR BS'!AG18-'QTR BS'!AF18)-('QTR BS'!AG8-'QTR BS'!AF8)-('QTR BS'!AG9-'QTR BS'!AF9)+('QTR BS'!AG14-'QTR BS'!AF14)+('QTR BS'!AG16-'QTR BS'!AF16)+('QTR BS'!AG17-'QTR BS'!AF17)+('QTR BS'!AG21-'QTR BS'!AF21)+('QTR BS'!AG23-'QTR BS'!AF23)+('QTR BS'!AG25-'QTR BS'!AF25)+('QTR BS'!AG27-'QTR BS'!AF27)</f>
        <v>-174.2988872731944</v>
      </c>
      <c r="AK12" s="4">
        <f>-('QTR BS'!AH5-'QTR BS'!AG5)-('QTR BS'!AH10-'QTR BS'!AG10)+('QTR BS'!AH13-'QTR BS'!AG13)+('QTR BS'!AH18-'QTR BS'!AG18)-('QTR BS'!AH8-'QTR BS'!AG8)-('QTR BS'!AH9-'QTR BS'!AG9)+('QTR BS'!AH14-'QTR BS'!AG14)+('QTR BS'!AH16-'QTR BS'!AG16)+('QTR BS'!AH17-'QTR BS'!AG17)+('QTR BS'!AH21-'QTR BS'!AG21)+('QTR BS'!AH23-'QTR BS'!AG23)+('QTR BS'!AH25-'QTR BS'!AG25)+('QTR BS'!AH27-'QTR BS'!AG27)</f>
        <v>92.115223900790397</v>
      </c>
      <c r="AL12" s="4">
        <f>-('QTR BS'!AI5-'QTR BS'!AH5)-('QTR BS'!AI10-'QTR BS'!AH10)+('QTR BS'!AI13-'QTR BS'!AH13)+('QTR BS'!AI18-'QTR BS'!AH18)-('QTR BS'!AI8-'QTR BS'!AH8)-('QTR BS'!AI9-'QTR BS'!AH9)+('QTR BS'!AI14-'QTR BS'!AH14)+('QTR BS'!AI16-'QTR BS'!AH16)+('QTR BS'!AI17-'QTR BS'!AH17)+('QTR BS'!AI21-'QTR BS'!AH21)+('QTR BS'!AI23-'QTR BS'!AH23)+('QTR BS'!AI25-'QTR BS'!AH25)+('QTR BS'!AI27-'QTR BS'!AH27)</f>
        <v>123.89621759163151</v>
      </c>
      <c r="AM12" s="4">
        <f>-('QTR BS'!AJ5-'QTR BS'!AI5)-('QTR BS'!AJ10-'QTR BS'!AI10)+('QTR BS'!AJ13-'QTR BS'!AI13)+('QTR BS'!AJ18-'QTR BS'!AI18)-('QTR BS'!AJ8-'QTR BS'!AI8)-('QTR BS'!AJ9-'QTR BS'!AI9)+('QTR BS'!AJ14-'QTR BS'!AI14)+('QTR BS'!AJ16-'QTR BS'!AI16)+('QTR BS'!AJ17-'QTR BS'!AI17)+('QTR BS'!AJ21-'QTR BS'!AI21)+('QTR BS'!AJ23-'QTR BS'!AI23)+('QTR BS'!AJ25-'QTR BS'!AI25)+('QTR BS'!AJ27-'QTR BS'!AI27)</f>
        <v>-14.731814783775917</v>
      </c>
      <c r="AN12" s="4">
        <f>-('QTR BS'!AK5-'QTR BS'!AJ5)-('QTR BS'!AK10-'QTR BS'!AJ10)+('QTR BS'!AK13-'QTR BS'!AJ13)+('QTR BS'!AK18-'QTR BS'!AJ18)-('QTR BS'!AK8-'QTR BS'!AJ8)-('QTR BS'!AK9-'QTR BS'!AJ9)+('QTR BS'!AK14-'QTR BS'!AJ14)+('QTR BS'!AK16-'QTR BS'!AJ16)+('QTR BS'!AK17-'QTR BS'!AJ17)+('QTR BS'!AK21-'QTR BS'!AJ21)+('QTR BS'!AK23-'QTR BS'!AJ23)+('QTR BS'!AK25-'QTR BS'!AJ25)+('QTR BS'!AK27-'QTR BS'!AJ27)</f>
        <v>-176.89560773983635</v>
      </c>
      <c r="AO12" s="4">
        <f>-('QTR BS'!AL5-'QTR BS'!AK5)-('QTR BS'!AL10-'QTR BS'!AK10)+('QTR BS'!AL13-'QTR BS'!AK13)+('QTR BS'!AL18-'QTR BS'!AK18)-('QTR BS'!AL8-'QTR BS'!AK8)-('QTR BS'!AL9-'QTR BS'!AK9)+('QTR BS'!AL14-'QTR BS'!AK14)+('QTR BS'!AL16-'QTR BS'!AK16)+('QTR BS'!AL17-'QTR BS'!AK17)+('QTR BS'!AL21-'QTR BS'!AK21)+('QTR BS'!AL23-'QTR BS'!AK23)+('QTR BS'!AL25-'QTR BS'!AK25)+('QTR BS'!AL27-'QTR BS'!AK27)</f>
        <v>93.487564774187376</v>
      </c>
    </row>
    <row r="13" spans="1:41" x14ac:dyDescent="0.25">
      <c r="A13" s="3" t="s">
        <v>65</v>
      </c>
      <c r="B13" s="4">
        <f>'QTR CF'!B13</f>
        <v>44</v>
      </c>
      <c r="C13" s="4">
        <f>'QTR CF'!C13</f>
        <v>9</v>
      </c>
      <c r="D13" s="4">
        <f>'QTR CF'!D13</f>
        <v>34</v>
      </c>
      <c r="E13" s="4">
        <f>'QTR CF'!E13</f>
        <v>142</v>
      </c>
      <c r="F13" s="4">
        <f>'QTR CF'!F13</f>
        <v>62</v>
      </c>
      <c r="G13" s="4">
        <f>'QTR CF'!G13</f>
        <v>162</v>
      </c>
      <c r="H13" s="4">
        <f>'QTR CF'!H13</f>
        <v>139</v>
      </c>
      <c r="I13" s="4">
        <f>'QTR CF'!I13</f>
        <v>201</v>
      </c>
      <c r="J13" s="4">
        <f>'QTR CF'!J13</f>
        <v>208</v>
      </c>
      <c r="K13" s="4">
        <f>'QTR CF'!K13</f>
        <v>138</v>
      </c>
      <c r="L13" s="4">
        <f>'QTR CF'!L13</f>
        <v>144</v>
      </c>
      <c r="M13" s="4">
        <f>'QTR CF'!M13</f>
        <v>479</v>
      </c>
      <c r="N13" s="4">
        <f>'QTR CF'!N13</f>
        <v>32</v>
      </c>
      <c r="O13" s="4">
        <f>'QTR CF'!O13</f>
        <v>103</v>
      </c>
      <c r="P13" s="4">
        <f>'QTR CF'!P13</f>
        <v>83</v>
      </c>
      <c r="Q13" s="4">
        <f>'QTR CF'!Q13</f>
        <v>-1871</v>
      </c>
      <c r="R13" s="4">
        <f>'QTR CF'!R13</f>
        <v>-344</v>
      </c>
      <c r="S13" s="4">
        <f>'QTR CF'!S13</f>
        <v>-301</v>
      </c>
      <c r="T13" s="4">
        <f>0</f>
        <v>0</v>
      </c>
      <c r="U13" s="4">
        <f>0</f>
        <v>0</v>
      </c>
      <c r="V13" s="4">
        <f>0</f>
        <v>0</v>
      </c>
      <c r="W13" s="4">
        <f>0</f>
        <v>0</v>
      </c>
      <c r="X13" s="4">
        <f>0</f>
        <v>0</v>
      </c>
      <c r="Y13" s="4">
        <f>0</f>
        <v>0</v>
      </c>
      <c r="Z13" s="4">
        <f>0</f>
        <v>0</v>
      </c>
      <c r="AA13" s="4">
        <f>0</f>
        <v>0</v>
      </c>
      <c r="AB13" s="4">
        <f>0</f>
        <v>0</v>
      </c>
      <c r="AC13" s="4">
        <f>0</f>
        <v>0</v>
      </c>
      <c r="AD13" s="4">
        <f>0</f>
        <v>0</v>
      </c>
      <c r="AE13" s="4">
        <f>0</f>
        <v>0</v>
      </c>
      <c r="AF13" s="4">
        <f>0</f>
        <v>0</v>
      </c>
      <c r="AG13" s="4">
        <f>0</f>
        <v>0</v>
      </c>
      <c r="AH13" s="4">
        <f>0</f>
        <v>0</v>
      </c>
      <c r="AI13" s="4">
        <f>0</f>
        <v>0</v>
      </c>
      <c r="AJ13" s="4">
        <f>0</f>
        <v>0</v>
      </c>
      <c r="AK13" s="4">
        <f>0</f>
        <v>0</v>
      </c>
      <c r="AL13" s="4">
        <f>0</f>
        <v>0</v>
      </c>
      <c r="AM13" s="4">
        <f>0</f>
        <v>0</v>
      </c>
      <c r="AN13" s="4">
        <f>0</f>
        <v>0</v>
      </c>
      <c r="AO13" s="4">
        <f>0</f>
        <v>0</v>
      </c>
    </row>
    <row r="14" spans="1:41" x14ac:dyDescent="0.25">
      <c r="A14" s="3" t="s">
        <v>142</v>
      </c>
      <c r="B14" s="13">
        <f>IFERROR('QTR CF'!B15/'QTR P&amp;L'!B2,"")</f>
        <v>-5.3643426098928117E-2</v>
      </c>
      <c r="C14" s="13">
        <f>IFERROR('QTR CF'!C15/'QTR P&amp;L'!C2,"")</f>
        <v>-2.9876390015749536E-2</v>
      </c>
      <c r="D14" s="13">
        <f>IFERROR('QTR CF'!D15/'QTR P&amp;L'!D2,"")</f>
        <v>-3.8542902842990556E-2</v>
      </c>
      <c r="E14" s="13">
        <f>IFERROR('QTR CF'!E15/'QTR P&amp;L'!E2,"")</f>
        <v>-3.5459902638995643E-2</v>
      </c>
      <c r="F14" s="13">
        <f>IFERROR('QTR CF'!F15/'QTR P&amp;L'!F2,"")</f>
        <v>-4.3178730836405978E-2</v>
      </c>
      <c r="G14" s="13">
        <f>IFERROR('QTR CF'!G15/'QTR P&amp;L'!G2,"")</f>
        <v>-3.4082703509363113E-2</v>
      </c>
      <c r="H14" s="13">
        <f>IFERROR('QTR CF'!H15/'QTR P&amp;L'!H2,"")</f>
        <v>-3.6376320510265098E-2</v>
      </c>
      <c r="I14" s="13">
        <f>IFERROR('QTR CF'!I15/'QTR P&amp;L'!I2,"")</f>
        <v>-3.5712548046513894E-2</v>
      </c>
      <c r="J14" s="13">
        <f>IFERROR('QTR CF'!J15/'QTR P&amp;L'!J2,"")</f>
        <v>-4.229344794476704E-2</v>
      </c>
      <c r="K14" s="13">
        <f>IFERROR('QTR CF'!K15/'QTR P&amp;L'!K2,"")</f>
        <v>-3.8104566018376008E-2</v>
      </c>
      <c r="L14" s="13">
        <f>IFERROR('QTR CF'!L15/'QTR P&amp;L'!L2,"")</f>
        <v>-3.9465214161921267E-2</v>
      </c>
      <c r="M14" s="13">
        <f>IFERROR('QTR CF'!M15/'QTR P&amp;L'!M2,"")</f>
        <v>-3.8135593220338986E-2</v>
      </c>
      <c r="N14" s="13">
        <f>IFERROR('QTR CF'!N15/'QTR P&amp;L'!N2,"")</f>
        <v>-4.568247688273451E-2</v>
      </c>
      <c r="O14" s="13">
        <f>IFERROR('QTR CF'!O15/'QTR P&amp;L'!O2,"")</f>
        <v>-4.2272187185814825E-2</v>
      </c>
      <c r="P14" s="13">
        <f>IFERROR('QTR CF'!P15/'QTR P&amp;L'!P2,"")</f>
        <v>-4.3436488673139158E-2</v>
      </c>
      <c r="Q14" s="13">
        <f>IFERROR('QTR CF'!Q15/'QTR P&amp;L'!Q2,"")</f>
        <v>-4.7680597443630617E-2</v>
      </c>
      <c r="R14" s="13">
        <f>IFERROR('QTR CF'!R15/'QTR P&amp;L'!R2,"")</f>
        <v>-5.3604931653712141E-2</v>
      </c>
      <c r="S14" s="13">
        <f>IFERROR('QTR CF'!S15/'QTR P&amp;L'!S2,"")</f>
        <v>-5.2548631123919311E-2</v>
      </c>
      <c r="T14" s="14">
        <f t="shared" ref="T14:AO14" si="2">S14</f>
        <v>-5.2548631123919311E-2</v>
      </c>
      <c r="U14" s="14">
        <f t="shared" si="2"/>
        <v>-5.2548631123919311E-2</v>
      </c>
      <c r="V14" s="14">
        <f t="shared" si="2"/>
        <v>-5.2548631123919311E-2</v>
      </c>
      <c r="W14" s="14">
        <f t="shared" si="2"/>
        <v>-5.2548631123919311E-2</v>
      </c>
      <c r="X14" s="14">
        <f t="shared" si="2"/>
        <v>-5.2548631123919311E-2</v>
      </c>
      <c r="Y14" s="14">
        <f t="shared" si="2"/>
        <v>-5.2548631123919311E-2</v>
      </c>
      <c r="Z14" s="14">
        <f t="shared" si="2"/>
        <v>-5.2548631123919311E-2</v>
      </c>
      <c r="AA14" s="14">
        <f t="shared" si="2"/>
        <v>-5.2548631123919311E-2</v>
      </c>
      <c r="AB14" s="14">
        <f t="shared" si="2"/>
        <v>-5.2548631123919311E-2</v>
      </c>
      <c r="AC14" s="14">
        <f t="shared" si="2"/>
        <v>-5.2548631123919311E-2</v>
      </c>
      <c r="AD14" s="14">
        <f t="shared" si="2"/>
        <v>-5.2548631123919311E-2</v>
      </c>
      <c r="AE14" s="14">
        <f t="shared" si="2"/>
        <v>-5.2548631123919311E-2</v>
      </c>
      <c r="AF14" s="14">
        <f t="shared" si="2"/>
        <v>-5.2548631123919311E-2</v>
      </c>
      <c r="AG14" s="14">
        <f t="shared" si="2"/>
        <v>-5.2548631123919311E-2</v>
      </c>
      <c r="AH14" s="14">
        <f t="shared" si="2"/>
        <v>-5.2548631123919311E-2</v>
      </c>
      <c r="AI14" s="14">
        <f t="shared" si="2"/>
        <v>-5.2548631123919311E-2</v>
      </c>
      <c r="AJ14" s="14">
        <f t="shared" si="2"/>
        <v>-5.2548631123919311E-2</v>
      </c>
      <c r="AK14" s="14">
        <f t="shared" si="2"/>
        <v>-5.2548631123919311E-2</v>
      </c>
      <c r="AL14" s="14">
        <f t="shared" si="2"/>
        <v>-5.2548631123919311E-2</v>
      </c>
      <c r="AM14" s="14">
        <f t="shared" si="2"/>
        <v>-5.2548631123919311E-2</v>
      </c>
      <c r="AN14" s="14">
        <f t="shared" si="2"/>
        <v>-5.2548631123919311E-2</v>
      </c>
      <c r="AO14" s="14">
        <f t="shared" si="2"/>
        <v>-5.2548631123919311E-2</v>
      </c>
    </row>
    <row r="15" spans="1:41" x14ac:dyDescent="0.25">
      <c r="A15" s="3" t="s">
        <v>68</v>
      </c>
      <c r="B15" s="4">
        <f>'QTR CF'!B16</f>
        <v>85</v>
      </c>
      <c r="C15" s="4">
        <f>'QTR CF'!C16</f>
        <v>12</v>
      </c>
      <c r="D15" s="4">
        <f>'QTR CF'!D16</f>
        <v>2</v>
      </c>
      <c r="E15" s="4">
        <f>'QTR CF'!E16</f>
        <v>11</v>
      </c>
      <c r="F15" s="4">
        <f>'QTR CF'!F16</f>
        <v>5</v>
      </c>
      <c r="G15" s="4">
        <f>'QTR CF'!G16</f>
        <v>3</v>
      </c>
      <c r="H15" s="4">
        <f>'QTR CF'!H16</f>
        <v>1</v>
      </c>
      <c r="I15" s="4">
        <f>'QTR CF'!I16</f>
        <v>37</v>
      </c>
      <c r="J15" s="4">
        <f>'QTR CF'!J16</f>
        <v>3</v>
      </c>
      <c r="K15" s="4">
        <f>'QTR CF'!K16</f>
        <v>5</v>
      </c>
      <c r="L15" s="4">
        <f>'QTR CF'!L16</f>
        <v>69</v>
      </c>
      <c r="M15" s="4">
        <f>'QTR CF'!M16</f>
        <v>269</v>
      </c>
      <c r="N15" s="4">
        <f>'QTR CF'!N16</f>
        <v>45</v>
      </c>
      <c r="O15" s="4">
        <f>'QTR CF'!O16</f>
        <v>2</v>
      </c>
      <c r="P15" s="4">
        <f>'QTR CF'!P16</f>
        <v>17</v>
      </c>
      <c r="Q15" s="4">
        <f>'QTR CF'!Q16</f>
        <v>43</v>
      </c>
      <c r="R15" s="4">
        <f>'QTR CF'!R16</f>
        <v>8</v>
      </c>
      <c r="S15" s="4">
        <f>'QTR CF'!S16</f>
        <v>8</v>
      </c>
      <c r="T15" s="15">
        <v>0</v>
      </c>
      <c r="U15" s="15">
        <v>0</v>
      </c>
      <c r="V15" s="15">
        <v>0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15">
        <v>0</v>
      </c>
      <c r="AD15" s="15">
        <v>0</v>
      </c>
      <c r="AE15" s="15">
        <v>0</v>
      </c>
      <c r="AF15" s="15">
        <v>0</v>
      </c>
      <c r="AG15" s="15">
        <v>0</v>
      </c>
      <c r="AH15" s="15">
        <v>0</v>
      </c>
      <c r="AI15" s="15">
        <v>0</v>
      </c>
      <c r="AJ15" s="15">
        <v>0</v>
      </c>
      <c r="AK15" s="15">
        <v>0</v>
      </c>
      <c r="AL15" s="15">
        <v>0</v>
      </c>
      <c r="AM15" s="15">
        <v>0</v>
      </c>
      <c r="AN15" s="15">
        <v>0</v>
      </c>
      <c r="AO15" s="15">
        <v>0</v>
      </c>
    </row>
    <row r="16" spans="1:41" x14ac:dyDescent="0.25">
      <c r="A16" s="3" t="s">
        <v>69</v>
      </c>
      <c r="B16" s="4">
        <f>'QTR CF'!B17</f>
        <v>0</v>
      </c>
      <c r="C16" s="4">
        <f>'QTR CF'!C17</f>
        <v>-349</v>
      </c>
      <c r="D16" s="4">
        <f>'QTR CF'!D17</f>
        <v>-1032</v>
      </c>
      <c r="E16" s="4">
        <f>'QTR CF'!E17</f>
        <v>0</v>
      </c>
      <c r="F16" s="4">
        <f>'QTR CF'!F17</f>
        <v>-2</v>
      </c>
      <c r="G16" s="4">
        <f>'QTR CF'!G17</f>
        <v>-74</v>
      </c>
      <c r="H16" s="4">
        <f>'QTR CF'!H17</f>
        <v>-638</v>
      </c>
      <c r="I16" s="4">
        <f>'QTR CF'!I17</f>
        <v>-51</v>
      </c>
      <c r="J16" s="4">
        <f>'QTR CF'!J17</f>
        <v>0</v>
      </c>
      <c r="K16" s="4">
        <f>'QTR CF'!K17</f>
        <v>0</v>
      </c>
      <c r="L16" s="4">
        <f>'QTR CF'!L17</f>
        <v>-21</v>
      </c>
      <c r="M16" s="4">
        <f>'QTR CF'!M17</f>
        <v>0</v>
      </c>
      <c r="N16" s="4">
        <f>'QTR CF'!N17</f>
        <v>-6</v>
      </c>
      <c r="O16" s="4">
        <f>'QTR CF'!O17</f>
        <v>0</v>
      </c>
      <c r="P16" s="4">
        <f>'QTR CF'!P17</f>
        <v>-5</v>
      </c>
      <c r="Q16" s="4">
        <f>'QTR CF'!Q17</f>
        <v>0</v>
      </c>
      <c r="R16" s="4">
        <f>'QTR CF'!R17</f>
        <v>-5</v>
      </c>
      <c r="S16" s="4">
        <f>'QTR CF'!S17</f>
        <v>0</v>
      </c>
      <c r="T16" s="15">
        <v>0</v>
      </c>
      <c r="U16" s="15">
        <v>0</v>
      </c>
      <c r="V16" s="15">
        <v>0</v>
      </c>
      <c r="W16" s="15">
        <v>0</v>
      </c>
      <c r="X16" s="15">
        <v>0</v>
      </c>
      <c r="Y16" s="15">
        <v>0</v>
      </c>
      <c r="Z16" s="15">
        <v>0</v>
      </c>
      <c r="AA16" s="15">
        <v>0</v>
      </c>
      <c r="AB16" s="15">
        <v>0</v>
      </c>
      <c r="AC16" s="15">
        <v>0</v>
      </c>
      <c r="AD16" s="15">
        <v>0</v>
      </c>
      <c r="AE16" s="15">
        <v>0</v>
      </c>
      <c r="AF16" s="15">
        <v>0</v>
      </c>
      <c r="AG16" s="15">
        <v>0</v>
      </c>
      <c r="AH16" s="15">
        <v>0</v>
      </c>
      <c r="AI16" s="15">
        <v>0</v>
      </c>
      <c r="AJ16" s="15">
        <v>0</v>
      </c>
      <c r="AK16" s="15">
        <v>0</v>
      </c>
      <c r="AL16" s="15">
        <v>0</v>
      </c>
      <c r="AM16" s="15">
        <v>0</v>
      </c>
      <c r="AN16" s="15">
        <v>0</v>
      </c>
      <c r="AO16" s="15">
        <v>0</v>
      </c>
    </row>
    <row r="17" spans="1:41" x14ac:dyDescent="0.25">
      <c r="A17" s="3" t="s">
        <v>102</v>
      </c>
      <c r="B17" s="4">
        <f>'QTR CF'!B18</f>
        <v>0</v>
      </c>
      <c r="C17" s="4">
        <f>'QTR CF'!C18</f>
        <v>0</v>
      </c>
      <c r="D17" s="4">
        <f>'QTR CF'!D18</f>
        <v>0</v>
      </c>
      <c r="E17" s="4">
        <f>'QTR CF'!E18</f>
        <v>0</v>
      </c>
      <c r="F17" s="4">
        <f>'QTR CF'!F18</f>
        <v>55</v>
      </c>
      <c r="G17" s="4">
        <f>'QTR CF'!G18</f>
        <v>-55</v>
      </c>
      <c r="H17" s="4">
        <f>'QTR CF'!H18</f>
        <v>0</v>
      </c>
      <c r="I17" s="4">
        <f>'QTR CF'!I18</f>
        <v>0</v>
      </c>
      <c r="J17" s="4">
        <f>'QTR CF'!J18</f>
        <v>0</v>
      </c>
      <c r="K17" s="4">
        <f>'QTR CF'!K18</f>
        <v>0</v>
      </c>
      <c r="L17" s="4">
        <f>'QTR CF'!L18</f>
        <v>0</v>
      </c>
      <c r="M17" s="4">
        <f>'QTR CF'!M18</f>
        <v>0</v>
      </c>
      <c r="N17" s="4">
        <f>'QTR CF'!N18</f>
        <v>0</v>
      </c>
      <c r="O17" s="4">
        <f>'QTR CF'!O18</f>
        <v>0</v>
      </c>
      <c r="P17" s="4">
        <f>'QTR CF'!P18</f>
        <v>0</v>
      </c>
      <c r="Q17" s="4">
        <f>'QTR CF'!Q18</f>
        <v>0</v>
      </c>
      <c r="R17" s="4">
        <f>'QTR CF'!R18</f>
        <v>0</v>
      </c>
      <c r="S17" s="4">
        <f>'QTR CF'!S18</f>
        <v>0</v>
      </c>
      <c r="T17" s="15">
        <v>0</v>
      </c>
      <c r="U17" s="15">
        <v>0</v>
      </c>
      <c r="V17" s="15">
        <v>0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0</v>
      </c>
      <c r="AC17" s="15">
        <v>0</v>
      </c>
      <c r="AD17" s="15">
        <v>0</v>
      </c>
      <c r="AE17" s="15">
        <v>0</v>
      </c>
      <c r="AF17" s="15">
        <v>0</v>
      </c>
      <c r="AG17" s="15">
        <v>0</v>
      </c>
      <c r="AH17" s="15">
        <v>0</v>
      </c>
      <c r="AI17" s="15">
        <v>0</v>
      </c>
      <c r="AJ17" s="15">
        <v>0</v>
      </c>
      <c r="AK17" s="15">
        <v>0</v>
      </c>
      <c r="AL17" s="15">
        <v>0</v>
      </c>
      <c r="AM17" s="15">
        <v>0</v>
      </c>
      <c r="AN17" s="15">
        <v>0</v>
      </c>
      <c r="AO17" s="15">
        <v>0</v>
      </c>
    </row>
    <row r="18" spans="1:41" x14ac:dyDescent="0.25">
      <c r="A18" s="3" t="s">
        <v>70</v>
      </c>
      <c r="B18" s="4">
        <f>'QTR CF'!B19</f>
        <v>0</v>
      </c>
      <c r="C18" s="4">
        <f>'QTR CF'!C19</f>
        <v>3</v>
      </c>
      <c r="D18" s="4">
        <f>'QTR CF'!D19</f>
        <v>1</v>
      </c>
      <c r="E18" s="4">
        <f>'QTR CF'!E19</f>
        <v>-1</v>
      </c>
      <c r="F18" s="4">
        <f>'QTR CF'!F19</f>
        <v>0</v>
      </c>
      <c r="G18" s="4">
        <f>'QTR CF'!G19</f>
        <v>344</v>
      </c>
      <c r="H18" s="4">
        <f>'QTR CF'!H19</f>
        <v>-13</v>
      </c>
      <c r="I18" s="4">
        <f>'QTR CF'!I19</f>
        <v>-50</v>
      </c>
      <c r="J18" s="4">
        <f>'QTR CF'!J19</f>
        <v>-300</v>
      </c>
      <c r="K18" s="4">
        <f>'QTR CF'!K19</f>
        <v>-189</v>
      </c>
      <c r="L18" s="4">
        <f>'QTR CF'!L19</f>
        <v>-14</v>
      </c>
      <c r="M18" s="4">
        <f>'QTR CF'!M19</f>
        <v>-4</v>
      </c>
      <c r="N18" s="4">
        <f>'QTR CF'!N19</f>
        <v>-154</v>
      </c>
      <c r="O18" s="4">
        <f>'QTR CF'!O19</f>
        <v>1</v>
      </c>
      <c r="P18" s="4">
        <f>'QTR CF'!P19</f>
        <v>120</v>
      </c>
      <c r="Q18" s="4">
        <f>'QTR CF'!Q19</f>
        <v>-108</v>
      </c>
      <c r="R18" s="4">
        <f>'QTR CF'!R19</f>
        <v>-338</v>
      </c>
      <c r="S18" s="4">
        <f>'QTR CF'!S19</f>
        <v>-70</v>
      </c>
      <c r="T18" s="15">
        <v>0</v>
      </c>
      <c r="U18" s="15">
        <v>0</v>
      </c>
      <c r="V18" s="15">
        <v>0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15">
        <v>0</v>
      </c>
      <c r="AD18" s="15">
        <v>0</v>
      </c>
      <c r="AE18" s="15">
        <v>0</v>
      </c>
      <c r="AF18" s="15">
        <v>0</v>
      </c>
      <c r="AG18" s="15">
        <v>0</v>
      </c>
      <c r="AH18" s="15">
        <v>0</v>
      </c>
      <c r="AI18" s="15">
        <v>0</v>
      </c>
      <c r="AJ18" s="15">
        <v>0</v>
      </c>
      <c r="AK18" s="15">
        <v>0</v>
      </c>
      <c r="AL18" s="15">
        <v>0</v>
      </c>
      <c r="AM18" s="15">
        <v>0</v>
      </c>
      <c r="AN18" s="15">
        <v>0</v>
      </c>
      <c r="AO18" s="15">
        <v>0</v>
      </c>
    </row>
    <row r="19" spans="1:41" x14ac:dyDescent="0.25">
      <c r="A19" s="3" t="s">
        <v>143</v>
      </c>
      <c r="B19" s="13">
        <f>IFERROR('QTR CF'!B21/'QTR P&amp;L'!B12,"")</f>
        <v>-0.52884149297140082</v>
      </c>
      <c r="C19" s="13">
        <f>IFERROR('QTR CF'!C21/'QTR P&amp;L'!C12,"")</f>
        <v>-0.51178689297501179</v>
      </c>
      <c r="D19" s="13">
        <f>IFERROR('QTR CF'!D21/'QTR P&amp;L'!D12,"")</f>
        <v>-0.64003564003564006</v>
      </c>
      <c r="E19" s="13">
        <f>IFERROR('QTR CF'!E21/'QTR P&amp;L'!E12,"")</f>
        <v>-0.73969914977109219</v>
      </c>
      <c r="F19" s="13">
        <f>IFERROR('QTR CF'!F21/'QTR P&amp;L'!F12,"")</f>
        <v>-0.56901337370678784</v>
      </c>
      <c r="G19" s="13">
        <f>IFERROR('QTR CF'!G21/'QTR P&amp;L'!G12,"")</f>
        <v>-0.56352614296539527</v>
      </c>
      <c r="H19" s="13">
        <f>IFERROR('QTR CF'!H21/'QTR P&amp;L'!H12,"")</f>
        <v>-0.64953271028037385</v>
      </c>
      <c r="I19" s="13">
        <f>IFERROR('QTR CF'!I21/'QTR P&amp;L'!I12,"")</f>
        <v>-0.67482311320754718</v>
      </c>
      <c r="J19" s="13">
        <f>IFERROR('QTR CF'!J21/'QTR P&amp;L'!J12,"")</f>
        <v>-0.5027442371020856</v>
      </c>
      <c r="K19" s="13">
        <f>IFERROR('QTR CF'!K21/'QTR P&amp;L'!K12,"")</f>
        <v>-0.65502433438305185</v>
      </c>
      <c r="L19" s="13">
        <f>IFERROR('QTR CF'!L21/'QTR P&amp;L'!L12,"")</f>
        <v>-0.60417768376520364</v>
      </c>
      <c r="M19" s="13">
        <f>IFERROR('QTR CF'!M21/'QTR P&amp;L'!M12,"")</f>
        <v>-0.77894402035623411</v>
      </c>
      <c r="N19" s="13">
        <f>IFERROR('QTR CF'!N21/'QTR P&amp;L'!N12,"")</f>
        <v>-0.61308926780341022</v>
      </c>
      <c r="O19" s="13">
        <f>IFERROR('QTR CF'!O21/'QTR P&amp;L'!O12,"")</f>
        <v>-0.52415718273566669</v>
      </c>
      <c r="P19" s="13">
        <f>IFERROR('QTR CF'!P21/'QTR P&amp;L'!P12,"")</f>
        <v>-0.6411067193675889</v>
      </c>
      <c r="Q19" s="13">
        <f>IFERROR('QTR CF'!Q21/'QTR P&amp;L'!Q12,"")</f>
        <v>-0.70427586206896553</v>
      </c>
      <c r="R19" s="13">
        <f>IFERROR('QTR CF'!R21/'QTR P&amp;L'!R12,"")</f>
        <v>-0.53304056879966544</v>
      </c>
      <c r="S19" s="13">
        <f>IFERROR('QTR CF'!S21/'QTR P&amp;L'!S12,"")</f>
        <v>-0.58766458766458762</v>
      </c>
      <c r="T19" s="14">
        <f t="shared" ref="T19:AO19" si="3">S19</f>
        <v>-0.58766458766458762</v>
      </c>
      <c r="U19" s="14">
        <f t="shared" si="3"/>
        <v>-0.58766458766458762</v>
      </c>
      <c r="V19" s="14">
        <f t="shared" si="3"/>
        <v>-0.58766458766458762</v>
      </c>
      <c r="W19" s="14">
        <f t="shared" si="3"/>
        <v>-0.58766458766458762</v>
      </c>
      <c r="X19" s="14">
        <f t="shared" si="3"/>
        <v>-0.58766458766458762</v>
      </c>
      <c r="Y19" s="14">
        <f t="shared" si="3"/>
        <v>-0.58766458766458762</v>
      </c>
      <c r="Z19" s="14">
        <f t="shared" si="3"/>
        <v>-0.58766458766458762</v>
      </c>
      <c r="AA19" s="14">
        <f t="shared" si="3"/>
        <v>-0.58766458766458762</v>
      </c>
      <c r="AB19" s="14">
        <f t="shared" si="3"/>
        <v>-0.58766458766458762</v>
      </c>
      <c r="AC19" s="14">
        <f t="shared" si="3"/>
        <v>-0.58766458766458762</v>
      </c>
      <c r="AD19" s="14">
        <f t="shared" si="3"/>
        <v>-0.58766458766458762</v>
      </c>
      <c r="AE19" s="14">
        <f t="shared" si="3"/>
        <v>-0.58766458766458762</v>
      </c>
      <c r="AF19" s="14">
        <f t="shared" si="3"/>
        <v>-0.58766458766458762</v>
      </c>
      <c r="AG19" s="14">
        <f t="shared" si="3"/>
        <v>-0.58766458766458762</v>
      </c>
      <c r="AH19" s="14">
        <f t="shared" si="3"/>
        <v>-0.58766458766458762</v>
      </c>
      <c r="AI19" s="14">
        <f t="shared" si="3"/>
        <v>-0.58766458766458762</v>
      </c>
      <c r="AJ19" s="14">
        <f t="shared" si="3"/>
        <v>-0.58766458766458762</v>
      </c>
      <c r="AK19" s="14">
        <f t="shared" si="3"/>
        <v>-0.58766458766458762</v>
      </c>
      <c r="AL19" s="14">
        <f t="shared" si="3"/>
        <v>-0.58766458766458762</v>
      </c>
      <c r="AM19" s="14">
        <f t="shared" si="3"/>
        <v>-0.58766458766458762</v>
      </c>
      <c r="AN19" s="14">
        <f t="shared" si="3"/>
        <v>-0.58766458766458762</v>
      </c>
      <c r="AO19" s="14">
        <f t="shared" si="3"/>
        <v>-0.58766458766458762</v>
      </c>
    </row>
    <row r="20" spans="1:41" x14ac:dyDescent="0.25">
      <c r="A20" s="3" t="s">
        <v>73</v>
      </c>
      <c r="B20" s="4">
        <f>'QTR CF'!B22</f>
        <v>1792</v>
      </c>
      <c r="C20" s="4">
        <f>'QTR CF'!C22</f>
        <v>4955</v>
      </c>
      <c r="D20" s="4">
        <f>'QTR CF'!D22</f>
        <v>3399</v>
      </c>
      <c r="E20" s="4">
        <f>'QTR CF'!E22</f>
        <v>265</v>
      </c>
      <c r="F20" s="4">
        <f>'QTR CF'!F22</f>
        <v>2975</v>
      </c>
      <c r="G20" s="4">
        <f>'QTR CF'!G22</f>
        <v>7472</v>
      </c>
      <c r="H20" s="4">
        <f>'QTR CF'!H22</f>
        <v>3331</v>
      </c>
      <c r="I20" s="4">
        <f>'QTR CF'!I22</f>
        <v>3390</v>
      </c>
      <c r="J20" s="4">
        <f>'QTR CF'!J22</f>
        <v>2179</v>
      </c>
      <c r="K20" s="4">
        <f>'QTR CF'!K22</f>
        <v>619</v>
      </c>
      <c r="L20" s="4">
        <f>'QTR CF'!L22</f>
        <v>163</v>
      </c>
      <c r="M20" s="4">
        <f>'QTR CF'!M22</f>
        <v>567</v>
      </c>
      <c r="N20" s="4">
        <f>'QTR CF'!N22</f>
        <v>4090</v>
      </c>
      <c r="O20" s="4">
        <f>'QTR CF'!O22</f>
        <v>1815</v>
      </c>
      <c r="P20" s="4">
        <f>'QTR CF'!P22</f>
        <v>0</v>
      </c>
      <c r="Q20" s="4">
        <f>'QTR CF'!Q22</f>
        <v>2115</v>
      </c>
      <c r="R20" s="4">
        <f>'QTR CF'!R22</f>
        <v>1123</v>
      </c>
      <c r="S20" s="4">
        <f>'QTR CF'!S22</f>
        <v>3057</v>
      </c>
      <c r="T20" s="15">
        <v>0</v>
      </c>
      <c r="U20" s="15">
        <v>0</v>
      </c>
      <c r="V20" s="15">
        <v>0</v>
      </c>
      <c r="W20" s="15">
        <v>0</v>
      </c>
      <c r="X20" s="15">
        <v>0</v>
      </c>
      <c r="Y20" s="15">
        <v>0</v>
      </c>
      <c r="Z20" s="15">
        <v>0</v>
      </c>
      <c r="AA20" s="15">
        <v>0</v>
      </c>
      <c r="AB20" s="15">
        <v>0</v>
      </c>
      <c r="AC20" s="15">
        <v>0</v>
      </c>
      <c r="AD20" s="15">
        <v>0</v>
      </c>
      <c r="AE20" s="15">
        <v>0</v>
      </c>
      <c r="AF20" s="15">
        <v>0</v>
      </c>
      <c r="AG20" s="15">
        <v>0</v>
      </c>
      <c r="AH20" s="15">
        <v>0</v>
      </c>
      <c r="AI20" s="15">
        <v>0</v>
      </c>
      <c r="AJ20" s="15">
        <v>0</v>
      </c>
      <c r="AK20" s="15">
        <v>0</v>
      </c>
      <c r="AL20" s="15">
        <v>0</v>
      </c>
      <c r="AM20" s="15">
        <v>0</v>
      </c>
      <c r="AN20" s="15">
        <v>0</v>
      </c>
      <c r="AO20" s="15">
        <v>0</v>
      </c>
    </row>
    <row r="21" spans="1:41" x14ac:dyDescent="0.25">
      <c r="A21" s="3" t="s">
        <v>74</v>
      </c>
      <c r="B21" s="4">
        <f>'QTR CF'!B23</f>
        <v>-1422</v>
      </c>
      <c r="C21" s="4">
        <f>'QTR CF'!C23</f>
        <v>-308</v>
      </c>
      <c r="D21" s="4">
        <f>'QTR CF'!D23</f>
        <v>-6433</v>
      </c>
      <c r="E21" s="4">
        <f>'QTR CF'!E23</f>
        <v>-3315</v>
      </c>
      <c r="F21" s="4">
        <f>'QTR CF'!F23</f>
        <v>-265</v>
      </c>
      <c r="G21" s="4">
        <f>'QTR CF'!G23</f>
        <v>-2995</v>
      </c>
      <c r="H21" s="4">
        <f>'QTR CF'!H23</f>
        <v>-5874</v>
      </c>
      <c r="I21" s="4">
        <f>'QTR CF'!I23</f>
        <v>-3897</v>
      </c>
      <c r="J21" s="4">
        <f>'QTR CF'!J23</f>
        <v>-1906</v>
      </c>
      <c r="K21" s="4">
        <f>'QTR CF'!K23</f>
        <v>-3956</v>
      </c>
      <c r="L21" s="4">
        <f>'QTR CF'!L23</f>
        <v>-1661</v>
      </c>
      <c r="M21" s="4">
        <f>'QTR CF'!M23</f>
        <v>-166</v>
      </c>
      <c r="N21" s="4">
        <f>'QTR CF'!N23</f>
        <v>-571</v>
      </c>
      <c r="O21" s="4">
        <f>'QTR CF'!O23</f>
        <v>0</v>
      </c>
      <c r="P21" s="4">
        <f>'QTR CF'!P23</f>
        <v>-3210</v>
      </c>
      <c r="Q21" s="4">
        <f>'QTR CF'!Q23</f>
        <v>-2731</v>
      </c>
      <c r="R21" s="4">
        <f>'QTR CF'!R23</f>
        <v>-1800</v>
      </c>
      <c r="S21" s="4">
        <f>'QTR CF'!S23</f>
        <v>-1470</v>
      </c>
      <c r="T21" s="15">
        <v>0</v>
      </c>
      <c r="U21" s="15">
        <v>0</v>
      </c>
      <c r="V21" s="15">
        <v>0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15">
        <v>0</v>
      </c>
      <c r="AD21" s="15">
        <v>0</v>
      </c>
      <c r="AE21" s="15">
        <v>0</v>
      </c>
      <c r="AF21" s="15">
        <v>0</v>
      </c>
      <c r="AG21" s="15">
        <v>0</v>
      </c>
      <c r="AH21" s="15">
        <v>0</v>
      </c>
      <c r="AI21" s="15">
        <v>0</v>
      </c>
      <c r="AJ21" s="15">
        <v>0</v>
      </c>
      <c r="AK21" s="15">
        <v>0</v>
      </c>
      <c r="AL21" s="15">
        <v>0</v>
      </c>
      <c r="AM21" s="15">
        <v>0</v>
      </c>
      <c r="AN21" s="15">
        <v>0</v>
      </c>
      <c r="AO21" s="15">
        <v>0</v>
      </c>
    </row>
    <row r="22" spans="1:41" x14ac:dyDescent="0.25">
      <c r="A22" s="3" t="s">
        <v>75</v>
      </c>
      <c r="B22" s="4">
        <f>'QTR CF'!B24</f>
        <v>512</v>
      </c>
      <c r="C22" s="4">
        <f>'QTR CF'!C24</f>
        <v>-1636</v>
      </c>
      <c r="D22" s="4">
        <f>'QTR CF'!D24</f>
        <v>275</v>
      </c>
      <c r="E22" s="4">
        <f>'QTR CF'!E24</f>
        <v>1766</v>
      </c>
      <c r="F22" s="4">
        <f>'QTR CF'!F24</f>
        <v>1727</v>
      </c>
      <c r="G22" s="4">
        <f>'QTR CF'!G24</f>
        <v>-3486</v>
      </c>
      <c r="H22" s="4">
        <f>'QTR CF'!H24</f>
        <v>1372</v>
      </c>
      <c r="I22" s="4">
        <f>'QTR CF'!I24</f>
        <v>-2932</v>
      </c>
      <c r="J22" s="4">
        <f>'QTR CF'!J24</f>
        <v>2172</v>
      </c>
      <c r="K22" s="4">
        <f>'QTR CF'!K24</f>
        <v>1568</v>
      </c>
      <c r="L22" s="4">
        <f>'QTR CF'!L24</f>
        <v>-1409</v>
      </c>
      <c r="M22" s="4">
        <f>'QTR CF'!M24</f>
        <v>-1474</v>
      </c>
      <c r="N22" s="4">
        <f>'QTR CF'!N24</f>
        <v>-444</v>
      </c>
      <c r="O22" s="4">
        <f>'QTR CF'!O24</f>
        <v>-2261</v>
      </c>
      <c r="P22" s="4">
        <f>'QTR CF'!P24</f>
        <v>2162</v>
      </c>
      <c r="Q22" s="4">
        <f>'QTR CF'!Q24</f>
        <v>-595</v>
      </c>
      <c r="R22" s="4">
        <f>'QTR CF'!R24</f>
        <v>2108</v>
      </c>
      <c r="S22" s="4">
        <f>'QTR CF'!S24</f>
        <v>-2579</v>
      </c>
      <c r="T22" s="15">
        <v>0</v>
      </c>
      <c r="U22" s="15">
        <v>0</v>
      </c>
      <c r="V22" s="15">
        <v>0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15">
        <v>0</v>
      </c>
      <c r="AD22" s="15">
        <v>0</v>
      </c>
      <c r="AE22" s="15">
        <v>0</v>
      </c>
      <c r="AF22" s="15">
        <v>0</v>
      </c>
      <c r="AG22" s="15">
        <v>0</v>
      </c>
      <c r="AH22" s="15">
        <v>0</v>
      </c>
      <c r="AI22" s="15">
        <v>0</v>
      </c>
      <c r="AJ22" s="15">
        <v>0</v>
      </c>
      <c r="AK22" s="15">
        <v>0</v>
      </c>
      <c r="AL22" s="15">
        <v>0</v>
      </c>
      <c r="AM22" s="15">
        <v>0</v>
      </c>
      <c r="AN22" s="15">
        <v>0</v>
      </c>
      <c r="AO22" s="15">
        <v>0</v>
      </c>
    </row>
    <row r="23" spans="1:41" x14ac:dyDescent="0.25">
      <c r="A23" s="3" t="s">
        <v>76</v>
      </c>
      <c r="B23" s="4">
        <f>'QTR CF'!B25</f>
        <v>0</v>
      </c>
      <c r="C23" s="4">
        <f>'QTR CF'!C25</f>
        <v>2136</v>
      </c>
      <c r="D23" s="4">
        <f>'QTR CF'!D25</f>
        <v>2249</v>
      </c>
      <c r="E23" s="4">
        <f>'QTR CF'!E25</f>
        <v>0</v>
      </c>
      <c r="F23" s="4">
        <f>'QTR CF'!F25</f>
        <v>0</v>
      </c>
      <c r="G23" s="4">
        <f>'QTR CF'!G25</f>
        <v>0</v>
      </c>
      <c r="H23" s="4">
        <f>'QTR CF'!H25</f>
        <v>2569</v>
      </c>
      <c r="I23" s="4">
        <f>'QTR CF'!I25</f>
        <v>1428</v>
      </c>
      <c r="J23" s="4">
        <f>'QTR CF'!J25</f>
        <v>0</v>
      </c>
      <c r="K23" s="4">
        <f>'QTR CF'!K25</f>
        <v>254</v>
      </c>
      <c r="L23" s="4">
        <f>'QTR CF'!L25</f>
        <v>1344</v>
      </c>
      <c r="M23" s="4">
        <f>'QTR CF'!M25</f>
        <v>1599</v>
      </c>
      <c r="N23" s="4">
        <f>'QTR CF'!N25</f>
        <v>0</v>
      </c>
      <c r="O23" s="4">
        <f>'QTR CF'!O25</f>
        <v>995</v>
      </c>
      <c r="P23" s="4">
        <f>'QTR CF'!P25</f>
        <v>0</v>
      </c>
      <c r="Q23" s="4">
        <f>'QTR CF'!Q25</f>
        <v>1242</v>
      </c>
      <c r="R23" s="4">
        <f>'QTR CF'!R25</f>
        <v>0</v>
      </c>
      <c r="S23" s="4">
        <f>'QTR CF'!S25</f>
        <v>2652</v>
      </c>
      <c r="T23" s="15">
        <v>0</v>
      </c>
      <c r="U23" s="15">
        <v>0</v>
      </c>
      <c r="V23" s="15">
        <v>0</v>
      </c>
      <c r="W23" s="15">
        <v>0</v>
      </c>
      <c r="X23" s="15">
        <v>0</v>
      </c>
      <c r="Y23" s="15">
        <v>0</v>
      </c>
      <c r="Z23" s="15">
        <v>0</v>
      </c>
      <c r="AA23" s="15">
        <v>0</v>
      </c>
      <c r="AB23" s="15">
        <v>0</v>
      </c>
      <c r="AC23" s="15">
        <v>0</v>
      </c>
      <c r="AD23" s="15">
        <v>0</v>
      </c>
      <c r="AE23" s="15">
        <v>0</v>
      </c>
      <c r="AF23" s="15">
        <v>0</v>
      </c>
      <c r="AG23" s="15">
        <v>0</v>
      </c>
      <c r="AH23" s="15">
        <v>0</v>
      </c>
      <c r="AI23" s="15">
        <v>0</v>
      </c>
      <c r="AJ23" s="15">
        <v>0</v>
      </c>
      <c r="AK23" s="15">
        <v>0</v>
      </c>
      <c r="AL23" s="15">
        <v>0</v>
      </c>
      <c r="AM23" s="15">
        <v>0</v>
      </c>
      <c r="AN23" s="15">
        <v>0</v>
      </c>
      <c r="AO23" s="15">
        <v>0</v>
      </c>
    </row>
    <row r="24" spans="1:41" x14ac:dyDescent="0.25">
      <c r="A24" s="3" t="s">
        <v>77</v>
      </c>
      <c r="B24" s="4">
        <f>'QTR CF'!B26</f>
        <v>-26</v>
      </c>
      <c r="C24" s="4">
        <f>'QTR CF'!C26</f>
        <v>-1647</v>
      </c>
      <c r="D24" s="4">
        <f>'QTR CF'!D26</f>
        <v>-1103</v>
      </c>
      <c r="E24" s="4">
        <f>'QTR CF'!E26</f>
        <v>433</v>
      </c>
      <c r="F24" s="4">
        <f>'QTR CF'!F26</f>
        <v>-1877</v>
      </c>
      <c r="G24" s="4">
        <f>'QTR CF'!G26</f>
        <v>0</v>
      </c>
      <c r="H24" s="4">
        <f>'QTR CF'!H26</f>
        <v>0</v>
      </c>
      <c r="I24" s="4">
        <f>'QTR CF'!I26</f>
        <v>-1</v>
      </c>
      <c r="J24" s="4">
        <f>'QTR CF'!J26</f>
        <v>-1004</v>
      </c>
      <c r="K24" s="4">
        <f>'QTR CF'!K26</f>
        <v>-1331</v>
      </c>
      <c r="L24" s="4">
        <f>'QTR CF'!L26</f>
        <v>0</v>
      </c>
      <c r="M24" s="4">
        <f>'QTR CF'!M26</f>
        <v>0</v>
      </c>
      <c r="N24" s="4">
        <f>'QTR CF'!N26</f>
        <v>-70</v>
      </c>
      <c r="O24" s="4">
        <f>'QTR CF'!O26</f>
        <v>-1408</v>
      </c>
      <c r="P24" s="4">
        <f>'QTR CF'!P26</f>
        <v>0</v>
      </c>
      <c r="Q24" s="4">
        <f>'QTR CF'!Q26</f>
        <v>-499</v>
      </c>
      <c r="R24" s="4">
        <f>'QTR CF'!R26</f>
        <v>-3</v>
      </c>
      <c r="S24" s="4">
        <f>'QTR CF'!S26</f>
        <v>-1002</v>
      </c>
      <c r="T24" s="15">
        <v>0</v>
      </c>
      <c r="U24" s="15">
        <v>0</v>
      </c>
      <c r="V24" s="15">
        <v>0</v>
      </c>
      <c r="W24" s="15">
        <v>0</v>
      </c>
      <c r="X24" s="15">
        <v>0</v>
      </c>
      <c r="Y24" s="15">
        <v>0</v>
      </c>
      <c r="Z24" s="15">
        <v>0</v>
      </c>
      <c r="AA24" s="15">
        <v>0</v>
      </c>
      <c r="AB24" s="15">
        <v>0</v>
      </c>
      <c r="AC24" s="15">
        <v>0</v>
      </c>
      <c r="AD24" s="15">
        <v>0</v>
      </c>
      <c r="AE24" s="15">
        <v>0</v>
      </c>
      <c r="AF24" s="15">
        <v>0</v>
      </c>
      <c r="AG24" s="15">
        <v>0</v>
      </c>
      <c r="AH24" s="15">
        <v>0</v>
      </c>
      <c r="AI24" s="15">
        <v>0</v>
      </c>
      <c r="AJ24" s="15">
        <v>0</v>
      </c>
      <c r="AK24" s="15">
        <v>0</v>
      </c>
      <c r="AL24" s="15">
        <v>0</v>
      </c>
      <c r="AM24" s="15">
        <v>0</v>
      </c>
      <c r="AN24" s="15">
        <v>0</v>
      </c>
      <c r="AO24" s="15">
        <v>0</v>
      </c>
    </row>
    <row r="25" spans="1:41" x14ac:dyDescent="0.25">
      <c r="A25" s="3" t="s">
        <v>78</v>
      </c>
      <c r="B25" s="4">
        <f>'QTR CF'!B27</f>
        <v>-2750</v>
      </c>
      <c r="C25" s="4">
        <f>'QTR CF'!C27</f>
        <v>-4754</v>
      </c>
      <c r="D25" s="4">
        <f>'QTR CF'!D27</f>
        <v>-1249</v>
      </c>
      <c r="E25" s="4">
        <f>'QTR CF'!E27</f>
        <v>-1250</v>
      </c>
      <c r="F25" s="4">
        <f>'QTR CF'!F27</f>
        <v>-4000</v>
      </c>
      <c r="G25" s="4">
        <f>'QTR CF'!G27</f>
        <v>-2002</v>
      </c>
      <c r="H25" s="4">
        <f>'QTR CF'!H27</f>
        <v>-1351</v>
      </c>
      <c r="I25" s="4">
        <f>'QTR CF'!I27</f>
        <v>0</v>
      </c>
      <c r="J25" s="4">
        <f>'QTR CF'!J27</f>
        <v>-1500</v>
      </c>
      <c r="K25" s="4">
        <f>'QTR CF'!K27</f>
        <v>-1003</v>
      </c>
      <c r="L25" s="4">
        <f>'QTR CF'!L27</f>
        <v>-987</v>
      </c>
      <c r="M25" s="4">
        <f>'QTR CF'!M27</f>
        <v>-1516</v>
      </c>
      <c r="N25" s="4">
        <f>'QTR CF'!N27</f>
        <v>-1939</v>
      </c>
      <c r="O25" s="4">
        <f>'QTR CF'!O27</f>
        <v>-2510</v>
      </c>
      <c r="P25" s="4">
        <f>'QTR CF'!P27</f>
        <v>-1351</v>
      </c>
      <c r="Q25" s="4">
        <f>'QTR CF'!Q27</f>
        <v>-700</v>
      </c>
      <c r="R25" s="4">
        <f>'QTR CF'!R27</f>
        <v>-1250</v>
      </c>
      <c r="S25" s="4">
        <f>'QTR CF'!S27</f>
        <v>-2278</v>
      </c>
      <c r="T25" s="15">
        <v>0</v>
      </c>
      <c r="U25" s="15">
        <v>0</v>
      </c>
      <c r="V25" s="15">
        <v>0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0</v>
      </c>
      <c r="AC25" s="15">
        <v>0</v>
      </c>
      <c r="AD25" s="15">
        <v>0</v>
      </c>
      <c r="AE25" s="15">
        <v>0</v>
      </c>
      <c r="AF25" s="15">
        <v>0</v>
      </c>
      <c r="AG25" s="15">
        <v>0</v>
      </c>
      <c r="AH25" s="15">
        <v>0</v>
      </c>
      <c r="AI25" s="15">
        <v>0</v>
      </c>
      <c r="AJ25" s="15">
        <v>0</v>
      </c>
      <c r="AK25" s="15">
        <v>0</v>
      </c>
      <c r="AL25" s="15">
        <v>0</v>
      </c>
      <c r="AM25" s="15">
        <v>0</v>
      </c>
      <c r="AN25" s="15">
        <v>0</v>
      </c>
      <c r="AO25" s="15">
        <v>0</v>
      </c>
    </row>
    <row r="26" spans="1:41" x14ac:dyDescent="0.25">
      <c r="A26" s="3" t="s">
        <v>79</v>
      </c>
      <c r="B26" s="4">
        <f>'QTR CF'!B28</f>
        <v>648</v>
      </c>
      <c r="C26" s="4">
        <f>'QTR CF'!C28</f>
        <v>567</v>
      </c>
      <c r="D26" s="4">
        <f>'QTR CF'!D28</f>
        <v>585</v>
      </c>
      <c r="E26" s="4">
        <f>'QTR CF'!E28</f>
        <v>205</v>
      </c>
      <c r="F26" s="4">
        <f>'QTR CF'!F28</f>
        <v>188</v>
      </c>
      <c r="G26" s="4">
        <f>'QTR CF'!G28</f>
        <v>249</v>
      </c>
      <c r="H26" s="4">
        <f>'QTR CF'!H28</f>
        <v>424</v>
      </c>
      <c r="I26" s="4">
        <f>'QTR CF'!I28</f>
        <v>408</v>
      </c>
      <c r="J26" s="4">
        <f>'QTR CF'!J28</f>
        <v>312</v>
      </c>
      <c r="K26" s="4">
        <f>'QTR CF'!K28</f>
        <v>85</v>
      </c>
      <c r="L26" s="4">
        <f>'QTR CF'!L28</f>
        <v>568</v>
      </c>
      <c r="M26" s="4">
        <f>'QTR CF'!M28</f>
        <v>940</v>
      </c>
      <c r="N26" s="4">
        <f>'QTR CF'!N28</f>
        <v>745</v>
      </c>
      <c r="O26" s="4">
        <f>'QTR CF'!O28</f>
        <v>240</v>
      </c>
      <c r="P26" s="4">
        <f>'QTR CF'!P28</f>
        <v>616</v>
      </c>
      <c r="Q26" s="4">
        <f>'QTR CF'!Q28</f>
        <v>106</v>
      </c>
      <c r="R26" s="4">
        <f>'QTR CF'!R28</f>
        <v>134</v>
      </c>
      <c r="S26" s="4">
        <f>'QTR CF'!S28</f>
        <v>74</v>
      </c>
      <c r="T26" s="15">
        <v>0</v>
      </c>
      <c r="U26" s="15">
        <v>0</v>
      </c>
      <c r="V26" s="15">
        <v>0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0</v>
      </c>
      <c r="AC26" s="15">
        <v>0</v>
      </c>
      <c r="AD26" s="15">
        <v>0</v>
      </c>
      <c r="AE26" s="15">
        <v>0</v>
      </c>
      <c r="AF26" s="15">
        <v>0</v>
      </c>
      <c r="AG26" s="15">
        <v>0</v>
      </c>
      <c r="AH26" s="15">
        <v>0</v>
      </c>
      <c r="AI26" s="15">
        <v>0</v>
      </c>
      <c r="AJ26" s="15">
        <v>0</v>
      </c>
      <c r="AK26" s="15">
        <v>0</v>
      </c>
      <c r="AL26" s="15">
        <v>0</v>
      </c>
      <c r="AM26" s="15">
        <v>0</v>
      </c>
      <c r="AN26" s="15">
        <v>0</v>
      </c>
      <c r="AO26" s="15">
        <v>0</v>
      </c>
    </row>
    <row r="27" spans="1:41" x14ac:dyDescent="0.25">
      <c r="A27" s="3" t="s">
        <v>81</v>
      </c>
      <c r="B27" s="4">
        <f>'QTR CF'!B30</f>
        <v>-127</v>
      </c>
      <c r="C27" s="4">
        <f>'QTR CF'!C30</f>
        <v>-129</v>
      </c>
      <c r="D27" s="4">
        <f>'QTR CF'!D30</f>
        <v>-56</v>
      </c>
      <c r="E27" s="4">
        <f>'QTR CF'!E30</f>
        <v>-185</v>
      </c>
      <c r="F27" s="4">
        <f>'QTR CF'!F30</f>
        <v>-235</v>
      </c>
      <c r="G27" s="4">
        <f>'QTR CF'!G30</f>
        <v>53</v>
      </c>
      <c r="H27" s="4">
        <f>'QTR CF'!H30</f>
        <v>12</v>
      </c>
      <c r="I27" s="4">
        <f>'QTR CF'!I30</f>
        <v>0</v>
      </c>
      <c r="J27" s="4">
        <f>'QTR CF'!J30</f>
        <v>-156</v>
      </c>
      <c r="K27" s="4">
        <f>'QTR CF'!K30</f>
        <v>107</v>
      </c>
      <c r="L27" s="4">
        <f>'QTR CF'!L30</f>
        <v>-119</v>
      </c>
      <c r="M27" s="4">
        <f>'QTR CF'!M30</f>
        <v>-83</v>
      </c>
      <c r="N27" s="4">
        <f>'QTR CF'!N30</f>
        <v>116</v>
      </c>
      <c r="O27" s="4">
        <f>'QTR CF'!O30</f>
        <v>-260</v>
      </c>
      <c r="P27" s="4">
        <f>'QTR CF'!P30</f>
        <v>122</v>
      </c>
      <c r="Q27" s="4">
        <f>'QTR CF'!Q30</f>
        <v>134</v>
      </c>
      <c r="R27" s="4">
        <f>'QTR CF'!R30</f>
        <v>-20</v>
      </c>
      <c r="S27" s="4">
        <f>'QTR CF'!S30</f>
        <v>-1</v>
      </c>
      <c r="T27" s="15">
        <f t="shared" ref="T27:AO27" si="4">S27</f>
        <v>-1</v>
      </c>
      <c r="U27" s="15">
        <f t="shared" si="4"/>
        <v>-1</v>
      </c>
      <c r="V27" s="15">
        <f t="shared" si="4"/>
        <v>-1</v>
      </c>
      <c r="W27" s="15">
        <f t="shared" si="4"/>
        <v>-1</v>
      </c>
      <c r="X27" s="15">
        <f t="shared" si="4"/>
        <v>-1</v>
      </c>
      <c r="Y27" s="15">
        <f t="shared" si="4"/>
        <v>-1</v>
      </c>
      <c r="Z27" s="15">
        <f t="shared" si="4"/>
        <v>-1</v>
      </c>
      <c r="AA27" s="15">
        <f t="shared" si="4"/>
        <v>-1</v>
      </c>
      <c r="AB27" s="15">
        <f t="shared" si="4"/>
        <v>-1</v>
      </c>
      <c r="AC27" s="15">
        <f t="shared" si="4"/>
        <v>-1</v>
      </c>
      <c r="AD27" s="15">
        <f t="shared" si="4"/>
        <v>-1</v>
      </c>
      <c r="AE27" s="15">
        <f t="shared" si="4"/>
        <v>-1</v>
      </c>
      <c r="AF27" s="15">
        <f t="shared" si="4"/>
        <v>-1</v>
      </c>
      <c r="AG27" s="15">
        <f t="shared" si="4"/>
        <v>-1</v>
      </c>
      <c r="AH27" s="15">
        <f t="shared" si="4"/>
        <v>-1</v>
      </c>
      <c r="AI27" s="15">
        <f t="shared" si="4"/>
        <v>-1</v>
      </c>
      <c r="AJ27" s="15">
        <f t="shared" si="4"/>
        <v>-1</v>
      </c>
      <c r="AK27" s="15">
        <f t="shared" si="4"/>
        <v>-1</v>
      </c>
      <c r="AL27" s="15">
        <f t="shared" si="4"/>
        <v>-1</v>
      </c>
      <c r="AM27" s="15">
        <f t="shared" si="4"/>
        <v>-1</v>
      </c>
      <c r="AN27" s="15">
        <f t="shared" si="4"/>
        <v>-1</v>
      </c>
      <c r="AO27" s="15">
        <f t="shared" si="4"/>
        <v>-1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ASSUMPTIONS</vt:lpstr>
      <vt:lpstr>ANNL P&amp;L</vt:lpstr>
      <vt:lpstr>BALANCE SHEET</vt:lpstr>
      <vt:lpstr>CASH FLOW</vt:lpstr>
      <vt:lpstr>YTD P&amp;L</vt:lpstr>
      <vt:lpstr>YTD BS</vt:lpstr>
      <vt:lpstr>YTD CF</vt:lpstr>
      <vt:lpstr>QTR P&amp;L</vt:lpstr>
      <vt:lpstr>QTR BS</vt:lpstr>
      <vt:lpstr>QTR CF</vt:lpstr>
      <vt:lpstr>IS DRIVERS</vt:lpstr>
      <vt:lpstr>BS DRIVERS</vt:lpstr>
      <vt:lpstr>CF DRIVERS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 Rodino</cp:lastModifiedBy>
  <dcterms:created xsi:type="dcterms:W3CDTF">2026-04-29T01:29:04Z</dcterms:created>
  <dcterms:modified xsi:type="dcterms:W3CDTF">2026-04-29T01:29:23Z</dcterms:modified>
</cp:coreProperties>
</file>