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11">
        <f>'QTR P&amp;L'!AL8+'QTR P&amp;L'!AM8+'QTR P&amp;L'!AN8+'QTR P&amp;L'!AO8</f>
        <v/>
      </c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11">
        <f>'QTR P&amp;L'!AL11+'QTR P&amp;L'!AM11+'QTR P&amp;L'!AN11+'QTR P&amp;L'!AO11</f>
        <v/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11">
        <f>'QTR P&amp;L'!AL13+'QTR P&amp;L'!AM13+'QTR P&amp;L'!AN13+'QTR P&amp;L'!AO13</f>
        <v/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11">
        <f>'QTR BS'!AL7</f>
        <v/>
      </c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11">
        <f>'QTR BS'!AL14</f>
        <v/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11">
        <f>'QTR BS'!AL17</f>
        <v/>
      </c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CF'!R19+'QTR CF'!S19+'QTR CF'!T19+'QTR CF'!U19</f>
        <v/>
      </c>
      <c r="H18" s="11">
        <f>'QTR CF'!V19+'QTR CF'!W19+'QTR CF'!X19+'QTR CF'!Y19</f>
        <v/>
      </c>
      <c r="I18" s="11">
        <f>'QTR CF'!Z19+'QTR CF'!AA19+'QTR CF'!AB19+'QTR CF'!AC19</f>
        <v/>
      </c>
      <c r="J18" s="11">
        <f>'QTR CF'!AD19+'QTR CF'!AE19+'QTR CF'!AF19+'QTR CF'!AG19</f>
        <v/>
      </c>
      <c r="K18" s="11">
        <f>'QTR CF'!AH19+'QTR CF'!AI19+'QTR CF'!AJ19+'QTR CF'!AK19</f>
        <v/>
      </c>
      <c r="L18" s="11">
        <f>'QTR CF'!AL19+'QTR CF'!AM19+'QTR CF'!AN19+'QTR CF'!AO19</f>
        <v/>
      </c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CF'!R21+'QTR CF'!S21+'QTR CF'!T21+'QTR CF'!U21</f>
        <v/>
      </c>
      <c r="H20" s="11">
        <f>'QTR CF'!V21+'QTR CF'!W21+'QTR CF'!X21+'QTR CF'!Y21</f>
        <v/>
      </c>
      <c r="I20" s="11">
        <f>'QTR CF'!Z21+'QTR CF'!AA21+'QTR CF'!AB21+'QTR CF'!AC21</f>
        <v/>
      </c>
      <c r="J20" s="11">
        <f>'QTR CF'!AD21+'QTR CF'!AE21+'QTR CF'!AF21+'QTR CF'!AG21</f>
        <v/>
      </c>
      <c r="K20" s="11">
        <f>'QTR CF'!AH21+'QTR CF'!AI21+'QTR CF'!AJ21+'QTR CF'!AK21</f>
        <v/>
      </c>
      <c r="L20" s="11">
        <f>'QTR CF'!AL21+'QTR CF'!AM21+'QTR CF'!AN21+'QTR CF'!AO21</f>
        <v/>
      </c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CF'!R22+'QTR CF'!S22+'QTR CF'!T22+'QTR CF'!U22</f>
        <v/>
      </c>
      <c r="H21" s="11">
        <f>'QTR CF'!V22+'QTR CF'!W22+'QTR CF'!X22+'QTR CF'!Y22</f>
        <v/>
      </c>
      <c r="I21" s="11">
        <f>'QTR CF'!Z22+'QTR CF'!AA22+'QTR CF'!AB22+'QTR CF'!AC22</f>
        <v/>
      </c>
      <c r="J21" s="11">
        <f>'QTR CF'!AD22+'QTR CF'!AE22+'QTR CF'!AF22+'QTR CF'!AG22</f>
        <v/>
      </c>
      <c r="K21" s="11">
        <f>'QTR CF'!AH22+'QTR CF'!AI22+'QTR CF'!AJ22+'QTR CF'!AK22</f>
        <v/>
      </c>
      <c r="L21" s="11">
        <f>'QTR CF'!AL22+'QTR CF'!AM22+'QTR CF'!AN22+'QTR CF'!AO22</f>
        <v/>
      </c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CF'!R23+'QTR CF'!S23+'QTR CF'!T23+'QTR CF'!U23</f>
        <v/>
      </c>
      <c r="H22" s="11">
        <f>'QTR CF'!V23+'QTR CF'!W23+'QTR CF'!X23+'QTR CF'!Y23</f>
        <v/>
      </c>
      <c r="I22" s="11">
        <f>'QTR CF'!Z23+'QTR CF'!AA23+'QTR CF'!AB23+'QTR CF'!AC23</f>
        <v/>
      </c>
      <c r="J22" s="11">
        <f>'QTR CF'!AD23+'QTR CF'!AE23+'QTR CF'!AF23+'QTR CF'!AG23</f>
        <v/>
      </c>
      <c r="K22" s="11">
        <f>'QTR CF'!AH23+'QTR CF'!AI23+'QTR CF'!AJ23+'QTR CF'!AK23</f>
        <v/>
      </c>
      <c r="L22" s="11">
        <f>'QTR CF'!AL23+'QTR CF'!AM23+'QTR CF'!AN23+'QTR CF'!AO23</f>
        <v/>
      </c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CF'!R24+'QTR CF'!S24+'QTR CF'!T24+'QTR CF'!U24</f>
        <v/>
      </c>
      <c r="H23" s="11">
        <f>'QTR CF'!V24+'QTR CF'!W24+'QTR CF'!X24+'QTR CF'!Y24</f>
        <v/>
      </c>
      <c r="I23" s="11">
        <f>'QTR CF'!Z24+'QTR CF'!AA24+'QTR CF'!AB24+'QTR CF'!AC24</f>
        <v/>
      </c>
      <c r="J23" s="11">
        <f>'QTR CF'!AD24+'QTR CF'!AE24+'QTR CF'!AF24+'QTR CF'!AG24</f>
        <v/>
      </c>
      <c r="K23" s="11">
        <f>'QTR CF'!AH24+'QTR CF'!AI24+'QTR CF'!AJ24+'QTR CF'!AK24</f>
        <v/>
      </c>
      <c r="L23" s="11">
        <f>'QTR CF'!AL24+'QTR CF'!AM24+'QTR CF'!AN24+'QTR CF'!AO24</f>
        <v/>
      </c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CF'!R25+'QTR CF'!S25+'QTR CF'!T25+'QTR CF'!U25</f>
        <v/>
      </c>
      <c r="H24" s="11">
        <f>'QTR CF'!V25+'QTR CF'!W25+'QTR CF'!X25+'QTR CF'!Y25</f>
        <v/>
      </c>
      <c r="I24" s="11">
        <f>'QTR CF'!Z25+'QTR CF'!AA25+'QTR CF'!AB25+'QTR CF'!AC25</f>
        <v/>
      </c>
      <c r="J24" s="11">
        <f>'QTR CF'!AD25+'QTR CF'!AE25+'QTR CF'!AF25+'QTR CF'!AG25</f>
        <v/>
      </c>
      <c r="K24" s="11">
        <f>'QTR CF'!AH25+'QTR CF'!AI25+'QTR CF'!AJ25+'QTR CF'!AK25</f>
        <v/>
      </c>
      <c r="L24" s="11">
        <f>'QTR CF'!AL25+'QTR CF'!AM25+'QTR CF'!AN25+'QTR CF'!AO25</f>
        <v/>
      </c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CF'!R26+'QTR CF'!S26+'QTR CF'!T26+'QTR CF'!U26</f>
        <v/>
      </c>
      <c r="H25" s="11">
        <f>'QTR CF'!V26+'QTR CF'!W26+'QTR CF'!X26+'QTR CF'!Y26</f>
        <v/>
      </c>
      <c r="I25" s="11">
        <f>'QTR CF'!Z26+'QTR CF'!AA26+'QTR CF'!AB26+'QTR CF'!AC26</f>
        <v/>
      </c>
      <c r="J25" s="11">
        <f>'QTR CF'!AD26+'QTR CF'!AE26+'QTR CF'!AF26+'QTR CF'!AG26</f>
        <v/>
      </c>
      <c r="K25" s="11">
        <f>'QTR CF'!AH26+'QTR CF'!AI26+'QTR CF'!AJ26+'QTR CF'!AK26</f>
        <v/>
      </c>
      <c r="L25" s="11">
        <f>'QTR CF'!AL26+'QTR CF'!AM26+'QTR CF'!AN26+'QTR CF'!AO26</f>
        <v/>
      </c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CF'!R27+'QTR CF'!S27+'QTR CF'!T27+'QTR CF'!U27</f>
        <v/>
      </c>
      <c r="H26" s="11">
        <f>'QTR CF'!V27+'QTR CF'!W27+'QTR CF'!X27+'QTR CF'!Y27</f>
        <v/>
      </c>
      <c r="I26" s="11">
        <f>'QTR CF'!Z27+'QTR CF'!AA27+'QTR CF'!AB27+'QTR CF'!AC27</f>
        <v/>
      </c>
      <c r="J26" s="11">
        <f>'QTR CF'!AD27+'QTR CF'!AE27+'QTR CF'!AF27+'QTR CF'!AG27</f>
        <v/>
      </c>
      <c r="K26" s="11">
        <f>'QTR CF'!AH27+'QTR CF'!AI27+'QTR CF'!AJ27+'QTR CF'!AK27</f>
        <v/>
      </c>
      <c r="L26" s="11">
        <f>'QTR CF'!AL27+'QTR CF'!AM27+'QTR CF'!AN27+'QTR CF'!AO27</f>
        <v/>
      </c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CF'!R28+'QTR CF'!S28+'QTR CF'!T28+'QTR CF'!U28</f>
        <v/>
      </c>
      <c r="H27" s="11">
        <f>'QTR CF'!V28+'QTR CF'!W28+'QTR CF'!X28+'QTR CF'!Y28</f>
        <v/>
      </c>
      <c r="I27" s="11">
        <f>'QTR CF'!Z28+'QTR CF'!AA28+'QTR CF'!AB28+'QTR CF'!AC28</f>
        <v/>
      </c>
      <c r="J27" s="11">
        <f>'QTR CF'!AD28+'QTR CF'!AE28+'QTR CF'!AF28+'QTR CF'!AG28</f>
        <v/>
      </c>
      <c r="K27" s="11">
        <f>'QTR CF'!AH28+'QTR CF'!AI28+'QTR CF'!AJ28+'QTR CF'!AK28</f>
        <v/>
      </c>
      <c r="L27" s="11">
        <f>'QTR CF'!AL28+'QTR CF'!AM28+'QTR CF'!AN28+'QTR CF'!AO28</f>
        <v/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CF'!R30+'QTR CF'!S30+'QTR CF'!T30+'QTR CF'!U30</f>
        <v/>
      </c>
      <c r="H29" s="11">
        <f>'QTR CF'!V30+'QTR CF'!W30+'QTR CF'!X30+'QTR CF'!Y30</f>
        <v/>
      </c>
      <c r="I29" s="11">
        <f>'QTR CF'!Z30+'QTR CF'!AA30+'QTR CF'!AB30+'QTR CF'!AC30</f>
        <v/>
      </c>
      <c r="J29" s="11">
        <f>'QTR CF'!AD30+'QTR CF'!AE30+'QTR CF'!AF30+'QTR CF'!AG30</f>
        <v/>
      </c>
      <c r="K29" s="11">
        <f>'QTR CF'!AH30+'QTR CF'!AI30+'QTR CF'!AJ30+'QTR CF'!AK30</f>
        <v/>
      </c>
      <c r="L29" s="11">
        <f>'QTR CF'!AL30+'QTR CF'!AM30+'QTR CF'!AN30+'QTR CF'!AO30</f>
        <v/>
      </c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DRIVERS'!U5</f>
        <v/>
      </c>
      <c r="U6" s="11">
        <f>'QTR P&amp;L'!U2*'IS DRIVERS'!V5</f>
        <v/>
      </c>
      <c r="V6" s="11">
        <f>'QTR P&amp;L'!V2*'IS DRIVERS'!W5</f>
        <v/>
      </c>
      <c r="W6" s="11">
        <f>'QTR P&amp;L'!W2*'IS DRIVERS'!X5</f>
        <v/>
      </c>
      <c r="X6" s="11">
        <f>'QTR P&amp;L'!X2*'IS DRIVERS'!Y5</f>
        <v/>
      </c>
      <c r="Y6" s="11">
        <f>'QTR P&amp;L'!Y2*'IS DRIVERS'!Z5</f>
        <v/>
      </c>
      <c r="Z6" s="11">
        <f>'QTR P&amp;L'!Z2*'IS DRIVERS'!AA5</f>
        <v/>
      </c>
      <c r="AA6" s="11">
        <f>'QTR P&amp;L'!AA2*'IS DRIVERS'!AB5</f>
        <v/>
      </c>
      <c r="AB6" s="11">
        <f>'QTR P&amp;L'!AB2*'IS DRIVERS'!AC5</f>
        <v/>
      </c>
      <c r="AC6" s="11">
        <f>'QTR P&amp;L'!AC2*'IS DRIVERS'!AD5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  <c r="AL6" s="11">
        <f>'QTR P&amp;L'!AL2*'IS DRIVERS'!AM5</f>
        <v/>
      </c>
      <c r="AM6" s="11">
        <f>'QTR P&amp;L'!AM2*'IS DRIVERS'!AN5</f>
        <v/>
      </c>
      <c r="AN6" s="11">
        <f>'QTR P&amp;L'!AN2*'IS DRIVERS'!AO5</f>
        <v/>
      </c>
      <c r="AO6" s="11">
        <f>'QTR P&amp;L'!AO2*'IS DRIVERS'!AP5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  <c r="AL7" s="7">
        <f>AL4+SUM(AL5:AL6)</f>
        <v/>
      </c>
      <c r="AM7" s="7">
        <f>AM4+SUM(AM5:AM6)</f>
        <v/>
      </c>
      <c r="AN7" s="7">
        <f>AN4+SUM(AN5:AN6)</f>
        <v/>
      </c>
      <c r="AO7" s="7">
        <f>AO4+SUM(AO5:AO6)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DRIVERS'!U6</f>
        <v/>
      </c>
      <c r="U8" s="11">
        <f>'IS DRIVERS'!V6</f>
        <v/>
      </c>
      <c r="V8" s="11">
        <f>'IS DRIVERS'!W6</f>
        <v/>
      </c>
      <c r="W8" s="11">
        <f>'IS DRIVERS'!X6</f>
        <v/>
      </c>
      <c r="X8" s="11">
        <f>'IS DRIVERS'!Y6</f>
        <v/>
      </c>
      <c r="Y8" s="11">
        <f>'IS DRIVERS'!Z6</f>
        <v/>
      </c>
      <c r="Z8" s="11">
        <f>'IS DRIVERS'!AA6</f>
        <v/>
      </c>
      <c r="AA8" s="11">
        <f>'IS DRIVERS'!AB6</f>
        <v/>
      </c>
      <c r="AB8" s="11">
        <f>'IS DRIVERS'!AC6</f>
        <v/>
      </c>
      <c r="AC8" s="11">
        <f>'IS DRIVERS'!AD6</f>
        <v/>
      </c>
      <c r="AD8" s="11">
        <f>'IS DRIVERS'!AE6</f>
        <v/>
      </c>
      <c r="AE8" s="11">
        <f>'IS DRIVERS'!AF6</f>
        <v/>
      </c>
      <c r="AF8" s="11">
        <f>'IS DRIVERS'!AG6</f>
        <v/>
      </c>
      <c r="AG8" s="11">
        <f>'IS DRIVERS'!AH6</f>
        <v/>
      </c>
      <c r="AH8" s="11">
        <f>'IS DRIVERS'!AI6</f>
        <v/>
      </c>
      <c r="AI8" s="11">
        <f>'IS DRIVERS'!AJ6</f>
        <v/>
      </c>
      <c r="AJ8" s="11">
        <f>'IS DRIVERS'!AK6</f>
        <v/>
      </c>
      <c r="AK8" s="11">
        <f>'IS DRIVERS'!AL6</f>
        <v/>
      </c>
      <c r="AL8" s="11">
        <f>'IS DRIVERS'!AM6</f>
        <v/>
      </c>
      <c r="AM8" s="11">
        <f>'IS DRIVERS'!AN6</f>
        <v/>
      </c>
      <c r="AN8" s="11">
        <f>'IS DRIVERS'!AO6</f>
        <v/>
      </c>
      <c r="AO8" s="11">
        <f>'IS DRIVERS'!AP6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  <c r="AL10" s="7">
        <f>AL7+SUM(AL8:AL9)</f>
        <v/>
      </c>
      <c r="AM10" s="7">
        <f>AM7+SUM(AM8:AM9)</f>
        <v/>
      </c>
      <c r="AN10" s="7">
        <f>AN7+SUM(AN8:AN9)</f>
        <v/>
      </c>
      <c r="AO10" s="7">
        <f>AO7+SUM(AO8:AO9)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DRIVERS'!U8</f>
        <v/>
      </c>
      <c r="U11" s="11">
        <f>'QTR P&amp;L'!U10*'IS DRIVERS'!V8</f>
        <v/>
      </c>
      <c r="V11" s="11">
        <f>'QTR P&amp;L'!V10*'IS DRIVERS'!W8</f>
        <v/>
      </c>
      <c r="W11" s="11">
        <f>'QTR P&amp;L'!W10*'IS DRIVERS'!X8</f>
        <v/>
      </c>
      <c r="X11" s="11">
        <f>'QTR P&amp;L'!X10*'IS DRIVERS'!Y8</f>
        <v/>
      </c>
      <c r="Y11" s="11">
        <f>'QTR P&amp;L'!Y10*'IS DRIVERS'!Z8</f>
        <v/>
      </c>
      <c r="Z11" s="11">
        <f>'QTR P&amp;L'!Z10*'IS DRIVERS'!AA8</f>
        <v/>
      </c>
      <c r="AA11" s="11">
        <f>'QTR P&amp;L'!AA10*'IS DRIVERS'!AB8</f>
        <v/>
      </c>
      <c r="AB11" s="11">
        <f>'QTR P&amp;L'!AB10*'IS DRIVERS'!AC8</f>
        <v/>
      </c>
      <c r="AC11" s="11">
        <f>'QTR P&amp;L'!AC10*'IS DRIVERS'!AD8</f>
        <v/>
      </c>
      <c r="AD11" s="11">
        <f>'QTR P&amp;L'!AD10*'IS DRIVERS'!AE8</f>
        <v/>
      </c>
      <c r="AE11" s="11">
        <f>'QTR P&amp;L'!AE10*'IS DRIVERS'!AF8</f>
        <v/>
      </c>
      <c r="AF11" s="11">
        <f>'QTR P&amp;L'!AF10*'IS DRIVERS'!AG8</f>
        <v/>
      </c>
      <c r="AG11" s="11">
        <f>'QTR P&amp;L'!AG10*'IS DRIVERS'!AH8</f>
        <v/>
      </c>
      <c r="AH11" s="11">
        <f>'QTR P&amp;L'!AH10*'IS DRIVERS'!AI8</f>
        <v/>
      </c>
      <c r="AI11" s="11">
        <f>'QTR P&amp;L'!AI10*'IS DRIVERS'!AJ8</f>
        <v/>
      </c>
      <c r="AJ11" s="11">
        <f>'QTR P&amp;L'!AJ10*'IS DRIVERS'!AK8</f>
        <v/>
      </c>
      <c r="AK11" s="11">
        <f>'QTR P&amp;L'!AK10*'IS DRIVERS'!AL8</f>
        <v/>
      </c>
      <c r="AL11" s="11">
        <f>'QTR P&amp;L'!AL10*'IS DRIVERS'!AM8</f>
        <v/>
      </c>
      <c r="AM11" s="11">
        <f>'QTR P&amp;L'!AM10*'IS DRIVERS'!AN8</f>
        <v/>
      </c>
      <c r="AN11" s="11">
        <f>'QTR P&amp;L'!AN10*'IS DRIVERS'!AO8</f>
        <v/>
      </c>
      <c r="AO11" s="11">
        <f>'QTR P&amp;L'!AO10*'IS DRIVERS'!AP8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  <c r="AL12" s="7">
        <f>AL10+AL11</f>
        <v/>
      </c>
      <c r="AM12" s="7">
        <f>AM10+AM11</f>
        <v/>
      </c>
      <c r="AN12" s="7">
        <f>AN10+AN11</f>
        <v/>
      </c>
      <c r="AO12" s="7">
        <f>AO10+AO11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DRIVERS'!U9</f>
        <v/>
      </c>
      <c r="U13" s="11">
        <f>'IS DRIVERS'!V9</f>
        <v/>
      </c>
      <c r="V13" s="11">
        <f>'IS DRIVERS'!W9</f>
        <v/>
      </c>
      <c r="W13" s="11">
        <f>'IS DRIVERS'!X9</f>
        <v/>
      </c>
      <c r="X13" s="11">
        <f>'IS DRIVERS'!Y9</f>
        <v/>
      </c>
      <c r="Y13" s="11">
        <f>'IS DRIVERS'!Z9</f>
        <v/>
      </c>
      <c r="Z13" s="11">
        <f>'IS DRIVERS'!AA9</f>
        <v/>
      </c>
      <c r="AA13" s="11">
        <f>'IS DRIVERS'!AB9</f>
        <v/>
      </c>
      <c r="AB13" s="11">
        <f>'IS DRIVERS'!AC9</f>
        <v/>
      </c>
      <c r="AC13" s="11">
        <f>'IS DRIVERS'!AD9</f>
        <v/>
      </c>
      <c r="AD13" s="11">
        <f>'IS DRIVERS'!AE9</f>
        <v/>
      </c>
      <c r="AE13" s="11">
        <f>'IS DRIVERS'!AF9</f>
        <v/>
      </c>
      <c r="AF13" s="11">
        <f>'IS DRIVERS'!AG9</f>
        <v/>
      </c>
      <c r="AG13" s="11">
        <f>'IS DRIVERS'!AH9</f>
        <v/>
      </c>
      <c r="AH13" s="11">
        <f>'IS DRIVERS'!AI9</f>
        <v/>
      </c>
      <c r="AI13" s="11">
        <f>'IS DRIVERS'!AJ9</f>
        <v/>
      </c>
      <c r="AJ13" s="11">
        <f>'IS DRIVERS'!AK9</f>
        <v/>
      </c>
      <c r="AK13" s="11">
        <f>'IS DRIVERS'!AL9</f>
        <v/>
      </c>
      <c r="AL13" s="11">
        <f>'IS DRIVERS'!AM9</f>
        <v/>
      </c>
      <c r="AM13" s="11">
        <f>'IS DRIVERS'!AN9</f>
        <v/>
      </c>
      <c r="AN13" s="11">
        <f>'IS DRIVERS'!AO9</f>
        <v/>
      </c>
      <c r="AO13" s="11">
        <f>'IS DRIVERS'!AP9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  <c r="AI3" s="11">
        <f>'QTR P&amp;L'!AL2*'BS DRIVERS'!AI3/ASSUMPTIONS!$B$2</f>
        <v/>
      </c>
      <c r="AJ3" s="11">
        <f>'QTR P&amp;L'!AM2*'BS DRIVERS'!AJ3/ASSUMPTIONS!$B$2</f>
        <v/>
      </c>
      <c r="AK3" s="11">
        <f>'QTR P&amp;L'!AN2*'BS DRIVERS'!AK3/ASSUMPTIONS!$B$2</f>
        <v/>
      </c>
      <c r="AL3" s="11">
        <f>'QTR P&amp;L'!AO2*'BS DRIVERS'!AL3/ASSUMPTIONS!$B$2</f>
        <v/>
      </c>
    </row>
    <row r="4">
      <c r="A4" s="3" t="inlineStr">
        <is>
          <t>Inventories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P&amp;L'!T3*'BS DRIVERS'!Q4/ASSUMPTIONS!$B$2</f>
        <v/>
      </c>
      <c r="R4" s="11">
        <f>'QTR P&amp;L'!U3*'BS DRIVERS'!R4/ASSUMPTIONS!$B$2</f>
        <v/>
      </c>
      <c r="S4" s="11">
        <f>'QTR P&amp;L'!V3*'BS DRIVERS'!S4/ASSUMPTIONS!$B$2</f>
        <v/>
      </c>
      <c r="T4" s="11">
        <f>'QTR P&amp;L'!W3*'BS DRIVERS'!T4/ASSUMPTIONS!$B$2</f>
        <v/>
      </c>
      <c r="U4" s="11">
        <f>'QTR P&amp;L'!X3*'BS DRIVERS'!U4/ASSUMPTIONS!$B$2</f>
        <v/>
      </c>
      <c r="V4" s="11">
        <f>'QTR P&amp;L'!Y3*'BS DRIVERS'!V4/ASSUMPTIONS!$B$2</f>
        <v/>
      </c>
      <c r="W4" s="11">
        <f>'QTR P&amp;L'!Z3*'BS DRIVERS'!W4/ASSUMPTIONS!$B$2</f>
        <v/>
      </c>
      <c r="X4" s="11">
        <f>'QTR P&amp;L'!AA3*'BS DRIVERS'!X4/ASSUMPTIONS!$B$2</f>
        <v/>
      </c>
      <c r="Y4" s="11">
        <f>'QTR P&amp;L'!AB3*'BS DRIVERS'!Y4/ASSUMPTIONS!$B$2</f>
        <v/>
      </c>
      <c r="Z4" s="11">
        <f>'QTR P&amp;L'!AC3*'BS DRIVERS'!Z4/ASSUMPTIONS!$B$2</f>
        <v/>
      </c>
      <c r="AA4" s="11">
        <f>'QTR P&amp;L'!AD3*'BS DRIVERS'!AA4/ASSUMPTIONS!$B$2</f>
        <v/>
      </c>
      <c r="AB4" s="11">
        <f>'QTR P&amp;L'!AE3*'BS DRIVERS'!AB4/ASSUMPTIONS!$B$2</f>
        <v/>
      </c>
      <c r="AC4" s="11">
        <f>'QTR P&amp;L'!AF3*'BS DRIVERS'!AC4/ASSUMPTIONS!$B$2</f>
        <v/>
      </c>
      <c r="AD4" s="11">
        <f>'QTR P&amp;L'!AG3*'BS DRIVERS'!AD4/ASSUMPTIONS!$B$2</f>
        <v/>
      </c>
      <c r="AE4" s="11">
        <f>'QTR P&amp;L'!AH3*'BS DRIVERS'!AE4/ASSUMPTIONS!$B$2</f>
        <v/>
      </c>
      <c r="AF4" s="11">
        <f>'QTR P&amp;L'!AI3*'BS DRIVERS'!AF4/ASSUMPTIONS!$B$2</f>
        <v/>
      </c>
      <c r="AG4" s="11">
        <f>'QTR P&amp;L'!AJ3*'BS DRIVERS'!AG4/ASSUMPTIONS!$B$2</f>
        <v/>
      </c>
      <c r="AH4" s="11">
        <f>'QTR P&amp;L'!AK3*'BS DRIVERS'!AH4/ASSUMPTIONS!$B$2</f>
        <v/>
      </c>
      <c r="AI4" s="11">
        <f>'QTR P&amp;L'!AL3*'BS DRIVERS'!AI4/ASSUMPTIONS!$B$2</f>
        <v/>
      </c>
      <c r="AJ4" s="11">
        <f>'QTR P&amp;L'!AM3*'BS DRIVERS'!AJ4/ASSUMPTIONS!$B$2</f>
        <v/>
      </c>
      <c r="AK4" s="11">
        <f>'QTR P&amp;L'!AN3*'BS DRIVERS'!AK4/ASSUMPTIONS!$B$2</f>
        <v/>
      </c>
      <c r="AL4" s="11">
        <f>'QTR P&amp;L'!AO3*'BS DRIVERS'!AL4/ASSUMPTIONS!$B$2</f>
        <v/>
      </c>
    </row>
    <row r="5">
      <c r="A5" s="3" t="inlineStr">
        <is>
          <t>Prepaid Expenses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P&amp;L'!T2*'BS DRIVERS'!Q5</f>
        <v/>
      </c>
      <c r="R5" s="11">
        <f>'QTR P&amp;L'!U2*'BS DRIVERS'!R5</f>
        <v/>
      </c>
      <c r="S5" s="11">
        <f>'QTR P&amp;L'!V2*'BS DRIVERS'!S5</f>
        <v/>
      </c>
      <c r="T5" s="11">
        <f>'QTR P&amp;L'!W2*'BS DRIVERS'!T5</f>
        <v/>
      </c>
      <c r="U5" s="11">
        <f>'QTR P&amp;L'!X2*'BS DRIVERS'!U5</f>
        <v/>
      </c>
      <c r="V5" s="11">
        <f>'QTR P&amp;L'!Y2*'BS DRIVERS'!V5</f>
        <v/>
      </c>
      <c r="W5" s="11">
        <f>'QTR P&amp;L'!Z2*'BS DRIVERS'!W5</f>
        <v/>
      </c>
      <c r="X5" s="11">
        <f>'QTR P&amp;L'!AA2*'BS DRIVERS'!X5</f>
        <v/>
      </c>
      <c r="Y5" s="11">
        <f>'QTR P&amp;L'!AB2*'BS DRIVERS'!Y5</f>
        <v/>
      </c>
      <c r="Z5" s="11">
        <f>'QTR P&amp;L'!AC2*'BS DRIVERS'!Z5</f>
        <v/>
      </c>
      <c r="AA5" s="11">
        <f>'QTR P&amp;L'!AD2*'BS DRIVERS'!AA5</f>
        <v/>
      </c>
      <c r="AB5" s="11">
        <f>'QTR P&amp;L'!AE2*'BS DRIVERS'!AB5</f>
        <v/>
      </c>
      <c r="AC5" s="11">
        <f>'QTR P&amp;L'!AF2*'BS DRIVERS'!AC5</f>
        <v/>
      </c>
      <c r="AD5" s="11">
        <f>'QTR P&amp;L'!AG2*'BS DRIVERS'!AD5</f>
        <v/>
      </c>
      <c r="AE5" s="11">
        <f>'QTR P&amp;L'!AH2*'BS DRIVERS'!AE5</f>
        <v/>
      </c>
      <c r="AF5" s="11">
        <f>'QTR P&amp;L'!AI2*'BS DRIVERS'!AF5</f>
        <v/>
      </c>
      <c r="AG5" s="11">
        <f>'QTR P&amp;L'!AJ2*'BS DRIVERS'!AG5</f>
        <v/>
      </c>
      <c r="AH5" s="11">
        <f>'QTR P&amp;L'!AK2*'BS DRIVERS'!AH5</f>
        <v/>
      </c>
      <c r="AI5" s="11">
        <f>'QTR P&amp;L'!AL2*'BS DRIVERS'!AI5</f>
        <v/>
      </c>
      <c r="AJ5" s="11">
        <f>'QTR P&amp;L'!AM2*'BS DRIVERS'!AJ5</f>
        <v/>
      </c>
      <c r="AK5" s="11">
        <f>'QTR P&amp;L'!AN2*'BS DRIVERS'!AK5</f>
        <v/>
      </c>
      <c r="AL5" s="11">
        <f>'QTR P&amp;L'!AO2*'BS DRIVERS'!AL5</f>
        <v/>
      </c>
    </row>
    <row r="6">
      <c r="A6" s="3" t="inlineStr">
        <is>
          <t>Total Current Assets</t>
        </is>
      </c>
      <c r="B6" s="6">
        <f>'BALANCE SHEET'!B6</f>
        <v/>
      </c>
      <c r="C6" s="6">
        <f>'YTD BS'!C6</f>
        <v/>
      </c>
      <c r="D6" s="6">
        <f>'YTD BS'!D6</f>
        <v/>
      </c>
      <c r="E6" s="6">
        <f>'YTD BS'!E6</f>
        <v/>
      </c>
      <c r="F6" s="6">
        <f>'BALANCE SHEET'!C6</f>
        <v/>
      </c>
      <c r="G6" s="6">
        <f>'YTD BS'!G6</f>
        <v/>
      </c>
      <c r="H6" s="6">
        <f>'YTD BS'!H6</f>
        <v/>
      </c>
      <c r="I6" s="6">
        <f>'YTD BS'!I6</f>
        <v/>
      </c>
      <c r="J6" s="6">
        <f>'BALANCE SHEET'!D6</f>
        <v/>
      </c>
      <c r="K6" s="6">
        <f>'YTD BS'!K6</f>
        <v/>
      </c>
      <c r="L6" s="6">
        <f>'YTD BS'!L6</f>
        <v/>
      </c>
      <c r="M6" s="6">
        <f>'YTD BS'!M6</f>
        <v/>
      </c>
      <c r="N6" s="6">
        <f>'BALANCE SHEET'!E6</f>
        <v/>
      </c>
      <c r="O6" s="6">
        <f>'YTD BS'!O6</f>
        <v/>
      </c>
      <c r="P6" s="6">
        <f>'YTD BS'!P6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  <c r="AI6" s="7">
        <f>SUM(AI2:AI5)</f>
        <v/>
      </c>
      <c r="AJ6" s="7">
        <f>SUM(AJ2:AJ5)</f>
        <v/>
      </c>
      <c r="AK6" s="7">
        <f>SUM(AK2:AK5)</f>
        <v/>
      </c>
      <c r="AL6" s="7">
        <f>SUM(AL2:AL5)</f>
        <v/>
      </c>
    </row>
    <row r="7">
      <c r="A7" s="3" t="inlineStr">
        <is>
          <t>Net PP&amp;E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11">
        <f>'BS DRIVERS'!Q6</f>
        <v/>
      </c>
      <c r="R7" s="11">
        <f>'BS DRIVERS'!R6</f>
        <v/>
      </c>
      <c r="S7" s="11">
        <f>'BS DRIVERS'!S6</f>
        <v/>
      </c>
      <c r="T7" s="11">
        <f>'BS DRIVERS'!T6</f>
        <v/>
      </c>
      <c r="U7" s="11">
        <f>'BS DRIVERS'!U6</f>
        <v/>
      </c>
      <c r="V7" s="11">
        <f>'BS DRIVERS'!V6</f>
        <v/>
      </c>
      <c r="W7" s="11">
        <f>'BS DRIVERS'!W6</f>
        <v/>
      </c>
      <c r="X7" s="11">
        <f>'BS DRIVERS'!X6</f>
        <v/>
      </c>
      <c r="Y7" s="11">
        <f>'BS DRIVERS'!Y6</f>
        <v/>
      </c>
      <c r="Z7" s="11">
        <f>'BS DRIVERS'!Z6</f>
        <v/>
      </c>
      <c r="AA7" s="11">
        <f>'BS DRIVERS'!AA6</f>
        <v/>
      </c>
      <c r="AB7" s="11">
        <f>'BS DRIVERS'!AB6</f>
        <v/>
      </c>
      <c r="AC7" s="11">
        <f>'BS DRIVERS'!AC6</f>
        <v/>
      </c>
      <c r="AD7" s="11">
        <f>'BS DRIVERS'!AD6</f>
        <v/>
      </c>
      <c r="AE7" s="11">
        <f>'BS DRIVERS'!AE6</f>
        <v/>
      </c>
      <c r="AF7" s="11">
        <f>'BS DRIVERS'!AF6</f>
        <v/>
      </c>
      <c r="AG7" s="11">
        <f>'BS DRIVERS'!AG6</f>
        <v/>
      </c>
      <c r="AH7" s="11">
        <f>'BS DRIVERS'!AH6</f>
        <v/>
      </c>
      <c r="AI7" s="11">
        <f>'BS DRIVERS'!AI6</f>
        <v/>
      </c>
      <c r="AJ7" s="11">
        <f>'BS DRIVERS'!AJ6</f>
        <v/>
      </c>
      <c r="AK7" s="11">
        <f>'BS DRIVERS'!AK6</f>
        <v/>
      </c>
      <c r="AL7" s="11">
        <f>'BS DRIVERS'!AL6</f>
        <v/>
      </c>
    </row>
    <row r="8">
      <c r="A8" s="3" t="inlineStr">
        <is>
          <t>Goodwill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Other Non-Current Assets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'QTR P&amp;L'!T2*'BS DRIVERS'!Q9</f>
        <v/>
      </c>
      <c r="R10" s="11">
        <f>'QTR P&amp;L'!U2*'BS DRIVERS'!R9</f>
        <v/>
      </c>
      <c r="S10" s="11">
        <f>'QTR P&amp;L'!V2*'BS DRIVERS'!S9</f>
        <v/>
      </c>
      <c r="T10" s="11">
        <f>'QTR P&amp;L'!W2*'BS DRIVERS'!T9</f>
        <v/>
      </c>
      <c r="U10" s="11">
        <f>'QTR P&amp;L'!X2*'BS DRIVERS'!U9</f>
        <v/>
      </c>
      <c r="V10" s="11">
        <f>'QTR P&amp;L'!Y2*'BS DRIVERS'!V9</f>
        <v/>
      </c>
      <c r="W10" s="11">
        <f>'QTR P&amp;L'!Z2*'BS DRIVERS'!W9</f>
        <v/>
      </c>
      <c r="X10" s="11">
        <f>'QTR P&amp;L'!AA2*'BS DRIVERS'!X9</f>
        <v/>
      </c>
      <c r="Y10" s="11">
        <f>'QTR P&amp;L'!AB2*'BS DRIVERS'!Y9</f>
        <v/>
      </c>
      <c r="Z10" s="11">
        <f>'QTR P&amp;L'!AC2*'BS DRIVERS'!Z9</f>
        <v/>
      </c>
      <c r="AA10" s="11">
        <f>'QTR P&amp;L'!AD2*'BS DRIVERS'!AA9</f>
        <v/>
      </c>
      <c r="AB10" s="11">
        <f>'QTR P&amp;L'!AE2*'BS DRIVERS'!AB9</f>
        <v/>
      </c>
      <c r="AC10" s="11">
        <f>'QTR P&amp;L'!AF2*'BS DRIVERS'!AC9</f>
        <v/>
      </c>
      <c r="AD10" s="11">
        <f>'QTR P&amp;L'!AG2*'BS DRIVERS'!AD9</f>
        <v/>
      </c>
      <c r="AE10" s="11">
        <f>'QTR P&amp;L'!AH2*'BS DRIVERS'!AE9</f>
        <v/>
      </c>
      <c r="AF10" s="11">
        <f>'QTR P&amp;L'!AI2*'BS DRIVERS'!AF9</f>
        <v/>
      </c>
      <c r="AG10" s="11">
        <f>'QTR P&amp;L'!AJ2*'BS DRIVERS'!AG9</f>
        <v/>
      </c>
      <c r="AH10" s="11">
        <f>'QTR P&amp;L'!AK2*'BS DRIVERS'!AH9</f>
        <v/>
      </c>
      <c r="AI10" s="11">
        <f>'QTR P&amp;L'!AL2*'BS DRIVERS'!AI9</f>
        <v/>
      </c>
      <c r="AJ10" s="11">
        <f>'QTR P&amp;L'!AM2*'BS DRIVERS'!AJ9</f>
        <v/>
      </c>
      <c r="AK10" s="11">
        <f>'QTR P&amp;L'!AN2*'BS DRIVERS'!AK9</f>
        <v/>
      </c>
      <c r="AL10" s="11">
        <f>'QTR P&amp;L'!AO2*'BS DRIVERS'!AL9</f>
        <v/>
      </c>
    </row>
    <row r="11">
      <c r="A11" s="3" t="inlineStr">
        <is>
          <t>Total Assets</t>
        </is>
      </c>
      <c r="B11" s="6">
        <f>'BALANCE SHEET'!B11</f>
        <v/>
      </c>
      <c r="C11" s="6">
        <f>'YTD BS'!C11</f>
        <v/>
      </c>
      <c r="D11" s="6">
        <f>'YTD BS'!D11</f>
        <v/>
      </c>
      <c r="E11" s="6">
        <f>'YTD BS'!E11</f>
        <v/>
      </c>
      <c r="F11" s="6">
        <f>'BALANCE SHEET'!C11</f>
        <v/>
      </c>
      <c r="G11" s="6">
        <f>'YTD BS'!G11</f>
        <v/>
      </c>
      <c r="H11" s="6">
        <f>'YTD BS'!H11</f>
        <v/>
      </c>
      <c r="I11" s="6">
        <f>'YTD BS'!I11</f>
        <v/>
      </c>
      <c r="J11" s="6">
        <f>'BALANCE SHEET'!D11</f>
        <v/>
      </c>
      <c r="K11" s="6">
        <f>'YTD BS'!K11</f>
        <v/>
      </c>
      <c r="L11" s="6">
        <f>'YTD BS'!L11</f>
        <v/>
      </c>
      <c r="M11" s="6">
        <f>'YTD BS'!M11</f>
        <v/>
      </c>
      <c r="N11" s="6">
        <f>'BALANCE SHEET'!E11</f>
        <v/>
      </c>
      <c r="O11" s="6">
        <f>'YTD BS'!O11</f>
        <v/>
      </c>
      <c r="P11" s="6">
        <f>'YTD BS'!P11</f>
        <v/>
      </c>
      <c r="Q11" s="7">
        <f>Q6+SUM(Q7:Q10)</f>
        <v/>
      </c>
      <c r="R11" s="7">
        <f>R6+SUM(R7:R10)</f>
        <v/>
      </c>
      <c r="S11" s="7">
        <f>S6+SUM(S7:S10)</f>
        <v/>
      </c>
      <c r="T11" s="7">
        <f>T6+SUM(T7:T10)</f>
        <v/>
      </c>
      <c r="U11" s="7">
        <f>U6+SUM(U7:U10)</f>
        <v/>
      </c>
      <c r="V11" s="7">
        <f>V6+SUM(V7:V10)</f>
        <v/>
      </c>
      <c r="W11" s="7">
        <f>W6+SUM(W7:W10)</f>
        <v/>
      </c>
      <c r="X11" s="7">
        <f>X6+SUM(X7:X10)</f>
        <v/>
      </c>
      <c r="Y11" s="7">
        <f>Y6+SUM(Y7:Y10)</f>
        <v/>
      </c>
      <c r="Z11" s="7">
        <f>Z6+SUM(Z7:Z10)</f>
        <v/>
      </c>
      <c r="AA11" s="7">
        <f>AA6+SUM(AA7:AA10)</f>
        <v/>
      </c>
      <c r="AB11" s="7">
        <f>AB6+SUM(AB7:AB10)</f>
        <v/>
      </c>
      <c r="AC11" s="7">
        <f>AC6+SUM(AC7:AC10)</f>
        <v/>
      </c>
      <c r="AD11" s="7">
        <f>AD6+SUM(AD7:AD10)</f>
        <v/>
      </c>
      <c r="AE11" s="7">
        <f>AE6+SUM(AE7:AE10)</f>
        <v/>
      </c>
      <c r="AF11" s="7">
        <f>AF6+SUM(AF7:AF10)</f>
        <v/>
      </c>
      <c r="AG11" s="7">
        <f>AG6+SUM(AG7:AG10)</f>
        <v/>
      </c>
      <c r="AH11" s="7">
        <f>AH6+SUM(AH7:AH10)</f>
        <v/>
      </c>
      <c r="AI11" s="7">
        <f>AI6+SUM(AI7:AI10)</f>
        <v/>
      </c>
      <c r="AJ11" s="7">
        <f>AJ6+SUM(AJ7:AJ10)</f>
        <v/>
      </c>
      <c r="AK11" s="7">
        <f>AK6+SUM(AK7:AK10)</f>
        <v/>
      </c>
      <c r="AL11" s="7">
        <f>AL6+SUM(AL7:AL10)</f>
        <v/>
      </c>
    </row>
    <row r="12">
      <c r="A12" s="3" t="inlineStr">
        <is>
          <t>Accounts Payable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'QTR P&amp;L'!T3*'BS DRIVERS'!Q10/ASSUMPTIONS!$B$2</f>
        <v/>
      </c>
      <c r="R12" s="11">
        <f>'QTR P&amp;L'!U3*'BS DRIVERS'!R10/ASSUMPTIONS!$B$2</f>
        <v/>
      </c>
      <c r="S12" s="11">
        <f>'QTR P&amp;L'!V3*'BS DRIVERS'!S10/ASSUMPTIONS!$B$2</f>
        <v/>
      </c>
      <c r="T12" s="11">
        <f>'QTR P&amp;L'!W3*'BS DRIVERS'!T10/ASSUMPTIONS!$B$2</f>
        <v/>
      </c>
      <c r="U12" s="11">
        <f>'QTR P&amp;L'!X3*'BS DRIVERS'!U10/ASSUMPTIONS!$B$2</f>
        <v/>
      </c>
      <c r="V12" s="11">
        <f>'QTR P&amp;L'!Y3*'BS DRIVERS'!V10/ASSUMPTIONS!$B$2</f>
        <v/>
      </c>
      <c r="W12" s="11">
        <f>'QTR P&amp;L'!Z3*'BS DRIVERS'!W10/ASSUMPTIONS!$B$2</f>
        <v/>
      </c>
      <c r="X12" s="11">
        <f>'QTR P&amp;L'!AA3*'BS DRIVERS'!X10/ASSUMPTIONS!$B$2</f>
        <v/>
      </c>
      <c r="Y12" s="11">
        <f>'QTR P&amp;L'!AB3*'BS DRIVERS'!Y10/ASSUMPTIONS!$B$2</f>
        <v/>
      </c>
      <c r="Z12" s="11">
        <f>'QTR P&amp;L'!AC3*'BS DRIVERS'!Z10/ASSUMPTIONS!$B$2</f>
        <v/>
      </c>
      <c r="AA12" s="11">
        <f>'QTR P&amp;L'!AD3*'BS DRIVERS'!AA10/ASSUMPTIONS!$B$2</f>
        <v/>
      </c>
      <c r="AB12" s="11">
        <f>'QTR P&amp;L'!AE3*'BS DRIVERS'!AB10/ASSUMPTIONS!$B$2</f>
        <v/>
      </c>
      <c r="AC12" s="11">
        <f>'QTR P&amp;L'!AF3*'BS DRIVERS'!AC10/ASSUMPTIONS!$B$2</f>
        <v/>
      </c>
      <c r="AD12" s="11">
        <f>'QTR P&amp;L'!AG3*'BS DRIVERS'!AD10/ASSUMPTIONS!$B$2</f>
        <v/>
      </c>
      <c r="AE12" s="11">
        <f>'QTR P&amp;L'!AH3*'BS DRIVERS'!AE10/ASSUMPTIONS!$B$2</f>
        <v/>
      </c>
      <c r="AF12" s="11">
        <f>'QTR P&amp;L'!AI3*'BS DRIVERS'!AF10/ASSUMPTIONS!$B$2</f>
        <v/>
      </c>
      <c r="AG12" s="11">
        <f>'QTR P&amp;L'!AJ3*'BS DRIVERS'!AG10/ASSUMPTIONS!$B$2</f>
        <v/>
      </c>
      <c r="AH12" s="11">
        <f>'QTR P&amp;L'!AK3*'BS DRIVERS'!AH10/ASSUMPTIONS!$B$2</f>
        <v/>
      </c>
      <c r="AI12" s="11">
        <f>'QTR P&amp;L'!AL3*'BS DRIVERS'!AI10/ASSUMPTIONS!$B$2</f>
        <v/>
      </c>
      <c r="AJ12" s="11">
        <f>'QTR P&amp;L'!AM3*'BS DRIVERS'!AJ10/ASSUMPTIONS!$B$2</f>
        <v/>
      </c>
      <c r="AK12" s="11">
        <f>'QTR P&amp;L'!AN3*'BS DRIVERS'!AK10/ASSUMPTIONS!$B$2</f>
        <v/>
      </c>
      <c r="AL12" s="11">
        <f>'QTR P&amp;L'!AO3*'BS DRIVERS'!AL10/ASSUMPTIONS!$B$2</f>
        <v/>
      </c>
    </row>
    <row r="13">
      <c r="A13" s="3" t="inlineStr">
        <is>
          <t>Accrued Expenses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DRIVERS'!Q11</f>
        <v/>
      </c>
      <c r="R13" s="11">
        <f>'QTR P&amp;L'!U2*'BS DRIVERS'!R11</f>
        <v/>
      </c>
      <c r="S13" s="11">
        <f>'QTR P&amp;L'!V2*'BS DRIVERS'!S11</f>
        <v/>
      </c>
      <c r="T13" s="11">
        <f>'QTR P&amp;L'!W2*'BS DRIVERS'!T11</f>
        <v/>
      </c>
      <c r="U13" s="11">
        <f>'QTR P&amp;L'!X2*'BS DRIVERS'!U11</f>
        <v/>
      </c>
      <c r="V13" s="11">
        <f>'QTR P&amp;L'!Y2*'BS DRIVERS'!V11</f>
        <v/>
      </c>
      <c r="W13" s="11">
        <f>'QTR P&amp;L'!Z2*'BS DRIVERS'!W11</f>
        <v/>
      </c>
      <c r="X13" s="11">
        <f>'QTR P&amp;L'!AA2*'BS DRIVERS'!X11</f>
        <v/>
      </c>
      <c r="Y13" s="11">
        <f>'QTR P&amp;L'!AB2*'BS DRIVERS'!Y11</f>
        <v/>
      </c>
      <c r="Z13" s="11">
        <f>'QTR P&amp;L'!AC2*'BS DRIVERS'!Z11</f>
        <v/>
      </c>
      <c r="AA13" s="11">
        <f>'QTR P&amp;L'!AD2*'BS DRIVERS'!AA11</f>
        <v/>
      </c>
      <c r="AB13" s="11">
        <f>'QTR P&amp;L'!AE2*'BS DRIVERS'!AB11</f>
        <v/>
      </c>
      <c r="AC13" s="11">
        <f>'QTR P&amp;L'!AF2*'BS DRIVERS'!AC11</f>
        <v/>
      </c>
      <c r="AD13" s="11">
        <f>'QTR P&amp;L'!AG2*'BS DRIVERS'!AD11</f>
        <v/>
      </c>
      <c r="AE13" s="11">
        <f>'QTR P&amp;L'!AH2*'BS DRIVERS'!AE11</f>
        <v/>
      </c>
      <c r="AF13" s="11">
        <f>'QTR P&amp;L'!AI2*'BS DRIVERS'!AF11</f>
        <v/>
      </c>
      <c r="AG13" s="11">
        <f>'QTR P&amp;L'!AJ2*'BS DRIVERS'!AG11</f>
        <v/>
      </c>
      <c r="AH13" s="11">
        <f>'QTR P&amp;L'!AK2*'BS DRIVERS'!AH11</f>
        <v/>
      </c>
      <c r="AI13" s="11">
        <f>'QTR P&amp;L'!AL2*'BS DRIVERS'!AI11</f>
        <v/>
      </c>
      <c r="AJ13" s="11">
        <f>'QTR P&amp;L'!AM2*'BS DRIVERS'!AJ11</f>
        <v/>
      </c>
      <c r="AK13" s="11">
        <f>'QTR P&amp;L'!AN2*'BS DRIVERS'!AK11</f>
        <v/>
      </c>
      <c r="AL13" s="11">
        <f>'QTR P&amp;L'!AO2*'BS DRIVERS'!AL11</f>
        <v/>
      </c>
    </row>
    <row r="14">
      <c r="A14" s="3" t="inlineStr">
        <is>
          <t>Current Portion of Long-Term Debt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11">
        <f>'BS DRIVERS'!Q12</f>
        <v/>
      </c>
      <c r="R14" s="11">
        <f>'BS DRIVERS'!R12</f>
        <v/>
      </c>
      <c r="S14" s="11">
        <f>'BS DRIVERS'!S12</f>
        <v/>
      </c>
      <c r="T14" s="11">
        <f>'BS DRIVERS'!T12</f>
        <v/>
      </c>
      <c r="U14" s="11">
        <f>'BS DRIVERS'!U12</f>
        <v/>
      </c>
      <c r="V14" s="11">
        <f>'BS DRIVERS'!V12</f>
        <v/>
      </c>
      <c r="W14" s="11">
        <f>'BS DRIVERS'!W12</f>
        <v/>
      </c>
      <c r="X14" s="11">
        <f>'BS DRIVERS'!X12</f>
        <v/>
      </c>
      <c r="Y14" s="11">
        <f>'BS DRIVERS'!Y12</f>
        <v/>
      </c>
      <c r="Z14" s="11">
        <f>'BS DRIVERS'!Z12</f>
        <v/>
      </c>
      <c r="AA14" s="11">
        <f>'BS DRIVERS'!AA12</f>
        <v/>
      </c>
      <c r="AB14" s="11">
        <f>'BS DRIVERS'!AB12</f>
        <v/>
      </c>
      <c r="AC14" s="11">
        <f>'BS DRIVERS'!AC12</f>
        <v/>
      </c>
      <c r="AD14" s="11">
        <f>'BS DRIVERS'!AD12</f>
        <v/>
      </c>
      <c r="AE14" s="11">
        <f>'BS DRIVERS'!AE12</f>
        <v/>
      </c>
      <c r="AF14" s="11">
        <f>'BS DRIVERS'!AF12</f>
        <v/>
      </c>
      <c r="AG14" s="11">
        <f>'BS DRIVERS'!AG12</f>
        <v/>
      </c>
      <c r="AH14" s="11">
        <f>'BS DRIVERS'!AH12</f>
        <v/>
      </c>
      <c r="AI14" s="11">
        <f>'BS DRIVERS'!AI12</f>
        <v/>
      </c>
      <c r="AJ14" s="11">
        <f>'BS DRIVERS'!AJ12</f>
        <v/>
      </c>
      <c r="AK14" s="11">
        <f>'BS DRIVERS'!AK12</f>
        <v/>
      </c>
      <c r="AL14" s="11">
        <f>'BS DRIVERS'!AL12</f>
        <v/>
      </c>
    </row>
    <row r="15">
      <c r="A15" s="3" t="inlineStr">
        <is>
          <t>Total Current Liabilities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7">
        <f>SUM(Q12:Q14)</f>
        <v/>
      </c>
      <c r="R15" s="7">
        <f>SUM(R12:R14)</f>
        <v/>
      </c>
      <c r="S15" s="7">
        <f>SUM(S12:S14)</f>
        <v/>
      </c>
      <c r="T15" s="7">
        <f>SUM(T12:T14)</f>
        <v/>
      </c>
      <c r="U15" s="7">
        <f>SUM(U12:U14)</f>
        <v/>
      </c>
      <c r="V15" s="7">
        <f>SUM(V12:V14)</f>
        <v/>
      </c>
      <c r="W15" s="7">
        <f>SUM(W12:W14)</f>
        <v/>
      </c>
      <c r="X15" s="7">
        <f>SUM(X12:X14)</f>
        <v/>
      </c>
      <c r="Y15" s="7">
        <f>SUM(Y12:Y14)</f>
        <v/>
      </c>
      <c r="Z15" s="7">
        <f>SUM(Z12:Z14)</f>
        <v/>
      </c>
      <c r="AA15" s="7">
        <f>SUM(AA12:AA14)</f>
        <v/>
      </c>
      <c r="AB15" s="7">
        <f>SUM(AB12:AB14)</f>
        <v/>
      </c>
      <c r="AC15" s="7">
        <f>SUM(AC12:AC14)</f>
        <v/>
      </c>
      <c r="AD15" s="7">
        <f>SUM(AD12:AD14)</f>
        <v/>
      </c>
      <c r="AE15" s="7">
        <f>SUM(AE12:AE14)</f>
        <v/>
      </c>
      <c r="AF15" s="7">
        <f>SUM(AF12:AF14)</f>
        <v/>
      </c>
      <c r="AG15" s="7">
        <f>SUM(AG12:AG14)</f>
        <v/>
      </c>
      <c r="AH15" s="7">
        <f>SUM(AH12:AH14)</f>
        <v/>
      </c>
      <c r="AI15" s="7">
        <f>SUM(AI12:AI14)</f>
        <v/>
      </c>
      <c r="AJ15" s="7">
        <f>SUM(AJ12:AJ14)</f>
        <v/>
      </c>
      <c r="AK15" s="7">
        <f>SUM(AK12:AK14)</f>
        <v/>
      </c>
      <c r="AL15" s="7">
        <f>SUM(AL12:AL14)</f>
        <v/>
      </c>
    </row>
    <row r="16">
      <c r="A16" s="3" t="inlineStr">
        <is>
          <t>Long-Term Debt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'BS DRIVERS'!Q13</f>
        <v/>
      </c>
      <c r="R16" s="11">
        <f>'BS DRIVERS'!R13</f>
        <v/>
      </c>
      <c r="S16" s="11">
        <f>'BS DRIVERS'!S13</f>
        <v/>
      </c>
      <c r="T16" s="11">
        <f>'BS DRIVERS'!T13</f>
        <v/>
      </c>
      <c r="U16" s="11">
        <f>'BS DRIVERS'!U13</f>
        <v/>
      </c>
      <c r="V16" s="11">
        <f>'BS DRIVERS'!V13</f>
        <v/>
      </c>
      <c r="W16" s="11">
        <f>'BS DRIVERS'!W13</f>
        <v/>
      </c>
      <c r="X16" s="11">
        <f>'BS DRIVERS'!X13</f>
        <v/>
      </c>
      <c r="Y16" s="11">
        <f>'BS DRIVERS'!Y13</f>
        <v/>
      </c>
      <c r="Z16" s="11">
        <f>'BS DRIVERS'!Z13</f>
        <v/>
      </c>
      <c r="AA16" s="11">
        <f>'BS DRIVERS'!AA13</f>
        <v/>
      </c>
      <c r="AB16" s="11">
        <f>'BS DRIVERS'!AB13</f>
        <v/>
      </c>
      <c r="AC16" s="11">
        <f>'BS DRIVERS'!AC13</f>
        <v/>
      </c>
      <c r="AD16" s="11">
        <f>'BS DRIVERS'!AD13</f>
        <v/>
      </c>
      <c r="AE16" s="11">
        <f>'BS DRIVERS'!AE13</f>
        <v/>
      </c>
      <c r="AF16" s="11">
        <f>'BS DRIVERS'!AF13</f>
        <v/>
      </c>
      <c r="AG16" s="11">
        <f>'BS DRIVERS'!AG13</f>
        <v/>
      </c>
      <c r="AH16" s="11">
        <f>'BS DRIVERS'!AH13</f>
        <v/>
      </c>
      <c r="AI16" s="11">
        <f>'BS DRIVERS'!AI13</f>
        <v/>
      </c>
      <c r="AJ16" s="11">
        <f>'BS DRIVERS'!AJ13</f>
        <v/>
      </c>
      <c r="AK16" s="11">
        <f>'BS DRIVERS'!AK13</f>
        <v/>
      </c>
      <c r="AL16" s="11">
        <f>'BS DRIVERS'!AL13</f>
        <v/>
      </c>
    </row>
    <row r="17">
      <c r="A17" s="3" t="inlineStr">
        <is>
          <t>Deferred Tax Liability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DRIVERS'!Q14</f>
        <v/>
      </c>
      <c r="R17" s="11">
        <f>'BS DRIVERS'!R14</f>
        <v/>
      </c>
      <c r="S17" s="11">
        <f>'BS DRIVERS'!S14</f>
        <v/>
      </c>
      <c r="T17" s="11">
        <f>'BS DRIVERS'!T14</f>
        <v/>
      </c>
      <c r="U17" s="11">
        <f>'BS DRIVERS'!U14</f>
        <v/>
      </c>
      <c r="V17" s="11">
        <f>'BS DRIVERS'!V14</f>
        <v/>
      </c>
      <c r="W17" s="11">
        <f>'BS DRIVERS'!W14</f>
        <v/>
      </c>
      <c r="X17" s="11">
        <f>'BS DRIVERS'!X14</f>
        <v/>
      </c>
      <c r="Y17" s="11">
        <f>'BS DRIVERS'!Y14</f>
        <v/>
      </c>
      <c r="Z17" s="11">
        <f>'BS DRIVERS'!Z14</f>
        <v/>
      </c>
      <c r="AA17" s="11">
        <f>'BS DRIVERS'!AA14</f>
        <v/>
      </c>
      <c r="AB17" s="11">
        <f>'BS DRIVERS'!AB14</f>
        <v/>
      </c>
      <c r="AC17" s="11">
        <f>'BS DRIVERS'!AC14</f>
        <v/>
      </c>
      <c r="AD17" s="11">
        <f>'BS DRIVERS'!AD14</f>
        <v/>
      </c>
      <c r="AE17" s="11">
        <f>'BS DRIVERS'!AE14</f>
        <v/>
      </c>
      <c r="AF17" s="11">
        <f>'BS DRIVERS'!AF14</f>
        <v/>
      </c>
      <c r="AG17" s="11">
        <f>'BS DRIVERS'!AG14</f>
        <v/>
      </c>
      <c r="AH17" s="11">
        <f>'BS DRIVERS'!AH14</f>
        <v/>
      </c>
      <c r="AI17" s="11">
        <f>'BS DRIVERS'!AI14</f>
        <v/>
      </c>
      <c r="AJ17" s="11">
        <f>'BS DRIVERS'!AJ14</f>
        <v/>
      </c>
      <c r="AK17" s="11">
        <f>'BS DRIVERS'!AK14</f>
        <v/>
      </c>
      <c r="AL17" s="11">
        <f>'BS DRIVERS'!AL14</f>
        <v/>
      </c>
    </row>
    <row r="18">
      <c r="A18" s="3" t="inlineStr">
        <is>
          <t>Other Non-Current Liabilities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11">
        <f>'QTR P&amp;L'!T2*'BS DRIVERS'!Q15</f>
        <v/>
      </c>
      <c r="R18" s="11">
        <f>'QTR P&amp;L'!U2*'BS DRIVERS'!R15</f>
        <v/>
      </c>
      <c r="S18" s="11">
        <f>'QTR P&amp;L'!V2*'BS DRIVERS'!S15</f>
        <v/>
      </c>
      <c r="T18" s="11">
        <f>'QTR P&amp;L'!W2*'BS DRIVERS'!T15</f>
        <v/>
      </c>
      <c r="U18" s="11">
        <f>'QTR P&amp;L'!X2*'BS DRIVERS'!U15</f>
        <v/>
      </c>
      <c r="V18" s="11">
        <f>'QTR P&amp;L'!Y2*'BS DRIVERS'!V15</f>
        <v/>
      </c>
      <c r="W18" s="11">
        <f>'QTR P&amp;L'!Z2*'BS DRIVERS'!W15</f>
        <v/>
      </c>
      <c r="X18" s="11">
        <f>'QTR P&amp;L'!AA2*'BS DRIVERS'!X15</f>
        <v/>
      </c>
      <c r="Y18" s="11">
        <f>'QTR P&amp;L'!AB2*'BS DRIVERS'!Y15</f>
        <v/>
      </c>
      <c r="Z18" s="11">
        <f>'QTR P&amp;L'!AC2*'BS DRIVERS'!Z15</f>
        <v/>
      </c>
      <c r="AA18" s="11">
        <f>'QTR P&amp;L'!AD2*'BS DRIVERS'!AA15</f>
        <v/>
      </c>
      <c r="AB18" s="11">
        <f>'QTR P&amp;L'!AE2*'BS DRIVERS'!AB15</f>
        <v/>
      </c>
      <c r="AC18" s="11">
        <f>'QTR P&amp;L'!AF2*'BS DRIVERS'!AC15</f>
        <v/>
      </c>
      <c r="AD18" s="11">
        <f>'QTR P&amp;L'!AG2*'BS DRIVERS'!AD15</f>
        <v/>
      </c>
      <c r="AE18" s="11">
        <f>'QTR P&amp;L'!AH2*'BS DRIVERS'!AE15</f>
        <v/>
      </c>
      <c r="AF18" s="11">
        <f>'QTR P&amp;L'!AI2*'BS DRIVERS'!AF15</f>
        <v/>
      </c>
      <c r="AG18" s="11">
        <f>'QTR P&amp;L'!AJ2*'BS DRIVERS'!AG15</f>
        <v/>
      </c>
      <c r="AH18" s="11">
        <f>'QTR P&amp;L'!AK2*'BS DRIVERS'!AH15</f>
        <v/>
      </c>
      <c r="AI18" s="11">
        <f>'QTR P&amp;L'!AL2*'BS DRIVERS'!AI15</f>
        <v/>
      </c>
      <c r="AJ18" s="11">
        <f>'QTR P&amp;L'!AM2*'BS DRIVERS'!AJ15</f>
        <v/>
      </c>
      <c r="AK18" s="11">
        <f>'QTR P&amp;L'!AN2*'BS DRIVERS'!AK15</f>
        <v/>
      </c>
      <c r="AL18" s="11">
        <f>'QTR P&amp;L'!AO2*'BS DRIVERS'!AL15</f>
        <v/>
      </c>
    </row>
    <row r="19">
      <c r="A19" s="3" t="inlineStr">
        <is>
          <t>Total Liabilities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6">
        <f>'YTD BS'!O19</f>
        <v/>
      </c>
      <c r="P19" s="6">
        <f>'YTD BS'!P19</f>
        <v/>
      </c>
      <c r="Q19" s="7">
        <f>Q15+SUM(Q16:Q18)</f>
        <v/>
      </c>
      <c r="R19" s="7">
        <f>R15+SUM(R16:R18)</f>
        <v/>
      </c>
      <c r="S19" s="7">
        <f>S15+SUM(S16:S18)</f>
        <v/>
      </c>
      <c r="T19" s="7">
        <f>T15+SUM(T16:T18)</f>
        <v/>
      </c>
      <c r="U19" s="7">
        <f>U15+SUM(U16:U18)</f>
        <v/>
      </c>
      <c r="V19" s="7">
        <f>V15+SUM(V16:V18)</f>
        <v/>
      </c>
      <c r="W19" s="7">
        <f>W15+SUM(W16:W18)</f>
        <v/>
      </c>
      <c r="X19" s="7">
        <f>X15+SUM(X16:X18)</f>
        <v/>
      </c>
      <c r="Y19" s="7">
        <f>Y15+SUM(Y16:Y18)</f>
        <v/>
      </c>
      <c r="Z19" s="7">
        <f>Z15+SUM(Z16:Z18)</f>
        <v/>
      </c>
      <c r="AA19" s="7">
        <f>AA15+SUM(AA16:AA18)</f>
        <v/>
      </c>
      <c r="AB19" s="7">
        <f>AB15+SUM(AB16:AB18)</f>
        <v/>
      </c>
      <c r="AC19" s="7">
        <f>AC15+SUM(AC16:AC18)</f>
        <v/>
      </c>
      <c r="AD19" s="7">
        <f>AD15+SUM(AD16:AD18)</f>
        <v/>
      </c>
      <c r="AE19" s="7">
        <f>AE15+SUM(AE16:AE18)</f>
        <v/>
      </c>
      <c r="AF19" s="7">
        <f>AF15+SUM(AF16:AF18)</f>
        <v/>
      </c>
      <c r="AG19" s="7">
        <f>AG15+SUM(AG16:AG18)</f>
        <v/>
      </c>
      <c r="AH19" s="7">
        <f>AH15+SUM(AH16:AH18)</f>
        <v/>
      </c>
      <c r="AI19" s="7">
        <f>AI15+SUM(AI16:AI18)</f>
        <v/>
      </c>
      <c r="AJ19" s="7">
        <f>AJ15+SUM(AJ16:AJ18)</f>
        <v/>
      </c>
      <c r="AK19" s="7">
        <f>AK15+SUM(AK16:AK18)</f>
        <v/>
      </c>
      <c r="AL19" s="7">
        <f>AL15+SUM(AL16:AL18)</f>
        <v/>
      </c>
    </row>
    <row r="20">
      <c r="A20" s="3" t="inlineStr">
        <is>
          <t>Convertible Preferred Stock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DRIVERS'!Q16</f>
        <v/>
      </c>
      <c r="R20" s="11">
        <f>'BS DRIVERS'!R16</f>
        <v/>
      </c>
      <c r="S20" s="11">
        <f>'BS DRIVERS'!S16</f>
        <v/>
      </c>
      <c r="T20" s="11">
        <f>'BS DRIVERS'!T16</f>
        <v/>
      </c>
      <c r="U20" s="11">
        <f>'BS DRIVERS'!U16</f>
        <v/>
      </c>
      <c r="V20" s="11">
        <f>'BS DRIVERS'!V16</f>
        <v/>
      </c>
      <c r="W20" s="11">
        <f>'BS DRIVERS'!W16</f>
        <v/>
      </c>
      <c r="X20" s="11">
        <f>'BS DRIVERS'!X16</f>
        <v/>
      </c>
      <c r="Y20" s="11">
        <f>'BS DRIVERS'!Y16</f>
        <v/>
      </c>
      <c r="Z20" s="11">
        <f>'BS DRIVERS'!Z16</f>
        <v/>
      </c>
      <c r="AA20" s="11">
        <f>'BS DRIVERS'!AA16</f>
        <v/>
      </c>
      <c r="AB20" s="11">
        <f>'BS DRIVERS'!AB16</f>
        <v/>
      </c>
      <c r="AC20" s="11">
        <f>'BS DRIVERS'!AC16</f>
        <v/>
      </c>
      <c r="AD20" s="11">
        <f>'BS DRIVERS'!AD16</f>
        <v/>
      </c>
      <c r="AE20" s="11">
        <f>'BS DRIVERS'!AE16</f>
        <v/>
      </c>
      <c r="AF20" s="11">
        <f>'BS DRIVERS'!AF16</f>
        <v/>
      </c>
      <c r="AG20" s="11">
        <f>'BS DRIVERS'!AG16</f>
        <v/>
      </c>
      <c r="AH20" s="11">
        <f>'BS DRIVERS'!AH16</f>
        <v/>
      </c>
      <c r="AI20" s="11">
        <f>'BS DRIVERS'!AI16</f>
        <v/>
      </c>
      <c r="AJ20" s="11">
        <f>'BS DRIVERS'!AJ16</f>
        <v/>
      </c>
      <c r="AK20" s="11">
        <f>'BS DRIVERS'!AK16</f>
        <v/>
      </c>
      <c r="AL20" s="11">
        <f>'BS DRIVERS'!AL16</f>
        <v/>
      </c>
    </row>
    <row r="21">
      <c r="A21" s="3" t="inlineStr">
        <is>
          <t>Common Stock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'BS DRIVERS'!Q17</f>
        <v/>
      </c>
      <c r="R21" s="11">
        <f>'BS DRIVERS'!R17</f>
        <v/>
      </c>
      <c r="S21" s="11">
        <f>'BS DRIVERS'!S17</f>
        <v/>
      </c>
      <c r="T21" s="11">
        <f>'BS DRIVERS'!T17</f>
        <v/>
      </c>
      <c r="U21" s="11">
        <f>'BS DRIVERS'!U17</f>
        <v/>
      </c>
      <c r="V21" s="11">
        <f>'BS DRIVERS'!V17</f>
        <v/>
      </c>
      <c r="W21" s="11">
        <f>'BS DRIVERS'!W17</f>
        <v/>
      </c>
      <c r="X21" s="11">
        <f>'BS DRIVERS'!X17</f>
        <v/>
      </c>
      <c r="Y21" s="11">
        <f>'BS DRIVERS'!Y17</f>
        <v/>
      </c>
      <c r="Z21" s="11">
        <f>'BS DRIVERS'!Z17</f>
        <v/>
      </c>
      <c r="AA21" s="11">
        <f>'BS DRIVERS'!AA17</f>
        <v/>
      </c>
      <c r="AB21" s="11">
        <f>'BS DRIVERS'!AB17</f>
        <v/>
      </c>
      <c r="AC21" s="11">
        <f>'BS DRIVERS'!AC17</f>
        <v/>
      </c>
      <c r="AD21" s="11">
        <f>'BS DRIVERS'!AD17</f>
        <v/>
      </c>
      <c r="AE21" s="11">
        <f>'BS DRIVERS'!AE17</f>
        <v/>
      </c>
      <c r="AF21" s="11">
        <f>'BS DRIVERS'!AF17</f>
        <v/>
      </c>
      <c r="AG21" s="11">
        <f>'BS DRIVERS'!AG17</f>
        <v/>
      </c>
      <c r="AH21" s="11">
        <f>'BS DRIVERS'!AH17</f>
        <v/>
      </c>
      <c r="AI21" s="11">
        <f>'BS DRIVERS'!AI17</f>
        <v/>
      </c>
      <c r="AJ21" s="11">
        <f>'BS DRIVERS'!AJ17</f>
        <v/>
      </c>
      <c r="AK21" s="11">
        <f>'BS DRIVERS'!AK17</f>
        <v/>
      </c>
      <c r="AL21" s="11">
        <f>'BS DRIVERS'!AL17</f>
        <v/>
      </c>
    </row>
    <row r="22">
      <c r="A22" s="3" t="inlineStr">
        <is>
          <t>Additional Paid-in Capital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ESOP Debt Retirement Reserve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Accumulated Other Comprehensive Income (Loss)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Treasury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Retained Earnings (Accumulated Deficit)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6">
        <f>'YTD BS'!P28</f>
        <v/>
      </c>
      <c r="Q28" s="7">
        <f>SUM(Q20:Q27)</f>
        <v/>
      </c>
      <c r="R28" s="7">
        <f>SUM(R20:R27)</f>
        <v/>
      </c>
      <c r="S28" s="7">
        <f>SUM(S20:S27)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  <c r="AI28" s="7">
        <f>SUM(AI20:AI27)</f>
        <v/>
      </c>
      <c r="AJ28" s="7">
        <f>SUM(AJ20:AJ27)</f>
        <v/>
      </c>
      <c r="AK28" s="7">
        <f>SUM(AK20:AK27)</f>
        <v/>
      </c>
      <c r="AL28" s="7">
        <f>SUM(AL20:AL27)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6">
        <f>'YTD BS'!P29</f>
        <v/>
      </c>
      <c r="Q29" s="7">
        <f>Q19+Q28</f>
        <v/>
      </c>
      <c r="R29" s="7">
        <f>R19+R28</f>
        <v/>
      </c>
      <c r="S29" s="7">
        <f>S19+S28</f>
        <v/>
      </c>
      <c r="T29" s="7">
        <f>T19+T28</f>
        <v/>
      </c>
      <c r="U29" s="7">
        <f>U19+U28</f>
        <v/>
      </c>
      <c r="V29" s="7">
        <f>V19+V28</f>
        <v/>
      </c>
      <c r="W29" s="7">
        <f>W19+W28</f>
        <v/>
      </c>
      <c r="X29" s="7">
        <f>X19+X28</f>
        <v/>
      </c>
      <c r="Y29" s="7">
        <f>Y19+Y28</f>
        <v/>
      </c>
      <c r="Z29" s="7">
        <f>Z19+Z28</f>
        <v/>
      </c>
      <c r="AA29" s="7">
        <f>AA19+AA28</f>
        <v/>
      </c>
      <c r="AB29" s="7">
        <f>AB19+AB28</f>
        <v/>
      </c>
      <c r="AC29" s="7">
        <f>AC19+AC28</f>
        <v/>
      </c>
      <c r="AD29" s="7">
        <f>AD19+AD28</f>
        <v/>
      </c>
      <c r="AE29" s="7">
        <f>AE19+AE28</f>
        <v/>
      </c>
      <c r="AF29" s="7">
        <f>AF19+AF28</f>
        <v/>
      </c>
      <c r="AG29" s="7">
        <f>AG19+AG28</f>
        <v/>
      </c>
      <c r="AH29" s="7">
        <f>AH19+AH28</f>
        <v/>
      </c>
      <c r="AI29" s="7">
        <f>AI19+AI28</f>
        <v/>
      </c>
      <c r="AJ29" s="7">
        <f>AJ19+AJ28</f>
        <v/>
      </c>
      <c r="AK29" s="7">
        <f>AK19+AK28</f>
        <v/>
      </c>
      <c r="AL29" s="7">
        <f>AL19+AL28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11">
        <f>'QTR P&amp;L'!T2*'CF DRIVERS'!T5</f>
        <v/>
      </c>
      <c r="U5" s="11">
        <f>'QTR P&amp;L'!U2*'CF DRIVERS'!U5</f>
        <v/>
      </c>
      <c r="V5" s="11">
        <f>'QTR P&amp;L'!V2*'CF DRIVERS'!V5</f>
        <v/>
      </c>
      <c r="W5" s="11">
        <f>'QTR P&amp;L'!W2*'CF DRIVERS'!W5</f>
        <v/>
      </c>
      <c r="X5" s="11">
        <f>'QTR P&amp;L'!X2*'CF DRIVERS'!X5</f>
        <v/>
      </c>
      <c r="Y5" s="11">
        <f>'QTR P&amp;L'!Y2*'CF DRIVERS'!Y5</f>
        <v/>
      </c>
      <c r="Z5" s="11">
        <f>'QTR P&amp;L'!Z2*'CF DRIVERS'!Z5</f>
        <v/>
      </c>
      <c r="AA5" s="11">
        <f>'QTR P&amp;L'!AA2*'CF DRIVERS'!AA5</f>
        <v/>
      </c>
      <c r="AB5" s="11">
        <f>'QTR P&amp;L'!AB2*'CF DRIVERS'!AB5</f>
        <v/>
      </c>
      <c r="AC5" s="11">
        <f>'QTR P&amp;L'!AC2*'CF DRIVERS'!AC5</f>
        <v/>
      </c>
      <c r="AD5" s="11">
        <f>'QTR P&amp;L'!AD2*'CF DRIVERS'!AD5</f>
        <v/>
      </c>
      <c r="AE5" s="11">
        <f>'QTR P&amp;L'!AE2*'CF DRIVERS'!AE5</f>
        <v/>
      </c>
      <c r="AF5" s="11">
        <f>'QTR P&amp;L'!AF2*'CF DRIVERS'!AF5</f>
        <v/>
      </c>
      <c r="AG5" s="11">
        <f>'QTR P&amp;L'!AG2*'CF DRIVERS'!AG5</f>
        <v/>
      </c>
      <c r="AH5" s="11">
        <f>'QTR P&amp;L'!AH2*'CF DRIVERS'!AH5</f>
        <v/>
      </c>
      <c r="AI5" s="11">
        <f>'QTR P&amp;L'!AI2*'CF DRIVERS'!AI5</f>
        <v/>
      </c>
      <c r="AJ5" s="11">
        <f>'QTR P&amp;L'!AJ2*'CF DRIVERS'!AJ5</f>
        <v/>
      </c>
      <c r="AK5" s="11">
        <f>'QTR P&amp;L'!AK2*'CF DRIVERS'!AK5</f>
        <v/>
      </c>
      <c r="AL5" s="11">
        <f>'QTR P&amp;L'!AL2*'CF DRIVERS'!AL5</f>
        <v/>
      </c>
      <c r="AM5" s="11">
        <f>'QTR P&amp;L'!AM2*'CF DRIVERS'!AM5</f>
        <v/>
      </c>
      <c r="AN5" s="11">
        <f>'QTR P&amp;L'!AN2*'CF DRIVERS'!AN5</f>
        <v/>
      </c>
      <c r="AO5" s="11">
        <f>'QTR P&amp;L'!AO2*'CF DRIVERS'!AO5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  <c r="T14" s="7">
        <f>SUM(T2:T13)</f>
        <v/>
      </c>
      <c r="U14" s="7">
        <f>SUM(U2:U13)</f>
        <v/>
      </c>
      <c r="V14" s="7">
        <f>SUM(V2:V13)</f>
        <v/>
      </c>
      <c r="W14" s="7">
        <f>SUM(W2:W13)</f>
        <v/>
      </c>
      <c r="X14" s="7">
        <f>SUM(X2:X13)</f>
        <v/>
      </c>
      <c r="Y14" s="7">
        <f>SUM(Y2:Y13)</f>
        <v/>
      </c>
      <c r="Z14" s="7">
        <f>SUM(Z2:Z13)</f>
        <v/>
      </c>
      <c r="AA14" s="7">
        <f>SUM(AA2:AA13)</f>
        <v/>
      </c>
      <c r="AB14" s="7">
        <f>SUM(AB2:AB13)</f>
        <v/>
      </c>
      <c r="AC14" s="7">
        <f>SUM(AC2:AC13)</f>
        <v/>
      </c>
      <c r="AD14" s="7">
        <f>SUM(AD2:AD13)</f>
        <v/>
      </c>
      <c r="AE14" s="7">
        <f>SUM(AE2:AE13)</f>
        <v/>
      </c>
      <c r="AF14" s="7">
        <f>SUM(AF2:AF13)</f>
        <v/>
      </c>
      <c r="AG14" s="7">
        <f>SUM(AG2:AG13)</f>
        <v/>
      </c>
      <c r="AH14" s="7">
        <f>SUM(AH2:AH13)</f>
        <v/>
      </c>
      <c r="AI14" s="7">
        <f>SUM(AI2:AI13)</f>
        <v/>
      </c>
      <c r="AJ14" s="7">
        <f>SUM(AJ2:AJ13)</f>
        <v/>
      </c>
      <c r="AK14" s="7">
        <f>SUM(AK2:AK13)</f>
        <v/>
      </c>
      <c r="AL14" s="7">
        <f>SUM(AL2:AL13)</f>
        <v/>
      </c>
      <c r="AM14" s="7">
        <f>SUM(AM2:AM13)</f>
        <v/>
      </c>
      <c r="AN14" s="7">
        <f>SUM(AN2:AN13)</f>
        <v/>
      </c>
      <c r="AO14" s="7">
        <f>SUM(AO2:AO13)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  <c r="T15" s="11">
        <f>'QTR P&amp;L'!T2*'CF DRIVERS'!T14</f>
        <v/>
      </c>
      <c r="U15" s="11">
        <f>'QTR P&amp;L'!U2*'CF DRIVERS'!U14</f>
        <v/>
      </c>
      <c r="V15" s="11">
        <f>'QTR P&amp;L'!V2*'CF DRIVERS'!V14</f>
        <v/>
      </c>
      <c r="W15" s="11">
        <f>'QTR P&amp;L'!W2*'CF DRIVERS'!W14</f>
        <v/>
      </c>
      <c r="X15" s="11">
        <f>'QTR P&amp;L'!X2*'CF DRIVERS'!X14</f>
        <v/>
      </c>
      <c r="Y15" s="11">
        <f>'QTR P&amp;L'!Y2*'CF DRIVERS'!Y14</f>
        <v/>
      </c>
      <c r="Z15" s="11">
        <f>'QTR P&amp;L'!Z2*'CF DRIVERS'!Z14</f>
        <v/>
      </c>
      <c r="AA15" s="11">
        <f>'QTR P&amp;L'!AA2*'CF DRIVERS'!AA14</f>
        <v/>
      </c>
      <c r="AB15" s="11">
        <f>'QTR P&amp;L'!AB2*'CF DRIVERS'!AB14</f>
        <v/>
      </c>
      <c r="AC15" s="11">
        <f>'QTR P&amp;L'!AC2*'CF DRIVERS'!AC14</f>
        <v/>
      </c>
      <c r="AD15" s="11">
        <f>'QTR P&amp;L'!AD2*'CF DRIVERS'!AD14</f>
        <v/>
      </c>
      <c r="AE15" s="11">
        <f>'QTR P&amp;L'!AE2*'CF DRIVERS'!AE14</f>
        <v/>
      </c>
      <c r="AF15" s="11">
        <f>'QTR P&amp;L'!AF2*'CF DRIVERS'!AF14</f>
        <v/>
      </c>
      <c r="AG15" s="11">
        <f>'QTR P&amp;L'!AG2*'CF DRIVERS'!AG14</f>
        <v/>
      </c>
      <c r="AH15" s="11">
        <f>'QTR P&amp;L'!AH2*'CF DRIVERS'!AH14</f>
        <v/>
      </c>
      <c r="AI15" s="11">
        <f>'QTR P&amp;L'!AI2*'CF DRIVERS'!AI14</f>
        <v/>
      </c>
      <c r="AJ15" s="11">
        <f>'QTR P&amp;L'!AJ2*'CF DRIVERS'!AJ14</f>
        <v/>
      </c>
      <c r="AK15" s="11">
        <f>'QTR P&amp;L'!AK2*'CF DRIVERS'!AK14</f>
        <v/>
      </c>
      <c r="AL15" s="11">
        <f>'QTR P&amp;L'!AL2*'CF DRIVERS'!AL14</f>
        <v/>
      </c>
      <c r="AM15" s="11">
        <f>'QTR P&amp;L'!AM2*'CF DRIVERS'!AM14</f>
        <v/>
      </c>
      <c r="AN15" s="11">
        <f>'QTR P&amp;L'!AN2*'CF DRIVERS'!AN14</f>
        <v/>
      </c>
      <c r="AO15" s="11">
        <f>'QTR P&amp;L'!AO2*'CF DRIVERS'!AO14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  <c r="AL16" s="11">
        <f>'CF DRIVERS'!AL15</f>
        <v/>
      </c>
      <c r="AM16" s="11">
        <f>'CF DRIVERS'!AM15</f>
        <v/>
      </c>
      <c r="AN16" s="11">
        <f>'CF DRIVERS'!AN15</f>
        <v/>
      </c>
      <c r="AO16" s="11">
        <f>'CF DRIVERS'!AO15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  <c r="AL17" s="11">
        <f>'CF DRIVERS'!AL16</f>
        <v/>
      </c>
      <c r="AM17" s="11">
        <f>'CF DRIVERS'!AM16</f>
        <v/>
      </c>
      <c r="AN17" s="11">
        <f>'CF DRIVERS'!AN16</f>
        <v/>
      </c>
      <c r="AO17" s="11">
        <f>'CF DRIVERS'!AO16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  <c r="AL18" s="11">
        <f>'CF DRIVERS'!AL17</f>
        <v/>
      </c>
      <c r="AM18" s="11">
        <f>'CF DRIVERS'!AM17</f>
        <v/>
      </c>
      <c r="AN18" s="11">
        <f>'CF DRIVERS'!AN17</f>
        <v/>
      </c>
      <c r="AO18" s="11">
        <f>'CF DRIVERS'!AO17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  <c r="T19" s="11">
        <f>'CF DRIVERS'!T18</f>
        <v/>
      </c>
      <c r="U19" s="11">
        <f>'CF DRIVERS'!U18</f>
        <v/>
      </c>
      <c r="V19" s="11">
        <f>'CF DRIVERS'!V18</f>
        <v/>
      </c>
      <c r="W19" s="11">
        <f>'CF DRIVERS'!W18</f>
        <v/>
      </c>
      <c r="X19" s="11">
        <f>'CF DRIVERS'!X18</f>
        <v/>
      </c>
      <c r="Y19" s="11">
        <f>'CF DRIVERS'!Y18</f>
        <v/>
      </c>
      <c r="Z19" s="11">
        <f>'CF DRIVERS'!Z18</f>
        <v/>
      </c>
      <c r="AA19" s="11">
        <f>'CF DRIVERS'!AA18</f>
        <v/>
      </c>
      <c r="AB19" s="11">
        <f>'CF DRIVERS'!AB18</f>
        <v/>
      </c>
      <c r="AC19" s="11">
        <f>'CF DRIVERS'!AC18</f>
        <v/>
      </c>
      <c r="AD19" s="11">
        <f>'CF DRIVERS'!AD18</f>
        <v/>
      </c>
      <c r="AE19" s="11">
        <f>'CF DRIVERS'!AE18</f>
        <v/>
      </c>
      <c r="AF19" s="11">
        <f>'CF DRIVERS'!AF18</f>
        <v/>
      </c>
      <c r="AG19" s="11">
        <f>'CF DRIVERS'!AG18</f>
        <v/>
      </c>
      <c r="AH19" s="11">
        <f>'CF DRIVERS'!AH18</f>
        <v/>
      </c>
      <c r="AI19" s="11">
        <f>'CF DRIVERS'!AI18</f>
        <v/>
      </c>
      <c r="AJ19" s="11">
        <f>'CF DRIVERS'!AJ18</f>
        <v/>
      </c>
      <c r="AK19" s="11">
        <f>'CF DRIVERS'!AK18</f>
        <v/>
      </c>
      <c r="AL19" s="11">
        <f>'CF DRIVERS'!AL18</f>
        <v/>
      </c>
      <c r="AM19" s="11">
        <f>'CF DRIVERS'!AM18</f>
        <v/>
      </c>
      <c r="AN19" s="11">
        <f>'CF DRIVERS'!AN18</f>
        <v/>
      </c>
      <c r="AO19" s="11">
        <f>'CF DRIVERS'!AO18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  <c r="T20" s="7">
        <f>SUM(T15:T19)</f>
        <v/>
      </c>
      <c r="U20" s="7">
        <f>SUM(U15:U19)</f>
        <v/>
      </c>
      <c r="V20" s="7">
        <f>SUM(V15:V19)</f>
        <v/>
      </c>
      <c r="W20" s="7">
        <f>SUM(W15:W19)</f>
        <v/>
      </c>
      <c r="X20" s="7">
        <f>SUM(X15:X19)</f>
        <v/>
      </c>
      <c r="Y20" s="7">
        <f>SUM(Y15:Y19)</f>
        <v/>
      </c>
      <c r="Z20" s="7">
        <f>SUM(Z15:Z19)</f>
        <v/>
      </c>
      <c r="AA20" s="7">
        <f>SUM(AA15:AA19)</f>
        <v/>
      </c>
      <c r="AB20" s="7">
        <f>SUM(AB15:AB19)</f>
        <v/>
      </c>
      <c r="AC20" s="7">
        <f>SUM(AC15:AC19)</f>
        <v/>
      </c>
      <c r="AD20" s="7">
        <f>SUM(AD15:AD19)</f>
        <v/>
      </c>
      <c r="AE20" s="7">
        <f>SUM(AE15:AE19)</f>
        <v/>
      </c>
      <c r="AF20" s="7">
        <f>SUM(AF15:AF19)</f>
        <v/>
      </c>
      <c r="AG20" s="7">
        <f>SUM(AG15:AG19)</f>
        <v/>
      </c>
      <c r="AH20" s="7">
        <f>SUM(AH15:AH19)</f>
        <v/>
      </c>
      <c r="AI20" s="7">
        <f>SUM(AI15:AI19)</f>
        <v/>
      </c>
      <c r="AJ20" s="7">
        <f>SUM(AJ15:AJ19)</f>
        <v/>
      </c>
      <c r="AK20" s="7">
        <f>SUM(AK15:AK19)</f>
        <v/>
      </c>
      <c r="AL20" s="7">
        <f>SUM(AL15:AL19)</f>
        <v/>
      </c>
      <c r="AM20" s="7">
        <f>SUM(AM15:AM19)</f>
        <v/>
      </c>
      <c r="AN20" s="7">
        <f>SUM(AN15:AN19)</f>
        <v/>
      </c>
      <c r="AO20" s="7">
        <f>SUM(AO15:AO19)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  <c r="T21" s="11">
        <f>'QTR P&amp;L'!T12*'CF DRIVERS'!T19</f>
        <v/>
      </c>
      <c r="U21" s="11">
        <f>'QTR P&amp;L'!U12*'CF DRIVERS'!U19</f>
        <v/>
      </c>
      <c r="V21" s="11">
        <f>'QTR P&amp;L'!V12*'CF DRIVERS'!V19</f>
        <v/>
      </c>
      <c r="W21" s="11">
        <f>'QTR P&amp;L'!W12*'CF DRIVERS'!W19</f>
        <v/>
      </c>
      <c r="X21" s="11">
        <f>'QTR P&amp;L'!X12*'CF DRIVERS'!X19</f>
        <v/>
      </c>
      <c r="Y21" s="11">
        <f>'QTR P&amp;L'!Y12*'CF DRIVERS'!Y19</f>
        <v/>
      </c>
      <c r="Z21" s="11">
        <f>'QTR P&amp;L'!Z12*'CF DRIVERS'!Z19</f>
        <v/>
      </c>
      <c r="AA21" s="11">
        <f>'QTR P&amp;L'!AA12*'CF DRIVERS'!AA19</f>
        <v/>
      </c>
      <c r="AB21" s="11">
        <f>'QTR P&amp;L'!AB12*'CF DRIVERS'!AB19</f>
        <v/>
      </c>
      <c r="AC21" s="11">
        <f>'QTR P&amp;L'!AC12*'CF DRIVERS'!AC19</f>
        <v/>
      </c>
      <c r="AD21" s="11">
        <f>'QTR P&amp;L'!AD12*'CF DRIVERS'!AD19</f>
        <v/>
      </c>
      <c r="AE21" s="11">
        <f>'QTR P&amp;L'!AE12*'CF DRIVERS'!AE19</f>
        <v/>
      </c>
      <c r="AF21" s="11">
        <f>'QTR P&amp;L'!AF12*'CF DRIVERS'!AF19</f>
        <v/>
      </c>
      <c r="AG21" s="11">
        <f>'QTR P&amp;L'!AG12*'CF DRIVERS'!AG19</f>
        <v/>
      </c>
      <c r="AH21" s="11">
        <f>'QTR P&amp;L'!AH12*'CF DRIVERS'!AH19</f>
        <v/>
      </c>
      <c r="AI21" s="11">
        <f>'QTR P&amp;L'!AI12*'CF DRIVERS'!AI19</f>
        <v/>
      </c>
      <c r="AJ21" s="11">
        <f>'QTR P&amp;L'!AJ12*'CF DRIVERS'!AJ19</f>
        <v/>
      </c>
      <c r="AK21" s="11">
        <f>'QTR P&amp;L'!AK12*'CF DRIVERS'!AK19</f>
        <v/>
      </c>
      <c r="AL21" s="11">
        <f>'QTR P&amp;L'!AL12*'CF DRIVERS'!AL19</f>
        <v/>
      </c>
      <c r="AM21" s="11">
        <f>'QTR P&amp;L'!AM12*'CF DRIVERS'!AM19</f>
        <v/>
      </c>
      <c r="AN21" s="11">
        <f>'QTR P&amp;L'!AN12*'CF DRIVERS'!AN19</f>
        <v/>
      </c>
      <c r="AO21" s="11">
        <f>'QTR P&amp;L'!AO12*'CF DRIVERS'!AO19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  <c r="AL22" s="11">
        <f>'CF DRIVERS'!AL20</f>
        <v/>
      </c>
      <c r="AM22" s="11">
        <f>'CF DRIVERS'!AM20</f>
        <v/>
      </c>
      <c r="AN22" s="11">
        <f>'CF DRIVERS'!AN20</f>
        <v/>
      </c>
      <c r="AO22" s="11">
        <f>'CF DRIVERS'!AO20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  <c r="AL23" s="11">
        <f>'CF DRIVERS'!AL21</f>
        <v/>
      </c>
      <c r="AM23" s="11">
        <f>'CF DRIVERS'!AM21</f>
        <v/>
      </c>
      <c r="AN23" s="11">
        <f>'CF DRIVERS'!AN21</f>
        <v/>
      </c>
      <c r="AO23" s="11">
        <f>'CF DRIVERS'!AO21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  <c r="AL24" s="11">
        <f>'CF DRIVERS'!AL22</f>
        <v/>
      </c>
      <c r="AM24" s="11">
        <f>'CF DRIVERS'!AM22</f>
        <v/>
      </c>
      <c r="AN24" s="11">
        <f>'CF DRIVERS'!AN22</f>
        <v/>
      </c>
      <c r="AO24" s="11">
        <f>'CF DRIVERS'!AO22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  <c r="AL25" s="11">
        <f>'CF DRIVERS'!AL23</f>
        <v/>
      </c>
      <c r="AM25" s="11">
        <f>'CF DRIVERS'!AM23</f>
        <v/>
      </c>
      <c r="AN25" s="11">
        <f>'CF DRIVERS'!AN23</f>
        <v/>
      </c>
      <c r="AO25" s="11">
        <f>'CF DRIVERS'!AO23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  <c r="AL26" s="11">
        <f>'CF DRIVERS'!AL24</f>
        <v/>
      </c>
      <c r="AM26" s="11">
        <f>'CF DRIVERS'!AM24</f>
        <v/>
      </c>
      <c r="AN26" s="11">
        <f>'CF DRIVERS'!AN24</f>
        <v/>
      </c>
      <c r="AO26" s="11">
        <f>'CF DRIVERS'!AO24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  <c r="AL27" s="11">
        <f>'CF DRIVERS'!AL25</f>
        <v/>
      </c>
      <c r="AM27" s="11">
        <f>'CF DRIVERS'!AM25</f>
        <v/>
      </c>
      <c r="AN27" s="11">
        <f>'CF DRIVERS'!AN25</f>
        <v/>
      </c>
      <c r="AO27" s="11">
        <f>'CF DRIVERS'!AO25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  <c r="T28" s="11">
        <f>'CF DRIVERS'!T26</f>
        <v/>
      </c>
      <c r="U28" s="11">
        <f>'CF DRIVERS'!U26</f>
        <v/>
      </c>
      <c r="V28" s="11">
        <f>'CF DRIVERS'!V26</f>
        <v/>
      </c>
      <c r="W28" s="11">
        <f>'CF DRIVERS'!W26</f>
        <v/>
      </c>
      <c r="X28" s="11">
        <f>'CF DRIVERS'!X26</f>
        <v/>
      </c>
      <c r="Y28" s="11">
        <f>'CF DRIVERS'!Y26</f>
        <v/>
      </c>
      <c r="Z28" s="11">
        <f>'CF DRIVERS'!Z26</f>
        <v/>
      </c>
      <c r="AA28" s="11">
        <f>'CF DRIVERS'!AA26</f>
        <v/>
      </c>
      <c r="AB28" s="11">
        <f>'CF DRIVERS'!AB26</f>
        <v/>
      </c>
      <c r="AC28" s="11">
        <f>'CF DRIVERS'!AC26</f>
        <v/>
      </c>
      <c r="AD28" s="11">
        <f>'CF DRIVERS'!AD26</f>
        <v/>
      </c>
      <c r="AE28" s="11">
        <f>'CF DRIVERS'!AE26</f>
        <v/>
      </c>
      <c r="AF28" s="11">
        <f>'CF DRIVERS'!AF26</f>
        <v/>
      </c>
      <c r="AG28" s="11">
        <f>'CF DRIVERS'!AG26</f>
        <v/>
      </c>
      <c r="AH28" s="11">
        <f>'CF DRIVERS'!AH26</f>
        <v/>
      </c>
      <c r="AI28" s="11">
        <f>'CF DRIVERS'!AI26</f>
        <v/>
      </c>
      <c r="AJ28" s="11">
        <f>'CF DRIVERS'!AJ26</f>
        <v/>
      </c>
      <c r="AK28" s="11">
        <f>'CF DRIVERS'!AK26</f>
        <v/>
      </c>
      <c r="AL28" s="11">
        <f>'CF DRIVERS'!AL26</f>
        <v/>
      </c>
      <c r="AM28" s="11">
        <f>'CF DRIVERS'!AM26</f>
        <v/>
      </c>
      <c r="AN28" s="11">
        <f>'CF DRIVERS'!AN26</f>
        <v/>
      </c>
      <c r="AO28" s="11">
        <f>'CF DRIVERS'!AO26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  <c r="T29" s="7">
        <f>SUM(T21:T28)</f>
        <v/>
      </c>
      <c r="U29" s="7">
        <f>SUM(U21:U28)</f>
        <v/>
      </c>
      <c r="V29" s="7">
        <f>SUM(V21:V28)</f>
        <v/>
      </c>
      <c r="W29" s="7">
        <f>SUM(W21:W28)</f>
        <v/>
      </c>
      <c r="X29" s="7">
        <f>SUM(X21:X28)</f>
        <v/>
      </c>
      <c r="Y29" s="7">
        <f>SUM(Y21:Y28)</f>
        <v/>
      </c>
      <c r="Z29" s="7">
        <f>SUM(Z21:Z28)</f>
        <v/>
      </c>
      <c r="AA29" s="7">
        <f>SUM(AA21:AA28)</f>
        <v/>
      </c>
      <c r="AB29" s="7">
        <f>SUM(AB21:AB28)</f>
        <v/>
      </c>
      <c r="AC29" s="7">
        <f>SUM(AC21:AC28)</f>
        <v/>
      </c>
      <c r="AD29" s="7">
        <f>SUM(AD21:AD28)</f>
        <v/>
      </c>
      <c r="AE29" s="7">
        <f>SUM(AE21:AE28)</f>
        <v/>
      </c>
      <c r="AF29" s="7">
        <f>SUM(AF21:AF28)</f>
        <v/>
      </c>
      <c r="AG29" s="7">
        <f>SUM(AG21:AG28)</f>
        <v/>
      </c>
      <c r="AH29" s="7">
        <f>SUM(AH21:AH28)</f>
        <v/>
      </c>
      <c r="AI29" s="7">
        <f>SUM(AI21:AI28)</f>
        <v/>
      </c>
      <c r="AJ29" s="7">
        <f>SUM(AJ21:AJ28)</f>
        <v/>
      </c>
      <c r="AK29" s="7">
        <f>SUM(AK21:AK28)</f>
        <v/>
      </c>
      <c r="AL29" s="7">
        <f>SUM(AL21:AL28)</f>
        <v/>
      </c>
      <c r="AM29" s="7">
        <f>SUM(AM21:AM28)</f>
        <v/>
      </c>
      <c r="AN29" s="7">
        <f>SUM(AN21:AN28)</f>
        <v/>
      </c>
      <c r="AO29" s="7">
        <f>SUM(AO21:AO28)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  <c r="T30" s="11">
        <f>'CF DRIVERS'!T27</f>
        <v/>
      </c>
      <c r="U30" s="11">
        <f>'CF DRIVERS'!U27</f>
        <v/>
      </c>
      <c r="V30" s="11">
        <f>'CF DRIVERS'!V27</f>
        <v/>
      </c>
      <c r="W30" s="11">
        <f>'CF DRIVERS'!W27</f>
        <v/>
      </c>
      <c r="X30" s="11">
        <f>'CF DRIVERS'!X27</f>
        <v/>
      </c>
      <c r="Y30" s="11">
        <f>'CF DRIVERS'!Y27</f>
        <v/>
      </c>
      <c r="Z30" s="11">
        <f>'CF DRIVERS'!Z27</f>
        <v/>
      </c>
      <c r="AA30" s="11">
        <f>'CF DRIVERS'!AA27</f>
        <v/>
      </c>
      <c r="AB30" s="11">
        <f>'CF DRIVERS'!AB27</f>
        <v/>
      </c>
      <c r="AC30" s="11">
        <f>'CF DRIVERS'!AC27</f>
        <v/>
      </c>
      <c r="AD30" s="11">
        <f>'CF DRIVERS'!AD27</f>
        <v/>
      </c>
      <c r="AE30" s="11">
        <f>'CF DRIVERS'!AE27</f>
        <v/>
      </c>
      <c r="AF30" s="11">
        <f>'CF DRIVERS'!AF27</f>
        <v/>
      </c>
      <c r="AG30" s="11">
        <f>'CF DRIVERS'!AG27</f>
        <v/>
      </c>
      <c r="AH30" s="11">
        <f>'CF DRIVERS'!AH27</f>
        <v/>
      </c>
      <c r="AI30" s="11">
        <f>'CF DRIVERS'!AI27</f>
        <v/>
      </c>
      <c r="AJ30" s="11">
        <f>'CF DRIVERS'!AJ27</f>
        <v/>
      </c>
      <c r="AK30" s="11">
        <f>'CF DRIVERS'!AK27</f>
        <v/>
      </c>
      <c r="AL30" s="11">
        <f>'CF DRIVERS'!AL27</f>
        <v/>
      </c>
      <c r="AM30" s="11">
        <f>'CF DRIVERS'!AM27</f>
        <v/>
      </c>
      <c r="AN30" s="11">
        <f>'CF DRIVERS'!AN27</f>
        <v/>
      </c>
      <c r="AO30" s="11">
        <f>'CF DRIVERS'!AO27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  <c r="T31" s="7">
        <f>T14+T20+T29+T30</f>
        <v/>
      </c>
      <c r="U31" s="7">
        <f>U14+U20+U29+U30</f>
        <v/>
      </c>
      <c r="V31" s="7">
        <f>V14+V20+V29+V30</f>
        <v/>
      </c>
      <c r="W31" s="7">
        <f>W14+W20+W29+W30</f>
        <v/>
      </c>
      <c r="X31" s="7">
        <f>X14+X20+X29+X30</f>
        <v/>
      </c>
      <c r="Y31" s="7">
        <f>Y14+Y20+Y29+Y30</f>
        <v/>
      </c>
      <c r="Z31" s="7">
        <f>Z14+Z20+Z29+Z30</f>
        <v/>
      </c>
      <c r="AA31" s="7">
        <f>AA14+AA20+AA29+AA30</f>
        <v/>
      </c>
      <c r="AB31" s="7">
        <f>AB14+AB20+AB29+AB30</f>
        <v/>
      </c>
      <c r="AC31" s="7">
        <f>AC14+AC20+AC29+AC30</f>
        <v/>
      </c>
      <c r="AD31" s="7">
        <f>AD14+AD20+AD29+AD30</f>
        <v/>
      </c>
      <c r="AE31" s="7">
        <f>AE14+AE20+AE29+AE30</f>
        <v/>
      </c>
      <c r="AF31" s="7">
        <f>AF14+AF20+AF29+AF30</f>
        <v/>
      </c>
      <c r="AG31" s="7">
        <f>AG14+AG20+AG29+AG30</f>
        <v/>
      </c>
      <c r="AH31" s="7">
        <f>AH14+AH20+AH29+AH30</f>
        <v/>
      </c>
      <c r="AI31" s="7">
        <f>AI14+AI20+AI29+AI30</f>
        <v/>
      </c>
      <c r="AJ31" s="7">
        <f>AJ14+AJ20+AJ29+AJ30</f>
        <v/>
      </c>
      <c r="AK31" s="7">
        <f>AK14+AK20+AK29+AK30</f>
        <v/>
      </c>
      <c r="AL31" s="7">
        <f>AL14+AL20+AL29+AL30</f>
        <v/>
      </c>
      <c r="AM31" s="7">
        <f>AM14+AM20+AM29+AM30</f>
        <v/>
      </c>
      <c r="AN31" s="7">
        <f>AN14+AN20+AN29+AN30</f>
        <v/>
      </c>
      <c r="AO31" s="7">
        <f>AO14+AO20+AO29+AO30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Impairment of Intangibles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  <c r="AP5" s="14">
        <f>AO5</f>
        <v/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4">
        <f>'QTR P&amp;L'!R8</f>
        <v/>
      </c>
      <c r="T6" s="4">
        <f>'QTR P&amp;L'!S8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  <c r="AI6" s="15">
        <f>AH6</f>
        <v/>
      </c>
      <c r="AJ6" s="15">
        <f>AI6</f>
        <v/>
      </c>
      <c r="AK6" s="15">
        <f>AJ6</f>
        <v/>
      </c>
      <c r="AL6" s="15">
        <f>AK6</f>
        <v/>
      </c>
      <c r="AM6" s="15">
        <f>AL6</f>
        <v/>
      </c>
      <c r="AN6" s="15">
        <f>AM6</f>
        <v/>
      </c>
      <c r="AO6" s="15">
        <f>AN6</f>
        <v/>
      </c>
      <c r="AP6" s="15">
        <f>AO6</f>
        <v/>
      </c>
    </row>
    <row r="7">
      <c r="A7" s="3" t="inlineStr">
        <is>
          <t>Other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4">
        <f>'QTR P&amp;L'!S9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Income Tax (Expense) Benefit — Effective Tax Rate %</t>
        </is>
      </c>
      <c r="C8" s="13">
        <f>IFERROR('QTR P&amp;L'!B11/'QTR P&amp;L'!B10,"")</f>
        <v/>
      </c>
      <c r="D8" s="13">
        <f>IFERROR('QTR P&amp;L'!C11/'QTR P&amp;L'!C10,"")</f>
        <v/>
      </c>
      <c r="E8" s="13">
        <f>IFERROR('QTR P&amp;L'!D11/'QTR P&amp;L'!D10,"")</f>
        <v/>
      </c>
      <c r="F8" s="13">
        <f>IFERROR('QTR P&amp;L'!E11/'QTR P&amp;L'!E10,"")</f>
        <v/>
      </c>
      <c r="G8" s="13">
        <f>IFERROR('QTR P&amp;L'!F11/'QTR P&amp;L'!F10,"")</f>
        <v/>
      </c>
      <c r="H8" s="13">
        <f>IFERROR('QTR P&amp;L'!G11/'QTR P&amp;L'!G10,"")</f>
        <v/>
      </c>
      <c r="I8" s="13">
        <f>IFERROR('QTR P&amp;L'!H11/'QTR P&amp;L'!H10,"")</f>
        <v/>
      </c>
      <c r="J8" s="13">
        <f>IFERROR('QTR P&amp;L'!I11/'QTR P&amp;L'!I10,"")</f>
        <v/>
      </c>
      <c r="K8" s="13">
        <f>IFERROR('QTR P&amp;L'!J11/'QTR P&amp;L'!J10,"")</f>
        <v/>
      </c>
      <c r="L8" s="13">
        <f>IFERROR('QTR P&amp;L'!K11/'QTR P&amp;L'!K10,"")</f>
        <v/>
      </c>
      <c r="M8" s="13">
        <f>IFERROR('QTR P&amp;L'!L11/'QTR P&amp;L'!L10,"")</f>
        <v/>
      </c>
      <c r="N8" s="13">
        <f>IFERROR('QTR P&amp;L'!M11/'QTR P&amp;L'!M10,"")</f>
        <v/>
      </c>
      <c r="O8" s="13">
        <f>IFERROR('QTR P&amp;L'!N11/'QTR P&amp;L'!N10,"")</f>
        <v/>
      </c>
      <c r="P8" s="13">
        <f>IFERROR('QTR P&amp;L'!O11/'QTR P&amp;L'!O10,"")</f>
        <v/>
      </c>
      <c r="Q8" s="13">
        <f>IFERROR('QTR P&amp;L'!P11/'QTR P&amp;L'!P10,"")</f>
        <v/>
      </c>
      <c r="R8" s="13">
        <f>IFERROR('QTR P&amp;L'!Q11/'QTR P&amp;L'!Q10,"")</f>
        <v/>
      </c>
      <c r="S8" s="13">
        <f>IFERROR('QTR P&amp;L'!R11/'QTR P&amp;L'!R10,"")</f>
        <v/>
      </c>
      <c r="T8" s="13">
        <f>IFERROR('QTR P&amp;L'!S11/'QTR P&amp;L'!S10,"")</f>
        <v/>
      </c>
      <c r="U8" s="14">
        <f>T8</f>
        <v/>
      </c>
      <c r="V8" s="14">
        <f>U8</f>
        <v/>
      </c>
      <c r="W8" s="14">
        <f>V8</f>
        <v/>
      </c>
      <c r="X8" s="14">
        <f>W8</f>
        <v/>
      </c>
      <c r="Y8" s="14">
        <f>X8</f>
        <v/>
      </c>
      <c r="Z8" s="14">
        <f>Y8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  <c r="AM8" s="14">
        <f>AL8</f>
        <v/>
      </c>
      <c r="AN8" s="14">
        <f>AM8</f>
        <v/>
      </c>
      <c r="AO8" s="14">
        <f>AN8</f>
        <v/>
      </c>
      <c r="AP8" s="14">
        <f>AO8</f>
        <v/>
      </c>
    </row>
    <row r="9">
      <c r="A9" s="3" t="inlineStr">
        <is>
          <t>Net Income (Loss) Attributable to Noncontrolling Interest</t>
        </is>
      </c>
      <c r="C9" s="4">
        <f>'QTR P&amp;L'!B13</f>
        <v/>
      </c>
      <c r="D9" s="4">
        <f>'QTR P&amp;L'!C13</f>
        <v/>
      </c>
      <c r="E9" s="4">
        <f>'QTR P&amp;L'!D13</f>
        <v/>
      </c>
      <c r="F9" s="4">
        <f>'QTR P&amp;L'!E13</f>
        <v/>
      </c>
      <c r="G9" s="4">
        <f>'QTR P&amp;L'!F13</f>
        <v/>
      </c>
      <c r="H9" s="4">
        <f>'QTR P&amp;L'!G13</f>
        <v/>
      </c>
      <c r="I9" s="4">
        <f>'QTR P&amp;L'!H13</f>
        <v/>
      </c>
      <c r="J9" s="4">
        <f>'QTR P&amp;L'!I13</f>
        <v/>
      </c>
      <c r="K9" s="4">
        <f>'QTR P&amp;L'!J13</f>
        <v/>
      </c>
      <c r="L9" s="4">
        <f>'QTR P&amp;L'!K13</f>
        <v/>
      </c>
      <c r="M9" s="4">
        <f>'QTR P&amp;L'!L13</f>
        <v/>
      </c>
      <c r="N9" s="4">
        <f>'QTR P&amp;L'!M13</f>
        <v/>
      </c>
      <c r="O9" s="4">
        <f>'QTR P&amp;L'!N13</f>
        <v/>
      </c>
      <c r="P9" s="4">
        <f>'QTR P&amp;L'!O13</f>
        <v/>
      </c>
      <c r="Q9" s="4">
        <f>'QTR P&amp;L'!P13</f>
        <v/>
      </c>
      <c r="R9" s="4">
        <f>'QTR P&amp;L'!Q13</f>
        <v/>
      </c>
      <c r="S9" s="4">
        <f>'QTR P&amp;L'!R13</f>
        <v/>
      </c>
      <c r="T9" s="4">
        <f>'QTR P&amp;L'!S13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  <c r="AM9" s="15">
        <f>AL9</f>
        <v/>
      </c>
      <c r="AN9" s="15">
        <f>AM9</f>
        <v/>
      </c>
      <c r="AO9" s="15">
        <f>AN9</f>
        <v/>
      </c>
      <c r="AP9" s="15">
        <f>AO9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CF'!T31</f>
        <v/>
      </c>
      <c r="R2" s="4">
        <f>Q2+'QTR CF'!U31</f>
        <v/>
      </c>
      <c r="S2" s="4">
        <f>R2+'QTR CF'!V31</f>
        <v/>
      </c>
      <c r="T2" s="4">
        <f>S2+'QTR CF'!W31</f>
        <v/>
      </c>
      <c r="U2" s="4">
        <f>T2+'QTR CF'!X31</f>
        <v/>
      </c>
      <c r="V2" s="4">
        <f>U2+'QTR CF'!Y31</f>
        <v/>
      </c>
      <c r="W2" s="4">
        <f>V2+'QTR CF'!Z31</f>
        <v/>
      </c>
      <c r="X2" s="4">
        <f>W2+'QTR CF'!AA31</f>
        <v/>
      </c>
      <c r="Y2" s="4">
        <f>X2+'QTR CF'!AB31</f>
        <v/>
      </c>
      <c r="Z2" s="4">
        <f>Y2+'QTR CF'!AC31</f>
        <v/>
      </c>
      <c r="AA2" s="4">
        <f>Z2+'QTR CF'!AD31</f>
        <v/>
      </c>
      <c r="AB2" s="4">
        <f>AA2+'QTR CF'!AE31</f>
        <v/>
      </c>
      <c r="AC2" s="4">
        <f>AB2+'QTR CF'!AF31</f>
        <v/>
      </c>
      <c r="AD2" s="4">
        <f>AC2+'QTR CF'!AG31</f>
        <v/>
      </c>
      <c r="AE2" s="4">
        <f>AD2+'QTR CF'!AH31</f>
        <v/>
      </c>
      <c r="AF2" s="4">
        <f>AE2+'QTR CF'!AI31</f>
        <v/>
      </c>
      <c r="AG2" s="4">
        <f>AF2+'QTR CF'!AJ31</f>
        <v/>
      </c>
      <c r="AH2" s="4">
        <f>AG2+'QTR CF'!AK31</f>
        <v/>
      </c>
      <c r="AI2" s="4">
        <f>AH2+'QTR CF'!AL31</f>
        <v/>
      </c>
      <c r="AJ2" s="4">
        <f>AI2+'QTR CF'!AM31</f>
        <v/>
      </c>
      <c r="AK2" s="4">
        <f>AJ2+'QTR CF'!AN31</f>
        <v/>
      </c>
      <c r="AL2" s="4">
        <f>AK2+'QTR CF'!AO31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7">
        <f>P3</f>
        <v/>
      </c>
      <c r="R3" s="17">
        <f>Q3</f>
        <v/>
      </c>
      <c r="S3" s="17">
        <f>R3</f>
        <v/>
      </c>
      <c r="T3" s="17">
        <f>S3</f>
        <v/>
      </c>
      <c r="U3" s="17">
        <f>T3</f>
        <v/>
      </c>
      <c r="V3" s="17">
        <f>U3</f>
        <v/>
      </c>
      <c r="W3" s="17">
        <f>V3</f>
        <v/>
      </c>
      <c r="X3" s="17">
        <f>W3</f>
        <v/>
      </c>
      <c r="Y3" s="17">
        <f>X3</f>
        <v/>
      </c>
      <c r="Z3" s="17">
        <f>Y3</f>
        <v/>
      </c>
      <c r="AA3" s="17">
        <f>Z3</f>
        <v/>
      </c>
      <c r="AB3" s="17">
        <f>AA3</f>
        <v/>
      </c>
      <c r="AC3" s="17">
        <f>AB3</f>
        <v/>
      </c>
      <c r="AD3" s="17">
        <f>AC3</f>
        <v/>
      </c>
      <c r="AE3" s="17">
        <f>AD3</f>
        <v/>
      </c>
      <c r="AF3" s="17">
        <f>AE3</f>
        <v/>
      </c>
      <c r="AG3" s="17">
        <f>AF3</f>
        <v/>
      </c>
      <c r="AH3" s="17">
        <f>AG3</f>
        <v/>
      </c>
      <c r="AI3" s="17">
        <f>AH3</f>
        <v/>
      </c>
      <c r="AJ3" s="17">
        <f>AI3</f>
        <v/>
      </c>
      <c r="AK3" s="17">
        <f>AJ3</f>
        <v/>
      </c>
      <c r="AL3" s="17">
        <f>AK3</f>
        <v/>
      </c>
    </row>
    <row r="4">
      <c r="A4" s="3" t="inlineStr">
        <is>
          <t>Inventories — DIO (days)</t>
        </is>
      </c>
      <c r="B4" s="16">
        <f>IFERROR('QTR BS'!B4/'QTR P&amp;L'!E3*ASSUMPTIONS!$B$2,"")</f>
        <v/>
      </c>
      <c r="C4" s="16">
        <f>IFERROR('QTR BS'!C4/'QTR P&amp;L'!F3*ASSUMPTIONS!$B$2,"")</f>
        <v/>
      </c>
      <c r="D4" s="16">
        <f>IFERROR('QTR BS'!D4/'QTR P&amp;L'!G3*ASSUMPTIONS!$B$2,"")</f>
        <v/>
      </c>
      <c r="E4" s="16">
        <f>IFERROR('QTR BS'!E4/'QTR P&amp;L'!H3*ASSUMPTIONS!$B$2,"")</f>
        <v/>
      </c>
      <c r="F4" s="16">
        <f>IFERROR('QTR BS'!F4/'QTR P&amp;L'!I3*ASSUMPTIONS!$B$2,"")</f>
        <v/>
      </c>
      <c r="G4" s="16">
        <f>IFERROR('QTR BS'!G4/'QTR P&amp;L'!J3*ASSUMPTIONS!$B$2,"")</f>
        <v/>
      </c>
      <c r="H4" s="16">
        <f>IFERROR('QTR BS'!H4/'QTR P&amp;L'!K3*ASSUMPTIONS!$B$2,"")</f>
        <v/>
      </c>
      <c r="I4" s="16">
        <f>IFERROR('QTR BS'!I4/'QTR P&amp;L'!L3*ASSUMPTIONS!$B$2,"")</f>
        <v/>
      </c>
      <c r="J4" s="16">
        <f>IFERROR('QTR BS'!J4/'QTR P&amp;L'!M3*ASSUMPTIONS!$B$2,"")</f>
        <v/>
      </c>
      <c r="K4" s="16">
        <f>IFERROR('QTR BS'!K4/'QTR P&amp;L'!N3*ASSUMPTIONS!$B$2,"")</f>
        <v/>
      </c>
      <c r="L4" s="16">
        <f>IFERROR('QTR BS'!L4/'QTR P&amp;L'!O3*ASSUMPTIONS!$B$2,"")</f>
        <v/>
      </c>
      <c r="M4" s="16">
        <f>IFERROR('QTR BS'!M4/'QTR P&amp;L'!P3*ASSUMPTIONS!$B$2,"")</f>
        <v/>
      </c>
      <c r="N4" s="16">
        <f>IFERROR('QTR BS'!N4/'QTR P&amp;L'!Q3*ASSUMPTIONS!$B$2,"")</f>
        <v/>
      </c>
      <c r="O4" s="16">
        <f>IFERROR('QTR BS'!O4/'QTR P&amp;L'!R3*ASSUMPTIONS!$B$2,"")</f>
        <v/>
      </c>
      <c r="P4" s="16">
        <f>IFERROR('QTR BS'!P4/'QTR P&amp;L'!S3*ASSUMPTIONS!$B$2,"")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Prepaid Expenses — % of Revenue</t>
        </is>
      </c>
      <c r="B5" s="13">
        <f>IFERROR('QTR BS'!B5/'QTR P&amp;L'!E2,"")</f>
        <v/>
      </c>
      <c r="C5" s="13">
        <f>IFERROR('QTR BS'!C5/'QTR P&amp;L'!F2,"")</f>
        <v/>
      </c>
      <c r="D5" s="13">
        <f>IFERROR('QTR BS'!D5/'QTR P&amp;L'!G2,"")</f>
        <v/>
      </c>
      <c r="E5" s="13">
        <f>IFERROR('QTR BS'!E5/'QTR P&amp;L'!H2,"")</f>
        <v/>
      </c>
      <c r="F5" s="13">
        <f>IFERROR('QTR BS'!F5/'QTR P&amp;L'!I2,"")</f>
        <v/>
      </c>
      <c r="G5" s="13">
        <f>IFERROR('QTR BS'!G5/'QTR P&amp;L'!J2,"")</f>
        <v/>
      </c>
      <c r="H5" s="13">
        <f>IFERROR('QTR BS'!H5/'QTR P&amp;L'!K2,"")</f>
        <v/>
      </c>
      <c r="I5" s="13">
        <f>IFERROR('QTR BS'!I5/'QTR P&amp;L'!L2,"")</f>
        <v/>
      </c>
      <c r="J5" s="13">
        <f>IFERROR('QTR BS'!J5/'QTR P&amp;L'!M2,"")</f>
        <v/>
      </c>
      <c r="K5" s="13">
        <f>IFERROR('QTR BS'!K5/'QTR P&amp;L'!N2,"")</f>
        <v/>
      </c>
      <c r="L5" s="13">
        <f>IFERROR('QTR BS'!L5/'QTR P&amp;L'!O2,"")</f>
        <v/>
      </c>
      <c r="M5" s="13">
        <f>IFERROR('QTR BS'!M5/'QTR P&amp;L'!P2,"")</f>
        <v/>
      </c>
      <c r="N5" s="13">
        <f>IFERROR('QTR BS'!N5/'QTR P&amp;L'!Q2,"")</f>
        <v/>
      </c>
      <c r="O5" s="13">
        <f>IFERROR('QTR BS'!O5/'QTR P&amp;L'!R2,"")</f>
        <v/>
      </c>
      <c r="P5" s="13">
        <f>IFERROR('QTR BS'!P5/'QTR P&amp;L'!S2,"")</f>
        <v/>
      </c>
      <c r="Q5" s="14">
        <f>P5</f>
        <v/>
      </c>
      <c r="R5" s="14">
        <f>Q5</f>
        <v/>
      </c>
      <c r="S5" s="14">
        <f>R5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</row>
    <row r="6">
      <c r="A6" s="3" t="inlineStr">
        <is>
          <t>Net PP&amp;E</t>
        </is>
      </c>
      <c r="B6" s="4">
        <f>'QTR BS'!B7</f>
        <v/>
      </c>
      <c r="C6" s="4">
        <f>'QTR BS'!C7</f>
        <v/>
      </c>
      <c r="D6" s="4">
        <f>'QTR BS'!D7</f>
        <v/>
      </c>
      <c r="E6" s="4">
        <f>'QTR BS'!E7</f>
        <v/>
      </c>
      <c r="F6" s="4">
        <f>'QTR BS'!F7</f>
        <v/>
      </c>
      <c r="G6" s="4">
        <f>'QTR BS'!G7</f>
        <v/>
      </c>
      <c r="H6" s="4">
        <f>'QTR BS'!H7</f>
        <v/>
      </c>
      <c r="I6" s="4">
        <f>'QTR BS'!I7</f>
        <v/>
      </c>
      <c r="J6" s="4">
        <f>'QTR BS'!J7</f>
        <v/>
      </c>
      <c r="K6" s="4">
        <f>'QTR BS'!K7</f>
        <v/>
      </c>
      <c r="L6" s="4">
        <f>'QTR BS'!L7</f>
        <v/>
      </c>
      <c r="M6" s="4">
        <f>'QTR BS'!M7</f>
        <v/>
      </c>
      <c r="N6" s="4">
        <f>'QTR BS'!N7</f>
        <v/>
      </c>
      <c r="O6" s="4">
        <f>'QTR BS'!O7</f>
        <v/>
      </c>
      <c r="P6" s="4">
        <f>'QTR BS'!P7</f>
        <v/>
      </c>
      <c r="Q6" s="4">
        <f>P6-'QTR CF'!T15-'QTR CF'!T3</f>
        <v/>
      </c>
      <c r="R6" s="4">
        <f>Q6-'QTR CF'!U15-'QTR CF'!U3</f>
        <v/>
      </c>
      <c r="S6" s="4">
        <f>R6-'QTR CF'!V15-'QTR CF'!V3</f>
        <v/>
      </c>
      <c r="T6" s="4">
        <f>S6-'QTR CF'!W15-'QTR CF'!W3</f>
        <v/>
      </c>
      <c r="U6" s="4">
        <f>T6-'QTR CF'!X15-'QTR CF'!X3</f>
        <v/>
      </c>
      <c r="V6" s="4">
        <f>U6-'QTR CF'!Y15-'QTR CF'!Y3</f>
        <v/>
      </c>
      <c r="W6" s="4">
        <f>V6-'QTR CF'!Z15-'QTR CF'!Z3</f>
        <v/>
      </c>
      <c r="X6" s="4">
        <f>W6-'QTR CF'!AA15-'QTR CF'!AA3</f>
        <v/>
      </c>
      <c r="Y6" s="4">
        <f>X6-'QTR CF'!AB15-'QTR CF'!AB3</f>
        <v/>
      </c>
      <c r="Z6" s="4">
        <f>Y6-'QTR CF'!AC15-'QTR CF'!AC3</f>
        <v/>
      </c>
      <c r="AA6" s="4">
        <f>Z6-'QTR CF'!AD15-'QTR CF'!AD3</f>
        <v/>
      </c>
      <c r="AB6" s="4">
        <f>AA6-'QTR CF'!AE15-'QTR CF'!AE3</f>
        <v/>
      </c>
      <c r="AC6" s="4">
        <f>AB6-'QTR CF'!AF15-'QTR CF'!AF3</f>
        <v/>
      </c>
      <c r="AD6" s="4">
        <f>AC6-'QTR CF'!AG15-'QTR CF'!AG3</f>
        <v/>
      </c>
      <c r="AE6" s="4">
        <f>AD6-'QTR CF'!AH15-'QTR CF'!AH3</f>
        <v/>
      </c>
      <c r="AF6" s="4">
        <f>AE6-'QTR CF'!AI15-'QTR CF'!AI3</f>
        <v/>
      </c>
      <c r="AG6" s="4">
        <f>AF6-'QTR CF'!AJ15-'QTR CF'!AJ3</f>
        <v/>
      </c>
      <c r="AH6" s="4">
        <f>AG6-'QTR CF'!AK15-'QTR CF'!AK3</f>
        <v/>
      </c>
      <c r="AI6" s="4">
        <f>AH6-'QTR CF'!AL15-'QTR CF'!AL3</f>
        <v/>
      </c>
      <c r="AJ6" s="4">
        <f>AI6-'QTR CF'!AM15-'QTR CF'!AM3</f>
        <v/>
      </c>
      <c r="AK6" s="4">
        <f>AJ6-'QTR CF'!AN15-'QTR CF'!AN3</f>
        <v/>
      </c>
      <c r="AL6" s="4">
        <f>AK6-'QTR CF'!AO15-'QTR CF'!AO3</f>
        <v/>
      </c>
    </row>
    <row r="7">
      <c r="A7" s="3" t="inlineStr">
        <is>
          <t>Goodwill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'QTR BS'!P8</f>
        <v/>
      </c>
      <c r="Q7" s="15">
        <f>P7</f>
        <v/>
      </c>
      <c r="R7" s="15">
        <f>Q7</f>
        <v/>
      </c>
      <c r="S7" s="15">
        <f>R7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4">
        <f>'QTR BS'!P9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Other Non-Current Assets — % of Revenue</t>
        </is>
      </c>
      <c r="B9" s="13">
        <f>IFERROR('QTR BS'!B10/'QTR P&amp;L'!E2,"")</f>
        <v/>
      </c>
      <c r="C9" s="13">
        <f>IFERROR('QTR BS'!C10/'QTR P&amp;L'!F2,"")</f>
        <v/>
      </c>
      <c r="D9" s="13">
        <f>IFERROR('QTR BS'!D10/'QTR P&amp;L'!G2,"")</f>
        <v/>
      </c>
      <c r="E9" s="13">
        <f>IFERROR('QTR BS'!E10/'QTR P&amp;L'!H2,"")</f>
        <v/>
      </c>
      <c r="F9" s="13">
        <f>IFERROR('QTR BS'!F10/'QTR P&amp;L'!I2,"")</f>
        <v/>
      </c>
      <c r="G9" s="13">
        <f>IFERROR('QTR BS'!G10/'QTR P&amp;L'!J2,"")</f>
        <v/>
      </c>
      <c r="H9" s="13">
        <f>IFERROR('QTR BS'!H10/'QTR P&amp;L'!K2,"")</f>
        <v/>
      </c>
      <c r="I9" s="13">
        <f>IFERROR('QTR BS'!I10/'QTR P&amp;L'!L2,"")</f>
        <v/>
      </c>
      <c r="J9" s="13">
        <f>IFERROR('QTR BS'!J10/'QTR P&amp;L'!M2,"")</f>
        <v/>
      </c>
      <c r="K9" s="13">
        <f>IFERROR('QTR BS'!K10/'QTR P&amp;L'!N2,"")</f>
        <v/>
      </c>
      <c r="L9" s="13">
        <f>IFERROR('QTR BS'!L10/'QTR P&amp;L'!O2,"")</f>
        <v/>
      </c>
      <c r="M9" s="13">
        <f>IFERROR('QTR BS'!M10/'QTR P&amp;L'!P2,"")</f>
        <v/>
      </c>
      <c r="N9" s="13">
        <f>IFERROR('QTR BS'!N10/'QTR P&amp;L'!Q2,"")</f>
        <v/>
      </c>
      <c r="O9" s="13">
        <f>IFERROR('QTR BS'!O10/'QTR P&amp;L'!R2,"")</f>
        <v/>
      </c>
      <c r="P9" s="13">
        <f>IFERROR('QTR BS'!P10/'QTR P&amp;L'!S2,"")</f>
        <v/>
      </c>
      <c r="Q9" s="14">
        <f>P9</f>
        <v/>
      </c>
      <c r="R9" s="14">
        <f>Q9</f>
        <v/>
      </c>
      <c r="S9" s="14">
        <f>R9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</row>
    <row r="10">
      <c r="A10" s="3" t="inlineStr">
        <is>
          <t>Accounts Payable — DPO (days)</t>
        </is>
      </c>
      <c r="B10" s="16">
        <f>IFERROR('QTR BS'!B12/'QTR P&amp;L'!E3*ASSUMPTIONS!$B$2,"")</f>
        <v/>
      </c>
      <c r="C10" s="16">
        <f>IFERROR('QTR BS'!C12/'QTR P&amp;L'!F3*ASSUMPTIONS!$B$2,"")</f>
        <v/>
      </c>
      <c r="D10" s="16">
        <f>IFERROR('QTR BS'!D12/'QTR P&amp;L'!G3*ASSUMPTIONS!$B$2,"")</f>
        <v/>
      </c>
      <c r="E10" s="16">
        <f>IFERROR('QTR BS'!E12/'QTR P&amp;L'!H3*ASSUMPTIONS!$B$2,"")</f>
        <v/>
      </c>
      <c r="F10" s="16">
        <f>IFERROR('QTR BS'!F12/'QTR P&amp;L'!I3*ASSUMPTIONS!$B$2,"")</f>
        <v/>
      </c>
      <c r="G10" s="16">
        <f>IFERROR('QTR BS'!G12/'QTR P&amp;L'!J3*ASSUMPTIONS!$B$2,"")</f>
        <v/>
      </c>
      <c r="H10" s="16">
        <f>IFERROR('QTR BS'!H12/'QTR P&amp;L'!K3*ASSUMPTIONS!$B$2,"")</f>
        <v/>
      </c>
      <c r="I10" s="16">
        <f>IFERROR('QTR BS'!I12/'QTR P&amp;L'!L3*ASSUMPTIONS!$B$2,"")</f>
        <v/>
      </c>
      <c r="J10" s="16">
        <f>IFERROR('QTR BS'!J12/'QTR P&amp;L'!M3*ASSUMPTIONS!$B$2,"")</f>
        <v/>
      </c>
      <c r="K10" s="16">
        <f>IFERROR('QTR BS'!K12/'QTR P&amp;L'!N3*ASSUMPTIONS!$B$2,"")</f>
        <v/>
      </c>
      <c r="L10" s="16">
        <f>IFERROR('QTR BS'!L12/'QTR P&amp;L'!O3*ASSUMPTIONS!$B$2,"")</f>
        <v/>
      </c>
      <c r="M10" s="16">
        <f>IFERROR('QTR BS'!M12/'QTR P&amp;L'!P3*ASSUMPTIONS!$B$2,"")</f>
        <v/>
      </c>
      <c r="N10" s="16">
        <f>IFERROR('QTR BS'!N12/'QTR P&amp;L'!Q3*ASSUMPTIONS!$B$2,"")</f>
        <v/>
      </c>
      <c r="O10" s="16">
        <f>IFERROR('QTR BS'!O12/'QTR P&amp;L'!R3*ASSUMPTIONS!$B$2,"")</f>
        <v/>
      </c>
      <c r="P10" s="16">
        <f>IFERROR('QTR BS'!P12/'QTR P&amp;L'!S3*ASSUMPTIONS!$B$2,"")</f>
        <v/>
      </c>
      <c r="Q10" s="17">
        <f>P10</f>
        <v/>
      </c>
      <c r="R10" s="17">
        <f>Q10</f>
        <v/>
      </c>
      <c r="S10" s="17">
        <f>R10</f>
        <v/>
      </c>
      <c r="T10" s="17">
        <f>S10</f>
        <v/>
      </c>
      <c r="U10" s="17">
        <f>T10</f>
        <v/>
      </c>
      <c r="V10" s="17">
        <f>U10</f>
        <v/>
      </c>
      <c r="W10" s="17">
        <f>V10</f>
        <v/>
      </c>
      <c r="X10" s="17">
        <f>W10</f>
        <v/>
      </c>
      <c r="Y10" s="17">
        <f>X10</f>
        <v/>
      </c>
      <c r="Z10" s="17">
        <f>Y10</f>
        <v/>
      </c>
      <c r="AA10" s="17">
        <f>Z10</f>
        <v/>
      </c>
      <c r="AB10" s="17">
        <f>AA10</f>
        <v/>
      </c>
      <c r="AC10" s="17">
        <f>AB10</f>
        <v/>
      </c>
      <c r="AD10" s="17">
        <f>AC10</f>
        <v/>
      </c>
      <c r="AE10" s="17">
        <f>AD10</f>
        <v/>
      </c>
      <c r="AF10" s="17">
        <f>AE10</f>
        <v/>
      </c>
      <c r="AG10" s="17">
        <f>AF10</f>
        <v/>
      </c>
      <c r="AH10" s="17">
        <f>AG10</f>
        <v/>
      </c>
      <c r="AI10" s="17">
        <f>AH10</f>
        <v/>
      </c>
      <c r="AJ10" s="17">
        <f>AI10</f>
        <v/>
      </c>
      <c r="AK10" s="17">
        <f>AJ10</f>
        <v/>
      </c>
      <c r="AL10" s="17">
        <f>AK10</f>
        <v/>
      </c>
    </row>
    <row r="11">
      <c r="A11" s="3" t="inlineStr">
        <is>
          <t>Accrued Expenses — % of Revenue</t>
        </is>
      </c>
      <c r="B11" s="13">
        <f>IFERROR('QTR BS'!B13/'QTR P&amp;L'!E2,"")</f>
        <v/>
      </c>
      <c r="C11" s="13">
        <f>IFERROR('QTR BS'!C13/'QTR P&amp;L'!F2,"")</f>
        <v/>
      </c>
      <c r="D11" s="13">
        <f>IFERROR('QTR BS'!D13/'QTR P&amp;L'!G2,"")</f>
        <v/>
      </c>
      <c r="E11" s="13">
        <f>IFERROR('QTR BS'!E13/'QTR P&amp;L'!H2,"")</f>
        <v/>
      </c>
      <c r="F11" s="13">
        <f>IFERROR('QTR BS'!F13/'QTR P&amp;L'!I2,"")</f>
        <v/>
      </c>
      <c r="G11" s="13">
        <f>IFERROR('QTR BS'!G13/'QTR P&amp;L'!J2,"")</f>
        <v/>
      </c>
      <c r="H11" s="13">
        <f>IFERROR('QTR BS'!H13/'QTR P&amp;L'!K2,"")</f>
        <v/>
      </c>
      <c r="I11" s="13">
        <f>IFERROR('QTR BS'!I13/'QTR P&amp;L'!L2,"")</f>
        <v/>
      </c>
      <c r="J11" s="13">
        <f>IFERROR('QTR BS'!J13/'QTR P&amp;L'!M2,"")</f>
        <v/>
      </c>
      <c r="K11" s="13">
        <f>IFERROR('QTR BS'!K13/'QTR P&amp;L'!N2,"")</f>
        <v/>
      </c>
      <c r="L11" s="13">
        <f>IFERROR('QTR BS'!L13/'QTR P&amp;L'!O2,"")</f>
        <v/>
      </c>
      <c r="M11" s="13">
        <f>IFERROR('QTR BS'!M13/'QTR P&amp;L'!P2,"")</f>
        <v/>
      </c>
      <c r="N11" s="13">
        <f>IFERROR('QTR BS'!N13/'QTR P&amp;L'!Q2,"")</f>
        <v/>
      </c>
      <c r="O11" s="13">
        <f>IFERROR('QTR BS'!O13/'QTR P&amp;L'!R2,"")</f>
        <v/>
      </c>
      <c r="P11" s="13">
        <f>IFERROR('QTR BS'!P13/'QTR P&amp;L'!S2,"")</f>
        <v/>
      </c>
      <c r="Q11" s="14">
        <f>P11</f>
        <v/>
      </c>
      <c r="R11" s="14">
        <f>Q11</f>
        <v/>
      </c>
      <c r="S11" s="14">
        <f>R11</f>
        <v/>
      </c>
      <c r="T11" s="14">
        <f>S11</f>
        <v/>
      </c>
      <c r="U11" s="14">
        <f>T11</f>
        <v/>
      </c>
      <c r="V11" s="14">
        <f>U11</f>
        <v/>
      </c>
      <c r="W11" s="14">
        <f>V11</f>
        <v/>
      </c>
      <c r="X11" s="14">
        <f>W11</f>
        <v/>
      </c>
      <c r="Y11" s="14">
        <f>X11</f>
        <v/>
      </c>
      <c r="Z11" s="14">
        <f>Y11</f>
        <v/>
      </c>
      <c r="AA11" s="14">
        <f>Z11</f>
        <v/>
      </c>
      <c r="AB11" s="14">
        <f>AA11</f>
        <v/>
      </c>
      <c r="AC11" s="14">
        <f>AB11</f>
        <v/>
      </c>
      <c r="AD11" s="14">
        <f>AC11</f>
        <v/>
      </c>
      <c r="AE11" s="14">
        <f>AD11</f>
        <v/>
      </c>
      <c r="AF11" s="14">
        <f>AE11</f>
        <v/>
      </c>
      <c r="AG11" s="14">
        <f>AF11</f>
        <v/>
      </c>
      <c r="AH11" s="14">
        <f>AG11</f>
        <v/>
      </c>
      <c r="AI11" s="14">
        <f>AH11</f>
        <v/>
      </c>
      <c r="AJ11" s="14">
        <f>AI11</f>
        <v/>
      </c>
      <c r="AK11" s="14">
        <f>AJ11</f>
        <v/>
      </c>
      <c r="AL11" s="14">
        <f>AK11</f>
        <v/>
      </c>
    </row>
    <row r="12">
      <c r="A12" s="3" t="inlineStr">
        <is>
          <t>Current Portion of Long-Term Debt</t>
        </is>
      </c>
      <c r="B12" s="4">
        <f>'QTR BS'!B14</f>
        <v/>
      </c>
      <c r="C12" s="4">
        <f>'QTR BS'!C14</f>
        <v/>
      </c>
      <c r="D12" s="4">
        <f>'QTR BS'!D14</f>
        <v/>
      </c>
      <c r="E12" s="4">
        <f>'QTR BS'!E14</f>
        <v/>
      </c>
      <c r="F12" s="4">
        <f>'QTR BS'!F14</f>
        <v/>
      </c>
      <c r="G12" s="4">
        <f>'QTR BS'!G14</f>
        <v/>
      </c>
      <c r="H12" s="4">
        <f>'QTR BS'!H14</f>
        <v/>
      </c>
      <c r="I12" s="4">
        <f>'QTR BS'!I14</f>
        <v/>
      </c>
      <c r="J12" s="4">
        <f>'QTR BS'!J14</f>
        <v/>
      </c>
      <c r="K12" s="4">
        <f>'QTR BS'!K14</f>
        <v/>
      </c>
      <c r="L12" s="4">
        <f>'QTR BS'!L14</f>
        <v/>
      </c>
      <c r="M12" s="4">
        <f>'QTR BS'!M14</f>
        <v/>
      </c>
      <c r="N12" s="4">
        <f>'QTR BS'!N14</f>
        <v/>
      </c>
      <c r="O12" s="4">
        <f>'QTR BS'!O14</f>
        <v/>
      </c>
      <c r="P12" s="4">
        <f>'QTR BS'!P14</f>
        <v/>
      </c>
      <c r="Q12" s="15">
        <f>P12</f>
        <v/>
      </c>
      <c r="R12" s="15">
        <f>Q12</f>
        <v/>
      </c>
      <c r="S12" s="15">
        <f>R12</f>
        <v/>
      </c>
      <c r="T12" s="15">
        <f>S12</f>
        <v/>
      </c>
      <c r="U12" s="15">
        <f>T12</f>
        <v/>
      </c>
      <c r="V12" s="15">
        <f>U12</f>
        <v/>
      </c>
      <c r="W12" s="15">
        <f>V12</f>
        <v/>
      </c>
      <c r="X12" s="15">
        <f>W12</f>
        <v/>
      </c>
      <c r="Y12" s="15">
        <f>X12</f>
        <v/>
      </c>
      <c r="Z12" s="15">
        <f>Y12</f>
        <v/>
      </c>
      <c r="AA12" s="15">
        <f>Z12</f>
        <v/>
      </c>
      <c r="AB12" s="15">
        <f>AA12</f>
        <v/>
      </c>
      <c r="AC12" s="15">
        <f>AB12</f>
        <v/>
      </c>
      <c r="AD12" s="15">
        <f>AC12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</row>
    <row r="13">
      <c r="A13" s="3" t="inlineStr">
        <is>
          <t>Long-Term Debt</t>
        </is>
      </c>
      <c r="B13" s="4">
        <f>'QTR BS'!B16</f>
        <v/>
      </c>
      <c r="C13" s="4">
        <f>'QTR BS'!C16</f>
        <v/>
      </c>
      <c r="D13" s="4">
        <f>'QTR BS'!D16</f>
        <v/>
      </c>
      <c r="E13" s="4">
        <f>'QTR BS'!E16</f>
        <v/>
      </c>
      <c r="F13" s="4">
        <f>'QTR BS'!F16</f>
        <v/>
      </c>
      <c r="G13" s="4">
        <f>'QTR BS'!G16</f>
        <v/>
      </c>
      <c r="H13" s="4">
        <f>'QTR BS'!H16</f>
        <v/>
      </c>
      <c r="I13" s="4">
        <f>'QTR BS'!I16</f>
        <v/>
      </c>
      <c r="J13" s="4">
        <f>'QTR BS'!J16</f>
        <v/>
      </c>
      <c r="K13" s="4">
        <f>'QTR BS'!K16</f>
        <v/>
      </c>
      <c r="L13" s="4">
        <f>'QTR BS'!L16</f>
        <v/>
      </c>
      <c r="M13" s="4">
        <f>'QTR BS'!M16</f>
        <v/>
      </c>
      <c r="N13" s="4">
        <f>'QTR BS'!N16</f>
        <v/>
      </c>
      <c r="O13" s="4">
        <f>'QTR BS'!O16</f>
        <v/>
      </c>
      <c r="P13" s="4">
        <f>'QTR BS'!P16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Deferred Tax Liability</t>
        </is>
      </c>
      <c r="B14" s="4">
        <f>'QTR BS'!B17</f>
        <v/>
      </c>
      <c r="C14" s="4">
        <f>'QTR BS'!C17</f>
        <v/>
      </c>
      <c r="D14" s="4">
        <f>'QTR BS'!D17</f>
        <v/>
      </c>
      <c r="E14" s="4">
        <f>'QTR BS'!E17</f>
        <v/>
      </c>
      <c r="F14" s="4">
        <f>'QTR BS'!F17</f>
        <v/>
      </c>
      <c r="G14" s="4">
        <f>'QTR BS'!G17</f>
        <v/>
      </c>
      <c r="H14" s="4">
        <f>'QTR BS'!H17</f>
        <v/>
      </c>
      <c r="I14" s="4">
        <f>'QTR BS'!I17</f>
        <v/>
      </c>
      <c r="J14" s="4">
        <f>'QTR BS'!J17</f>
        <v/>
      </c>
      <c r="K14" s="4">
        <f>'QTR BS'!K17</f>
        <v/>
      </c>
      <c r="L14" s="4">
        <f>'QTR BS'!L17</f>
        <v/>
      </c>
      <c r="M14" s="4">
        <f>'QTR BS'!M17</f>
        <v/>
      </c>
      <c r="N14" s="4">
        <f>'QTR BS'!N17</f>
        <v/>
      </c>
      <c r="O14" s="4">
        <f>'QTR BS'!O17</f>
        <v/>
      </c>
      <c r="P14" s="4">
        <f>'QTR BS'!P17</f>
        <v/>
      </c>
      <c r="Q14" s="15">
        <f>P14</f>
        <v/>
      </c>
      <c r="R14" s="15">
        <f>Q14</f>
        <v/>
      </c>
      <c r="S14" s="15">
        <f>R14</f>
        <v/>
      </c>
      <c r="T14" s="15">
        <f>S14</f>
        <v/>
      </c>
      <c r="U14" s="15">
        <f>T14</f>
        <v/>
      </c>
      <c r="V14" s="15">
        <f>U14</f>
        <v/>
      </c>
      <c r="W14" s="15">
        <f>V14</f>
        <v/>
      </c>
      <c r="X14" s="15">
        <f>W14</f>
        <v/>
      </c>
      <c r="Y14" s="15">
        <f>X14</f>
        <v/>
      </c>
      <c r="Z14" s="15">
        <f>Y14</f>
        <v/>
      </c>
      <c r="AA14" s="15">
        <f>Z14</f>
        <v/>
      </c>
      <c r="AB14" s="15">
        <f>AA14</f>
        <v/>
      </c>
      <c r="AC14" s="15">
        <f>AB14</f>
        <v/>
      </c>
      <c r="AD14" s="15">
        <f>AC14</f>
        <v/>
      </c>
      <c r="AE14" s="15">
        <f>AD14</f>
        <v/>
      </c>
      <c r="AF14" s="15">
        <f>AE14</f>
        <v/>
      </c>
      <c r="AG14" s="15">
        <f>AF14</f>
        <v/>
      </c>
      <c r="AH14" s="15">
        <f>AG14</f>
        <v/>
      </c>
      <c r="AI14" s="15">
        <f>AH14</f>
        <v/>
      </c>
      <c r="AJ14" s="15">
        <f>AI14</f>
        <v/>
      </c>
      <c r="AK14" s="15">
        <f>AJ14</f>
        <v/>
      </c>
      <c r="AL14" s="15">
        <f>AK14</f>
        <v/>
      </c>
    </row>
    <row r="15">
      <c r="A15" s="3" t="inlineStr">
        <is>
          <t>Other Non-Current Liabilities — % of Revenue</t>
        </is>
      </c>
      <c r="B15" s="13">
        <f>IFERROR('QTR BS'!B18/'QTR P&amp;L'!E2,"")</f>
        <v/>
      </c>
      <c r="C15" s="13">
        <f>IFERROR('QTR BS'!C18/'QTR P&amp;L'!F2,"")</f>
        <v/>
      </c>
      <c r="D15" s="13">
        <f>IFERROR('QTR BS'!D18/'QTR P&amp;L'!G2,"")</f>
        <v/>
      </c>
      <c r="E15" s="13">
        <f>IFERROR('QTR BS'!E18/'QTR P&amp;L'!H2,"")</f>
        <v/>
      </c>
      <c r="F15" s="13">
        <f>IFERROR('QTR BS'!F18/'QTR P&amp;L'!I2,"")</f>
        <v/>
      </c>
      <c r="G15" s="13">
        <f>IFERROR('QTR BS'!G18/'QTR P&amp;L'!J2,"")</f>
        <v/>
      </c>
      <c r="H15" s="13">
        <f>IFERROR('QTR BS'!H18/'QTR P&amp;L'!K2,"")</f>
        <v/>
      </c>
      <c r="I15" s="13">
        <f>IFERROR('QTR BS'!I18/'QTR P&amp;L'!L2,"")</f>
        <v/>
      </c>
      <c r="J15" s="13">
        <f>IFERROR('QTR BS'!J18/'QTR P&amp;L'!M2,"")</f>
        <v/>
      </c>
      <c r="K15" s="13">
        <f>IFERROR('QTR BS'!K18/'QTR P&amp;L'!N2,"")</f>
        <v/>
      </c>
      <c r="L15" s="13">
        <f>IFERROR('QTR BS'!L18/'QTR P&amp;L'!O2,"")</f>
        <v/>
      </c>
      <c r="M15" s="13">
        <f>IFERROR('QTR BS'!M18/'QTR P&amp;L'!P2,"")</f>
        <v/>
      </c>
      <c r="N15" s="13">
        <f>IFERROR('QTR BS'!N18/'QTR P&amp;L'!Q2,"")</f>
        <v/>
      </c>
      <c r="O15" s="13">
        <f>IFERROR('QTR BS'!O18/'QTR P&amp;L'!R2,"")</f>
        <v/>
      </c>
      <c r="P15" s="13">
        <f>IFERROR('QTR BS'!P18/'QTR P&amp;L'!S2,"")</f>
        <v/>
      </c>
      <c r="Q15" s="14">
        <f>P15</f>
        <v/>
      </c>
      <c r="R15" s="14">
        <f>Q15</f>
        <v/>
      </c>
      <c r="S15" s="14">
        <f>R15</f>
        <v/>
      </c>
      <c r="T15" s="14">
        <f>S15</f>
        <v/>
      </c>
      <c r="U15" s="14">
        <f>T15</f>
        <v/>
      </c>
      <c r="V15" s="14">
        <f>U15</f>
        <v/>
      </c>
      <c r="W15" s="14">
        <f>V15</f>
        <v/>
      </c>
      <c r="X15" s="14">
        <f>W15</f>
        <v/>
      </c>
      <c r="Y15" s="14">
        <f>X15</f>
        <v/>
      </c>
      <c r="Z15" s="14">
        <f>Y15</f>
        <v/>
      </c>
      <c r="AA15" s="14">
        <f>Z15</f>
        <v/>
      </c>
      <c r="AB15" s="14">
        <f>AA15</f>
        <v/>
      </c>
      <c r="AC15" s="14">
        <f>AB15</f>
        <v/>
      </c>
      <c r="AD15" s="14">
        <f>AC15</f>
        <v/>
      </c>
      <c r="AE15" s="14">
        <f>AD15</f>
        <v/>
      </c>
      <c r="AF15" s="14">
        <f>AE15</f>
        <v/>
      </c>
      <c r="AG15" s="14">
        <f>AF15</f>
        <v/>
      </c>
      <c r="AH15" s="14">
        <f>AG15</f>
        <v/>
      </c>
      <c r="AI15" s="14">
        <f>AH15</f>
        <v/>
      </c>
      <c r="AJ15" s="14">
        <f>AI15</f>
        <v/>
      </c>
      <c r="AK15" s="14">
        <f>AJ15</f>
        <v/>
      </c>
      <c r="AL15" s="14">
        <f>AK15</f>
        <v/>
      </c>
    </row>
    <row r="16">
      <c r="A16" s="3" t="inlineStr">
        <is>
          <t>Convertible Preferred Stock</t>
        </is>
      </c>
      <c r="B16" s="4">
        <f>'QTR BS'!B20</f>
        <v/>
      </c>
      <c r="C16" s="4">
        <f>'QTR BS'!C20</f>
        <v/>
      </c>
      <c r="D16" s="4">
        <f>'QTR BS'!D20</f>
        <v/>
      </c>
      <c r="E16" s="4">
        <f>'QTR BS'!E20</f>
        <v/>
      </c>
      <c r="F16" s="4">
        <f>'QTR BS'!F20</f>
        <v/>
      </c>
      <c r="G16" s="4">
        <f>'QTR BS'!G20</f>
        <v/>
      </c>
      <c r="H16" s="4">
        <f>'QTR BS'!H20</f>
        <v/>
      </c>
      <c r="I16" s="4">
        <f>'QTR BS'!I20</f>
        <v/>
      </c>
      <c r="J16" s="4">
        <f>'QTR BS'!J20</f>
        <v/>
      </c>
      <c r="K16" s="4">
        <f>'QTR BS'!K20</f>
        <v/>
      </c>
      <c r="L16" s="4">
        <f>'QTR BS'!L20</f>
        <v/>
      </c>
      <c r="M16" s="4">
        <f>'QTR BS'!M20</f>
        <v/>
      </c>
      <c r="N16" s="4">
        <f>'QTR BS'!N20</f>
        <v/>
      </c>
      <c r="O16" s="4">
        <f>'QTR BS'!O20</f>
        <v/>
      </c>
      <c r="P16" s="4">
        <f>'QTR BS'!P20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Common Stock</t>
        </is>
      </c>
      <c r="B17" s="4">
        <f>'QTR BS'!B21</f>
        <v/>
      </c>
      <c r="C17" s="4">
        <f>'QTR BS'!C21</f>
        <v/>
      </c>
      <c r="D17" s="4">
        <f>'QTR BS'!D21</f>
        <v/>
      </c>
      <c r="E17" s="4">
        <f>'QTR BS'!E21</f>
        <v/>
      </c>
      <c r="F17" s="4">
        <f>'QTR BS'!F21</f>
        <v/>
      </c>
      <c r="G17" s="4">
        <f>'QTR BS'!G21</f>
        <v/>
      </c>
      <c r="H17" s="4">
        <f>'QTR BS'!H21</f>
        <v/>
      </c>
      <c r="I17" s="4">
        <f>'QTR BS'!I21</f>
        <v/>
      </c>
      <c r="J17" s="4">
        <f>'QTR BS'!J21</f>
        <v/>
      </c>
      <c r="K17" s="4">
        <f>'QTR BS'!K21</f>
        <v/>
      </c>
      <c r="L17" s="4">
        <f>'QTR BS'!L21</f>
        <v/>
      </c>
      <c r="M17" s="4">
        <f>'QTR BS'!M21</f>
        <v/>
      </c>
      <c r="N17" s="4">
        <f>'QTR BS'!N21</f>
        <v/>
      </c>
      <c r="O17" s="4">
        <f>'QTR BS'!O21</f>
        <v/>
      </c>
      <c r="P17" s="4">
        <f>'QTR BS'!P21</f>
        <v/>
      </c>
      <c r="Q17" s="15">
        <f>P17</f>
        <v/>
      </c>
      <c r="R17" s="15">
        <f>Q17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</row>
    <row r="18">
      <c r="A18" s="3" t="inlineStr">
        <is>
          <t>Additional Paid-in Capital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4">
        <f>'QTR BS'!P22</f>
        <v/>
      </c>
      <c r="Q18" s="4">
        <f>P18+'QTR CF'!T5</f>
        <v/>
      </c>
      <c r="R18" s="4">
        <f>Q18+'QTR CF'!U5</f>
        <v/>
      </c>
      <c r="S18" s="4">
        <f>R18+'QTR CF'!V5</f>
        <v/>
      </c>
      <c r="T18" s="4">
        <f>S18+'QTR CF'!W5</f>
        <v/>
      </c>
      <c r="U18" s="4">
        <f>T18+'QTR CF'!X5</f>
        <v/>
      </c>
      <c r="V18" s="4">
        <f>U18+'QTR CF'!Y5</f>
        <v/>
      </c>
      <c r="W18" s="4">
        <f>V18+'QTR CF'!Z5</f>
        <v/>
      </c>
      <c r="X18" s="4">
        <f>W18+'QTR CF'!AA5</f>
        <v/>
      </c>
      <c r="Y18" s="4">
        <f>X18+'QTR CF'!AB5</f>
        <v/>
      </c>
      <c r="Z18" s="4">
        <f>Y18+'QTR CF'!AC5</f>
        <v/>
      </c>
      <c r="AA18" s="4">
        <f>Z18+'QTR CF'!AD5</f>
        <v/>
      </c>
      <c r="AB18" s="4">
        <f>AA18+'QTR CF'!AE5</f>
        <v/>
      </c>
      <c r="AC18" s="4">
        <f>AB18+'QTR CF'!AF5</f>
        <v/>
      </c>
      <c r="AD18" s="4">
        <f>AC18+'QTR CF'!AG5</f>
        <v/>
      </c>
      <c r="AE18" s="4">
        <f>AD18+'QTR CF'!AH5</f>
        <v/>
      </c>
      <c r="AF18" s="4">
        <f>AE18+'QTR CF'!AI5</f>
        <v/>
      </c>
      <c r="AG18" s="4">
        <f>AF18+'QTR CF'!AJ5</f>
        <v/>
      </c>
      <c r="AH18" s="4">
        <f>AG18+'QTR CF'!AK5</f>
        <v/>
      </c>
      <c r="AI18" s="4">
        <f>AH18+'QTR CF'!AL5</f>
        <v/>
      </c>
      <c r="AJ18" s="4">
        <f>AI18+'QTR CF'!AM5</f>
        <v/>
      </c>
      <c r="AK18" s="4">
        <f>AJ18+'QTR CF'!AN5</f>
        <v/>
      </c>
      <c r="AL18" s="4">
        <f>AK18+'QTR CF'!AO5</f>
        <v/>
      </c>
    </row>
    <row r="19">
      <c r="A19" s="3" t="inlineStr">
        <is>
          <t>ESOP Debt Retirement Reserve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5" t="n">
        <v>0</v>
      </c>
      <c r="R19" s="15" t="n">
        <v>0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</row>
    <row r="20">
      <c r="A20" s="3" t="inlineStr">
        <is>
          <t>Accumulated Other Comprehensive Income (Loss)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4">
        <f>P20+'QTR CF'!T30</f>
        <v/>
      </c>
      <c r="R20" s="4">
        <f>Q20+'QTR CF'!U30</f>
        <v/>
      </c>
      <c r="S20" s="4">
        <f>R20+'QTR CF'!V30</f>
        <v/>
      </c>
      <c r="T20" s="4">
        <f>S20+'QTR CF'!W30</f>
        <v/>
      </c>
      <c r="U20" s="4">
        <f>T20+'QTR CF'!X30</f>
        <v/>
      </c>
      <c r="V20" s="4">
        <f>U20+'QTR CF'!Y30</f>
        <v/>
      </c>
      <c r="W20" s="4">
        <f>V20+'QTR CF'!Z30</f>
        <v/>
      </c>
      <c r="X20" s="4">
        <f>W20+'QTR CF'!AA30</f>
        <v/>
      </c>
      <c r="Y20" s="4">
        <f>X20+'QTR CF'!AB30</f>
        <v/>
      </c>
      <c r="Z20" s="4">
        <f>Y20+'QTR CF'!AC30</f>
        <v/>
      </c>
      <c r="AA20" s="4">
        <f>Z20+'QTR CF'!AD30</f>
        <v/>
      </c>
      <c r="AB20" s="4">
        <f>AA20+'QTR CF'!AE30</f>
        <v/>
      </c>
      <c r="AC20" s="4">
        <f>AB20+'QTR CF'!AF30</f>
        <v/>
      </c>
      <c r="AD20" s="4">
        <f>AC20+'QTR CF'!AG30</f>
        <v/>
      </c>
      <c r="AE20" s="4">
        <f>AD20+'QTR CF'!AH30</f>
        <v/>
      </c>
      <c r="AF20" s="4">
        <f>AE20+'QTR CF'!AI30</f>
        <v/>
      </c>
      <c r="AG20" s="4">
        <f>AF20+'QTR CF'!AJ30</f>
        <v/>
      </c>
      <c r="AH20" s="4">
        <f>AG20+'QTR CF'!AK30</f>
        <v/>
      </c>
      <c r="AI20" s="4">
        <f>AH20+'QTR CF'!AL30</f>
        <v/>
      </c>
      <c r="AJ20" s="4">
        <f>AI20+'QTR CF'!AM30</f>
        <v/>
      </c>
      <c r="AK20" s="4">
        <f>AJ20+'QTR CF'!AN30</f>
        <v/>
      </c>
      <c r="AL20" s="4">
        <f>AK20+'QTR CF'!AO30</f>
        <v/>
      </c>
    </row>
    <row r="21">
      <c r="A21" s="3" t="inlineStr">
        <is>
          <t>Treasury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15">
        <f>P21</f>
        <v/>
      </c>
      <c r="R21" s="15">
        <f>Q21</f>
        <v/>
      </c>
      <c r="S21" s="15">
        <f>R21</f>
        <v/>
      </c>
      <c r="T21" s="15">
        <f>S21</f>
        <v/>
      </c>
      <c r="U21" s="15">
        <f>T21</f>
        <v/>
      </c>
      <c r="V21" s="15">
        <f>U21</f>
        <v/>
      </c>
      <c r="W21" s="15">
        <f>V21</f>
        <v/>
      </c>
      <c r="X21" s="15">
        <f>W21</f>
        <v/>
      </c>
      <c r="Y21" s="15">
        <f>X21</f>
        <v/>
      </c>
      <c r="Z21" s="15">
        <f>Y21</f>
        <v/>
      </c>
      <c r="AA21" s="15">
        <f>Z21</f>
        <v/>
      </c>
      <c r="AB21" s="15">
        <f>AA21</f>
        <v/>
      </c>
      <c r="AC21" s="15">
        <f>AB21</f>
        <v/>
      </c>
      <c r="AD21" s="15">
        <f>AC21</f>
        <v/>
      </c>
      <c r="AE21" s="15">
        <f>AD21</f>
        <v/>
      </c>
      <c r="AF21" s="15">
        <f>AE21</f>
        <v/>
      </c>
      <c r="AG21" s="15">
        <f>AF21</f>
        <v/>
      </c>
      <c r="AH21" s="15">
        <f>AG21</f>
        <v/>
      </c>
      <c r="AI21" s="15">
        <f>AH21</f>
        <v/>
      </c>
      <c r="AJ21" s="15">
        <f>AI21</f>
        <v/>
      </c>
      <c r="AK21" s="15">
        <f>AJ21</f>
        <v/>
      </c>
      <c r="AL21" s="15">
        <f>AK21</f>
        <v/>
      </c>
    </row>
    <row r="22">
      <c r="A22" s="3" t="inlineStr">
        <is>
          <t>Retained Earnings (Accumulated Deficit)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4">
        <f>P22+'QTR P&amp;L'!T12+'QTR CF'!T21</f>
        <v/>
      </c>
      <c r="R22" s="4">
        <f>Q22+'QTR P&amp;L'!U12+'QTR CF'!U21</f>
        <v/>
      </c>
      <c r="S22" s="4">
        <f>R22+'QTR P&amp;L'!V12+'QTR CF'!V21</f>
        <v/>
      </c>
      <c r="T22" s="4">
        <f>S22+'QTR P&amp;L'!W12+'QTR CF'!W21</f>
        <v/>
      </c>
      <c r="U22" s="4">
        <f>T22+'QTR P&amp;L'!X12+'QTR CF'!X21</f>
        <v/>
      </c>
      <c r="V22" s="4">
        <f>U22+'QTR P&amp;L'!Y12+'QTR CF'!Y21</f>
        <v/>
      </c>
      <c r="W22" s="4">
        <f>V22+'QTR P&amp;L'!Z12+'QTR CF'!Z21</f>
        <v/>
      </c>
      <c r="X22" s="4">
        <f>W22+'QTR P&amp;L'!AA12+'QTR CF'!AA21</f>
        <v/>
      </c>
      <c r="Y22" s="4">
        <f>X22+'QTR P&amp;L'!AB12+'QTR CF'!AB21</f>
        <v/>
      </c>
      <c r="Z22" s="4">
        <f>Y22+'QTR P&amp;L'!AC12+'QTR CF'!AC21</f>
        <v/>
      </c>
      <c r="AA22" s="4">
        <f>Z22+'QTR P&amp;L'!AD12+'QTR CF'!AD21</f>
        <v/>
      </c>
      <c r="AB22" s="4">
        <f>AA22+'QTR P&amp;L'!AE12+'QTR CF'!AE21</f>
        <v/>
      </c>
      <c r="AC22" s="4">
        <f>AB22+'QTR P&amp;L'!AF12+'QTR CF'!AF21</f>
        <v/>
      </c>
      <c r="AD22" s="4">
        <f>AC22+'QTR P&amp;L'!AG12+'QTR CF'!AG21</f>
        <v/>
      </c>
      <c r="AE22" s="4">
        <f>AD22+'QTR P&amp;L'!AH12+'QTR CF'!AH21</f>
        <v/>
      </c>
      <c r="AF22" s="4">
        <f>AE22+'QTR P&amp;L'!AI12+'QTR CF'!AI21</f>
        <v/>
      </c>
      <c r="AG22" s="4">
        <f>AF22+'QTR P&amp;L'!AJ12+'QTR CF'!AJ21</f>
        <v/>
      </c>
      <c r="AH22" s="4">
        <f>AG22+'QTR P&amp;L'!AK12+'QTR CF'!AK21</f>
        <v/>
      </c>
      <c r="AI22" s="4">
        <f>AH22+'QTR P&amp;L'!AL12+'QTR CF'!AL21</f>
        <v/>
      </c>
      <c r="AJ22" s="4">
        <f>AI22+'QTR P&amp;L'!AM12+'QTR CF'!AM21</f>
        <v/>
      </c>
      <c r="AK22" s="4">
        <f>AJ22+'QTR P&amp;L'!AN12+'QTR CF'!AN21</f>
        <v/>
      </c>
      <c r="AL22" s="4">
        <f>AK22+'QTR P&amp;L'!AO12+'QTR CF'!AO21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  <c r="AL2" s="4">
        <f>'QTR P&amp;L'!AL12</f>
        <v/>
      </c>
      <c r="AM2" s="4">
        <f>'QTR P&amp;L'!AM12</f>
        <v/>
      </c>
      <c r="AN2" s="4">
        <f>'QTR P&amp;L'!AN12</f>
        <v/>
      </c>
      <c r="AO2" s="4">
        <f>'QTR P&amp;L'!AO12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(Loss) on Extinguishment of Debt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Stock-Based Compensation — % of Revenue</t>
        </is>
      </c>
      <c r="B5" s="13">
        <f>IFERROR('QTR CF'!B5/'QTR P&amp;L'!B2,"")</f>
        <v/>
      </c>
      <c r="C5" s="13">
        <f>IFERROR('QTR CF'!C5/'QTR P&amp;L'!C2,"")</f>
        <v/>
      </c>
      <c r="D5" s="13">
        <f>IFERROR('QTR CF'!D5/'QTR P&amp;L'!D2,"")</f>
        <v/>
      </c>
      <c r="E5" s="13">
        <f>IFERROR('QTR CF'!E5/'QTR P&amp;L'!E2,"")</f>
        <v/>
      </c>
      <c r="F5" s="13">
        <f>IFERROR('QTR CF'!F5/'QTR P&amp;L'!F2,"")</f>
        <v/>
      </c>
      <c r="G5" s="13">
        <f>IFERROR('QTR CF'!G5/'QTR P&amp;L'!G2,"")</f>
        <v/>
      </c>
      <c r="H5" s="13">
        <f>IFERROR('QTR CF'!H5/'QTR P&amp;L'!H2,"")</f>
        <v/>
      </c>
      <c r="I5" s="13">
        <f>IFERROR('QTR CF'!I5/'QTR P&amp;L'!I2,"")</f>
        <v/>
      </c>
      <c r="J5" s="13">
        <f>IFERROR('QTR CF'!J5/'QTR P&amp;L'!J2,"")</f>
        <v/>
      </c>
      <c r="K5" s="13">
        <f>IFERROR('QTR CF'!K5/'QTR P&amp;L'!K2,"")</f>
        <v/>
      </c>
      <c r="L5" s="13">
        <f>IFERROR('QTR CF'!L5/'QTR P&amp;L'!L2,"")</f>
        <v/>
      </c>
      <c r="M5" s="13">
        <f>IFERROR('QTR CF'!M5/'QTR P&amp;L'!M2,"")</f>
        <v/>
      </c>
      <c r="N5" s="13">
        <f>IFERROR('QTR CF'!N5/'QTR P&amp;L'!N2,"")</f>
        <v/>
      </c>
      <c r="O5" s="13">
        <f>IFERROR('QTR CF'!O5/'QTR P&amp;L'!O2,"")</f>
        <v/>
      </c>
      <c r="P5" s="13">
        <f>IFERROR('QTR CF'!P5/'QTR P&amp;L'!P2,"")</f>
        <v/>
      </c>
      <c r="Q5" s="13">
        <f>IFERROR('QTR CF'!Q5/'QTR P&amp;L'!Q2,"")</f>
        <v/>
      </c>
      <c r="R5" s="13">
        <f>IFERROR('QTR CF'!R5/'QTR P&amp;L'!R2,"")</f>
        <v/>
      </c>
      <c r="S5" s="13">
        <f>IFERROR('QTR CF'!S5/'QTR P&amp;L'!S2,"")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</row>
    <row r="6">
      <c r="A6" s="3" t="inlineStr">
        <is>
          <t>(Benefit) Provision for Deferred Income Taxes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Gain (Loss) on Disposal of PP&amp;E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Impairment of Intangibles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Accounts Receivable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BS'!Q3-'QTR BS'!P3)</f>
        <v/>
      </c>
      <c r="U9" s="4">
        <f>-('QTR BS'!R3-'QTR BS'!Q3)</f>
        <v/>
      </c>
      <c r="V9" s="4">
        <f>-('QTR BS'!S3-'QTR BS'!R3)</f>
        <v/>
      </c>
      <c r="W9" s="4">
        <f>-('QTR BS'!T3-'QTR BS'!S3)</f>
        <v/>
      </c>
      <c r="X9" s="4">
        <f>-('QTR BS'!U3-'QTR BS'!T3)</f>
        <v/>
      </c>
      <c r="Y9" s="4">
        <f>-('QTR BS'!V3-'QTR BS'!U3)</f>
        <v/>
      </c>
      <c r="Z9" s="4">
        <f>-('QTR BS'!W3-'QTR BS'!V3)</f>
        <v/>
      </c>
      <c r="AA9" s="4">
        <f>-('QTR BS'!X3-'QTR BS'!W3)</f>
        <v/>
      </c>
      <c r="AB9" s="4">
        <f>-('QTR BS'!Y3-'QTR BS'!X3)</f>
        <v/>
      </c>
      <c r="AC9" s="4">
        <f>-('QTR BS'!Z3-'QTR BS'!Y3)</f>
        <v/>
      </c>
      <c r="AD9" s="4">
        <f>-('QTR BS'!AA3-'QTR BS'!Z3)</f>
        <v/>
      </c>
      <c r="AE9" s="4">
        <f>-('QTR BS'!AB3-'QTR BS'!AA3)</f>
        <v/>
      </c>
      <c r="AF9" s="4">
        <f>-('QTR BS'!AC3-'QTR BS'!AB3)</f>
        <v/>
      </c>
      <c r="AG9" s="4">
        <f>-('QTR BS'!AD3-'QTR BS'!AC3)</f>
        <v/>
      </c>
      <c r="AH9" s="4">
        <f>-('QTR BS'!AE3-'QTR BS'!AD3)</f>
        <v/>
      </c>
      <c r="AI9" s="4">
        <f>-('QTR BS'!AF3-'QTR BS'!AE3)</f>
        <v/>
      </c>
      <c r="AJ9" s="4">
        <f>-('QTR BS'!AG3-'QTR BS'!AF3)</f>
        <v/>
      </c>
      <c r="AK9" s="4">
        <f>-('QTR BS'!AH3-'QTR BS'!AG3)</f>
        <v/>
      </c>
      <c r="AL9" s="4">
        <f>-('QTR BS'!AI3-'QTR BS'!AH3)</f>
        <v/>
      </c>
      <c r="AM9" s="4">
        <f>-('QTR BS'!AJ3-'QTR BS'!AI3)</f>
        <v/>
      </c>
      <c r="AN9" s="4">
        <f>-('QTR BS'!AK3-'QTR BS'!AJ3)</f>
        <v/>
      </c>
      <c r="AO9" s="4">
        <f>-('QTR BS'!AL3-'QTR BS'!AK3)</f>
        <v/>
      </c>
    </row>
    <row r="10">
      <c r="A10" s="3" t="inlineStr">
        <is>
          <t>Inventories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-('QTR BS'!Q4-'QTR BS'!P4)</f>
        <v/>
      </c>
      <c r="U10" s="4">
        <f>-('QTR BS'!R4-'QTR BS'!Q4)</f>
        <v/>
      </c>
      <c r="V10" s="4">
        <f>-('QTR BS'!S4-'QTR BS'!R4)</f>
        <v/>
      </c>
      <c r="W10" s="4">
        <f>-('QTR BS'!T4-'QTR BS'!S4)</f>
        <v/>
      </c>
      <c r="X10" s="4">
        <f>-('QTR BS'!U4-'QTR BS'!T4)</f>
        <v/>
      </c>
      <c r="Y10" s="4">
        <f>-('QTR BS'!V4-'QTR BS'!U4)</f>
        <v/>
      </c>
      <c r="Z10" s="4">
        <f>-('QTR BS'!W4-'QTR BS'!V4)</f>
        <v/>
      </c>
      <c r="AA10" s="4">
        <f>-('QTR BS'!X4-'QTR BS'!W4)</f>
        <v/>
      </c>
      <c r="AB10" s="4">
        <f>-('QTR BS'!Y4-'QTR BS'!X4)</f>
        <v/>
      </c>
      <c r="AC10" s="4">
        <f>-('QTR BS'!Z4-'QTR BS'!Y4)</f>
        <v/>
      </c>
      <c r="AD10" s="4">
        <f>-('QTR BS'!AA4-'QTR BS'!Z4)</f>
        <v/>
      </c>
      <c r="AE10" s="4">
        <f>-('QTR BS'!AB4-'QTR BS'!AA4)</f>
        <v/>
      </c>
      <c r="AF10" s="4">
        <f>-('QTR BS'!AC4-'QTR BS'!AB4)</f>
        <v/>
      </c>
      <c r="AG10" s="4">
        <f>-('QTR BS'!AD4-'QTR BS'!AC4)</f>
        <v/>
      </c>
      <c r="AH10" s="4">
        <f>-('QTR BS'!AE4-'QTR BS'!AD4)</f>
        <v/>
      </c>
      <c r="AI10" s="4">
        <f>-('QTR BS'!AF4-'QTR BS'!AE4)</f>
        <v/>
      </c>
      <c r="AJ10" s="4">
        <f>-('QTR BS'!AG4-'QTR BS'!AF4)</f>
        <v/>
      </c>
      <c r="AK10" s="4">
        <f>-('QTR BS'!AH4-'QTR BS'!AG4)</f>
        <v/>
      </c>
      <c r="AL10" s="4">
        <f>-('QTR BS'!AI4-'QTR BS'!AH4)</f>
        <v/>
      </c>
      <c r="AM10" s="4">
        <f>-('QTR BS'!AJ4-'QTR BS'!AI4)</f>
        <v/>
      </c>
      <c r="AN10" s="4">
        <f>-('QTR BS'!AK4-'QTR BS'!AJ4)</f>
        <v/>
      </c>
      <c r="AO10" s="4">
        <f>-('QTR BS'!AL4-'QTR BS'!AK4)</f>
        <v/>
      </c>
    </row>
    <row r="11">
      <c r="A11" s="3" t="inlineStr">
        <is>
          <t>Accounts Payable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('QTR BS'!Q12-'QTR BS'!P12)</f>
        <v/>
      </c>
      <c r="U11" s="4">
        <f>('QTR BS'!R12-'QTR BS'!Q12)</f>
        <v/>
      </c>
      <c r="V11" s="4">
        <f>('QTR BS'!S12-'QTR BS'!R12)</f>
        <v/>
      </c>
      <c r="W11" s="4">
        <f>('QTR BS'!T12-'QTR BS'!S12)</f>
        <v/>
      </c>
      <c r="X11" s="4">
        <f>('QTR BS'!U12-'QTR BS'!T12)</f>
        <v/>
      </c>
      <c r="Y11" s="4">
        <f>('QTR BS'!V12-'QTR BS'!U12)</f>
        <v/>
      </c>
      <c r="Z11" s="4">
        <f>('QTR BS'!W12-'QTR BS'!V12)</f>
        <v/>
      </c>
      <c r="AA11" s="4">
        <f>('QTR BS'!X12-'QTR BS'!W12)</f>
        <v/>
      </c>
      <c r="AB11" s="4">
        <f>('QTR BS'!Y12-'QTR BS'!X12)</f>
        <v/>
      </c>
      <c r="AC11" s="4">
        <f>('QTR BS'!Z12-'QTR BS'!Y12)</f>
        <v/>
      </c>
      <c r="AD11" s="4">
        <f>('QTR BS'!AA12-'QTR BS'!Z12)</f>
        <v/>
      </c>
      <c r="AE11" s="4">
        <f>('QTR BS'!AB12-'QTR BS'!AA12)</f>
        <v/>
      </c>
      <c r="AF11" s="4">
        <f>('QTR BS'!AC12-'QTR BS'!AB12)</f>
        <v/>
      </c>
      <c r="AG11" s="4">
        <f>('QTR BS'!AD12-'QTR BS'!AC12)</f>
        <v/>
      </c>
      <c r="AH11" s="4">
        <f>('QTR BS'!AE12-'QTR BS'!AD12)</f>
        <v/>
      </c>
      <c r="AI11" s="4">
        <f>('QTR BS'!AF12-'QTR BS'!AE12)</f>
        <v/>
      </c>
      <c r="AJ11" s="4">
        <f>('QTR BS'!AG12-'QTR BS'!AF12)</f>
        <v/>
      </c>
      <c r="AK11" s="4">
        <f>('QTR BS'!AH12-'QTR BS'!AG12)</f>
        <v/>
      </c>
      <c r="AL11" s="4">
        <f>('QTR BS'!AI12-'QTR BS'!AH12)</f>
        <v/>
      </c>
      <c r="AM11" s="4">
        <f>('QTR BS'!AJ12-'QTR BS'!AI12)</f>
        <v/>
      </c>
      <c r="AN11" s="4">
        <f>('QTR BS'!AK12-'QTR BS'!AJ12)</f>
        <v/>
      </c>
      <c r="AO11" s="4">
        <f>('QTR BS'!AL12-'QTR BS'!AK12)</f>
        <v/>
      </c>
    </row>
    <row r="12">
      <c r="A12" s="3" t="inlineStr">
        <is>
          <t>Net Change in Other Working Capital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Other Operating Items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/>
      </c>
      <c r="U13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/>
      </c>
      <c r="V13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/>
      </c>
      <c r="W13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/>
      </c>
      <c r="X13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/>
      </c>
      <c r="Y13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/>
      </c>
      <c r="Z13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/>
      </c>
      <c r="AA13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/>
      </c>
      <c r="AB13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/>
      </c>
      <c r="AC13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/>
      </c>
      <c r="AD13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/>
      </c>
      <c r="AE13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/>
      </c>
      <c r="AF13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/>
      </c>
      <c r="AG13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/>
      </c>
      <c r="AH13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/>
      </c>
      <c r="AI13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/>
      </c>
      <c r="AJ13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/>
      </c>
      <c r="AK13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/>
      </c>
      <c r="AL13" s="4">
        <f>-('QTR BS'!AI5-'QTR BS'!AH5)-('QTR BS'!AI10-'QTR BS'!AH10)+('QTR BS'!AI13-'QTR BS'!AH13)+('QTR BS'!AI18-'QTR BS'!AH18)-('QTR BS'!AI8-'QTR BS'!AH8)-('QTR BS'!AI9-'QTR BS'!AH9)+('QTR BS'!AI14-'QTR BS'!AH14)+('QTR BS'!AI16-'QTR BS'!AH16)+('QTR BS'!AI17-'QTR BS'!AH17)+('QTR BS'!AI21-'QTR BS'!AH21)+('QTR BS'!AI23-'QTR BS'!AH23)+('QTR BS'!AI25-'QTR BS'!AH25)+('QTR BS'!AI27-'QTR BS'!AH27)</f>
        <v/>
      </c>
      <c r="AM13" s="4">
        <f>-('QTR BS'!AJ5-'QTR BS'!AI5)-('QTR BS'!AJ10-'QTR BS'!AI10)+('QTR BS'!AJ13-'QTR BS'!AI13)+('QTR BS'!AJ18-'QTR BS'!AI18)-('QTR BS'!AJ8-'QTR BS'!AI8)-('QTR BS'!AJ9-'QTR BS'!AI9)+('QTR BS'!AJ14-'QTR BS'!AI14)+('QTR BS'!AJ16-'QTR BS'!AI16)+('QTR BS'!AJ17-'QTR BS'!AI17)+('QTR BS'!AJ21-'QTR BS'!AI21)+('QTR BS'!AJ23-'QTR BS'!AI23)+('QTR BS'!AJ25-'QTR BS'!AI25)+('QTR BS'!AJ27-'QTR BS'!AI27)</f>
        <v/>
      </c>
      <c r="AN13" s="4">
        <f>-('QTR BS'!AK5-'QTR BS'!AJ5)-('QTR BS'!AK10-'QTR BS'!AJ10)+('QTR BS'!AK13-'QTR BS'!AJ13)+('QTR BS'!AK18-'QTR BS'!AJ18)-('QTR BS'!AK8-'QTR BS'!AJ8)-('QTR BS'!AK9-'QTR BS'!AJ9)+('QTR BS'!AK14-'QTR BS'!AJ14)+('QTR BS'!AK16-'QTR BS'!AJ16)+('QTR BS'!AK17-'QTR BS'!AJ17)+('QTR BS'!AK21-'QTR BS'!AJ21)+('QTR BS'!AK23-'QTR BS'!AJ23)+('QTR BS'!AK25-'QTR BS'!AJ25)+('QTR BS'!AK27-'QTR BS'!AJ27)</f>
        <v/>
      </c>
      <c r="AO13" s="4">
        <f>-('QTR BS'!AL5-'QTR BS'!AK5)-('QTR BS'!AL10-'QTR BS'!AK10)+('QTR BS'!AL13-'QTR BS'!AK13)+('QTR BS'!AL18-'QTR BS'!AK18)-('QTR BS'!AL8-'QTR BS'!AK8)-('QTR BS'!AL9-'QTR BS'!AK9)+('QTR BS'!AL14-'QTR BS'!AK14)+('QTR BS'!AL16-'QTR BS'!AK16)+('QTR BS'!AL17-'QTR BS'!AK17)+('QTR BS'!AL21-'QTR BS'!AK21)+('QTR BS'!AL23-'QTR BS'!AK23)+('QTR BS'!AL25-'QTR BS'!AK25)+('QTR BS'!AL27-'QTR BS'!AK27)</f>
        <v/>
      </c>
    </row>
    <row r="14">
      <c r="A14" s="3" t="inlineStr">
        <is>
          <t>Purchase of PP&amp;E — % of Revenue</t>
        </is>
      </c>
      <c r="B14" s="13">
        <f>IFERROR('QTR CF'!B15/'QTR P&amp;L'!B2,"")</f>
        <v/>
      </c>
      <c r="C14" s="13">
        <f>IFERROR('QTR CF'!C15/'QTR P&amp;L'!C2,"")</f>
        <v/>
      </c>
      <c r="D14" s="13">
        <f>IFERROR('QTR CF'!D15/'QTR P&amp;L'!D2,"")</f>
        <v/>
      </c>
      <c r="E14" s="13">
        <f>IFERROR('QTR CF'!E15/'QTR P&amp;L'!E2,"")</f>
        <v/>
      </c>
      <c r="F14" s="13">
        <f>IFERROR('QTR CF'!F15/'QTR P&amp;L'!F2,"")</f>
        <v/>
      </c>
      <c r="G14" s="13">
        <f>IFERROR('QTR CF'!G15/'QTR P&amp;L'!G2,"")</f>
        <v/>
      </c>
      <c r="H14" s="13">
        <f>IFERROR('QTR CF'!H15/'QTR P&amp;L'!H2,"")</f>
        <v/>
      </c>
      <c r="I14" s="13">
        <f>IFERROR('QTR CF'!I15/'QTR P&amp;L'!I2,"")</f>
        <v/>
      </c>
      <c r="J14" s="13">
        <f>IFERROR('QTR CF'!J15/'QTR P&amp;L'!J2,"")</f>
        <v/>
      </c>
      <c r="K14" s="13">
        <f>IFERROR('QTR CF'!K15/'QTR P&amp;L'!K2,"")</f>
        <v/>
      </c>
      <c r="L14" s="13">
        <f>IFERROR('QTR CF'!L15/'QTR P&amp;L'!L2,"")</f>
        <v/>
      </c>
      <c r="M14" s="13">
        <f>IFERROR('QTR CF'!M15/'QTR P&amp;L'!M2,"")</f>
        <v/>
      </c>
      <c r="N14" s="13">
        <f>IFERROR('QTR CF'!N15/'QTR P&amp;L'!N2,"")</f>
        <v/>
      </c>
      <c r="O14" s="13">
        <f>IFERROR('QTR CF'!O15/'QTR P&amp;L'!O2,"")</f>
        <v/>
      </c>
      <c r="P14" s="13">
        <f>IFERROR('QTR CF'!P15/'QTR P&amp;L'!P2,"")</f>
        <v/>
      </c>
      <c r="Q14" s="13">
        <f>IFERROR('QTR CF'!Q15/'QTR P&amp;L'!Q2,"")</f>
        <v/>
      </c>
      <c r="R14" s="13">
        <f>IFERROR('QTR CF'!R15/'QTR P&amp;L'!R2,"")</f>
        <v/>
      </c>
      <c r="S14" s="13">
        <f>IFERROR('QTR CF'!S15/'QTR P&amp;L'!S2,"")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  <c r="AM14" s="14">
        <f>AL14</f>
        <v/>
      </c>
      <c r="AN14" s="14">
        <f>AM14</f>
        <v/>
      </c>
      <c r="AO14" s="14">
        <f>AN14</f>
        <v/>
      </c>
    </row>
    <row r="15">
      <c r="A15" s="3" t="inlineStr">
        <is>
          <t>Proceeds from Sale of Assets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Acquisitions, Net of Cash Acquired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Net Change in Short-Term Investments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</row>
    <row r="18">
      <c r="A18" s="3" t="inlineStr">
        <is>
          <t>Other Investing Activities</t>
        </is>
      </c>
      <c r="B18" s="4">
        <f>'QTR CF'!B19</f>
        <v/>
      </c>
      <c r="C18" s="4">
        <f>'QTR CF'!C19</f>
        <v/>
      </c>
      <c r="D18" s="4">
        <f>'QTR CF'!D19</f>
        <v/>
      </c>
      <c r="E18" s="4">
        <f>'QTR CF'!E19</f>
        <v/>
      </c>
      <c r="F18" s="4">
        <f>'QTR CF'!F19</f>
        <v/>
      </c>
      <c r="G18" s="4">
        <f>'QTR CF'!G19</f>
        <v/>
      </c>
      <c r="H18" s="4">
        <f>'QTR CF'!H19</f>
        <v/>
      </c>
      <c r="I18" s="4">
        <f>'QTR CF'!I19</f>
        <v/>
      </c>
      <c r="J18" s="4">
        <f>'QTR CF'!J19</f>
        <v/>
      </c>
      <c r="K18" s="4">
        <f>'QTR CF'!K19</f>
        <v/>
      </c>
      <c r="L18" s="4">
        <f>'QTR CF'!L19</f>
        <v/>
      </c>
      <c r="M18" s="4">
        <f>'QTR CF'!M19</f>
        <v/>
      </c>
      <c r="N18" s="4">
        <f>'QTR CF'!N19</f>
        <v/>
      </c>
      <c r="O18" s="4">
        <f>'QTR CF'!O19</f>
        <v/>
      </c>
      <c r="P18" s="4">
        <f>'QTR CF'!P19</f>
        <v/>
      </c>
      <c r="Q18" s="4">
        <f>'QTR CF'!Q19</f>
        <v/>
      </c>
      <c r="R18" s="4">
        <f>'QTR CF'!R19</f>
        <v/>
      </c>
      <c r="S18" s="4">
        <f>'QTR CF'!S19</f>
        <v/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Common Dividends — % of Net Income</t>
        </is>
      </c>
      <c r="B19" s="13">
        <f>IFERROR('QTR CF'!B21/'QTR P&amp;L'!B12,"")</f>
        <v/>
      </c>
      <c r="C19" s="13">
        <f>IFERROR('QTR CF'!C21/'QTR P&amp;L'!C12,"")</f>
        <v/>
      </c>
      <c r="D19" s="13">
        <f>IFERROR('QTR CF'!D21/'QTR P&amp;L'!D12,"")</f>
        <v/>
      </c>
      <c r="E19" s="13">
        <f>IFERROR('QTR CF'!E21/'QTR P&amp;L'!E12,"")</f>
        <v/>
      </c>
      <c r="F19" s="13">
        <f>IFERROR('QTR CF'!F21/'QTR P&amp;L'!F12,"")</f>
        <v/>
      </c>
      <c r="G19" s="13">
        <f>IFERROR('QTR CF'!G21/'QTR P&amp;L'!G12,"")</f>
        <v/>
      </c>
      <c r="H19" s="13">
        <f>IFERROR('QTR CF'!H21/'QTR P&amp;L'!H12,"")</f>
        <v/>
      </c>
      <c r="I19" s="13">
        <f>IFERROR('QTR CF'!I21/'QTR P&amp;L'!I12,"")</f>
        <v/>
      </c>
      <c r="J19" s="13">
        <f>IFERROR('QTR CF'!J21/'QTR P&amp;L'!J12,"")</f>
        <v/>
      </c>
      <c r="K19" s="13">
        <f>IFERROR('QTR CF'!K21/'QTR P&amp;L'!K12,"")</f>
        <v/>
      </c>
      <c r="L19" s="13">
        <f>IFERROR('QTR CF'!L21/'QTR P&amp;L'!L12,"")</f>
        <v/>
      </c>
      <c r="M19" s="13">
        <f>IFERROR('QTR CF'!M21/'QTR P&amp;L'!M12,"")</f>
        <v/>
      </c>
      <c r="N19" s="13">
        <f>IFERROR('QTR CF'!N21/'QTR P&amp;L'!N12,"")</f>
        <v/>
      </c>
      <c r="O19" s="13">
        <f>IFERROR('QTR CF'!O21/'QTR P&amp;L'!O12,"")</f>
        <v/>
      </c>
      <c r="P19" s="13">
        <f>IFERROR('QTR CF'!P21/'QTR P&amp;L'!P12,"")</f>
        <v/>
      </c>
      <c r="Q19" s="13">
        <f>IFERROR('QTR CF'!Q21/'QTR P&amp;L'!Q12,"")</f>
        <v/>
      </c>
      <c r="R19" s="13">
        <f>IFERROR('QTR CF'!R21/'QTR P&amp;L'!R12,"")</f>
        <v/>
      </c>
      <c r="S19" s="13">
        <f>IFERROR('QTR CF'!S21/'QTR P&amp;L'!S12,"")</f>
        <v/>
      </c>
      <c r="T19" s="14">
        <f>S19</f>
        <v/>
      </c>
      <c r="U19" s="14">
        <f>T19</f>
        <v/>
      </c>
      <c r="V19" s="14">
        <f>U19</f>
        <v/>
      </c>
      <c r="W19" s="14">
        <f>V19</f>
        <v/>
      </c>
      <c r="X19" s="14">
        <f>W19</f>
        <v/>
      </c>
      <c r="Y19" s="14">
        <f>X19</f>
        <v/>
      </c>
      <c r="Z19" s="14">
        <f>Y19</f>
        <v/>
      </c>
      <c r="AA19" s="14">
        <f>Z19</f>
        <v/>
      </c>
      <c r="AB19" s="14">
        <f>AA19</f>
        <v/>
      </c>
      <c r="AC19" s="14">
        <f>AB19</f>
        <v/>
      </c>
      <c r="AD19" s="14">
        <f>AC19</f>
        <v/>
      </c>
      <c r="AE19" s="14">
        <f>AD19</f>
        <v/>
      </c>
      <c r="AF19" s="14">
        <f>AE19</f>
        <v/>
      </c>
      <c r="AG19" s="14">
        <f>AF19</f>
        <v/>
      </c>
      <c r="AH19" s="14">
        <f>AG19</f>
        <v/>
      </c>
      <c r="AI19" s="14">
        <f>AH19</f>
        <v/>
      </c>
      <c r="AJ19" s="14">
        <f>AI19</f>
        <v/>
      </c>
      <c r="AK19" s="14">
        <f>AJ19</f>
        <v/>
      </c>
      <c r="AL19" s="14">
        <f>AK19</f>
        <v/>
      </c>
      <c r="AM19" s="14">
        <f>AL19</f>
        <v/>
      </c>
      <c r="AN19" s="14">
        <f>AM19</f>
        <v/>
      </c>
      <c r="AO19" s="14">
        <f>AN19</f>
        <v/>
      </c>
    </row>
    <row r="20">
      <c r="A20" s="3" t="inlineStr">
        <is>
          <t>Proceeds from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0</v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</row>
    <row r="21">
      <c r="A21" s="3" t="inlineStr">
        <is>
          <t>Repayments of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  <c r="AL21" s="15" t="n">
        <v>0</v>
      </c>
      <c r="AM21" s="15" t="n">
        <v>0</v>
      </c>
      <c r="AN21" s="15" t="n">
        <v>0</v>
      </c>
      <c r="AO21" s="15" t="n">
        <v>0</v>
      </c>
    </row>
    <row r="22">
      <c r="A22" s="3" t="inlineStr">
        <is>
          <t>Net Change in Other Short-Term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  <c r="AL22" s="15" t="n">
        <v>0</v>
      </c>
      <c r="AM22" s="15" t="n">
        <v>0</v>
      </c>
      <c r="AN22" s="15" t="n">
        <v>0</v>
      </c>
      <c r="AO22" s="15" t="n">
        <v>0</v>
      </c>
    </row>
    <row r="23">
      <c r="A23" s="3" t="inlineStr">
        <is>
          <t>Proceeds from Issuance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</row>
    <row r="24">
      <c r="A24" s="3" t="inlineStr">
        <is>
          <t>Repayments of Long-Term Debt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Share Repurchases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  <c r="AL25" s="15" t="n">
        <v>0</v>
      </c>
      <c r="AM25" s="15" t="n">
        <v>0</v>
      </c>
      <c r="AN25" s="15" t="n">
        <v>0</v>
      </c>
      <c r="AO25" s="15" t="n">
        <v>0</v>
      </c>
    </row>
    <row r="26">
      <c r="A26" s="3" t="inlineStr">
        <is>
          <t>Stock Options &amp; Other Financing Activities</t>
        </is>
      </c>
      <c r="B26" s="4">
        <f>'QTR CF'!B28</f>
        <v/>
      </c>
      <c r="C26" s="4">
        <f>'QTR CF'!C28</f>
        <v/>
      </c>
      <c r="D26" s="4">
        <f>'QTR CF'!D28</f>
        <v/>
      </c>
      <c r="E26" s="4">
        <f>'QTR CF'!E28</f>
        <v/>
      </c>
      <c r="F26" s="4">
        <f>'QTR CF'!F28</f>
        <v/>
      </c>
      <c r="G26" s="4">
        <f>'QTR CF'!G28</f>
        <v/>
      </c>
      <c r="H26" s="4">
        <f>'QTR CF'!H28</f>
        <v/>
      </c>
      <c r="I26" s="4">
        <f>'QTR CF'!I28</f>
        <v/>
      </c>
      <c r="J26" s="4">
        <f>'QTR CF'!J28</f>
        <v/>
      </c>
      <c r="K26" s="4">
        <f>'QTR CF'!K28</f>
        <v/>
      </c>
      <c r="L26" s="4">
        <f>'QTR CF'!L28</f>
        <v/>
      </c>
      <c r="M26" s="4">
        <f>'QTR CF'!M28</f>
        <v/>
      </c>
      <c r="N26" s="4">
        <f>'QTR CF'!N28</f>
        <v/>
      </c>
      <c r="O26" s="4">
        <f>'QTR CF'!O28</f>
        <v/>
      </c>
      <c r="P26" s="4">
        <f>'QTR CF'!P28</f>
        <v/>
      </c>
      <c r="Q26" s="4">
        <f>'QTR CF'!Q28</f>
        <v/>
      </c>
      <c r="R26" s="4">
        <f>'QTR CF'!R28</f>
        <v/>
      </c>
      <c r="S26" s="4">
        <f>'QTR CF'!S28</f>
        <v/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0</v>
      </c>
    </row>
    <row r="27">
      <c r="A27" s="3" t="inlineStr">
        <is>
          <t>FX Effect on Cash</t>
        </is>
      </c>
      <c r="B27" s="4">
        <f>'QTR CF'!B30</f>
        <v/>
      </c>
      <c r="C27" s="4">
        <f>'QTR CF'!C30</f>
        <v/>
      </c>
      <c r="D27" s="4">
        <f>'QTR CF'!D30</f>
        <v/>
      </c>
      <c r="E27" s="4">
        <f>'QTR CF'!E30</f>
        <v/>
      </c>
      <c r="F27" s="4">
        <f>'QTR CF'!F30</f>
        <v/>
      </c>
      <c r="G27" s="4">
        <f>'QTR CF'!G30</f>
        <v/>
      </c>
      <c r="H27" s="4">
        <f>'QTR CF'!H30</f>
        <v/>
      </c>
      <c r="I27" s="4">
        <f>'QTR CF'!I30</f>
        <v/>
      </c>
      <c r="J27" s="4">
        <f>'QTR CF'!J30</f>
        <v/>
      </c>
      <c r="K27" s="4">
        <f>'QTR CF'!K30</f>
        <v/>
      </c>
      <c r="L27" s="4">
        <f>'QTR CF'!L30</f>
        <v/>
      </c>
      <c r="M27" s="4">
        <f>'QTR CF'!M30</f>
        <v/>
      </c>
      <c r="N27" s="4">
        <f>'QTR CF'!N30</f>
        <v/>
      </c>
      <c r="O27" s="4">
        <f>'QTR CF'!O30</f>
        <v/>
      </c>
      <c r="P27" s="4">
        <f>'QTR CF'!P30</f>
        <v/>
      </c>
      <c r="Q27" s="4">
        <f>'QTR CF'!Q30</f>
        <v/>
      </c>
      <c r="R27" s="4">
        <f>'QTR CF'!R30</f>
        <v/>
      </c>
      <c r="S27" s="4">
        <f>'QTR CF'!S30</f>
        <v/>
      </c>
      <c r="T27" s="15">
        <f>S27</f>
        <v/>
      </c>
      <c r="U27" s="15">
        <f>T27</f>
        <v/>
      </c>
      <c r="V27" s="15">
        <f>U27</f>
        <v/>
      </c>
      <c r="W27" s="15">
        <f>V27</f>
        <v/>
      </c>
      <c r="X27" s="15">
        <f>W27</f>
        <v/>
      </c>
      <c r="Y27" s="15">
        <f>X27</f>
        <v/>
      </c>
      <c r="Z27" s="15">
        <f>Y27</f>
        <v/>
      </c>
      <c r="AA27" s="15">
        <f>Z27</f>
        <v/>
      </c>
      <c r="AB27" s="15">
        <f>AA27</f>
        <v/>
      </c>
      <c r="AC27" s="15">
        <f>AB27</f>
        <v/>
      </c>
      <c r="AD27" s="15">
        <f>AC27</f>
        <v/>
      </c>
      <c r="AE27" s="15">
        <f>AD27</f>
        <v/>
      </c>
      <c r="AF27" s="15">
        <f>AE27</f>
        <v/>
      </c>
      <c r="AG27" s="15">
        <f>AF27</f>
        <v/>
      </c>
      <c r="AH27" s="15">
        <f>AG27</f>
        <v/>
      </c>
      <c r="AI27" s="15">
        <f>AH27</f>
        <v/>
      </c>
      <c r="AJ27" s="15">
        <f>AI27</f>
        <v/>
      </c>
      <c r="AK27" s="15">
        <f>AJ27</f>
        <v/>
      </c>
      <c r="AL27" s="15">
        <f>AK27</f>
        <v/>
      </c>
      <c r="AM27" s="15">
        <f>AL27</f>
        <v/>
      </c>
      <c r="AN27" s="15">
        <f>AM27</f>
        <v/>
      </c>
      <c r="AO27" s="15">
        <f>AN27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2026-04-28T19:24:29Z</dcterms:created>
  <dcterms:modified xmlns:dcterms="http://purl.org/dc/terms/" xmlns:xsi="http://www.w3.org/2001/XMLSchema-instance" xsi:type="dcterms:W3CDTF">2026-04-28T19:24:31Z</dcterms:modified>
</cp:coreProperties>
</file>