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YTD P&amp;L" sheetId="5" state="visible" r:id="rId5"/>
    <sheet xmlns:r="http://schemas.openxmlformats.org/officeDocument/2006/relationships" name="YTD BS" sheetId="6" state="visible" r:id="rId6"/>
    <sheet xmlns:r="http://schemas.openxmlformats.org/officeDocument/2006/relationships" name="YTD CF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  <sheet xmlns:r="http://schemas.openxmlformats.org/officeDocument/2006/relationships" name="IS DRIVERS" sheetId="11" state="visible" r:id="rId11"/>
    <sheet xmlns:r="http://schemas.openxmlformats.org/officeDocument/2006/relationships" name="BS DRIVERS" sheetId="12" state="visible" r:id="rId12"/>
    <sheet xmlns:r="http://schemas.openxmlformats.org/officeDocument/2006/relationships" name="CF 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_);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165" fontId="2" fillId="3" borderId="0" pivotButton="0" quotePrefix="0" xfId="0"/>
    <xf numFmtId="167" fontId="0" fillId="0" borderId="0" pivotButton="0" quotePrefix="0" xfId="0"/>
    <xf numFmtId="167" fontId="0" fillId="4" borderId="0" pivotButton="0" quotePrefix="0" xfId="0"/>
    <xf numFmtId="168" fontId="0" fillId="0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Quarter</t>
        </is>
      </c>
      <c r="B2" s="10" t="n">
        <v>91</v>
      </c>
      <c r="C2" t="inlineStr">
        <is>
          <t>Used by DSO/DIO/DPO ratios. Approximation; varies 89-92 by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79474</v>
      </c>
      <c r="C2" s="4" t="n">
        <v>86392</v>
      </c>
      <c r="D2" s="4" t="n">
        <v>91471</v>
      </c>
      <c r="E2" s="4" t="n">
        <v>91854</v>
      </c>
      <c r="F2" s="4" t="n">
        <v>93925</v>
      </c>
      <c r="G2" s="5">
        <f>'QTR P&amp;L'!N2+'QTR P&amp;L'!O2+'QTR P&amp;L'!P2+'QTR P&amp;L'!Q2</f>
        <v/>
      </c>
      <c r="H2" s="5">
        <f>'QTR P&amp;L'!R2+'QTR P&amp;L'!S2+'QTR P&amp;L'!T2+'QTR P&amp;L'!U2</f>
        <v/>
      </c>
      <c r="I2" s="5">
        <f>'QTR P&amp;L'!V2+'QTR P&amp;L'!W2+'QTR P&amp;L'!X2+'QTR P&amp;L'!Y2</f>
        <v/>
      </c>
      <c r="J2" s="5">
        <f>'QTR P&amp;L'!Z2+'QTR P&amp;L'!AA2+'QTR P&amp;L'!AB2+'QTR P&amp;L'!AC2</f>
        <v/>
      </c>
      <c r="K2" s="5">
        <f>'QTR P&amp;L'!AD2+'QTR P&amp;L'!AE2+'QTR P&amp;L'!AF2+'QTR P&amp;L'!AG2</f>
        <v/>
      </c>
      <c r="L2" s="5">
        <f>'QTR P&amp;L'!AH2+'QTR P&amp;L'!AI2+'QTR P&amp;L'!AJ2+'QTR P&amp;L'!AK2</f>
        <v/>
      </c>
    </row>
    <row r="3">
      <c r="A3" s="3" t="inlineStr">
        <is>
          <t>COGS</t>
        </is>
      </c>
      <c r="B3" s="4" t="n">
        <v>-37075</v>
      </c>
      <c r="C3" s="4" t="n">
        <v>-40576</v>
      </c>
      <c r="D3" s="4" t="n">
        <v>-41881</v>
      </c>
      <c r="E3" s="4" t="n">
        <v>-41744</v>
      </c>
      <c r="F3" s="4" t="n">
        <v>-43066</v>
      </c>
      <c r="G3" s="5">
        <f>'QTR P&amp;L'!N3+'QTR P&amp;L'!O3+'QTR P&amp;L'!P3+'QTR P&amp;L'!Q3</f>
        <v/>
      </c>
      <c r="H3" s="5">
        <f>'QTR P&amp;L'!R3+'QTR P&amp;L'!S3+'QTR P&amp;L'!T3+'QTR P&amp;L'!U3</f>
        <v/>
      </c>
      <c r="I3" s="5">
        <f>'QTR P&amp;L'!V3+'QTR P&amp;L'!W3+'QTR P&amp;L'!X3+'QTR P&amp;L'!Y3</f>
        <v/>
      </c>
      <c r="J3" s="5">
        <f>'QTR P&amp;L'!Z3+'QTR P&amp;L'!AA3+'QTR P&amp;L'!AB3+'QTR P&amp;L'!AC3</f>
        <v/>
      </c>
      <c r="K3" s="5">
        <f>'QTR P&amp;L'!AD3+'QTR P&amp;L'!AE3+'QTR P&amp;L'!AF3+'QTR P&amp;L'!AG3</f>
        <v/>
      </c>
      <c r="L3" s="5">
        <f>'QTR P&amp;L'!AH3+'QTR P&amp;L'!AI3+'QTR P&amp;L'!AJ3+'QTR P&amp;L'!AK3</f>
        <v/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-31237</v>
      </c>
      <c r="C5" s="4" t="n">
        <v>-34459</v>
      </c>
      <c r="D5" s="4" t="n">
        <v>-36677</v>
      </c>
      <c r="E5" s="4" t="n">
        <v>-37190</v>
      </c>
      <c r="F5" s="4" t="n">
        <v>-37368</v>
      </c>
      <c r="G5" s="5">
        <f>'QTR P&amp;L'!N5+'QTR P&amp;L'!O5+'QTR P&amp;L'!P5+'QTR P&amp;L'!Q5</f>
        <v/>
      </c>
      <c r="H5" s="5">
        <f>'QTR P&amp;L'!R5+'QTR P&amp;L'!S5+'QTR P&amp;L'!T5+'QTR P&amp;L'!U5</f>
        <v/>
      </c>
      <c r="I5" s="5">
        <f>'QTR P&amp;L'!V5+'QTR P&amp;L'!W5+'QTR P&amp;L'!X5+'QTR P&amp;L'!Y5</f>
        <v/>
      </c>
      <c r="J5" s="5">
        <f>'QTR P&amp;L'!Z5+'QTR P&amp;L'!AA5+'QTR P&amp;L'!AB5+'QTR P&amp;L'!AC5</f>
        <v/>
      </c>
      <c r="K5" s="5">
        <f>'QTR P&amp;L'!AD5+'QTR P&amp;L'!AE5+'QTR P&amp;L'!AF5+'QTR P&amp;L'!AG5</f>
        <v/>
      </c>
      <c r="L5" s="5">
        <f>'QTR P&amp;L'!AH5+'QTR P&amp;L'!AI5+'QTR P&amp;L'!AJ5+'QTR P&amp;L'!AK5</f>
        <v/>
      </c>
    </row>
    <row r="6">
      <c r="A6" s="3" t="inlineStr">
        <is>
          <t>Gain on Juice Transaction</t>
        </is>
      </c>
      <c r="B6" s="4" t="n">
        <v>0</v>
      </c>
      <c r="C6" s="4" t="n">
        <v>-3321</v>
      </c>
      <c r="D6" s="4" t="n">
        <v>0</v>
      </c>
      <c r="E6" s="4" t="n">
        <v>0</v>
      </c>
      <c r="F6" s="4" t="n">
        <v>0</v>
      </c>
      <c r="G6" s="5">
        <f>'QTR P&amp;L'!N6+'QTR P&amp;L'!O6+'QTR P&amp;L'!P6+'QTR P&amp;L'!Q6</f>
        <v/>
      </c>
      <c r="H6" s="5">
        <f>'QTR P&amp;L'!R6+'QTR P&amp;L'!S6+'QTR P&amp;L'!T6+'QTR P&amp;L'!U6</f>
        <v/>
      </c>
      <c r="I6" s="5">
        <f>'QTR P&amp;L'!V6+'QTR P&amp;L'!W6+'QTR P&amp;L'!X6+'QTR P&amp;L'!Y6</f>
        <v/>
      </c>
      <c r="J6" s="5">
        <f>'QTR P&amp;L'!Z6+'QTR P&amp;L'!AA6+'QTR P&amp;L'!AB6+'QTR P&amp;L'!AC6</f>
        <v/>
      </c>
      <c r="K6" s="5">
        <f>'QTR P&amp;L'!AD6+'QTR P&amp;L'!AE6+'QTR P&amp;L'!AF6+'QTR P&amp;L'!AG6</f>
        <v/>
      </c>
      <c r="L6" s="5">
        <f>'QTR P&amp;L'!AH6+'QTR P&amp;L'!AI6+'QTR P&amp;L'!AJ6+'QTR P&amp;L'!AK6</f>
        <v/>
      </c>
    </row>
    <row r="7">
      <c r="A7" s="3" t="inlineStr">
        <is>
          <t>Impairment of Intangibles</t>
        </is>
      </c>
      <c r="B7" s="4" t="n">
        <v>0</v>
      </c>
      <c r="C7" s="4" t="n">
        <v>-3166</v>
      </c>
      <c r="D7" s="4" t="n">
        <v>-927</v>
      </c>
      <c r="E7" s="4" t="n">
        <v>-33</v>
      </c>
      <c r="F7" s="4" t="n">
        <v>-1993</v>
      </c>
      <c r="G7" s="5">
        <f>'QTR P&amp;L'!N7+'QTR P&amp;L'!O7+'QTR P&amp;L'!P7+'QTR P&amp;L'!Q7</f>
        <v/>
      </c>
      <c r="H7" s="5">
        <f>'QTR P&amp;L'!R7+'QTR P&amp;L'!S7+'QTR P&amp;L'!T7+'QTR P&amp;L'!U7</f>
        <v/>
      </c>
      <c r="I7" s="5">
        <f>'QTR P&amp;L'!V7+'QTR P&amp;L'!W7+'QTR P&amp;L'!X7+'QTR P&amp;L'!Y7</f>
        <v/>
      </c>
      <c r="J7" s="5">
        <f>'QTR P&amp;L'!Z7+'QTR P&amp;L'!AA7+'QTR P&amp;L'!AB7+'QTR P&amp;L'!AC7</f>
        <v/>
      </c>
      <c r="K7" s="5">
        <f>'QTR P&amp;L'!AD7+'QTR P&amp;L'!AE7+'QTR P&amp;L'!AF7+'QTR P&amp;L'!AG7</f>
        <v/>
      </c>
      <c r="L7" s="5">
        <f>'QTR P&amp;L'!AH7+'QTR P&amp;L'!AI7+'QTR P&amp;L'!AJ7+'QTR P&amp;L'!AK7</f>
        <v/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7">
        <f>G4+SUM(G5:G7)</f>
        <v/>
      </c>
      <c r="H8" s="7">
        <f>H4+SUM(H5:H7)</f>
        <v/>
      </c>
      <c r="I8" s="7">
        <f>I4+SUM(I5:I7)</f>
        <v/>
      </c>
      <c r="J8" s="7">
        <f>J4+SUM(J5:J7)</f>
        <v/>
      </c>
      <c r="K8" s="7">
        <f>K4+SUM(K5:K7)</f>
        <v/>
      </c>
      <c r="L8" s="7">
        <f>L4+SUM(L5:L7)</f>
        <v/>
      </c>
    </row>
    <row r="9">
      <c r="A9" s="3" t="inlineStr">
        <is>
          <t>Other Pension and OPEB Benefits Income (Expense)</t>
        </is>
      </c>
      <c r="B9" s="4" t="n">
        <v>522</v>
      </c>
      <c r="C9" s="4" t="n">
        <v>132</v>
      </c>
      <c r="D9" s="4" t="n">
        <v>250</v>
      </c>
      <c r="E9" s="4" t="n">
        <v>-22</v>
      </c>
      <c r="F9" s="4" t="n">
        <v>-133</v>
      </c>
      <c r="G9" s="5">
        <f>'QTR P&amp;L'!N9+'QTR P&amp;L'!O9+'QTR P&amp;L'!P9+'QTR P&amp;L'!Q9</f>
        <v/>
      </c>
      <c r="H9" s="5">
        <f>'QTR P&amp;L'!R9+'QTR P&amp;L'!S9+'QTR P&amp;L'!T9+'QTR P&amp;L'!U9</f>
        <v/>
      </c>
      <c r="I9" s="5">
        <f>'QTR P&amp;L'!V9+'QTR P&amp;L'!W9+'QTR P&amp;L'!X9+'QTR P&amp;L'!Y9</f>
        <v/>
      </c>
      <c r="J9" s="5">
        <f>'QTR P&amp;L'!Z9+'QTR P&amp;L'!AA9+'QTR P&amp;L'!AB9+'QTR P&amp;L'!AC9</f>
        <v/>
      </c>
      <c r="K9" s="5">
        <f>'QTR P&amp;L'!AD9+'QTR P&amp;L'!AE9+'QTR P&amp;L'!AF9+'QTR P&amp;L'!AG9</f>
        <v/>
      </c>
      <c r="L9" s="5">
        <f>'QTR P&amp;L'!AH9+'QTR P&amp;L'!AI9+'QTR P&amp;L'!AJ9+'QTR P&amp;L'!AK9</f>
        <v/>
      </c>
    </row>
    <row r="10">
      <c r="A10" s="3" t="inlineStr">
        <is>
          <t>Interest Income (Expense)</t>
        </is>
      </c>
      <c r="B10" s="4" t="n">
        <v>-1863</v>
      </c>
      <c r="C10" s="4" t="n">
        <v>-939</v>
      </c>
      <c r="D10" s="4" t="n">
        <v>-819</v>
      </c>
      <c r="E10" s="4" t="n">
        <v>-919</v>
      </c>
      <c r="F10" s="4" t="n">
        <v>-1121</v>
      </c>
      <c r="G10" s="5">
        <f>'QTR P&amp;L'!N10+'QTR P&amp;L'!O10+'QTR P&amp;L'!P10+'QTR P&amp;L'!Q10</f>
        <v/>
      </c>
      <c r="H10" s="5">
        <f>'QTR P&amp;L'!R10+'QTR P&amp;L'!S10+'QTR P&amp;L'!T10+'QTR P&amp;L'!U10</f>
        <v/>
      </c>
      <c r="I10" s="5">
        <f>'QTR P&amp;L'!V10+'QTR P&amp;L'!W10+'QTR P&amp;L'!X10+'QTR P&amp;L'!Y10</f>
        <v/>
      </c>
      <c r="J10" s="5">
        <f>'QTR P&amp;L'!Z10+'QTR P&amp;L'!AA10+'QTR P&amp;L'!AB10+'QTR P&amp;L'!AC10</f>
        <v/>
      </c>
      <c r="K10" s="5">
        <f>'QTR P&amp;L'!AD10+'QTR P&amp;L'!AE10+'QTR P&amp;L'!AF10+'QTR P&amp;L'!AG10</f>
        <v/>
      </c>
      <c r="L10" s="5">
        <f>'QTR P&amp;L'!AH10+'QTR P&amp;L'!AI10+'QTR P&amp;L'!AJ10+'QTR P&amp;L'!AK10</f>
        <v/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7">
        <f>G8+SUM(G9:G10)</f>
        <v/>
      </c>
      <c r="H11" s="7">
        <f>H8+SUM(H9:H10)</f>
        <v/>
      </c>
      <c r="I11" s="7">
        <f>I8+SUM(I9:I10)</f>
        <v/>
      </c>
      <c r="J11" s="7">
        <f>J8+SUM(J9:J10)</f>
        <v/>
      </c>
      <c r="K11" s="7">
        <f>K8+SUM(K9:K10)</f>
        <v/>
      </c>
      <c r="L11" s="7">
        <f>L8+SUM(L9:L10)</f>
        <v/>
      </c>
    </row>
    <row r="12">
      <c r="A12" s="3" t="inlineStr">
        <is>
          <t>Income Tax (Expense) Benefit</t>
        </is>
      </c>
      <c r="B12" s="4" t="n">
        <v>-2142</v>
      </c>
      <c r="C12" s="4" t="n">
        <v>-1727</v>
      </c>
      <c r="D12" s="4" t="n">
        <v>-2262</v>
      </c>
      <c r="E12" s="4" t="n">
        <v>-2320</v>
      </c>
      <c r="F12" s="4" t="n">
        <v>-1949</v>
      </c>
      <c r="G12" s="5">
        <f>'QTR P&amp;L'!N12+'QTR P&amp;L'!O12+'QTR P&amp;L'!P12+'QTR P&amp;L'!Q12</f>
        <v/>
      </c>
      <c r="H12" s="5">
        <f>'QTR P&amp;L'!R12+'QTR P&amp;L'!S12+'QTR P&amp;L'!T12+'QTR P&amp;L'!U12</f>
        <v/>
      </c>
      <c r="I12" s="5">
        <f>'QTR P&amp;L'!V12+'QTR P&amp;L'!W12+'QTR P&amp;L'!X12+'QTR P&amp;L'!Y12</f>
        <v/>
      </c>
      <c r="J12" s="5">
        <f>'QTR P&amp;L'!Z12+'QTR P&amp;L'!AA12+'QTR P&amp;L'!AB12+'QTR P&amp;L'!AC12</f>
        <v/>
      </c>
      <c r="K12" s="5">
        <f>'QTR P&amp;L'!AD12+'QTR P&amp;L'!AE12+'QTR P&amp;L'!AF12+'QTR P&amp;L'!AG12</f>
        <v/>
      </c>
      <c r="L12" s="5">
        <f>'QTR P&amp;L'!AH12+'QTR P&amp;L'!AI12+'QTR P&amp;L'!AJ12+'QTR P&amp;L'!AK12</f>
        <v/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61</v>
      </c>
      <c r="C14" s="4" t="n">
        <v>68</v>
      </c>
      <c r="D14" s="4" t="n">
        <v>81</v>
      </c>
      <c r="E14" s="4" t="n">
        <v>48</v>
      </c>
      <c r="F14" s="4" t="n">
        <v>55</v>
      </c>
      <c r="G14" s="5">
        <f>'QTR P&amp;L'!N14+'QTR P&amp;L'!O14+'QTR P&amp;L'!P14+'QTR P&amp;L'!Q14</f>
        <v/>
      </c>
      <c r="H14" s="5">
        <f>'QTR P&amp;L'!R14+'QTR P&amp;L'!S14+'QTR P&amp;L'!T14+'QTR P&amp;L'!U14</f>
        <v/>
      </c>
      <c r="I14" s="5">
        <f>'QTR P&amp;L'!V14+'QTR P&amp;L'!W14+'QTR P&amp;L'!X14+'QTR P&amp;L'!Y14</f>
        <v/>
      </c>
      <c r="J14" s="5">
        <f>'QTR P&amp;L'!Z14+'QTR P&amp;L'!AA14+'QTR P&amp;L'!AB14+'QTR P&amp;L'!AC14</f>
        <v/>
      </c>
      <c r="K14" s="5">
        <f>'QTR P&amp;L'!AD14+'QTR P&amp;L'!AE14+'QTR P&amp;L'!AF14+'QTR P&amp;L'!AG14</f>
        <v/>
      </c>
      <c r="L14" s="5">
        <f>'QTR P&amp;L'!AH14+'QTR P&amp;L'!AI14+'QTR P&amp;L'!AJ14+'QTR P&amp;L'!AK14</f>
        <v/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5.51</v>
      </c>
      <c r="C16" s="8" t="n">
        <v>6.45</v>
      </c>
      <c r="D16" s="8" t="n">
        <v>6.59</v>
      </c>
      <c r="E16" s="8" t="n">
        <v>6.97</v>
      </c>
      <c r="F16" s="8" t="n">
        <v>6.02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5.49</v>
      </c>
      <c r="C17" s="8" t="n">
        <v>6.42</v>
      </c>
      <c r="D17" s="8" t="n">
        <v>6.56</v>
      </c>
      <c r="E17" s="8" t="n">
        <v>6.95</v>
      </c>
      <c r="F17" s="8" t="n">
        <v>6</v>
      </c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Weighted Average Shares Outstanding (Basic)</t>
        </is>
      </c>
      <c r="B18" s="4" t="n">
        <v>1382000000</v>
      </c>
      <c r="C18" s="4" t="n">
        <v>1380000000</v>
      </c>
      <c r="D18" s="4" t="n">
        <v>1376000000</v>
      </c>
      <c r="E18" s="4" t="n">
        <v>1373000000</v>
      </c>
      <c r="F18" s="4" t="n">
        <v>1369000000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Weighted Average Shares Outstanding (Diluted)</t>
        </is>
      </c>
      <c r="B19" s="4" t="n">
        <v>1389000000</v>
      </c>
      <c r="C19" s="4" t="n">
        <v>1387000000</v>
      </c>
      <c r="D19" s="4" t="n">
        <v>1383000000</v>
      </c>
      <c r="E19" s="4" t="n">
        <v>1378000000</v>
      </c>
      <c r="F19" s="4" t="n">
        <v>1373000000</v>
      </c>
      <c r="G19" s="5" t="n"/>
      <c r="H19" s="5" t="n"/>
      <c r="I19" s="5" t="n"/>
      <c r="J19" s="5" t="n"/>
      <c r="K19" s="5" t="n"/>
      <c r="L1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4954</v>
      </c>
      <c r="C2" s="4" t="n">
        <v>9711</v>
      </c>
      <c r="D2" s="4" t="n">
        <v>8505</v>
      </c>
      <c r="E2" s="4" t="n">
        <v>9159</v>
      </c>
      <c r="F2" s="5">
        <f>'QTR BS'!N2</f>
        <v/>
      </c>
      <c r="G2" s="5">
        <f>'QTR BS'!R2</f>
        <v/>
      </c>
      <c r="H2" s="5">
        <f>'QTR BS'!V2</f>
        <v/>
      </c>
      <c r="I2" s="5">
        <f>'QTR BS'!Z2</f>
        <v/>
      </c>
      <c r="J2" s="5">
        <f>'QTR BS'!AD2</f>
        <v/>
      </c>
      <c r="K2" s="5">
        <f>'QTR BS'!AH2</f>
        <v/>
      </c>
    </row>
    <row r="3">
      <c r="A3" s="3" t="inlineStr">
        <is>
          <t>Short-Term Investments</t>
        </is>
      </c>
      <c r="B3" s="4" t="n">
        <v>394</v>
      </c>
      <c r="C3" s="4" t="n">
        <v>292</v>
      </c>
      <c r="D3" s="4" t="n">
        <v>761</v>
      </c>
      <c r="E3" s="4" t="n">
        <v>371</v>
      </c>
      <c r="F3" s="5">
        <f>'QTR BS'!N3</f>
        <v/>
      </c>
      <c r="G3" s="5">
        <f>'QTR BS'!R3</f>
        <v/>
      </c>
      <c r="H3" s="5">
        <f>'QTR BS'!V3</f>
        <v/>
      </c>
      <c r="I3" s="5">
        <f>'QTR BS'!Z3</f>
        <v/>
      </c>
      <c r="J3" s="5">
        <f>'QTR BS'!AD3</f>
        <v/>
      </c>
      <c r="K3" s="5">
        <f>'QTR BS'!AH3</f>
        <v/>
      </c>
    </row>
    <row r="4">
      <c r="A4" s="3" t="inlineStr">
        <is>
          <t>Accounts Receivable</t>
        </is>
      </c>
      <c r="B4" s="4" t="n">
        <v>10163</v>
      </c>
      <c r="C4" s="4" t="n">
        <v>10815</v>
      </c>
      <c r="D4" s="4" t="n">
        <v>10333</v>
      </c>
      <c r="E4" s="4" t="n">
        <v>11506</v>
      </c>
      <c r="F4" s="5">
        <f>'QTR BS'!N4</f>
        <v/>
      </c>
      <c r="G4" s="5">
        <f>'QTR BS'!R4</f>
        <v/>
      </c>
      <c r="H4" s="5">
        <f>'QTR BS'!V4</f>
        <v/>
      </c>
      <c r="I4" s="5">
        <f>'QTR BS'!Z4</f>
        <v/>
      </c>
      <c r="J4" s="5">
        <f>'QTR BS'!AD4</f>
        <v/>
      </c>
      <c r="K4" s="5">
        <f>'QTR BS'!AH4</f>
        <v/>
      </c>
    </row>
    <row r="5">
      <c r="A5" s="3" t="inlineStr">
        <is>
          <t>Inventories</t>
        </is>
      </c>
      <c r="B5" s="4" t="n">
        <v>5222</v>
      </c>
      <c r="C5" s="4" t="n">
        <v>5334</v>
      </c>
      <c r="D5" s="4" t="n">
        <v>5306</v>
      </c>
      <c r="E5" s="4" t="n">
        <v>5845</v>
      </c>
      <c r="F5" s="5">
        <f>'QTR BS'!N5</f>
        <v/>
      </c>
      <c r="G5" s="5">
        <f>'QTR BS'!R5</f>
        <v/>
      </c>
      <c r="H5" s="5">
        <f>'QTR BS'!V5</f>
        <v/>
      </c>
      <c r="I5" s="5">
        <f>'QTR BS'!Z5</f>
        <v/>
      </c>
      <c r="J5" s="5">
        <f>'QTR BS'!AD5</f>
        <v/>
      </c>
      <c r="K5" s="5">
        <f>'QTR BS'!AH5</f>
        <v/>
      </c>
    </row>
    <row r="6">
      <c r="A6" s="3" t="inlineStr">
        <is>
          <t>Prepaid Expenses</t>
        </is>
      </c>
      <c r="B6" s="4" t="n">
        <v>806</v>
      </c>
      <c r="C6" s="4" t="n">
        <v>798</v>
      </c>
      <c r="D6" s="4" t="n">
        <v>921</v>
      </c>
      <c r="E6" s="4" t="n">
        <v>1068</v>
      </c>
      <c r="F6" s="5">
        <f>'QTR BS'!N6</f>
        <v/>
      </c>
      <c r="G6" s="5">
        <f>'QTR BS'!R6</f>
        <v/>
      </c>
      <c r="H6" s="5">
        <f>'QTR BS'!V6</f>
        <v/>
      </c>
      <c r="I6" s="5">
        <f>'QTR BS'!Z6</f>
        <v/>
      </c>
      <c r="J6" s="5">
        <f>'QTR BS'!AD6</f>
        <v/>
      </c>
      <c r="K6" s="5">
        <f>'QTR BS'!AH6</f>
        <v/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7">
        <f>SUM(F2:F6)</f>
        <v/>
      </c>
      <c r="G7" s="7">
        <f>SUM(G2:G6)</f>
        <v/>
      </c>
      <c r="H7" s="7">
        <f>SUM(H2:H6)</f>
        <v/>
      </c>
      <c r="I7" s="7">
        <f>SUM(I2:I6)</f>
        <v/>
      </c>
      <c r="J7" s="7">
        <f>SUM(J2:J6)</f>
        <v/>
      </c>
      <c r="K7" s="7">
        <f>SUM(K2:K6)</f>
        <v/>
      </c>
    </row>
    <row r="8">
      <c r="A8" s="3" t="inlineStr">
        <is>
          <t>Net PP&amp;E</t>
        </is>
      </c>
      <c r="B8" s="4" t="n">
        <v>24291</v>
      </c>
      <c r="C8" s="4" t="n">
        <v>27039</v>
      </c>
      <c r="D8" s="4" t="n">
        <v>28008</v>
      </c>
      <c r="E8" s="4" t="n">
        <v>29905</v>
      </c>
      <c r="F8" s="5">
        <f>'QTR BS'!N8</f>
        <v/>
      </c>
      <c r="G8" s="5">
        <f>'QTR BS'!R8</f>
        <v/>
      </c>
      <c r="H8" s="5">
        <f>'QTR BS'!V8</f>
        <v/>
      </c>
      <c r="I8" s="5">
        <f>'QTR BS'!Z8</f>
        <v/>
      </c>
      <c r="J8" s="5">
        <f>'QTR BS'!AD8</f>
        <v/>
      </c>
      <c r="K8" s="5">
        <f>'QTR BS'!AH8</f>
        <v/>
      </c>
    </row>
    <row r="9">
      <c r="A9" s="3" t="inlineStr">
        <is>
          <t>Intangible Assets</t>
        </is>
      </c>
      <c r="B9" s="4" t="n">
        <v>15586</v>
      </c>
      <c r="C9" s="4" t="n">
        <v>14929</v>
      </c>
      <c r="D9" s="4" t="n">
        <v>14801</v>
      </c>
      <c r="E9" s="4" t="n">
        <v>15066</v>
      </c>
      <c r="F9" s="5">
        <f>'QTR BS'!N9</f>
        <v/>
      </c>
      <c r="G9" s="5">
        <f>'QTR BS'!R9</f>
        <v/>
      </c>
      <c r="H9" s="5">
        <f>'QTR BS'!V9</f>
        <v/>
      </c>
      <c r="I9" s="5">
        <f>'QTR BS'!Z9</f>
        <v/>
      </c>
      <c r="J9" s="5">
        <f>'QTR BS'!AD9</f>
        <v/>
      </c>
      <c r="K9" s="5">
        <f>'QTR BS'!AH9</f>
        <v/>
      </c>
    </row>
    <row r="10">
      <c r="A10" s="3" t="inlineStr">
        <is>
          <t>Goodwill</t>
        </is>
      </c>
      <c r="B10" s="4" t="n">
        <v>18202</v>
      </c>
      <c r="C10" s="4" t="n">
        <v>17728</v>
      </c>
      <c r="D10" s="4" t="n">
        <v>17534</v>
      </c>
      <c r="E10" s="4" t="n">
        <v>18916</v>
      </c>
      <c r="F10" s="5">
        <f>'QTR BS'!N10</f>
        <v/>
      </c>
      <c r="G10" s="5">
        <f>'QTR BS'!R10</f>
        <v/>
      </c>
      <c r="H10" s="5">
        <f>'QTR BS'!V10</f>
        <v/>
      </c>
      <c r="I10" s="5">
        <f>'QTR BS'!Z10</f>
        <v/>
      </c>
      <c r="J10" s="5">
        <f>'QTR BS'!AD10</f>
        <v/>
      </c>
      <c r="K10" s="5">
        <f>'QTR BS'!AH10</f>
        <v/>
      </c>
    </row>
    <row r="11">
      <c r="A11" s="3" t="inlineStr">
        <is>
          <t>Equity Method Investments</t>
        </is>
      </c>
      <c r="B11" s="4" t="n">
        <v>3073</v>
      </c>
      <c r="C11" s="4" t="n">
        <v>2714</v>
      </c>
      <c r="D11" s="4" t="n">
        <v>1985</v>
      </c>
      <c r="E11" s="4" t="n">
        <v>2038</v>
      </c>
      <c r="F11" s="5">
        <f>'QTR BS'!N11</f>
        <v/>
      </c>
      <c r="G11" s="5">
        <f>'QTR BS'!R11</f>
        <v/>
      </c>
      <c r="H11" s="5">
        <f>'QTR BS'!V11</f>
        <v/>
      </c>
      <c r="I11" s="5">
        <f>'QTR BS'!Z11</f>
        <v/>
      </c>
      <c r="J11" s="5">
        <f>'QTR BS'!AD11</f>
        <v/>
      </c>
      <c r="K11" s="5">
        <f>'QTR BS'!AH11</f>
        <v/>
      </c>
    </row>
    <row r="12">
      <c r="A12" s="3" t="inlineStr">
        <is>
          <t>Deferred Tax Assets</t>
        </is>
      </c>
      <c r="B12" s="4" t="n">
        <v>4204</v>
      </c>
      <c r="C12" s="4" t="n">
        <v>4474</v>
      </c>
      <c r="D12" s="4" t="n">
        <v>4362</v>
      </c>
      <c r="E12" s="4" t="n">
        <v>4541</v>
      </c>
      <c r="F12" s="5">
        <f>'QTR BS'!N12</f>
        <v/>
      </c>
      <c r="G12" s="5">
        <f>'QTR BS'!R12</f>
        <v/>
      </c>
      <c r="H12" s="5">
        <f>'QTR BS'!V12</f>
        <v/>
      </c>
      <c r="I12" s="5">
        <f>'QTR BS'!Z12</f>
        <v/>
      </c>
      <c r="J12" s="5">
        <f>'QTR BS'!AD12</f>
        <v/>
      </c>
      <c r="K12" s="5">
        <f>'QTR BS'!AH12</f>
        <v/>
      </c>
    </row>
    <row r="13">
      <c r="A13" s="3" t="inlineStr">
        <is>
          <t>Other Non-Current Assets</t>
        </is>
      </c>
      <c r="B13" s="4" t="n">
        <v>5292</v>
      </c>
      <c r="C13" s="4" t="n">
        <v>6661</v>
      </c>
      <c r="D13" s="4" t="n">
        <v>6951</v>
      </c>
      <c r="E13" s="4" t="n">
        <v>8984</v>
      </c>
      <c r="F13" s="5">
        <f>'QTR BS'!N13</f>
        <v/>
      </c>
      <c r="G13" s="5">
        <f>'QTR BS'!R13</f>
        <v/>
      </c>
      <c r="H13" s="5">
        <f>'QTR BS'!V13</f>
        <v/>
      </c>
      <c r="I13" s="5">
        <f>'QTR BS'!Z13</f>
        <v/>
      </c>
      <c r="J13" s="5">
        <f>'QTR BS'!AD13</f>
        <v/>
      </c>
      <c r="K13" s="5">
        <f>'QTR BS'!AH13</f>
        <v/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7">
        <f>F7+SUM(F8:F13)</f>
        <v/>
      </c>
      <c r="G14" s="7">
        <f>G7+SUM(G8:G13)</f>
        <v/>
      </c>
      <c r="H14" s="7">
        <f>H7+SUM(H8:H13)</f>
        <v/>
      </c>
      <c r="I14" s="7">
        <f>I7+SUM(I8:I13)</f>
        <v/>
      </c>
      <c r="J14" s="7">
        <f>J7+SUM(J8:J13)</f>
        <v/>
      </c>
      <c r="K14" s="7">
        <f>K7+SUM(K8:K13)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6510</v>
      </c>
      <c r="D15" s="4" t="n">
        <v>7082</v>
      </c>
      <c r="E15" s="4" t="n">
        <v>6861</v>
      </c>
      <c r="F15" s="5">
        <f>'QTR BS'!N15</f>
        <v/>
      </c>
      <c r="G15" s="5">
        <f>'QTR BS'!R15</f>
        <v/>
      </c>
      <c r="H15" s="5">
        <f>'QTR BS'!V15</f>
        <v/>
      </c>
      <c r="I15" s="5">
        <f>'QTR BS'!Z15</f>
        <v/>
      </c>
      <c r="J15" s="5">
        <f>'QTR BS'!AD15</f>
        <v/>
      </c>
      <c r="K15" s="5">
        <f>'QTR BS'!AH15</f>
        <v/>
      </c>
    </row>
    <row r="16">
      <c r="A16" s="3" t="inlineStr">
        <is>
          <t>Accrued Expenses</t>
        </is>
      </c>
      <c r="B16" s="4" t="n">
        <v>23371</v>
      </c>
      <c r="C16" s="4" t="n">
        <v>25137</v>
      </c>
      <c r="D16" s="4" t="n">
        <v>24454</v>
      </c>
      <c r="E16" s="4" t="n">
        <v>25903</v>
      </c>
      <c r="F16" s="5">
        <f>'QTR BS'!N16</f>
        <v/>
      </c>
      <c r="G16" s="5">
        <f>'QTR BS'!R16</f>
        <v/>
      </c>
      <c r="H16" s="5">
        <f>'QTR BS'!V16</f>
        <v/>
      </c>
      <c r="I16" s="5">
        <f>'QTR BS'!Z16</f>
        <v/>
      </c>
      <c r="J16" s="5">
        <f>'QTR BS'!AD16</f>
        <v/>
      </c>
      <c r="K16" s="5">
        <f>'QTR BS'!AH16</f>
        <v/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7">
        <f>SUM(F15:F16)</f>
        <v/>
      </c>
      <c r="G17" s="7">
        <f>SUM(G15:G16)</f>
        <v/>
      </c>
      <c r="H17" s="7">
        <f>SUM(H15:H16)</f>
        <v/>
      </c>
      <c r="I17" s="7">
        <f>SUM(I15:I16)</f>
        <v/>
      </c>
      <c r="J17" s="7">
        <f>SUM(J15:J16)</f>
        <v/>
      </c>
      <c r="K17" s="7">
        <f>SUM(K15:K16)</f>
        <v/>
      </c>
    </row>
    <row r="18">
      <c r="A18" s="3" t="inlineStr">
        <is>
          <t>Long-Term Debt</t>
        </is>
      </c>
      <c r="B18" s="4" t="n">
        <v>35657</v>
      </c>
      <c r="C18" s="4" t="n">
        <v>37595</v>
      </c>
      <c r="D18" s="4" t="n">
        <v>37224</v>
      </c>
      <c r="E18" s="4" t="n">
        <v>42321</v>
      </c>
      <c r="F18" s="5">
        <f>'QTR BS'!N18</f>
        <v/>
      </c>
      <c r="G18" s="5">
        <f>'QTR BS'!R18</f>
        <v/>
      </c>
      <c r="H18" s="5">
        <f>'QTR BS'!V18</f>
        <v/>
      </c>
      <c r="I18" s="5">
        <f>'QTR BS'!Z18</f>
        <v/>
      </c>
      <c r="J18" s="5">
        <f>'QTR BS'!AD18</f>
        <v/>
      </c>
      <c r="K18" s="5">
        <f>'QTR BS'!AH18</f>
        <v/>
      </c>
    </row>
    <row r="19">
      <c r="A19" s="3" t="inlineStr">
        <is>
          <t>Deferred Tax Liability</t>
        </is>
      </c>
      <c r="B19" s="4" t="n">
        <v>4133</v>
      </c>
      <c r="C19" s="4" t="n">
        <v>3895</v>
      </c>
      <c r="D19" s="4" t="n">
        <v>3484</v>
      </c>
      <c r="E19" s="4" t="n">
        <v>3802</v>
      </c>
      <c r="F19" s="5">
        <f>'QTR BS'!N19</f>
        <v/>
      </c>
      <c r="G19" s="5">
        <f>'QTR BS'!R19</f>
        <v/>
      </c>
      <c r="H19" s="5">
        <f>'QTR BS'!V19</f>
        <v/>
      </c>
      <c r="I19" s="5">
        <f>'QTR BS'!Z19</f>
        <v/>
      </c>
      <c r="J19" s="5">
        <f>'QTR BS'!AD19</f>
        <v/>
      </c>
      <c r="K19" s="5">
        <f>'QTR BS'!AH19</f>
        <v/>
      </c>
    </row>
    <row r="20">
      <c r="A20" s="3" t="inlineStr">
        <is>
          <t>Other Non-Current Liabilities</t>
        </is>
      </c>
      <c r="B20" s="4" t="n">
        <v>8339</v>
      </c>
      <c r="C20" s="4" t="n">
        <v>8721</v>
      </c>
      <c r="D20" s="4" t="n">
        <v>9052</v>
      </c>
      <c r="E20" s="4" t="n">
        <v>7965</v>
      </c>
      <c r="F20" s="5">
        <f>'QTR BS'!N20</f>
        <v/>
      </c>
      <c r="G20" s="5">
        <f>'QTR BS'!R20</f>
        <v/>
      </c>
      <c r="H20" s="5">
        <f>'QTR BS'!V20</f>
        <v/>
      </c>
      <c r="I20" s="5">
        <f>'QTR BS'!Z20</f>
        <v/>
      </c>
      <c r="J20" s="5">
        <f>'QTR BS'!AD20</f>
        <v/>
      </c>
      <c r="K20" s="5">
        <f>'QTR BS'!AH20</f>
        <v/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7">
        <f>F17+SUM(F18:F20)</f>
        <v/>
      </c>
      <c r="G21" s="7">
        <f>G17+SUM(G18:G20)</f>
        <v/>
      </c>
      <c r="H21" s="7">
        <f>H17+SUM(H18:H20)</f>
        <v/>
      </c>
      <c r="I21" s="7">
        <f>I17+SUM(I18:I20)</f>
        <v/>
      </c>
      <c r="J21" s="7">
        <f>J17+SUM(J18:J20)</f>
        <v/>
      </c>
      <c r="K21" s="7">
        <f>K17+SUM(K18:K20)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5">
        <f>'QTR BS'!N22</f>
        <v/>
      </c>
      <c r="G22" s="5">
        <f>'QTR BS'!R22</f>
        <v/>
      </c>
      <c r="H22" s="5">
        <f>'QTR BS'!V22</f>
        <v/>
      </c>
      <c r="I22" s="5">
        <f>'QTR BS'!Z22</f>
        <v/>
      </c>
      <c r="J22" s="5">
        <f>'QTR BS'!AD22</f>
        <v/>
      </c>
      <c r="K22" s="5">
        <f>'QTR BS'!AH22</f>
        <v/>
      </c>
    </row>
    <row r="23">
      <c r="A23" s="3" t="inlineStr">
        <is>
          <t>Additional Paid-in Capital</t>
        </is>
      </c>
      <c r="B23" s="4" t="n">
        <v>4134</v>
      </c>
      <c r="C23" s="4" t="n">
        <v>4261</v>
      </c>
      <c r="D23" s="4" t="n">
        <v>4385</v>
      </c>
      <c r="E23" s="4" t="n">
        <v>4451</v>
      </c>
      <c r="F23" s="5">
        <f>'QTR BS'!N23</f>
        <v/>
      </c>
      <c r="G23" s="5">
        <f>'QTR BS'!R23</f>
        <v/>
      </c>
      <c r="H23" s="5">
        <f>'QTR BS'!V23</f>
        <v/>
      </c>
      <c r="I23" s="5">
        <f>'QTR BS'!Z23</f>
        <v/>
      </c>
      <c r="J23" s="5">
        <f>'QTR BS'!AD23</f>
        <v/>
      </c>
      <c r="K23" s="5">
        <f>'QTR BS'!AH23</f>
        <v/>
      </c>
    </row>
    <row r="24">
      <c r="A24" s="3" t="inlineStr">
        <is>
          <t>Retained Earnings (Accumulated Deficit)</t>
        </is>
      </c>
      <c r="B24" s="4" t="n">
        <v>67800</v>
      </c>
      <c r="C24" s="4" t="n">
        <v>70035</v>
      </c>
      <c r="D24" s="4" t="n">
        <v>72266</v>
      </c>
      <c r="E24" s="4" t="n">
        <v>72788</v>
      </c>
      <c r="F24" s="5">
        <f>'QTR BS'!N24</f>
        <v/>
      </c>
      <c r="G24" s="5">
        <f>'QTR BS'!R24</f>
        <v/>
      </c>
      <c r="H24" s="5">
        <f>'QTR BS'!V24</f>
        <v/>
      </c>
      <c r="I24" s="5">
        <f>'QTR BS'!Z24</f>
        <v/>
      </c>
      <c r="J24" s="5">
        <f>'QTR BS'!AD24</f>
        <v/>
      </c>
      <c r="K24" s="5">
        <f>'QTR BS'!AH24</f>
        <v/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-15534</v>
      </c>
      <c r="D25" s="4" t="n">
        <v>-17612</v>
      </c>
      <c r="E25" s="4" t="n">
        <v>-15024</v>
      </c>
      <c r="F25" s="5">
        <f>'QTR BS'!N25</f>
        <v/>
      </c>
      <c r="G25" s="5">
        <f>'QTR BS'!R25</f>
        <v/>
      </c>
      <c r="H25" s="5">
        <f>'QTR BS'!V25</f>
        <v/>
      </c>
      <c r="I25" s="5">
        <f>'QTR BS'!Z25</f>
        <v/>
      </c>
      <c r="J25" s="5">
        <f>'QTR BS'!AD25</f>
        <v/>
      </c>
      <c r="K25" s="5">
        <f>'QTR BS'!AH25</f>
        <v/>
      </c>
    </row>
    <row r="26">
      <c r="A26" s="3" t="inlineStr">
        <is>
          <t>Treasury Stock</t>
        </is>
      </c>
      <c r="B26" s="4" t="n">
        <v>-39506</v>
      </c>
      <c r="C26" s="4" t="n">
        <v>-40282</v>
      </c>
      <c r="D26" s="4" t="n">
        <v>-41021</v>
      </c>
      <c r="E26" s="4" t="n">
        <v>-41832</v>
      </c>
      <c r="F26" s="5">
        <f>'QTR BS'!N26</f>
        <v/>
      </c>
      <c r="G26" s="5">
        <f>'QTR BS'!R26</f>
        <v/>
      </c>
      <c r="H26" s="5">
        <f>'QTR BS'!V26</f>
        <v/>
      </c>
      <c r="I26" s="5">
        <f>'QTR BS'!Z26</f>
        <v/>
      </c>
      <c r="J26" s="5">
        <f>'QTR BS'!AD26</f>
        <v/>
      </c>
      <c r="K26" s="5">
        <f>'QTR BS'!AH26</f>
        <v/>
      </c>
    </row>
    <row r="27">
      <c r="A27" s="3" t="inlineStr">
        <is>
          <t>Noncontrolling Interest</t>
        </is>
      </c>
      <c r="B27" s="4" t="n">
        <v>124</v>
      </c>
      <c r="C27" s="4" t="n">
        <v>134</v>
      </c>
      <c r="D27" s="4" t="n">
        <v>130</v>
      </c>
      <c r="E27" s="4" t="n">
        <v>141</v>
      </c>
      <c r="F27" s="5">
        <f>'QTR BS'!N27</f>
        <v/>
      </c>
      <c r="G27" s="5">
        <f>'QTR BS'!R27</f>
        <v/>
      </c>
      <c r="H27" s="5">
        <f>'QTR BS'!V27</f>
        <v/>
      </c>
      <c r="I27" s="5">
        <f>'QTR BS'!Z27</f>
        <v/>
      </c>
      <c r="J27" s="5">
        <f>'QTR BS'!AD27</f>
        <v/>
      </c>
      <c r="K27" s="5">
        <f>'QTR BS'!AH27</f>
        <v/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7">
        <f>SUM(F22:F27)</f>
        <v/>
      </c>
      <c r="G28" s="7">
        <f>SUM(G22:G27)</f>
        <v/>
      </c>
      <c r="H28" s="7">
        <f>SUM(H22:H27)</f>
        <v/>
      </c>
      <c r="I28" s="7">
        <f>SUM(I22:I27)</f>
        <v/>
      </c>
      <c r="J28" s="7">
        <f>SUM(J22:J27)</f>
        <v/>
      </c>
      <c r="K28" s="7">
        <f>SUM(K22:K27)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7">
        <f>F21+F28</f>
        <v/>
      </c>
      <c r="G29" s="7">
        <f>G21+G28</f>
        <v/>
      </c>
      <c r="H29" s="7">
        <f>H21+H28</f>
        <v/>
      </c>
      <c r="I29" s="7">
        <f>I21+I28</f>
        <v/>
      </c>
      <c r="J29" s="7">
        <f>J21+J28</f>
        <v/>
      </c>
      <c r="K29" s="7">
        <f>K21+K28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7679</v>
      </c>
      <c r="C2" s="4" t="n">
        <v>8978</v>
      </c>
      <c r="D2" s="4" t="n">
        <v>9155</v>
      </c>
      <c r="E2" s="4" t="n">
        <v>9626</v>
      </c>
      <c r="F2" s="4" t="n">
        <v>8295</v>
      </c>
      <c r="G2" s="5">
        <f>'QTR CF'!N2+'QTR CF'!O2+'QTR CF'!P2+'QTR CF'!Q2</f>
        <v/>
      </c>
      <c r="H2" s="5">
        <f>'QTR CF'!R2+'QTR CF'!S2+'QTR CF'!T2+'QTR CF'!U2</f>
        <v/>
      </c>
      <c r="I2" s="5">
        <f>'QTR CF'!V2+'QTR CF'!W2+'QTR CF'!X2+'QTR CF'!Y2</f>
        <v/>
      </c>
      <c r="J2" s="5">
        <f>'QTR CF'!Z2+'QTR CF'!AA2+'QTR CF'!AB2+'QTR CF'!AC2</f>
        <v/>
      </c>
      <c r="K2" s="5">
        <f>'QTR CF'!AD2+'QTR CF'!AE2+'QTR CF'!AF2+'QTR CF'!AG2</f>
        <v/>
      </c>
      <c r="L2" s="5">
        <f>'QTR CF'!AH2+'QTR CF'!AI2+'QTR CF'!AJ2+'QTR CF'!AK2</f>
        <v/>
      </c>
    </row>
    <row r="3">
      <c r="A3" s="3" t="inlineStr">
        <is>
          <t>Depreciation &amp; Amortization</t>
        </is>
      </c>
      <c r="B3" s="4" t="n">
        <v>2710</v>
      </c>
      <c r="C3" s="4" t="n">
        <v>2763</v>
      </c>
      <c r="D3" s="4" t="n">
        <v>2948</v>
      </c>
      <c r="E3" s="4" t="n">
        <v>3160</v>
      </c>
      <c r="F3" s="4" t="n">
        <v>3451</v>
      </c>
      <c r="G3" s="5">
        <f>'QTR CF'!N3+'QTR CF'!O3+'QTR CF'!P3+'QTR CF'!Q3</f>
        <v/>
      </c>
      <c r="H3" s="5">
        <f>'QTR CF'!R3+'QTR CF'!S3+'QTR CF'!T3+'QTR CF'!U3</f>
        <v/>
      </c>
      <c r="I3" s="5">
        <f>'QTR CF'!V3+'QTR CF'!W3+'QTR CF'!X3+'QTR CF'!Y3</f>
        <v/>
      </c>
      <c r="J3" s="5">
        <f>'QTR CF'!Z3+'QTR CF'!AA3+'QTR CF'!AB3+'QTR CF'!AC3</f>
        <v/>
      </c>
      <c r="K3" s="5">
        <f>'QTR CF'!AD3+'QTR CF'!AE3+'QTR CF'!AF3+'QTR CF'!AG3</f>
        <v/>
      </c>
      <c r="L3" s="5">
        <f>'QTR CF'!AH3+'QTR CF'!AI3+'QTR CF'!AJ3+'QTR CF'!AK3</f>
        <v/>
      </c>
    </row>
    <row r="4">
      <c r="A4" s="3" t="inlineStr">
        <is>
          <t>Gain on Juice Transaction</t>
        </is>
      </c>
      <c r="B4" s="4" t="n">
        <v>0</v>
      </c>
      <c r="C4" s="4" t="n">
        <v>-3321</v>
      </c>
      <c r="D4" s="4" t="n">
        <v>0</v>
      </c>
      <c r="E4" s="4" t="n">
        <v>0</v>
      </c>
      <c r="F4" s="4" t="n">
        <v>0</v>
      </c>
      <c r="G4" s="5">
        <f>'QTR CF'!N4+'QTR CF'!O4+'QTR CF'!P4+'QTR CF'!Q4</f>
        <v/>
      </c>
      <c r="H4" s="5">
        <f>'QTR CF'!R4+'QTR CF'!S4+'QTR CF'!T4+'QTR CF'!U4</f>
        <v/>
      </c>
      <c r="I4" s="5">
        <f>'QTR CF'!V4+'QTR CF'!W4+'QTR CF'!X4+'QTR CF'!Y4</f>
        <v/>
      </c>
      <c r="J4" s="5">
        <f>'QTR CF'!Z4+'QTR CF'!AA4+'QTR CF'!AB4+'QTR CF'!AC4</f>
        <v/>
      </c>
      <c r="K4" s="5">
        <f>'QTR CF'!AD4+'QTR CF'!AE4+'QTR CF'!AF4+'QTR CF'!AG4</f>
        <v/>
      </c>
      <c r="L4" s="5">
        <f>'QTR CF'!AH4+'QTR CF'!AI4+'QTR CF'!AJ4+'QTR CF'!AK4</f>
        <v/>
      </c>
    </row>
    <row r="5">
      <c r="A5" s="3" t="inlineStr">
        <is>
          <t>Impairment and Other Charges</t>
        </is>
      </c>
      <c r="B5" s="4" t="n">
        <v>0</v>
      </c>
      <c r="C5" s="4" t="n">
        <v>3618</v>
      </c>
      <c r="D5" s="4" t="n">
        <v>1230</v>
      </c>
      <c r="E5" s="4" t="n">
        <v>714</v>
      </c>
      <c r="F5" s="4" t="n">
        <v>1946</v>
      </c>
      <c r="G5" s="5">
        <f>'QTR CF'!N5+'QTR CF'!O5+'QTR CF'!P5+'QTR CF'!Q5</f>
        <v/>
      </c>
      <c r="H5" s="5">
        <f>'QTR CF'!R5+'QTR CF'!S5+'QTR CF'!T5+'QTR CF'!U5</f>
        <v/>
      </c>
      <c r="I5" s="5">
        <f>'QTR CF'!V5+'QTR CF'!W5+'QTR CF'!X5+'QTR CF'!Y5</f>
        <v/>
      </c>
      <c r="J5" s="5">
        <f>'QTR CF'!Z5+'QTR CF'!AA5+'QTR CF'!AB5+'QTR CF'!AC5</f>
        <v/>
      </c>
      <c r="K5" s="5">
        <f>'QTR CF'!AD5+'QTR CF'!AE5+'QTR CF'!AF5+'QTR CF'!AG5</f>
        <v/>
      </c>
      <c r="L5" s="5">
        <f>'QTR CF'!AH5+'QTR CF'!AI5+'QTR CF'!AJ5+'QTR CF'!AK5</f>
        <v/>
      </c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218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136</v>
      </c>
      <c r="E7" s="4" t="n">
        <v>187</v>
      </c>
      <c r="F7" s="4" t="n">
        <v>0</v>
      </c>
      <c r="G7" s="5">
        <f>'QTR CF'!N6+'QTR CF'!O6+'QTR CF'!P6+'QTR CF'!Q6</f>
        <v/>
      </c>
      <c r="H7" s="5">
        <f>'QTR CF'!R6+'QTR CF'!S6+'QTR CF'!T6+'QTR CF'!U6</f>
        <v/>
      </c>
      <c r="I7" s="5">
        <f>'QTR CF'!V6+'QTR CF'!W6+'QTR CF'!X6+'QTR CF'!Y6</f>
        <v/>
      </c>
      <c r="J7" s="5">
        <f>'QTR CF'!Z6+'QTR CF'!AA6+'QTR CF'!AB6+'QTR CF'!AC6</f>
        <v/>
      </c>
      <c r="K7" s="5">
        <f>'QTR CF'!AD6+'QTR CF'!AE6+'QTR CF'!AF6+'QTR CF'!AG6</f>
        <v/>
      </c>
      <c r="L7" s="5">
        <f>'QTR CF'!AH6+'QTR CF'!AI6+'QTR CF'!AJ6+'QTR CF'!AK6</f>
        <v/>
      </c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-148</v>
      </c>
      <c r="F8" s="4" t="n">
        <v>-6</v>
      </c>
      <c r="G8" s="5">
        <f>'QTR CF'!N7+'QTR CF'!O7+'QTR CF'!P7+'QTR CF'!Q7</f>
        <v/>
      </c>
      <c r="H8" s="5">
        <f>'QTR CF'!R7+'QTR CF'!S7+'QTR CF'!T7+'QTR CF'!U7</f>
        <v/>
      </c>
      <c r="I8" s="5">
        <f>'QTR CF'!V7+'QTR CF'!W7+'QTR CF'!X7+'QTR CF'!Y7</f>
        <v/>
      </c>
      <c r="J8" s="5">
        <f>'QTR CF'!Z7+'QTR CF'!AA7+'QTR CF'!AB7+'QTR CF'!AC7</f>
        <v/>
      </c>
      <c r="K8" s="5">
        <f>'QTR CF'!AD7+'QTR CF'!AE7+'QTR CF'!AF7+'QTR CF'!AG7</f>
        <v/>
      </c>
      <c r="L8" s="5">
        <f>'QTR CF'!AH7+'QTR CF'!AI7+'QTR CF'!AJ7+'QTR CF'!AK7</f>
        <v/>
      </c>
    </row>
    <row r="9">
      <c r="A9" s="3" t="inlineStr">
        <is>
          <t>Operating Lease ROU Asset Amortization</t>
        </is>
      </c>
      <c r="B9" s="4" t="n">
        <v>505</v>
      </c>
      <c r="C9" s="4" t="n">
        <v>517</v>
      </c>
      <c r="D9" s="4" t="n">
        <v>570</v>
      </c>
      <c r="E9" s="4" t="n">
        <v>655</v>
      </c>
      <c r="F9" s="4" t="n">
        <v>727</v>
      </c>
      <c r="G9" s="5">
        <f>'QTR CF'!N8+'QTR CF'!O8+'QTR CF'!P8+'QTR CF'!Q8</f>
        <v/>
      </c>
      <c r="H9" s="5">
        <f>'QTR CF'!R8+'QTR CF'!S8+'QTR CF'!T8+'QTR CF'!U8</f>
        <v/>
      </c>
      <c r="I9" s="5">
        <f>'QTR CF'!V8+'QTR CF'!W8+'QTR CF'!X8+'QTR CF'!Y8</f>
        <v/>
      </c>
      <c r="J9" s="5">
        <f>'QTR CF'!Z8+'QTR CF'!AA8+'QTR CF'!AB8+'QTR CF'!AC8</f>
        <v/>
      </c>
      <c r="K9" s="5">
        <f>'QTR CF'!AD8+'QTR CF'!AE8+'QTR CF'!AF8+'QTR CF'!AG8</f>
        <v/>
      </c>
      <c r="L9" s="5">
        <f>'QTR CF'!AH8+'QTR CF'!AI8+'QTR CF'!AJ8+'QTR CF'!AK8</f>
        <v/>
      </c>
    </row>
    <row r="10">
      <c r="A10" s="3" t="inlineStr">
        <is>
          <t>Stock-Based Compensation</t>
        </is>
      </c>
      <c r="B10" s="4" t="n">
        <v>301</v>
      </c>
      <c r="C10" s="4" t="n">
        <v>343</v>
      </c>
      <c r="D10" s="4" t="n">
        <v>380</v>
      </c>
      <c r="E10" s="4" t="n">
        <v>362</v>
      </c>
      <c r="F10" s="4" t="n">
        <v>288</v>
      </c>
      <c r="G10" s="5">
        <f>'QTR CF'!N9+'QTR CF'!O9+'QTR CF'!P9+'QTR CF'!Q9</f>
        <v/>
      </c>
      <c r="H10" s="5">
        <f>'QTR CF'!R9+'QTR CF'!S9+'QTR CF'!T9+'QTR CF'!U9</f>
        <v/>
      </c>
      <c r="I10" s="5">
        <f>'QTR CF'!V9+'QTR CF'!W9+'QTR CF'!X9+'QTR CF'!Y9</f>
        <v/>
      </c>
      <c r="J10" s="5">
        <f>'QTR CF'!Z9+'QTR CF'!AA9+'QTR CF'!AB9+'QTR CF'!AC9</f>
        <v/>
      </c>
      <c r="K10" s="5">
        <f>'QTR CF'!AD9+'QTR CF'!AE9+'QTR CF'!AF9+'QTR CF'!AG9</f>
        <v/>
      </c>
      <c r="L10" s="5">
        <f>'QTR CF'!AH9+'QTR CF'!AI9+'QTR CF'!AJ9+'QTR CF'!AK9</f>
        <v/>
      </c>
    </row>
    <row r="11">
      <c r="A11" s="3" t="inlineStr">
        <is>
          <t>Restructuring and Asset Impairment Charges</t>
        </is>
      </c>
      <c r="B11" s="4" t="n">
        <v>247</v>
      </c>
      <c r="C11" s="4" t="n">
        <v>411</v>
      </c>
      <c r="D11" s="4" t="n">
        <v>445</v>
      </c>
      <c r="E11" s="4" t="n">
        <v>727</v>
      </c>
      <c r="F11" s="4" t="n">
        <v>983</v>
      </c>
      <c r="G11" s="5">
        <f>'QTR CF'!N10+'QTR CF'!O10+'QTR CF'!P10+'QTR CF'!Q10</f>
        <v/>
      </c>
      <c r="H11" s="5">
        <f>'QTR CF'!R10+'QTR CF'!S10+'QTR CF'!T10+'QTR CF'!U10</f>
        <v/>
      </c>
      <c r="I11" s="5">
        <f>'QTR CF'!V10+'QTR CF'!W10+'QTR CF'!X10+'QTR CF'!Y10</f>
        <v/>
      </c>
      <c r="J11" s="5">
        <f>'QTR CF'!Z10+'QTR CF'!AA10+'QTR CF'!AB10+'QTR CF'!AC10</f>
        <v/>
      </c>
      <c r="K11" s="5">
        <f>'QTR CF'!AD10+'QTR CF'!AE10+'QTR CF'!AF10+'QTR CF'!AG10</f>
        <v/>
      </c>
      <c r="L11" s="5">
        <f>'QTR CF'!AH10+'QTR CF'!AI10+'QTR CF'!AJ10+'QTR CF'!AK10</f>
        <v/>
      </c>
    </row>
    <row r="12">
      <c r="A12" s="3" t="inlineStr">
        <is>
          <t>Cash Payments for Restructuring</t>
        </is>
      </c>
      <c r="B12" s="4" t="n">
        <v>-256</v>
      </c>
      <c r="C12" s="4" t="n">
        <v>-224</v>
      </c>
      <c r="D12" s="4" t="n">
        <v>-434</v>
      </c>
      <c r="E12" s="4" t="n">
        <v>-436</v>
      </c>
      <c r="F12" s="4" t="n">
        <v>-796</v>
      </c>
      <c r="G12" s="5">
        <f>'QTR CF'!N11+'QTR CF'!O11+'QTR CF'!P11+'QTR CF'!Q11</f>
        <v/>
      </c>
      <c r="H12" s="5">
        <f>'QTR CF'!R11+'QTR CF'!S11+'QTR CF'!T11+'QTR CF'!U11</f>
        <v/>
      </c>
      <c r="I12" s="5">
        <f>'QTR CF'!V11+'QTR CF'!W11+'QTR CF'!X11+'QTR CF'!Y11</f>
        <v/>
      </c>
      <c r="J12" s="5">
        <f>'QTR CF'!Z11+'QTR CF'!AA11+'QTR CF'!AB11+'QTR CF'!AC11</f>
        <v/>
      </c>
      <c r="K12" s="5">
        <f>'QTR CF'!AD11+'QTR CF'!AE11+'QTR CF'!AF11+'QTR CF'!AG11</f>
        <v/>
      </c>
      <c r="L12" s="5">
        <f>'QTR CF'!AH11+'QTR CF'!AI11+'QTR CF'!AJ11+'QTR CF'!AK11</f>
        <v/>
      </c>
    </row>
    <row r="13">
      <c r="A13" s="3" t="inlineStr">
        <is>
          <t>Acquisition and Divestiture-Related Charges</t>
        </is>
      </c>
      <c r="B13" s="4" t="n">
        <v>-4</v>
      </c>
      <c r="C13" s="4" t="n">
        <v>80</v>
      </c>
      <c r="D13" s="4" t="n">
        <v>41</v>
      </c>
      <c r="E13" s="4" t="n">
        <v>0</v>
      </c>
      <c r="F13" s="4" t="n">
        <v>453</v>
      </c>
      <c r="G13" s="5">
        <f>'QTR CF'!N12+'QTR CF'!O12+'QTR CF'!P12+'QTR CF'!Q12</f>
        <v/>
      </c>
      <c r="H13" s="5">
        <f>'QTR CF'!R12+'QTR CF'!S12+'QTR CF'!T12+'QTR CF'!U12</f>
        <v/>
      </c>
      <c r="I13" s="5">
        <f>'QTR CF'!V12+'QTR CF'!W12+'QTR CF'!X12+'QTR CF'!Y12</f>
        <v/>
      </c>
      <c r="J13" s="5">
        <f>'QTR CF'!Z12+'QTR CF'!AA12+'QTR CF'!AB12+'QTR CF'!AC12</f>
        <v/>
      </c>
      <c r="K13" s="5">
        <f>'QTR CF'!AD12+'QTR CF'!AE12+'QTR CF'!AF12+'QTR CF'!AG12</f>
        <v/>
      </c>
      <c r="L13" s="5">
        <f>'QTR CF'!AH12+'QTR CF'!AI12+'QTR CF'!AJ12+'QTR CF'!AK12</f>
        <v/>
      </c>
    </row>
    <row r="14">
      <c r="A14" s="3" t="inlineStr">
        <is>
          <t>Cash Payments for Acquisition and Divestiture Costs</t>
        </is>
      </c>
      <c r="B14" s="4" t="n">
        <v>-176</v>
      </c>
      <c r="C14" s="4" t="n">
        <v>-46</v>
      </c>
      <c r="D14" s="4" t="n">
        <v>-41</v>
      </c>
      <c r="E14" s="4" t="n">
        <v>0</v>
      </c>
      <c r="F14" s="4" t="n">
        <v>-228</v>
      </c>
      <c r="G14" s="5">
        <f>'QTR CF'!N13+'QTR CF'!O13+'QTR CF'!P13+'QTR CF'!Q13</f>
        <v/>
      </c>
      <c r="H14" s="5">
        <f>'QTR CF'!R13+'QTR CF'!S13+'QTR CF'!T13+'QTR CF'!U13</f>
        <v/>
      </c>
      <c r="I14" s="5">
        <f>'QTR CF'!V13+'QTR CF'!W13+'QTR CF'!X13+'QTR CF'!Y13</f>
        <v/>
      </c>
      <c r="J14" s="5">
        <f>'QTR CF'!Z13+'QTR CF'!AA13+'QTR CF'!AB13+'QTR CF'!AC13</f>
        <v/>
      </c>
      <c r="K14" s="5">
        <f>'QTR CF'!AD13+'QTR CF'!AE13+'QTR CF'!AF13+'QTR CF'!AG13</f>
        <v/>
      </c>
      <c r="L14" s="5">
        <f>'QTR CF'!AH13+'QTR CF'!AI13+'QTR CF'!AJ13+'QTR CF'!AK13</f>
        <v/>
      </c>
    </row>
    <row r="15">
      <c r="A15" s="3" t="inlineStr">
        <is>
          <t>Pension and Postretirement Benefits Expense</t>
        </is>
      </c>
      <c r="B15" s="4" t="n">
        <v>123</v>
      </c>
      <c r="C15" s="4" t="n">
        <v>419</v>
      </c>
      <c r="D15" s="4" t="n">
        <v>150</v>
      </c>
      <c r="E15" s="4" t="n">
        <v>414</v>
      </c>
      <c r="F15" s="4" t="n">
        <v>504</v>
      </c>
      <c r="G15" s="5">
        <f>'QTR CF'!N14+'QTR CF'!O14+'QTR CF'!P14+'QTR CF'!Q14</f>
        <v/>
      </c>
      <c r="H15" s="5">
        <f>'QTR CF'!R14+'QTR CF'!S14+'QTR CF'!T14+'QTR CF'!U14</f>
        <v/>
      </c>
      <c r="I15" s="5">
        <f>'QTR CF'!V14+'QTR CF'!W14+'QTR CF'!X14+'QTR CF'!Y14</f>
        <v/>
      </c>
      <c r="J15" s="5">
        <f>'QTR CF'!Z14+'QTR CF'!AA14+'QTR CF'!AB14+'QTR CF'!AC14</f>
        <v/>
      </c>
      <c r="K15" s="5">
        <f>'QTR CF'!AD14+'QTR CF'!AE14+'QTR CF'!AF14+'QTR CF'!AG14</f>
        <v/>
      </c>
      <c r="L15" s="5">
        <f>'QTR CF'!AH14+'QTR CF'!AI14+'QTR CF'!AJ14+'QTR CF'!AK14</f>
        <v/>
      </c>
    </row>
    <row r="16">
      <c r="A16" s="3" t="inlineStr">
        <is>
          <t>Pension and Postretirement Benefits Contributions</t>
        </is>
      </c>
      <c r="B16" s="4" t="n">
        <v>-785</v>
      </c>
      <c r="C16" s="4" t="n">
        <v>-384</v>
      </c>
      <c r="D16" s="4" t="n">
        <v>-410</v>
      </c>
      <c r="E16" s="4" t="n">
        <v>-348</v>
      </c>
      <c r="F16" s="4" t="n">
        <v>-472</v>
      </c>
      <c r="G16" s="5">
        <f>'QTR CF'!N15+'QTR CF'!O15+'QTR CF'!P15+'QTR CF'!Q15</f>
        <v/>
      </c>
      <c r="H16" s="5">
        <f>'QTR CF'!R15+'QTR CF'!S15+'QTR CF'!T15+'QTR CF'!U15</f>
        <v/>
      </c>
      <c r="I16" s="5">
        <f>'QTR CF'!V15+'QTR CF'!W15+'QTR CF'!X15+'QTR CF'!Y15</f>
        <v/>
      </c>
      <c r="J16" s="5">
        <f>'QTR CF'!Z15+'QTR CF'!AA15+'QTR CF'!AB15+'QTR CF'!AC15</f>
        <v/>
      </c>
      <c r="K16" s="5">
        <f>'QTR CF'!AD15+'QTR CF'!AE15+'QTR CF'!AF15+'QTR CF'!AG15</f>
        <v/>
      </c>
      <c r="L16" s="5">
        <f>'QTR CF'!AH15+'QTR CF'!AI15+'QTR CF'!AJ15+'QTR CF'!AK15</f>
        <v/>
      </c>
    </row>
    <row r="17">
      <c r="A17" s="3" t="inlineStr">
        <is>
          <t>(Benefit) Provision for Deferred Income Taxes</t>
        </is>
      </c>
      <c r="B17" s="4" t="n">
        <v>298</v>
      </c>
      <c r="C17" s="4" t="n">
        <v>-873</v>
      </c>
      <c r="D17" s="4" t="n">
        <v>-271</v>
      </c>
      <c r="E17" s="4" t="n">
        <v>-42</v>
      </c>
      <c r="F17" s="4" t="n">
        <v>71</v>
      </c>
      <c r="G17" s="5">
        <f>'QTR CF'!N16+'QTR CF'!O16+'QTR CF'!P16+'QTR CF'!Q16</f>
        <v/>
      </c>
      <c r="H17" s="5">
        <f>'QTR CF'!R16+'QTR CF'!S16+'QTR CF'!T16+'QTR CF'!U16</f>
        <v/>
      </c>
      <c r="I17" s="5">
        <f>'QTR CF'!V16+'QTR CF'!W16+'QTR CF'!X16+'QTR CF'!Y16</f>
        <v/>
      </c>
      <c r="J17" s="5">
        <f>'QTR CF'!Z16+'QTR CF'!AA16+'QTR CF'!AB16+'QTR CF'!AC16</f>
        <v/>
      </c>
      <c r="K17" s="5">
        <f>'QTR CF'!AD16+'QTR CF'!AE16+'QTR CF'!AF16+'QTR CF'!AG16</f>
        <v/>
      </c>
      <c r="L17" s="5">
        <f>'QTR CF'!AH16+'QTR CF'!AI16+'QTR CF'!AJ16+'QTR CF'!AK16</f>
        <v/>
      </c>
    </row>
    <row r="18">
      <c r="A18" s="3" t="inlineStr">
        <is>
          <t>Tax Expense Related to TCJ Act</t>
        </is>
      </c>
      <c r="B18" s="4" t="n">
        <v>190</v>
      </c>
      <c r="C18" s="4" t="n">
        <v>86</v>
      </c>
      <c r="D18" s="4" t="n">
        <v>0</v>
      </c>
      <c r="E18" s="4" t="n">
        <v>0</v>
      </c>
      <c r="F18" s="4" t="n">
        <v>0</v>
      </c>
      <c r="G18" s="5">
        <f>'QTR CF'!N17+'QTR CF'!O17+'QTR CF'!P17+'QTR CF'!Q17</f>
        <v/>
      </c>
      <c r="H18" s="5">
        <f>'QTR CF'!R17+'QTR CF'!S17+'QTR CF'!T17+'QTR CF'!U17</f>
        <v/>
      </c>
      <c r="I18" s="5">
        <f>'QTR CF'!V17+'QTR CF'!W17+'QTR CF'!X17+'QTR CF'!Y17</f>
        <v/>
      </c>
      <c r="J18" s="5">
        <f>'QTR CF'!Z17+'QTR CF'!AA17+'QTR CF'!AB17+'QTR CF'!AC17</f>
        <v/>
      </c>
      <c r="K18" s="5">
        <f>'QTR CF'!AD17+'QTR CF'!AE17+'QTR CF'!AF17+'QTR CF'!AG17</f>
        <v/>
      </c>
      <c r="L18" s="5">
        <f>'QTR CF'!AH17+'QTR CF'!AI17+'QTR CF'!AJ17+'QTR CF'!AK17</f>
        <v/>
      </c>
    </row>
    <row r="19">
      <c r="A19" s="3" t="inlineStr">
        <is>
          <t>Tax Payments Related to TCJ Act</t>
        </is>
      </c>
      <c r="B19" s="4" t="n">
        <v>-309</v>
      </c>
      <c r="C19" s="4" t="n">
        <v>-309</v>
      </c>
      <c r="D19" s="4" t="n">
        <v>-309</v>
      </c>
      <c r="E19" s="4" t="n">
        <v>-579</v>
      </c>
      <c r="F19" s="4" t="n">
        <v>-772</v>
      </c>
      <c r="G19" s="5">
        <f>'QTR CF'!N18+'QTR CF'!O18+'QTR CF'!P18+'QTR CF'!Q18</f>
        <v/>
      </c>
      <c r="H19" s="5">
        <f>'QTR CF'!R18+'QTR CF'!S18+'QTR CF'!T18+'QTR CF'!U18</f>
        <v/>
      </c>
      <c r="I19" s="5">
        <f>'QTR CF'!V18+'QTR CF'!W18+'QTR CF'!X18+'QTR CF'!Y18</f>
        <v/>
      </c>
      <c r="J19" s="5">
        <f>'QTR CF'!Z18+'QTR CF'!AA18+'QTR CF'!AB18+'QTR CF'!AC18</f>
        <v/>
      </c>
      <c r="K19" s="5">
        <f>'QTR CF'!AD18+'QTR CF'!AE18+'QTR CF'!AF18+'QTR CF'!AG18</f>
        <v/>
      </c>
      <c r="L19" s="5">
        <f>'QTR CF'!AH18+'QTR CF'!AI18+'QTR CF'!AJ18+'QTR CF'!AK18</f>
        <v/>
      </c>
    </row>
    <row r="20">
      <c r="A20" s="3" t="inlineStr">
        <is>
          <t>Accounts Receivable</t>
        </is>
      </c>
      <c r="B20" s="4" t="n">
        <v>-651</v>
      </c>
      <c r="C20" s="4" t="n">
        <v>-1763</v>
      </c>
      <c r="D20" s="4" t="n">
        <v>-793</v>
      </c>
      <c r="E20" s="4" t="n">
        <v>-138</v>
      </c>
      <c r="F20" s="4" t="n">
        <v>-580</v>
      </c>
      <c r="G20" s="5">
        <f>'QTR CF'!N19+'QTR CF'!O19+'QTR CF'!P19+'QTR CF'!Q19</f>
        <v/>
      </c>
      <c r="H20" s="5">
        <f>'QTR CF'!R19+'QTR CF'!S19+'QTR CF'!T19+'QTR CF'!U19</f>
        <v/>
      </c>
      <c r="I20" s="5">
        <f>'QTR CF'!V19+'QTR CF'!W19+'QTR CF'!X19+'QTR CF'!Y19</f>
        <v/>
      </c>
      <c r="J20" s="5">
        <f>'QTR CF'!Z19+'QTR CF'!AA19+'QTR CF'!AB19+'QTR CF'!AC19</f>
        <v/>
      </c>
      <c r="K20" s="5">
        <f>'QTR CF'!AD19+'QTR CF'!AE19+'QTR CF'!AF19+'QTR CF'!AG19</f>
        <v/>
      </c>
      <c r="L20" s="5">
        <f>'QTR CF'!AH19+'QTR CF'!AI19+'QTR CF'!AJ19+'QTR CF'!AK19</f>
        <v/>
      </c>
    </row>
    <row r="21">
      <c r="A21" s="3" t="inlineStr">
        <is>
          <t>Inventories</t>
        </is>
      </c>
      <c r="B21" s="4" t="n">
        <v>-582</v>
      </c>
      <c r="C21" s="4" t="n">
        <v>-1142</v>
      </c>
      <c r="D21" s="4" t="n">
        <v>-261</v>
      </c>
      <c r="E21" s="4" t="n">
        <v>-314</v>
      </c>
      <c r="F21" s="4" t="n">
        <v>-150</v>
      </c>
      <c r="G21" s="5">
        <f>'QTR CF'!N20+'QTR CF'!O20+'QTR CF'!P20+'QTR CF'!Q20</f>
        <v/>
      </c>
      <c r="H21" s="5">
        <f>'QTR CF'!R20+'QTR CF'!S20+'QTR CF'!T20+'QTR CF'!U20</f>
        <v/>
      </c>
      <c r="I21" s="5">
        <f>'QTR CF'!V20+'QTR CF'!W20+'QTR CF'!X20+'QTR CF'!Y20</f>
        <v/>
      </c>
      <c r="J21" s="5">
        <f>'QTR CF'!Z20+'QTR CF'!AA20+'QTR CF'!AB20+'QTR CF'!AC20</f>
        <v/>
      </c>
      <c r="K21" s="5">
        <f>'QTR CF'!AD20+'QTR CF'!AE20+'QTR CF'!AF20+'QTR CF'!AG20</f>
        <v/>
      </c>
      <c r="L21" s="5">
        <f>'QTR CF'!AH20+'QTR CF'!AI20+'QTR CF'!AJ20+'QTR CF'!AK20</f>
        <v/>
      </c>
    </row>
    <row r="22">
      <c r="A22" s="3" t="inlineStr">
        <is>
          <t>Prepaid Expenses</t>
        </is>
      </c>
      <c r="B22" s="4" t="n">
        <v>159</v>
      </c>
      <c r="C22" s="4" t="n">
        <v>118</v>
      </c>
      <c r="D22" s="4" t="n">
        <v>-13</v>
      </c>
      <c r="E22" s="4" t="n">
        <v>40</v>
      </c>
      <c r="F22" s="4" t="n">
        <v>195</v>
      </c>
      <c r="G22" s="5">
        <f>'QTR CF'!N21+'QTR CF'!O21+'QTR CF'!P21+'QTR CF'!Q21</f>
        <v/>
      </c>
      <c r="H22" s="5">
        <f>'QTR CF'!R21+'QTR CF'!S21+'QTR CF'!T21+'QTR CF'!U21</f>
        <v/>
      </c>
      <c r="I22" s="5">
        <f>'QTR CF'!V21+'QTR CF'!W21+'QTR CF'!X21+'QTR CF'!Y21</f>
        <v/>
      </c>
      <c r="J22" s="5">
        <f>'QTR CF'!Z21+'QTR CF'!AA21+'QTR CF'!AB21+'QTR CF'!AC21</f>
        <v/>
      </c>
      <c r="K22" s="5">
        <f>'QTR CF'!AD21+'QTR CF'!AE21+'QTR CF'!AF21+'QTR CF'!AG21</f>
        <v/>
      </c>
      <c r="L22" s="5">
        <f>'QTR CF'!AH21+'QTR CF'!AI21+'QTR CF'!AJ21+'QTR CF'!AK21</f>
        <v/>
      </c>
    </row>
    <row r="23">
      <c r="A23" s="3" t="inlineStr">
        <is>
          <t>Accounts Payable</t>
        </is>
      </c>
      <c r="B23" s="4" t="n">
        <v>1762</v>
      </c>
      <c r="C23" s="4" t="n">
        <v>1842</v>
      </c>
      <c r="D23" s="4" t="n">
        <v>420</v>
      </c>
      <c r="E23" s="4" t="n">
        <v>-1161</v>
      </c>
      <c r="F23" s="4" t="n">
        <v>-677</v>
      </c>
      <c r="G23" s="5">
        <f>'QTR CF'!N22+'QTR CF'!O22+'QTR CF'!P22+'QTR CF'!Q22</f>
        <v/>
      </c>
      <c r="H23" s="5">
        <f>'QTR CF'!R22+'QTR CF'!S22+'QTR CF'!T22+'QTR CF'!U22</f>
        <v/>
      </c>
      <c r="I23" s="5">
        <f>'QTR CF'!V22+'QTR CF'!W22+'QTR CF'!X22+'QTR CF'!Y22</f>
        <v/>
      </c>
      <c r="J23" s="5">
        <f>'QTR CF'!Z22+'QTR CF'!AA22+'QTR CF'!AB22+'QTR CF'!AC22</f>
        <v/>
      </c>
      <c r="K23" s="5">
        <f>'QTR CF'!AD22+'QTR CF'!AE22+'QTR CF'!AF22+'QTR CF'!AG22</f>
        <v/>
      </c>
      <c r="L23" s="5">
        <f>'QTR CF'!AH22+'QTR CF'!AI22+'QTR CF'!AJ22+'QTR CF'!AK22</f>
        <v/>
      </c>
    </row>
    <row r="24">
      <c r="A24" s="3" t="inlineStr">
        <is>
          <t>Other Current Liabilities</t>
        </is>
      </c>
      <c r="B24" s="4" t="n">
        <v>30</v>
      </c>
      <c r="C24" s="4" t="n">
        <v>57</v>
      </c>
      <c r="D24" s="4" t="n">
        <v>310</v>
      </c>
      <c r="E24" s="4" t="n">
        <v>-123</v>
      </c>
      <c r="F24" s="4" t="n">
        <v>-433</v>
      </c>
      <c r="G24" s="5">
        <f>'QTR CF'!N23+'QTR CF'!O23+'QTR CF'!P23+'QTR CF'!Q23</f>
        <v/>
      </c>
      <c r="H24" s="5">
        <f>'QTR CF'!R23+'QTR CF'!S23+'QTR CF'!T23+'QTR CF'!U23</f>
        <v/>
      </c>
      <c r="I24" s="5">
        <f>'QTR CF'!V23+'QTR CF'!W23+'QTR CF'!X23+'QTR CF'!Y23</f>
        <v/>
      </c>
      <c r="J24" s="5">
        <f>'QTR CF'!Z23+'QTR CF'!AA23+'QTR CF'!AB23+'QTR CF'!AC23</f>
        <v/>
      </c>
      <c r="K24" s="5">
        <f>'QTR CF'!AD23+'QTR CF'!AE23+'QTR CF'!AF23+'QTR CF'!AG23</f>
        <v/>
      </c>
      <c r="L24" s="5">
        <f>'QTR CF'!AH23+'QTR CF'!AI23+'QTR CF'!AJ23+'QTR CF'!AK23</f>
        <v/>
      </c>
    </row>
    <row r="25">
      <c r="A25" s="3" t="inlineStr">
        <is>
          <t>Other Operating Items</t>
        </is>
      </c>
      <c r="B25" s="4" t="n">
        <v>375</v>
      </c>
      <c r="C25" s="4" t="n">
        <v>-359</v>
      </c>
      <c r="D25" s="4" t="n">
        <v>189</v>
      </c>
      <c r="E25" s="4" t="n">
        <v>-307</v>
      </c>
      <c r="F25" s="4" t="n">
        <v>-712</v>
      </c>
      <c r="G25" s="5">
        <f>'QTR CF'!N24+'QTR CF'!O24+'QTR CF'!P24+'QTR CF'!Q24</f>
        <v/>
      </c>
      <c r="H25" s="5">
        <f>'QTR CF'!R24+'QTR CF'!S24+'QTR CF'!T24+'QTR CF'!U24</f>
        <v/>
      </c>
      <c r="I25" s="5">
        <f>'QTR CF'!V24+'QTR CF'!W24+'QTR CF'!X24+'QTR CF'!Y24</f>
        <v/>
      </c>
      <c r="J25" s="5">
        <f>'QTR CF'!Z24+'QTR CF'!AA24+'QTR CF'!AB24+'QTR CF'!AC24</f>
        <v/>
      </c>
      <c r="K25" s="5">
        <f>'QTR CF'!AD24+'QTR CF'!AE24+'QTR CF'!AF24+'QTR CF'!AG24</f>
        <v/>
      </c>
      <c r="L25" s="5">
        <f>'QTR CF'!AH24+'QTR CF'!AI24+'QTR CF'!AJ24+'QTR CF'!AK24</f>
        <v/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7">
        <f>SUM(G2:G25)</f>
        <v/>
      </c>
      <c r="H26" s="7">
        <f>SUM(H2:H25)</f>
        <v/>
      </c>
      <c r="I26" s="7">
        <f>SUM(I2:I25)</f>
        <v/>
      </c>
      <c r="J26" s="7">
        <f>SUM(J2:J25)</f>
        <v/>
      </c>
      <c r="K26" s="7">
        <f>SUM(K2:K25)</f>
        <v/>
      </c>
      <c r="L26" s="7">
        <f>SUM(L2:L25)</f>
        <v/>
      </c>
    </row>
    <row r="27">
      <c r="A27" s="3" t="inlineStr">
        <is>
          <t>Purchase of PP&amp;E</t>
        </is>
      </c>
      <c r="B27" s="4" t="n">
        <v>-4625</v>
      </c>
      <c r="C27" s="4" t="n">
        <v>-5207</v>
      </c>
      <c r="D27" s="4" t="n">
        <v>-5518</v>
      </c>
      <c r="E27" s="4" t="n">
        <v>-5318</v>
      </c>
      <c r="F27" s="4" t="n">
        <v>-4415</v>
      </c>
      <c r="G27" s="5">
        <f>'QTR CF'!N26+'QTR CF'!O26+'QTR CF'!P26+'QTR CF'!Q26</f>
        <v/>
      </c>
      <c r="H27" s="5">
        <f>'QTR CF'!R26+'QTR CF'!S26+'QTR CF'!T26+'QTR CF'!U26</f>
        <v/>
      </c>
      <c r="I27" s="5">
        <f>'QTR CF'!V26+'QTR CF'!W26+'QTR CF'!X26+'QTR CF'!Y26</f>
        <v/>
      </c>
      <c r="J27" s="5">
        <f>'QTR CF'!Z26+'QTR CF'!AA26+'QTR CF'!AB26+'QTR CF'!AC26</f>
        <v/>
      </c>
      <c r="K27" s="5">
        <f>'QTR CF'!AD26+'QTR CF'!AE26+'QTR CF'!AF26+'QTR CF'!AG26</f>
        <v/>
      </c>
      <c r="L27" s="5">
        <f>'QTR CF'!AH26+'QTR CF'!AI26+'QTR CF'!AJ26+'QTR CF'!AK26</f>
        <v/>
      </c>
    </row>
    <row r="28">
      <c r="A28" s="3" t="inlineStr">
        <is>
          <t>Proceeds from Sale of Assets</t>
        </is>
      </c>
      <c r="B28" s="4" t="n">
        <v>166</v>
      </c>
      <c r="C28" s="4" t="n">
        <v>251</v>
      </c>
      <c r="D28" s="4" t="n">
        <v>198</v>
      </c>
      <c r="E28" s="4" t="n">
        <v>342</v>
      </c>
      <c r="F28" s="4" t="n">
        <v>528</v>
      </c>
      <c r="G28" s="5">
        <f>'QTR CF'!N27+'QTR CF'!O27+'QTR CF'!P27+'QTR CF'!Q27</f>
        <v/>
      </c>
      <c r="H28" s="5">
        <f>'QTR CF'!R27+'QTR CF'!S27+'QTR CF'!T27+'QTR CF'!U27</f>
        <v/>
      </c>
      <c r="I28" s="5">
        <f>'QTR CF'!V27+'QTR CF'!W27+'QTR CF'!X27+'QTR CF'!Y27</f>
        <v/>
      </c>
      <c r="J28" s="5">
        <f>'QTR CF'!Z27+'QTR CF'!AA27+'QTR CF'!AB27+'QTR CF'!AC27</f>
        <v/>
      </c>
      <c r="K28" s="5">
        <f>'QTR CF'!AD27+'QTR CF'!AE27+'QTR CF'!AF27+'QTR CF'!AG27</f>
        <v/>
      </c>
      <c r="L28" s="5">
        <f>'QTR CF'!AH27+'QTR CF'!AI27+'QTR CF'!AJ27+'QTR CF'!AK27</f>
        <v/>
      </c>
    </row>
    <row r="29">
      <c r="A29" s="3" t="inlineStr">
        <is>
          <t>Acquisitions, Net of Cash Acquired</t>
        </is>
      </c>
      <c r="B29" s="4" t="n">
        <v>-61</v>
      </c>
      <c r="C29" s="4" t="n">
        <v>-873</v>
      </c>
      <c r="D29" s="4" t="n">
        <v>-314</v>
      </c>
      <c r="E29" s="4" t="n">
        <v>-256</v>
      </c>
      <c r="F29" s="4" t="n">
        <v>-3391</v>
      </c>
      <c r="G29" s="5">
        <f>'QTR CF'!N28+'QTR CF'!O28+'QTR CF'!P28+'QTR CF'!Q28</f>
        <v/>
      </c>
      <c r="H29" s="5">
        <f>'QTR CF'!R28+'QTR CF'!S28+'QTR CF'!T28+'QTR CF'!U28</f>
        <v/>
      </c>
      <c r="I29" s="5">
        <f>'QTR CF'!V28+'QTR CF'!W28+'QTR CF'!X28+'QTR CF'!Y28</f>
        <v/>
      </c>
      <c r="J29" s="5">
        <f>'QTR CF'!Z28+'QTR CF'!AA28+'QTR CF'!AB28+'QTR CF'!AC28</f>
        <v/>
      </c>
      <c r="K29" s="5">
        <f>'QTR CF'!AD28+'QTR CF'!AE28+'QTR CF'!AF28+'QTR CF'!AG28</f>
        <v/>
      </c>
      <c r="L29" s="5">
        <f>'QTR CF'!AH28+'QTR CF'!AI28+'QTR CF'!AJ28+'QTR CF'!AK28</f>
        <v/>
      </c>
    </row>
    <row r="30">
      <c r="A30" s="3" t="inlineStr">
        <is>
          <t>Proceeds from Juice Transaction</t>
        </is>
      </c>
      <c r="B30" s="4" t="n">
        <v>0</v>
      </c>
      <c r="C30" s="4" t="n">
        <v>3456</v>
      </c>
      <c r="D30" s="4" t="n">
        <v>0</v>
      </c>
      <c r="E30" s="4" t="n">
        <v>0</v>
      </c>
      <c r="F30" s="4" t="n">
        <v>0</v>
      </c>
      <c r="G30" s="5">
        <f>'QTR CF'!N29+'QTR CF'!O29+'QTR CF'!P29+'QTR CF'!Q29</f>
        <v/>
      </c>
      <c r="H30" s="5">
        <f>'QTR CF'!R29+'QTR CF'!S29+'QTR CF'!T29+'QTR CF'!U29</f>
        <v/>
      </c>
      <c r="I30" s="5">
        <f>'QTR CF'!V29+'QTR CF'!W29+'QTR CF'!X29+'QTR CF'!Y29</f>
        <v/>
      </c>
      <c r="J30" s="5">
        <f>'QTR CF'!Z29+'QTR CF'!AA29+'QTR CF'!AB29+'QTR CF'!AC29</f>
        <v/>
      </c>
      <c r="K30" s="5">
        <f>'QTR CF'!AD29+'QTR CF'!AE29+'QTR CF'!AF29+'QTR CF'!AG29</f>
        <v/>
      </c>
      <c r="L30" s="5">
        <f>'QTR CF'!AH29+'QTR CF'!AI29+'QTR CF'!AJ29+'QTR CF'!AK29</f>
        <v/>
      </c>
    </row>
    <row r="31">
      <c r="A31" s="3" t="inlineStr">
        <is>
          <t>Proceeds from Divestitures of Businesses</t>
        </is>
      </c>
      <c r="B31" s="4" t="n">
        <v>169</v>
      </c>
      <c r="C31" s="4" t="n">
        <v>49</v>
      </c>
      <c r="D31" s="4" t="n">
        <v>75</v>
      </c>
      <c r="E31" s="4" t="n">
        <v>166</v>
      </c>
      <c r="F31" s="4" t="n">
        <v>39</v>
      </c>
      <c r="G31" s="5">
        <f>'QTR CF'!N30+'QTR CF'!O30+'QTR CF'!P30+'QTR CF'!Q30</f>
        <v/>
      </c>
      <c r="H31" s="5">
        <f>'QTR CF'!R30+'QTR CF'!S30+'QTR CF'!T30+'QTR CF'!U30</f>
        <v/>
      </c>
      <c r="I31" s="5">
        <f>'QTR CF'!V30+'QTR CF'!W30+'QTR CF'!X30+'QTR CF'!Y30</f>
        <v/>
      </c>
      <c r="J31" s="5">
        <f>'QTR CF'!Z30+'QTR CF'!AA30+'QTR CF'!AB30+'QTR CF'!AC30</f>
        <v/>
      </c>
      <c r="K31" s="5">
        <f>'QTR CF'!AD30+'QTR CF'!AE30+'QTR CF'!AF30+'QTR CF'!AG30</f>
        <v/>
      </c>
      <c r="L31" s="5">
        <f>'QTR CF'!AH30+'QTR CF'!AI30+'QTR CF'!AJ30+'QTR CF'!AK30</f>
        <v/>
      </c>
    </row>
    <row r="32">
      <c r="A32" s="3" t="inlineStr">
        <is>
          <t>Net Change in Short-Term Investments</t>
        </is>
      </c>
      <c r="B32" s="4" t="n">
        <v>1077</v>
      </c>
      <c r="C32" s="4" t="n">
        <v>-117</v>
      </c>
      <c r="D32" s="4" t="n">
        <v>16</v>
      </c>
      <c r="E32" s="4" t="n">
        <v>-420</v>
      </c>
      <c r="F32" s="4" t="n">
        <v>460</v>
      </c>
      <c r="G32" s="5">
        <f>'QTR CF'!N31+'QTR CF'!O31+'QTR CF'!P31+'QTR CF'!Q31</f>
        <v/>
      </c>
      <c r="H32" s="5">
        <f>'QTR CF'!R31+'QTR CF'!S31+'QTR CF'!T31+'QTR CF'!U31</f>
        <v/>
      </c>
      <c r="I32" s="5">
        <f>'QTR CF'!V31+'QTR CF'!W31+'QTR CF'!X31+'QTR CF'!Y31</f>
        <v/>
      </c>
      <c r="J32" s="5">
        <f>'QTR CF'!Z31+'QTR CF'!AA31+'QTR CF'!AB31+'QTR CF'!AC31</f>
        <v/>
      </c>
      <c r="K32" s="5">
        <f>'QTR CF'!AD31+'QTR CF'!AE31+'QTR CF'!AF31+'QTR CF'!AG31</f>
        <v/>
      </c>
      <c r="L32" s="5">
        <f>'QTR CF'!AH31+'QTR CF'!AI31+'QTR CF'!AJ31+'QTR CF'!AK31</f>
        <v/>
      </c>
    </row>
    <row r="33">
      <c r="A33" s="3" t="inlineStr">
        <is>
          <t>Other Investing Activities</t>
        </is>
      </c>
      <c r="B33" s="4" t="n">
        <v>5</v>
      </c>
      <c r="C33" s="4" t="n">
        <v>11</v>
      </c>
      <c r="D33" s="4" t="n">
        <v>48</v>
      </c>
      <c r="E33" s="4" t="n">
        <v>14</v>
      </c>
      <c r="F33" s="4" t="n">
        <v>-100</v>
      </c>
      <c r="G33" s="5">
        <f>'QTR CF'!N32+'QTR CF'!O32+'QTR CF'!P32+'QTR CF'!Q32</f>
        <v/>
      </c>
      <c r="H33" s="5">
        <f>'QTR CF'!R32+'QTR CF'!S32+'QTR CF'!T32+'QTR CF'!U32</f>
        <v/>
      </c>
      <c r="I33" s="5">
        <f>'QTR CF'!V32+'QTR CF'!W32+'QTR CF'!X32+'QTR CF'!Y32</f>
        <v/>
      </c>
      <c r="J33" s="5">
        <f>'QTR CF'!Z32+'QTR CF'!AA32+'QTR CF'!AB32+'QTR CF'!AC32</f>
        <v/>
      </c>
      <c r="K33" s="5">
        <f>'QTR CF'!AD32+'QTR CF'!AE32+'QTR CF'!AF32+'QTR CF'!AG32</f>
        <v/>
      </c>
      <c r="L33" s="5">
        <f>'QTR CF'!AH32+'QTR CF'!AI32+'QTR CF'!AJ32+'QTR CF'!AK32</f>
        <v/>
      </c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7">
        <f>SUM(G27:G33)</f>
        <v/>
      </c>
      <c r="H34" s="7">
        <f>SUM(H27:H33)</f>
        <v/>
      </c>
      <c r="I34" s="7">
        <f>SUM(I27:I33)</f>
        <v/>
      </c>
      <c r="J34" s="7">
        <f>SUM(J27:J33)</f>
        <v/>
      </c>
      <c r="K34" s="7">
        <f>SUM(K27:K33)</f>
        <v/>
      </c>
      <c r="L34" s="7">
        <f>SUM(L27:L33)</f>
        <v/>
      </c>
    </row>
    <row r="35">
      <c r="A35" s="3" t="inlineStr">
        <is>
          <t>Proceeds from Issuance of Long-Term Debt</t>
        </is>
      </c>
      <c r="B35" s="4" t="n">
        <v>4122</v>
      </c>
      <c r="C35" s="4" t="n">
        <v>3377</v>
      </c>
      <c r="D35" s="4" t="n">
        <v>5482</v>
      </c>
      <c r="E35" s="4" t="n">
        <v>4042</v>
      </c>
      <c r="F35" s="4" t="n">
        <v>8189</v>
      </c>
      <c r="G35" s="5">
        <f>'QTR CF'!N34+'QTR CF'!O34+'QTR CF'!P34+'QTR CF'!Q34</f>
        <v/>
      </c>
      <c r="H35" s="5">
        <f>'QTR CF'!R34+'QTR CF'!S34+'QTR CF'!T34+'QTR CF'!U34</f>
        <v/>
      </c>
      <c r="I35" s="5">
        <f>'QTR CF'!V34+'QTR CF'!W34+'QTR CF'!X34+'QTR CF'!Y34</f>
        <v/>
      </c>
      <c r="J35" s="5">
        <f>'QTR CF'!Z34+'QTR CF'!AA34+'QTR CF'!AB34+'QTR CF'!AC34</f>
        <v/>
      </c>
      <c r="K35" s="5">
        <f>'QTR CF'!AD34+'QTR CF'!AE34+'QTR CF'!AF34+'QTR CF'!AG34</f>
        <v/>
      </c>
      <c r="L35" s="5">
        <f>'QTR CF'!AH34+'QTR CF'!AI34+'QTR CF'!AJ34+'QTR CF'!AK34</f>
        <v/>
      </c>
    </row>
    <row r="36">
      <c r="A36" s="3" t="inlineStr">
        <is>
          <t>Repayments of Long-Term Debt</t>
        </is>
      </c>
      <c r="B36" s="4" t="n">
        <v>-8299</v>
      </c>
      <c r="C36" s="4" t="n">
        <v>-4174</v>
      </c>
      <c r="D36" s="4" t="n">
        <v>-3005</v>
      </c>
      <c r="E36" s="4" t="n">
        <v>-3886</v>
      </c>
      <c r="F36" s="4" t="n">
        <v>-4082</v>
      </c>
      <c r="G36" s="5">
        <f>'QTR CF'!N35+'QTR CF'!O35+'QTR CF'!P35+'QTR CF'!Q35</f>
        <v/>
      </c>
      <c r="H36" s="5">
        <f>'QTR CF'!R35+'QTR CF'!S35+'QTR CF'!T35+'QTR CF'!U35</f>
        <v/>
      </c>
      <c r="I36" s="5">
        <f>'QTR CF'!V35+'QTR CF'!W35+'QTR CF'!X35+'QTR CF'!Y35</f>
        <v/>
      </c>
      <c r="J36" s="5">
        <f>'QTR CF'!Z35+'QTR CF'!AA35+'QTR CF'!AB35+'QTR CF'!AC35</f>
        <v/>
      </c>
      <c r="K36" s="5">
        <f>'QTR CF'!AD35+'QTR CF'!AE35+'QTR CF'!AF35+'QTR CF'!AG35</f>
        <v/>
      </c>
      <c r="L36" s="5">
        <f>'QTR CF'!AH35+'QTR CF'!AI35+'QTR CF'!AJ35+'QTR CF'!AK35</f>
        <v/>
      </c>
    </row>
    <row r="37">
      <c r="A37" s="3" t="inlineStr">
        <is>
          <t>Proceeds from Short-Term Debt</t>
        </is>
      </c>
      <c r="B37" s="4" t="n">
        <v>8</v>
      </c>
      <c r="C37" s="4" t="n">
        <v>1969</v>
      </c>
      <c r="D37" s="4" t="n">
        <v>5428</v>
      </c>
      <c r="E37" s="4" t="n">
        <v>5786</v>
      </c>
      <c r="F37" s="4" t="n">
        <v>6391</v>
      </c>
      <c r="G37" s="5">
        <f>'QTR CF'!N36+'QTR CF'!O36+'QTR CF'!P36+'QTR CF'!Q36</f>
        <v/>
      </c>
      <c r="H37" s="5">
        <f>'QTR CF'!R36+'QTR CF'!S36+'QTR CF'!T36+'QTR CF'!U36</f>
        <v/>
      </c>
      <c r="I37" s="5">
        <f>'QTR CF'!V36+'QTR CF'!W36+'QTR CF'!X36+'QTR CF'!Y36</f>
        <v/>
      </c>
      <c r="J37" s="5">
        <f>'QTR CF'!Z36+'QTR CF'!AA36+'QTR CF'!AB36+'QTR CF'!AC36</f>
        <v/>
      </c>
      <c r="K37" s="5">
        <f>'QTR CF'!AD36+'QTR CF'!AE36+'QTR CF'!AF36+'QTR CF'!AG36</f>
        <v/>
      </c>
      <c r="L37" s="5">
        <f>'QTR CF'!AH36+'QTR CF'!AI36+'QTR CF'!AJ36+'QTR CF'!AK36</f>
        <v/>
      </c>
    </row>
    <row r="38">
      <c r="A38" s="3" t="inlineStr">
        <is>
          <t>Repayments of Short-Term Debt</t>
        </is>
      </c>
      <c r="B38" s="4" t="n">
        <v>-397</v>
      </c>
      <c r="C38" s="4" t="n">
        <v>-1951</v>
      </c>
      <c r="D38" s="4" t="n">
        <v>-3106</v>
      </c>
      <c r="E38" s="4" t="n">
        <v>-5639</v>
      </c>
      <c r="F38" s="4" t="n">
        <v>-7920</v>
      </c>
      <c r="G38" s="5">
        <f>'QTR CF'!N37+'QTR CF'!O37+'QTR CF'!P37+'QTR CF'!Q37</f>
        <v/>
      </c>
      <c r="H38" s="5">
        <f>'QTR CF'!R37+'QTR CF'!S37+'QTR CF'!T37+'QTR CF'!U37</f>
        <v/>
      </c>
      <c r="I38" s="5">
        <f>'QTR CF'!V37+'QTR CF'!W37+'QTR CF'!X37+'QTR CF'!Y37</f>
        <v/>
      </c>
      <c r="J38" s="5">
        <f>'QTR CF'!Z37+'QTR CF'!AA37+'QTR CF'!AB37+'QTR CF'!AC37</f>
        <v/>
      </c>
      <c r="K38" s="5">
        <f>'QTR CF'!AD37+'QTR CF'!AE37+'QTR CF'!AF37+'QTR CF'!AG37</f>
        <v/>
      </c>
      <c r="L38" s="5">
        <f>'QTR CF'!AH37+'QTR CF'!AI37+'QTR CF'!AJ37+'QTR CF'!AK37</f>
        <v/>
      </c>
    </row>
    <row r="39">
      <c r="A39" s="3" t="inlineStr">
        <is>
          <t>Net Change in Other Short-Term Debt</t>
        </is>
      </c>
      <c r="B39" s="4" t="n">
        <v>434</v>
      </c>
      <c r="C39" s="4" t="n">
        <v>-31</v>
      </c>
      <c r="D39" s="4" t="n">
        <v>-29</v>
      </c>
      <c r="E39" s="4" t="n">
        <v>392</v>
      </c>
      <c r="F39" s="4" t="n">
        <v>1170</v>
      </c>
      <c r="G39" s="5">
        <f>'QTR CF'!N38+'QTR CF'!O38+'QTR CF'!P38+'QTR CF'!Q38</f>
        <v/>
      </c>
      <c r="H39" s="5">
        <f>'QTR CF'!R38+'QTR CF'!S38+'QTR CF'!T38+'QTR CF'!U38</f>
        <v/>
      </c>
      <c r="I39" s="5">
        <f>'QTR CF'!V38+'QTR CF'!W38+'QTR CF'!X38+'QTR CF'!Y38</f>
        <v/>
      </c>
      <c r="J39" s="5">
        <f>'QTR CF'!Z38+'QTR CF'!AA38+'QTR CF'!AB38+'QTR CF'!AC38</f>
        <v/>
      </c>
      <c r="K39" s="5">
        <f>'QTR CF'!AD38+'QTR CF'!AE38+'QTR CF'!AF38+'QTR CF'!AG38</f>
        <v/>
      </c>
      <c r="L39" s="5">
        <f>'QTR CF'!AH38+'QTR CF'!AI38+'QTR CF'!AJ38+'QTR CF'!AK38</f>
        <v/>
      </c>
    </row>
    <row r="40">
      <c r="A40" s="3" t="inlineStr">
        <is>
          <t>Payments of Contingent Consideration</t>
        </is>
      </c>
      <c r="B40" s="4" t="n">
        <v>-773</v>
      </c>
      <c r="C40" s="4" t="n">
        <v>0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Common Dividends</t>
        </is>
      </c>
      <c r="B41" s="4" t="n">
        <v>-5815</v>
      </c>
      <c r="C41" s="4" t="n">
        <v>-6172</v>
      </c>
      <c r="D41" s="4" t="n">
        <v>-6682</v>
      </c>
      <c r="E41" s="4" t="n">
        <v>-7229</v>
      </c>
      <c r="F41" s="4" t="n">
        <v>-7638</v>
      </c>
      <c r="G41" s="5">
        <f>'QTR CF'!N39+'QTR CF'!O39+'QTR CF'!P39+'QTR CF'!Q39</f>
        <v/>
      </c>
      <c r="H41" s="5">
        <f>'QTR CF'!R39+'QTR CF'!S39+'QTR CF'!T39+'QTR CF'!U39</f>
        <v/>
      </c>
      <c r="I41" s="5">
        <f>'QTR CF'!V39+'QTR CF'!W39+'QTR CF'!X39+'QTR CF'!Y39</f>
        <v/>
      </c>
      <c r="J41" s="5">
        <f>'QTR CF'!Z39+'QTR CF'!AA39+'QTR CF'!AB39+'QTR CF'!AC39</f>
        <v/>
      </c>
      <c r="K41" s="5">
        <f>'QTR CF'!AD39+'QTR CF'!AE39+'QTR CF'!AF39+'QTR CF'!AG39</f>
        <v/>
      </c>
      <c r="L41" s="5">
        <f>'QTR CF'!AH39+'QTR CF'!AI39+'QTR CF'!AJ39+'QTR CF'!AK39</f>
        <v/>
      </c>
    </row>
    <row r="42">
      <c r="A42" s="3" t="inlineStr">
        <is>
          <t>Share Repurchases</t>
        </is>
      </c>
      <c r="B42" s="4" t="n">
        <v>-106</v>
      </c>
      <c r="C42" s="4" t="n">
        <v>-1500</v>
      </c>
      <c r="D42" s="4" t="n">
        <v>-1000</v>
      </c>
      <c r="E42" s="4" t="n">
        <v>-1000</v>
      </c>
      <c r="F42" s="4" t="n">
        <v>-1000</v>
      </c>
      <c r="G42" s="5">
        <f>'QTR CF'!N40+'QTR CF'!O40+'QTR CF'!P40+'QTR CF'!Q40</f>
        <v/>
      </c>
      <c r="H42" s="5">
        <f>'QTR CF'!R40+'QTR CF'!S40+'QTR CF'!T40+'QTR CF'!U40</f>
        <v/>
      </c>
      <c r="I42" s="5">
        <f>'QTR CF'!V40+'QTR CF'!W40+'QTR CF'!X40+'QTR CF'!Y40</f>
        <v/>
      </c>
      <c r="J42" s="5">
        <f>'QTR CF'!Z40+'QTR CF'!AA40+'QTR CF'!AB40+'QTR CF'!AC40</f>
        <v/>
      </c>
      <c r="K42" s="5">
        <f>'QTR CF'!AD40+'QTR CF'!AE40+'QTR CF'!AF40+'QTR CF'!AG40</f>
        <v/>
      </c>
      <c r="L42" s="5">
        <f>'QTR CF'!AH40+'QTR CF'!AI40+'QTR CF'!AJ40+'QTR CF'!AK40</f>
        <v/>
      </c>
    </row>
    <row r="43">
      <c r="A43" s="3" t="inlineStr">
        <is>
          <t>Proceeds from Exercise of Stock Options</t>
        </is>
      </c>
      <c r="B43" s="4" t="n">
        <v>185</v>
      </c>
      <c r="C43" s="4" t="n">
        <v>138</v>
      </c>
      <c r="D43" s="4" t="n">
        <v>116</v>
      </c>
      <c r="E43" s="4" t="n">
        <v>166</v>
      </c>
      <c r="F43" s="4" t="n">
        <v>97</v>
      </c>
      <c r="G43" s="5">
        <f>'QTR CF'!N41+'QTR CF'!O41+'QTR CF'!P41+'QTR CF'!Q41</f>
        <v/>
      </c>
      <c r="H43" s="5">
        <f>'QTR CF'!R41+'QTR CF'!S41+'QTR CF'!T41+'QTR CF'!U41</f>
        <v/>
      </c>
      <c r="I43" s="5">
        <f>'QTR CF'!V41+'QTR CF'!W41+'QTR CF'!X41+'QTR CF'!Y41</f>
        <v/>
      </c>
      <c r="J43" s="5">
        <f>'QTR CF'!Z41+'QTR CF'!AA41+'QTR CF'!AB41+'QTR CF'!AC41</f>
        <v/>
      </c>
      <c r="K43" s="5">
        <f>'QTR CF'!AD41+'QTR CF'!AE41+'QTR CF'!AF41+'QTR CF'!AG41</f>
        <v/>
      </c>
      <c r="L43" s="5">
        <f>'QTR CF'!AH41+'QTR CF'!AI41+'QTR CF'!AJ41+'QTR CF'!AK41</f>
        <v/>
      </c>
    </row>
    <row r="44">
      <c r="A44" s="3" t="inlineStr">
        <is>
          <t>Tax Withholdings on RSU/PSU Settlement</t>
        </is>
      </c>
      <c r="B44" s="4" t="n">
        <v>-92</v>
      </c>
      <c r="C44" s="4" t="n">
        <v>-107</v>
      </c>
      <c r="D44" s="4" t="n">
        <v>-140</v>
      </c>
      <c r="E44" s="4" t="n">
        <v>-135</v>
      </c>
      <c r="F44" s="4" t="n">
        <v>-113</v>
      </c>
      <c r="G44" s="5">
        <f>'QTR CF'!N42+'QTR CF'!O42+'QTR CF'!P42+'QTR CF'!Q42</f>
        <v/>
      </c>
      <c r="H44" s="5">
        <f>'QTR CF'!R42+'QTR CF'!S42+'QTR CF'!T42+'QTR CF'!U42</f>
        <v/>
      </c>
      <c r="I44" s="5">
        <f>'QTR CF'!V42+'QTR CF'!W42+'QTR CF'!X42+'QTR CF'!Y42</f>
        <v/>
      </c>
      <c r="J44" s="5">
        <f>'QTR CF'!Z42+'QTR CF'!AA42+'QTR CF'!AB42+'QTR CF'!AC42</f>
        <v/>
      </c>
      <c r="K44" s="5">
        <f>'QTR CF'!AD42+'QTR CF'!AE42+'QTR CF'!AF42+'QTR CF'!AG42</f>
        <v/>
      </c>
      <c r="L44" s="5">
        <f>'QTR CF'!AH42+'QTR CF'!AI42+'QTR CF'!AJ42+'QTR CF'!AK42</f>
        <v/>
      </c>
    </row>
    <row r="45">
      <c r="A45" s="3" t="inlineStr">
        <is>
          <t>Other Financing Activities</t>
        </is>
      </c>
      <c r="B45" s="4" t="n">
        <v>-47</v>
      </c>
      <c r="C45" s="4" t="n">
        <v>-72</v>
      </c>
      <c r="D45" s="4" t="n">
        <v>-73</v>
      </c>
      <c r="E45" s="4" t="n">
        <v>-53</v>
      </c>
      <c r="F45" s="4" t="n">
        <v>-73</v>
      </c>
      <c r="G45" s="5">
        <f>'QTR CF'!N43+'QTR CF'!O43+'QTR CF'!P43+'QTR CF'!Q43</f>
        <v/>
      </c>
      <c r="H45" s="5">
        <f>'QTR CF'!R43+'QTR CF'!S43+'QTR CF'!T43+'QTR CF'!U43</f>
        <v/>
      </c>
      <c r="I45" s="5">
        <f>'QTR CF'!V43+'QTR CF'!W43+'QTR CF'!X43+'QTR CF'!Y43</f>
        <v/>
      </c>
      <c r="J45" s="5">
        <f>'QTR CF'!Z43+'QTR CF'!AA43+'QTR CF'!AB43+'QTR CF'!AC43</f>
        <v/>
      </c>
      <c r="K45" s="5">
        <f>'QTR CF'!AD43+'QTR CF'!AE43+'QTR CF'!AF43+'QTR CF'!AG43</f>
        <v/>
      </c>
      <c r="L45" s="5">
        <f>'QTR CF'!AH43+'QTR CF'!AI43+'QTR CF'!AJ43+'QTR CF'!AK43</f>
        <v/>
      </c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7">
        <f>SUM(G35:G45)</f>
        <v/>
      </c>
      <c r="H46" s="7">
        <f>SUM(H35:H45)</f>
        <v/>
      </c>
      <c r="I46" s="7">
        <f>SUM(I35:I45)</f>
        <v/>
      </c>
      <c r="J46" s="7">
        <f>SUM(J35:J45)</f>
        <v/>
      </c>
      <c r="K46" s="7">
        <f>SUM(K35:K45)</f>
        <v/>
      </c>
      <c r="L46" s="7">
        <f>SUM(L35:L45)</f>
        <v/>
      </c>
    </row>
    <row r="47">
      <c r="A47" s="3" t="inlineStr">
        <is>
          <t>FX Effect on Cash</t>
        </is>
      </c>
      <c r="B47" s="4" t="n">
        <v>-114</v>
      </c>
      <c r="C47" s="4" t="n">
        <v>-465</v>
      </c>
      <c r="D47" s="4" t="n">
        <v>-277</v>
      </c>
      <c r="E47" s="4" t="n">
        <v>-687</v>
      </c>
      <c r="F47" s="4" t="n">
        <v>422</v>
      </c>
      <c r="G47" s="5">
        <f>'QTR CF'!N45+'QTR CF'!O45+'QTR CF'!P45+'QTR CF'!Q45</f>
        <v/>
      </c>
      <c r="H47" s="5">
        <f>'QTR CF'!R45+'QTR CF'!S45+'QTR CF'!T45+'QTR CF'!U45</f>
        <v/>
      </c>
      <c r="I47" s="5">
        <f>'QTR CF'!V45+'QTR CF'!W45+'QTR CF'!X45+'QTR CF'!Y45</f>
        <v/>
      </c>
      <c r="J47" s="5">
        <f>'QTR CF'!Z45+'QTR CF'!AA45+'QTR CF'!AB45+'QTR CF'!AC45</f>
        <v/>
      </c>
      <c r="K47" s="5">
        <f>'QTR CF'!AD45+'QTR CF'!AE45+'QTR CF'!AF45+'QTR CF'!AG45</f>
        <v/>
      </c>
      <c r="L47" s="5">
        <f>'QTR CF'!AH45+'QTR CF'!AI45+'QTR CF'!AJ45+'QTR CF'!AK45</f>
        <v/>
      </c>
    </row>
    <row r="48">
      <c r="A48" s="3" t="inlineStr">
        <is>
          <t>Net Change in Cash</t>
        </is>
      </c>
      <c r="B48" s="6">
        <f>B26+B34+B46+B47</f>
        <v/>
      </c>
      <c r="C48" s="6">
        <f>C26+C34+C46+C47</f>
        <v/>
      </c>
      <c r="D48" s="6">
        <f>D26+D34+D46+D47</f>
        <v/>
      </c>
      <c r="E48" s="6">
        <f>E26+E34+E46+E47</f>
        <v/>
      </c>
      <c r="F48" s="6">
        <f>F26+F34+F46+F47</f>
        <v/>
      </c>
      <c r="G48" s="7">
        <f>G26+G34+G46+G47</f>
        <v/>
      </c>
      <c r="H48" s="7">
        <f>H26+H34+H46+H47</f>
        <v/>
      </c>
      <c r="I48" s="7">
        <f>I26+I34+I46+I47</f>
        <v/>
      </c>
      <c r="J48" s="7">
        <f>J26+J34+J46+J47</f>
        <v/>
      </c>
      <c r="K48" s="7">
        <f>K26+K34+K46+K47</f>
        <v/>
      </c>
      <c r="L48" s="7">
        <f>L26+L34+L46+L47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Sales / Revenue</t>
        </is>
      </c>
      <c r="B2" s="4" t="n">
        <v>16200</v>
      </c>
      <c r="C2" s="4" t="n">
        <v>36425</v>
      </c>
      <c r="D2" s="4" t="n">
        <v>58396</v>
      </c>
      <c r="E2" s="4" t="n">
        <v>17846</v>
      </c>
      <c r="F2" s="4" t="n">
        <v>40168</v>
      </c>
      <c r="G2" s="4" t="n">
        <v>63621</v>
      </c>
      <c r="H2" s="4" t="n">
        <v>18250</v>
      </c>
      <c r="I2" s="4" t="n">
        <v>40751</v>
      </c>
      <c r="J2" s="4" t="n">
        <v>64070</v>
      </c>
      <c r="K2" s="4" t="n">
        <v>17919</v>
      </c>
      <c r="L2" s="4" t="n">
        <v>40645</v>
      </c>
      <c r="M2" s="4" t="n">
        <v>64582</v>
      </c>
      <c r="N2" s="4" t="n">
        <v>19443</v>
      </c>
    </row>
    <row r="3">
      <c r="A3" s="3" t="inlineStr">
        <is>
          <t>COGS</t>
        </is>
      </c>
      <c r="B3" s="4" t="n">
        <v>-7433</v>
      </c>
      <c r="C3" s="4" t="n">
        <v>-16848</v>
      </c>
      <c r="D3" s="4" t="n">
        <v>-27156</v>
      </c>
      <c r="E3" s="4" t="n">
        <v>-7988</v>
      </c>
      <c r="F3" s="4" t="n">
        <v>-18109</v>
      </c>
      <c r="G3" s="4" t="n">
        <v>-28784</v>
      </c>
      <c r="H3" s="4" t="n">
        <v>-8248</v>
      </c>
      <c r="I3" s="4" t="n">
        <v>-18167</v>
      </c>
      <c r="J3" s="4" t="n">
        <v>-28563</v>
      </c>
      <c r="K3" s="4" t="n">
        <v>-7926</v>
      </c>
      <c r="L3" s="4" t="n">
        <v>-18230</v>
      </c>
      <c r="M3" s="4" t="n">
        <v>-29343</v>
      </c>
      <c r="N3" s="4" t="n">
        <v>-8712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</row>
    <row r="5">
      <c r="A5" s="3" t="inlineStr">
        <is>
          <t>SG&amp;A</t>
        </is>
      </c>
      <c r="B5" s="4" t="n">
        <v>-6580</v>
      </c>
      <c r="C5" s="4" t="n">
        <v>-13967</v>
      </c>
      <c r="D5" s="4" t="n">
        <v>-22262</v>
      </c>
      <c r="E5" s="4" t="n">
        <v>-7229</v>
      </c>
      <c r="F5" s="4" t="n">
        <v>-15771</v>
      </c>
      <c r="G5" s="4" t="n">
        <v>-24528</v>
      </c>
      <c r="H5" s="4" t="n">
        <v>-7285</v>
      </c>
      <c r="I5" s="4" t="n">
        <v>-15819</v>
      </c>
      <c r="J5" s="4" t="n">
        <v>-24870</v>
      </c>
      <c r="K5" s="4" t="n">
        <v>-7410</v>
      </c>
      <c r="L5" s="4" t="n">
        <v>-16183</v>
      </c>
      <c r="M5" s="4" t="n">
        <v>-25305</v>
      </c>
      <c r="N5" s="4" t="n">
        <v>-7518</v>
      </c>
    </row>
    <row r="6">
      <c r="A6" s="3" t="inlineStr">
        <is>
          <t>Gain on Juice Transaction</t>
        </is>
      </c>
      <c r="B6" s="4" t="n">
        <v>-3322</v>
      </c>
      <c r="C6" s="4" t="n">
        <v>-3335</v>
      </c>
      <c r="D6" s="4" t="n">
        <v>-3321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Impairment of Intangibles</t>
        </is>
      </c>
      <c r="B7" s="4" t="n">
        <v>-242</v>
      </c>
      <c r="C7" s="4" t="n">
        <v>-1601</v>
      </c>
      <c r="D7" s="4" t="n">
        <v>-1602</v>
      </c>
      <c r="E7" s="4" t="n">
        <v>0</v>
      </c>
      <c r="F7" s="4" t="n">
        <v>0</v>
      </c>
      <c r="G7" s="4" t="n">
        <v>-6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-1860</v>
      </c>
      <c r="M7" s="4" t="n">
        <v>-1993</v>
      </c>
      <c r="N7" s="4" t="n">
        <v>0</v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6">
        <f>G4+SUM(G5:G7)</f>
        <v/>
      </c>
      <c r="H8" s="6">
        <f>H4+SUM(H5:H7)</f>
        <v/>
      </c>
      <c r="I8" s="6">
        <f>I4+SUM(I5:I7)</f>
        <v/>
      </c>
      <c r="J8" s="6">
        <f>J4+SUM(J5:J7)</f>
        <v/>
      </c>
      <c r="K8" s="6">
        <f>K4+SUM(K5:K7)</f>
        <v/>
      </c>
      <c r="L8" s="6">
        <f>L4+SUM(L5:L7)</f>
        <v/>
      </c>
      <c r="M8" s="6">
        <f>M4+SUM(M5:M7)</f>
        <v/>
      </c>
      <c r="N8" s="6">
        <f>N4+SUM(N5:N7)</f>
        <v/>
      </c>
    </row>
    <row r="9">
      <c r="A9" s="3" t="inlineStr">
        <is>
          <t>Other Pension and OPEB Benefits Income (Expense)</t>
        </is>
      </c>
      <c r="B9" s="4" t="n">
        <v>134</v>
      </c>
      <c r="C9" s="4" t="n">
        <v>132</v>
      </c>
      <c r="D9" s="4" t="n">
        <v>168</v>
      </c>
      <c r="E9" s="4" t="n">
        <v>61</v>
      </c>
      <c r="F9" s="4" t="n">
        <v>121</v>
      </c>
      <c r="G9" s="4" t="n">
        <v>183</v>
      </c>
      <c r="H9" s="4" t="n">
        <v>58</v>
      </c>
      <c r="I9" s="4" t="n">
        <v>114</v>
      </c>
      <c r="J9" s="4" t="n">
        <v>155</v>
      </c>
      <c r="K9" s="4" t="n">
        <v>23</v>
      </c>
      <c r="L9" s="4" t="n">
        <v>65</v>
      </c>
      <c r="M9" s="4" t="n">
        <v>91</v>
      </c>
      <c r="N9" s="4" t="n">
        <v>58</v>
      </c>
    </row>
    <row r="10">
      <c r="A10" s="3" t="inlineStr">
        <is>
          <t>Interest Income (Expense)</t>
        </is>
      </c>
      <c r="B10" s="4" t="n">
        <v>-240</v>
      </c>
      <c r="C10" s="4" t="n">
        <v>-476</v>
      </c>
      <c r="D10" s="4" t="n">
        <v>-666</v>
      </c>
      <c r="E10" s="4" t="n">
        <v>-200</v>
      </c>
      <c r="F10" s="4" t="n">
        <v>-401</v>
      </c>
      <c r="G10" s="4" t="n">
        <v>-602</v>
      </c>
      <c r="H10" s="4" t="n">
        <v>-202</v>
      </c>
      <c r="I10" s="4" t="n">
        <v>-436</v>
      </c>
      <c r="J10" s="4" t="n">
        <v>-655</v>
      </c>
      <c r="K10" s="4" t="n">
        <v>-264</v>
      </c>
      <c r="L10" s="4" t="n">
        <v>-524</v>
      </c>
      <c r="M10" s="4" t="n">
        <v>-788</v>
      </c>
      <c r="N10" s="4" t="n">
        <v>-301</v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6">
        <f>G8+SUM(G9:G10)</f>
        <v/>
      </c>
      <c r="H11" s="6">
        <f>H8+SUM(H9:H10)</f>
        <v/>
      </c>
      <c r="I11" s="6">
        <f>I8+SUM(I9:I10)</f>
        <v/>
      </c>
      <c r="J11" s="6">
        <f>J8+SUM(J9:J10)</f>
        <v/>
      </c>
      <c r="K11" s="6">
        <f>K8+SUM(K9:K10)</f>
        <v/>
      </c>
      <c r="L11" s="6">
        <f>L8+SUM(L9:L10)</f>
        <v/>
      </c>
      <c r="M11" s="6">
        <f>M8+SUM(M9:M10)</f>
        <v/>
      </c>
      <c r="N11" s="6">
        <f>N8+SUM(N9:N10)</f>
        <v/>
      </c>
    </row>
    <row r="12">
      <c r="A12" s="3" t="inlineStr">
        <is>
          <t>Income Tax (Expense) Benefit</t>
        </is>
      </c>
      <c r="B12" s="4" t="n">
        <v>-888</v>
      </c>
      <c r="C12" s="4" t="n">
        <v>-1281</v>
      </c>
      <c r="D12" s="4" t="n">
        <v>-1756</v>
      </c>
      <c r="E12" s="4" t="n">
        <v>-546</v>
      </c>
      <c r="F12" s="4" t="n">
        <v>-1293</v>
      </c>
      <c r="G12" s="4" t="n">
        <v>-2053</v>
      </c>
      <c r="H12" s="4" t="n">
        <v>-520</v>
      </c>
      <c r="I12" s="4" t="n">
        <v>-1296</v>
      </c>
      <c r="J12" s="4" t="n">
        <v>-2045</v>
      </c>
      <c r="K12" s="4" t="n">
        <v>-499</v>
      </c>
      <c r="L12" s="4" t="n">
        <v>-791</v>
      </c>
      <c r="M12" s="4" t="n">
        <v>-1504</v>
      </c>
      <c r="N12" s="4" t="n">
        <v>-632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</row>
    <row r="14">
      <c r="A14" s="3" t="inlineStr">
        <is>
          <t>Net Income (Loss) Attributable to Noncontrolling Interest</t>
        </is>
      </c>
      <c r="B14" s="4" t="n">
        <v>12</v>
      </c>
      <c r="C14" s="4" t="n">
        <v>29</v>
      </c>
      <c r="D14" s="4" t="n">
        <v>51</v>
      </c>
      <c r="E14" s="4" t="n">
        <v>12</v>
      </c>
      <c r="F14" s="4" t="n">
        <v>35</v>
      </c>
      <c r="G14" s="4" t="n">
        <v>59</v>
      </c>
      <c r="H14" s="4" t="n">
        <v>11</v>
      </c>
      <c r="I14" s="4" t="n">
        <v>22</v>
      </c>
      <c r="J14" s="4" t="n">
        <v>37</v>
      </c>
      <c r="K14" s="4" t="n">
        <v>9</v>
      </c>
      <c r="L14" s="4" t="n">
        <v>25</v>
      </c>
      <c r="M14" s="4" t="n">
        <v>40</v>
      </c>
      <c r="N14" s="4" t="n">
        <v>11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</row>
    <row r="16">
      <c r="A16" s="3" t="inlineStr">
        <is>
          <t>Basic Earnings (Loss) per Share</t>
        </is>
      </c>
      <c r="B16" s="8" t="n">
        <v>3.08</v>
      </c>
      <c r="C16" s="8" t="n">
        <v>4.11</v>
      </c>
      <c r="D16" s="8" t="n">
        <v>6.07</v>
      </c>
      <c r="E16" s="8" t="n">
        <v>1.4</v>
      </c>
      <c r="F16" s="8" t="n">
        <v>3.4</v>
      </c>
      <c r="G16" s="8" t="n">
        <v>5.64</v>
      </c>
      <c r="H16" s="8" t="n">
        <v>1.49</v>
      </c>
      <c r="I16" s="8" t="n">
        <v>3.73</v>
      </c>
      <c r="J16" s="8" t="n">
        <v>5.86</v>
      </c>
      <c r="K16" s="8" t="n">
        <v>1.34</v>
      </c>
      <c r="L16" s="8" t="n">
        <v>2.26</v>
      </c>
      <c r="M16" s="8" t="n">
        <v>4.16</v>
      </c>
      <c r="N16" s="8" t="n">
        <v>1.7</v>
      </c>
    </row>
    <row r="17">
      <c r="A17" s="3" t="inlineStr">
        <is>
          <t>Diluted Earnings (Loss) per Share</t>
        </is>
      </c>
      <c r="B17" s="8" t="n">
        <v>3.06</v>
      </c>
      <c r="C17" s="8" t="n">
        <v>4.09</v>
      </c>
      <c r="D17" s="8" t="n">
        <v>6.04</v>
      </c>
      <c r="E17" s="8" t="n">
        <v>1.4</v>
      </c>
      <c r="F17" s="8" t="n">
        <v>3.38</v>
      </c>
      <c r="G17" s="8" t="n">
        <v>5.62</v>
      </c>
      <c r="H17" s="8" t="n">
        <v>1.48</v>
      </c>
      <c r="I17" s="8" t="n">
        <v>3.71</v>
      </c>
      <c r="J17" s="8" t="n">
        <v>5.84</v>
      </c>
      <c r="K17" s="8" t="n">
        <v>1.33</v>
      </c>
      <c r="L17" s="8" t="n">
        <v>2.25</v>
      </c>
      <c r="M17" s="8" t="n">
        <v>4.15</v>
      </c>
      <c r="N17" s="8" t="n">
        <v>1.7</v>
      </c>
    </row>
    <row r="18">
      <c r="A18" s="3" t="inlineStr">
        <is>
          <t>Weighted Average Shares Outstanding (Basic)</t>
        </is>
      </c>
      <c r="B18" s="4" t="n">
        <v>1383000000</v>
      </c>
      <c r="C18" s="4" t="n">
        <v>1383000000</v>
      </c>
      <c r="D18" s="4" t="n">
        <v>1382000000</v>
      </c>
      <c r="E18" s="4" t="n">
        <v>1378000000</v>
      </c>
      <c r="F18" s="4" t="n">
        <v>1378000000</v>
      </c>
      <c r="G18" s="4" t="n">
        <v>1377000000</v>
      </c>
      <c r="H18" s="4" t="n">
        <v>1375000000</v>
      </c>
      <c r="I18" s="4" t="n">
        <v>1375000000</v>
      </c>
      <c r="J18" s="4" t="n">
        <v>1374000000</v>
      </c>
      <c r="K18" s="4" t="n">
        <v>1372000000</v>
      </c>
      <c r="L18" s="4" t="n">
        <v>1371000000</v>
      </c>
      <c r="M18" s="4" t="n">
        <v>1370000000</v>
      </c>
      <c r="N18" s="4" t="n">
        <v>1367000000</v>
      </c>
    </row>
    <row r="19">
      <c r="A19" s="3" t="inlineStr">
        <is>
          <t>Weighted Average Shares Outstanding (Diluted)</t>
        </is>
      </c>
      <c r="B19" s="4" t="n">
        <v>1391000000</v>
      </c>
      <c r="C19" s="4" t="n">
        <v>1390000000</v>
      </c>
      <c r="D19" s="4" t="n">
        <v>1389000000</v>
      </c>
      <c r="E19" s="4" t="n">
        <v>1384000000</v>
      </c>
      <c r="F19" s="4" t="n">
        <v>1384000000</v>
      </c>
      <c r="G19" s="4" t="n">
        <v>1384000000</v>
      </c>
      <c r="H19" s="4" t="n">
        <v>1380000000</v>
      </c>
      <c r="I19" s="4" t="n">
        <v>1380000000</v>
      </c>
      <c r="J19" s="4" t="n">
        <v>1379000000</v>
      </c>
      <c r="K19" s="4" t="n">
        <v>1376000000</v>
      </c>
      <c r="L19" s="4" t="n">
        <v>1374000000</v>
      </c>
      <c r="M19" s="4" t="n">
        <v>1373000000</v>
      </c>
      <c r="N19" s="4" t="n">
        <v>1371000000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 t="n">
        <v>4954</v>
      </c>
      <c r="C2" s="4" t="n">
        <v>4770</v>
      </c>
      <c r="D2" s="4" t="n">
        <v>6116</v>
      </c>
      <c r="E2" s="4" t="n">
        <v>10017</v>
      </c>
      <c r="F2" s="4" t="n">
        <v>9711</v>
      </c>
      <c r="G2" s="4" t="n">
        <v>8047</v>
      </c>
      <c r="H2" s="4" t="n">
        <v>6353</v>
      </c>
      <c r="I2" s="4" t="n">
        <v>7308</v>
      </c>
      <c r="J2" s="4" t="n">
        <v>8505</v>
      </c>
      <c r="K2" s="4" t="n">
        <v>8268</v>
      </c>
      <c r="L2" s="4" t="n">
        <v>7631</v>
      </c>
      <c r="M2" s="4" t="n">
        <v>8126</v>
      </c>
      <c r="N2" s="4" t="n">
        <v>9159</v>
      </c>
      <c r="O2" s="4" t="n">
        <v>10475</v>
      </c>
    </row>
    <row r="3">
      <c r="A3" s="3" t="inlineStr">
        <is>
          <t>Short-Term Investments</t>
        </is>
      </c>
      <c r="B3" s="4" t="n">
        <v>394</v>
      </c>
      <c r="C3" s="4" t="n">
        <v>434</v>
      </c>
      <c r="D3" s="4" t="n">
        <v>338</v>
      </c>
      <c r="E3" s="4" t="n">
        <v>266</v>
      </c>
      <c r="F3" s="4" t="n">
        <v>292</v>
      </c>
      <c r="G3" s="4" t="n">
        <v>303</v>
      </c>
      <c r="H3" s="4" t="n">
        <v>315</v>
      </c>
      <c r="I3" s="4" t="n">
        <v>743</v>
      </c>
      <c r="J3" s="4" t="n">
        <v>761</v>
      </c>
      <c r="K3" s="4" t="n">
        <v>314</v>
      </c>
      <c r="L3" s="4" t="n">
        <v>342</v>
      </c>
      <c r="M3" s="4" t="n">
        <v>535</v>
      </c>
      <c r="N3" s="4" t="n">
        <v>371</v>
      </c>
      <c r="O3" s="4" t="n">
        <v>353</v>
      </c>
    </row>
    <row r="4">
      <c r="A4" s="3" t="inlineStr">
        <is>
          <t>Accounts Receivable</t>
        </is>
      </c>
      <c r="B4" s="4" t="n">
        <v>10163</v>
      </c>
      <c r="C4" s="4" t="n">
        <v>10469</v>
      </c>
      <c r="D4" s="4" t="n">
        <v>11456</v>
      </c>
      <c r="E4" s="4" t="n">
        <v>11782</v>
      </c>
      <c r="F4" s="4" t="n">
        <v>10815</v>
      </c>
      <c r="G4" s="4" t="n">
        <v>10938</v>
      </c>
      <c r="H4" s="4" t="n">
        <v>11942</v>
      </c>
      <c r="I4" s="4" t="n">
        <v>12088</v>
      </c>
      <c r="J4" s="4" t="n">
        <v>10333</v>
      </c>
      <c r="K4" s="4" t="n">
        <v>10800</v>
      </c>
      <c r="L4" s="4" t="n">
        <v>12390</v>
      </c>
      <c r="M4" s="4" t="n">
        <v>12634</v>
      </c>
      <c r="N4" s="4" t="n">
        <v>11506</v>
      </c>
      <c r="O4" s="4" t="n">
        <v>12171</v>
      </c>
    </row>
    <row r="5">
      <c r="A5" s="3" t="inlineStr">
        <is>
          <t>Inventories</t>
        </is>
      </c>
      <c r="B5" s="4" t="n">
        <v>5222</v>
      </c>
      <c r="C5" s="4" t="n">
        <v>5697</v>
      </c>
      <c r="D5" s="4" t="n">
        <v>5969</v>
      </c>
      <c r="E5" s="4" t="n">
        <v>5558</v>
      </c>
      <c r="F5" s="4" t="n">
        <v>5334</v>
      </c>
      <c r="G5" s="4" t="n">
        <v>5569</v>
      </c>
      <c r="H5" s="4" t="n">
        <v>5887</v>
      </c>
      <c r="I5" s="4" t="n">
        <v>5644</v>
      </c>
      <c r="J5" s="4" t="n">
        <v>5306</v>
      </c>
      <c r="K5" s="4" t="n">
        <v>5660</v>
      </c>
      <c r="L5" s="4" t="n">
        <v>6487</v>
      </c>
      <c r="M5" s="4" t="n">
        <v>6093</v>
      </c>
      <c r="N5" s="4" t="n">
        <v>5845</v>
      </c>
      <c r="O5" s="4" t="n">
        <v>6211</v>
      </c>
    </row>
    <row r="6">
      <c r="A6" s="3" t="inlineStr">
        <is>
          <t>Prepaid Expenses</t>
        </is>
      </c>
      <c r="B6" s="4" t="n">
        <v>806</v>
      </c>
      <c r="C6" s="4" t="n">
        <v>1057</v>
      </c>
      <c r="D6" s="4" t="n">
        <v>1075</v>
      </c>
      <c r="E6" s="4" t="n">
        <v>1026</v>
      </c>
      <c r="F6" s="4" t="n">
        <v>798</v>
      </c>
      <c r="G6" s="4" t="n">
        <v>1148</v>
      </c>
      <c r="H6" s="4" t="n">
        <v>1206</v>
      </c>
      <c r="I6" s="4" t="n">
        <v>1069</v>
      </c>
      <c r="J6" s="4" t="n">
        <v>921</v>
      </c>
      <c r="K6" s="4" t="n">
        <v>1246</v>
      </c>
      <c r="L6" s="4" t="n">
        <v>1360</v>
      </c>
      <c r="M6" s="4" t="n">
        <v>1334</v>
      </c>
      <c r="N6" s="4" t="n">
        <v>1068</v>
      </c>
      <c r="O6" s="4" t="n">
        <v>1706</v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6">
        <f>SUM(H2:H6)</f>
        <v/>
      </c>
      <c r="I7" s="6">
        <f>SUM(I2:I6)</f>
        <v/>
      </c>
      <c r="J7" s="6">
        <f>SUM(J2:J6)</f>
        <v/>
      </c>
      <c r="K7" s="6">
        <f>SUM(K2:K6)</f>
        <v/>
      </c>
      <c r="L7" s="6">
        <f>SUM(L2:L6)</f>
        <v/>
      </c>
      <c r="M7" s="6">
        <f>SUM(M2:M6)</f>
        <v/>
      </c>
      <c r="N7" s="6">
        <f>SUM(N2:N6)</f>
        <v/>
      </c>
      <c r="O7" s="6">
        <f>SUM(O2:O6)</f>
        <v/>
      </c>
    </row>
    <row r="8">
      <c r="A8" s="3" t="inlineStr">
        <is>
          <t>Net PP&amp;E</t>
        </is>
      </c>
      <c r="B8" s="4" t="n">
        <v>24291</v>
      </c>
      <c r="C8" s="4" t="n">
        <v>24228</v>
      </c>
      <c r="D8" s="4" t="n">
        <v>24500</v>
      </c>
      <c r="E8" s="4" t="n">
        <v>24853</v>
      </c>
      <c r="F8" s="4" t="n">
        <v>27039</v>
      </c>
      <c r="G8" s="4" t="n">
        <v>26792</v>
      </c>
      <c r="H8" s="4" t="n">
        <v>27042</v>
      </c>
      <c r="I8" s="4" t="n">
        <v>27188</v>
      </c>
      <c r="J8" s="4" t="n">
        <v>28008</v>
      </c>
      <c r="K8" s="4" t="n">
        <v>28213</v>
      </c>
      <c r="L8" s="4" t="n">
        <v>28797</v>
      </c>
      <c r="M8" s="4" t="n">
        <v>29053</v>
      </c>
      <c r="N8" s="4" t="n">
        <v>29905</v>
      </c>
      <c r="O8" s="4" t="n">
        <v>29807</v>
      </c>
    </row>
    <row r="9">
      <c r="A9" s="3" t="inlineStr">
        <is>
          <t>Intangible Assets</t>
        </is>
      </c>
      <c r="B9" s="4" t="n">
        <v>15586</v>
      </c>
      <c r="C9" s="4" t="n">
        <v>15523</v>
      </c>
      <c r="D9" s="4" t="n">
        <v>15562</v>
      </c>
      <c r="E9" s="4" t="n">
        <v>15501</v>
      </c>
      <c r="F9" s="4" t="n">
        <v>14929</v>
      </c>
      <c r="G9" s="4" t="n">
        <v>14853</v>
      </c>
      <c r="H9" s="4" t="n">
        <v>14826</v>
      </c>
      <c r="I9" s="4" t="n">
        <v>14857</v>
      </c>
      <c r="J9" s="4" t="n">
        <v>14801</v>
      </c>
      <c r="K9" s="4" t="n">
        <v>15363</v>
      </c>
      <c r="L9" s="4" t="n">
        <v>15523</v>
      </c>
      <c r="M9" s="4" t="n">
        <v>14852</v>
      </c>
      <c r="N9" s="4" t="n">
        <v>15066</v>
      </c>
      <c r="O9" s="4" t="n">
        <v>15143</v>
      </c>
    </row>
    <row r="10">
      <c r="A10" s="3" t="inlineStr">
        <is>
          <t>Goodwill</t>
        </is>
      </c>
      <c r="B10" s="4" t="n">
        <v>18202</v>
      </c>
      <c r="C10" s="4" t="n">
        <v>18089</v>
      </c>
      <c r="D10" s="4" t="n">
        <v>17997</v>
      </c>
      <c r="E10" s="4" t="n">
        <v>17892</v>
      </c>
      <c r="F10" s="4" t="n">
        <v>17728</v>
      </c>
      <c r="G10" s="4" t="n">
        <v>17646</v>
      </c>
      <c r="H10" s="4" t="n">
        <v>17648</v>
      </c>
      <c r="I10" s="4" t="n">
        <v>17709</v>
      </c>
      <c r="J10" s="4" t="n">
        <v>17534</v>
      </c>
      <c r="K10" s="4" t="n">
        <v>18364</v>
      </c>
      <c r="L10" s="4" t="n">
        <v>18952</v>
      </c>
      <c r="M10" s="4" t="n">
        <v>18845</v>
      </c>
      <c r="N10" s="4" t="n">
        <v>18916</v>
      </c>
      <c r="O10" s="4" t="n">
        <v>19021</v>
      </c>
    </row>
    <row r="11">
      <c r="A11" s="3" t="inlineStr">
        <is>
          <t>Equity Method Investments</t>
        </is>
      </c>
      <c r="B11" s="4" t="n">
        <v>3073</v>
      </c>
      <c r="C11" s="4" t="n">
        <v>3123</v>
      </c>
      <c r="D11" s="4" t="n">
        <v>3038</v>
      </c>
      <c r="E11" s="4" t="n">
        <v>2955</v>
      </c>
      <c r="F11" s="4" t="n">
        <v>2714</v>
      </c>
      <c r="G11" s="4" t="n">
        <v>2734</v>
      </c>
      <c r="H11" s="4" t="n">
        <v>2674</v>
      </c>
      <c r="I11" s="4" t="n">
        <v>2645</v>
      </c>
      <c r="J11" s="4" t="n">
        <v>1985</v>
      </c>
      <c r="K11" s="4" t="n">
        <v>1996</v>
      </c>
      <c r="L11" s="4" t="n">
        <v>2061</v>
      </c>
      <c r="M11" s="4" t="n">
        <v>2084</v>
      </c>
      <c r="N11" s="4" t="n">
        <v>2038</v>
      </c>
      <c r="O11" s="4" t="n">
        <v>2135</v>
      </c>
    </row>
    <row r="12">
      <c r="A12" s="3" t="inlineStr">
        <is>
          <t>Deferred Tax Assets</t>
        </is>
      </c>
      <c r="B12" s="4" t="n">
        <v>4204</v>
      </c>
      <c r="C12" s="4" t="n">
        <v>4211</v>
      </c>
      <c r="D12" s="4" t="n">
        <v>4186</v>
      </c>
      <c r="E12" s="4" t="n">
        <v>4165</v>
      </c>
      <c r="F12" s="4" t="n">
        <v>4474</v>
      </c>
      <c r="G12" s="4" t="n">
        <v>4444</v>
      </c>
      <c r="H12" s="4" t="n">
        <v>4465</v>
      </c>
      <c r="I12" s="4" t="n">
        <v>4321</v>
      </c>
      <c r="J12" s="4" t="n">
        <v>4362</v>
      </c>
      <c r="K12" s="4" t="n">
        <v>4350</v>
      </c>
      <c r="L12" s="4" t="n">
        <v>4293</v>
      </c>
      <c r="M12" s="4" t="n">
        <v>4341</v>
      </c>
      <c r="N12" s="4" t="n">
        <v>4541</v>
      </c>
      <c r="O12" s="4" t="n">
        <v>4560</v>
      </c>
    </row>
    <row r="13">
      <c r="A13" s="3" t="inlineStr">
        <is>
          <t>Other Non-Current Assets</t>
        </is>
      </c>
      <c r="B13" s="4" t="n">
        <v>5292</v>
      </c>
      <c r="C13" s="4" t="n">
        <v>5441</v>
      </c>
      <c r="D13" s="4" t="n">
        <v>5669</v>
      </c>
      <c r="E13" s="4" t="n">
        <v>5938</v>
      </c>
      <c r="F13" s="4" t="n">
        <v>6661</v>
      </c>
      <c r="G13" s="4" t="n">
        <v>7566</v>
      </c>
      <c r="H13" s="4" t="n">
        <v>7175</v>
      </c>
      <c r="I13" s="4" t="n">
        <v>6941</v>
      </c>
      <c r="J13" s="4" t="n">
        <v>6951</v>
      </c>
      <c r="K13" s="4" t="n">
        <v>7163</v>
      </c>
      <c r="L13" s="4" t="n">
        <v>7509</v>
      </c>
      <c r="M13" s="4" t="n">
        <v>8661</v>
      </c>
      <c r="N13" s="4" t="n">
        <v>8984</v>
      </c>
      <c r="O13" s="4" t="n">
        <v>9064</v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6">
        <f>F7+SUM(F8:F13)</f>
        <v/>
      </c>
      <c r="G14" s="6">
        <f>G7+SUM(G8:G13)</f>
        <v/>
      </c>
      <c r="H14" s="6">
        <f>H7+SUM(H8:H13)</f>
        <v/>
      </c>
      <c r="I14" s="6">
        <f>I7+SUM(I8:I13)</f>
        <v/>
      </c>
      <c r="J14" s="6">
        <f>J7+SUM(J8:J13)</f>
        <v/>
      </c>
      <c r="K14" s="6">
        <f>K7+SUM(K8:K13)</f>
        <v/>
      </c>
      <c r="L14" s="6">
        <f>L7+SUM(L8:L13)</f>
        <v/>
      </c>
      <c r="M14" s="6">
        <f>M7+SUM(M8:M13)</f>
        <v/>
      </c>
      <c r="N14" s="6">
        <f>N7+SUM(N8:N13)</f>
        <v/>
      </c>
      <c r="O14" s="6">
        <f>O7+SUM(O8:O13)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4281</v>
      </c>
      <c r="D15" s="4" t="n">
        <v>7613</v>
      </c>
      <c r="E15" s="4" t="n">
        <v>8937</v>
      </c>
      <c r="F15" s="4" t="n">
        <v>6510</v>
      </c>
      <c r="G15" s="4" t="n">
        <v>8161</v>
      </c>
      <c r="H15" s="4" t="n">
        <v>8289</v>
      </c>
      <c r="I15" s="4" t="n">
        <v>6524</v>
      </c>
      <c r="J15" s="4" t="n">
        <v>7082</v>
      </c>
      <c r="K15" s="4" t="n">
        <v>9099</v>
      </c>
      <c r="L15" s="4" t="n">
        <v>12056</v>
      </c>
      <c r="M15" s="4" t="n">
        <v>6736</v>
      </c>
      <c r="N15" s="4" t="n">
        <v>6861</v>
      </c>
      <c r="O15" s="4" t="n">
        <v>10151</v>
      </c>
    </row>
    <row r="16">
      <c r="A16" s="3" t="inlineStr">
        <is>
          <t>Accrued Expenses</t>
        </is>
      </c>
      <c r="B16" s="4" t="n">
        <v>23371</v>
      </c>
      <c r="C16" s="4" t="n">
        <v>21556</v>
      </c>
      <c r="D16" s="4" t="n">
        <v>22005</v>
      </c>
      <c r="E16" s="4" t="n">
        <v>23723</v>
      </c>
      <c r="F16" s="4" t="n">
        <v>25137</v>
      </c>
      <c r="G16" s="4" t="n">
        <v>22073</v>
      </c>
      <c r="H16" s="4" t="n">
        <v>22859</v>
      </c>
      <c r="I16" s="4" t="n">
        <v>23791</v>
      </c>
      <c r="J16" s="4" t="n">
        <v>24454</v>
      </c>
      <c r="K16" s="4" t="n">
        <v>22412</v>
      </c>
      <c r="L16" s="4" t="n">
        <v>24340</v>
      </c>
      <c r="M16" s="4" t="n">
        <v>24763</v>
      </c>
      <c r="N16" s="4" t="n">
        <v>25903</v>
      </c>
      <c r="O16" s="4" t="n">
        <v>24326</v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6">
        <f>SUM(F15:F16)</f>
        <v/>
      </c>
      <c r="G17" s="6">
        <f>SUM(G15:G16)</f>
        <v/>
      </c>
      <c r="H17" s="6">
        <f>SUM(H15:H16)</f>
        <v/>
      </c>
      <c r="I17" s="6">
        <f>SUM(I15:I16)</f>
        <v/>
      </c>
      <c r="J17" s="6">
        <f>SUM(J15:J16)</f>
        <v/>
      </c>
      <c r="K17" s="6">
        <f>SUM(K15:K16)</f>
        <v/>
      </c>
      <c r="L17" s="6">
        <f>SUM(L15:L16)</f>
        <v/>
      </c>
      <c r="M17" s="6">
        <f>SUM(M15:M16)</f>
        <v/>
      </c>
      <c r="N17" s="6">
        <f>SUM(N15:N16)</f>
        <v/>
      </c>
      <c r="O17" s="6">
        <f>SUM(O15:O16)</f>
        <v/>
      </c>
    </row>
    <row r="18">
      <c r="A18" s="3" t="inlineStr">
        <is>
          <t>Long-Term Debt</t>
        </is>
      </c>
      <c r="B18" s="4" t="n">
        <v>35657</v>
      </c>
      <c r="C18" s="4" t="n">
        <v>37486</v>
      </c>
      <c r="D18" s="4" t="n">
        <v>36008</v>
      </c>
      <c r="E18" s="4" t="n">
        <v>35837</v>
      </c>
      <c r="F18" s="4" t="n">
        <v>37595</v>
      </c>
      <c r="G18" s="4" t="n">
        <v>37707</v>
      </c>
      <c r="H18" s="4" t="n">
        <v>36638</v>
      </c>
      <c r="I18" s="4" t="n">
        <v>38490</v>
      </c>
      <c r="J18" s="4" t="n">
        <v>37224</v>
      </c>
      <c r="K18" s="4" t="n">
        <v>39419</v>
      </c>
      <c r="L18" s="4" t="n">
        <v>39328</v>
      </c>
      <c r="M18" s="4" t="n">
        <v>44113</v>
      </c>
      <c r="N18" s="4" t="n">
        <v>42321</v>
      </c>
      <c r="O18" s="4" t="n">
        <v>42577</v>
      </c>
    </row>
    <row r="19">
      <c r="A19" s="3" t="inlineStr">
        <is>
          <t>Deferred Tax Liability</t>
        </is>
      </c>
      <c r="B19" s="4" t="n">
        <v>4133</v>
      </c>
      <c r="C19" s="4" t="n">
        <v>4039</v>
      </c>
      <c r="D19" s="4" t="n">
        <v>4113</v>
      </c>
      <c r="E19" s="4" t="n">
        <v>4047</v>
      </c>
      <c r="F19" s="4" t="n">
        <v>3895</v>
      </c>
      <c r="G19" s="4" t="n">
        <v>4087</v>
      </c>
      <c r="H19" s="4" t="n">
        <v>3908</v>
      </c>
      <c r="I19" s="4" t="n">
        <v>3684</v>
      </c>
      <c r="J19" s="4" t="n">
        <v>3484</v>
      </c>
      <c r="K19" s="4" t="n">
        <v>3541</v>
      </c>
      <c r="L19" s="4" t="n">
        <v>3102</v>
      </c>
      <c r="M19" s="4" t="n">
        <v>3474</v>
      </c>
      <c r="N19" s="4" t="n">
        <v>3802</v>
      </c>
      <c r="O19" s="4" t="n">
        <v>4048</v>
      </c>
    </row>
    <row r="20">
      <c r="A20" s="3" t="inlineStr">
        <is>
          <t>Other Non-Current Liabilities</t>
        </is>
      </c>
      <c r="B20" s="4" t="n">
        <v>8339</v>
      </c>
      <c r="C20" s="4" t="n">
        <v>8505</v>
      </c>
      <c r="D20" s="4" t="n">
        <v>8342</v>
      </c>
      <c r="E20" s="4" t="n">
        <v>8439</v>
      </c>
      <c r="F20" s="4" t="n">
        <v>8721</v>
      </c>
      <c r="G20" s="4" t="n">
        <v>8822</v>
      </c>
      <c r="H20" s="4" t="n">
        <v>8259</v>
      </c>
      <c r="I20" s="4" t="n">
        <v>8419</v>
      </c>
      <c r="J20" s="4" t="n">
        <v>9052</v>
      </c>
      <c r="K20" s="4" t="n">
        <v>8737</v>
      </c>
      <c r="L20" s="4" t="n">
        <v>7960</v>
      </c>
      <c r="M20" s="4" t="n">
        <v>7929</v>
      </c>
      <c r="N20" s="4" t="n">
        <v>7965</v>
      </c>
      <c r="O20" s="4" t="n">
        <v>8008</v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6">
        <f>F17+SUM(F18:F20)</f>
        <v/>
      </c>
      <c r="G21" s="6">
        <f>G17+SUM(G18:G20)</f>
        <v/>
      </c>
      <c r="H21" s="6">
        <f>H17+SUM(H18:H20)</f>
        <v/>
      </c>
      <c r="I21" s="6">
        <f>I17+SUM(I18:I20)</f>
        <v/>
      </c>
      <c r="J21" s="6">
        <f>J17+SUM(J18:J20)</f>
        <v/>
      </c>
      <c r="K21" s="6">
        <f>K17+SUM(K18:K20)</f>
        <v/>
      </c>
      <c r="L21" s="6">
        <f>L17+SUM(L18:L20)</f>
        <v/>
      </c>
      <c r="M21" s="6">
        <f>M17+SUM(M18:M20)</f>
        <v/>
      </c>
      <c r="N21" s="6">
        <f>N17+SUM(N18:N20)</f>
        <v/>
      </c>
      <c r="O21" s="6">
        <f>O17+SUM(O18:O20)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4" t="n">
        <v>23</v>
      </c>
      <c r="G22" s="4" t="n">
        <v>23</v>
      </c>
      <c r="H22" s="4" t="n">
        <v>23</v>
      </c>
      <c r="I22" s="4" t="n">
        <v>23</v>
      </c>
      <c r="J22" s="4" t="n">
        <v>23</v>
      </c>
      <c r="K22" s="4" t="n">
        <v>23</v>
      </c>
      <c r="L22" s="4" t="n">
        <v>23</v>
      </c>
      <c r="M22" s="4" t="n">
        <v>23</v>
      </c>
      <c r="N22" s="4" t="n">
        <v>23</v>
      </c>
      <c r="O22" s="4" t="n">
        <v>23</v>
      </c>
    </row>
    <row r="23">
      <c r="A23" s="3" t="inlineStr">
        <is>
          <t>Additional Paid-in Capital</t>
        </is>
      </c>
      <c r="B23" s="4" t="n">
        <v>4134</v>
      </c>
      <c r="C23" s="4" t="n">
        <v>3996</v>
      </c>
      <c r="D23" s="4" t="n">
        <v>4082</v>
      </c>
      <c r="E23" s="4" t="n">
        <v>4154</v>
      </c>
      <c r="F23" s="4" t="n">
        <v>4261</v>
      </c>
      <c r="G23" s="4" t="n">
        <v>4132</v>
      </c>
      <c r="H23" s="4" t="n">
        <v>4203</v>
      </c>
      <c r="I23" s="4" t="n">
        <v>4281</v>
      </c>
      <c r="J23" s="4" t="n">
        <v>4385</v>
      </c>
      <c r="K23" s="4" t="n">
        <v>4274</v>
      </c>
      <c r="L23" s="4" t="n">
        <v>4299</v>
      </c>
      <c r="M23" s="4" t="n">
        <v>4374</v>
      </c>
      <c r="N23" s="4" t="n">
        <v>4451</v>
      </c>
      <c r="O23" s="4" t="n">
        <v>4401</v>
      </c>
    </row>
    <row r="24">
      <c r="A24" s="3" t="inlineStr">
        <is>
          <t>Retained Earnings (Accumulated Deficit)</t>
        </is>
      </c>
      <c r="B24" s="4" t="n">
        <v>67800</v>
      </c>
      <c r="C24" s="4" t="n">
        <v>68142</v>
      </c>
      <c r="D24" s="4" t="n">
        <v>69135</v>
      </c>
      <c r="E24" s="4" t="n">
        <v>70479</v>
      </c>
      <c r="F24" s="4" t="n">
        <v>70035</v>
      </c>
      <c r="G24" s="4" t="n">
        <v>70331</v>
      </c>
      <c r="H24" s="4" t="n">
        <v>71545</v>
      </c>
      <c r="I24" s="4" t="n">
        <v>72607</v>
      </c>
      <c r="J24" s="4" t="n">
        <v>72266</v>
      </c>
      <c r="K24" s="4" t="n">
        <v>72238</v>
      </c>
      <c r="L24" s="4" t="n">
        <v>71547</v>
      </c>
      <c r="M24" s="4" t="n">
        <v>72197</v>
      </c>
      <c r="N24" s="4" t="n">
        <v>72788</v>
      </c>
      <c r="O24" s="4" t="n">
        <v>73165</v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-15601</v>
      </c>
      <c r="D25" s="4" t="n">
        <v>-15780</v>
      </c>
      <c r="E25" s="4" t="n">
        <v>-15794</v>
      </c>
      <c r="F25" s="4" t="n">
        <v>-15534</v>
      </c>
      <c r="G25" s="4" t="n">
        <v>-15179</v>
      </c>
      <c r="H25" s="4" t="n">
        <v>-15786</v>
      </c>
      <c r="I25" s="4" t="n">
        <v>-16652</v>
      </c>
      <c r="J25" s="4" t="n">
        <v>-17612</v>
      </c>
      <c r="K25" s="4" t="n">
        <v>-17078</v>
      </c>
      <c r="L25" s="4" t="n">
        <v>-16090</v>
      </c>
      <c r="M25" s="4" t="n">
        <v>-15597</v>
      </c>
      <c r="N25" s="4" t="n">
        <v>-15024</v>
      </c>
      <c r="O25" s="4" t="n">
        <v>-14342</v>
      </c>
    </row>
    <row r="26">
      <c r="A26" s="3" t="inlineStr">
        <is>
          <t>Treasury Stock</t>
        </is>
      </c>
      <c r="B26" s="4" t="n">
        <v>-39506</v>
      </c>
      <c r="C26" s="4" t="n">
        <v>-39518</v>
      </c>
      <c r="D26" s="4" t="n">
        <v>-39775</v>
      </c>
      <c r="E26" s="4" t="n">
        <v>-40056</v>
      </c>
      <c r="F26" s="4" t="n">
        <v>-40282</v>
      </c>
      <c r="G26" s="4" t="n">
        <v>-40260</v>
      </c>
      <c r="H26" s="4" t="n">
        <v>-40539</v>
      </c>
      <c r="I26" s="4" t="n">
        <v>-40806</v>
      </c>
      <c r="J26" s="4" t="n">
        <v>-41021</v>
      </c>
      <c r="K26" s="4" t="n">
        <v>-41068</v>
      </c>
      <c r="L26" s="4" t="n">
        <v>-41361</v>
      </c>
      <c r="M26" s="4" t="n">
        <v>-41609</v>
      </c>
      <c r="N26" s="4" t="n">
        <v>-41832</v>
      </c>
      <c r="O26" s="4" t="n">
        <v>-41864</v>
      </c>
    </row>
    <row r="27">
      <c r="A27" s="3" t="inlineStr">
        <is>
          <t>Noncontrolling Interest</t>
        </is>
      </c>
      <c r="B27" s="4" t="n">
        <v>124</v>
      </c>
      <c r="C27" s="4" t="n">
        <v>133</v>
      </c>
      <c r="D27" s="4" t="n">
        <v>140</v>
      </c>
      <c r="E27" s="4" t="n">
        <v>164</v>
      </c>
      <c r="F27" s="4" t="n">
        <v>134</v>
      </c>
      <c r="G27" s="4" t="n">
        <v>143</v>
      </c>
      <c r="H27" s="4" t="n">
        <v>134</v>
      </c>
      <c r="I27" s="4" t="n">
        <v>152</v>
      </c>
      <c r="J27" s="4" t="n">
        <v>130</v>
      </c>
      <c r="K27" s="4" t="n">
        <v>140</v>
      </c>
      <c r="L27" s="4" t="n">
        <v>141</v>
      </c>
      <c r="M27" s="4" t="n">
        <v>155</v>
      </c>
      <c r="N27" s="4" t="n">
        <v>141</v>
      </c>
      <c r="O27" s="4" t="n">
        <v>153</v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6">
        <f>SUM(F22:F27)</f>
        <v/>
      </c>
      <c r="G28" s="6">
        <f>SUM(G22:G27)</f>
        <v/>
      </c>
      <c r="H28" s="6">
        <f>SUM(H22:H27)</f>
        <v/>
      </c>
      <c r="I28" s="6">
        <f>SUM(I22:I27)</f>
        <v/>
      </c>
      <c r="J28" s="6">
        <f>SUM(J22:J27)</f>
        <v/>
      </c>
      <c r="K28" s="6">
        <f>SUM(K22:K27)</f>
        <v/>
      </c>
      <c r="L28" s="6">
        <f>SUM(L22:L27)</f>
        <v/>
      </c>
      <c r="M28" s="6">
        <f>SUM(M22:M27)</f>
        <v/>
      </c>
      <c r="N28" s="6">
        <f>SUM(N22:N27)</f>
        <v/>
      </c>
      <c r="O28" s="6">
        <f>SUM(O22:O27)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6">
        <f>F21+F28</f>
        <v/>
      </c>
      <c r="G29" s="6">
        <f>G21+G28</f>
        <v/>
      </c>
      <c r="H29" s="6">
        <f>H21+H28</f>
        <v/>
      </c>
      <c r="I29" s="6">
        <f>I21+I28</f>
        <v/>
      </c>
      <c r="J29" s="6">
        <f>J21+J28</f>
        <v/>
      </c>
      <c r="K29" s="6">
        <f>K21+K28</f>
        <v/>
      </c>
      <c r="L29" s="6">
        <f>L21+L28</f>
        <v/>
      </c>
      <c r="M29" s="6">
        <f>M21+M28</f>
        <v/>
      </c>
      <c r="N29" s="6">
        <f>N21+N28</f>
        <v/>
      </c>
      <c r="O29" s="6">
        <f>O21+O28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Income (Loss)</t>
        </is>
      </c>
      <c r="B2" s="4" t="n">
        <v>4273</v>
      </c>
      <c r="C2" s="4" t="n">
        <v>5719</v>
      </c>
      <c r="D2" s="4" t="n">
        <v>8443</v>
      </c>
      <c r="E2" s="4" t="n">
        <v>1944</v>
      </c>
      <c r="F2" s="4" t="n">
        <v>4715</v>
      </c>
      <c r="G2" s="4" t="n">
        <v>7831</v>
      </c>
      <c r="H2" s="4" t="n">
        <v>2053</v>
      </c>
      <c r="I2" s="4" t="n">
        <v>5147</v>
      </c>
      <c r="J2" s="4" t="n">
        <v>8092</v>
      </c>
      <c r="K2" s="4" t="n">
        <v>1843</v>
      </c>
      <c r="L2" s="4" t="n">
        <v>3122</v>
      </c>
      <c r="M2" s="4" t="n">
        <v>5740</v>
      </c>
      <c r="N2" s="4" t="n">
        <v>2338</v>
      </c>
    </row>
    <row r="3">
      <c r="A3" s="3" t="inlineStr">
        <is>
          <t>Depreciation &amp; Amortization</t>
        </is>
      </c>
      <c r="B3" s="4" t="n">
        <v>555</v>
      </c>
      <c r="C3" s="4" t="n">
        <v>1195</v>
      </c>
      <c r="D3" s="4" t="n">
        <v>1854</v>
      </c>
      <c r="E3" s="4" t="n">
        <v>590</v>
      </c>
      <c r="F3" s="4" t="n">
        <v>1268</v>
      </c>
      <c r="G3" s="4" t="n">
        <v>1973</v>
      </c>
      <c r="H3" s="4" t="n">
        <v>641</v>
      </c>
      <c r="I3" s="4" t="n">
        <v>1379</v>
      </c>
      <c r="J3" s="4" t="n">
        <v>2118</v>
      </c>
      <c r="K3" s="4" t="n">
        <v>684</v>
      </c>
      <c r="L3" s="4" t="n">
        <v>1491</v>
      </c>
      <c r="M3" s="4" t="n">
        <v>2315</v>
      </c>
      <c r="N3" s="4" t="n">
        <v>742</v>
      </c>
    </row>
    <row r="4">
      <c r="A4" s="3" t="inlineStr">
        <is>
          <t>Gain on Juice Transaction</t>
        </is>
      </c>
      <c r="B4" s="4" t="n">
        <v>-3322</v>
      </c>
      <c r="C4" s="4" t="n">
        <v>-3335</v>
      </c>
      <c r="D4" s="4" t="n">
        <v>-3321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3" t="inlineStr">
        <is>
          <t>Impairment and Other Charges</t>
        </is>
      </c>
      <c r="B5" s="4" t="n">
        <v>482</v>
      </c>
      <c r="C5" s="4" t="n">
        <v>1871</v>
      </c>
      <c r="D5" s="4" t="n">
        <v>1877</v>
      </c>
      <c r="E5" s="4" t="n">
        <v>-13</v>
      </c>
      <c r="F5" s="4" t="n">
        <v>97</v>
      </c>
      <c r="G5" s="4" t="n">
        <v>102</v>
      </c>
      <c r="H5" s="4" t="n">
        <v>0</v>
      </c>
      <c r="I5" s="4" t="n">
        <v>0</v>
      </c>
      <c r="J5" s="4" t="n">
        <v>10</v>
      </c>
      <c r="K5" s="4" t="n">
        <v>0</v>
      </c>
      <c r="L5" s="4" t="n">
        <v>1860</v>
      </c>
      <c r="M5" s="4" t="n">
        <v>1960</v>
      </c>
      <c r="N5" s="4" t="n">
        <v>0</v>
      </c>
    </row>
    <row r="6">
      <c r="A6" s="3" t="inlineStr">
        <is>
          <t>Product Recall Impact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167</v>
      </c>
      <c r="I6" s="4" t="n">
        <v>182</v>
      </c>
      <c r="J6" s="4" t="n">
        <v>184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Cash Payments for Product Recall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-108</v>
      </c>
      <c r="I7" s="4" t="n">
        <v>-135</v>
      </c>
      <c r="J7" s="4" t="n">
        <v>-138</v>
      </c>
      <c r="K7" s="4" t="n">
        <v>-2</v>
      </c>
      <c r="L7" s="4" t="n">
        <v>-2</v>
      </c>
      <c r="M7" s="4" t="n">
        <v>-5</v>
      </c>
      <c r="N7" s="4" t="n">
        <v>0</v>
      </c>
    </row>
    <row r="8">
      <c r="A8" s="3" t="inlineStr">
        <is>
          <t>Operating Lease ROU Asset Amortization</t>
        </is>
      </c>
      <c r="B8" s="4" t="n">
        <v>103</v>
      </c>
      <c r="C8" s="4" t="n">
        <v>223</v>
      </c>
      <c r="D8" s="4" t="n">
        <v>346</v>
      </c>
      <c r="E8" s="4" t="n">
        <v>116</v>
      </c>
      <c r="F8" s="4" t="n">
        <v>248</v>
      </c>
      <c r="G8" s="4" t="n">
        <v>384</v>
      </c>
      <c r="H8" s="4" t="n">
        <v>127</v>
      </c>
      <c r="I8" s="4" t="n">
        <v>278</v>
      </c>
      <c r="J8" s="4" t="n">
        <v>438</v>
      </c>
      <c r="K8" s="4" t="n">
        <v>145</v>
      </c>
      <c r="L8" s="4" t="n">
        <v>315</v>
      </c>
      <c r="M8" s="4" t="n">
        <v>489</v>
      </c>
      <c r="N8" s="4" t="n">
        <v>162</v>
      </c>
    </row>
    <row r="9">
      <c r="A9" s="3" t="inlineStr">
        <is>
          <t>Stock-Based Compensation</t>
        </is>
      </c>
      <c r="B9" s="4" t="n">
        <v>81</v>
      </c>
      <c r="C9" s="4" t="n">
        <v>156</v>
      </c>
      <c r="D9" s="4" t="n">
        <v>233</v>
      </c>
      <c r="E9" s="4" t="n">
        <v>93</v>
      </c>
      <c r="F9" s="4" t="n">
        <v>179</v>
      </c>
      <c r="G9" s="4" t="n">
        <v>267</v>
      </c>
      <c r="H9" s="4" t="n">
        <v>97</v>
      </c>
      <c r="I9" s="4" t="n">
        <v>183</v>
      </c>
      <c r="J9" s="4" t="n">
        <v>260</v>
      </c>
      <c r="K9" s="4" t="n">
        <v>77</v>
      </c>
      <c r="L9" s="4" t="n">
        <v>131</v>
      </c>
      <c r="M9" s="4" t="n">
        <v>207</v>
      </c>
      <c r="N9" s="4" t="n">
        <v>93</v>
      </c>
    </row>
    <row r="10">
      <c r="A10" s="3" t="inlineStr">
        <is>
          <t>Restructuring and Asset Impairment Charges</t>
        </is>
      </c>
      <c r="B10" s="4" t="n">
        <v>27</v>
      </c>
      <c r="C10" s="4" t="n">
        <v>75</v>
      </c>
      <c r="D10" s="4" t="n">
        <v>126</v>
      </c>
      <c r="E10" s="4" t="n">
        <v>112</v>
      </c>
      <c r="F10" s="4" t="n">
        <v>204</v>
      </c>
      <c r="G10" s="4" t="n">
        <v>287</v>
      </c>
      <c r="H10" s="4" t="n">
        <v>96</v>
      </c>
      <c r="I10" s="4" t="n">
        <v>170</v>
      </c>
      <c r="J10" s="4" t="n">
        <v>415</v>
      </c>
      <c r="K10" s="4" t="n">
        <v>213</v>
      </c>
      <c r="L10" s="4" t="n">
        <v>426</v>
      </c>
      <c r="M10" s="4" t="n">
        <v>567</v>
      </c>
      <c r="N10" s="4" t="n">
        <v>133</v>
      </c>
    </row>
    <row r="11">
      <c r="A11" s="3" t="inlineStr">
        <is>
          <t>Cash Payments for Restructuring</t>
        </is>
      </c>
      <c r="B11" s="4" t="n">
        <v>-32</v>
      </c>
      <c r="C11" s="4" t="n">
        <v>-82</v>
      </c>
      <c r="D11" s="4" t="n">
        <v>-134</v>
      </c>
      <c r="E11" s="4" t="n">
        <v>-64</v>
      </c>
      <c r="F11" s="4" t="n">
        <v>-187</v>
      </c>
      <c r="G11" s="4" t="n">
        <v>-283</v>
      </c>
      <c r="H11" s="4" t="n">
        <v>-60</v>
      </c>
      <c r="I11" s="4" t="n">
        <v>-173</v>
      </c>
      <c r="J11" s="4" t="n">
        <v>-284</v>
      </c>
      <c r="K11" s="4" t="n">
        <v>-232</v>
      </c>
      <c r="L11" s="4" t="n">
        <v>-387</v>
      </c>
      <c r="M11" s="4" t="n">
        <v>-554</v>
      </c>
      <c r="N11" s="4" t="n">
        <v>-145</v>
      </c>
    </row>
    <row r="12">
      <c r="A12" s="3" t="inlineStr">
        <is>
          <t>Acquisition and Divestiture-Related Charges</t>
        </is>
      </c>
      <c r="B12" s="4" t="n">
        <v>56</v>
      </c>
      <c r="C12" s="4" t="n">
        <v>64</v>
      </c>
      <c r="D12" s="4" t="n">
        <v>69</v>
      </c>
      <c r="E12" s="4" t="n">
        <v>2</v>
      </c>
      <c r="F12" s="4" t="n">
        <v>9</v>
      </c>
      <c r="G12" s="4" t="n">
        <v>20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308</v>
      </c>
      <c r="N12" s="4" t="n">
        <v>-113</v>
      </c>
    </row>
    <row r="13">
      <c r="A13" s="3" t="inlineStr">
        <is>
          <t>Cash Payments for Acquisition and Divestiture Costs</t>
        </is>
      </c>
      <c r="B13" s="4" t="n">
        <v>-17</v>
      </c>
      <c r="C13" s="4" t="n">
        <v>-34</v>
      </c>
      <c r="D13" s="4" t="n">
        <v>-41</v>
      </c>
      <c r="E13" s="4" t="n">
        <v>-4</v>
      </c>
      <c r="F13" s="4" t="n">
        <v>-10</v>
      </c>
      <c r="G13" s="4" t="n">
        <v>-15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-80</v>
      </c>
      <c r="N13" s="4" t="n">
        <v>-14</v>
      </c>
    </row>
    <row r="14">
      <c r="A14" s="3" t="inlineStr">
        <is>
          <t>Pension and Postretirement Benefits Expense</t>
        </is>
      </c>
      <c r="B14" s="4" t="n">
        <v>-1</v>
      </c>
      <c r="C14" s="4" t="n">
        <v>139</v>
      </c>
      <c r="D14" s="4" t="n">
        <v>235</v>
      </c>
      <c r="E14" s="4" t="n">
        <v>30</v>
      </c>
      <c r="F14" s="4" t="n">
        <v>62</v>
      </c>
      <c r="G14" s="4" t="n">
        <v>93</v>
      </c>
      <c r="H14" s="4" t="n">
        <v>31</v>
      </c>
      <c r="I14" s="4" t="n">
        <v>67</v>
      </c>
      <c r="J14" s="4" t="n">
        <v>114</v>
      </c>
      <c r="K14" s="4" t="n">
        <v>48</v>
      </c>
      <c r="L14" s="4" t="n">
        <v>99</v>
      </c>
      <c r="M14" s="4" t="n">
        <v>164</v>
      </c>
      <c r="N14" s="4" t="n">
        <v>13</v>
      </c>
    </row>
    <row r="15">
      <c r="A15" s="3" t="inlineStr">
        <is>
          <t>Pension and Postretirement Benefits Contributions</t>
        </is>
      </c>
      <c r="B15" s="4" t="n">
        <v>-178</v>
      </c>
      <c r="C15" s="4" t="n">
        <v>-214</v>
      </c>
      <c r="D15" s="4" t="n">
        <v>-335</v>
      </c>
      <c r="E15" s="4" t="n">
        <v>-175</v>
      </c>
      <c r="F15" s="4" t="n">
        <v>-209</v>
      </c>
      <c r="G15" s="4" t="n">
        <v>-374</v>
      </c>
      <c r="H15" s="4" t="n">
        <v>-218</v>
      </c>
      <c r="I15" s="4" t="n">
        <v>-263</v>
      </c>
      <c r="J15" s="4" t="n">
        <v>-300</v>
      </c>
      <c r="K15" s="4" t="n">
        <v>-317</v>
      </c>
      <c r="L15" s="4" t="n">
        <v>-354</v>
      </c>
      <c r="M15" s="4" t="n">
        <v>-400</v>
      </c>
      <c r="N15" s="4" t="n">
        <v>-270</v>
      </c>
    </row>
    <row r="16">
      <c r="A16" s="3" t="inlineStr">
        <is>
          <t>(Benefit) Provision for Deferred Income Taxes</t>
        </is>
      </c>
      <c r="B16" s="4" t="n">
        <v>257</v>
      </c>
      <c r="C16" s="4" t="n">
        <v>49</v>
      </c>
      <c r="D16" s="4" t="n">
        <v>-322</v>
      </c>
      <c r="E16" s="4" t="n">
        <v>78</v>
      </c>
      <c r="F16" s="4" t="n">
        <v>270</v>
      </c>
      <c r="G16" s="4" t="n">
        <v>343</v>
      </c>
      <c r="H16" s="4" t="n">
        <v>116</v>
      </c>
      <c r="I16" s="4" t="n">
        <v>142</v>
      </c>
      <c r="J16" s="4" t="n">
        <v>124</v>
      </c>
      <c r="K16" s="4" t="n">
        <v>111</v>
      </c>
      <c r="L16" s="4" t="n">
        <v>-260</v>
      </c>
      <c r="M16" s="4" t="n">
        <v>30</v>
      </c>
      <c r="N16" s="4" t="n">
        <v>226</v>
      </c>
    </row>
    <row r="17">
      <c r="A17" s="3" t="inlineStr">
        <is>
          <t>Tax Expense Related to TCJ Act</t>
        </is>
      </c>
      <c r="B17" s="4" t="n">
        <v>0</v>
      </c>
      <c r="C17" s="4" t="n">
        <v>0</v>
      </c>
      <c r="D17" s="4" t="n">
        <v>86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</row>
    <row r="18">
      <c r="A18" s="3" t="inlineStr">
        <is>
          <t>Tax Payments Related to TCJ Act</t>
        </is>
      </c>
      <c r="B18" s="4" t="n">
        <v>0</v>
      </c>
      <c r="C18" s="4" t="n">
        <v>-309</v>
      </c>
      <c r="D18" s="4" t="n">
        <v>-309</v>
      </c>
      <c r="E18" s="4" t="n">
        <v>0</v>
      </c>
      <c r="F18" s="4" t="n">
        <v>-309</v>
      </c>
      <c r="G18" s="4" t="n">
        <v>-309</v>
      </c>
      <c r="H18" s="4" t="n">
        <v>0</v>
      </c>
      <c r="I18" s="4" t="n">
        <v>-579</v>
      </c>
      <c r="J18" s="4" t="n">
        <v>-579</v>
      </c>
      <c r="K18" s="4" t="n">
        <v>0</v>
      </c>
      <c r="L18" s="4" t="n">
        <v>-772</v>
      </c>
      <c r="M18" s="4" t="n">
        <v>-772</v>
      </c>
      <c r="N18" s="4" t="n">
        <v>0</v>
      </c>
    </row>
    <row r="19">
      <c r="A19" s="3" t="inlineStr">
        <is>
          <t>Accounts Receivable</t>
        </is>
      </c>
      <c r="B19" s="4" t="n">
        <v>-837</v>
      </c>
      <c r="C19" s="4" t="n">
        <v>-1753</v>
      </c>
      <c r="D19" s="4" t="n">
        <v>-2258</v>
      </c>
      <c r="E19" s="4" t="n">
        <v>-348</v>
      </c>
      <c r="F19" s="4" t="n">
        <v>-1330</v>
      </c>
      <c r="G19" s="4" t="n">
        <v>-1699</v>
      </c>
      <c r="H19" s="4" t="n">
        <v>-96</v>
      </c>
      <c r="I19" s="4" t="n">
        <v>-1138</v>
      </c>
      <c r="J19" s="4" t="n">
        <v>-1521</v>
      </c>
      <c r="K19" s="4" t="n">
        <v>-318</v>
      </c>
      <c r="L19" s="4" t="n">
        <v>-1582</v>
      </c>
      <c r="M19" s="4" t="n">
        <v>-1747</v>
      </c>
      <c r="N19" s="4" t="n">
        <v>-530</v>
      </c>
    </row>
    <row r="20">
      <c r="A20" s="3" t="inlineStr">
        <is>
          <t>Inventories</t>
        </is>
      </c>
      <c r="B20" s="4" t="n">
        <v>-549</v>
      </c>
      <c r="C20" s="4" t="n">
        <v>-990</v>
      </c>
      <c r="D20" s="4" t="n">
        <v>-837</v>
      </c>
      <c r="E20" s="4" t="n">
        <v>-542</v>
      </c>
      <c r="F20" s="4" t="n">
        <v>-851</v>
      </c>
      <c r="G20" s="4" t="n">
        <v>-473</v>
      </c>
      <c r="H20" s="4" t="n">
        <v>-291</v>
      </c>
      <c r="I20" s="4" t="n">
        <v>-696</v>
      </c>
      <c r="J20" s="4" t="n">
        <v>-492</v>
      </c>
      <c r="K20" s="4" t="n">
        <v>-238</v>
      </c>
      <c r="L20" s="4" t="n">
        <v>-800</v>
      </c>
      <c r="M20" s="4" t="n">
        <v>-449</v>
      </c>
      <c r="N20" s="4" t="n">
        <v>-315</v>
      </c>
    </row>
    <row r="21">
      <c r="A21" s="3" t="inlineStr">
        <is>
          <t>Prepaid Expenses</t>
        </is>
      </c>
      <c r="B21" s="4" t="n">
        <v>-190</v>
      </c>
      <c r="C21" s="4" t="n">
        <v>-186</v>
      </c>
      <c r="D21" s="4" t="n">
        <v>-124</v>
      </c>
      <c r="E21" s="4" t="n">
        <v>-288</v>
      </c>
      <c r="F21" s="4" t="n">
        <v>-271</v>
      </c>
      <c r="G21" s="4" t="n">
        <v>-242</v>
      </c>
      <c r="H21" s="4" t="n">
        <v>-342</v>
      </c>
      <c r="I21" s="4" t="n">
        <v>-365</v>
      </c>
      <c r="J21" s="4" t="n">
        <v>-200</v>
      </c>
      <c r="K21" s="4" t="n">
        <v>-307</v>
      </c>
      <c r="L21" s="4" t="n">
        <v>-354</v>
      </c>
      <c r="M21" s="4" t="n">
        <v>-223</v>
      </c>
      <c r="N21" s="4" t="n">
        <v>-406</v>
      </c>
    </row>
    <row r="22">
      <c r="A22" s="3" t="inlineStr">
        <is>
          <t>Accounts Payable</t>
        </is>
      </c>
      <c r="B22" s="4" t="n">
        <v>-1238</v>
      </c>
      <c r="C22" s="4" t="n">
        <v>-990</v>
      </c>
      <c r="D22" s="4" t="n">
        <v>426</v>
      </c>
      <c r="E22" s="4" t="n">
        <v>-2259</v>
      </c>
      <c r="F22" s="4" t="n">
        <v>-1960</v>
      </c>
      <c r="G22" s="4" t="n">
        <v>-859</v>
      </c>
      <c r="H22" s="4" t="n">
        <v>-3408</v>
      </c>
      <c r="I22" s="4" t="n">
        <v>-2968</v>
      </c>
      <c r="J22" s="4" t="n">
        <v>-2312</v>
      </c>
      <c r="K22" s="4" t="n">
        <v>-2671</v>
      </c>
      <c r="L22" s="4" t="n">
        <v>-2083</v>
      </c>
      <c r="M22" s="4" t="n">
        <v>-1647</v>
      </c>
      <c r="N22" s="4" t="n">
        <v>-1847</v>
      </c>
    </row>
    <row r="23">
      <c r="A23" s="3" t="inlineStr">
        <is>
          <t>Other Current Liabilities</t>
        </is>
      </c>
      <c r="B23" s="4" t="n">
        <v>489</v>
      </c>
      <c r="C23" s="4" t="n">
        <v>608</v>
      </c>
      <c r="D23" s="4" t="n">
        <v>718</v>
      </c>
      <c r="E23" s="4" t="n">
        <v>290</v>
      </c>
      <c r="F23" s="4" t="n">
        <v>100</v>
      </c>
      <c r="G23" s="4" t="n">
        <v>512</v>
      </c>
      <c r="H23" s="4" t="n">
        <v>222</v>
      </c>
      <c r="I23" s="4" t="n">
        <v>287</v>
      </c>
      <c r="J23" s="4" t="n">
        <v>426</v>
      </c>
      <c r="K23" s="4" t="n">
        <v>223</v>
      </c>
      <c r="L23" s="4" t="n">
        <v>415</v>
      </c>
      <c r="M23" s="4" t="n">
        <v>6</v>
      </c>
      <c r="N23" s="4" t="n">
        <v>131</v>
      </c>
    </row>
    <row r="24">
      <c r="A24" s="3" t="inlineStr">
        <is>
          <t>Other Operating Items</t>
        </is>
      </c>
      <c r="B24" s="4" t="n">
        <v>-133</v>
      </c>
      <c r="C24" s="4" t="n">
        <v>-325</v>
      </c>
      <c r="D24" s="4" t="n">
        <v>-426</v>
      </c>
      <c r="E24" s="4" t="n">
        <v>46</v>
      </c>
      <c r="F24" s="4" t="n">
        <v>-6</v>
      </c>
      <c r="G24" s="4" t="n">
        <v>72</v>
      </c>
      <c r="H24" s="4" t="n">
        <v>-68</v>
      </c>
      <c r="I24" s="4" t="n">
        <v>-203</v>
      </c>
      <c r="J24" s="4" t="n">
        <v>-135</v>
      </c>
      <c r="K24" s="4" t="n">
        <v>-232</v>
      </c>
      <c r="L24" s="4" t="n">
        <v>-269</v>
      </c>
      <c r="M24" s="4" t="n">
        <v>-441</v>
      </c>
      <c r="N24" s="4" t="n">
        <v>-157</v>
      </c>
    </row>
    <row r="25">
      <c r="A25" s="3" t="inlineStr">
        <is>
          <t>Cash Flow from Operations</t>
        </is>
      </c>
      <c r="B25" s="6">
        <f>SUM(B2:B24)</f>
        <v/>
      </c>
      <c r="C25" s="6">
        <f>SUM(C2:C24)</f>
        <v/>
      </c>
      <c r="D25" s="6">
        <f>SUM(D2:D24)</f>
        <v/>
      </c>
      <c r="E25" s="6">
        <f>SUM(E2:E24)</f>
        <v/>
      </c>
      <c r="F25" s="6">
        <f>SUM(F2:F24)</f>
        <v/>
      </c>
      <c r="G25" s="6">
        <f>SUM(G2:G24)</f>
        <v/>
      </c>
      <c r="H25" s="6">
        <f>SUM(H2:H24)</f>
        <v/>
      </c>
      <c r="I25" s="6">
        <f>SUM(I2:I24)</f>
        <v/>
      </c>
      <c r="J25" s="6">
        <f>SUM(J2:J24)</f>
        <v/>
      </c>
      <c r="K25" s="6">
        <f>SUM(K2:K24)</f>
        <v/>
      </c>
      <c r="L25" s="6">
        <f>SUM(L2:L24)</f>
        <v/>
      </c>
      <c r="M25" s="6">
        <f>SUM(M2:M24)</f>
        <v/>
      </c>
      <c r="N25" s="6">
        <f>SUM(N2:N24)</f>
        <v/>
      </c>
    </row>
    <row r="26">
      <c r="A26" s="3" t="inlineStr">
        <is>
          <t>Purchase of PP&amp;E</t>
        </is>
      </c>
      <c r="B26" s="4" t="n">
        <v>-522</v>
      </c>
      <c r="C26" s="4" t="n">
        <v>-1499</v>
      </c>
      <c r="D26" s="4" t="n">
        <v>-2556</v>
      </c>
      <c r="E26" s="4" t="n">
        <v>-581</v>
      </c>
      <c r="F26" s="4" t="n">
        <v>-1513</v>
      </c>
      <c r="G26" s="4" t="n">
        <v>-2537</v>
      </c>
      <c r="H26" s="4" t="n">
        <v>-614</v>
      </c>
      <c r="I26" s="4" t="n">
        <v>-1701</v>
      </c>
      <c r="J26" s="4" t="n">
        <v>-2850</v>
      </c>
      <c r="K26" s="4" t="n">
        <v>-603</v>
      </c>
      <c r="L26" s="4" t="n">
        <v>-1507</v>
      </c>
      <c r="M26" s="4" t="n">
        <v>-2499</v>
      </c>
      <c r="N26" s="4" t="n">
        <v>-447</v>
      </c>
    </row>
    <row r="27">
      <c r="A27" s="3" t="inlineStr">
        <is>
          <t>Proceeds from Sale of Assets</t>
        </is>
      </c>
      <c r="B27" s="4" t="n">
        <v>3</v>
      </c>
      <c r="C27" s="4" t="n">
        <v>222</v>
      </c>
      <c r="D27" s="4" t="n">
        <v>228</v>
      </c>
      <c r="E27" s="4" t="n">
        <v>19</v>
      </c>
      <c r="F27" s="4" t="n">
        <v>122</v>
      </c>
      <c r="G27" s="4" t="n">
        <v>131</v>
      </c>
      <c r="H27" s="4" t="n">
        <v>7</v>
      </c>
      <c r="I27" s="4" t="n">
        <v>127</v>
      </c>
      <c r="J27" s="4" t="n">
        <v>177</v>
      </c>
      <c r="K27" s="4" t="n">
        <v>132</v>
      </c>
      <c r="L27" s="4" t="n">
        <v>169</v>
      </c>
      <c r="M27" s="4" t="n">
        <v>272</v>
      </c>
      <c r="N27" s="4" t="n">
        <v>13</v>
      </c>
    </row>
    <row r="28">
      <c r="A28" s="3" t="inlineStr">
        <is>
          <t>Acquisitions, Net of Cash Acquired</t>
        </is>
      </c>
      <c r="B28" s="4" t="n">
        <v>-13</v>
      </c>
      <c r="C28" s="4" t="n">
        <v>-29</v>
      </c>
      <c r="D28" s="4" t="n">
        <v>-804</v>
      </c>
      <c r="E28" s="4" t="n">
        <v>-16</v>
      </c>
      <c r="F28" s="4" t="n">
        <v>-83</v>
      </c>
      <c r="G28" s="4" t="n">
        <v>-132</v>
      </c>
      <c r="H28" s="4" t="n">
        <v>-6</v>
      </c>
      <c r="I28" s="4" t="n">
        <v>-30</v>
      </c>
      <c r="J28" s="4" t="n">
        <v>-31</v>
      </c>
      <c r="K28" s="4" t="n">
        <v>-1200</v>
      </c>
      <c r="L28" s="4" t="n">
        <v>-3130</v>
      </c>
      <c r="M28" s="4" t="n">
        <v>-3176</v>
      </c>
      <c r="N28" s="4" t="n">
        <v>-67</v>
      </c>
    </row>
    <row r="29">
      <c r="A29" s="3" t="inlineStr">
        <is>
          <t>Proceeds from Juice Transaction</t>
        </is>
      </c>
      <c r="B29" s="4" t="n">
        <v>3456</v>
      </c>
      <c r="C29" s="4" t="n">
        <v>3456</v>
      </c>
      <c r="D29" s="4" t="n">
        <v>3456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</row>
    <row r="30">
      <c r="A30" s="3" t="inlineStr">
        <is>
          <t>Proceeds from Divestitures of Businesses</t>
        </is>
      </c>
      <c r="B30" s="4" t="n">
        <v>5</v>
      </c>
      <c r="C30" s="4" t="n">
        <v>15</v>
      </c>
      <c r="D30" s="4" t="n">
        <v>15</v>
      </c>
      <c r="E30" s="4" t="n">
        <v>85</v>
      </c>
      <c r="F30" s="4" t="n">
        <v>75</v>
      </c>
      <c r="G30" s="4" t="n">
        <v>75</v>
      </c>
      <c r="H30" s="4" t="n">
        <v>53</v>
      </c>
      <c r="I30" s="4" t="n">
        <v>135</v>
      </c>
      <c r="J30" s="4" t="n">
        <v>145</v>
      </c>
      <c r="K30" s="4" t="n">
        <v>2</v>
      </c>
      <c r="L30" s="4" t="n">
        <v>5</v>
      </c>
      <c r="M30" s="4" t="n">
        <v>5</v>
      </c>
      <c r="N30" s="4" t="n">
        <v>0</v>
      </c>
    </row>
    <row r="31">
      <c r="A31" s="3" t="inlineStr">
        <is>
          <t>Net Change in Short-Term Investments</t>
        </is>
      </c>
      <c r="B31" s="4" t="n">
        <v>22</v>
      </c>
      <c r="C31" s="4" t="n">
        <v>8</v>
      </c>
      <c r="D31" s="4" t="n">
        <v>-37</v>
      </c>
      <c r="E31" s="4" t="n">
        <v>-39</v>
      </c>
      <c r="F31" s="4" t="n">
        <v>-56</v>
      </c>
      <c r="G31" s="4" t="n">
        <v>35</v>
      </c>
      <c r="H31" s="4" t="n">
        <v>8</v>
      </c>
      <c r="I31" s="4" t="n">
        <v>1</v>
      </c>
      <c r="J31" s="4" t="n">
        <v>-421</v>
      </c>
      <c r="K31" s="4" t="n">
        <v>441</v>
      </c>
      <c r="L31" s="4" t="n">
        <v>447</v>
      </c>
      <c r="M31" s="4" t="n">
        <v>278</v>
      </c>
      <c r="N31" s="4" t="n">
        <v>5</v>
      </c>
    </row>
    <row r="32">
      <c r="A32" s="3" t="inlineStr">
        <is>
          <t>Other Investing Activities</t>
        </is>
      </c>
      <c r="B32" s="4" t="n">
        <v>4</v>
      </c>
      <c r="C32" s="4" t="n">
        <v>-1</v>
      </c>
      <c r="D32" s="4" t="n">
        <v>7</v>
      </c>
      <c r="E32" s="4" t="n">
        <v>0</v>
      </c>
      <c r="F32" s="4" t="n">
        <v>32</v>
      </c>
      <c r="G32" s="4" t="n">
        <v>49</v>
      </c>
      <c r="H32" s="4" t="n">
        <v>-10</v>
      </c>
      <c r="I32" s="4" t="n">
        <v>14</v>
      </c>
      <c r="J32" s="4" t="n">
        <v>15</v>
      </c>
      <c r="K32" s="4" t="n">
        <v>-4</v>
      </c>
      <c r="L32" s="4" t="n">
        <v>-111</v>
      </c>
      <c r="M32" s="4" t="n">
        <v>-117</v>
      </c>
      <c r="N32" s="4" t="n">
        <v>19</v>
      </c>
    </row>
    <row r="33">
      <c r="A33" s="3" t="inlineStr">
        <is>
          <t>Cash Flow from Investing</t>
        </is>
      </c>
      <c r="B33" s="6">
        <f>SUM(B26:B32)</f>
        <v/>
      </c>
      <c r="C33" s="6">
        <f>SUM(C26:C32)</f>
        <v/>
      </c>
      <c r="D33" s="6">
        <f>SUM(D26:D32)</f>
        <v/>
      </c>
      <c r="E33" s="6">
        <f>SUM(E26:E32)</f>
        <v/>
      </c>
      <c r="F33" s="6">
        <f>SUM(F26:F32)</f>
        <v/>
      </c>
      <c r="G33" s="6">
        <f>SUM(G26:G32)</f>
        <v/>
      </c>
      <c r="H33" s="6">
        <f>SUM(H26:H32)</f>
        <v/>
      </c>
      <c r="I33" s="6">
        <f>SUM(I26:I32)</f>
        <v/>
      </c>
      <c r="J33" s="6">
        <f>SUM(J26:J32)</f>
        <v/>
      </c>
      <c r="K33" s="6">
        <f>SUM(K26:K32)</f>
        <v/>
      </c>
      <c r="L33" s="6">
        <f>SUM(L26:L32)</f>
        <v/>
      </c>
      <c r="M33" s="6">
        <f>SUM(M26:M32)</f>
        <v/>
      </c>
      <c r="N33" s="6">
        <f>SUM(N26:N32)</f>
        <v/>
      </c>
    </row>
    <row r="34">
      <c r="A34" s="3" t="inlineStr">
        <is>
          <t>Proceeds from Issuance of Long-Term Debt</t>
        </is>
      </c>
      <c r="B34" s="4" t="n">
        <v>0</v>
      </c>
      <c r="C34" s="4" t="n">
        <v>0</v>
      </c>
      <c r="D34" s="4" t="n">
        <v>3377</v>
      </c>
      <c r="E34" s="4" t="n">
        <v>2986</v>
      </c>
      <c r="F34" s="4" t="n">
        <v>2986</v>
      </c>
      <c r="G34" s="4" t="n">
        <v>2986</v>
      </c>
      <c r="H34" s="4" t="n">
        <v>1761</v>
      </c>
      <c r="I34" s="4" t="n">
        <v>1765</v>
      </c>
      <c r="J34" s="4" t="n">
        <v>4014</v>
      </c>
      <c r="K34" s="4" t="n">
        <v>3505</v>
      </c>
      <c r="L34" s="4" t="n">
        <v>3521</v>
      </c>
      <c r="M34" s="4" t="n">
        <v>8179</v>
      </c>
      <c r="N34" s="4" t="n">
        <v>2964</v>
      </c>
    </row>
    <row r="35">
      <c r="A35" s="3" t="inlineStr">
        <is>
          <t>Repayments of Long-Term Debt</t>
        </is>
      </c>
      <c r="B35" s="4" t="n">
        <v>-1251</v>
      </c>
      <c r="C35" s="4" t="n">
        <v>-3202</v>
      </c>
      <c r="D35" s="4" t="n">
        <v>-3203</v>
      </c>
      <c r="E35" s="4" t="n">
        <v>-1251</v>
      </c>
      <c r="F35" s="4" t="n">
        <v>-2252</v>
      </c>
      <c r="G35" s="4" t="n">
        <v>-2253</v>
      </c>
      <c r="H35" s="4" t="n">
        <v>-1252</v>
      </c>
      <c r="I35" s="4" t="n">
        <v>-2882</v>
      </c>
      <c r="J35" s="4" t="n">
        <v>-2883</v>
      </c>
      <c r="K35" s="4" t="n">
        <v>-1541</v>
      </c>
      <c r="L35" s="4" t="n">
        <v>-2543</v>
      </c>
      <c r="M35" s="4" t="n">
        <v>-3245</v>
      </c>
      <c r="N35" s="4" t="n">
        <v>-1629</v>
      </c>
    </row>
    <row r="36">
      <c r="A36" s="3" t="inlineStr">
        <is>
          <t>Proceeds from Short-Term Debt</t>
        </is>
      </c>
      <c r="B36" s="4" t="n">
        <v>559</v>
      </c>
      <c r="C36" s="4" t="n">
        <v>1935</v>
      </c>
      <c r="D36" s="4" t="n">
        <v>1947</v>
      </c>
      <c r="E36" s="4" t="n">
        <v>393</v>
      </c>
      <c r="F36" s="4" t="n">
        <v>1660</v>
      </c>
      <c r="G36" s="4" t="n">
        <v>4688</v>
      </c>
      <c r="H36" s="4" t="n">
        <v>2313</v>
      </c>
      <c r="I36" s="4" t="n">
        <v>3080</v>
      </c>
      <c r="J36" s="4" t="n">
        <v>3808</v>
      </c>
      <c r="K36" s="4" t="n">
        <v>3656</v>
      </c>
      <c r="L36" s="4" t="n">
        <v>5251</v>
      </c>
      <c r="M36" s="4" t="n">
        <v>5528</v>
      </c>
      <c r="N36" s="4" t="n">
        <v>1937</v>
      </c>
    </row>
    <row r="37">
      <c r="A37" s="3" t="inlineStr">
        <is>
          <t>Repayments of Short-Term Debt</t>
        </is>
      </c>
      <c r="B37" s="4" t="n">
        <v>0</v>
      </c>
      <c r="C37" s="4" t="n">
        <v>0</v>
      </c>
      <c r="D37" s="4" t="n">
        <v>-1932</v>
      </c>
      <c r="E37" s="4" t="n">
        <v>-1</v>
      </c>
      <c r="F37" s="4" t="n">
        <v>-26</v>
      </c>
      <c r="G37" s="4" t="n">
        <v>-1037</v>
      </c>
      <c r="H37" s="4" t="n">
        <v>-1631</v>
      </c>
      <c r="I37" s="4" t="n">
        <v>-2138</v>
      </c>
      <c r="J37" s="4" t="n">
        <v>-4177</v>
      </c>
      <c r="K37" s="4" t="n">
        <v>-2119</v>
      </c>
      <c r="L37" s="4" t="n">
        <v>-2492</v>
      </c>
      <c r="M37" s="4" t="n">
        <v>-5417</v>
      </c>
      <c r="N37" s="4" t="n">
        <v>-676</v>
      </c>
    </row>
    <row r="38">
      <c r="A38" s="3" t="inlineStr">
        <is>
          <t>Net Change in Other Short-Term Debt</t>
        </is>
      </c>
      <c r="B38" s="4" t="n">
        <v>647</v>
      </c>
      <c r="C38" s="4" t="n">
        <v>844</v>
      </c>
      <c r="D38" s="4" t="n">
        <v>-45</v>
      </c>
      <c r="E38" s="4" t="n">
        <v>491</v>
      </c>
      <c r="F38" s="4" t="n">
        <v>2023</v>
      </c>
      <c r="G38" s="4" t="n">
        <v>1395</v>
      </c>
      <c r="H38" s="4" t="n">
        <v>774</v>
      </c>
      <c r="I38" s="4" t="n">
        <v>1286</v>
      </c>
      <c r="J38" s="4" t="n">
        <v>101</v>
      </c>
      <c r="K38" s="4" t="n">
        <v>373</v>
      </c>
      <c r="L38" s="4" t="n">
        <v>2438</v>
      </c>
      <c r="M38" s="4" t="n">
        <v>445</v>
      </c>
      <c r="N38" s="4" t="n">
        <v>1198</v>
      </c>
    </row>
    <row r="39">
      <c r="A39" s="3" t="inlineStr">
        <is>
          <t>Common Dividends</t>
        </is>
      </c>
      <c r="B39" s="4" t="n">
        <v>-1505</v>
      </c>
      <c r="C39" s="4" t="n">
        <v>-2997</v>
      </c>
      <c r="D39" s="4" t="n">
        <v>-4586</v>
      </c>
      <c r="E39" s="4" t="n">
        <v>-1608</v>
      </c>
      <c r="F39" s="4" t="n">
        <v>-3199</v>
      </c>
      <c r="G39" s="4" t="n">
        <v>-4941</v>
      </c>
      <c r="H39" s="4" t="n">
        <v>-1767</v>
      </c>
      <c r="I39" s="4" t="n">
        <v>-3506</v>
      </c>
      <c r="J39" s="4" t="n">
        <v>-5369</v>
      </c>
      <c r="K39" s="4" t="n">
        <v>-1882</v>
      </c>
      <c r="L39" s="4" t="n">
        <v>-3743</v>
      </c>
      <c r="M39" s="4" t="n">
        <v>-5692</v>
      </c>
      <c r="N39" s="4" t="n">
        <v>-1966</v>
      </c>
    </row>
    <row r="40">
      <c r="A40" s="3" t="inlineStr">
        <is>
          <t>Share Repurchases</t>
        </is>
      </c>
      <c r="B40" s="4" t="n">
        <v>-193</v>
      </c>
      <c r="C40" s="4" t="n">
        <v>-699</v>
      </c>
      <c r="D40" s="4" t="n">
        <v>-1156</v>
      </c>
      <c r="E40" s="4" t="n">
        <v>-160</v>
      </c>
      <c r="F40" s="4" t="n">
        <v>-453</v>
      </c>
      <c r="G40" s="4" t="n">
        <v>-751</v>
      </c>
      <c r="H40" s="4" t="n">
        <v>-146</v>
      </c>
      <c r="I40" s="4" t="n">
        <v>-461</v>
      </c>
      <c r="J40" s="4" t="n">
        <v>-760</v>
      </c>
      <c r="K40" s="4" t="n">
        <v>-183</v>
      </c>
      <c r="L40" s="4" t="n">
        <v>-494</v>
      </c>
      <c r="M40" s="4" t="n">
        <v>-752</v>
      </c>
      <c r="N40" s="4" t="n">
        <v>-182</v>
      </c>
    </row>
    <row r="41">
      <c r="A41" s="3" t="inlineStr">
        <is>
          <t>Proceeds from Exercise of Stock Options</t>
        </is>
      </c>
      <c r="B41" s="4" t="n">
        <v>49</v>
      </c>
      <c r="C41" s="4" t="n">
        <v>89</v>
      </c>
      <c r="D41" s="4" t="n">
        <v>113</v>
      </c>
      <c r="E41" s="4" t="n">
        <v>46</v>
      </c>
      <c r="F41" s="4" t="n">
        <v>86</v>
      </c>
      <c r="G41" s="4" t="n">
        <v>100</v>
      </c>
      <c r="H41" s="4" t="n">
        <v>66</v>
      </c>
      <c r="I41" s="4" t="n">
        <v>107</v>
      </c>
      <c r="J41" s="4" t="n">
        <v>138</v>
      </c>
      <c r="K41" s="4" t="n">
        <v>50</v>
      </c>
      <c r="L41" s="4" t="n">
        <v>58</v>
      </c>
      <c r="M41" s="4" t="n">
        <v>76</v>
      </c>
      <c r="N41" s="4" t="n">
        <v>93</v>
      </c>
    </row>
    <row r="42">
      <c r="A42" s="3" t="inlineStr">
        <is>
          <t>Tax Withholdings on RSU/PSU Settlement</t>
        </is>
      </c>
      <c r="B42" s="4" t="n">
        <v>-85</v>
      </c>
      <c r="C42" s="4" t="n">
        <v>-87</v>
      </c>
      <c r="D42" s="4" t="n">
        <v>-97</v>
      </c>
      <c r="E42" s="4" t="n">
        <v>-116</v>
      </c>
      <c r="F42" s="4" t="n">
        <v>-119</v>
      </c>
      <c r="G42" s="4" t="n">
        <v>-135</v>
      </c>
      <c r="H42" s="4" t="n">
        <v>-108</v>
      </c>
      <c r="I42" s="4" t="n">
        <v>-131</v>
      </c>
      <c r="J42" s="4" t="n">
        <v>-132</v>
      </c>
      <c r="K42" s="4" t="n">
        <v>-89</v>
      </c>
      <c r="L42" s="4" t="n">
        <v>-111</v>
      </c>
      <c r="M42" s="4" t="n">
        <v>-112</v>
      </c>
      <c r="N42" s="4" t="n">
        <v>-76</v>
      </c>
    </row>
    <row r="43">
      <c r="A43" s="3" t="inlineStr">
        <is>
          <t>Other Financing Activities</t>
        </is>
      </c>
      <c r="B43" s="4" t="n">
        <v>-1</v>
      </c>
      <c r="C43" s="4" t="n">
        <v>-15</v>
      </c>
      <c r="D43" s="4" t="n">
        <v>-25</v>
      </c>
      <c r="E43" s="4" t="n">
        <v>-3</v>
      </c>
      <c r="F43" s="4" t="n">
        <v>-16</v>
      </c>
      <c r="G43" s="4" t="n">
        <v>-18</v>
      </c>
      <c r="H43" s="4" t="n">
        <v>0</v>
      </c>
      <c r="I43" s="4" t="n">
        <v>-20</v>
      </c>
      <c r="J43" s="4" t="n">
        <v>-22</v>
      </c>
      <c r="K43" s="4" t="n">
        <v>-2</v>
      </c>
      <c r="L43" s="4" t="n">
        <v>-17</v>
      </c>
      <c r="M43" s="4" t="n">
        <v>-18</v>
      </c>
      <c r="N43" s="4" t="n">
        <v>-1</v>
      </c>
    </row>
    <row r="44">
      <c r="A44" s="3" t="inlineStr">
        <is>
          <t>Cash Flow from Financing</t>
        </is>
      </c>
      <c r="B44" s="6">
        <f>SUM(B34:B43)</f>
        <v/>
      </c>
      <c r="C44" s="6">
        <f>SUM(C34:C43)</f>
        <v/>
      </c>
      <c r="D44" s="6">
        <f>SUM(D34:D43)</f>
        <v/>
      </c>
      <c r="E44" s="6">
        <f>SUM(E34:E43)</f>
        <v/>
      </c>
      <c r="F44" s="6">
        <f>SUM(F34:F43)</f>
        <v/>
      </c>
      <c r="G44" s="6">
        <f>SUM(G34:G43)</f>
        <v/>
      </c>
      <c r="H44" s="6">
        <f>SUM(H34:H43)</f>
        <v/>
      </c>
      <c r="I44" s="6">
        <f>SUM(I34:I43)</f>
        <v/>
      </c>
      <c r="J44" s="6">
        <f>SUM(J34:J43)</f>
        <v/>
      </c>
      <c r="K44" s="6">
        <f>SUM(K34:K43)</f>
        <v/>
      </c>
      <c r="L44" s="6">
        <f>SUM(L34:L43)</f>
        <v/>
      </c>
      <c r="M44" s="6">
        <f>SUM(M34:M43)</f>
        <v/>
      </c>
      <c r="N44" s="6">
        <f>SUM(N34:N43)</f>
        <v/>
      </c>
    </row>
    <row r="45">
      <c r="A45" s="3" t="inlineStr">
        <is>
          <t>FX Effect on Cash</t>
        </is>
      </c>
      <c r="B45" s="4" t="n">
        <v>-17</v>
      </c>
      <c r="C45" s="4" t="n">
        <v>-83</v>
      </c>
      <c r="D45" s="4" t="n">
        <v>-197</v>
      </c>
      <c r="E45" s="4" t="n">
        <v>-116</v>
      </c>
      <c r="F45" s="4" t="n">
        <v>-144</v>
      </c>
      <c r="G45" s="4" t="n">
        <v>-254</v>
      </c>
      <c r="H45" s="4" t="n">
        <v>-38</v>
      </c>
      <c r="I45" s="4" t="n">
        <v>-304</v>
      </c>
      <c r="J45" s="4" t="n">
        <v>-391</v>
      </c>
      <c r="K45" s="4" t="n">
        <v>203</v>
      </c>
      <c r="L45" s="4" t="n">
        <v>422</v>
      </c>
      <c r="M45" s="4" t="n">
        <v>395</v>
      </c>
      <c r="N45" s="4" t="n">
        <v>121</v>
      </c>
    </row>
    <row r="46">
      <c r="A46" s="3" t="inlineStr">
        <is>
          <t>Net Change in Cash</t>
        </is>
      </c>
      <c r="B46" s="6">
        <f>B25+B33+B44+B45</f>
        <v/>
      </c>
      <c r="C46" s="6">
        <f>C25+C33+C44+C45</f>
        <v/>
      </c>
      <c r="D46" s="6">
        <f>D25+D33+D44+D45</f>
        <v/>
      </c>
      <c r="E46" s="6">
        <f>E25+E33+E44+E45</f>
        <v/>
      </c>
      <c r="F46" s="6">
        <f>F25+F33+F44+F45</f>
        <v/>
      </c>
      <c r="G46" s="6">
        <f>G25+G33+G44+G45</f>
        <v/>
      </c>
      <c r="H46" s="6">
        <f>H25+H33+H44+H45</f>
        <v/>
      </c>
      <c r="I46" s="6">
        <f>I25+I33+I44+I45</f>
        <v/>
      </c>
      <c r="J46" s="6">
        <f>J25+J33+J44+J45</f>
        <v/>
      </c>
      <c r="K46" s="6">
        <f>K25+K33+K44+K45</f>
        <v/>
      </c>
      <c r="L46" s="6">
        <f>L25+L33+L44+L45</f>
        <v/>
      </c>
      <c r="M46" s="6">
        <f>M25+M33+M44+M45</f>
        <v/>
      </c>
      <c r="N46" s="6">
        <f>N25+N33+N44+N45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  <c r="S2" s="11">
        <f>'QTR P&amp;L'!O2*(1+'IS DRIVERS'!S2)</f>
        <v/>
      </c>
      <c r="T2" s="11">
        <f>'QTR P&amp;L'!P2*(1+'IS DRIVERS'!T2)</f>
        <v/>
      </c>
      <c r="U2" s="11">
        <f>'QTR P&amp;L'!Q2*(1+'IS DRIVERS'!U2)</f>
        <v/>
      </c>
      <c r="V2" s="11">
        <f>'QTR P&amp;L'!R2*(1+'IS DRIVERS'!V2)</f>
        <v/>
      </c>
      <c r="W2" s="11">
        <f>'QTR P&amp;L'!S2*(1+'IS DRIVERS'!W2)</f>
        <v/>
      </c>
      <c r="X2" s="11">
        <f>'QTR P&amp;L'!T2*(1+'IS DRIVERS'!X2)</f>
        <v/>
      </c>
      <c r="Y2" s="11">
        <f>'QTR P&amp;L'!U2*(1+'IS DRIVERS'!Y2)</f>
        <v/>
      </c>
      <c r="Z2" s="11">
        <f>'QTR P&amp;L'!V2*(1+'IS DRIVERS'!Z2)</f>
        <v/>
      </c>
      <c r="AA2" s="11">
        <f>'QTR P&amp;L'!W2*(1+'IS DRIVERS'!AA2)</f>
        <v/>
      </c>
      <c r="AB2" s="11">
        <f>'QTR P&amp;L'!X2*(1+'IS DRIVERS'!AB2)</f>
        <v/>
      </c>
      <c r="AC2" s="11">
        <f>'QTR P&amp;L'!Y2*(1+'IS DRIVERS'!AC2)</f>
        <v/>
      </c>
      <c r="AD2" s="11">
        <f>'QTR P&amp;L'!Z2*(1+'IS DRIVERS'!AD2)</f>
        <v/>
      </c>
      <c r="AE2" s="11">
        <f>'QTR P&amp;L'!AA2*(1+'IS DRIVERS'!AE2)</f>
        <v/>
      </c>
      <c r="AF2" s="11">
        <f>'QTR P&amp;L'!AB2*(1+'IS DRIVERS'!AF2)</f>
        <v/>
      </c>
      <c r="AG2" s="11">
        <f>'QTR P&amp;L'!AC2*(1+'IS DRIVERS'!AG2)</f>
        <v/>
      </c>
      <c r="AH2" s="11">
        <f>'QTR P&amp;L'!AD2*(1+'IS DRIVERS'!AH2)</f>
        <v/>
      </c>
      <c r="AI2" s="11">
        <f>'QTR P&amp;L'!AE2*(1+'IS DRIVERS'!AI2)</f>
        <v/>
      </c>
      <c r="AJ2" s="11">
        <f>'QTR P&amp;L'!AF2*(1+'IS DRIVERS'!AJ2)</f>
        <v/>
      </c>
      <c r="AK2" s="11">
        <f>'QTR P&amp;L'!AG2*(1+'IS DRIVERS'!AK2)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  <c r="S3" s="11">
        <f>'QTR P&amp;L'!S2*'IS DRIVERS'!S3</f>
        <v/>
      </c>
      <c r="T3" s="11">
        <f>'QTR P&amp;L'!T2*'IS DRIVERS'!T3</f>
        <v/>
      </c>
      <c r="U3" s="11">
        <f>'QTR P&amp;L'!U2*'IS DRIVERS'!U3</f>
        <v/>
      </c>
      <c r="V3" s="11">
        <f>'QTR P&amp;L'!V2*'IS DRIVERS'!V3</f>
        <v/>
      </c>
      <c r="W3" s="11">
        <f>'QTR P&amp;L'!W2*'IS DRIVERS'!W3</f>
        <v/>
      </c>
      <c r="X3" s="11">
        <f>'QTR P&amp;L'!X2*'IS DRIVERS'!X3</f>
        <v/>
      </c>
      <c r="Y3" s="11">
        <f>'QTR P&amp;L'!Y2*'IS DRIVERS'!Y3</f>
        <v/>
      </c>
      <c r="Z3" s="11">
        <f>'QTR P&amp;L'!Z2*'IS DRIVERS'!Z3</f>
        <v/>
      </c>
      <c r="AA3" s="11">
        <f>'QTR P&amp;L'!AA2*'IS DRIVERS'!AA3</f>
        <v/>
      </c>
      <c r="AB3" s="11">
        <f>'QTR P&amp;L'!AB2*'IS DRIVERS'!AB3</f>
        <v/>
      </c>
      <c r="AC3" s="11">
        <f>'QTR P&amp;L'!AC2*'IS DRIVERS'!AC3</f>
        <v/>
      </c>
      <c r="AD3" s="11">
        <f>'QTR P&amp;L'!AD2*'IS DRIVERS'!AD3</f>
        <v/>
      </c>
      <c r="AE3" s="11">
        <f>'QTR P&amp;L'!AE2*'IS DRIVERS'!AE3</f>
        <v/>
      </c>
      <c r="AF3" s="11">
        <f>'QTR P&amp;L'!AF2*'IS DRIVERS'!AF3</f>
        <v/>
      </c>
      <c r="AG3" s="11">
        <f>'QTR P&amp;L'!AG2*'IS DRIVERS'!AG3</f>
        <v/>
      </c>
      <c r="AH3" s="11">
        <f>'QTR P&amp;L'!AH2*'IS DRIVERS'!AH3</f>
        <v/>
      </c>
      <c r="AI3" s="11">
        <f>'QTR P&amp;L'!AI2*'IS DRIVERS'!AI3</f>
        <v/>
      </c>
      <c r="AJ3" s="11">
        <f>'QTR P&amp;L'!AJ2*'IS DRIVERS'!AJ3</f>
        <v/>
      </c>
      <c r="AK3" s="11">
        <f>'QTR P&amp;L'!AK2*'IS DRIVERS'!AK3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  <c r="S4" s="12">
        <f>S2+S3</f>
        <v/>
      </c>
      <c r="T4" s="12">
        <f>T2+T3</f>
        <v/>
      </c>
      <c r="U4" s="12">
        <f>U2+U3</f>
        <v/>
      </c>
      <c r="V4" s="12">
        <f>V2+V3</f>
        <v/>
      </c>
      <c r="W4" s="12">
        <f>W2+W3</f>
        <v/>
      </c>
      <c r="X4" s="12">
        <f>X2+X3</f>
        <v/>
      </c>
      <c r="Y4" s="12">
        <f>Y2+Y3</f>
        <v/>
      </c>
      <c r="Z4" s="12">
        <f>Z2+Z3</f>
        <v/>
      </c>
      <c r="AA4" s="12">
        <f>AA2+AA3</f>
        <v/>
      </c>
      <c r="AB4" s="12">
        <f>AB2+AB3</f>
        <v/>
      </c>
      <c r="AC4" s="12">
        <f>AC2+AC3</f>
        <v/>
      </c>
      <c r="AD4" s="12">
        <f>AD2+AD3</f>
        <v/>
      </c>
      <c r="AE4" s="12">
        <f>AE2+AE3</f>
        <v/>
      </c>
      <c r="AF4" s="12">
        <f>AF2+AF3</f>
        <v/>
      </c>
      <c r="AG4" s="12">
        <f>AG2+AG3</f>
        <v/>
      </c>
      <c r="AH4" s="12">
        <f>AH2+AH3</f>
        <v/>
      </c>
      <c r="AI4" s="12">
        <f>AI2+AI3</f>
        <v/>
      </c>
      <c r="AJ4" s="12">
        <f>AJ2+AJ3</f>
        <v/>
      </c>
      <c r="AK4" s="12">
        <f>AK2+AK3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  <c r="S5" s="11">
        <f>'QTR P&amp;L'!S2*'IS DRIVERS'!S4</f>
        <v/>
      </c>
      <c r="T5" s="11">
        <f>'QTR P&amp;L'!T2*'IS DRIVERS'!T4</f>
        <v/>
      </c>
      <c r="U5" s="11">
        <f>'QTR P&amp;L'!U2*'IS DRIVERS'!U4</f>
        <v/>
      </c>
      <c r="V5" s="11">
        <f>'QTR P&amp;L'!V2*'IS DRIVERS'!V4</f>
        <v/>
      </c>
      <c r="W5" s="11">
        <f>'QTR P&amp;L'!W2*'IS DRIVERS'!W4</f>
        <v/>
      </c>
      <c r="X5" s="11">
        <f>'QTR P&amp;L'!X2*'IS DRIVERS'!X4</f>
        <v/>
      </c>
      <c r="Y5" s="11">
        <f>'QTR P&amp;L'!Y2*'IS DRIVERS'!Y4</f>
        <v/>
      </c>
      <c r="Z5" s="11">
        <f>'QTR P&amp;L'!Z2*'IS DRIVERS'!Z4</f>
        <v/>
      </c>
      <c r="AA5" s="11">
        <f>'QTR P&amp;L'!AA2*'IS DRIVERS'!AA4</f>
        <v/>
      </c>
      <c r="AB5" s="11">
        <f>'QTR P&amp;L'!AB2*'IS DRIVERS'!AB4</f>
        <v/>
      </c>
      <c r="AC5" s="11">
        <f>'QTR P&amp;L'!AC2*'IS DRIVERS'!AC4</f>
        <v/>
      </c>
      <c r="AD5" s="11">
        <f>'QTR P&amp;L'!AD2*'IS DRIVERS'!AD4</f>
        <v/>
      </c>
      <c r="AE5" s="11">
        <f>'QTR P&amp;L'!AE2*'IS DRIVERS'!AE4</f>
        <v/>
      </c>
      <c r="AF5" s="11">
        <f>'QTR P&amp;L'!AF2*'IS DRIVERS'!AF4</f>
        <v/>
      </c>
      <c r="AG5" s="11">
        <f>'QTR P&amp;L'!AG2*'IS DRIVERS'!AG4</f>
        <v/>
      </c>
      <c r="AH5" s="11">
        <f>'QTR P&amp;L'!AH2*'IS DRIVERS'!AH4</f>
        <v/>
      </c>
      <c r="AI5" s="11">
        <f>'QTR P&amp;L'!AI2*'IS DRIVERS'!AI4</f>
        <v/>
      </c>
      <c r="AJ5" s="11">
        <f>'QTR P&amp;L'!AJ2*'IS DRIVERS'!AJ4</f>
        <v/>
      </c>
      <c r="AK5" s="11">
        <f>'QTR P&amp;L'!AK2*'IS DRIVERS'!AK4</f>
        <v/>
      </c>
    </row>
    <row r="6">
      <c r="A6" s="3" t="inlineStr">
        <is>
          <t>Gain on Juice Transaction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  <c r="S6" s="11">
        <f>0</f>
        <v/>
      </c>
      <c r="T6" s="11">
        <f>0</f>
        <v/>
      </c>
      <c r="U6" s="11">
        <f>0</f>
        <v/>
      </c>
      <c r="V6" s="11">
        <f>0</f>
        <v/>
      </c>
      <c r="W6" s="11">
        <f>0</f>
        <v/>
      </c>
      <c r="X6" s="11">
        <f>0</f>
        <v/>
      </c>
      <c r="Y6" s="11">
        <f>0</f>
        <v/>
      </c>
      <c r="Z6" s="11">
        <f>0</f>
        <v/>
      </c>
      <c r="AA6" s="11">
        <f>0</f>
        <v/>
      </c>
      <c r="AB6" s="11">
        <f>0</f>
        <v/>
      </c>
      <c r="AC6" s="11">
        <f>0</f>
        <v/>
      </c>
      <c r="AD6" s="11">
        <f>0</f>
        <v/>
      </c>
      <c r="AE6" s="11">
        <f>0</f>
        <v/>
      </c>
      <c r="AF6" s="11">
        <f>0</f>
        <v/>
      </c>
      <c r="AG6" s="11">
        <f>0</f>
        <v/>
      </c>
      <c r="AH6" s="11">
        <f>0</f>
        <v/>
      </c>
      <c r="AI6" s="11">
        <f>0</f>
        <v/>
      </c>
      <c r="AJ6" s="11">
        <f>0</f>
        <v/>
      </c>
      <c r="AK6" s="11">
        <f>0</f>
        <v/>
      </c>
    </row>
    <row r="7">
      <c r="A7" s="3" t="inlineStr">
        <is>
          <t>Impairment of Intangibles</t>
        </is>
      </c>
      <c r="B7" s="4">
        <f>'YTD P&amp;L'!B7</f>
        <v/>
      </c>
      <c r="C7" s="4">
        <f>'YTD P&amp;L'!C7-'YTD P&amp;L'!B7</f>
        <v/>
      </c>
      <c r="D7" s="4">
        <f>'YTD P&amp;L'!D7-'YTD P&amp;L'!C7</f>
        <v/>
      </c>
      <c r="E7" s="4">
        <f>'ANNL P&amp;L'!C7-'YTD P&amp;L'!D7</f>
        <v/>
      </c>
      <c r="F7" s="4">
        <f>'YTD P&amp;L'!E7</f>
        <v/>
      </c>
      <c r="G7" s="4">
        <f>'YTD P&amp;L'!F7-'YTD P&amp;L'!E7</f>
        <v/>
      </c>
      <c r="H7" s="4">
        <f>'YTD P&amp;L'!G7-'YTD P&amp;L'!F7</f>
        <v/>
      </c>
      <c r="I7" s="4">
        <f>'ANNL P&amp;L'!D7-'YTD P&amp;L'!G7</f>
        <v/>
      </c>
      <c r="J7" s="4">
        <f>'YTD P&amp;L'!H7</f>
        <v/>
      </c>
      <c r="K7" s="4">
        <f>'YTD P&amp;L'!I7-'YTD P&amp;L'!H7</f>
        <v/>
      </c>
      <c r="L7" s="4">
        <f>'YTD P&amp;L'!J7-'YTD P&amp;L'!I7</f>
        <v/>
      </c>
      <c r="M7" s="4">
        <f>'ANNL P&amp;L'!E7-'YTD P&amp;L'!J7</f>
        <v/>
      </c>
      <c r="N7" s="4">
        <f>'YTD P&amp;L'!K7</f>
        <v/>
      </c>
      <c r="O7" s="4">
        <f>'YTD P&amp;L'!L7-'YTD P&amp;L'!K7</f>
        <v/>
      </c>
      <c r="P7" s="4">
        <f>'YTD P&amp;L'!M7-'YTD P&amp;L'!L7</f>
        <v/>
      </c>
      <c r="Q7" s="4">
        <f>'ANNL P&amp;L'!F7-'YTD P&amp;L'!M7</f>
        <v/>
      </c>
      <c r="R7" s="4">
        <f>'YTD P&amp;L'!N7</f>
        <v/>
      </c>
      <c r="S7" s="11">
        <f>'QTR P&amp;L'!S2*'IS DRIVERS'!S5</f>
        <v/>
      </c>
      <c r="T7" s="11">
        <f>'QTR P&amp;L'!T2*'IS DRIVERS'!T5</f>
        <v/>
      </c>
      <c r="U7" s="11">
        <f>'QTR P&amp;L'!U2*'IS DRIVERS'!U5</f>
        <v/>
      </c>
      <c r="V7" s="11">
        <f>'QTR P&amp;L'!V2*'IS DRIVERS'!V5</f>
        <v/>
      </c>
      <c r="W7" s="11">
        <f>'QTR P&amp;L'!W2*'IS DRIVERS'!W5</f>
        <v/>
      </c>
      <c r="X7" s="11">
        <f>'QTR P&amp;L'!X2*'IS DRIVERS'!X5</f>
        <v/>
      </c>
      <c r="Y7" s="11">
        <f>'QTR P&amp;L'!Y2*'IS DRIVERS'!Y5</f>
        <v/>
      </c>
      <c r="Z7" s="11">
        <f>'QTR P&amp;L'!Z2*'IS DRIVERS'!Z5</f>
        <v/>
      </c>
      <c r="AA7" s="11">
        <f>'QTR P&amp;L'!AA2*'IS DRIVERS'!AA5</f>
        <v/>
      </c>
      <c r="AB7" s="11">
        <f>'QTR P&amp;L'!AB2*'IS DRIVERS'!AB5</f>
        <v/>
      </c>
      <c r="AC7" s="11">
        <f>'QTR P&amp;L'!AC2*'IS DRIVERS'!AC5</f>
        <v/>
      </c>
      <c r="AD7" s="11">
        <f>'QTR P&amp;L'!AD2*'IS DRIVERS'!AD5</f>
        <v/>
      </c>
      <c r="AE7" s="11">
        <f>'QTR P&amp;L'!AE2*'IS DRIVERS'!AE5</f>
        <v/>
      </c>
      <c r="AF7" s="11">
        <f>'QTR P&amp;L'!AF2*'IS DRIVERS'!AF5</f>
        <v/>
      </c>
      <c r="AG7" s="11">
        <f>'QTR P&amp;L'!AG2*'IS DRIVERS'!AG5</f>
        <v/>
      </c>
      <c r="AH7" s="11">
        <f>'QTR P&amp;L'!AH2*'IS DRIVERS'!AH5</f>
        <v/>
      </c>
      <c r="AI7" s="11">
        <f>'QTR P&amp;L'!AI2*'IS DRIVERS'!AI5</f>
        <v/>
      </c>
      <c r="AJ7" s="11">
        <f>'QTR P&amp;L'!AJ2*'IS DRIVERS'!AJ5</f>
        <v/>
      </c>
      <c r="AK7" s="11">
        <f>'QTR P&amp;L'!AK2*'IS DRIVERS'!AK5</f>
        <v/>
      </c>
    </row>
    <row r="8">
      <c r="A8" s="3" t="inlineStr">
        <is>
          <t>Income (Loss) from Operations</t>
        </is>
      </c>
      <c r="B8" s="6">
        <f>'YTD P&amp;L'!B8</f>
        <v/>
      </c>
      <c r="C8" s="6">
        <f>'YTD P&amp;L'!C8-'YTD P&amp;L'!B8</f>
        <v/>
      </c>
      <c r="D8" s="6">
        <f>'YTD P&amp;L'!D8-'YTD P&amp;L'!C8</f>
        <v/>
      </c>
      <c r="E8" s="6">
        <f>'ANNL P&amp;L'!C8-'YTD P&amp;L'!D8</f>
        <v/>
      </c>
      <c r="F8" s="6">
        <f>'YTD P&amp;L'!E8</f>
        <v/>
      </c>
      <c r="G8" s="6">
        <f>'YTD P&amp;L'!F8-'YTD P&amp;L'!E8</f>
        <v/>
      </c>
      <c r="H8" s="6">
        <f>'YTD P&amp;L'!G8-'YTD P&amp;L'!F8</f>
        <v/>
      </c>
      <c r="I8" s="6">
        <f>'ANNL P&amp;L'!D8-'YTD P&amp;L'!G8</f>
        <v/>
      </c>
      <c r="J8" s="6">
        <f>'YTD P&amp;L'!H8</f>
        <v/>
      </c>
      <c r="K8" s="6">
        <f>'YTD P&amp;L'!I8-'YTD P&amp;L'!H8</f>
        <v/>
      </c>
      <c r="L8" s="6">
        <f>'YTD P&amp;L'!J8-'YTD P&amp;L'!I8</f>
        <v/>
      </c>
      <c r="M8" s="6">
        <f>'ANNL P&amp;L'!E8-'YTD P&amp;L'!J8</f>
        <v/>
      </c>
      <c r="N8" s="6">
        <f>'YTD P&amp;L'!K8</f>
        <v/>
      </c>
      <c r="O8" s="6">
        <f>'YTD P&amp;L'!L8-'YTD P&amp;L'!K8</f>
        <v/>
      </c>
      <c r="P8" s="6">
        <f>'YTD P&amp;L'!M8-'YTD P&amp;L'!L8</f>
        <v/>
      </c>
      <c r="Q8" s="6">
        <f>'ANNL P&amp;L'!F8-'YTD P&amp;L'!M8</f>
        <v/>
      </c>
      <c r="R8" s="6">
        <f>'YTD P&amp;L'!N8</f>
        <v/>
      </c>
      <c r="S8" s="12">
        <f>S4+SUM(S5:S7)</f>
        <v/>
      </c>
      <c r="T8" s="12">
        <f>T4+SUM(T5:T7)</f>
        <v/>
      </c>
      <c r="U8" s="12">
        <f>U4+SUM(U5:U7)</f>
        <v/>
      </c>
      <c r="V8" s="12">
        <f>V4+SUM(V5:V7)</f>
        <v/>
      </c>
      <c r="W8" s="12">
        <f>W4+SUM(W5:W7)</f>
        <v/>
      </c>
      <c r="X8" s="12">
        <f>X4+SUM(X5:X7)</f>
        <v/>
      </c>
      <c r="Y8" s="12">
        <f>Y4+SUM(Y5:Y7)</f>
        <v/>
      </c>
      <c r="Z8" s="12">
        <f>Z4+SUM(Z5:Z7)</f>
        <v/>
      </c>
      <c r="AA8" s="12">
        <f>AA4+SUM(AA5:AA7)</f>
        <v/>
      </c>
      <c r="AB8" s="12">
        <f>AB4+SUM(AB5:AB7)</f>
        <v/>
      </c>
      <c r="AC8" s="12">
        <f>AC4+SUM(AC5:AC7)</f>
        <v/>
      </c>
      <c r="AD8" s="12">
        <f>AD4+SUM(AD5:AD7)</f>
        <v/>
      </c>
      <c r="AE8" s="12">
        <f>AE4+SUM(AE5:AE7)</f>
        <v/>
      </c>
      <c r="AF8" s="12">
        <f>AF4+SUM(AF5:AF7)</f>
        <v/>
      </c>
      <c r="AG8" s="12">
        <f>AG4+SUM(AG5:AG7)</f>
        <v/>
      </c>
      <c r="AH8" s="12">
        <f>AH4+SUM(AH5:AH7)</f>
        <v/>
      </c>
      <c r="AI8" s="12">
        <f>AI4+SUM(AI5:AI7)</f>
        <v/>
      </c>
      <c r="AJ8" s="12">
        <f>AJ4+SUM(AJ5:AJ7)</f>
        <v/>
      </c>
      <c r="AK8" s="12">
        <f>AK4+SUM(AK5:AK7)</f>
        <v/>
      </c>
    </row>
    <row r="9">
      <c r="A9" s="3" t="inlineStr">
        <is>
          <t>Other Pension and OPEB Benefits Income (Expense)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</row>
    <row r="10">
      <c r="A10" s="3" t="inlineStr">
        <is>
          <t>Interest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  <c r="R10" s="4">
        <f>'YTD P&amp;L'!N10</f>
        <v/>
      </c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  <c r="R11" s="6">
        <f>'YTD P&amp;L'!N11</f>
        <v/>
      </c>
      <c r="S11" s="12">
        <f>S8+SUM(S9:S10)</f>
        <v/>
      </c>
      <c r="T11" s="12">
        <f>T8+SUM(T9:T10)</f>
        <v/>
      </c>
      <c r="U11" s="12">
        <f>U8+SUM(U9:U10)</f>
        <v/>
      </c>
      <c r="V11" s="12">
        <f>V8+SUM(V9:V10)</f>
        <v/>
      </c>
      <c r="W11" s="12">
        <f>W8+SUM(W9:W10)</f>
        <v/>
      </c>
      <c r="X11" s="12">
        <f>X8+SUM(X9:X10)</f>
        <v/>
      </c>
      <c r="Y11" s="12">
        <f>Y8+SUM(Y9:Y10)</f>
        <v/>
      </c>
      <c r="Z11" s="12">
        <f>Z8+SUM(Z9:Z10)</f>
        <v/>
      </c>
      <c r="AA11" s="12">
        <f>AA8+SUM(AA9:AA10)</f>
        <v/>
      </c>
      <c r="AB11" s="12">
        <f>AB8+SUM(AB9:AB10)</f>
        <v/>
      </c>
      <c r="AC11" s="12">
        <f>AC8+SUM(AC9:AC10)</f>
        <v/>
      </c>
      <c r="AD11" s="12">
        <f>AD8+SUM(AD9:AD10)</f>
        <v/>
      </c>
      <c r="AE11" s="12">
        <f>AE8+SUM(AE9:AE10)</f>
        <v/>
      </c>
      <c r="AF11" s="12">
        <f>AF8+SUM(AF9:AF10)</f>
        <v/>
      </c>
      <c r="AG11" s="12">
        <f>AG8+SUM(AG9:AG10)</f>
        <v/>
      </c>
      <c r="AH11" s="12">
        <f>AH8+SUM(AH9:AH10)</f>
        <v/>
      </c>
      <c r="AI11" s="12">
        <f>AI8+SUM(AI9:AI10)</f>
        <v/>
      </c>
      <c r="AJ11" s="12">
        <f>AJ8+SUM(AJ9:AJ10)</f>
        <v/>
      </c>
      <c r="AK11" s="12">
        <f>AK8+SUM(AK9:AK10)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  <c r="R12" s="4">
        <f>'YTD P&amp;L'!N12</f>
        <v/>
      </c>
      <c r="S12" s="11">
        <f>'QTR P&amp;L'!S11*'IS DRIVERS'!S6</f>
        <v/>
      </c>
      <c r="T12" s="11">
        <f>'QTR P&amp;L'!T11*'IS DRIVERS'!T6</f>
        <v/>
      </c>
      <c r="U12" s="11">
        <f>'QTR P&amp;L'!U11*'IS DRIVERS'!U6</f>
        <v/>
      </c>
      <c r="V12" s="11">
        <f>'QTR P&amp;L'!V11*'IS DRIVERS'!V6</f>
        <v/>
      </c>
      <c r="W12" s="11">
        <f>'QTR P&amp;L'!W11*'IS DRIVERS'!W6</f>
        <v/>
      </c>
      <c r="X12" s="11">
        <f>'QTR P&amp;L'!X11*'IS DRIVERS'!X6</f>
        <v/>
      </c>
      <c r="Y12" s="11">
        <f>'QTR P&amp;L'!Y11*'IS DRIVERS'!Y6</f>
        <v/>
      </c>
      <c r="Z12" s="11">
        <f>'QTR P&amp;L'!Z11*'IS DRIVERS'!Z6</f>
        <v/>
      </c>
      <c r="AA12" s="11">
        <f>'QTR P&amp;L'!AA11*'IS DRIVERS'!AA6</f>
        <v/>
      </c>
      <c r="AB12" s="11">
        <f>'QTR P&amp;L'!AB11*'IS DRIVERS'!AB6</f>
        <v/>
      </c>
      <c r="AC12" s="11">
        <f>'QTR P&amp;L'!AC11*'IS DRIVERS'!AC6</f>
        <v/>
      </c>
      <c r="AD12" s="11">
        <f>'QTR P&amp;L'!AD11*'IS DRIVERS'!AD6</f>
        <v/>
      </c>
      <c r="AE12" s="11">
        <f>'QTR P&amp;L'!AE11*'IS DRIVERS'!AE6</f>
        <v/>
      </c>
      <c r="AF12" s="11">
        <f>'QTR P&amp;L'!AF11*'IS DRIVERS'!AF6</f>
        <v/>
      </c>
      <c r="AG12" s="11">
        <f>'QTR P&amp;L'!AG11*'IS DRIVERS'!AG6</f>
        <v/>
      </c>
      <c r="AH12" s="11">
        <f>'QTR P&amp;L'!AH11*'IS DRIVERS'!AH6</f>
        <v/>
      </c>
      <c r="AI12" s="11">
        <f>'QTR P&amp;L'!AI11*'IS DRIVERS'!AI6</f>
        <v/>
      </c>
      <c r="AJ12" s="11">
        <f>'QTR P&amp;L'!AJ11*'IS DRIVERS'!AJ6</f>
        <v/>
      </c>
      <c r="AK12" s="11">
        <f>'QTR P&amp;L'!AK11*'IS DRIVERS'!AK6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  <c r="R13" s="6">
        <f>'YTD P&amp;L'!N13</f>
        <v/>
      </c>
      <c r="S13" s="12">
        <f>S11+S12</f>
        <v/>
      </c>
      <c r="T13" s="12">
        <f>T11+T12</f>
        <v/>
      </c>
      <c r="U13" s="12">
        <f>U11+U12</f>
        <v/>
      </c>
      <c r="V13" s="12">
        <f>V11+V12</f>
        <v/>
      </c>
      <c r="W13" s="12">
        <f>W11+W12</f>
        <v/>
      </c>
      <c r="X13" s="12">
        <f>X11+X12</f>
        <v/>
      </c>
      <c r="Y13" s="12">
        <f>Y11+Y12</f>
        <v/>
      </c>
      <c r="Z13" s="12">
        <f>Z11+Z12</f>
        <v/>
      </c>
      <c r="AA13" s="12">
        <f>AA11+AA12</f>
        <v/>
      </c>
      <c r="AB13" s="12">
        <f>AB11+AB12</f>
        <v/>
      </c>
      <c r="AC13" s="12">
        <f>AC11+AC12</f>
        <v/>
      </c>
      <c r="AD13" s="12">
        <f>AD11+AD12</f>
        <v/>
      </c>
      <c r="AE13" s="12">
        <f>AE11+AE12</f>
        <v/>
      </c>
      <c r="AF13" s="12">
        <f>AF11+AF12</f>
        <v/>
      </c>
      <c r="AG13" s="12">
        <f>AG11+AG12</f>
        <v/>
      </c>
      <c r="AH13" s="12">
        <f>AH11+AH12</f>
        <v/>
      </c>
      <c r="AI13" s="12">
        <f>AI11+AI12</f>
        <v/>
      </c>
      <c r="AJ13" s="12">
        <f>AJ11+AJ12</f>
        <v/>
      </c>
      <c r="AK13" s="12">
        <f>AK11+AK12</f>
        <v/>
      </c>
    </row>
    <row r="14">
      <c r="A14" s="3" t="inlineStr">
        <is>
          <t>Net Income (Loss) Attributable to Noncontrolling Interest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P&amp;L'!C14-'YTD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P&amp;L'!D14-'YTD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P&amp;L'!E14-'YTD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P&amp;L'!F14-'YTD P&amp;L'!M14</f>
        <v/>
      </c>
      <c r="R14" s="4">
        <f>'YTD P&amp;L'!N14</f>
        <v/>
      </c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</row>
    <row r="15">
      <c r="A15" s="3" t="inlineStr">
        <is>
          <t>Net Income (Loss) Less NCI</t>
        </is>
      </c>
      <c r="B15" s="6">
        <f>'YTD P&amp;L'!B15</f>
        <v/>
      </c>
      <c r="C15" s="6">
        <f>'YTD P&amp;L'!C15-'YTD P&amp;L'!B15</f>
        <v/>
      </c>
      <c r="D15" s="6">
        <f>'YTD P&amp;L'!D15-'YTD P&amp;L'!C15</f>
        <v/>
      </c>
      <c r="E15" s="6">
        <f>'ANNL P&amp;L'!C15-'YTD P&amp;L'!D15</f>
        <v/>
      </c>
      <c r="F15" s="6">
        <f>'YTD P&amp;L'!E15</f>
        <v/>
      </c>
      <c r="G15" s="6">
        <f>'YTD P&amp;L'!F15-'YTD P&amp;L'!E15</f>
        <v/>
      </c>
      <c r="H15" s="6">
        <f>'YTD P&amp;L'!G15-'YTD P&amp;L'!F15</f>
        <v/>
      </c>
      <c r="I15" s="6">
        <f>'ANNL P&amp;L'!D15-'YTD P&amp;L'!G15</f>
        <v/>
      </c>
      <c r="J15" s="6">
        <f>'YTD P&amp;L'!H15</f>
        <v/>
      </c>
      <c r="K15" s="6">
        <f>'YTD P&amp;L'!I15-'YTD P&amp;L'!H15</f>
        <v/>
      </c>
      <c r="L15" s="6">
        <f>'YTD P&amp;L'!J15-'YTD P&amp;L'!I15</f>
        <v/>
      </c>
      <c r="M15" s="6">
        <f>'ANNL P&amp;L'!E15-'YTD P&amp;L'!J15</f>
        <v/>
      </c>
      <c r="N15" s="6">
        <f>'YTD P&amp;L'!K15</f>
        <v/>
      </c>
      <c r="O15" s="6">
        <f>'YTD P&amp;L'!L15-'YTD P&amp;L'!K15</f>
        <v/>
      </c>
      <c r="P15" s="6">
        <f>'YTD P&amp;L'!M15-'YTD P&amp;L'!L15</f>
        <v/>
      </c>
      <c r="Q15" s="6">
        <f>'ANNL P&amp;L'!F15-'YTD P&amp;L'!M15</f>
        <v/>
      </c>
      <c r="R15" s="6">
        <f>'YTD P&amp;L'!N15</f>
        <v/>
      </c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>
      <c r="A16" s="3" t="inlineStr">
        <is>
          <t>Basic Earnings (Loss) per Share</t>
        </is>
      </c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</row>
    <row r="17">
      <c r="A17" s="3" t="inlineStr">
        <is>
          <t>Diluted Earnings (Loss) per Share</t>
        </is>
      </c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</row>
    <row r="18">
      <c r="A18" s="3" t="inlineStr">
        <is>
          <t>Weighted Average Shares Outstanding (Basic)</t>
        </is>
      </c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</row>
    <row r="19">
      <c r="A19" s="3" t="inlineStr">
        <is>
          <t>Weighted Average Shares Outstanding (Diluted)</t>
        </is>
      </c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11">
        <f>O2+'QTR CF'!S46</f>
        <v/>
      </c>
      <c r="Q2" s="11">
        <f>P2+'QTR CF'!T46</f>
        <v/>
      </c>
      <c r="R2" s="11">
        <f>Q2+'QTR CF'!U46</f>
        <v/>
      </c>
      <c r="S2" s="11">
        <f>R2+'QTR CF'!V46</f>
        <v/>
      </c>
      <c r="T2" s="11">
        <f>S2+'QTR CF'!W46</f>
        <v/>
      </c>
      <c r="U2" s="11">
        <f>T2+'QTR CF'!X46</f>
        <v/>
      </c>
      <c r="V2" s="11">
        <f>U2+'QTR CF'!Y46</f>
        <v/>
      </c>
      <c r="W2" s="11">
        <f>V2+'QTR CF'!Z46</f>
        <v/>
      </c>
      <c r="X2" s="11">
        <f>W2+'QTR CF'!AA46</f>
        <v/>
      </c>
      <c r="Y2" s="11">
        <f>X2+'QTR CF'!AB46</f>
        <v/>
      </c>
      <c r="Z2" s="11">
        <f>Y2+'QTR CF'!AC46</f>
        <v/>
      </c>
      <c r="AA2" s="11">
        <f>Z2+'QTR CF'!AD46</f>
        <v/>
      </c>
      <c r="AB2" s="11">
        <f>AA2+'QTR CF'!AE46</f>
        <v/>
      </c>
      <c r="AC2" s="11">
        <f>AB2+'QTR CF'!AF46</f>
        <v/>
      </c>
      <c r="AD2" s="11">
        <f>AC2+'QTR CF'!AG46</f>
        <v/>
      </c>
      <c r="AE2" s="11">
        <f>AD2+'QTR CF'!AH46</f>
        <v/>
      </c>
      <c r="AF2" s="11">
        <f>AE2+'QTR CF'!AI46</f>
        <v/>
      </c>
      <c r="AG2" s="11">
        <f>AF2+'QTR CF'!AJ46</f>
        <v/>
      </c>
      <c r="AH2" s="11">
        <f>AG2+'QTR CF'!AK46</f>
        <v/>
      </c>
    </row>
    <row r="3">
      <c r="A3" s="3" t="inlineStr">
        <is>
          <t>Short-Term Investments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11">
        <f>O3</f>
        <v/>
      </c>
      <c r="Q3" s="11">
        <f>O3</f>
        <v/>
      </c>
      <c r="R3" s="11">
        <f>O3</f>
        <v/>
      </c>
      <c r="S3" s="11">
        <f>O3</f>
        <v/>
      </c>
      <c r="T3" s="11">
        <f>O3</f>
        <v/>
      </c>
      <c r="U3" s="11">
        <f>O3</f>
        <v/>
      </c>
      <c r="V3" s="11">
        <f>O3</f>
        <v/>
      </c>
      <c r="W3" s="11">
        <f>O3</f>
        <v/>
      </c>
      <c r="X3" s="11">
        <f>O3</f>
        <v/>
      </c>
      <c r="Y3" s="11">
        <f>O3</f>
        <v/>
      </c>
      <c r="Z3" s="11">
        <f>O3</f>
        <v/>
      </c>
      <c r="AA3" s="11">
        <f>O3</f>
        <v/>
      </c>
      <c r="AB3" s="11">
        <f>O3</f>
        <v/>
      </c>
      <c r="AC3" s="11">
        <f>O3</f>
        <v/>
      </c>
      <c r="AD3" s="11">
        <f>O3</f>
        <v/>
      </c>
      <c r="AE3" s="11">
        <f>O3</f>
        <v/>
      </c>
      <c r="AF3" s="11">
        <f>O3</f>
        <v/>
      </c>
      <c r="AG3" s="11">
        <f>O3</f>
        <v/>
      </c>
      <c r="AH3" s="11">
        <f>O3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11">
        <f>'QTR P&amp;L'!S2*'BS DRIVERS'!P2/ASSUMPTIONS!$B$2</f>
        <v/>
      </c>
      <c r="Q4" s="11">
        <f>'QTR P&amp;L'!T2*'BS DRIVERS'!Q2/ASSUMPTIONS!$B$2</f>
        <v/>
      </c>
      <c r="R4" s="11">
        <f>'QTR P&amp;L'!U2*'BS DRIVERS'!R2/ASSUMPTIONS!$B$2</f>
        <v/>
      </c>
      <c r="S4" s="11">
        <f>'QTR P&amp;L'!V2*'BS DRIVERS'!S2/ASSUMPTIONS!$B$2</f>
        <v/>
      </c>
      <c r="T4" s="11">
        <f>'QTR P&amp;L'!W2*'BS DRIVERS'!T2/ASSUMPTIONS!$B$2</f>
        <v/>
      </c>
      <c r="U4" s="11">
        <f>'QTR P&amp;L'!X2*'BS DRIVERS'!U2/ASSUMPTIONS!$B$2</f>
        <v/>
      </c>
      <c r="V4" s="11">
        <f>'QTR P&amp;L'!Y2*'BS DRIVERS'!V2/ASSUMPTIONS!$B$2</f>
        <v/>
      </c>
      <c r="W4" s="11">
        <f>'QTR P&amp;L'!Z2*'BS DRIVERS'!W2/ASSUMPTIONS!$B$2</f>
        <v/>
      </c>
      <c r="X4" s="11">
        <f>'QTR P&amp;L'!AA2*'BS DRIVERS'!X2/ASSUMPTIONS!$B$2</f>
        <v/>
      </c>
      <c r="Y4" s="11">
        <f>'QTR P&amp;L'!AB2*'BS DRIVERS'!Y2/ASSUMPTIONS!$B$2</f>
        <v/>
      </c>
      <c r="Z4" s="11">
        <f>'QTR P&amp;L'!AC2*'BS DRIVERS'!Z2/ASSUMPTIONS!$B$2</f>
        <v/>
      </c>
      <c r="AA4" s="11">
        <f>'QTR P&amp;L'!AD2*'BS DRIVERS'!AA2/ASSUMPTIONS!$B$2</f>
        <v/>
      </c>
      <c r="AB4" s="11">
        <f>'QTR P&amp;L'!AE2*'BS DRIVERS'!AB2/ASSUMPTIONS!$B$2</f>
        <v/>
      </c>
      <c r="AC4" s="11">
        <f>'QTR P&amp;L'!AF2*'BS DRIVERS'!AC2/ASSUMPTIONS!$B$2</f>
        <v/>
      </c>
      <c r="AD4" s="11">
        <f>'QTR P&amp;L'!AG2*'BS DRIVERS'!AD2/ASSUMPTIONS!$B$2</f>
        <v/>
      </c>
      <c r="AE4" s="11">
        <f>'QTR P&amp;L'!AH2*'BS DRIVERS'!AE2/ASSUMPTIONS!$B$2</f>
        <v/>
      </c>
      <c r="AF4" s="11">
        <f>'QTR P&amp;L'!AI2*'BS DRIVERS'!AF2/ASSUMPTIONS!$B$2</f>
        <v/>
      </c>
      <c r="AG4" s="11">
        <f>'QTR P&amp;L'!AJ2*'BS DRIVERS'!AG2/ASSUMPTIONS!$B$2</f>
        <v/>
      </c>
      <c r="AH4" s="11">
        <f>'QTR P&amp;L'!AK2*'BS DRIVERS'!AH2/ASSUMPTIONS!$B$2</f>
        <v/>
      </c>
    </row>
    <row r="5">
      <c r="A5" s="3" t="inlineStr">
        <is>
          <t>Inventories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11">
        <f>'QTR P&amp;L'!S3*'BS DRIVERS'!P3/ASSUMPTIONS!$B$2</f>
        <v/>
      </c>
      <c r="Q5" s="11">
        <f>'QTR P&amp;L'!T3*'BS DRIVERS'!Q3/ASSUMPTIONS!$B$2</f>
        <v/>
      </c>
      <c r="R5" s="11">
        <f>'QTR P&amp;L'!U3*'BS DRIVERS'!R3/ASSUMPTIONS!$B$2</f>
        <v/>
      </c>
      <c r="S5" s="11">
        <f>'QTR P&amp;L'!V3*'BS DRIVERS'!S3/ASSUMPTIONS!$B$2</f>
        <v/>
      </c>
      <c r="T5" s="11">
        <f>'QTR P&amp;L'!W3*'BS DRIVERS'!T3/ASSUMPTIONS!$B$2</f>
        <v/>
      </c>
      <c r="U5" s="11">
        <f>'QTR P&amp;L'!X3*'BS DRIVERS'!U3/ASSUMPTIONS!$B$2</f>
        <v/>
      </c>
      <c r="V5" s="11">
        <f>'QTR P&amp;L'!Y3*'BS DRIVERS'!V3/ASSUMPTIONS!$B$2</f>
        <v/>
      </c>
      <c r="W5" s="11">
        <f>'QTR P&amp;L'!Z3*'BS DRIVERS'!W3/ASSUMPTIONS!$B$2</f>
        <v/>
      </c>
      <c r="X5" s="11">
        <f>'QTR P&amp;L'!AA3*'BS DRIVERS'!X3/ASSUMPTIONS!$B$2</f>
        <v/>
      </c>
      <c r="Y5" s="11">
        <f>'QTR P&amp;L'!AB3*'BS DRIVERS'!Y3/ASSUMPTIONS!$B$2</f>
        <v/>
      </c>
      <c r="Z5" s="11">
        <f>'QTR P&amp;L'!AC3*'BS DRIVERS'!Z3/ASSUMPTIONS!$B$2</f>
        <v/>
      </c>
      <c r="AA5" s="11">
        <f>'QTR P&amp;L'!AD3*'BS DRIVERS'!AA3/ASSUMPTIONS!$B$2</f>
        <v/>
      </c>
      <c r="AB5" s="11">
        <f>'QTR P&amp;L'!AE3*'BS DRIVERS'!AB3/ASSUMPTIONS!$B$2</f>
        <v/>
      </c>
      <c r="AC5" s="11">
        <f>'QTR P&amp;L'!AF3*'BS DRIVERS'!AC3/ASSUMPTIONS!$B$2</f>
        <v/>
      </c>
      <c r="AD5" s="11">
        <f>'QTR P&amp;L'!AG3*'BS DRIVERS'!AD3/ASSUMPTIONS!$B$2</f>
        <v/>
      </c>
      <c r="AE5" s="11">
        <f>'QTR P&amp;L'!AH3*'BS DRIVERS'!AE3/ASSUMPTIONS!$B$2</f>
        <v/>
      </c>
      <c r="AF5" s="11">
        <f>'QTR P&amp;L'!AI3*'BS DRIVERS'!AF3/ASSUMPTIONS!$B$2</f>
        <v/>
      </c>
      <c r="AG5" s="11">
        <f>'QTR P&amp;L'!AJ3*'BS DRIVERS'!AG3/ASSUMPTIONS!$B$2</f>
        <v/>
      </c>
      <c r="AH5" s="11">
        <f>'QTR P&amp;L'!AK3*'BS DRIVERS'!AH3/ASSUMPTIONS!$B$2</f>
        <v/>
      </c>
    </row>
    <row r="6">
      <c r="A6" s="3" t="inlineStr">
        <is>
          <t>Prepaid Expenses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4">
        <f>'YTD BS'!O6</f>
        <v/>
      </c>
      <c r="P6" s="11">
        <f>'QTR P&amp;L'!S2*'BS DRIVERS'!P4</f>
        <v/>
      </c>
      <c r="Q6" s="11">
        <f>'QTR P&amp;L'!T2*'BS DRIVERS'!Q4</f>
        <v/>
      </c>
      <c r="R6" s="11">
        <f>'QTR P&amp;L'!U2*'BS DRIVERS'!R4</f>
        <v/>
      </c>
      <c r="S6" s="11">
        <f>'QTR P&amp;L'!V2*'BS DRIVERS'!S4</f>
        <v/>
      </c>
      <c r="T6" s="11">
        <f>'QTR P&amp;L'!W2*'BS DRIVERS'!T4</f>
        <v/>
      </c>
      <c r="U6" s="11">
        <f>'QTR P&amp;L'!X2*'BS DRIVERS'!U4</f>
        <v/>
      </c>
      <c r="V6" s="11">
        <f>'QTR P&amp;L'!Y2*'BS DRIVERS'!V4</f>
        <v/>
      </c>
      <c r="W6" s="11">
        <f>'QTR P&amp;L'!Z2*'BS DRIVERS'!W4</f>
        <v/>
      </c>
      <c r="X6" s="11">
        <f>'QTR P&amp;L'!AA2*'BS DRIVERS'!X4</f>
        <v/>
      </c>
      <c r="Y6" s="11">
        <f>'QTR P&amp;L'!AB2*'BS DRIVERS'!Y4</f>
        <v/>
      </c>
      <c r="Z6" s="11">
        <f>'QTR P&amp;L'!AC2*'BS DRIVERS'!Z4</f>
        <v/>
      </c>
      <c r="AA6" s="11">
        <f>'QTR P&amp;L'!AD2*'BS DRIVERS'!AA4</f>
        <v/>
      </c>
      <c r="AB6" s="11">
        <f>'QTR P&amp;L'!AE2*'BS DRIVERS'!AB4</f>
        <v/>
      </c>
      <c r="AC6" s="11">
        <f>'QTR P&amp;L'!AF2*'BS DRIVERS'!AC4</f>
        <v/>
      </c>
      <c r="AD6" s="11">
        <f>'QTR P&amp;L'!AG2*'BS DRIVERS'!AD4</f>
        <v/>
      </c>
      <c r="AE6" s="11">
        <f>'QTR P&amp;L'!AH2*'BS DRIVERS'!AE4</f>
        <v/>
      </c>
      <c r="AF6" s="11">
        <f>'QTR P&amp;L'!AI2*'BS DRIVERS'!AF4</f>
        <v/>
      </c>
      <c r="AG6" s="11">
        <f>'QTR P&amp;L'!AJ2*'BS DRIVERS'!AG4</f>
        <v/>
      </c>
      <c r="AH6" s="11">
        <f>'QTR P&amp;L'!AK2*'BS DRIVERS'!AH4</f>
        <v/>
      </c>
    </row>
    <row r="7">
      <c r="A7" s="3" t="inlineStr">
        <is>
          <t>Total Current Assets</t>
        </is>
      </c>
      <c r="B7" s="6">
        <f>'BALANCE SHEET'!B7</f>
        <v/>
      </c>
      <c r="C7" s="6">
        <f>'YTD BS'!C7</f>
        <v/>
      </c>
      <c r="D7" s="6">
        <f>'YTD BS'!D7</f>
        <v/>
      </c>
      <c r="E7" s="6">
        <f>'YTD BS'!E7</f>
        <v/>
      </c>
      <c r="F7" s="6">
        <f>'BALANCE SHEET'!C7</f>
        <v/>
      </c>
      <c r="G7" s="6">
        <f>'YTD BS'!G7</f>
        <v/>
      </c>
      <c r="H7" s="6">
        <f>'YTD BS'!H7</f>
        <v/>
      </c>
      <c r="I7" s="6">
        <f>'YTD BS'!I7</f>
        <v/>
      </c>
      <c r="J7" s="6">
        <f>'BALANCE SHEET'!D7</f>
        <v/>
      </c>
      <c r="K7" s="6">
        <f>'YTD BS'!K7</f>
        <v/>
      </c>
      <c r="L7" s="6">
        <f>'YTD BS'!L7</f>
        <v/>
      </c>
      <c r="M7" s="6">
        <f>'YTD BS'!M7</f>
        <v/>
      </c>
      <c r="N7" s="6">
        <f>'BALANCE SHEET'!E7</f>
        <v/>
      </c>
      <c r="O7" s="6">
        <f>'YTD BS'!O7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  <c r="X7" s="12">
        <f>SUM(X2:X6)</f>
        <v/>
      </c>
      <c r="Y7" s="12">
        <f>SUM(Y2:Y6)</f>
        <v/>
      </c>
      <c r="Z7" s="12">
        <f>SUM(Z2:Z6)</f>
        <v/>
      </c>
      <c r="AA7" s="12">
        <f>SUM(AA2:AA6)</f>
        <v/>
      </c>
      <c r="AB7" s="12">
        <f>SUM(AB2:AB6)</f>
        <v/>
      </c>
      <c r="AC7" s="12">
        <f>SUM(AC2:AC6)</f>
        <v/>
      </c>
      <c r="AD7" s="12">
        <f>SUM(AD2:AD6)</f>
        <v/>
      </c>
      <c r="AE7" s="12">
        <f>SUM(AE2:AE6)</f>
        <v/>
      </c>
      <c r="AF7" s="12">
        <f>SUM(AF2:AF6)</f>
        <v/>
      </c>
      <c r="AG7" s="12">
        <f>SUM(AG2:AG6)</f>
        <v/>
      </c>
      <c r="AH7" s="12">
        <f>SUM(AH2:AH6)</f>
        <v/>
      </c>
    </row>
    <row r="8">
      <c r="A8" s="3" t="inlineStr">
        <is>
          <t>Net PP&amp;E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4">
        <f>'YTD BS'!O8</f>
        <v/>
      </c>
      <c r="P8" s="11">
        <f>O8-'QTR CF'!S26-'QTR CF'!S3</f>
        <v/>
      </c>
      <c r="Q8" s="11">
        <f>P8-'QTR CF'!T26-'QTR CF'!T3</f>
        <v/>
      </c>
      <c r="R8" s="11">
        <f>Q8-'QTR CF'!U26-'QTR CF'!U3</f>
        <v/>
      </c>
      <c r="S8" s="11">
        <f>R8-'QTR CF'!V26-'QTR CF'!V3</f>
        <v/>
      </c>
      <c r="T8" s="11">
        <f>S8-'QTR CF'!W26-'QTR CF'!W3</f>
        <v/>
      </c>
      <c r="U8" s="11">
        <f>T8-'QTR CF'!X26-'QTR CF'!X3</f>
        <v/>
      </c>
      <c r="V8" s="11">
        <f>U8-'QTR CF'!Y26-'QTR CF'!Y3</f>
        <v/>
      </c>
      <c r="W8" s="11">
        <f>V8-'QTR CF'!Z26-'QTR CF'!Z3</f>
        <v/>
      </c>
      <c r="X8" s="11">
        <f>W8-'QTR CF'!AA26-'QTR CF'!AA3</f>
        <v/>
      </c>
      <c r="Y8" s="11">
        <f>X8-'QTR CF'!AB26-'QTR CF'!AB3</f>
        <v/>
      </c>
      <c r="Z8" s="11">
        <f>Y8-'QTR CF'!AC26-'QTR CF'!AC3</f>
        <v/>
      </c>
      <c r="AA8" s="11">
        <f>Z8-'QTR CF'!AD26-'QTR CF'!AD3</f>
        <v/>
      </c>
      <c r="AB8" s="11">
        <f>AA8-'QTR CF'!AE26-'QTR CF'!AE3</f>
        <v/>
      </c>
      <c r="AC8" s="11">
        <f>AB8-'QTR CF'!AF26-'QTR CF'!AF3</f>
        <v/>
      </c>
      <c r="AD8" s="11">
        <f>AC8-'QTR CF'!AG26-'QTR CF'!AG3</f>
        <v/>
      </c>
      <c r="AE8" s="11">
        <f>AD8-'QTR CF'!AH26-'QTR CF'!AH3</f>
        <v/>
      </c>
      <c r="AF8" s="11">
        <f>AE8-'QTR CF'!AI26-'QTR CF'!AI3</f>
        <v/>
      </c>
      <c r="AG8" s="11">
        <f>AF8-'QTR CF'!AJ26-'QTR CF'!AJ3</f>
        <v/>
      </c>
      <c r="AH8" s="11">
        <f>AG8-'QTR CF'!AK26-'QTR CF'!AK3</f>
        <v/>
      </c>
    </row>
    <row r="9">
      <c r="A9" s="3" t="inlineStr">
        <is>
          <t>Intangible Assets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  <c r="P9" s="11">
        <f>O9</f>
        <v/>
      </c>
      <c r="Q9" s="11">
        <f>O9</f>
        <v/>
      </c>
      <c r="R9" s="11">
        <f>O9</f>
        <v/>
      </c>
      <c r="S9" s="11">
        <f>O9</f>
        <v/>
      </c>
      <c r="T9" s="11">
        <f>O9</f>
        <v/>
      </c>
      <c r="U9" s="11">
        <f>O9</f>
        <v/>
      </c>
      <c r="V9" s="11">
        <f>O9</f>
        <v/>
      </c>
      <c r="W9" s="11">
        <f>O9</f>
        <v/>
      </c>
      <c r="X9" s="11">
        <f>O9</f>
        <v/>
      </c>
      <c r="Y9" s="11">
        <f>O9</f>
        <v/>
      </c>
      <c r="Z9" s="11">
        <f>O9</f>
        <v/>
      </c>
      <c r="AA9" s="11">
        <f>O9</f>
        <v/>
      </c>
      <c r="AB9" s="11">
        <f>O9</f>
        <v/>
      </c>
      <c r="AC9" s="11">
        <f>O9</f>
        <v/>
      </c>
      <c r="AD9" s="11">
        <f>O9</f>
        <v/>
      </c>
      <c r="AE9" s="11">
        <f>O9</f>
        <v/>
      </c>
      <c r="AF9" s="11">
        <f>O9</f>
        <v/>
      </c>
      <c r="AG9" s="11">
        <f>O9</f>
        <v/>
      </c>
      <c r="AH9" s="11">
        <f>O9</f>
        <v/>
      </c>
    </row>
    <row r="10">
      <c r="A10" s="3" t="inlineStr">
        <is>
          <t>Goodwill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11">
        <f>O10</f>
        <v/>
      </c>
      <c r="Q10" s="11">
        <f>O10</f>
        <v/>
      </c>
      <c r="R10" s="11">
        <f>O10</f>
        <v/>
      </c>
      <c r="S10" s="11">
        <f>O10</f>
        <v/>
      </c>
      <c r="T10" s="11">
        <f>O10</f>
        <v/>
      </c>
      <c r="U10" s="11">
        <f>O10</f>
        <v/>
      </c>
      <c r="V10" s="11">
        <f>O10</f>
        <v/>
      </c>
      <c r="W10" s="11">
        <f>O10</f>
        <v/>
      </c>
      <c r="X10" s="11">
        <f>O10</f>
        <v/>
      </c>
      <c r="Y10" s="11">
        <f>O10</f>
        <v/>
      </c>
      <c r="Z10" s="11">
        <f>O10</f>
        <v/>
      </c>
      <c r="AA10" s="11">
        <f>O10</f>
        <v/>
      </c>
      <c r="AB10" s="11">
        <f>O10</f>
        <v/>
      </c>
      <c r="AC10" s="11">
        <f>O10</f>
        <v/>
      </c>
      <c r="AD10" s="11">
        <f>O10</f>
        <v/>
      </c>
      <c r="AE10" s="11">
        <f>O10</f>
        <v/>
      </c>
      <c r="AF10" s="11">
        <f>O10</f>
        <v/>
      </c>
      <c r="AG10" s="11">
        <f>O10</f>
        <v/>
      </c>
      <c r="AH10" s="11">
        <f>O10</f>
        <v/>
      </c>
    </row>
    <row r="11">
      <c r="A11" s="3" t="inlineStr">
        <is>
          <t>Equity Method Investments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4">
        <f>'YTD BS'!O11</f>
        <v/>
      </c>
      <c r="P11" s="11">
        <f>O11</f>
        <v/>
      </c>
      <c r="Q11" s="11">
        <f>O11</f>
        <v/>
      </c>
      <c r="R11" s="11">
        <f>O11</f>
        <v/>
      </c>
      <c r="S11" s="11">
        <f>O11</f>
        <v/>
      </c>
      <c r="T11" s="11">
        <f>O11</f>
        <v/>
      </c>
      <c r="U11" s="11">
        <f>O11</f>
        <v/>
      </c>
      <c r="V11" s="11">
        <f>O11</f>
        <v/>
      </c>
      <c r="W11" s="11">
        <f>O11</f>
        <v/>
      </c>
      <c r="X11" s="11">
        <f>O11</f>
        <v/>
      </c>
      <c r="Y11" s="11">
        <f>O11</f>
        <v/>
      </c>
      <c r="Z11" s="11">
        <f>O11</f>
        <v/>
      </c>
      <c r="AA11" s="11">
        <f>O11</f>
        <v/>
      </c>
      <c r="AB11" s="11">
        <f>O11</f>
        <v/>
      </c>
      <c r="AC11" s="11">
        <f>O11</f>
        <v/>
      </c>
      <c r="AD11" s="11">
        <f>O11</f>
        <v/>
      </c>
      <c r="AE11" s="11">
        <f>O11</f>
        <v/>
      </c>
      <c r="AF11" s="11">
        <f>O11</f>
        <v/>
      </c>
      <c r="AG11" s="11">
        <f>O11</f>
        <v/>
      </c>
      <c r="AH11" s="11">
        <f>O11</f>
        <v/>
      </c>
    </row>
    <row r="12">
      <c r="A12" s="3" t="inlineStr">
        <is>
          <t>Deferred Tax Assets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  <c r="P12" s="11">
        <f>O12</f>
        <v/>
      </c>
      <c r="Q12" s="11">
        <f>O12</f>
        <v/>
      </c>
      <c r="R12" s="11">
        <f>O12</f>
        <v/>
      </c>
      <c r="S12" s="11">
        <f>O12</f>
        <v/>
      </c>
      <c r="T12" s="11">
        <f>O12</f>
        <v/>
      </c>
      <c r="U12" s="11">
        <f>O12</f>
        <v/>
      </c>
      <c r="V12" s="11">
        <f>O12</f>
        <v/>
      </c>
      <c r="W12" s="11">
        <f>O12</f>
        <v/>
      </c>
      <c r="X12" s="11">
        <f>O12</f>
        <v/>
      </c>
      <c r="Y12" s="11">
        <f>O12</f>
        <v/>
      </c>
      <c r="Z12" s="11">
        <f>O12</f>
        <v/>
      </c>
      <c r="AA12" s="11">
        <f>O12</f>
        <v/>
      </c>
      <c r="AB12" s="11">
        <f>O12</f>
        <v/>
      </c>
      <c r="AC12" s="11">
        <f>O12</f>
        <v/>
      </c>
      <c r="AD12" s="11">
        <f>O12</f>
        <v/>
      </c>
      <c r="AE12" s="11">
        <f>O12</f>
        <v/>
      </c>
      <c r="AF12" s="11">
        <f>O12</f>
        <v/>
      </c>
      <c r="AG12" s="11">
        <f>O12</f>
        <v/>
      </c>
      <c r="AH12" s="11">
        <f>O12</f>
        <v/>
      </c>
    </row>
    <row r="13">
      <c r="A13" s="3" t="inlineStr">
        <is>
          <t>Other Non-Current Assets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  <c r="P13" s="11">
        <f>'QTR P&amp;L'!S2*'BS DRIVERS'!P5</f>
        <v/>
      </c>
      <c r="Q13" s="11">
        <f>'QTR P&amp;L'!T2*'BS DRIVERS'!Q5</f>
        <v/>
      </c>
      <c r="R13" s="11">
        <f>'QTR P&amp;L'!U2*'BS DRIVERS'!R5</f>
        <v/>
      </c>
      <c r="S13" s="11">
        <f>'QTR P&amp;L'!V2*'BS DRIVERS'!S5</f>
        <v/>
      </c>
      <c r="T13" s="11">
        <f>'QTR P&amp;L'!W2*'BS DRIVERS'!T5</f>
        <v/>
      </c>
      <c r="U13" s="11">
        <f>'QTR P&amp;L'!X2*'BS DRIVERS'!U5</f>
        <v/>
      </c>
      <c r="V13" s="11">
        <f>'QTR P&amp;L'!Y2*'BS DRIVERS'!V5</f>
        <v/>
      </c>
      <c r="W13" s="11">
        <f>'QTR P&amp;L'!Z2*'BS DRIVERS'!W5</f>
        <v/>
      </c>
      <c r="X13" s="11">
        <f>'QTR P&amp;L'!AA2*'BS DRIVERS'!X5</f>
        <v/>
      </c>
      <c r="Y13" s="11">
        <f>'QTR P&amp;L'!AB2*'BS DRIVERS'!Y5</f>
        <v/>
      </c>
      <c r="Z13" s="11">
        <f>'QTR P&amp;L'!AC2*'BS DRIVERS'!Z5</f>
        <v/>
      </c>
      <c r="AA13" s="11">
        <f>'QTR P&amp;L'!AD2*'BS DRIVERS'!AA5</f>
        <v/>
      </c>
      <c r="AB13" s="11">
        <f>'QTR P&amp;L'!AE2*'BS DRIVERS'!AB5</f>
        <v/>
      </c>
      <c r="AC13" s="11">
        <f>'QTR P&amp;L'!AF2*'BS DRIVERS'!AC5</f>
        <v/>
      </c>
      <c r="AD13" s="11">
        <f>'QTR P&amp;L'!AG2*'BS DRIVERS'!AD5</f>
        <v/>
      </c>
      <c r="AE13" s="11">
        <f>'QTR P&amp;L'!AH2*'BS DRIVERS'!AE5</f>
        <v/>
      </c>
      <c r="AF13" s="11">
        <f>'QTR P&amp;L'!AI2*'BS DRIVERS'!AF5</f>
        <v/>
      </c>
      <c r="AG13" s="11">
        <f>'QTR P&amp;L'!AJ2*'BS DRIVERS'!AG5</f>
        <v/>
      </c>
      <c r="AH13" s="11">
        <f>'QTR P&amp;L'!AK2*'BS DRIVERS'!AH5</f>
        <v/>
      </c>
    </row>
    <row r="14">
      <c r="A14" s="3" t="inlineStr">
        <is>
          <t>Total Assets</t>
        </is>
      </c>
      <c r="B14" s="6">
        <f>'BALANCE SHEET'!B14</f>
        <v/>
      </c>
      <c r="C14" s="6">
        <f>'YTD BS'!C14</f>
        <v/>
      </c>
      <c r="D14" s="6">
        <f>'YTD BS'!D14</f>
        <v/>
      </c>
      <c r="E14" s="6">
        <f>'YTD BS'!E14</f>
        <v/>
      </c>
      <c r="F14" s="6">
        <f>'BALANCE SHEET'!C14</f>
        <v/>
      </c>
      <c r="G14" s="6">
        <f>'YTD BS'!G14</f>
        <v/>
      </c>
      <c r="H14" s="6">
        <f>'YTD BS'!H14</f>
        <v/>
      </c>
      <c r="I14" s="6">
        <f>'YTD BS'!I14</f>
        <v/>
      </c>
      <c r="J14" s="6">
        <f>'BALANCE SHEET'!D14</f>
        <v/>
      </c>
      <c r="K14" s="6">
        <f>'YTD BS'!K14</f>
        <v/>
      </c>
      <c r="L14" s="6">
        <f>'YTD BS'!L14</f>
        <v/>
      </c>
      <c r="M14" s="6">
        <f>'YTD BS'!M14</f>
        <v/>
      </c>
      <c r="N14" s="6">
        <f>'BALANCE SHEET'!E14</f>
        <v/>
      </c>
      <c r="O14" s="6">
        <f>'YTD BS'!O14</f>
        <v/>
      </c>
      <c r="P14" s="12">
        <f>P7+SUM(P8:P13)</f>
        <v/>
      </c>
      <c r="Q14" s="12">
        <f>Q7+SUM(Q8:Q13)</f>
        <v/>
      </c>
      <c r="R14" s="12">
        <f>R7+SUM(R8:R13)</f>
        <v/>
      </c>
      <c r="S14" s="12">
        <f>S7+SUM(S8:S13)</f>
        <v/>
      </c>
      <c r="T14" s="12">
        <f>T7+SUM(T8:T13)</f>
        <v/>
      </c>
      <c r="U14" s="12">
        <f>U7+SUM(U8:U13)</f>
        <v/>
      </c>
      <c r="V14" s="12">
        <f>V7+SUM(V8:V13)</f>
        <v/>
      </c>
      <c r="W14" s="12">
        <f>W7+SUM(W8:W13)</f>
        <v/>
      </c>
      <c r="X14" s="12">
        <f>X7+SUM(X8:X13)</f>
        <v/>
      </c>
      <c r="Y14" s="12">
        <f>Y7+SUM(Y8:Y13)</f>
        <v/>
      </c>
      <c r="Z14" s="12">
        <f>Z7+SUM(Z8:Z13)</f>
        <v/>
      </c>
      <c r="AA14" s="12">
        <f>AA7+SUM(AA8:AA13)</f>
        <v/>
      </c>
      <c r="AB14" s="12">
        <f>AB7+SUM(AB8:AB13)</f>
        <v/>
      </c>
      <c r="AC14" s="12">
        <f>AC7+SUM(AC8:AC13)</f>
        <v/>
      </c>
      <c r="AD14" s="12">
        <f>AD7+SUM(AD8:AD13)</f>
        <v/>
      </c>
      <c r="AE14" s="12">
        <f>AE7+SUM(AE8:AE13)</f>
        <v/>
      </c>
      <c r="AF14" s="12">
        <f>AF7+SUM(AF8:AF13)</f>
        <v/>
      </c>
      <c r="AG14" s="12">
        <f>AG7+SUM(AG8:AG13)</f>
        <v/>
      </c>
      <c r="AH14" s="12">
        <f>AH7+SUM(AH8:AH13)</f>
        <v/>
      </c>
    </row>
    <row r="15">
      <c r="A15" s="3" t="inlineStr">
        <is>
          <t>Short-Term Debt Obligations</t>
        </is>
      </c>
      <c r="B15" s="4">
        <f>'BALANCE SHEET'!B15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SHEET'!C15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SHEET'!D15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SHEET'!E15</f>
        <v/>
      </c>
      <c r="O15" s="4">
        <f>'YTD BS'!O15</f>
        <v/>
      </c>
      <c r="P15" s="11">
        <f>O15</f>
        <v/>
      </c>
      <c r="Q15" s="11">
        <f>O15</f>
        <v/>
      </c>
      <c r="R15" s="11">
        <f>O15</f>
        <v/>
      </c>
      <c r="S15" s="11">
        <f>O15</f>
        <v/>
      </c>
      <c r="T15" s="11">
        <f>O15</f>
        <v/>
      </c>
      <c r="U15" s="11">
        <f>O15</f>
        <v/>
      </c>
      <c r="V15" s="11">
        <f>O15</f>
        <v/>
      </c>
      <c r="W15" s="11">
        <f>O15</f>
        <v/>
      </c>
      <c r="X15" s="11">
        <f>O15</f>
        <v/>
      </c>
      <c r="Y15" s="11">
        <f>O15</f>
        <v/>
      </c>
      <c r="Z15" s="11">
        <f>O15</f>
        <v/>
      </c>
      <c r="AA15" s="11">
        <f>O15</f>
        <v/>
      </c>
      <c r="AB15" s="11">
        <f>O15</f>
        <v/>
      </c>
      <c r="AC15" s="11">
        <f>O15</f>
        <v/>
      </c>
      <c r="AD15" s="11">
        <f>O15</f>
        <v/>
      </c>
      <c r="AE15" s="11">
        <f>O15</f>
        <v/>
      </c>
      <c r="AF15" s="11">
        <f>O15</f>
        <v/>
      </c>
      <c r="AG15" s="11">
        <f>O15</f>
        <v/>
      </c>
      <c r="AH15" s="11">
        <f>O15</f>
        <v/>
      </c>
    </row>
    <row r="16">
      <c r="A16" s="3" t="inlineStr">
        <is>
          <t>Accrued Expenses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  <c r="P16" s="11">
        <f>'QTR P&amp;L'!S2*'BS DRIVERS'!P6</f>
        <v/>
      </c>
      <c r="Q16" s="11">
        <f>'QTR P&amp;L'!T2*'BS DRIVERS'!Q6</f>
        <v/>
      </c>
      <c r="R16" s="11">
        <f>'QTR P&amp;L'!U2*'BS DRIVERS'!R6</f>
        <v/>
      </c>
      <c r="S16" s="11">
        <f>'QTR P&amp;L'!V2*'BS DRIVERS'!S6</f>
        <v/>
      </c>
      <c r="T16" s="11">
        <f>'QTR P&amp;L'!W2*'BS DRIVERS'!T6</f>
        <v/>
      </c>
      <c r="U16" s="11">
        <f>'QTR P&amp;L'!X2*'BS DRIVERS'!U6</f>
        <v/>
      </c>
      <c r="V16" s="11">
        <f>'QTR P&amp;L'!Y2*'BS DRIVERS'!V6</f>
        <v/>
      </c>
      <c r="W16" s="11">
        <f>'QTR P&amp;L'!Z2*'BS DRIVERS'!W6</f>
        <v/>
      </c>
      <c r="X16" s="11">
        <f>'QTR P&amp;L'!AA2*'BS DRIVERS'!X6</f>
        <v/>
      </c>
      <c r="Y16" s="11">
        <f>'QTR P&amp;L'!AB2*'BS DRIVERS'!Y6</f>
        <v/>
      </c>
      <c r="Z16" s="11">
        <f>'QTR P&amp;L'!AC2*'BS DRIVERS'!Z6</f>
        <v/>
      </c>
      <c r="AA16" s="11">
        <f>'QTR P&amp;L'!AD2*'BS DRIVERS'!AA6</f>
        <v/>
      </c>
      <c r="AB16" s="11">
        <f>'QTR P&amp;L'!AE2*'BS DRIVERS'!AB6</f>
        <v/>
      </c>
      <c r="AC16" s="11">
        <f>'QTR P&amp;L'!AF2*'BS DRIVERS'!AC6</f>
        <v/>
      </c>
      <c r="AD16" s="11">
        <f>'QTR P&amp;L'!AG2*'BS DRIVERS'!AD6</f>
        <v/>
      </c>
      <c r="AE16" s="11">
        <f>'QTR P&amp;L'!AH2*'BS DRIVERS'!AE6</f>
        <v/>
      </c>
      <c r="AF16" s="11">
        <f>'QTR P&amp;L'!AI2*'BS DRIVERS'!AF6</f>
        <v/>
      </c>
      <c r="AG16" s="11">
        <f>'QTR P&amp;L'!AJ2*'BS DRIVERS'!AG6</f>
        <v/>
      </c>
      <c r="AH16" s="11">
        <f>'QTR P&amp;L'!AK2*'BS DRIVERS'!AH6</f>
        <v/>
      </c>
    </row>
    <row r="17">
      <c r="A17" s="3" t="inlineStr">
        <is>
          <t>Total Current Liabilities</t>
        </is>
      </c>
      <c r="B17" s="6">
        <f>'BALANCE SHEET'!B17</f>
        <v/>
      </c>
      <c r="C17" s="6">
        <f>'YTD BS'!C17</f>
        <v/>
      </c>
      <c r="D17" s="6">
        <f>'YTD BS'!D17</f>
        <v/>
      </c>
      <c r="E17" s="6">
        <f>'YTD BS'!E17</f>
        <v/>
      </c>
      <c r="F17" s="6">
        <f>'BALANCE SHEET'!C17</f>
        <v/>
      </c>
      <c r="G17" s="6">
        <f>'YTD BS'!G17</f>
        <v/>
      </c>
      <c r="H17" s="6">
        <f>'YTD BS'!H17</f>
        <v/>
      </c>
      <c r="I17" s="6">
        <f>'YTD BS'!I17</f>
        <v/>
      </c>
      <c r="J17" s="6">
        <f>'BALANCE SHEET'!D17</f>
        <v/>
      </c>
      <c r="K17" s="6">
        <f>'YTD BS'!K17</f>
        <v/>
      </c>
      <c r="L17" s="6">
        <f>'YTD BS'!L17</f>
        <v/>
      </c>
      <c r="M17" s="6">
        <f>'YTD BS'!M17</f>
        <v/>
      </c>
      <c r="N17" s="6">
        <f>'BALANCE SHEET'!E17</f>
        <v/>
      </c>
      <c r="O17" s="6">
        <f>'YTD BS'!O17</f>
        <v/>
      </c>
      <c r="P17" s="12">
        <f>SUM(P15:P16)</f>
        <v/>
      </c>
      <c r="Q17" s="12">
        <f>SUM(Q15:Q16)</f>
        <v/>
      </c>
      <c r="R17" s="12">
        <f>SUM(R15:R16)</f>
        <v/>
      </c>
      <c r="S17" s="12">
        <f>SUM(S15:S16)</f>
        <v/>
      </c>
      <c r="T17" s="12">
        <f>SUM(T15:T16)</f>
        <v/>
      </c>
      <c r="U17" s="12">
        <f>SUM(U15:U16)</f>
        <v/>
      </c>
      <c r="V17" s="12">
        <f>SUM(V15:V16)</f>
        <v/>
      </c>
      <c r="W17" s="12">
        <f>SUM(W15:W16)</f>
        <v/>
      </c>
      <c r="X17" s="12">
        <f>SUM(X15:X16)</f>
        <v/>
      </c>
      <c r="Y17" s="12">
        <f>SUM(Y15:Y16)</f>
        <v/>
      </c>
      <c r="Z17" s="12">
        <f>SUM(Z15:Z16)</f>
        <v/>
      </c>
      <c r="AA17" s="12">
        <f>SUM(AA15:AA16)</f>
        <v/>
      </c>
      <c r="AB17" s="12">
        <f>SUM(AB15:AB16)</f>
        <v/>
      </c>
      <c r="AC17" s="12">
        <f>SUM(AC15:AC16)</f>
        <v/>
      </c>
      <c r="AD17" s="12">
        <f>SUM(AD15:AD16)</f>
        <v/>
      </c>
      <c r="AE17" s="12">
        <f>SUM(AE15:AE16)</f>
        <v/>
      </c>
      <c r="AF17" s="12">
        <f>SUM(AF15:AF16)</f>
        <v/>
      </c>
      <c r="AG17" s="12">
        <f>SUM(AG15:AG16)</f>
        <v/>
      </c>
      <c r="AH17" s="12">
        <f>SUM(AH15:AH16)</f>
        <v/>
      </c>
    </row>
    <row r="18">
      <c r="A18" s="3" t="inlineStr">
        <is>
          <t>Long-Term Debt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  <c r="P18" s="11">
        <f>O18</f>
        <v/>
      </c>
      <c r="Q18" s="11">
        <f>O18</f>
        <v/>
      </c>
      <c r="R18" s="11">
        <f>O18</f>
        <v/>
      </c>
      <c r="S18" s="11">
        <f>O18</f>
        <v/>
      </c>
      <c r="T18" s="11">
        <f>O18</f>
        <v/>
      </c>
      <c r="U18" s="11">
        <f>O18</f>
        <v/>
      </c>
      <c r="V18" s="11">
        <f>O18</f>
        <v/>
      </c>
      <c r="W18" s="11">
        <f>O18</f>
        <v/>
      </c>
      <c r="X18" s="11">
        <f>O18</f>
        <v/>
      </c>
      <c r="Y18" s="11">
        <f>O18</f>
        <v/>
      </c>
      <c r="Z18" s="11">
        <f>O18</f>
        <v/>
      </c>
      <c r="AA18" s="11">
        <f>O18</f>
        <v/>
      </c>
      <c r="AB18" s="11">
        <f>O18</f>
        <v/>
      </c>
      <c r="AC18" s="11">
        <f>O18</f>
        <v/>
      </c>
      <c r="AD18" s="11">
        <f>O18</f>
        <v/>
      </c>
      <c r="AE18" s="11">
        <f>O18</f>
        <v/>
      </c>
      <c r="AF18" s="11">
        <f>O18</f>
        <v/>
      </c>
      <c r="AG18" s="11">
        <f>O18</f>
        <v/>
      </c>
      <c r="AH18" s="11">
        <f>O18</f>
        <v/>
      </c>
    </row>
    <row r="19">
      <c r="A19" s="3" t="inlineStr">
        <is>
          <t>Deferred Tax Liability</t>
        </is>
      </c>
      <c r="B19" s="4">
        <f>'BALANCE SHEET'!B19</f>
        <v/>
      </c>
      <c r="C19" s="4">
        <f>'YTD BS'!C19</f>
        <v/>
      </c>
      <c r="D19" s="4">
        <f>'YTD BS'!D19</f>
        <v/>
      </c>
      <c r="E19" s="4">
        <f>'YTD BS'!E19</f>
        <v/>
      </c>
      <c r="F19" s="4">
        <f>'BALANCE SHEET'!C19</f>
        <v/>
      </c>
      <c r="G19" s="4">
        <f>'YTD BS'!G19</f>
        <v/>
      </c>
      <c r="H19" s="4">
        <f>'YTD BS'!H19</f>
        <v/>
      </c>
      <c r="I19" s="4">
        <f>'YTD BS'!I19</f>
        <v/>
      </c>
      <c r="J19" s="4">
        <f>'BALANCE SHEET'!D19</f>
        <v/>
      </c>
      <c r="K19" s="4">
        <f>'YTD BS'!K19</f>
        <v/>
      </c>
      <c r="L19" s="4">
        <f>'YTD BS'!L19</f>
        <v/>
      </c>
      <c r="M19" s="4">
        <f>'YTD BS'!M19</f>
        <v/>
      </c>
      <c r="N19" s="4">
        <f>'BALANCE SHEET'!E19</f>
        <v/>
      </c>
      <c r="O19" s="4">
        <f>'YTD BS'!O19</f>
        <v/>
      </c>
      <c r="P19" s="11">
        <f>O19</f>
        <v/>
      </c>
      <c r="Q19" s="11">
        <f>O19</f>
        <v/>
      </c>
      <c r="R19" s="11">
        <f>O19</f>
        <v/>
      </c>
      <c r="S19" s="11">
        <f>O19</f>
        <v/>
      </c>
      <c r="T19" s="11">
        <f>O19</f>
        <v/>
      </c>
      <c r="U19" s="11">
        <f>O19</f>
        <v/>
      </c>
      <c r="V19" s="11">
        <f>O19</f>
        <v/>
      </c>
      <c r="W19" s="11">
        <f>O19</f>
        <v/>
      </c>
      <c r="X19" s="11">
        <f>O19</f>
        <v/>
      </c>
      <c r="Y19" s="11">
        <f>O19</f>
        <v/>
      </c>
      <c r="Z19" s="11">
        <f>O19</f>
        <v/>
      </c>
      <c r="AA19" s="11">
        <f>O19</f>
        <v/>
      </c>
      <c r="AB19" s="11">
        <f>O19</f>
        <v/>
      </c>
      <c r="AC19" s="11">
        <f>O19</f>
        <v/>
      </c>
      <c r="AD19" s="11">
        <f>O19</f>
        <v/>
      </c>
      <c r="AE19" s="11">
        <f>O19</f>
        <v/>
      </c>
      <c r="AF19" s="11">
        <f>O19</f>
        <v/>
      </c>
      <c r="AG19" s="11">
        <f>O19</f>
        <v/>
      </c>
      <c r="AH19" s="11">
        <f>O19</f>
        <v/>
      </c>
    </row>
    <row r="20">
      <c r="A20" s="3" t="inlineStr">
        <is>
          <t>Other Non-Current Liabilities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11">
        <f>'QTR P&amp;L'!S2*'BS DRIVERS'!P7</f>
        <v/>
      </c>
      <c r="Q20" s="11">
        <f>'QTR P&amp;L'!T2*'BS DRIVERS'!Q7</f>
        <v/>
      </c>
      <c r="R20" s="11">
        <f>'QTR P&amp;L'!U2*'BS DRIVERS'!R7</f>
        <v/>
      </c>
      <c r="S20" s="11">
        <f>'QTR P&amp;L'!V2*'BS DRIVERS'!S7</f>
        <v/>
      </c>
      <c r="T20" s="11">
        <f>'QTR P&amp;L'!W2*'BS DRIVERS'!T7</f>
        <v/>
      </c>
      <c r="U20" s="11">
        <f>'QTR P&amp;L'!X2*'BS DRIVERS'!U7</f>
        <v/>
      </c>
      <c r="V20" s="11">
        <f>'QTR P&amp;L'!Y2*'BS DRIVERS'!V7</f>
        <v/>
      </c>
      <c r="W20" s="11">
        <f>'QTR P&amp;L'!Z2*'BS DRIVERS'!W7</f>
        <v/>
      </c>
      <c r="X20" s="11">
        <f>'QTR P&amp;L'!AA2*'BS DRIVERS'!X7</f>
        <v/>
      </c>
      <c r="Y20" s="11">
        <f>'QTR P&amp;L'!AB2*'BS DRIVERS'!Y7</f>
        <v/>
      </c>
      <c r="Z20" s="11">
        <f>'QTR P&amp;L'!AC2*'BS DRIVERS'!Z7</f>
        <v/>
      </c>
      <c r="AA20" s="11">
        <f>'QTR P&amp;L'!AD2*'BS DRIVERS'!AA7</f>
        <v/>
      </c>
      <c r="AB20" s="11">
        <f>'QTR P&amp;L'!AE2*'BS DRIVERS'!AB7</f>
        <v/>
      </c>
      <c r="AC20" s="11">
        <f>'QTR P&amp;L'!AF2*'BS DRIVERS'!AC7</f>
        <v/>
      </c>
      <c r="AD20" s="11">
        <f>'QTR P&amp;L'!AG2*'BS DRIVERS'!AD7</f>
        <v/>
      </c>
      <c r="AE20" s="11">
        <f>'QTR P&amp;L'!AH2*'BS DRIVERS'!AE7</f>
        <v/>
      </c>
      <c r="AF20" s="11">
        <f>'QTR P&amp;L'!AI2*'BS DRIVERS'!AF7</f>
        <v/>
      </c>
      <c r="AG20" s="11">
        <f>'QTR P&amp;L'!AJ2*'BS DRIVERS'!AG7</f>
        <v/>
      </c>
      <c r="AH20" s="11">
        <f>'QTR P&amp;L'!AK2*'BS DRIVERS'!AH7</f>
        <v/>
      </c>
    </row>
    <row r="21">
      <c r="A21" s="3" t="inlineStr">
        <is>
          <t>Total Liabilities</t>
        </is>
      </c>
      <c r="B21" s="6">
        <f>'BALANCE SHEET'!B21</f>
        <v/>
      </c>
      <c r="C21" s="6">
        <f>'YTD BS'!C21</f>
        <v/>
      </c>
      <c r="D21" s="6">
        <f>'YTD BS'!D21</f>
        <v/>
      </c>
      <c r="E21" s="6">
        <f>'YTD BS'!E21</f>
        <v/>
      </c>
      <c r="F21" s="6">
        <f>'BALANCE SHEET'!C21</f>
        <v/>
      </c>
      <c r="G21" s="6">
        <f>'YTD BS'!G21</f>
        <v/>
      </c>
      <c r="H21" s="6">
        <f>'YTD BS'!H21</f>
        <v/>
      </c>
      <c r="I21" s="6">
        <f>'YTD BS'!I21</f>
        <v/>
      </c>
      <c r="J21" s="6">
        <f>'BALANCE SHEET'!D21</f>
        <v/>
      </c>
      <c r="K21" s="6">
        <f>'YTD BS'!K21</f>
        <v/>
      </c>
      <c r="L21" s="6">
        <f>'YTD BS'!L21</f>
        <v/>
      </c>
      <c r="M21" s="6">
        <f>'YTD BS'!M21</f>
        <v/>
      </c>
      <c r="N21" s="6">
        <f>'BALANCE SHEET'!E21</f>
        <v/>
      </c>
      <c r="O21" s="6">
        <f>'YTD BS'!O21</f>
        <v/>
      </c>
      <c r="P21" s="12">
        <f>P17+SUM(P18:P20)</f>
        <v/>
      </c>
      <c r="Q21" s="12">
        <f>Q17+SUM(Q18:Q20)</f>
        <v/>
      </c>
      <c r="R21" s="12">
        <f>R17+SUM(R18:R20)</f>
        <v/>
      </c>
      <c r="S21" s="12">
        <f>S17+SUM(S18:S20)</f>
        <v/>
      </c>
      <c r="T21" s="12">
        <f>T17+SUM(T18:T20)</f>
        <v/>
      </c>
      <c r="U21" s="12">
        <f>U17+SUM(U18:U20)</f>
        <v/>
      </c>
      <c r="V21" s="12">
        <f>V17+SUM(V18:V20)</f>
        <v/>
      </c>
      <c r="W21" s="12">
        <f>W17+SUM(W18:W20)</f>
        <v/>
      </c>
      <c r="X21" s="12">
        <f>X17+SUM(X18:X20)</f>
        <v/>
      </c>
      <c r="Y21" s="12">
        <f>Y17+SUM(Y18:Y20)</f>
        <v/>
      </c>
      <c r="Z21" s="12">
        <f>Z17+SUM(Z18:Z20)</f>
        <v/>
      </c>
      <c r="AA21" s="12">
        <f>AA17+SUM(AA18:AA20)</f>
        <v/>
      </c>
      <c r="AB21" s="12">
        <f>AB17+SUM(AB18:AB20)</f>
        <v/>
      </c>
      <c r="AC21" s="12">
        <f>AC17+SUM(AC18:AC20)</f>
        <v/>
      </c>
      <c r="AD21" s="12">
        <f>AD17+SUM(AD18:AD20)</f>
        <v/>
      </c>
      <c r="AE21" s="12">
        <f>AE17+SUM(AE18:AE20)</f>
        <v/>
      </c>
      <c r="AF21" s="12">
        <f>AF17+SUM(AF18:AF20)</f>
        <v/>
      </c>
      <c r="AG21" s="12">
        <f>AG17+SUM(AG18:AG20)</f>
        <v/>
      </c>
      <c r="AH21" s="12">
        <f>AH17+SUM(AH18:AH20)</f>
        <v/>
      </c>
    </row>
    <row r="22">
      <c r="A22" s="3" t="inlineStr">
        <is>
          <t>Common Stock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  <c r="P22" s="11">
        <f>O22</f>
        <v/>
      </c>
      <c r="Q22" s="11">
        <f>O22</f>
        <v/>
      </c>
      <c r="R22" s="11">
        <f>O22</f>
        <v/>
      </c>
      <c r="S22" s="11">
        <f>O22</f>
        <v/>
      </c>
      <c r="T22" s="11">
        <f>O22</f>
        <v/>
      </c>
      <c r="U22" s="11">
        <f>O22</f>
        <v/>
      </c>
      <c r="V22" s="11">
        <f>O22</f>
        <v/>
      </c>
      <c r="W22" s="11">
        <f>O22</f>
        <v/>
      </c>
      <c r="X22" s="11">
        <f>O22</f>
        <v/>
      </c>
      <c r="Y22" s="11">
        <f>O22</f>
        <v/>
      </c>
      <c r="Z22" s="11">
        <f>O22</f>
        <v/>
      </c>
      <c r="AA22" s="11">
        <f>O22</f>
        <v/>
      </c>
      <c r="AB22" s="11">
        <f>O22</f>
        <v/>
      </c>
      <c r="AC22" s="11">
        <f>O22</f>
        <v/>
      </c>
      <c r="AD22" s="11">
        <f>O22</f>
        <v/>
      </c>
      <c r="AE22" s="11">
        <f>O22</f>
        <v/>
      </c>
      <c r="AF22" s="11">
        <f>O22</f>
        <v/>
      </c>
      <c r="AG22" s="11">
        <f>O22</f>
        <v/>
      </c>
      <c r="AH22" s="11">
        <f>O22</f>
        <v/>
      </c>
    </row>
    <row r="23">
      <c r="A23" s="3" t="inlineStr">
        <is>
          <t>Additional Paid-in Capital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  <c r="P23" s="11">
        <f>O23</f>
        <v/>
      </c>
      <c r="Q23" s="11">
        <f>O23</f>
        <v/>
      </c>
      <c r="R23" s="11">
        <f>O23</f>
        <v/>
      </c>
      <c r="S23" s="11">
        <f>O23</f>
        <v/>
      </c>
      <c r="T23" s="11">
        <f>O23</f>
        <v/>
      </c>
      <c r="U23" s="11">
        <f>O23</f>
        <v/>
      </c>
      <c r="V23" s="11">
        <f>O23</f>
        <v/>
      </c>
      <c r="W23" s="11">
        <f>O23</f>
        <v/>
      </c>
      <c r="X23" s="11">
        <f>O23</f>
        <v/>
      </c>
      <c r="Y23" s="11">
        <f>O23</f>
        <v/>
      </c>
      <c r="Z23" s="11">
        <f>O23</f>
        <v/>
      </c>
      <c r="AA23" s="11">
        <f>O23</f>
        <v/>
      </c>
      <c r="AB23" s="11">
        <f>O23</f>
        <v/>
      </c>
      <c r="AC23" s="11">
        <f>O23</f>
        <v/>
      </c>
      <c r="AD23" s="11">
        <f>O23</f>
        <v/>
      </c>
      <c r="AE23" s="11">
        <f>O23</f>
        <v/>
      </c>
      <c r="AF23" s="11">
        <f>O23</f>
        <v/>
      </c>
      <c r="AG23" s="11">
        <f>O23</f>
        <v/>
      </c>
      <c r="AH23" s="11">
        <f>O23</f>
        <v/>
      </c>
    </row>
    <row r="24">
      <c r="A24" s="3" t="inlineStr">
        <is>
          <t>Retained Earnings (Accumulated Deficit)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  <c r="P24" s="11">
        <f>O24+'QTR P&amp;L'!S13+'QTR CF'!S39</f>
        <v/>
      </c>
      <c r="Q24" s="11">
        <f>P24+'QTR P&amp;L'!T13+'QTR CF'!T39</f>
        <v/>
      </c>
      <c r="R24" s="11">
        <f>Q24+'QTR P&amp;L'!U13+'QTR CF'!U39</f>
        <v/>
      </c>
      <c r="S24" s="11">
        <f>R24+'QTR P&amp;L'!V13+'QTR CF'!V39</f>
        <v/>
      </c>
      <c r="T24" s="11">
        <f>S24+'QTR P&amp;L'!W13+'QTR CF'!W39</f>
        <v/>
      </c>
      <c r="U24" s="11">
        <f>T24+'QTR P&amp;L'!X13+'QTR CF'!X39</f>
        <v/>
      </c>
      <c r="V24" s="11">
        <f>U24+'QTR P&amp;L'!Y13+'QTR CF'!Y39</f>
        <v/>
      </c>
      <c r="W24" s="11">
        <f>V24+'QTR P&amp;L'!Z13+'QTR CF'!Z39</f>
        <v/>
      </c>
      <c r="X24" s="11">
        <f>W24+'QTR P&amp;L'!AA13+'QTR CF'!AA39</f>
        <v/>
      </c>
      <c r="Y24" s="11">
        <f>X24+'QTR P&amp;L'!AB13+'QTR CF'!AB39</f>
        <v/>
      </c>
      <c r="Z24" s="11">
        <f>Y24+'QTR P&amp;L'!AC13+'QTR CF'!AC39</f>
        <v/>
      </c>
      <c r="AA24" s="11">
        <f>Z24+'QTR P&amp;L'!AD13+'QTR CF'!AD39</f>
        <v/>
      </c>
      <c r="AB24" s="11">
        <f>AA24+'QTR P&amp;L'!AE13+'QTR CF'!AE39</f>
        <v/>
      </c>
      <c r="AC24" s="11">
        <f>AB24+'QTR P&amp;L'!AF13+'QTR CF'!AF39</f>
        <v/>
      </c>
      <c r="AD24" s="11">
        <f>AC24+'QTR P&amp;L'!AG13+'QTR CF'!AG39</f>
        <v/>
      </c>
      <c r="AE24" s="11">
        <f>AD24+'QTR P&amp;L'!AH13+'QTR CF'!AH39</f>
        <v/>
      </c>
      <c r="AF24" s="11">
        <f>AE24+'QTR P&amp;L'!AI13+'QTR CF'!AI39</f>
        <v/>
      </c>
      <c r="AG24" s="11">
        <f>AF24+'QTR P&amp;L'!AJ13+'QTR CF'!AJ39</f>
        <v/>
      </c>
      <c r="AH24" s="11">
        <f>AG24+'QTR P&amp;L'!AK13+'QTR CF'!AK39</f>
        <v/>
      </c>
    </row>
    <row r="25">
      <c r="A25" s="3" t="inlineStr">
        <is>
          <t>Accumulated Other Comprehensive Income (Loss)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  <c r="P25" s="11">
        <f>O25</f>
        <v/>
      </c>
      <c r="Q25" s="11">
        <f>O25</f>
        <v/>
      </c>
      <c r="R25" s="11">
        <f>O25</f>
        <v/>
      </c>
      <c r="S25" s="11">
        <f>O25</f>
        <v/>
      </c>
      <c r="T25" s="11">
        <f>O25</f>
        <v/>
      </c>
      <c r="U25" s="11">
        <f>O25</f>
        <v/>
      </c>
      <c r="V25" s="11">
        <f>O25</f>
        <v/>
      </c>
      <c r="W25" s="11">
        <f>O25</f>
        <v/>
      </c>
      <c r="X25" s="11">
        <f>O25</f>
        <v/>
      </c>
      <c r="Y25" s="11">
        <f>O25</f>
        <v/>
      </c>
      <c r="Z25" s="11">
        <f>O25</f>
        <v/>
      </c>
      <c r="AA25" s="11">
        <f>O25</f>
        <v/>
      </c>
      <c r="AB25" s="11">
        <f>O25</f>
        <v/>
      </c>
      <c r="AC25" s="11">
        <f>O25</f>
        <v/>
      </c>
      <c r="AD25" s="11">
        <f>O25</f>
        <v/>
      </c>
      <c r="AE25" s="11">
        <f>O25</f>
        <v/>
      </c>
      <c r="AF25" s="11">
        <f>O25</f>
        <v/>
      </c>
      <c r="AG25" s="11">
        <f>O25</f>
        <v/>
      </c>
      <c r="AH25" s="11">
        <f>O25</f>
        <v/>
      </c>
    </row>
    <row r="26">
      <c r="A26" s="3" t="inlineStr">
        <is>
          <t>Treasury Stock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  <c r="P26" s="11">
        <f>O26</f>
        <v/>
      </c>
      <c r="Q26" s="11">
        <f>O26</f>
        <v/>
      </c>
      <c r="R26" s="11">
        <f>O26</f>
        <v/>
      </c>
      <c r="S26" s="11">
        <f>O26</f>
        <v/>
      </c>
      <c r="T26" s="11">
        <f>O26</f>
        <v/>
      </c>
      <c r="U26" s="11">
        <f>O26</f>
        <v/>
      </c>
      <c r="V26" s="11">
        <f>O26</f>
        <v/>
      </c>
      <c r="W26" s="11">
        <f>O26</f>
        <v/>
      </c>
      <c r="X26" s="11">
        <f>O26</f>
        <v/>
      </c>
      <c r="Y26" s="11">
        <f>O26</f>
        <v/>
      </c>
      <c r="Z26" s="11">
        <f>O26</f>
        <v/>
      </c>
      <c r="AA26" s="11">
        <f>O26</f>
        <v/>
      </c>
      <c r="AB26" s="11">
        <f>O26</f>
        <v/>
      </c>
      <c r="AC26" s="11">
        <f>O26</f>
        <v/>
      </c>
      <c r="AD26" s="11">
        <f>O26</f>
        <v/>
      </c>
      <c r="AE26" s="11">
        <f>O26</f>
        <v/>
      </c>
      <c r="AF26" s="11">
        <f>O26</f>
        <v/>
      </c>
      <c r="AG26" s="11">
        <f>O26</f>
        <v/>
      </c>
      <c r="AH26" s="11">
        <f>O26</f>
        <v/>
      </c>
    </row>
    <row r="27">
      <c r="A27" s="3" t="inlineStr">
        <is>
          <t>Noncontrolling Interest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  <c r="P27" s="11">
        <f>O27</f>
        <v/>
      </c>
      <c r="Q27" s="11">
        <f>O27</f>
        <v/>
      </c>
      <c r="R27" s="11">
        <f>O27</f>
        <v/>
      </c>
      <c r="S27" s="11">
        <f>O27</f>
        <v/>
      </c>
      <c r="T27" s="11">
        <f>O27</f>
        <v/>
      </c>
      <c r="U27" s="11">
        <f>O27</f>
        <v/>
      </c>
      <c r="V27" s="11">
        <f>O27</f>
        <v/>
      </c>
      <c r="W27" s="11">
        <f>O27</f>
        <v/>
      </c>
      <c r="X27" s="11">
        <f>O27</f>
        <v/>
      </c>
      <c r="Y27" s="11">
        <f>O27</f>
        <v/>
      </c>
      <c r="Z27" s="11">
        <f>O27</f>
        <v/>
      </c>
      <c r="AA27" s="11">
        <f>O27</f>
        <v/>
      </c>
      <c r="AB27" s="11">
        <f>O27</f>
        <v/>
      </c>
      <c r="AC27" s="11">
        <f>O27</f>
        <v/>
      </c>
      <c r="AD27" s="11">
        <f>O27</f>
        <v/>
      </c>
      <c r="AE27" s="11">
        <f>O27</f>
        <v/>
      </c>
      <c r="AF27" s="11">
        <f>O27</f>
        <v/>
      </c>
      <c r="AG27" s="11">
        <f>O27</f>
        <v/>
      </c>
      <c r="AH27" s="11">
        <f>O27</f>
        <v/>
      </c>
    </row>
    <row r="28">
      <c r="A28" s="3" t="inlineStr">
        <is>
          <t>Total Stockholders' Equity</t>
        </is>
      </c>
      <c r="B28" s="6">
        <f>'BALANCE SHEET'!B28</f>
        <v/>
      </c>
      <c r="C28" s="6">
        <f>'YTD BS'!C28</f>
        <v/>
      </c>
      <c r="D28" s="6">
        <f>'YTD BS'!D28</f>
        <v/>
      </c>
      <c r="E28" s="6">
        <f>'YTD BS'!E28</f>
        <v/>
      </c>
      <c r="F28" s="6">
        <f>'BALANCE SHEET'!C28</f>
        <v/>
      </c>
      <c r="G28" s="6">
        <f>'YTD BS'!G28</f>
        <v/>
      </c>
      <c r="H28" s="6">
        <f>'YTD BS'!H28</f>
        <v/>
      </c>
      <c r="I28" s="6">
        <f>'YTD BS'!I28</f>
        <v/>
      </c>
      <c r="J28" s="6">
        <f>'BALANCE SHEET'!D28</f>
        <v/>
      </c>
      <c r="K28" s="6">
        <f>'YTD BS'!K28</f>
        <v/>
      </c>
      <c r="L28" s="6">
        <f>'YTD BS'!L28</f>
        <v/>
      </c>
      <c r="M28" s="6">
        <f>'YTD BS'!M28</f>
        <v/>
      </c>
      <c r="N28" s="6">
        <f>'BALANCE SHEET'!E28</f>
        <v/>
      </c>
      <c r="O28" s="6">
        <f>'YTD BS'!O28</f>
        <v/>
      </c>
      <c r="P28" s="12">
        <f>SUM(P22:P27)</f>
        <v/>
      </c>
      <c r="Q28" s="12">
        <f>SUM(Q22:Q27)</f>
        <v/>
      </c>
      <c r="R28" s="12">
        <f>SUM(R22:R27)</f>
        <v/>
      </c>
      <c r="S28" s="12">
        <f>SUM(S22:S27)</f>
        <v/>
      </c>
      <c r="T28" s="12">
        <f>SUM(T22:T27)</f>
        <v/>
      </c>
      <c r="U28" s="12">
        <f>SUM(U22:U27)</f>
        <v/>
      </c>
      <c r="V28" s="12">
        <f>SUM(V22:V27)</f>
        <v/>
      </c>
      <c r="W28" s="12">
        <f>SUM(W22:W27)</f>
        <v/>
      </c>
      <c r="X28" s="12">
        <f>SUM(X22:X27)</f>
        <v/>
      </c>
      <c r="Y28" s="12">
        <f>SUM(Y22:Y27)</f>
        <v/>
      </c>
      <c r="Z28" s="12">
        <f>SUM(Z22:Z27)</f>
        <v/>
      </c>
      <c r="AA28" s="12">
        <f>SUM(AA22:AA27)</f>
        <v/>
      </c>
      <c r="AB28" s="12">
        <f>SUM(AB22:AB27)</f>
        <v/>
      </c>
      <c r="AC28" s="12">
        <f>SUM(AC22:AC27)</f>
        <v/>
      </c>
      <c r="AD28" s="12">
        <f>SUM(AD22:AD27)</f>
        <v/>
      </c>
      <c r="AE28" s="12">
        <f>SUM(AE22:AE27)</f>
        <v/>
      </c>
      <c r="AF28" s="12">
        <f>SUM(AF22:AF27)</f>
        <v/>
      </c>
      <c r="AG28" s="12">
        <f>SUM(AG22:AG27)</f>
        <v/>
      </c>
      <c r="AH28" s="12">
        <f>SUM(AH22:AH27)</f>
        <v/>
      </c>
    </row>
    <row r="29">
      <c r="A29" s="3" t="inlineStr">
        <is>
          <t>Total Liabilities, Mezzanine &amp; Stockholders' Equity</t>
        </is>
      </c>
      <c r="B29" s="6">
        <f>'BALANCE SHEET'!B29</f>
        <v/>
      </c>
      <c r="C29" s="6">
        <f>'YTD BS'!C29</f>
        <v/>
      </c>
      <c r="D29" s="6">
        <f>'YTD BS'!D29</f>
        <v/>
      </c>
      <c r="E29" s="6">
        <f>'YTD BS'!E29</f>
        <v/>
      </c>
      <c r="F29" s="6">
        <f>'BALANCE SHEET'!C29</f>
        <v/>
      </c>
      <c r="G29" s="6">
        <f>'YTD BS'!G29</f>
        <v/>
      </c>
      <c r="H29" s="6">
        <f>'YTD BS'!H29</f>
        <v/>
      </c>
      <c r="I29" s="6">
        <f>'YTD BS'!I29</f>
        <v/>
      </c>
      <c r="J29" s="6">
        <f>'BALANCE SHEET'!D29</f>
        <v/>
      </c>
      <c r="K29" s="6">
        <f>'YTD BS'!K29</f>
        <v/>
      </c>
      <c r="L29" s="6">
        <f>'YTD BS'!L29</f>
        <v/>
      </c>
      <c r="M29" s="6">
        <f>'YTD BS'!M29</f>
        <v/>
      </c>
      <c r="N29" s="6">
        <f>'BALANCE SHEET'!E29</f>
        <v/>
      </c>
      <c r="O29" s="6">
        <f>'YTD BS'!O29</f>
        <v/>
      </c>
      <c r="P29" s="12">
        <f>P21+P28</f>
        <v/>
      </c>
      <c r="Q29" s="12">
        <f>Q21+Q28</f>
        <v/>
      </c>
      <c r="R29" s="12">
        <f>R21+R28</f>
        <v/>
      </c>
      <c r="S29" s="12">
        <f>S21+S28</f>
        <v/>
      </c>
      <c r="T29" s="12">
        <f>T21+T28</f>
        <v/>
      </c>
      <c r="U29" s="12">
        <f>U21+U28</f>
        <v/>
      </c>
      <c r="V29" s="12">
        <f>V21+V28</f>
        <v/>
      </c>
      <c r="W29" s="12">
        <f>W21+W28</f>
        <v/>
      </c>
      <c r="X29" s="12">
        <f>X21+X28</f>
        <v/>
      </c>
      <c r="Y29" s="12">
        <f>Y21+Y28</f>
        <v/>
      </c>
      <c r="Z29" s="12">
        <f>Z21+Z28</f>
        <v/>
      </c>
      <c r="AA29" s="12">
        <f>AA21+AA28</f>
        <v/>
      </c>
      <c r="AB29" s="12">
        <f>AB21+AB28</f>
        <v/>
      </c>
      <c r="AC29" s="12">
        <f>AC21+AC28</f>
        <v/>
      </c>
      <c r="AD29" s="12">
        <f>AD21+AD28</f>
        <v/>
      </c>
      <c r="AE29" s="12">
        <f>AE21+AE28</f>
        <v/>
      </c>
      <c r="AF29" s="12">
        <f>AF21+AF28</f>
        <v/>
      </c>
      <c r="AG29" s="12">
        <f>AG21+AG28</f>
        <v/>
      </c>
      <c r="AH29" s="12">
        <f>AH21+AH28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11">
        <f>'QTR P&amp;L'!S13</f>
        <v/>
      </c>
      <c r="T2" s="11">
        <f>'QTR P&amp;L'!T13</f>
        <v/>
      </c>
      <c r="U2" s="11">
        <f>'QTR P&amp;L'!U13</f>
        <v/>
      </c>
      <c r="V2" s="11">
        <f>'QTR P&amp;L'!V13</f>
        <v/>
      </c>
      <c r="W2" s="11">
        <f>'QTR P&amp;L'!W13</f>
        <v/>
      </c>
      <c r="X2" s="11">
        <f>'QTR P&amp;L'!X13</f>
        <v/>
      </c>
      <c r="Y2" s="11">
        <f>'QTR P&amp;L'!Y13</f>
        <v/>
      </c>
      <c r="Z2" s="11">
        <f>'QTR P&amp;L'!Z13</f>
        <v/>
      </c>
      <c r="AA2" s="11">
        <f>'QTR P&amp;L'!AA13</f>
        <v/>
      </c>
      <c r="AB2" s="11">
        <f>'QTR P&amp;L'!AB13</f>
        <v/>
      </c>
      <c r="AC2" s="11">
        <f>'QTR P&amp;L'!AC13</f>
        <v/>
      </c>
      <c r="AD2" s="11">
        <f>'QTR P&amp;L'!AD13</f>
        <v/>
      </c>
      <c r="AE2" s="11">
        <f>'QTR P&amp;L'!AE13</f>
        <v/>
      </c>
      <c r="AF2" s="11">
        <f>'QTR P&amp;L'!AF13</f>
        <v/>
      </c>
      <c r="AG2" s="11">
        <f>'QTR P&amp;L'!AG13</f>
        <v/>
      </c>
      <c r="AH2" s="11">
        <f>'QTR P&amp;L'!AH13</f>
        <v/>
      </c>
      <c r="AI2" s="11">
        <f>'QTR P&amp;L'!AI13</f>
        <v/>
      </c>
      <c r="AJ2" s="11">
        <f>'QTR P&amp;L'!AJ13</f>
        <v/>
      </c>
      <c r="AK2" s="11">
        <f>'QTR P&amp;L'!AK13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11">
        <f>'QTR P&amp;L'!S2*'CF DRIVERS'!S2</f>
        <v/>
      </c>
      <c r="T3" s="11">
        <f>'QTR P&amp;L'!T2*'CF DRIVERS'!T2</f>
        <v/>
      </c>
      <c r="U3" s="11">
        <f>'QTR P&amp;L'!U2*'CF DRIVERS'!U2</f>
        <v/>
      </c>
      <c r="V3" s="11">
        <f>'QTR P&amp;L'!V2*'CF DRIVERS'!V2</f>
        <v/>
      </c>
      <c r="W3" s="11">
        <f>'QTR P&amp;L'!W2*'CF DRIVERS'!W2</f>
        <v/>
      </c>
      <c r="X3" s="11">
        <f>'QTR P&amp;L'!X2*'CF DRIVERS'!X2</f>
        <v/>
      </c>
      <c r="Y3" s="11">
        <f>'QTR P&amp;L'!Y2*'CF DRIVERS'!Y2</f>
        <v/>
      </c>
      <c r="Z3" s="11">
        <f>'QTR P&amp;L'!Z2*'CF DRIVERS'!Z2</f>
        <v/>
      </c>
      <c r="AA3" s="11">
        <f>'QTR P&amp;L'!AA2*'CF DRIVERS'!AA2</f>
        <v/>
      </c>
      <c r="AB3" s="11">
        <f>'QTR P&amp;L'!AB2*'CF DRIVERS'!AB2</f>
        <v/>
      </c>
      <c r="AC3" s="11">
        <f>'QTR P&amp;L'!AC2*'CF DRIVERS'!AC2</f>
        <v/>
      </c>
      <c r="AD3" s="11">
        <f>'QTR P&amp;L'!AD2*'CF DRIVERS'!AD2</f>
        <v/>
      </c>
      <c r="AE3" s="11">
        <f>'QTR P&amp;L'!AE2*'CF DRIVERS'!AE2</f>
        <v/>
      </c>
      <c r="AF3" s="11">
        <f>'QTR P&amp;L'!AF2*'CF DRIVERS'!AF2</f>
        <v/>
      </c>
      <c r="AG3" s="11">
        <f>'QTR P&amp;L'!AG2*'CF DRIVERS'!AG2</f>
        <v/>
      </c>
      <c r="AH3" s="11">
        <f>'QTR P&amp;L'!AH2*'CF DRIVERS'!AH2</f>
        <v/>
      </c>
      <c r="AI3" s="11">
        <f>'QTR P&amp;L'!AI2*'CF DRIVERS'!AI2</f>
        <v/>
      </c>
      <c r="AJ3" s="11">
        <f>'QTR P&amp;L'!AJ2*'CF DRIVERS'!AJ2</f>
        <v/>
      </c>
      <c r="AK3" s="11">
        <f>'QTR P&amp;L'!AK2*'CF DRIVERS'!AK2</f>
        <v/>
      </c>
    </row>
    <row r="4">
      <c r="A4" s="3" t="inlineStr">
        <is>
          <t>Gain on Juice Transaction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  <c r="S4" s="11">
        <f>0</f>
        <v/>
      </c>
      <c r="T4" s="11">
        <f>0</f>
        <v/>
      </c>
      <c r="U4" s="11">
        <f>0</f>
        <v/>
      </c>
      <c r="V4" s="11">
        <f>0</f>
        <v/>
      </c>
      <c r="W4" s="11">
        <f>0</f>
        <v/>
      </c>
      <c r="X4" s="11">
        <f>0</f>
        <v/>
      </c>
      <c r="Y4" s="11">
        <f>0</f>
        <v/>
      </c>
      <c r="Z4" s="11">
        <f>0</f>
        <v/>
      </c>
      <c r="AA4" s="11">
        <f>0</f>
        <v/>
      </c>
      <c r="AB4" s="11">
        <f>0</f>
        <v/>
      </c>
      <c r="AC4" s="11">
        <f>0</f>
        <v/>
      </c>
      <c r="AD4" s="11">
        <f>0</f>
        <v/>
      </c>
      <c r="AE4" s="11">
        <f>0</f>
        <v/>
      </c>
      <c r="AF4" s="11">
        <f>0</f>
        <v/>
      </c>
      <c r="AG4" s="11">
        <f>0</f>
        <v/>
      </c>
      <c r="AH4" s="11">
        <f>0</f>
        <v/>
      </c>
      <c r="AI4" s="11">
        <f>0</f>
        <v/>
      </c>
      <c r="AJ4" s="11">
        <f>0</f>
        <v/>
      </c>
      <c r="AK4" s="11">
        <f>0</f>
        <v/>
      </c>
    </row>
    <row r="5">
      <c r="A5" s="3" t="inlineStr">
        <is>
          <t>Impairment and Other Charges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  <c r="S5" s="11">
        <f>0</f>
        <v/>
      </c>
      <c r="T5" s="11">
        <f>0</f>
        <v/>
      </c>
      <c r="U5" s="11">
        <f>0</f>
        <v/>
      </c>
      <c r="V5" s="11">
        <f>0</f>
        <v/>
      </c>
      <c r="W5" s="11">
        <f>0</f>
        <v/>
      </c>
      <c r="X5" s="11">
        <f>0</f>
        <v/>
      </c>
      <c r="Y5" s="11">
        <f>0</f>
        <v/>
      </c>
      <c r="Z5" s="11">
        <f>0</f>
        <v/>
      </c>
      <c r="AA5" s="11">
        <f>0</f>
        <v/>
      </c>
      <c r="AB5" s="11">
        <f>0</f>
        <v/>
      </c>
      <c r="AC5" s="11">
        <f>0</f>
        <v/>
      </c>
      <c r="AD5" s="11">
        <f>0</f>
        <v/>
      </c>
      <c r="AE5" s="11">
        <f>0</f>
        <v/>
      </c>
      <c r="AF5" s="11">
        <f>0</f>
        <v/>
      </c>
      <c r="AG5" s="11">
        <f>0</f>
        <v/>
      </c>
      <c r="AH5" s="11">
        <f>0</f>
        <v/>
      </c>
      <c r="AI5" s="11">
        <f>0</f>
        <v/>
      </c>
      <c r="AJ5" s="11">
        <f>0</f>
        <v/>
      </c>
      <c r="AK5" s="11">
        <f>0</f>
        <v/>
      </c>
    </row>
    <row r="6">
      <c r="A6" s="3" t="inlineStr">
        <is>
          <t>Product Recall Impact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FLOW'!C7-'YTD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FLOW'!D7-'YTD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FLOW'!E7-'YTD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FLOW'!F7-'YTD CF'!M6</f>
        <v/>
      </c>
      <c r="R6" s="4">
        <f>'YTD CF'!N6</f>
        <v/>
      </c>
      <c r="S6" s="11">
        <f>0</f>
        <v/>
      </c>
      <c r="T6" s="11">
        <f>0</f>
        <v/>
      </c>
      <c r="U6" s="11">
        <f>0</f>
        <v/>
      </c>
      <c r="V6" s="11">
        <f>0</f>
        <v/>
      </c>
      <c r="W6" s="11">
        <f>0</f>
        <v/>
      </c>
      <c r="X6" s="11">
        <f>0</f>
        <v/>
      </c>
      <c r="Y6" s="11">
        <f>0</f>
        <v/>
      </c>
      <c r="Z6" s="11">
        <f>0</f>
        <v/>
      </c>
      <c r="AA6" s="11">
        <f>0</f>
        <v/>
      </c>
      <c r="AB6" s="11">
        <f>0</f>
        <v/>
      </c>
      <c r="AC6" s="11">
        <f>0</f>
        <v/>
      </c>
      <c r="AD6" s="11">
        <f>0</f>
        <v/>
      </c>
      <c r="AE6" s="11">
        <f>0</f>
        <v/>
      </c>
      <c r="AF6" s="11">
        <f>0</f>
        <v/>
      </c>
      <c r="AG6" s="11">
        <f>0</f>
        <v/>
      </c>
      <c r="AH6" s="11">
        <f>0</f>
        <v/>
      </c>
      <c r="AI6" s="11">
        <f>0</f>
        <v/>
      </c>
      <c r="AJ6" s="11">
        <f>0</f>
        <v/>
      </c>
      <c r="AK6" s="11">
        <f>0</f>
        <v/>
      </c>
    </row>
    <row r="7">
      <c r="A7" s="3" t="inlineStr">
        <is>
          <t>Cash Payments for Product Recall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FLOW'!C8-'YTD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FLOW'!D8-'YTD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FLOW'!E8-'YTD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FLOW'!F8-'YTD CF'!M7</f>
        <v/>
      </c>
      <c r="R7" s="4">
        <f>'YTD CF'!N7</f>
        <v/>
      </c>
      <c r="S7" s="11">
        <f>0</f>
        <v/>
      </c>
      <c r="T7" s="11">
        <f>0</f>
        <v/>
      </c>
      <c r="U7" s="11">
        <f>0</f>
        <v/>
      </c>
      <c r="V7" s="11">
        <f>0</f>
        <v/>
      </c>
      <c r="W7" s="11">
        <f>0</f>
        <v/>
      </c>
      <c r="X7" s="11">
        <f>0</f>
        <v/>
      </c>
      <c r="Y7" s="11">
        <f>0</f>
        <v/>
      </c>
      <c r="Z7" s="11">
        <f>0</f>
        <v/>
      </c>
      <c r="AA7" s="11">
        <f>0</f>
        <v/>
      </c>
      <c r="AB7" s="11">
        <f>0</f>
        <v/>
      </c>
      <c r="AC7" s="11">
        <f>0</f>
        <v/>
      </c>
      <c r="AD7" s="11">
        <f>0</f>
        <v/>
      </c>
      <c r="AE7" s="11">
        <f>0</f>
        <v/>
      </c>
      <c r="AF7" s="11">
        <f>0</f>
        <v/>
      </c>
      <c r="AG7" s="11">
        <f>0</f>
        <v/>
      </c>
      <c r="AH7" s="11">
        <f>0</f>
        <v/>
      </c>
      <c r="AI7" s="11">
        <f>0</f>
        <v/>
      </c>
      <c r="AJ7" s="11">
        <f>0</f>
        <v/>
      </c>
      <c r="AK7" s="11">
        <f>0</f>
        <v/>
      </c>
    </row>
    <row r="8">
      <c r="A8" s="3" t="inlineStr">
        <is>
          <t>Operating Lease ROU Asset Amortization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FLOW'!C9-'YTD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FLOW'!D9-'YTD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FLOW'!E9-'YTD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FLOW'!F9-'YTD CF'!M8</f>
        <v/>
      </c>
      <c r="R8" s="4">
        <f>'YTD CF'!N8</f>
        <v/>
      </c>
      <c r="S8" s="11">
        <f>'QTR P&amp;L'!S2*'CF DRIVERS'!S3</f>
        <v/>
      </c>
      <c r="T8" s="11">
        <f>'QTR P&amp;L'!T2*'CF DRIVERS'!T3</f>
        <v/>
      </c>
      <c r="U8" s="11">
        <f>'QTR P&amp;L'!U2*'CF DRIVERS'!U3</f>
        <v/>
      </c>
      <c r="V8" s="11">
        <f>'QTR P&amp;L'!V2*'CF DRIVERS'!V3</f>
        <v/>
      </c>
      <c r="W8" s="11">
        <f>'QTR P&amp;L'!W2*'CF DRIVERS'!W3</f>
        <v/>
      </c>
      <c r="X8" s="11">
        <f>'QTR P&amp;L'!X2*'CF DRIVERS'!X3</f>
        <v/>
      </c>
      <c r="Y8" s="11">
        <f>'QTR P&amp;L'!Y2*'CF DRIVERS'!Y3</f>
        <v/>
      </c>
      <c r="Z8" s="11">
        <f>'QTR P&amp;L'!Z2*'CF DRIVERS'!Z3</f>
        <v/>
      </c>
      <c r="AA8" s="11">
        <f>'QTR P&amp;L'!AA2*'CF DRIVERS'!AA3</f>
        <v/>
      </c>
      <c r="AB8" s="11">
        <f>'QTR P&amp;L'!AB2*'CF DRIVERS'!AB3</f>
        <v/>
      </c>
      <c r="AC8" s="11">
        <f>'QTR P&amp;L'!AC2*'CF DRIVERS'!AC3</f>
        <v/>
      </c>
      <c r="AD8" s="11">
        <f>'QTR P&amp;L'!AD2*'CF DRIVERS'!AD3</f>
        <v/>
      </c>
      <c r="AE8" s="11">
        <f>'QTR P&amp;L'!AE2*'CF DRIVERS'!AE3</f>
        <v/>
      </c>
      <c r="AF8" s="11">
        <f>'QTR P&amp;L'!AF2*'CF DRIVERS'!AF3</f>
        <v/>
      </c>
      <c r="AG8" s="11">
        <f>'QTR P&amp;L'!AG2*'CF DRIVERS'!AG3</f>
        <v/>
      </c>
      <c r="AH8" s="11">
        <f>'QTR P&amp;L'!AH2*'CF DRIVERS'!AH3</f>
        <v/>
      </c>
      <c r="AI8" s="11">
        <f>'QTR P&amp;L'!AI2*'CF DRIVERS'!AI3</f>
        <v/>
      </c>
      <c r="AJ8" s="11">
        <f>'QTR P&amp;L'!AJ2*'CF DRIVERS'!AJ3</f>
        <v/>
      </c>
      <c r="AK8" s="11">
        <f>'QTR P&amp;L'!AK2*'CF DRIVERS'!AK3</f>
        <v/>
      </c>
    </row>
    <row r="9">
      <c r="A9" s="3" t="inlineStr">
        <is>
          <t>Stock-Based Compensation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FLOW'!C10-'YTD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FLOW'!D10-'YTD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FLOW'!E10-'YTD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FLOW'!F10-'YTD CF'!M9</f>
        <v/>
      </c>
      <c r="R9" s="4">
        <f>'YTD CF'!N9</f>
        <v/>
      </c>
      <c r="S9" s="11">
        <f>'QTR P&amp;L'!S2*'CF DRIVERS'!S4</f>
        <v/>
      </c>
      <c r="T9" s="11">
        <f>'QTR P&amp;L'!T2*'CF DRIVERS'!T4</f>
        <v/>
      </c>
      <c r="U9" s="11">
        <f>'QTR P&amp;L'!U2*'CF DRIVERS'!U4</f>
        <v/>
      </c>
      <c r="V9" s="11">
        <f>'QTR P&amp;L'!V2*'CF DRIVERS'!V4</f>
        <v/>
      </c>
      <c r="W9" s="11">
        <f>'QTR P&amp;L'!W2*'CF DRIVERS'!W4</f>
        <v/>
      </c>
      <c r="X9" s="11">
        <f>'QTR P&amp;L'!X2*'CF DRIVERS'!X4</f>
        <v/>
      </c>
      <c r="Y9" s="11">
        <f>'QTR P&amp;L'!Y2*'CF DRIVERS'!Y4</f>
        <v/>
      </c>
      <c r="Z9" s="11">
        <f>'QTR P&amp;L'!Z2*'CF DRIVERS'!Z4</f>
        <v/>
      </c>
      <c r="AA9" s="11">
        <f>'QTR P&amp;L'!AA2*'CF DRIVERS'!AA4</f>
        <v/>
      </c>
      <c r="AB9" s="11">
        <f>'QTR P&amp;L'!AB2*'CF DRIVERS'!AB4</f>
        <v/>
      </c>
      <c r="AC9" s="11">
        <f>'QTR P&amp;L'!AC2*'CF DRIVERS'!AC4</f>
        <v/>
      </c>
      <c r="AD9" s="11">
        <f>'QTR P&amp;L'!AD2*'CF DRIVERS'!AD4</f>
        <v/>
      </c>
      <c r="AE9" s="11">
        <f>'QTR P&amp;L'!AE2*'CF DRIVERS'!AE4</f>
        <v/>
      </c>
      <c r="AF9" s="11">
        <f>'QTR P&amp;L'!AF2*'CF DRIVERS'!AF4</f>
        <v/>
      </c>
      <c r="AG9" s="11">
        <f>'QTR P&amp;L'!AG2*'CF DRIVERS'!AG4</f>
        <v/>
      </c>
      <c r="AH9" s="11">
        <f>'QTR P&amp;L'!AH2*'CF DRIVERS'!AH4</f>
        <v/>
      </c>
      <c r="AI9" s="11">
        <f>'QTR P&amp;L'!AI2*'CF DRIVERS'!AI4</f>
        <v/>
      </c>
      <c r="AJ9" s="11">
        <f>'QTR P&amp;L'!AJ2*'CF DRIVERS'!AJ4</f>
        <v/>
      </c>
      <c r="AK9" s="11">
        <f>'QTR P&amp;L'!AK2*'CF DRIVERS'!AK4</f>
        <v/>
      </c>
    </row>
    <row r="10">
      <c r="A10" s="3" t="inlineStr">
        <is>
          <t>Restructuring and Asset Impairment Charges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FLOW'!C11-'YTD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FLOW'!D11-'YTD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FLOW'!E11-'YTD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FLOW'!F11-'YTD CF'!M10</f>
        <v/>
      </c>
      <c r="R10" s="4">
        <f>'YTD CF'!N10</f>
        <v/>
      </c>
      <c r="S10" s="11">
        <f>R10</f>
        <v/>
      </c>
      <c r="T10" s="11">
        <f>R10</f>
        <v/>
      </c>
      <c r="U10" s="11">
        <f>R10</f>
        <v/>
      </c>
      <c r="V10" s="11">
        <f>R10</f>
        <v/>
      </c>
      <c r="W10" s="11">
        <f>R10</f>
        <v/>
      </c>
      <c r="X10" s="11">
        <f>R10</f>
        <v/>
      </c>
      <c r="Y10" s="11">
        <f>R10</f>
        <v/>
      </c>
      <c r="Z10" s="11">
        <f>R10</f>
        <v/>
      </c>
      <c r="AA10" s="11">
        <f>R10</f>
        <v/>
      </c>
      <c r="AB10" s="11">
        <f>R10</f>
        <v/>
      </c>
      <c r="AC10" s="11">
        <f>R10</f>
        <v/>
      </c>
      <c r="AD10" s="11">
        <f>R10</f>
        <v/>
      </c>
      <c r="AE10" s="11">
        <f>R10</f>
        <v/>
      </c>
      <c r="AF10" s="11">
        <f>R10</f>
        <v/>
      </c>
      <c r="AG10" s="11">
        <f>R10</f>
        <v/>
      </c>
      <c r="AH10" s="11">
        <f>R10</f>
        <v/>
      </c>
      <c r="AI10" s="11">
        <f>R10</f>
        <v/>
      </c>
      <c r="AJ10" s="11">
        <f>R10</f>
        <v/>
      </c>
      <c r="AK10" s="11">
        <f>R10</f>
        <v/>
      </c>
    </row>
    <row r="11">
      <c r="A11" s="3" t="inlineStr">
        <is>
          <t>Cash Payments for Restructuring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FLOW'!C12-'YTD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FLOW'!D12-'YTD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FLOW'!E12-'YTD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FLOW'!F12-'YTD CF'!M11</f>
        <v/>
      </c>
      <c r="R11" s="4">
        <f>'YTD CF'!N11</f>
        <v/>
      </c>
      <c r="S11" s="11">
        <f>R11</f>
        <v/>
      </c>
      <c r="T11" s="11">
        <f>R11</f>
        <v/>
      </c>
      <c r="U11" s="11">
        <f>R11</f>
        <v/>
      </c>
      <c r="V11" s="11">
        <f>R11</f>
        <v/>
      </c>
      <c r="W11" s="11">
        <f>R11</f>
        <v/>
      </c>
      <c r="X11" s="11">
        <f>R11</f>
        <v/>
      </c>
      <c r="Y11" s="11">
        <f>R11</f>
        <v/>
      </c>
      <c r="Z11" s="11">
        <f>R11</f>
        <v/>
      </c>
      <c r="AA11" s="11">
        <f>R11</f>
        <v/>
      </c>
      <c r="AB11" s="11">
        <f>R11</f>
        <v/>
      </c>
      <c r="AC11" s="11">
        <f>R11</f>
        <v/>
      </c>
      <c r="AD11" s="11">
        <f>R11</f>
        <v/>
      </c>
      <c r="AE11" s="11">
        <f>R11</f>
        <v/>
      </c>
      <c r="AF11" s="11">
        <f>R11</f>
        <v/>
      </c>
      <c r="AG11" s="11">
        <f>R11</f>
        <v/>
      </c>
      <c r="AH11" s="11">
        <f>R11</f>
        <v/>
      </c>
      <c r="AI11" s="11">
        <f>R11</f>
        <v/>
      </c>
      <c r="AJ11" s="11">
        <f>R11</f>
        <v/>
      </c>
      <c r="AK11" s="11">
        <f>R11</f>
        <v/>
      </c>
    </row>
    <row r="12">
      <c r="A12" s="3" t="inlineStr">
        <is>
          <t>Acquisition and Divestiture-Related Charges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FLOW'!C13-'YTD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FLOW'!D13-'YTD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FLOW'!E13-'YTD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FLOW'!F13-'YTD CF'!M12</f>
        <v/>
      </c>
      <c r="R12" s="4">
        <f>'YTD CF'!N12</f>
        <v/>
      </c>
      <c r="S12" s="11">
        <f>R12</f>
        <v/>
      </c>
      <c r="T12" s="11">
        <f>R12</f>
        <v/>
      </c>
      <c r="U12" s="11">
        <f>R12</f>
        <v/>
      </c>
      <c r="V12" s="11">
        <f>R12</f>
        <v/>
      </c>
      <c r="W12" s="11">
        <f>R12</f>
        <v/>
      </c>
      <c r="X12" s="11">
        <f>R12</f>
        <v/>
      </c>
      <c r="Y12" s="11">
        <f>R12</f>
        <v/>
      </c>
      <c r="Z12" s="11">
        <f>R12</f>
        <v/>
      </c>
      <c r="AA12" s="11">
        <f>R12</f>
        <v/>
      </c>
      <c r="AB12" s="11">
        <f>R12</f>
        <v/>
      </c>
      <c r="AC12" s="11">
        <f>R12</f>
        <v/>
      </c>
      <c r="AD12" s="11">
        <f>R12</f>
        <v/>
      </c>
      <c r="AE12" s="11">
        <f>R12</f>
        <v/>
      </c>
      <c r="AF12" s="11">
        <f>R12</f>
        <v/>
      </c>
      <c r="AG12" s="11">
        <f>R12</f>
        <v/>
      </c>
      <c r="AH12" s="11">
        <f>R12</f>
        <v/>
      </c>
      <c r="AI12" s="11">
        <f>R12</f>
        <v/>
      </c>
      <c r="AJ12" s="11">
        <f>R12</f>
        <v/>
      </c>
      <c r="AK12" s="11">
        <f>R12</f>
        <v/>
      </c>
    </row>
    <row r="13">
      <c r="A13" s="3" t="inlineStr">
        <is>
          <t>Cash Payments for Acquisition and Divestiture Costs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FLOW'!C14-'YTD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FLOW'!D14-'YTD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FLOW'!E14-'YTD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FLOW'!F14-'YTD CF'!M13</f>
        <v/>
      </c>
      <c r="R13" s="4">
        <f>'YTD CF'!N13</f>
        <v/>
      </c>
      <c r="S13" s="11">
        <f>R13</f>
        <v/>
      </c>
      <c r="T13" s="11">
        <f>R13</f>
        <v/>
      </c>
      <c r="U13" s="11">
        <f>R13</f>
        <v/>
      </c>
      <c r="V13" s="11">
        <f>R13</f>
        <v/>
      </c>
      <c r="W13" s="11">
        <f>R13</f>
        <v/>
      </c>
      <c r="X13" s="11">
        <f>R13</f>
        <v/>
      </c>
      <c r="Y13" s="11">
        <f>R13</f>
        <v/>
      </c>
      <c r="Z13" s="11">
        <f>R13</f>
        <v/>
      </c>
      <c r="AA13" s="11">
        <f>R13</f>
        <v/>
      </c>
      <c r="AB13" s="11">
        <f>R13</f>
        <v/>
      </c>
      <c r="AC13" s="11">
        <f>R13</f>
        <v/>
      </c>
      <c r="AD13" s="11">
        <f>R13</f>
        <v/>
      </c>
      <c r="AE13" s="11">
        <f>R13</f>
        <v/>
      </c>
      <c r="AF13" s="11">
        <f>R13</f>
        <v/>
      </c>
      <c r="AG13" s="11">
        <f>R13</f>
        <v/>
      </c>
      <c r="AH13" s="11">
        <f>R13</f>
        <v/>
      </c>
      <c r="AI13" s="11">
        <f>R13</f>
        <v/>
      </c>
      <c r="AJ13" s="11">
        <f>R13</f>
        <v/>
      </c>
      <c r="AK13" s="11">
        <f>R13</f>
        <v/>
      </c>
    </row>
    <row r="14">
      <c r="A14" s="3" t="inlineStr">
        <is>
          <t>Pension and Postretirement Benefits Expense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FLOW'!C15-'YTD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FLOW'!D15-'YTD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FLOW'!E15-'YTD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FLOW'!F15-'YTD CF'!M14</f>
        <v/>
      </c>
      <c r="R14" s="4">
        <f>'YTD CF'!N14</f>
        <v/>
      </c>
      <c r="S14" s="11">
        <f>R14</f>
        <v/>
      </c>
      <c r="T14" s="11">
        <f>R14</f>
        <v/>
      </c>
      <c r="U14" s="11">
        <f>R14</f>
        <v/>
      </c>
      <c r="V14" s="11">
        <f>R14</f>
        <v/>
      </c>
      <c r="W14" s="11">
        <f>R14</f>
        <v/>
      </c>
      <c r="X14" s="11">
        <f>R14</f>
        <v/>
      </c>
      <c r="Y14" s="11">
        <f>R14</f>
        <v/>
      </c>
      <c r="Z14" s="11">
        <f>R14</f>
        <v/>
      </c>
      <c r="AA14" s="11">
        <f>R14</f>
        <v/>
      </c>
      <c r="AB14" s="11">
        <f>R14</f>
        <v/>
      </c>
      <c r="AC14" s="11">
        <f>R14</f>
        <v/>
      </c>
      <c r="AD14" s="11">
        <f>R14</f>
        <v/>
      </c>
      <c r="AE14" s="11">
        <f>R14</f>
        <v/>
      </c>
      <c r="AF14" s="11">
        <f>R14</f>
        <v/>
      </c>
      <c r="AG14" s="11">
        <f>R14</f>
        <v/>
      </c>
      <c r="AH14" s="11">
        <f>R14</f>
        <v/>
      </c>
      <c r="AI14" s="11">
        <f>R14</f>
        <v/>
      </c>
      <c r="AJ14" s="11">
        <f>R14</f>
        <v/>
      </c>
      <c r="AK14" s="11">
        <f>R14</f>
        <v/>
      </c>
    </row>
    <row r="15">
      <c r="A15" s="3" t="inlineStr">
        <is>
          <t>Pension and Postretirement Benefits Contributions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FLOW'!C16-'YTD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FLOW'!D16-'YTD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FLOW'!E16-'YTD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FLOW'!F16-'YTD CF'!M15</f>
        <v/>
      </c>
      <c r="R15" s="4">
        <f>'YTD CF'!N15</f>
        <v/>
      </c>
      <c r="S15" s="11">
        <f>R15</f>
        <v/>
      </c>
      <c r="T15" s="11">
        <f>R15</f>
        <v/>
      </c>
      <c r="U15" s="11">
        <f>R15</f>
        <v/>
      </c>
      <c r="V15" s="11">
        <f>R15</f>
        <v/>
      </c>
      <c r="W15" s="11">
        <f>R15</f>
        <v/>
      </c>
      <c r="X15" s="11">
        <f>R15</f>
        <v/>
      </c>
      <c r="Y15" s="11">
        <f>R15</f>
        <v/>
      </c>
      <c r="Z15" s="11">
        <f>R15</f>
        <v/>
      </c>
      <c r="AA15" s="11">
        <f>R15</f>
        <v/>
      </c>
      <c r="AB15" s="11">
        <f>R15</f>
        <v/>
      </c>
      <c r="AC15" s="11">
        <f>R15</f>
        <v/>
      </c>
      <c r="AD15" s="11">
        <f>R15</f>
        <v/>
      </c>
      <c r="AE15" s="11">
        <f>R15</f>
        <v/>
      </c>
      <c r="AF15" s="11">
        <f>R15</f>
        <v/>
      </c>
      <c r="AG15" s="11">
        <f>R15</f>
        <v/>
      </c>
      <c r="AH15" s="11">
        <f>R15</f>
        <v/>
      </c>
      <c r="AI15" s="11">
        <f>R15</f>
        <v/>
      </c>
      <c r="AJ15" s="11">
        <f>R15</f>
        <v/>
      </c>
      <c r="AK15" s="11">
        <f>R15</f>
        <v/>
      </c>
    </row>
    <row r="16">
      <c r="A16" s="3" t="inlineStr">
        <is>
          <t>(Benefit) Provision for Deferred Income Taxes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FLOW'!C17-'YTD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FLOW'!D17-'YTD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FLOW'!E17-'YTD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FLOW'!F17-'YTD CF'!M16</f>
        <v/>
      </c>
      <c r="R16" s="4">
        <f>'YTD CF'!N16</f>
        <v/>
      </c>
      <c r="S16" s="11">
        <f>R16</f>
        <v/>
      </c>
      <c r="T16" s="11">
        <f>R16</f>
        <v/>
      </c>
      <c r="U16" s="11">
        <f>R16</f>
        <v/>
      </c>
      <c r="V16" s="11">
        <f>R16</f>
        <v/>
      </c>
      <c r="W16" s="11">
        <f>R16</f>
        <v/>
      </c>
      <c r="X16" s="11">
        <f>R16</f>
        <v/>
      </c>
      <c r="Y16" s="11">
        <f>R16</f>
        <v/>
      </c>
      <c r="Z16" s="11">
        <f>R16</f>
        <v/>
      </c>
      <c r="AA16" s="11">
        <f>R16</f>
        <v/>
      </c>
      <c r="AB16" s="11">
        <f>R16</f>
        <v/>
      </c>
      <c r="AC16" s="11">
        <f>R16</f>
        <v/>
      </c>
      <c r="AD16" s="11">
        <f>R16</f>
        <v/>
      </c>
      <c r="AE16" s="11">
        <f>R16</f>
        <v/>
      </c>
      <c r="AF16" s="11">
        <f>R16</f>
        <v/>
      </c>
      <c r="AG16" s="11">
        <f>R16</f>
        <v/>
      </c>
      <c r="AH16" s="11">
        <f>R16</f>
        <v/>
      </c>
      <c r="AI16" s="11">
        <f>R16</f>
        <v/>
      </c>
      <c r="AJ16" s="11">
        <f>R16</f>
        <v/>
      </c>
      <c r="AK16" s="11">
        <f>R16</f>
        <v/>
      </c>
    </row>
    <row r="17">
      <c r="A17" s="3" t="inlineStr">
        <is>
          <t>Tax Expense Related to TCJ Act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FLOW'!C18-'YTD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FLOW'!D18-'YTD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FLOW'!E18-'YTD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FLOW'!F18-'YTD CF'!M17</f>
        <v/>
      </c>
      <c r="R17" s="4">
        <f>'YTD CF'!N17</f>
        <v/>
      </c>
      <c r="S17" s="11">
        <f>0</f>
        <v/>
      </c>
      <c r="T17" s="11">
        <f>0</f>
        <v/>
      </c>
      <c r="U17" s="11">
        <f>0</f>
        <v/>
      </c>
      <c r="V17" s="11">
        <f>0</f>
        <v/>
      </c>
      <c r="W17" s="11">
        <f>0</f>
        <v/>
      </c>
      <c r="X17" s="11">
        <f>0</f>
        <v/>
      </c>
      <c r="Y17" s="11">
        <f>0</f>
        <v/>
      </c>
      <c r="Z17" s="11">
        <f>0</f>
        <v/>
      </c>
      <c r="AA17" s="11">
        <f>0</f>
        <v/>
      </c>
      <c r="AB17" s="11">
        <f>0</f>
        <v/>
      </c>
      <c r="AC17" s="11">
        <f>0</f>
        <v/>
      </c>
      <c r="AD17" s="11">
        <f>0</f>
        <v/>
      </c>
      <c r="AE17" s="11">
        <f>0</f>
        <v/>
      </c>
      <c r="AF17" s="11">
        <f>0</f>
        <v/>
      </c>
      <c r="AG17" s="11">
        <f>0</f>
        <v/>
      </c>
      <c r="AH17" s="11">
        <f>0</f>
        <v/>
      </c>
      <c r="AI17" s="11">
        <f>0</f>
        <v/>
      </c>
      <c r="AJ17" s="11">
        <f>0</f>
        <v/>
      </c>
      <c r="AK17" s="11">
        <f>0</f>
        <v/>
      </c>
    </row>
    <row r="18">
      <c r="A18" s="3" t="inlineStr">
        <is>
          <t>Tax Payments Related to TCJ Act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FLOW'!C19-'YTD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FLOW'!D19-'YTD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FLOW'!E19-'YTD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FLOW'!F19-'YTD CF'!M18</f>
        <v/>
      </c>
      <c r="R18" s="4">
        <f>'YTD CF'!N18</f>
        <v/>
      </c>
      <c r="S18" s="11">
        <f>0</f>
        <v/>
      </c>
      <c r="T18" s="11">
        <f>0</f>
        <v/>
      </c>
      <c r="U18" s="11">
        <f>0</f>
        <v/>
      </c>
      <c r="V18" s="11">
        <f>0</f>
        <v/>
      </c>
      <c r="W18" s="11">
        <f>0</f>
        <v/>
      </c>
      <c r="X18" s="11">
        <f>0</f>
        <v/>
      </c>
      <c r="Y18" s="11">
        <f>0</f>
        <v/>
      </c>
      <c r="Z18" s="11">
        <f>0</f>
        <v/>
      </c>
      <c r="AA18" s="11">
        <f>0</f>
        <v/>
      </c>
      <c r="AB18" s="11">
        <f>0</f>
        <v/>
      </c>
      <c r="AC18" s="11">
        <f>0</f>
        <v/>
      </c>
      <c r="AD18" s="11">
        <f>0</f>
        <v/>
      </c>
      <c r="AE18" s="11">
        <f>0</f>
        <v/>
      </c>
      <c r="AF18" s="11">
        <f>0</f>
        <v/>
      </c>
      <c r="AG18" s="11">
        <f>0</f>
        <v/>
      </c>
      <c r="AH18" s="11">
        <f>0</f>
        <v/>
      </c>
      <c r="AI18" s="11">
        <f>0</f>
        <v/>
      </c>
      <c r="AJ18" s="11">
        <f>0</f>
        <v/>
      </c>
      <c r="AK18" s="11">
        <f>0</f>
        <v/>
      </c>
    </row>
    <row r="19">
      <c r="A19" s="3" t="inlineStr">
        <is>
          <t>Accounts Receivable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FLOW'!C20-'YTD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FLOW'!D20-'YTD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FLOW'!E20-'YTD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FLOW'!F20-'YTD CF'!M19</f>
        <v/>
      </c>
      <c r="R19" s="4">
        <f>'YTD CF'!N19</f>
        <v/>
      </c>
      <c r="S19" s="11">
        <f>-('QTR BS'!P4-'QTR BS'!O4)</f>
        <v/>
      </c>
      <c r="T19" s="11">
        <f>-('QTR BS'!Q4-'QTR BS'!P4)</f>
        <v/>
      </c>
      <c r="U19" s="11">
        <f>-('QTR BS'!R4-'QTR BS'!Q4)</f>
        <v/>
      </c>
      <c r="V19" s="11">
        <f>-('QTR BS'!S4-'QTR BS'!R4)</f>
        <v/>
      </c>
      <c r="W19" s="11">
        <f>-('QTR BS'!T4-'QTR BS'!S4)</f>
        <v/>
      </c>
      <c r="X19" s="11">
        <f>-('QTR BS'!U4-'QTR BS'!T4)</f>
        <v/>
      </c>
      <c r="Y19" s="11">
        <f>-('QTR BS'!V4-'QTR BS'!U4)</f>
        <v/>
      </c>
      <c r="Z19" s="11">
        <f>-('QTR BS'!W4-'QTR BS'!V4)</f>
        <v/>
      </c>
      <c r="AA19" s="11">
        <f>-('QTR BS'!X4-'QTR BS'!W4)</f>
        <v/>
      </c>
      <c r="AB19" s="11">
        <f>-('QTR BS'!Y4-'QTR BS'!X4)</f>
        <v/>
      </c>
      <c r="AC19" s="11">
        <f>-('QTR BS'!Z4-'QTR BS'!Y4)</f>
        <v/>
      </c>
      <c r="AD19" s="11">
        <f>-('QTR BS'!AA4-'QTR BS'!Z4)</f>
        <v/>
      </c>
      <c r="AE19" s="11">
        <f>-('QTR BS'!AB4-'QTR BS'!AA4)</f>
        <v/>
      </c>
      <c r="AF19" s="11">
        <f>-('QTR BS'!AC4-'QTR BS'!AB4)</f>
        <v/>
      </c>
      <c r="AG19" s="11">
        <f>-('QTR BS'!AD4-'QTR BS'!AC4)</f>
        <v/>
      </c>
      <c r="AH19" s="11">
        <f>-('QTR BS'!AE4-'QTR BS'!AD4)</f>
        <v/>
      </c>
      <c r="AI19" s="11">
        <f>-('QTR BS'!AF4-'QTR BS'!AE4)</f>
        <v/>
      </c>
      <c r="AJ19" s="11">
        <f>-('QTR BS'!AG4-'QTR BS'!AF4)</f>
        <v/>
      </c>
      <c r="AK19" s="11">
        <f>-('QTR BS'!AH4-'QTR BS'!AG4)</f>
        <v/>
      </c>
    </row>
    <row r="20">
      <c r="A20" s="3" t="inlineStr">
        <is>
          <t>Inventories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FLOW'!C21-'YTD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FLOW'!D21-'YTD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FLOW'!E21-'YTD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FLOW'!F21-'YTD CF'!M20</f>
        <v/>
      </c>
      <c r="R20" s="4">
        <f>'YTD CF'!N20</f>
        <v/>
      </c>
      <c r="S20" s="11">
        <f>-('QTR BS'!P5-'QTR BS'!O5)</f>
        <v/>
      </c>
      <c r="T20" s="11">
        <f>-('QTR BS'!Q5-'QTR BS'!P5)</f>
        <v/>
      </c>
      <c r="U20" s="11">
        <f>-('QTR BS'!R5-'QTR BS'!Q5)</f>
        <v/>
      </c>
      <c r="V20" s="11">
        <f>-('QTR BS'!S5-'QTR BS'!R5)</f>
        <v/>
      </c>
      <c r="W20" s="11">
        <f>-('QTR BS'!T5-'QTR BS'!S5)</f>
        <v/>
      </c>
      <c r="X20" s="11">
        <f>-('QTR BS'!U5-'QTR BS'!T5)</f>
        <v/>
      </c>
      <c r="Y20" s="11">
        <f>-('QTR BS'!V5-'QTR BS'!U5)</f>
        <v/>
      </c>
      <c r="Z20" s="11">
        <f>-('QTR BS'!W5-'QTR BS'!V5)</f>
        <v/>
      </c>
      <c r="AA20" s="11">
        <f>-('QTR BS'!X5-'QTR BS'!W5)</f>
        <v/>
      </c>
      <c r="AB20" s="11">
        <f>-('QTR BS'!Y5-'QTR BS'!X5)</f>
        <v/>
      </c>
      <c r="AC20" s="11">
        <f>-('QTR BS'!Z5-'QTR BS'!Y5)</f>
        <v/>
      </c>
      <c r="AD20" s="11">
        <f>-('QTR BS'!AA5-'QTR BS'!Z5)</f>
        <v/>
      </c>
      <c r="AE20" s="11">
        <f>-('QTR BS'!AB5-'QTR BS'!AA5)</f>
        <v/>
      </c>
      <c r="AF20" s="11">
        <f>-('QTR BS'!AC5-'QTR BS'!AB5)</f>
        <v/>
      </c>
      <c r="AG20" s="11">
        <f>-('QTR BS'!AD5-'QTR BS'!AC5)</f>
        <v/>
      </c>
      <c r="AH20" s="11">
        <f>-('QTR BS'!AE5-'QTR BS'!AD5)</f>
        <v/>
      </c>
      <c r="AI20" s="11">
        <f>-('QTR BS'!AF5-'QTR BS'!AE5)</f>
        <v/>
      </c>
      <c r="AJ20" s="11">
        <f>-('QTR BS'!AG5-'QTR BS'!AF5)</f>
        <v/>
      </c>
      <c r="AK20" s="11">
        <f>-('QTR BS'!AH5-'QTR BS'!AG5)</f>
        <v/>
      </c>
    </row>
    <row r="21">
      <c r="A21" s="3" t="inlineStr">
        <is>
          <t>Prepaid Expenses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FLOW'!C22-'YTD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FLOW'!D22-'YTD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FLOW'!E22-'YTD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FLOW'!F22-'YTD CF'!M21</f>
        <v/>
      </c>
      <c r="R21" s="4">
        <f>'YTD CF'!N21</f>
        <v/>
      </c>
      <c r="S21" s="11">
        <f>-('QTR BS'!P6-'QTR BS'!O6)</f>
        <v/>
      </c>
      <c r="T21" s="11">
        <f>-('QTR BS'!Q6-'QTR BS'!P6)</f>
        <v/>
      </c>
      <c r="U21" s="11">
        <f>-('QTR BS'!R6-'QTR BS'!Q6)</f>
        <v/>
      </c>
      <c r="V21" s="11">
        <f>-('QTR BS'!S6-'QTR BS'!R6)</f>
        <v/>
      </c>
      <c r="W21" s="11">
        <f>-('QTR BS'!T6-'QTR BS'!S6)</f>
        <v/>
      </c>
      <c r="X21" s="11">
        <f>-('QTR BS'!U6-'QTR BS'!T6)</f>
        <v/>
      </c>
      <c r="Y21" s="11">
        <f>-('QTR BS'!V6-'QTR BS'!U6)</f>
        <v/>
      </c>
      <c r="Z21" s="11">
        <f>-('QTR BS'!W6-'QTR BS'!V6)</f>
        <v/>
      </c>
      <c r="AA21" s="11">
        <f>-('QTR BS'!X6-'QTR BS'!W6)</f>
        <v/>
      </c>
      <c r="AB21" s="11">
        <f>-('QTR BS'!Y6-'QTR BS'!X6)</f>
        <v/>
      </c>
      <c r="AC21" s="11">
        <f>-('QTR BS'!Z6-'QTR BS'!Y6)</f>
        <v/>
      </c>
      <c r="AD21" s="11">
        <f>-('QTR BS'!AA6-'QTR BS'!Z6)</f>
        <v/>
      </c>
      <c r="AE21" s="11">
        <f>-('QTR BS'!AB6-'QTR BS'!AA6)</f>
        <v/>
      </c>
      <c r="AF21" s="11">
        <f>-('QTR BS'!AC6-'QTR BS'!AB6)</f>
        <v/>
      </c>
      <c r="AG21" s="11">
        <f>-('QTR BS'!AD6-'QTR BS'!AC6)</f>
        <v/>
      </c>
      <c r="AH21" s="11">
        <f>-('QTR BS'!AE6-'QTR BS'!AD6)</f>
        <v/>
      </c>
      <c r="AI21" s="11">
        <f>-('QTR BS'!AF6-'QTR BS'!AE6)</f>
        <v/>
      </c>
      <c r="AJ21" s="11">
        <f>-('QTR BS'!AG6-'QTR BS'!AF6)</f>
        <v/>
      </c>
      <c r="AK21" s="11">
        <f>-('QTR BS'!AH6-'QTR BS'!AG6)</f>
        <v/>
      </c>
    </row>
    <row r="22">
      <c r="A22" s="3" t="inlineStr">
        <is>
          <t>Accounts Payable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FLOW'!C23-'YTD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FLOW'!D23-'YTD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FLOW'!E23-'YTD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FLOW'!F23-'YTD CF'!M22</f>
        <v/>
      </c>
      <c r="R22" s="4">
        <f>'YTD CF'!N22</f>
        <v/>
      </c>
      <c r="S22" s="11">
        <f>R22</f>
        <v/>
      </c>
      <c r="T22" s="11">
        <f>R22</f>
        <v/>
      </c>
      <c r="U22" s="11">
        <f>R22</f>
        <v/>
      </c>
      <c r="V22" s="11">
        <f>R22</f>
        <v/>
      </c>
      <c r="W22" s="11">
        <f>R22</f>
        <v/>
      </c>
      <c r="X22" s="11">
        <f>R22</f>
        <v/>
      </c>
      <c r="Y22" s="11">
        <f>R22</f>
        <v/>
      </c>
      <c r="Z22" s="11">
        <f>R22</f>
        <v/>
      </c>
      <c r="AA22" s="11">
        <f>R22</f>
        <v/>
      </c>
      <c r="AB22" s="11">
        <f>R22</f>
        <v/>
      </c>
      <c r="AC22" s="11">
        <f>R22</f>
        <v/>
      </c>
      <c r="AD22" s="11">
        <f>R22</f>
        <v/>
      </c>
      <c r="AE22" s="11">
        <f>R22</f>
        <v/>
      </c>
      <c r="AF22" s="11">
        <f>R22</f>
        <v/>
      </c>
      <c r="AG22" s="11">
        <f>R22</f>
        <v/>
      </c>
      <c r="AH22" s="11">
        <f>R22</f>
        <v/>
      </c>
      <c r="AI22" s="11">
        <f>R22</f>
        <v/>
      </c>
      <c r="AJ22" s="11">
        <f>R22</f>
        <v/>
      </c>
      <c r="AK22" s="11">
        <f>R22</f>
        <v/>
      </c>
    </row>
    <row r="23">
      <c r="A23" s="3" t="inlineStr">
        <is>
          <t>Other Current Liabilities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FLOW'!C24-'YTD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FLOW'!D24-'YTD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FLOW'!E24-'YTD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FLOW'!F24-'YTD CF'!M23</f>
        <v/>
      </c>
      <c r="R23" s="4">
        <f>'YTD CF'!N23</f>
        <v/>
      </c>
      <c r="S23" s="11">
        <f>R23</f>
        <v/>
      </c>
      <c r="T23" s="11">
        <f>R23</f>
        <v/>
      </c>
      <c r="U23" s="11">
        <f>R23</f>
        <v/>
      </c>
      <c r="V23" s="11">
        <f>R23</f>
        <v/>
      </c>
      <c r="W23" s="11">
        <f>R23</f>
        <v/>
      </c>
      <c r="X23" s="11">
        <f>R23</f>
        <v/>
      </c>
      <c r="Y23" s="11">
        <f>R23</f>
        <v/>
      </c>
      <c r="Z23" s="11">
        <f>R23</f>
        <v/>
      </c>
      <c r="AA23" s="11">
        <f>R23</f>
        <v/>
      </c>
      <c r="AB23" s="11">
        <f>R23</f>
        <v/>
      </c>
      <c r="AC23" s="11">
        <f>R23</f>
        <v/>
      </c>
      <c r="AD23" s="11">
        <f>R23</f>
        <v/>
      </c>
      <c r="AE23" s="11">
        <f>R23</f>
        <v/>
      </c>
      <c r="AF23" s="11">
        <f>R23</f>
        <v/>
      </c>
      <c r="AG23" s="11">
        <f>R23</f>
        <v/>
      </c>
      <c r="AH23" s="11">
        <f>R23</f>
        <v/>
      </c>
      <c r="AI23" s="11">
        <f>R23</f>
        <v/>
      </c>
      <c r="AJ23" s="11">
        <f>R23</f>
        <v/>
      </c>
      <c r="AK23" s="11">
        <f>R23</f>
        <v/>
      </c>
    </row>
    <row r="24">
      <c r="A24" s="3" t="inlineStr">
        <is>
          <t>Other Operating Items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FLOW'!C25-'YTD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FLOW'!D25-'YTD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FLOW'!E25-'YTD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FLOW'!F25-'YTD CF'!M24</f>
        <v/>
      </c>
      <c r="R24" s="4">
        <f>'YTD CF'!N24</f>
        <v/>
      </c>
      <c r="S24" s="11">
        <f>'QTR P&amp;L'!S2*'CF DRIVERS'!S5</f>
        <v/>
      </c>
      <c r="T24" s="11">
        <f>'QTR P&amp;L'!T2*'CF DRIVERS'!T5</f>
        <v/>
      </c>
      <c r="U24" s="11">
        <f>'QTR P&amp;L'!U2*'CF DRIVERS'!U5</f>
        <v/>
      </c>
      <c r="V24" s="11">
        <f>'QTR P&amp;L'!V2*'CF DRIVERS'!V5</f>
        <v/>
      </c>
      <c r="W24" s="11">
        <f>'QTR P&amp;L'!W2*'CF DRIVERS'!W5</f>
        <v/>
      </c>
      <c r="X24" s="11">
        <f>'QTR P&amp;L'!X2*'CF DRIVERS'!X5</f>
        <v/>
      </c>
      <c r="Y24" s="11">
        <f>'QTR P&amp;L'!Y2*'CF DRIVERS'!Y5</f>
        <v/>
      </c>
      <c r="Z24" s="11">
        <f>'QTR P&amp;L'!Z2*'CF DRIVERS'!Z5</f>
        <v/>
      </c>
      <c r="AA24" s="11">
        <f>'QTR P&amp;L'!AA2*'CF DRIVERS'!AA5</f>
        <v/>
      </c>
      <c r="AB24" s="11">
        <f>'QTR P&amp;L'!AB2*'CF DRIVERS'!AB5</f>
        <v/>
      </c>
      <c r="AC24" s="11">
        <f>'QTR P&amp;L'!AC2*'CF DRIVERS'!AC5</f>
        <v/>
      </c>
      <c r="AD24" s="11">
        <f>'QTR P&amp;L'!AD2*'CF DRIVERS'!AD5</f>
        <v/>
      </c>
      <c r="AE24" s="11">
        <f>'QTR P&amp;L'!AE2*'CF DRIVERS'!AE5</f>
        <v/>
      </c>
      <c r="AF24" s="11">
        <f>'QTR P&amp;L'!AF2*'CF DRIVERS'!AF5</f>
        <v/>
      </c>
      <c r="AG24" s="11">
        <f>'QTR P&amp;L'!AG2*'CF DRIVERS'!AG5</f>
        <v/>
      </c>
      <c r="AH24" s="11">
        <f>'QTR P&amp;L'!AH2*'CF DRIVERS'!AH5</f>
        <v/>
      </c>
      <c r="AI24" s="11">
        <f>'QTR P&amp;L'!AI2*'CF DRIVERS'!AI5</f>
        <v/>
      </c>
      <c r="AJ24" s="11">
        <f>'QTR P&amp;L'!AJ2*'CF DRIVERS'!AJ5</f>
        <v/>
      </c>
      <c r="AK24" s="11">
        <f>'QTR P&amp;L'!AK2*'CF DRIVERS'!AK5</f>
        <v/>
      </c>
    </row>
    <row r="25">
      <c r="A25" s="3" t="inlineStr">
        <is>
          <t>Cash Flow from Operations</t>
        </is>
      </c>
      <c r="B25" s="6">
        <f>'YTD CF'!B25</f>
        <v/>
      </c>
      <c r="C25" s="6">
        <f>'YTD CF'!C25-'YTD CF'!B25</f>
        <v/>
      </c>
      <c r="D25" s="6">
        <f>'YTD CF'!D25-'YTD CF'!C25</f>
        <v/>
      </c>
      <c r="E25" s="6">
        <f>'CASH FLOW'!C26-'YTD CF'!D25</f>
        <v/>
      </c>
      <c r="F25" s="6">
        <f>'YTD CF'!E25</f>
        <v/>
      </c>
      <c r="G25" s="6">
        <f>'YTD CF'!F25-'YTD CF'!E25</f>
        <v/>
      </c>
      <c r="H25" s="6">
        <f>'YTD CF'!G25-'YTD CF'!F25</f>
        <v/>
      </c>
      <c r="I25" s="6">
        <f>'CASH FLOW'!D26-'YTD CF'!G25</f>
        <v/>
      </c>
      <c r="J25" s="6">
        <f>'YTD CF'!H25</f>
        <v/>
      </c>
      <c r="K25" s="6">
        <f>'YTD CF'!I25-'YTD CF'!H25</f>
        <v/>
      </c>
      <c r="L25" s="6">
        <f>'YTD CF'!J25-'YTD CF'!I25</f>
        <v/>
      </c>
      <c r="M25" s="6">
        <f>'CASH FLOW'!E26-'YTD CF'!J25</f>
        <v/>
      </c>
      <c r="N25" s="6">
        <f>'YTD CF'!K25</f>
        <v/>
      </c>
      <c r="O25" s="6">
        <f>'YTD CF'!L25-'YTD CF'!K25</f>
        <v/>
      </c>
      <c r="P25" s="6">
        <f>'YTD CF'!M25-'YTD CF'!L25</f>
        <v/>
      </c>
      <c r="Q25" s="6">
        <f>'CASH FLOW'!F26-'YTD CF'!M25</f>
        <v/>
      </c>
      <c r="R25" s="6">
        <f>'YTD CF'!N25</f>
        <v/>
      </c>
      <c r="S25" s="12">
        <f>SUM(S2:S24)</f>
        <v/>
      </c>
      <c r="T25" s="12">
        <f>SUM(T2:T24)</f>
        <v/>
      </c>
      <c r="U25" s="12">
        <f>SUM(U2:U24)</f>
        <v/>
      </c>
      <c r="V25" s="12">
        <f>SUM(V2:V24)</f>
        <v/>
      </c>
      <c r="W25" s="12">
        <f>SUM(W2:W24)</f>
        <v/>
      </c>
      <c r="X25" s="12">
        <f>SUM(X2:X24)</f>
        <v/>
      </c>
      <c r="Y25" s="12">
        <f>SUM(Y2:Y24)</f>
        <v/>
      </c>
      <c r="Z25" s="12">
        <f>SUM(Z2:Z24)</f>
        <v/>
      </c>
      <c r="AA25" s="12">
        <f>SUM(AA2:AA24)</f>
        <v/>
      </c>
      <c r="AB25" s="12">
        <f>SUM(AB2:AB24)</f>
        <v/>
      </c>
      <c r="AC25" s="12">
        <f>SUM(AC2:AC24)</f>
        <v/>
      </c>
      <c r="AD25" s="12">
        <f>SUM(AD2:AD24)</f>
        <v/>
      </c>
      <c r="AE25" s="12">
        <f>SUM(AE2:AE24)</f>
        <v/>
      </c>
      <c r="AF25" s="12">
        <f>SUM(AF2:AF24)</f>
        <v/>
      </c>
      <c r="AG25" s="12">
        <f>SUM(AG2:AG24)</f>
        <v/>
      </c>
      <c r="AH25" s="12">
        <f>SUM(AH2:AH24)</f>
        <v/>
      </c>
      <c r="AI25" s="12">
        <f>SUM(AI2:AI24)</f>
        <v/>
      </c>
      <c r="AJ25" s="12">
        <f>SUM(AJ2:AJ24)</f>
        <v/>
      </c>
      <c r="AK25" s="12">
        <f>SUM(AK2:AK24)</f>
        <v/>
      </c>
    </row>
    <row r="26">
      <c r="A26" s="3" t="inlineStr">
        <is>
          <t>Purchase of PP&amp;E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FLOW'!C27-'YTD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FLOW'!D27-'YTD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FLOW'!E27-'YTD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FLOW'!F27-'YTD CF'!M26</f>
        <v/>
      </c>
      <c r="R26" s="4">
        <f>'YTD CF'!N26</f>
        <v/>
      </c>
      <c r="S26" s="11">
        <f>'QTR P&amp;L'!S2*'CF DRIVERS'!S6</f>
        <v/>
      </c>
      <c r="T26" s="11">
        <f>'QTR P&amp;L'!T2*'CF DRIVERS'!T6</f>
        <v/>
      </c>
      <c r="U26" s="11">
        <f>'QTR P&amp;L'!U2*'CF DRIVERS'!U6</f>
        <v/>
      </c>
      <c r="V26" s="11">
        <f>'QTR P&amp;L'!V2*'CF DRIVERS'!V6</f>
        <v/>
      </c>
      <c r="W26" s="11">
        <f>'QTR P&amp;L'!W2*'CF DRIVERS'!W6</f>
        <v/>
      </c>
      <c r="X26" s="11">
        <f>'QTR P&amp;L'!X2*'CF DRIVERS'!X6</f>
        <v/>
      </c>
      <c r="Y26" s="11">
        <f>'QTR P&amp;L'!Y2*'CF DRIVERS'!Y6</f>
        <v/>
      </c>
      <c r="Z26" s="11">
        <f>'QTR P&amp;L'!Z2*'CF DRIVERS'!Z6</f>
        <v/>
      </c>
      <c r="AA26" s="11">
        <f>'QTR P&amp;L'!AA2*'CF DRIVERS'!AA6</f>
        <v/>
      </c>
      <c r="AB26" s="11">
        <f>'QTR P&amp;L'!AB2*'CF DRIVERS'!AB6</f>
        <v/>
      </c>
      <c r="AC26" s="11">
        <f>'QTR P&amp;L'!AC2*'CF DRIVERS'!AC6</f>
        <v/>
      </c>
      <c r="AD26" s="11">
        <f>'QTR P&amp;L'!AD2*'CF DRIVERS'!AD6</f>
        <v/>
      </c>
      <c r="AE26" s="11">
        <f>'QTR P&amp;L'!AE2*'CF DRIVERS'!AE6</f>
        <v/>
      </c>
      <c r="AF26" s="11">
        <f>'QTR P&amp;L'!AF2*'CF DRIVERS'!AF6</f>
        <v/>
      </c>
      <c r="AG26" s="11">
        <f>'QTR P&amp;L'!AG2*'CF DRIVERS'!AG6</f>
        <v/>
      </c>
      <c r="AH26" s="11">
        <f>'QTR P&amp;L'!AH2*'CF DRIVERS'!AH6</f>
        <v/>
      </c>
      <c r="AI26" s="11">
        <f>'QTR P&amp;L'!AI2*'CF DRIVERS'!AI6</f>
        <v/>
      </c>
      <c r="AJ26" s="11">
        <f>'QTR P&amp;L'!AJ2*'CF DRIVERS'!AJ6</f>
        <v/>
      </c>
      <c r="AK26" s="11">
        <f>'QTR P&amp;L'!AK2*'CF DRIVERS'!AK6</f>
        <v/>
      </c>
    </row>
    <row r="27">
      <c r="A27" s="3" t="inlineStr">
        <is>
          <t>Proceeds from Sale of Assets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FLOW'!C28-'YTD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FLOW'!D28-'YTD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FLOW'!E28-'YTD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FLOW'!F28-'YTD CF'!M27</f>
        <v/>
      </c>
      <c r="R27" s="4">
        <f>'YTD CF'!N27</f>
        <v/>
      </c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</row>
    <row r="28">
      <c r="A28" s="3" t="inlineStr">
        <is>
          <t>Acquisitions, Net of Cash Acquired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FLOW'!C29-'YTD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FLOW'!D29-'YTD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FLOW'!E29-'YTD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FLOW'!F29-'YTD CF'!M28</f>
        <v/>
      </c>
      <c r="R28" s="4">
        <f>'YTD CF'!N28</f>
        <v/>
      </c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</row>
    <row r="29">
      <c r="A29" s="3" t="inlineStr">
        <is>
          <t>Proceeds from Juice Transaction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FLOW'!C30-'YTD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FLOW'!D30-'YTD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FLOW'!E30-'YTD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FLOW'!F30-'YTD CF'!M29</f>
        <v/>
      </c>
      <c r="R29" s="4">
        <f>'YTD CF'!N29</f>
        <v/>
      </c>
      <c r="S29" s="11">
        <f>0</f>
        <v/>
      </c>
      <c r="T29" s="11">
        <f>0</f>
        <v/>
      </c>
      <c r="U29" s="11">
        <f>0</f>
        <v/>
      </c>
      <c r="V29" s="11">
        <f>0</f>
        <v/>
      </c>
      <c r="W29" s="11">
        <f>0</f>
        <v/>
      </c>
      <c r="X29" s="11">
        <f>0</f>
        <v/>
      </c>
      <c r="Y29" s="11">
        <f>0</f>
        <v/>
      </c>
      <c r="Z29" s="11">
        <f>0</f>
        <v/>
      </c>
      <c r="AA29" s="11">
        <f>0</f>
        <v/>
      </c>
      <c r="AB29" s="11">
        <f>0</f>
        <v/>
      </c>
      <c r="AC29" s="11">
        <f>0</f>
        <v/>
      </c>
      <c r="AD29" s="11">
        <f>0</f>
        <v/>
      </c>
      <c r="AE29" s="11">
        <f>0</f>
        <v/>
      </c>
      <c r="AF29" s="11">
        <f>0</f>
        <v/>
      </c>
      <c r="AG29" s="11">
        <f>0</f>
        <v/>
      </c>
      <c r="AH29" s="11">
        <f>0</f>
        <v/>
      </c>
      <c r="AI29" s="11">
        <f>0</f>
        <v/>
      </c>
      <c r="AJ29" s="11">
        <f>0</f>
        <v/>
      </c>
      <c r="AK29" s="11">
        <f>0</f>
        <v/>
      </c>
    </row>
    <row r="30">
      <c r="A30" s="3" t="inlineStr">
        <is>
          <t>Proceeds from Divestitures of Businesses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FLOW'!C31-'YTD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FLOW'!D31-'YTD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FLOW'!E31-'YTD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FLOW'!F31-'YTD CF'!M30</f>
        <v/>
      </c>
      <c r="R30" s="4">
        <f>'YTD CF'!N30</f>
        <v/>
      </c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</row>
    <row r="31">
      <c r="A31" s="3" t="inlineStr">
        <is>
          <t>Net Change in Short-Term Investments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FLOW'!C32-'YTD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FLOW'!D32-'YTD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FLOW'!E32-'YTD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FLOW'!F32-'YTD CF'!M31</f>
        <v/>
      </c>
      <c r="R31" s="4">
        <f>'YTD CF'!N31</f>
        <v/>
      </c>
      <c r="S31" s="11">
        <f>R31</f>
        <v/>
      </c>
      <c r="T31" s="11">
        <f>R31</f>
        <v/>
      </c>
      <c r="U31" s="11">
        <f>R31</f>
        <v/>
      </c>
      <c r="V31" s="11">
        <f>R31</f>
        <v/>
      </c>
      <c r="W31" s="11">
        <f>R31</f>
        <v/>
      </c>
      <c r="X31" s="11">
        <f>R31</f>
        <v/>
      </c>
      <c r="Y31" s="11">
        <f>R31</f>
        <v/>
      </c>
      <c r="Z31" s="11">
        <f>R31</f>
        <v/>
      </c>
      <c r="AA31" s="11">
        <f>R31</f>
        <v/>
      </c>
      <c r="AB31" s="11">
        <f>R31</f>
        <v/>
      </c>
      <c r="AC31" s="11">
        <f>R31</f>
        <v/>
      </c>
      <c r="AD31" s="11">
        <f>R31</f>
        <v/>
      </c>
      <c r="AE31" s="11">
        <f>R31</f>
        <v/>
      </c>
      <c r="AF31" s="11">
        <f>R31</f>
        <v/>
      </c>
      <c r="AG31" s="11">
        <f>R31</f>
        <v/>
      </c>
      <c r="AH31" s="11">
        <f>R31</f>
        <v/>
      </c>
      <c r="AI31" s="11">
        <f>R31</f>
        <v/>
      </c>
      <c r="AJ31" s="11">
        <f>R31</f>
        <v/>
      </c>
      <c r="AK31" s="11">
        <f>R31</f>
        <v/>
      </c>
    </row>
    <row r="32">
      <c r="A32" s="3" t="inlineStr">
        <is>
          <t>Other Investing Activities</t>
        </is>
      </c>
      <c r="B32" s="4">
        <f>'YTD CF'!B32</f>
        <v/>
      </c>
      <c r="C32" s="4">
        <f>'YTD CF'!C32-'YTD CF'!B32</f>
        <v/>
      </c>
      <c r="D32" s="4">
        <f>'YTD CF'!D32-'YTD CF'!C32</f>
        <v/>
      </c>
      <c r="E32" s="4">
        <f>'CASH FLOW'!C33-'YTD CF'!D32</f>
        <v/>
      </c>
      <c r="F32" s="4">
        <f>'YTD CF'!E32</f>
        <v/>
      </c>
      <c r="G32" s="4">
        <f>'YTD CF'!F32-'YTD CF'!E32</f>
        <v/>
      </c>
      <c r="H32" s="4">
        <f>'YTD CF'!G32-'YTD CF'!F32</f>
        <v/>
      </c>
      <c r="I32" s="4">
        <f>'CASH FLOW'!D33-'YTD CF'!G32</f>
        <v/>
      </c>
      <c r="J32" s="4">
        <f>'YTD CF'!H32</f>
        <v/>
      </c>
      <c r="K32" s="4">
        <f>'YTD CF'!I32-'YTD CF'!H32</f>
        <v/>
      </c>
      <c r="L32" s="4">
        <f>'YTD CF'!J32-'YTD CF'!I32</f>
        <v/>
      </c>
      <c r="M32" s="4">
        <f>'CASH FLOW'!E33-'YTD CF'!J32</f>
        <v/>
      </c>
      <c r="N32" s="4">
        <f>'YTD CF'!K32</f>
        <v/>
      </c>
      <c r="O32" s="4">
        <f>'YTD CF'!L32-'YTD CF'!K32</f>
        <v/>
      </c>
      <c r="P32" s="4">
        <f>'YTD CF'!M32-'YTD CF'!L32</f>
        <v/>
      </c>
      <c r="Q32" s="4">
        <f>'CASH FLOW'!F33-'YTD CF'!M32</f>
        <v/>
      </c>
      <c r="R32" s="4">
        <f>'YTD CF'!N32</f>
        <v/>
      </c>
      <c r="S32" s="11">
        <f>R32</f>
        <v/>
      </c>
      <c r="T32" s="11">
        <f>R32</f>
        <v/>
      </c>
      <c r="U32" s="11">
        <f>R32</f>
        <v/>
      </c>
      <c r="V32" s="11">
        <f>R32</f>
        <v/>
      </c>
      <c r="W32" s="11">
        <f>R32</f>
        <v/>
      </c>
      <c r="X32" s="11">
        <f>R32</f>
        <v/>
      </c>
      <c r="Y32" s="11">
        <f>R32</f>
        <v/>
      </c>
      <c r="Z32" s="11">
        <f>R32</f>
        <v/>
      </c>
      <c r="AA32" s="11">
        <f>R32</f>
        <v/>
      </c>
      <c r="AB32" s="11">
        <f>R32</f>
        <v/>
      </c>
      <c r="AC32" s="11">
        <f>R32</f>
        <v/>
      </c>
      <c r="AD32" s="11">
        <f>R32</f>
        <v/>
      </c>
      <c r="AE32" s="11">
        <f>R32</f>
        <v/>
      </c>
      <c r="AF32" s="11">
        <f>R32</f>
        <v/>
      </c>
      <c r="AG32" s="11">
        <f>R32</f>
        <v/>
      </c>
      <c r="AH32" s="11">
        <f>R32</f>
        <v/>
      </c>
      <c r="AI32" s="11">
        <f>R32</f>
        <v/>
      </c>
      <c r="AJ32" s="11">
        <f>R32</f>
        <v/>
      </c>
      <c r="AK32" s="11">
        <f>R32</f>
        <v/>
      </c>
    </row>
    <row r="33">
      <c r="A33" s="3" t="inlineStr">
        <is>
          <t>Cash Flow from Investing</t>
        </is>
      </c>
      <c r="B33" s="6">
        <f>'YTD CF'!B33</f>
        <v/>
      </c>
      <c r="C33" s="6">
        <f>'YTD CF'!C33-'YTD CF'!B33</f>
        <v/>
      </c>
      <c r="D33" s="6">
        <f>'YTD CF'!D33-'YTD CF'!C33</f>
        <v/>
      </c>
      <c r="E33" s="6">
        <f>'CASH FLOW'!C34-'YTD CF'!D33</f>
        <v/>
      </c>
      <c r="F33" s="6">
        <f>'YTD CF'!E33</f>
        <v/>
      </c>
      <c r="G33" s="6">
        <f>'YTD CF'!F33-'YTD CF'!E33</f>
        <v/>
      </c>
      <c r="H33" s="6">
        <f>'YTD CF'!G33-'YTD CF'!F33</f>
        <v/>
      </c>
      <c r="I33" s="6">
        <f>'CASH FLOW'!D34-'YTD CF'!G33</f>
        <v/>
      </c>
      <c r="J33" s="6">
        <f>'YTD CF'!H33</f>
        <v/>
      </c>
      <c r="K33" s="6">
        <f>'YTD CF'!I33-'YTD CF'!H33</f>
        <v/>
      </c>
      <c r="L33" s="6">
        <f>'YTD CF'!J33-'YTD CF'!I33</f>
        <v/>
      </c>
      <c r="M33" s="6">
        <f>'CASH FLOW'!E34-'YTD CF'!J33</f>
        <v/>
      </c>
      <c r="N33" s="6">
        <f>'YTD CF'!K33</f>
        <v/>
      </c>
      <c r="O33" s="6">
        <f>'YTD CF'!L33-'YTD CF'!K33</f>
        <v/>
      </c>
      <c r="P33" s="6">
        <f>'YTD CF'!M33-'YTD CF'!L33</f>
        <v/>
      </c>
      <c r="Q33" s="6">
        <f>'CASH FLOW'!F34-'YTD CF'!M33</f>
        <v/>
      </c>
      <c r="R33" s="6">
        <f>'YTD CF'!N33</f>
        <v/>
      </c>
      <c r="S33" s="12">
        <f>SUM(S26:S32)</f>
        <v/>
      </c>
      <c r="T33" s="12">
        <f>SUM(T26:T32)</f>
        <v/>
      </c>
      <c r="U33" s="12">
        <f>SUM(U26:U32)</f>
        <v/>
      </c>
      <c r="V33" s="12">
        <f>SUM(V26:V32)</f>
        <v/>
      </c>
      <c r="W33" s="12">
        <f>SUM(W26:W32)</f>
        <v/>
      </c>
      <c r="X33" s="12">
        <f>SUM(X26:X32)</f>
        <v/>
      </c>
      <c r="Y33" s="12">
        <f>SUM(Y26:Y32)</f>
        <v/>
      </c>
      <c r="Z33" s="12">
        <f>SUM(Z26:Z32)</f>
        <v/>
      </c>
      <c r="AA33" s="12">
        <f>SUM(AA26:AA32)</f>
        <v/>
      </c>
      <c r="AB33" s="12">
        <f>SUM(AB26:AB32)</f>
        <v/>
      </c>
      <c r="AC33" s="12">
        <f>SUM(AC26:AC32)</f>
        <v/>
      </c>
      <c r="AD33" s="12">
        <f>SUM(AD26:AD32)</f>
        <v/>
      </c>
      <c r="AE33" s="12">
        <f>SUM(AE26:AE32)</f>
        <v/>
      </c>
      <c r="AF33" s="12">
        <f>SUM(AF26:AF32)</f>
        <v/>
      </c>
      <c r="AG33" s="12">
        <f>SUM(AG26:AG32)</f>
        <v/>
      </c>
      <c r="AH33" s="12">
        <f>SUM(AH26:AH32)</f>
        <v/>
      </c>
      <c r="AI33" s="12">
        <f>SUM(AI26:AI32)</f>
        <v/>
      </c>
      <c r="AJ33" s="12">
        <f>SUM(AJ26:AJ32)</f>
        <v/>
      </c>
      <c r="AK33" s="12">
        <f>SUM(AK26:AK32)</f>
        <v/>
      </c>
    </row>
    <row r="34">
      <c r="A34" s="3" t="inlineStr">
        <is>
          <t>Proceeds from Issuance of Long-Term Debt</t>
        </is>
      </c>
      <c r="B34" s="4">
        <f>'YTD CF'!B34</f>
        <v/>
      </c>
      <c r="C34" s="4">
        <f>'YTD CF'!C34-'YTD CF'!B34</f>
        <v/>
      </c>
      <c r="D34" s="4">
        <f>'YTD CF'!D34-'YTD CF'!C34</f>
        <v/>
      </c>
      <c r="E34" s="4">
        <f>'CASH FLOW'!C35-'YTD CF'!D34</f>
        <v/>
      </c>
      <c r="F34" s="4">
        <f>'YTD CF'!E34</f>
        <v/>
      </c>
      <c r="G34" s="4">
        <f>'YTD CF'!F34-'YTD CF'!E34</f>
        <v/>
      </c>
      <c r="H34" s="4">
        <f>'YTD CF'!G34-'YTD CF'!F34</f>
        <v/>
      </c>
      <c r="I34" s="4">
        <f>'CASH FLOW'!D35-'YTD CF'!G34</f>
        <v/>
      </c>
      <c r="J34" s="4">
        <f>'YTD CF'!H34</f>
        <v/>
      </c>
      <c r="K34" s="4">
        <f>'YTD CF'!I34-'YTD CF'!H34</f>
        <v/>
      </c>
      <c r="L34" s="4">
        <f>'YTD CF'!J34-'YTD CF'!I34</f>
        <v/>
      </c>
      <c r="M34" s="4">
        <f>'CASH FLOW'!E35-'YTD CF'!J34</f>
        <v/>
      </c>
      <c r="N34" s="4">
        <f>'YTD CF'!K34</f>
        <v/>
      </c>
      <c r="O34" s="4">
        <f>'YTD CF'!L34-'YTD CF'!K34</f>
        <v/>
      </c>
      <c r="P34" s="4">
        <f>'YTD CF'!M34-'YTD CF'!L34</f>
        <v/>
      </c>
      <c r="Q34" s="4">
        <f>'CASH FLOW'!F35-'YTD CF'!M34</f>
        <v/>
      </c>
      <c r="R34" s="4">
        <f>'YTD CF'!N34</f>
        <v/>
      </c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</row>
    <row r="35">
      <c r="A35" s="3" t="inlineStr">
        <is>
          <t>Repayments of Long-Term Debt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FLOW'!C36-'YTD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FLOW'!D36-'YTD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FLOW'!E36-'YTD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FLOW'!F36-'YTD CF'!M35</f>
        <v/>
      </c>
      <c r="R35" s="4">
        <f>'YTD CF'!N35</f>
        <v/>
      </c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</row>
    <row r="36">
      <c r="A36" s="3" t="inlineStr">
        <is>
          <t>Proceeds from Short-Term Debt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FLOW'!C37-'YTD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FLOW'!D37-'YTD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FLOW'!E37-'YTD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FLOW'!F37-'YTD CF'!M36</f>
        <v/>
      </c>
      <c r="R36" s="4">
        <f>'YTD CF'!N36</f>
        <v/>
      </c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</row>
    <row r="37">
      <c r="A37" s="3" t="inlineStr">
        <is>
          <t>Repayments of Short-Term Debt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FLOW'!C38-'YTD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FLOW'!D38-'YTD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FLOW'!E38-'YTD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FLOW'!F38-'YTD CF'!M37</f>
        <v/>
      </c>
      <c r="R37" s="4">
        <f>'YTD CF'!N37</f>
        <v/>
      </c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</row>
    <row r="38">
      <c r="A38" s="3" t="inlineStr">
        <is>
          <t>Net Change in Other Short-Term Debt</t>
        </is>
      </c>
      <c r="B38" s="4">
        <f>'YTD CF'!B38</f>
        <v/>
      </c>
      <c r="C38" s="4">
        <f>'YTD CF'!C38-'YTD CF'!B38</f>
        <v/>
      </c>
      <c r="D38" s="4">
        <f>'YTD CF'!D38-'YTD CF'!C38</f>
        <v/>
      </c>
      <c r="E38" s="4">
        <f>'CASH FLOW'!C39-'YTD CF'!D38</f>
        <v/>
      </c>
      <c r="F38" s="4">
        <f>'YTD CF'!E38</f>
        <v/>
      </c>
      <c r="G38" s="4">
        <f>'YTD CF'!F38-'YTD CF'!E38</f>
        <v/>
      </c>
      <c r="H38" s="4">
        <f>'YTD CF'!G38-'YTD CF'!F38</f>
        <v/>
      </c>
      <c r="I38" s="4">
        <f>'CASH FLOW'!D39-'YTD CF'!G38</f>
        <v/>
      </c>
      <c r="J38" s="4">
        <f>'YTD CF'!H38</f>
        <v/>
      </c>
      <c r="K38" s="4">
        <f>'YTD CF'!I38-'YTD CF'!H38</f>
        <v/>
      </c>
      <c r="L38" s="4">
        <f>'YTD CF'!J38-'YTD CF'!I38</f>
        <v/>
      </c>
      <c r="M38" s="4">
        <f>'CASH FLOW'!E39-'YTD CF'!J38</f>
        <v/>
      </c>
      <c r="N38" s="4">
        <f>'YTD CF'!K38</f>
        <v/>
      </c>
      <c r="O38" s="4">
        <f>'YTD CF'!L38-'YTD CF'!K38</f>
        <v/>
      </c>
      <c r="P38" s="4">
        <f>'YTD CF'!M38-'YTD CF'!L38</f>
        <v/>
      </c>
      <c r="Q38" s="4">
        <f>'CASH FLOW'!F39-'YTD CF'!M38</f>
        <v/>
      </c>
      <c r="R38" s="4">
        <f>'YTD CF'!N38</f>
        <v/>
      </c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</row>
    <row r="39">
      <c r="A39" s="3" t="inlineStr">
        <is>
          <t>Common Dividends</t>
        </is>
      </c>
      <c r="B39" s="4">
        <f>'YTD CF'!B39</f>
        <v/>
      </c>
      <c r="C39" s="4">
        <f>'YTD CF'!C39-'YTD CF'!B39</f>
        <v/>
      </c>
      <c r="D39" s="4">
        <f>'YTD CF'!D39-'YTD CF'!C39</f>
        <v/>
      </c>
      <c r="E39" s="4">
        <f>'CASH FLOW'!C41-'YTD CF'!D39</f>
        <v/>
      </c>
      <c r="F39" s="4">
        <f>'YTD CF'!E39</f>
        <v/>
      </c>
      <c r="G39" s="4">
        <f>'YTD CF'!F39-'YTD CF'!E39</f>
        <v/>
      </c>
      <c r="H39" s="4">
        <f>'YTD CF'!G39-'YTD CF'!F39</f>
        <v/>
      </c>
      <c r="I39" s="4">
        <f>'CASH FLOW'!D41-'YTD CF'!G39</f>
        <v/>
      </c>
      <c r="J39" s="4">
        <f>'YTD CF'!H39</f>
        <v/>
      </c>
      <c r="K39" s="4">
        <f>'YTD CF'!I39-'YTD CF'!H39</f>
        <v/>
      </c>
      <c r="L39" s="4">
        <f>'YTD CF'!J39-'YTD CF'!I39</f>
        <v/>
      </c>
      <c r="M39" s="4">
        <f>'CASH FLOW'!E41-'YTD CF'!J39</f>
        <v/>
      </c>
      <c r="N39" s="4">
        <f>'YTD CF'!K39</f>
        <v/>
      </c>
      <c r="O39" s="4">
        <f>'YTD CF'!L39-'YTD CF'!K39</f>
        <v/>
      </c>
      <c r="P39" s="4">
        <f>'YTD CF'!M39-'YTD CF'!L39</f>
        <v/>
      </c>
      <c r="Q39" s="4">
        <f>'CASH FLOW'!F41-'YTD CF'!M39</f>
        <v/>
      </c>
      <c r="R39" s="4">
        <f>'YTD CF'!N39</f>
        <v/>
      </c>
      <c r="S39" s="11">
        <f>-'QTR P&amp;L'!S13*'CF DRIVERS'!S7</f>
        <v/>
      </c>
      <c r="T39" s="11">
        <f>-'QTR P&amp;L'!T13*'CF DRIVERS'!T7</f>
        <v/>
      </c>
      <c r="U39" s="11">
        <f>-'QTR P&amp;L'!U13*'CF DRIVERS'!U7</f>
        <v/>
      </c>
      <c r="V39" s="11">
        <f>-'QTR P&amp;L'!V13*'CF DRIVERS'!V7</f>
        <v/>
      </c>
      <c r="W39" s="11">
        <f>-'QTR P&amp;L'!W13*'CF DRIVERS'!W7</f>
        <v/>
      </c>
      <c r="X39" s="11">
        <f>-'QTR P&amp;L'!X13*'CF DRIVERS'!X7</f>
        <v/>
      </c>
      <c r="Y39" s="11">
        <f>-'QTR P&amp;L'!Y13*'CF DRIVERS'!Y7</f>
        <v/>
      </c>
      <c r="Z39" s="11">
        <f>-'QTR P&amp;L'!Z13*'CF DRIVERS'!Z7</f>
        <v/>
      </c>
      <c r="AA39" s="11">
        <f>-'QTR P&amp;L'!AA13*'CF DRIVERS'!AA7</f>
        <v/>
      </c>
      <c r="AB39" s="11">
        <f>-'QTR P&amp;L'!AB13*'CF DRIVERS'!AB7</f>
        <v/>
      </c>
      <c r="AC39" s="11">
        <f>-'QTR P&amp;L'!AC13*'CF DRIVERS'!AC7</f>
        <v/>
      </c>
      <c r="AD39" s="11">
        <f>-'QTR P&amp;L'!AD13*'CF DRIVERS'!AD7</f>
        <v/>
      </c>
      <c r="AE39" s="11">
        <f>-'QTR P&amp;L'!AE13*'CF DRIVERS'!AE7</f>
        <v/>
      </c>
      <c r="AF39" s="11">
        <f>-'QTR P&amp;L'!AF13*'CF DRIVERS'!AF7</f>
        <v/>
      </c>
      <c r="AG39" s="11">
        <f>-'QTR P&amp;L'!AG13*'CF DRIVERS'!AG7</f>
        <v/>
      </c>
      <c r="AH39" s="11">
        <f>-'QTR P&amp;L'!AH13*'CF DRIVERS'!AH7</f>
        <v/>
      </c>
      <c r="AI39" s="11">
        <f>-'QTR P&amp;L'!AI13*'CF DRIVERS'!AI7</f>
        <v/>
      </c>
      <c r="AJ39" s="11">
        <f>-'QTR P&amp;L'!AJ13*'CF DRIVERS'!AJ7</f>
        <v/>
      </c>
      <c r="AK39" s="11">
        <f>-'QTR P&amp;L'!AK13*'CF DRIVERS'!AK7</f>
        <v/>
      </c>
    </row>
    <row r="40">
      <c r="A40" s="3" t="inlineStr">
        <is>
          <t>Share Repurchases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FLOW'!C42-'YTD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FLOW'!D42-'YTD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FLOW'!E42-'YTD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FLOW'!F42-'YTD CF'!M40</f>
        <v/>
      </c>
      <c r="R40" s="4">
        <f>'YTD CF'!N40</f>
        <v/>
      </c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</row>
    <row r="41">
      <c r="A41" s="3" t="inlineStr">
        <is>
          <t>Proceeds from Exercise of Stock Options</t>
        </is>
      </c>
      <c r="B41" s="4">
        <f>'YTD CF'!B41</f>
        <v/>
      </c>
      <c r="C41" s="4">
        <f>'YTD CF'!C41-'YTD CF'!B41</f>
        <v/>
      </c>
      <c r="D41" s="4">
        <f>'YTD CF'!D41-'YTD CF'!C41</f>
        <v/>
      </c>
      <c r="E41" s="4">
        <f>'CASH FLOW'!C43-'YTD CF'!D41</f>
        <v/>
      </c>
      <c r="F41" s="4">
        <f>'YTD CF'!E41</f>
        <v/>
      </c>
      <c r="G41" s="4">
        <f>'YTD CF'!F41-'YTD CF'!E41</f>
        <v/>
      </c>
      <c r="H41" s="4">
        <f>'YTD CF'!G41-'YTD CF'!F41</f>
        <v/>
      </c>
      <c r="I41" s="4">
        <f>'CASH FLOW'!D43-'YTD CF'!G41</f>
        <v/>
      </c>
      <c r="J41" s="4">
        <f>'YTD CF'!H41</f>
        <v/>
      </c>
      <c r="K41" s="4">
        <f>'YTD CF'!I41-'YTD CF'!H41</f>
        <v/>
      </c>
      <c r="L41" s="4">
        <f>'YTD CF'!J41-'YTD CF'!I41</f>
        <v/>
      </c>
      <c r="M41" s="4">
        <f>'CASH FLOW'!E43-'YTD CF'!J41</f>
        <v/>
      </c>
      <c r="N41" s="4">
        <f>'YTD CF'!K41</f>
        <v/>
      </c>
      <c r="O41" s="4">
        <f>'YTD CF'!L41-'YTD CF'!K41</f>
        <v/>
      </c>
      <c r="P41" s="4">
        <f>'YTD CF'!M41-'YTD CF'!L41</f>
        <v/>
      </c>
      <c r="Q41" s="4">
        <f>'CASH FLOW'!F43-'YTD CF'!M41</f>
        <v/>
      </c>
      <c r="R41" s="4">
        <f>'YTD CF'!N41</f>
        <v/>
      </c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</row>
    <row r="42">
      <c r="A42" s="3" t="inlineStr">
        <is>
          <t>Tax Withholdings on RSU/PSU Settlement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FLOW'!C44-'YTD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FLOW'!D44-'YTD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FLOW'!E44-'YTD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FLOW'!F44-'YTD CF'!M42</f>
        <v/>
      </c>
      <c r="R42" s="4">
        <f>'YTD CF'!N42</f>
        <v/>
      </c>
      <c r="S42" s="11">
        <f>R42</f>
        <v/>
      </c>
      <c r="T42" s="11">
        <f>R42</f>
        <v/>
      </c>
      <c r="U42" s="11">
        <f>R42</f>
        <v/>
      </c>
      <c r="V42" s="11">
        <f>R42</f>
        <v/>
      </c>
      <c r="W42" s="11">
        <f>R42</f>
        <v/>
      </c>
      <c r="X42" s="11">
        <f>R42</f>
        <v/>
      </c>
      <c r="Y42" s="11">
        <f>R42</f>
        <v/>
      </c>
      <c r="Z42" s="11">
        <f>R42</f>
        <v/>
      </c>
      <c r="AA42" s="11">
        <f>R42</f>
        <v/>
      </c>
      <c r="AB42" s="11">
        <f>R42</f>
        <v/>
      </c>
      <c r="AC42" s="11">
        <f>R42</f>
        <v/>
      </c>
      <c r="AD42" s="11">
        <f>R42</f>
        <v/>
      </c>
      <c r="AE42" s="11">
        <f>R42</f>
        <v/>
      </c>
      <c r="AF42" s="11">
        <f>R42</f>
        <v/>
      </c>
      <c r="AG42" s="11">
        <f>R42</f>
        <v/>
      </c>
      <c r="AH42" s="11">
        <f>R42</f>
        <v/>
      </c>
      <c r="AI42" s="11">
        <f>R42</f>
        <v/>
      </c>
      <c r="AJ42" s="11">
        <f>R42</f>
        <v/>
      </c>
      <c r="AK42" s="11">
        <f>R42</f>
        <v/>
      </c>
    </row>
    <row r="43">
      <c r="A43" s="3" t="inlineStr">
        <is>
          <t>Other Financing Activities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FLOW'!C45-'YTD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FLOW'!D45-'YTD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FLOW'!E45-'YTD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FLOW'!F45-'YTD CF'!M43</f>
        <v/>
      </c>
      <c r="R43" s="4">
        <f>'YTD CF'!N43</f>
        <v/>
      </c>
      <c r="S43" s="11">
        <f>R43</f>
        <v/>
      </c>
      <c r="T43" s="11">
        <f>R43</f>
        <v/>
      </c>
      <c r="U43" s="11">
        <f>R43</f>
        <v/>
      </c>
      <c r="V43" s="11">
        <f>R43</f>
        <v/>
      </c>
      <c r="W43" s="11">
        <f>R43</f>
        <v/>
      </c>
      <c r="X43" s="11">
        <f>R43</f>
        <v/>
      </c>
      <c r="Y43" s="11">
        <f>R43</f>
        <v/>
      </c>
      <c r="Z43" s="11">
        <f>R43</f>
        <v/>
      </c>
      <c r="AA43" s="11">
        <f>R43</f>
        <v/>
      </c>
      <c r="AB43" s="11">
        <f>R43</f>
        <v/>
      </c>
      <c r="AC43" s="11">
        <f>R43</f>
        <v/>
      </c>
      <c r="AD43" s="11">
        <f>R43</f>
        <v/>
      </c>
      <c r="AE43" s="11">
        <f>R43</f>
        <v/>
      </c>
      <c r="AF43" s="11">
        <f>R43</f>
        <v/>
      </c>
      <c r="AG43" s="11">
        <f>R43</f>
        <v/>
      </c>
      <c r="AH43" s="11">
        <f>R43</f>
        <v/>
      </c>
      <c r="AI43" s="11">
        <f>R43</f>
        <v/>
      </c>
      <c r="AJ43" s="11">
        <f>R43</f>
        <v/>
      </c>
      <c r="AK43" s="11">
        <f>R43</f>
        <v/>
      </c>
    </row>
    <row r="44">
      <c r="A44" s="3" t="inlineStr">
        <is>
          <t>Cash Flow from Financing</t>
        </is>
      </c>
      <c r="B44" s="6">
        <f>'YTD CF'!B44</f>
        <v/>
      </c>
      <c r="C44" s="6">
        <f>'YTD CF'!C44-'YTD CF'!B44</f>
        <v/>
      </c>
      <c r="D44" s="6">
        <f>'YTD CF'!D44-'YTD CF'!C44</f>
        <v/>
      </c>
      <c r="E44" s="6">
        <f>'CASH FLOW'!C46-'YTD CF'!D44</f>
        <v/>
      </c>
      <c r="F44" s="6">
        <f>'YTD CF'!E44</f>
        <v/>
      </c>
      <c r="G44" s="6">
        <f>'YTD CF'!F44-'YTD CF'!E44</f>
        <v/>
      </c>
      <c r="H44" s="6">
        <f>'YTD CF'!G44-'YTD CF'!F44</f>
        <v/>
      </c>
      <c r="I44" s="6">
        <f>'CASH FLOW'!D46-'YTD CF'!G44</f>
        <v/>
      </c>
      <c r="J44" s="6">
        <f>'YTD CF'!H44</f>
        <v/>
      </c>
      <c r="K44" s="6">
        <f>'YTD CF'!I44-'YTD CF'!H44</f>
        <v/>
      </c>
      <c r="L44" s="6">
        <f>'YTD CF'!J44-'YTD CF'!I44</f>
        <v/>
      </c>
      <c r="M44" s="6">
        <f>'CASH FLOW'!E46-'YTD CF'!J44</f>
        <v/>
      </c>
      <c r="N44" s="6">
        <f>'YTD CF'!K44</f>
        <v/>
      </c>
      <c r="O44" s="6">
        <f>'YTD CF'!L44-'YTD CF'!K44</f>
        <v/>
      </c>
      <c r="P44" s="6">
        <f>'YTD CF'!M44-'YTD CF'!L44</f>
        <v/>
      </c>
      <c r="Q44" s="6">
        <f>'CASH FLOW'!F46-'YTD CF'!M44</f>
        <v/>
      </c>
      <c r="R44" s="6">
        <f>'YTD CF'!N44</f>
        <v/>
      </c>
      <c r="S44" s="12">
        <f>SUM(S34:S43)</f>
        <v/>
      </c>
      <c r="T44" s="12">
        <f>SUM(T34:T43)</f>
        <v/>
      </c>
      <c r="U44" s="12">
        <f>SUM(U34:U43)</f>
        <v/>
      </c>
      <c r="V44" s="12">
        <f>SUM(V34:V43)</f>
        <v/>
      </c>
      <c r="W44" s="12">
        <f>SUM(W34:W43)</f>
        <v/>
      </c>
      <c r="X44" s="12">
        <f>SUM(X34:X43)</f>
        <v/>
      </c>
      <c r="Y44" s="12">
        <f>SUM(Y34:Y43)</f>
        <v/>
      </c>
      <c r="Z44" s="12">
        <f>SUM(Z34:Z43)</f>
        <v/>
      </c>
      <c r="AA44" s="12">
        <f>SUM(AA34:AA43)</f>
        <v/>
      </c>
      <c r="AB44" s="12">
        <f>SUM(AB34:AB43)</f>
        <v/>
      </c>
      <c r="AC44" s="12">
        <f>SUM(AC34:AC43)</f>
        <v/>
      </c>
      <c r="AD44" s="12">
        <f>SUM(AD34:AD43)</f>
        <v/>
      </c>
      <c r="AE44" s="12">
        <f>SUM(AE34:AE43)</f>
        <v/>
      </c>
      <c r="AF44" s="12">
        <f>SUM(AF34:AF43)</f>
        <v/>
      </c>
      <c r="AG44" s="12">
        <f>SUM(AG34:AG43)</f>
        <v/>
      </c>
      <c r="AH44" s="12">
        <f>SUM(AH34:AH43)</f>
        <v/>
      </c>
      <c r="AI44" s="12">
        <f>SUM(AI34:AI43)</f>
        <v/>
      </c>
      <c r="AJ44" s="12">
        <f>SUM(AJ34:AJ43)</f>
        <v/>
      </c>
      <c r="AK44" s="12">
        <f>SUM(AK34:AK43)</f>
        <v/>
      </c>
    </row>
    <row r="45">
      <c r="A45" s="3" t="inlineStr">
        <is>
          <t>FX Effect on Cash</t>
        </is>
      </c>
      <c r="B45" s="4">
        <f>'YTD CF'!B45</f>
        <v/>
      </c>
      <c r="C45" s="4">
        <f>'YTD CF'!C45-'YTD CF'!B45</f>
        <v/>
      </c>
      <c r="D45" s="4">
        <f>'YTD CF'!D45-'YTD CF'!C45</f>
        <v/>
      </c>
      <c r="E45" s="4">
        <f>'CASH FLOW'!C47-'YTD CF'!D45</f>
        <v/>
      </c>
      <c r="F45" s="4">
        <f>'YTD CF'!E45</f>
        <v/>
      </c>
      <c r="G45" s="4">
        <f>'YTD CF'!F45-'YTD CF'!E45</f>
        <v/>
      </c>
      <c r="H45" s="4">
        <f>'YTD CF'!G45-'YTD CF'!F45</f>
        <v/>
      </c>
      <c r="I45" s="4">
        <f>'CASH FLOW'!D47-'YTD CF'!G45</f>
        <v/>
      </c>
      <c r="J45" s="4">
        <f>'YTD CF'!H45</f>
        <v/>
      </c>
      <c r="K45" s="4">
        <f>'YTD CF'!I45-'YTD CF'!H45</f>
        <v/>
      </c>
      <c r="L45" s="4">
        <f>'YTD CF'!J45-'YTD CF'!I45</f>
        <v/>
      </c>
      <c r="M45" s="4">
        <f>'CASH FLOW'!E47-'YTD CF'!J45</f>
        <v/>
      </c>
      <c r="N45" s="4">
        <f>'YTD CF'!K45</f>
        <v/>
      </c>
      <c r="O45" s="4">
        <f>'YTD CF'!L45-'YTD CF'!K45</f>
        <v/>
      </c>
      <c r="P45" s="4">
        <f>'YTD CF'!M45-'YTD CF'!L45</f>
        <v/>
      </c>
      <c r="Q45" s="4">
        <f>'CASH FLOW'!F47-'YTD CF'!M45</f>
        <v/>
      </c>
      <c r="R45" s="4">
        <f>'YTD CF'!N45</f>
        <v/>
      </c>
      <c r="S45" s="11">
        <f>R45</f>
        <v/>
      </c>
      <c r="T45" s="11">
        <f>R45</f>
        <v/>
      </c>
      <c r="U45" s="11">
        <f>R45</f>
        <v/>
      </c>
      <c r="V45" s="11">
        <f>R45</f>
        <v/>
      </c>
      <c r="W45" s="11">
        <f>R45</f>
        <v/>
      </c>
      <c r="X45" s="11">
        <f>R45</f>
        <v/>
      </c>
      <c r="Y45" s="11">
        <f>R45</f>
        <v/>
      </c>
      <c r="Z45" s="11">
        <f>R45</f>
        <v/>
      </c>
      <c r="AA45" s="11">
        <f>R45</f>
        <v/>
      </c>
      <c r="AB45" s="11">
        <f>R45</f>
        <v/>
      </c>
      <c r="AC45" s="11">
        <f>R45</f>
        <v/>
      </c>
      <c r="AD45" s="11">
        <f>R45</f>
        <v/>
      </c>
      <c r="AE45" s="11">
        <f>R45</f>
        <v/>
      </c>
      <c r="AF45" s="11">
        <f>R45</f>
        <v/>
      </c>
      <c r="AG45" s="11">
        <f>R45</f>
        <v/>
      </c>
      <c r="AH45" s="11">
        <f>R45</f>
        <v/>
      </c>
      <c r="AI45" s="11">
        <f>R45</f>
        <v/>
      </c>
      <c r="AJ45" s="11">
        <f>R45</f>
        <v/>
      </c>
      <c r="AK45" s="11">
        <f>R45</f>
        <v/>
      </c>
    </row>
    <row r="46">
      <c r="A46" s="3" t="inlineStr">
        <is>
          <t>Net Change in Cash</t>
        </is>
      </c>
      <c r="B46" s="6">
        <f>'YTD CF'!B46</f>
        <v/>
      </c>
      <c r="C46" s="6">
        <f>'YTD CF'!C46-'YTD CF'!B46</f>
        <v/>
      </c>
      <c r="D46" s="6">
        <f>'YTD CF'!D46-'YTD CF'!C46</f>
        <v/>
      </c>
      <c r="E46" s="6">
        <f>'CASH FLOW'!C48-'YTD CF'!D46</f>
        <v/>
      </c>
      <c r="F46" s="6">
        <f>'YTD CF'!E46</f>
        <v/>
      </c>
      <c r="G46" s="6">
        <f>'YTD CF'!F46-'YTD CF'!E46</f>
        <v/>
      </c>
      <c r="H46" s="6">
        <f>'YTD CF'!G46-'YTD CF'!F46</f>
        <v/>
      </c>
      <c r="I46" s="6">
        <f>'CASH FLOW'!D48-'YTD CF'!G46</f>
        <v/>
      </c>
      <c r="J46" s="6">
        <f>'YTD CF'!H46</f>
        <v/>
      </c>
      <c r="K46" s="6">
        <f>'YTD CF'!I46-'YTD CF'!H46</f>
        <v/>
      </c>
      <c r="L46" s="6">
        <f>'YTD CF'!J46-'YTD CF'!I46</f>
        <v/>
      </c>
      <c r="M46" s="6">
        <f>'CASH FLOW'!E48-'YTD CF'!J46</f>
        <v/>
      </c>
      <c r="N46" s="6">
        <f>'YTD CF'!K46</f>
        <v/>
      </c>
      <c r="O46" s="6">
        <f>'YTD CF'!L46-'YTD CF'!K46</f>
        <v/>
      </c>
      <c r="P46" s="6">
        <f>'YTD CF'!M46-'YTD CF'!L46</f>
        <v/>
      </c>
      <c r="Q46" s="6">
        <f>'CASH FLOW'!F48-'YTD CF'!M46</f>
        <v/>
      </c>
      <c r="R46" s="6">
        <f>'YTD CF'!N46</f>
        <v/>
      </c>
      <c r="S46" s="12">
        <f>S25+S33+S44+S45</f>
        <v/>
      </c>
      <c r="T46" s="12">
        <f>T25+T33+T44+T45</f>
        <v/>
      </c>
      <c r="U46" s="12">
        <f>U25+U33+U44+U45</f>
        <v/>
      </c>
      <c r="V46" s="12">
        <f>V25+V33+V44+V45</f>
        <v/>
      </c>
      <c r="W46" s="12">
        <f>W25+W33+W44+W45</f>
        <v/>
      </c>
      <c r="X46" s="12">
        <f>X25+X33+X44+X45</f>
        <v/>
      </c>
      <c r="Y46" s="12">
        <f>Y25+Y33+Y44+Y45</f>
        <v/>
      </c>
      <c r="Z46" s="12">
        <f>Z25+Z33+Z44+Z45</f>
        <v/>
      </c>
      <c r="AA46" s="12">
        <f>AA25+AA33+AA44+AA45</f>
        <v/>
      </c>
      <c r="AB46" s="12">
        <f>AB25+AB33+AB44+AB45</f>
        <v/>
      </c>
      <c r="AC46" s="12">
        <f>AC25+AC33+AC44+AC45</f>
        <v/>
      </c>
      <c r="AD46" s="12">
        <f>AD25+AD33+AD44+AD45</f>
        <v/>
      </c>
      <c r="AE46" s="12">
        <f>AE25+AE33+AE44+AE45</f>
        <v/>
      </c>
      <c r="AF46" s="12">
        <f>AF25+AF33+AF44+AF45</f>
        <v/>
      </c>
      <c r="AG46" s="12">
        <f>AG25+AG33+AG44+AG45</f>
        <v/>
      </c>
      <c r="AH46" s="12">
        <f>AH25+AH33+AH44+AH45</f>
        <v/>
      </c>
      <c r="AI46" s="12">
        <f>AI25+AI33+AI44+AI45</f>
        <v/>
      </c>
      <c r="AJ46" s="12">
        <f>AJ25+AJ33+AJ44+AJ45</f>
        <v/>
      </c>
      <c r="AK46" s="12">
        <f>AK25+AK33+AK44+AK45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 — Growth %</t>
        </is>
      </c>
      <c r="F2" s="13">
        <f>IFERROR('QTR P&amp;L'!F2/'QTR P&amp;L'!B2-1,"")</f>
        <v/>
      </c>
      <c r="G2" s="13">
        <f>IFERROR('QTR P&amp;L'!G2/'QTR P&amp;L'!C2-1,"")</f>
        <v/>
      </c>
      <c r="H2" s="13">
        <f>IFERROR('QTR P&amp;L'!H2/'QTR P&amp;L'!D2-1,"")</f>
        <v/>
      </c>
      <c r="I2" s="13">
        <f>IFERROR('QTR P&amp;L'!I2/'QTR P&amp;L'!E2-1,"")</f>
        <v/>
      </c>
      <c r="J2" s="13">
        <f>IFERROR('QTR P&amp;L'!J2/'QTR P&amp;L'!F2-1,"")</f>
        <v/>
      </c>
      <c r="K2" s="13">
        <f>IFERROR('QTR P&amp;L'!K2/'QTR P&amp;L'!G2-1,"")</f>
        <v/>
      </c>
      <c r="L2" s="13">
        <f>IFERROR('QTR P&amp;L'!L2/'QTR P&amp;L'!H2-1,"")</f>
        <v/>
      </c>
      <c r="M2" s="13">
        <f>IFERROR('QTR P&amp;L'!M2/'QTR P&amp;L'!I2-1,"")</f>
        <v/>
      </c>
      <c r="N2" s="13">
        <f>IFERROR('QTR P&amp;L'!N2/'QTR P&amp;L'!J2-1,"")</f>
        <v/>
      </c>
      <c r="O2" s="13">
        <f>IFERROR('QTR P&amp;L'!O2/'QTR P&amp;L'!K2-1,"")</f>
        <v/>
      </c>
      <c r="P2" s="13">
        <f>IFERROR('QTR P&amp;L'!P2/'QTR P&amp;L'!L2-1,"")</f>
        <v/>
      </c>
      <c r="Q2" s="13">
        <f>IFERROR('QTR P&amp;L'!Q2/'QTR P&amp;L'!M2-1,"")</f>
        <v/>
      </c>
      <c r="R2" s="13">
        <f>IFERROR('QTR P&amp;L'!R2/'QTR P&amp;L'!N2-1,"")</f>
        <v/>
      </c>
      <c r="S2" s="14">
        <f>R2</f>
        <v/>
      </c>
      <c r="T2" s="14">
        <f>R2</f>
        <v/>
      </c>
      <c r="U2" s="14">
        <f>R2</f>
        <v/>
      </c>
      <c r="V2" s="14">
        <f>R2</f>
        <v/>
      </c>
      <c r="W2" s="14">
        <f>R2</f>
        <v/>
      </c>
      <c r="X2" s="14">
        <f>R2</f>
        <v/>
      </c>
      <c r="Y2" s="14">
        <f>R2</f>
        <v/>
      </c>
      <c r="Z2" s="14">
        <f>R2</f>
        <v/>
      </c>
      <c r="AA2" s="14">
        <f>R2</f>
        <v/>
      </c>
      <c r="AB2" s="14">
        <f>R2</f>
        <v/>
      </c>
      <c r="AC2" s="14">
        <f>R2</f>
        <v/>
      </c>
      <c r="AD2" s="14">
        <f>R2</f>
        <v/>
      </c>
      <c r="AE2" s="14">
        <f>R2</f>
        <v/>
      </c>
      <c r="AF2" s="14">
        <f>R2</f>
        <v/>
      </c>
      <c r="AG2" s="14">
        <f>R2</f>
        <v/>
      </c>
      <c r="AH2" s="14">
        <f>R2</f>
        <v/>
      </c>
      <c r="AI2" s="14">
        <f>R2</f>
        <v/>
      </c>
      <c r="AJ2" s="14">
        <f>R2</f>
        <v/>
      </c>
      <c r="AK2" s="14">
        <f>R2</f>
        <v/>
      </c>
    </row>
    <row r="3">
      <c r="A3" s="3" t="inlineStr">
        <is>
          <t>COGS — % of Revenue</t>
        </is>
      </c>
      <c r="B3" s="13">
        <f>IFERROR('QTR P&amp;L'!B3/'QTR P&amp;L'!B2,"")</f>
        <v/>
      </c>
      <c r="C3" s="13">
        <f>IFERROR('QTR P&amp;L'!C3/'QTR P&amp;L'!C2,"")</f>
        <v/>
      </c>
      <c r="D3" s="13">
        <f>IFERROR('QTR P&amp;L'!D3/'QTR P&amp;L'!D2,"")</f>
        <v/>
      </c>
      <c r="E3" s="13">
        <f>IFERROR('QTR P&amp;L'!E3/'QTR P&amp;L'!E2,"")</f>
        <v/>
      </c>
      <c r="F3" s="13">
        <f>IFERROR('QTR P&amp;L'!F3/'QTR P&amp;L'!F2,"")</f>
        <v/>
      </c>
      <c r="G3" s="13">
        <f>IFERROR('QTR P&amp;L'!G3/'QTR P&amp;L'!G2,"")</f>
        <v/>
      </c>
      <c r="H3" s="13">
        <f>IFERROR('QTR P&amp;L'!H3/'QTR P&amp;L'!H2,"")</f>
        <v/>
      </c>
      <c r="I3" s="13">
        <f>IFERROR('QTR P&amp;L'!I3/'QTR P&amp;L'!I2,"")</f>
        <v/>
      </c>
      <c r="J3" s="13">
        <f>IFERROR('QTR P&amp;L'!J3/'QTR P&amp;L'!J2,"")</f>
        <v/>
      </c>
      <c r="K3" s="13">
        <f>IFERROR('QTR P&amp;L'!K3/'QTR P&amp;L'!K2,"")</f>
        <v/>
      </c>
      <c r="L3" s="13">
        <f>IFERROR('QTR P&amp;L'!L3/'QTR P&amp;L'!L2,"")</f>
        <v/>
      </c>
      <c r="M3" s="13">
        <f>IFERROR('QTR P&amp;L'!M3/'QTR P&amp;L'!M2,"")</f>
        <v/>
      </c>
      <c r="N3" s="13">
        <f>IFERROR('QTR P&amp;L'!N3/'QTR P&amp;L'!N2,"")</f>
        <v/>
      </c>
      <c r="O3" s="13">
        <f>IFERROR('QTR P&amp;L'!O3/'QTR P&amp;L'!O2,"")</f>
        <v/>
      </c>
      <c r="P3" s="13">
        <f>IFERROR('QTR P&amp;L'!P3/'QTR P&amp;L'!P2,"")</f>
        <v/>
      </c>
      <c r="Q3" s="13">
        <f>IFERROR('QTR P&amp;L'!Q3/'QTR P&amp;L'!Q2,"")</f>
        <v/>
      </c>
      <c r="R3" s="13">
        <f>IFERROR('QTR P&amp;L'!R3/'QTR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</row>
    <row r="4">
      <c r="A4" s="3" t="inlineStr">
        <is>
          <t>SG&amp;A — % of Revenue</t>
        </is>
      </c>
      <c r="B4" s="13">
        <f>IFERROR('QTR P&amp;L'!B5/'QTR P&amp;L'!B2,"")</f>
        <v/>
      </c>
      <c r="C4" s="13">
        <f>IFERROR('QTR P&amp;L'!C5/'QTR P&amp;L'!C2,"")</f>
        <v/>
      </c>
      <c r="D4" s="13">
        <f>IFERROR('QTR P&amp;L'!D5/'QTR P&amp;L'!D2,"")</f>
        <v/>
      </c>
      <c r="E4" s="13">
        <f>IFERROR('QTR P&amp;L'!E5/'QTR P&amp;L'!E2,"")</f>
        <v/>
      </c>
      <c r="F4" s="13">
        <f>IFERROR('QTR P&amp;L'!F5/'QTR P&amp;L'!F2,"")</f>
        <v/>
      </c>
      <c r="G4" s="13">
        <f>IFERROR('QTR P&amp;L'!G5/'QTR P&amp;L'!G2,"")</f>
        <v/>
      </c>
      <c r="H4" s="13">
        <f>IFERROR('QTR P&amp;L'!H5/'QTR P&amp;L'!H2,"")</f>
        <v/>
      </c>
      <c r="I4" s="13">
        <f>IFERROR('QTR P&amp;L'!I5/'QTR P&amp;L'!I2,"")</f>
        <v/>
      </c>
      <c r="J4" s="13">
        <f>IFERROR('QTR P&amp;L'!J5/'QTR P&amp;L'!J2,"")</f>
        <v/>
      </c>
      <c r="K4" s="13">
        <f>IFERROR('QTR P&amp;L'!K5/'QTR P&amp;L'!K2,"")</f>
        <v/>
      </c>
      <c r="L4" s="13">
        <f>IFERROR('QTR P&amp;L'!L5/'QTR P&amp;L'!L2,"")</f>
        <v/>
      </c>
      <c r="M4" s="13">
        <f>IFERROR('QTR P&amp;L'!M5/'QTR P&amp;L'!M2,"")</f>
        <v/>
      </c>
      <c r="N4" s="13">
        <f>IFERROR('QTR P&amp;L'!N5/'QTR P&amp;L'!N2,"")</f>
        <v/>
      </c>
      <c r="O4" s="13">
        <f>IFERROR('QTR P&amp;L'!O5/'QTR P&amp;L'!O2,"")</f>
        <v/>
      </c>
      <c r="P4" s="13">
        <f>IFERROR('QTR P&amp;L'!P5/'QTR P&amp;L'!P2,"")</f>
        <v/>
      </c>
      <c r="Q4" s="13">
        <f>IFERROR('QTR P&amp;L'!Q5/'QTR P&amp;L'!Q2,"")</f>
        <v/>
      </c>
      <c r="R4" s="13">
        <f>IFERROR('QTR P&amp;L'!R5/'QTR P&amp;L'!R2,"")</f>
        <v/>
      </c>
      <c r="S4" s="14">
        <f>R4</f>
        <v/>
      </c>
      <c r="T4" s="14">
        <f>R4</f>
        <v/>
      </c>
      <c r="U4" s="14">
        <f>R4</f>
        <v/>
      </c>
      <c r="V4" s="14">
        <f>R4</f>
        <v/>
      </c>
      <c r="W4" s="14">
        <f>R4</f>
        <v/>
      </c>
      <c r="X4" s="14">
        <f>R4</f>
        <v/>
      </c>
      <c r="Y4" s="14">
        <f>R4</f>
        <v/>
      </c>
      <c r="Z4" s="14">
        <f>R4</f>
        <v/>
      </c>
      <c r="AA4" s="14">
        <f>R4</f>
        <v/>
      </c>
      <c r="AB4" s="14">
        <f>R4</f>
        <v/>
      </c>
      <c r="AC4" s="14">
        <f>R4</f>
        <v/>
      </c>
      <c r="AD4" s="14">
        <f>R4</f>
        <v/>
      </c>
      <c r="AE4" s="14">
        <f>R4</f>
        <v/>
      </c>
      <c r="AF4" s="14">
        <f>R4</f>
        <v/>
      </c>
      <c r="AG4" s="14">
        <f>R4</f>
        <v/>
      </c>
      <c r="AH4" s="14">
        <f>R4</f>
        <v/>
      </c>
      <c r="AI4" s="14">
        <f>R4</f>
        <v/>
      </c>
      <c r="AJ4" s="14">
        <f>R4</f>
        <v/>
      </c>
      <c r="AK4" s="14">
        <f>R4</f>
        <v/>
      </c>
    </row>
    <row r="5">
      <c r="A5" s="3" t="inlineStr">
        <is>
          <t>Impairment of Intangibles — % of Revenue</t>
        </is>
      </c>
      <c r="B5" s="13">
        <f>IFERROR('QTR P&amp;L'!B7/'QTR P&amp;L'!B2,"")</f>
        <v/>
      </c>
      <c r="C5" s="13">
        <f>IFERROR('QTR P&amp;L'!C7/'QTR P&amp;L'!C2,"")</f>
        <v/>
      </c>
      <c r="D5" s="13">
        <f>IFERROR('QTR P&amp;L'!D7/'QTR P&amp;L'!D2,"")</f>
        <v/>
      </c>
      <c r="E5" s="13">
        <f>IFERROR('QTR P&amp;L'!E7/'QTR P&amp;L'!E2,"")</f>
        <v/>
      </c>
      <c r="F5" s="13">
        <f>IFERROR('QTR P&amp;L'!F7/'QTR P&amp;L'!F2,"")</f>
        <v/>
      </c>
      <c r="G5" s="13">
        <f>IFERROR('QTR P&amp;L'!G7/'QTR P&amp;L'!G2,"")</f>
        <v/>
      </c>
      <c r="H5" s="13">
        <f>IFERROR('QTR P&amp;L'!H7/'QTR P&amp;L'!H2,"")</f>
        <v/>
      </c>
      <c r="I5" s="13">
        <f>IFERROR('QTR P&amp;L'!I7/'QTR P&amp;L'!I2,"")</f>
        <v/>
      </c>
      <c r="J5" s="13">
        <f>IFERROR('QTR P&amp;L'!J7/'QTR P&amp;L'!J2,"")</f>
        <v/>
      </c>
      <c r="K5" s="13">
        <f>IFERROR('QTR P&amp;L'!K7/'QTR P&amp;L'!K2,"")</f>
        <v/>
      </c>
      <c r="L5" s="13">
        <f>IFERROR('QTR P&amp;L'!L7/'QTR P&amp;L'!L2,"")</f>
        <v/>
      </c>
      <c r="M5" s="13">
        <f>IFERROR('QTR P&amp;L'!M7/'QTR P&amp;L'!M2,"")</f>
        <v/>
      </c>
      <c r="N5" s="13">
        <f>IFERROR('QTR P&amp;L'!N7/'QTR P&amp;L'!N2,"")</f>
        <v/>
      </c>
      <c r="O5" s="13">
        <f>IFERROR('QTR P&amp;L'!O7/'QTR P&amp;L'!O2,"")</f>
        <v/>
      </c>
      <c r="P5" s="13">
        <f>IFERROR('QTR P&amp;L'!P7/'QTR P&amp;L'!P2,"")</f>
        <v/>
      </c>
      <c r="Q5" s="13">
        <f>IFERROR('QTR P&amp;L'!Q7/'QTR P&amp;L'!Q2,"")</f>
        <v/>
      </c>
      <c r="R5" s="13">
        <f>IFERROR('QTR P&amp;L'!R7/'QTR P&amp;L'!R2,"")</f>
        <v/>
      </c>
      <c r="S5" s="14">
        <f>R5</f>
        <v/>
      </c>
      <c r="T5" s="14">
        <f>R5</f>
        <v/>
      </c>
      <c r="U5" s="14">
        <f>R5</f>
        <v/>
      </c>
      <c r="V5" s="14">
        <f>R5</f>
        <v/>
      </c>
      <c r="W5" s="14">
        <f>R5</f>
        <v/>
      </c>
      <c r="X5" s="14">
        <f>R5</f>
        <v/>
      </c>
      <c r="Y5" s="14">
        <f>R5</f>
        <v/>
      </c>
      <c r="Z5" s="14">
        <f>R5</f>
        <v/>
      </c>
      <c r="AA5" s="14">
        <f>R5</f>
        <v/>
      </c>
      <c r="AB5" s="14">
        <f>R5</f>
        <v/>
      </c>
      <c r="AC5" s="14">
        <f>R5</f>
        <v/>
      </c>
      <c r="AD5" s="14">
        <f>R5</f>
        <v/>
      </c>
      <c r="AE5" s="14">
        <f>R5</f>
        <v/>
      </c>
      <c r="AF5" s="14">
        <f>R5</f>
        <v/>
      </c>
      <c r="AG5" s="14">
        <f>R5</f>
        <v/>
      </c>
      <c r="AH5" s="14">
        <f>R5</f>
        <v/>
      </c>
      <c r="AI5" s="14">
        <f>R5</f>
        <v/>
      </c>
      <c r="AJ5" s="14">
        <f>R5</f>
        <v/>
      </c>
      <c r="AK5" s="14">
        <f>R5</f>
        <v/>
      </c>
    </row>
    <row r="6">
      <c r="A6" s="3" t="inlineStr">
        <is>
          <t>Income Tax (Expense) Benefit — Effective Tax Rate %</t>
        </is>
      </c>
      <c r="B6" s="13">
        <f>IFERROR('QTR P&amp;L'!B12/'QTR P&amp;L'!B11,"")</f>
        <v/>
      </c>
      <c r="C6" s="13">
        <f>IFERROR('QTR P&amp;L'!C12/'QTR P&amp;L'!C11,"")</f>
        <v/>
      </c>
      <c r="D6" s="13">
        <f>IFERROR('QTR P&amp;L'!D12/'QTR P&amp;L'!D11,"")</f>
        <v/>
      </c>
      <c r="E6" s="13">
        <f>IFERROR('QTR P&amp;L'!E12/'QTR P&amp;L'!E11,"")</f>
        <v/>
      </c>
      <c r="F6" s="13">
        <f>IFERROR('QTR P&amp;L'!F12/'QTR P&amp;L'!F11,"")</f>
        <v/>
      </c>
      <c r="G6" s="13">
        <f>IFERROR('QTR P&amp;L'!G12/'QTR P&amp;L'!G11,"")</f>
        <v/>
      </c>
      <c r="H6" s="13">
        <f>IFERROR('QTR P&amp;L'!H12/'QTR P&amp;L'!H11,"")</f>
        <v/>
      </c>
      <c r="I6" s="13">
        <f>IFERROR('QTR P&amp;L'!I12/'QTR P&amp;L'!I11,"")</f>
        <v/>
      </c>
      <c r="J6" s="13">
        <f>IFERROR('QTR P&amp;L'!J12/'QTR P&amp;L'!J11,"")</f>
        <v/>
      </c>
      <c r="K6" s="13">
        <f>IFERROR('QTR P&amp;L'!K12/'QTR P&amp;L'!K11,"")</f>
        <v/>
      </c>
      <c r="L6" s="13">
        <f>IFERROR('QTR P&amp;L'!L12/'QTR P&amp;L'!L11,"")</f>
        <v/>
      </c>
      <c r="M6" s="13">
        <f>IFERROR('QTR P&amp;L'!M12/'QTR P&amp;L'!M11,"")</f>
        <v/>
      </c>
      <c r="N6" s="13">
        <f>IFERROR('QTR P&amp;L'!N12/'QTR P&amp;L'!N11,"")</f>
        <v/>
      </c>
      <c r="O6" s="13">
        <f>IFERROR('QTR P&amp;L'!O12/'QTR P&amp;L'!O11,"")</f>
        <v/>
      </c>
      <c r="P6" s="13">
        <f>IFERROR('QTR P&amp;L'!P12/'QTR P&amp;L'!P11,"")</f>
        <v/>
      </c>
      <c r="Q6" s="13">
        <f>IFERROR('QTR P&amp;L'!Q12/'QTR P&amp;L'!Q11,"")</f>
        <v/>
      </c>
      <c r="R6" s="13">
        <f>IFERROR('QTR P&amp;L'!R12/'QTR P&amp;L'!R11,"")</f>
        <v/>
      </c>
      <c r="S6" s="14">
        <f>R6</f>
        <v/>
      </c>
      <c r="T6" s="14">
        <f>R6</f>
        <v/>
      </c>
      <c r="U6" s="14">
        <f>R6</f>
        <v/>
      </c>
      <c r="V6" s="14">
        <f>R6</f>
        <v/>
      </c>
      <c r="W6" s="14">
        <f>R6</f>
        <v/>
      </c>
      <c r="X6" s="14">
        <f>R6</f>
        <v/>
      </c>
      <c r="Y6" s="14">
        <f>R6</f>
        <v/>
      </c>
      <c r="Z6" s="14">
        <f>R6</f>
        <v/>
      </c>
      <c r="AA6" s="14">
        <f>R6</f>
        <v/>
      </c>
      <c r="AB6" s="14">
        <f>R6</f>
        <v/>
      </c>
      <c r="AC6" s="14">
        <f>R6</f>
        <v/>
      </c>
      <c r="AD6" s="14">
        <f>R6</f>
        <v/>
      </c>
      <c r="AE6" s="14">
        <f>R6</f>
        <v/>
      </c>
      <c r="AF6" s="14">
        <f>R6</f>
        <v/>
      </c>
      <c r="AG6" s="14">
        <f>R6</f>
        <v/>
      </c>
      <c r="AH6" s="14">
        <f>R6</f>
        <v/>
      </c>
      <c r="AI6" s="14">
        <f>R6</f>
        <v/>
      </c>
      <c r="AJ6" s="14">
        <f>R6</f>
        <v/>
      </c>
      <c r="AK6" s="14">
        <f>R6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Driver</t>
        </is>
      </c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Accounts Receivable — DSO (days)</t>
        </is>
      </c>
      <c r="B2" s="15">
        <f>IFERROR('QTR BS'!B4/'QTR P&amp;L'!B2*ASSUMPTIONS!$B$2,"")</f>
        <v/>
      </c>
      <c r="C2" s="15">
        <f>IFERROR('QTR BS'!C4/'QTR P&amp;L'!C2*ASSUMPTIONS!$B$2,"")</f>
        <v/>
      </c>
      <c r="D2" s="15">
        <f>IFERROR('QTR BS'!D4/'QTR P&amp;L'!D2*ASSUMPTIONS!$B$2,"")</f>
        <v/>
      </c>
      <c r="E2" s="15">
        <f>IFERROR('QTR BS'!E4/'QTR P&amp;L'!E2*ASSUMPTIONS!$B$2,"")</f>
        <v/>
      </c>
      <c r="F2" s="15">
        <f>IFERROR('QTR BS'!F4/'QTR P&amp;L'!F2*ASSUMPTIONS!$B$2,"")</f>
        <v/>
      </c>
      <c r="G2" s="15">
        <f>IFERROR('QTR BS'!G4/'QTR P&amp;L'!G2*ASSUMPTIONS!$B$2,"")</f>
        <v/>
      </c>
      <c r="H2" s="15">
        <f>IFERROR('QTR BS'!H4/'QTR P&amp;L'!H2*ASSUMPTIONS!$B$2,"")</f>
        <v/>
      </c>
      <c r="I2" s="15">
        <f>IFERROR('QTR BS'!I4/'QTR P&amp;L'!I2*ASSUMPTIONS!$B$2,"")</f>
        <v/>
      </c>
      <c r="J2" s="15">
        <f>IFERROR('QTR BS'!J4/'QTR P&amp;L'!J2*ASSUMPTIONS!$B$2,"")</f>
        <v/>
      </c>
      <c r="K2" s="15">
        <f>IFERROR('QTR BS'!K4/'QTR P&amp;L'!K2*ASSUMPTIONS!$B$2,"")</f>
        <v/>
      </c>
      <c r="L2" s="15">
        <f>IFERROR('QTR BS'!L4/'QTR P&amp;L'!L2*ASSUMPTIONS!$B$2,"")</f>
        <v/>
      </c>
      <c r="M2" s="15">
        <f>IFERROR('QTR BS'!M4/'QTR P&amp;L'!M2*ASSUMPTIONS!$B$2,"")</f>
        <v/>
      </c>
      <c r="N2" s="15">
        <f>IFERROR('QTR BS'!N4/'QTR P&amp;L'!N2*ASSUMPTIONS!$B$2,"")</f>
        <v/>
      </c>
      <c r="O2" s="15">
        <f>IFERROR('QTR BS'!O4/'QTR P&amp;L'!O2*ASSUMPTIONS!$B$2,"")</f>
        <v/>
      </c>
      <c r="P2" s="16">
        <f>O2</f>
        <v/>
      </c>
      <c r="Q2" s="16">
        <f>O2</f>
        <v/>
      </c>
      <c r="R2" s="16">
        <f>O2</f>
        <v/>
      </c>
      <c r="S2" s="16">
        <f>O2</f>
        <v/>
      </c>
      <c r="T2" s="16">
        <f>O2</f>
        <v/>
      </c>
      <c r="U2" s="16">
        <f>O2</f>
        <v/>
      </c>
      <c r="V2" s="16">
        <f>O2</f>
        <v/>
      </c>
      <c r="W2" s="16">
        <f>O2</f>
        <v/>
      </c>
      <c r="X2" s="16">
        <f>O2</f>
        <v/>
      </c>
      <c r="Y2" s="16">
        <f>O2</f>
        <v/>
      </c>
      <c r="Z2" s="16">
        <f>O2</f>
        <v/>
      </c>
      <c r="AA2" s="16">
        <f>O2</f>
        <v/>
      </c>
      <c r="AB2" s="16">
        <f>O2</f>
        <v/>
      </c>
      <c r="AC2" s="16">
        <f>O2</f>
        <v/>
      </c>
      <c r="AD2" s="16">
        <f>O2</f>
        <v/>
      </c>
      <c r="AE2" s="16">
        <f>O2</f>
        <v/>
      </c>
      <c r="AF2" s="16">
        <f>O2</f>
        <v/>
      </c>
      <c r="AG2" s="16">
        <f>O2</f>
        <v/>
      </c>
      <c r="AH2" s="16">
        <f>O2</f>
        <v/>
      </c>
    </row>
    <row r="3">
      <c r="A3" s="3" t="inlineStr">
        <is>
          <t>Inventories — DIO (days)</t>
        </is>
      </c>
      <c r="B3" s="15">
        <f>IFERROR('QTR BS'!B5/'QTR P&amp;L'!B3*ASSUMPTIONS!$B$2,"")</f>
        <v/>
      </c>
      <c r="C3" s="15">
        <f>IFERROR('QTR BS'!C5/'QTR P&amp;L'!C3*ASSUMPTIONS!$B$2,"")</f>
        <v/>
      </c>
      <c r="D3" s="15">
        <f>IFERROR('QTR BS'!D5/'QTR P&amp;L'!D3*ASSUMPTIONS!$B$2,"")</f>
        <v/>
      </c>
      <c r="E3" s="15">
        <f>IFERROR('QTR BS'!E5/'QTR P&amp;L'!E3*ASSUMPTIONS!$B$2,"")</f>
        <v/>
      </c>
      <c r="F3" s="15">
        <f>IFERROR('QTR BS'!F5/'QTR P&amp;L'!F3*ASSUMPTIONS!$B$2,"")</f>
        <v/>
      </c>
      <c r="G3" s="15">
        <f>IFERROR('QTR BS'!G5/'QTR P&amp;L'!G3*ASSUMPTIONS!$B$2,"")</f>
        <v/>
      </c>
      <c r="H3" s="15">
        <f>IFERROR('QTR BS'!H5/'QTR P&amp;L'!H3*ASSUMPTIONS!$B$2,"")</f>
        <v/>
      </c>
      <c r="I3" s="15">
        <f>IFERROR('QTR BS'!I5/'QTR P&amp;L'!I3*ASSUMPTIONS!$B$2,"")</f>
        <v/>
      </c>
      <c r="J3" s="15">
        <f>IFERROR('QTR BS'!J5/'QTR P&amp;L'!J3*ASSUMPTIONS!$B$2,"")</f>
        <v/>
      </c>
      <c r="K3" s="15">
        <f>IFERROR('QTR BS'!K5/'QTR P&amp;L'!K3*ASSUMPTIONS!$B$2,"")</f>
        <v/>
      </c>
      <c r="L3" s="15">
        <f>IFERROR('QTR BS'!L5/'QTR P&amp;L'!L3*ASSUMPTIONS!$B$2,"")</f>
        <v/>
      </c>
      <c r="M3" s="15">
        <f>IFERROR('QTR BS'!M5/'QTR P&amp;L'!M3*ASSUMPTIONS!$B$2,"")</f>
        <v/>
      </c>
      <c r="N3" s="15">
        <f>IFERROR('QTR BS'!N5/'QTR P&amp;L'!N3*ASSUMPTIONS!$B$2,"")</f>
        <v/>
      </c>
      <c r="O3" s="15">
        <f>IFERROR('QTR BS'!O5/'QTR P&amp;L'!O3*ASSUMPTIONS!$B$2,"")</f>
        <v/>
      </c>
      <c r="P3" s="16">
        <f>O3</f>
        <v/>
      </c>
      <c r="Q3" s="16">
        <f>O3</f>
        <v/>
      </c>
      <c r="R3" s="16">
        <f>O3</f>
        <v/>
      </c>
      <c r="S3" s="16">
        <f>O3</f>
        <v/>
      </c>
      <c r="T3" s="16">
        <f>O3</f>
        <v/>
      </c>
      <c r="U3" s="16">
        <f>O3</f>
        <v/>
      </c>
      <c r="V3" s="16">
        <f>O3</f>
        <v/>
      </c>
      <c r="W3" s="16">
        <f>O3</f>
        <v/>
      </c>
      <c r="X3" s="16">
        <f>O3</f>
        <v/>
      </c>
      <c r="Y3" s="16">
        <f>O3</f>
        <v/>
      </c>
      <c r="Z3" s="16">
        <f>O3</f>
        <v/>
      </c>
      <c r="AA3" s="16">
        <f>O3</f>
        <v/>
      </c>
      <c r="AB3" s="16">
        <f>O3</f>
        <v/>
      </c>
      <c r="AC3" s="16">
        <f>O3</f>
        <v/>
      </c>
      <c r="AD3" s="16">
        <f>O3</f>
        <v/>
      </c>
      <c r="AE3" s="16">
        <f>O3</f>
        <v/>
      </c>
      <c r="AF3" s="16">
        <f>O3</f>
        <v/>
      </c>
      <c r="AG3" s="16">
        <f>O3</f>
        <v/>
      </c>
      <c r="AH3" s="16">
        <f>O3</f>
        <v/>
      </c>
    </row>
    <row r="4">
      <c r="A4" s="3" t="inlineStr">
        <is>
          <t>Prepaid Expenses — % of Revenue</t>
        </is>
      </c>
      <c r="B4" s="13">
        <f>IFERROR('QTR BS'!B6/'QTR P&amp;L'!B2,"")</f>
        <v/>
      </c>
      <c r="C4" s="13">
        <f>IFERROR('QTR BS'!C6/'QTR P&amp;L'!C2,"")</f>
        <v/>
      </c>
      <c r="D4" s="13">
        <f>IFERROR('QTR BS'!D6/'QTR P&amp;L'!D2,"")</f>
        <v/>
      </c>
      <c r="E4" s="13">
        <f>IFERROR('QTR BS'!E6/'QTR P&amp;L'!E2,"")</f>
        <v/>
      </c>
      <c r="F4" s="13">
        <f>IFERROR('QTR BS'!F6/'QTR P&amp;L'!F2,"")</f>
        <v/>
      </c>
      <c r="G4" s="13">
        <f>IFERROR('QTR BS'!G6/'QTR P&amp;L'!G2,"")</f>
        <v/>
      </c>
      <c r="H4" s="13">
        <f>IFERROR('QTR BS'!H6/'QTR P&amp;L'!H2,"")</f>
        <v/>
      </c>
      <c r="I4" s="13">
        <f>IFERROR('QTR BS'!I6/'QTR P&amp;L'!I2,"")</f>
        <v/>
      </c>
      <c r="J4" s="13">
        <f>IFERROR('QTR BS'!J6/'QTR P&amp;L'!J2,"")</f>
        <v/>
      </c>
      <c r="K4" s="13">
        <f>IFERROR('QTR BS'!K6/'QTR P&amp;L'!K2,"")</f>
        <v/>
      </c>
      <c r="L4" s="13">
        <f>IFERROR('QTR BS'!L6/'QTR P&amp;L'!L2,"")</f>
        <v/>
      </c>
      <c r="M4" s="13">
        <f>IFERROR('QTR BS'!M6/'QTR P&amp;L'!M2,"")</f>
        <v/>
      </c>
      <c r="N4" s="13">
        <f>IFERROR('QTR BS'!N6/'QTR P&amp;L'!N2,"")</f>
        <v/>
      </c>
      <c r="O4" s="13">
        <f>IFERROR('QTR BS'!O6/'QTR P&amp;L'!O2,"")</f>
        <v/>
      </c>
      <c r="P4" s="14">
        <f>O4</f>
        <v/>
      </c>
      <c r="Q4" s="14">
        <f>O4</f>
        <v/>
      </c>
      <c r="R4" s="14">
        <f>O4</f>
        <v/>
      </c>
      <c r="S4" s="14">
        <f>O4</f>
        <v/>
      </c>
      <c r="T4" s="14">
        <f>O4</f>
        <v/>
      </c>
      <c r="U4" s="14">
        <f>O4</f>
        <v/>
      </c>
      <c r="V4" s="14">
        <f>O4</f>
        <v/>
      </c>
      <c r="W4" s="14">
        <f>O4</f>
        <v/>
      </c>
      <c r="X4" s="14">
        <f>O4</f>
        <v/>
      </c>
      <c r="Y4" s="14">
        <f>O4</f>
        <v/>
      </c>
      <c r="Z4" s="14">
        <f>O4</f>
        <v/>
      </c>
      <c r="AA4" s="14">
        <f>O4</f>
        <v/>
      </c>
      <c r="AB4" s="14">
        <f>O4</f>
        <v/>
      </c>
      <c r="AC4" s="14">
        <f>O4</f>
        <v/>
      </c>
      <c r="AD4" s="14">
        <f>O4</f>
        <v/>
      </c>
      <c r="AE4" s="14">
        <f>O4</f>
        <v/>
      </c>
      <c r="AF4" s="14">
        <f>O4</f>
        <v/>
      </c>
      <c r="AG4" s="14">
        <f>O4</f>
        <v/>
      </c>
      <c r="AH4" s="14">
        <f>O4</f>
        <v/>
      </c>
    </row>
    <row r="5">
      <c r="A5" s="3" t="inlineStr">
        <is>
          <t>Other Non-Current Assets — % of Revenue</t>
        </is>
      </c>
      <c r="B5" s="13">
        <f>IFERROR('QTR BS'!B13/'QTR P&amp;L'!B2,"")</f>
        <v/>
      </c>
      <c r="C5" s="13">
        <f>IFERROR('QTR BS'!C13/'QTR P&amp;L'!C2,"")</f>
        <v/>
      </c>
      <c r="D5" s="13">
        <f>IFERROR('QTR BS'!D13/'QTR P&amp;L'!D2,"")</f>
        <v/>
      </c>
      <c r="E5" s="13">
        <f>IFERROR('QTR BS'!E13/'QTR P&amp;L'!E2,"")</f>
        <v/>
      </c>
      <c r="F5" s="13">
        <f>IFERROR('QTR BS'!F13/'QTR P&amp;L'!F2,"")</f>
        <v/>
      </c>
      <c r="G5" s="13">
        <f>IFERROR('QTR BS'!G13/'QTR P&amp;L'!G2,"")</f>
        <v/>
      </c>
      <c r="H5" s="13">
        <f>IFERROR('QTR BS'!H13/'QTR P&amp;L'!H2,"")</f>
        <v/>
      </c>
      <c r="I5" s="13">
        <f>IFERROR('QTR BS'!I13/'QTR P&amp;L'!I2,"")</f>
        <v/>
      </c>
      <c r="J5" s="13">
        <f>IFERROR('QTR BS'!J13/'QTR P&amp;L'!J2,"")</f>
        <v/>
      </c>
      <c r="K5" s="13">
        <f>IFERROR('QTR BS'!K13/'QTR P&amp;L'!K2,"")</f>
        <v/>
      </c>
      <c r="L5" s="13">
        <f>IFERROR('QTR BS'!L13/'QTR P&amp;L'!L2,"")</f>
        <v/>
      </c>
      <c r="M5" s="13">
        <f>IFERROR('QTR BS'!M13/'QTR P&amp;L'!M2,"")</f>
        <v/>
      </c>
      <c r="N5" s="13">
        <f>IFERROR('QTR BS'!N13/'QTR P&amp;L'!N2,"")</f>
        <v/>
      </c>
      <c r="O5" s="13">
        <f>IFERROR('QTR BS'!O13/'QTR P&amp;L'!O2,"")</f>
        <v/>
      </c>
      <c r="P5" s="14">
        <f>O5</f>
        <v/>
      </c>
      <c r="Q5" s="14">
        <f>O5</f>
        <v/>
      </c>
      <c r="R5" s="14">
        <f>O5</f>
        <v/>
      </c>
      <c r="S5" s="14">
        <f>O5</f>
        <v/>
      </c>
      <c r="T5" s="14">
        <f>O5</f>
        <v/>
      </c>
      <c r="U5" s="14">
        <f>O5</f>
        <v/>
      </c>
      <c r="V5" s="14">
        <f>O5</f>
        <v/>
      </c>
      <c r="W5" s="14">
        <f>O5</f>
        <v/>
      </c>
      <c r="X5" s="14">
        <f>O5</f>
        <v/>
      </c>
      <c r="Y5" s="14">
        <f>O5</f>
        <v/>
      </c>
      <c r="Z5" s="14">
        <f>O5</f>
        <v/>
      </c>
      <c r="AA5" s="14">
        <f>O5</f>
        <v/>
      </c>
      <c r="AB5" s="14">
        <f>O5</f>
        <v/>
      </c>
      <c r="AC5" s="14">
        <f>O5</f>
        <v/>
      </c>
      <c r="AD5" s="14">
        <f>O5</f>
        <v/>
      </c>
      <c r="AE5" s="14">
        <f>O5</f>
        <v/>
      </c>
      <c r="AF5" s="14">
        <f>O5</f>
        <v/>
      </c>
      <c r="AG5" s="14">
        <f>O5</f>
        <v/>
      </c>
      <c r="AH5" s="14">
        <f>O5</f>
        <v/>
      </c>
    </row>
    <row r="6">
      <c r="A6" s="3" t="inlineStr">
        <is>
          <t>Accrued Expenses — % of Revenue</t>
        </is>
      </c>
      <c r="B6" s="13">
        <f>IFERROR('QTR BS'!B16/'QTR P&amp;L'!B2,"")</f>
        <v/>
      </c>
      <c r="C6" s="13">
        <f>IFERROR('QTR BS'!C16/'QTR P&amp;L'!C2,"")</f>
        <v/>
      </c>
      <c r="D6" s="13">
        <f>IFERROR('QTR BS'!D16/'QTR P&amp;L'!D2,"")</f>
        <v/>
      </c>
      <c r="E6" s="13">
        <f>IFERROR('QTR BS'!E16/'QTR P&amp;L'!E2,"")</f>
        <v/>
      </c>
      <c r="F6" s="13">
        <f>IFERROR('QTR BS'!F16/'QTR P&amp;L'!F2,"")</f>
        <v/>
      </c>
      <c r="G6" s="13">
        <f>IFERROR('QTR BS'!G16/'QTR P&amp;L'!G2,"")</f>
        <v/>
      </c>
      <c r="H6" s="13">
        <f>IFERROR('QTR BS'!H16/'QTR P&amp;L'!H2,"")</f>
        <v/>
      </c>
      <c r="I6" s="13">
        <f>IFERROR('QTR BS'!I16/'QTR P&amp;L'!I2,"")</f>
        <v/>
      </c>
      <c r="J6" s="13">
        <f>IFERROR('QTR BS'!J16/'QTR P&amp;L'!J2,"")</f>
        <v/>
      </c>
      <c r="K6" s="13">
        <f>IFERROR('QTR BS'!K16/'QTR P&amp;L'!K2,"")</f>
        <v/>
      </c>
      <c r="L6" s="13">
        <f>IFERROR('QTR BS'!L16/'QTR P&amp;L'!L2,"")</f>
        <v/>
      </c>
      <c r="M6" s="13">
        <f>IFERROR('QTR BS'!M16/'QTR P&amp;L'!M2,"")</f>
        <v/>
      </c>
      <c r="N6" s="13">
        <f>IFERROR('QTR BS'!N16/'QTR P&amp;L'!N2,"")</f>
        <v/>
      </c>
      <c r="O6" s="13">
        <f>IFERROR('QTR BS'!O16/'QTR P&amp;L'!O2,"")</f>
        <v/>
      </c>
      <c r="P6" s="14">
        <f>O6</f>
        <v/>
      </c>
      <c r="Q6" s="14">
        <f>O6</f>
        <v/>
      </c>
      <c r="R6" s="14">
        <f>O6</f>
        <v/>
      </c>
      <c r="S6" s="14">
        <f>O6</f>
        <v/>
      </c>
      <c r="T6" s="14">
        <f>O6</f>
        <v/>
      </c>
      <c r="U6" s="14">
        <f>O6</f>
        <v/>
      </c>
      <c r="V6" s="14">
        <f>O6</f>
        <v/>
      </c>
      <c r="W6" s="14">
        <f>O6</f>
        <v/>
      </c>
      <c r="X6" s="14">
        <f>O6</f>
        <v/>
      </c>
      <c r="Y6" s="14">
        <f>O6</f>
        <v/>
      </c>
      <c r="Z6" s="14">
        <f>O6</f>
        <v/>
      </c>
      <c r="AA6" s="14">
        <f>O6</f>
        <v/>
      </c>
      <c r="AB6" s="14">
        <f>O6</f>
        <v/>
      </c>
      <c r="AC6" s="14">
        <f>O6</f>
        <v/>
      </c>
      <c r="AD6" s="14">
        <f>O6</f>
        <v/>
      </c>
      <c r="AE6" s="14">
        <f>O6</f>
        <v/>
      </c>
      <c r="AF6" s="14">
        <f>O6</f>
        <v/>
      </c>
      <c r="AG6" s="14">
        <f>O6</f>
        <v/>
      </c>
      <c r="AH6" s="14">
        <f>O6</f>
        <v/>
      </c>
    </row>
    <row r="7">
      <c r="A7" s="3" t="inlineStr">
        <is>
          <t>Other Non-Current Liabilities — % of Revenue</t>
        </is>
      </c>
      <c r="B7" s="13">
        <f>IFERROR('QTR BS'!B20/'QTR P&amp;L'!B2,"")</f>
        <v/>
      </c>
      <c r="C7" s="13">
        <f>IFERROR('QTR BS'!C20/'QTR P&amp;L'!C2,"")</f>
        <v/>
      </c>
      <c r="D7" s="13">
        <f>IFERROR('QTR BS'!D20/'QTR P&amp;L'!D2,"")</f>
        <v/>
      </c>
      <c r="E7" s="13">
        <f>IFERROR('QTR BS'!E20/'QTR P&amp;L'!E2,"")</f>
        <v/>
      </c>
      <c r="F7" s="13">
        <f>IFERROR('QTR BS'!F20/'QTR P&amp;L'!F2,"")</f>
        <v/>
      </c>
      <c r="G7" s="13">
        <f>IFERROR('QTR BS'!G20/'QTR P&amp;L'!G2,"")</f>
        <v/>
      </c>
      <c r="H7" s="13">
        <f>IFERROR('QTR BS'!H20/'QTR P&amp;L'!H2,"")</f>
        <v/>
      </c>
      <c r="I7" s="13">
        <f>IFERROR('QTR BS'!I20/'QTR P&amp;L'!I2,"")</f>
        <v/>
      </c>
      <c r="J7" s="13">
        <f>IFERROR('QTR BS'!J20/'QTR P&amp;L'!J2,"")</f>
        <v/>
      </c>
      <c r="K7" s="13">
        <f>IFERROR('QTR BS'!K20/'QTR P&amp;L'!K2,"")</f>
        <v/>
      </c>
      <c r="L7" s="13">
        <f>IFERROR('QTR BS'!L20/'QTR P&amp;L'!L2,"")</f>
        <v/>
      </c>
      <c r="M7" s="13">
        <f>IFERROR('QTR BS'!M20/'QTR P&amp;L'!M2,"")</f>
        <v/>
      </c>
      <c r="N7" s="13">
        <f>IFERROR('QTR BS'!N20/'QTR P&amp;L'!N2,"")</f>
        <v/>
      </c>
      <c r="O7" s="13">
        <f>IFERROR('QTR BS'!O20/'QTR P&amp;L'!O2,"")</f>
        <v/>
      </c>
      <c r="P7" s="14">
        <f>O7</f>
        <v/>
      </c>
      <c r="Q7" s="14">
        <f>O7</f>
        <v/>
      </c>
      <c r="R7" s="14">
        <f>O7</f>
        <v/>
      </c>
      <c r="S7" s="14">
        <f>O7</f>
        <v/>
      </c>
      <c r="T7" s="14">
        <f>O7</f>
        <v/>
      </c>
      <c r="U7" s="14">
        <f>O7</f>
        <v/>
      </c>
      <c r="V7" s="14">
        <f>O7</f>
        <v/>
      </c>
      <c r="W7" s="14">
        <f>O7</f>
        <v/>
      </c>
      <c r="X7" s="14">
        <f>O7</f>
        <v/>
      </c>
      <c r="Y7" s="14">
        <f>O7</f>
        <v/>
      </c>
      <c r="Z7" s="14">
        <f>O7</f>
        <v/>
      </c>
      <c r="AA7" s="14">
        <f>O7</f>
        <v/>
      </c>
      <c r="AB7" s="14">
        <f>O7</f>
        <v/>
      </c>
      <c r="AC7" s="14">
        <f>O7</f>
        <v/>
      </c>
      <c r="AD7" s="14">
        <f>O7</f>
        <v/>
      </c>
      <c r="AE7" s="14">
        <f>O7</f>
        <v/>
      </c>
      <c r="AF7" s="14">
        <f>O7</f>
        <v/>
      </c>
      <c r="AG7" s="14">
        <f>O7</f>
        <v/>
      </c>
      <c r="AH7" s="14">
        <f>O7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Depreciation &amp; Amortization — % of Revenue</t>
        </is>
      </c>
      <c r="B2" s="13">
        <f>IFERROR('QTR CF'!B3/'QTR P&amp;L'!B2,"")</f>
        <v/>
      </c>
      <c r="C2" s="13">
        <f>IFERROR('QTR CF'!C3/'QTR P&amp;L'!C2,"")</f>
        <v/>
      </c>
      <c r="D2" s="13">
        <f>IFERROR('QTR CF'!D3/'QTR P&amp;L'!D2,"")</f>
        <v/>
      </c>
      <c r="E2" s="13">
        <f>IFERROR('QTR CF'!E3/'QTR P&amp;L'!E2,"")</f>
        <v/>
      </c>
      <c r="F2" s="13">
        <f>IFERROR('QTR CF'!F3/'QTR P&amp;L'!F2,"")</f>
        <v/>
      </c>
      <c r="G2" s="13">
        <f>IFERROR('QTR CF'!G3/'QTR P&amp;L'!G2,"")</f>
        <v/>
      </c>
      <c r="H2" s="13">
        <f>IFERROR('QTR CF'!H3/'QTR P&amp;L'!H2,"")</f>
        <v/>
      </c>
      <c r="I2" s="13">
        <f>IFERROR('QTR CF'!I3/'QTR P&amp;L'!I2,"")</f>
        <v/>
      </c>
      <c r="J2" s="13">
        <f>IFERROR('QTR CF'!J3/'QTR P&amp;L'!J2,"")</f>
        <v/>
      </c>
      <c r="K2" s="13">
        <f>IFERROR('QTR CF'!K3/'QTR P&amp;L'!K2,"")</f>
        <v/>
      </c>
      <c r="L2" s="13">
        <f>IFERROR('QTR CF'!L3/'QTR P&amp;L'!L2,"")</f>
        <v/>
      </c>
      <c r="M2" s="13">
        <f>IFERROR('QTR CF'!M3/'QTR P&amp;L'!M2,"")</f>
        <v/>
      </c>
      <c r="N2" s="13">
        <f>IFERROR('QTR CF'!N3/'QTR P&amp;L'!N2,"")</f>
        <v/>
      </c>
      <c r="O2" s="13">
        <f>IFERROR('QTR CF'!O3/'QTR P&amp;L'!O2,"")</f>
        <v/>
      </c>
      <c r="P2" s="13">
        <f>IFERROR('QTR CF'!P3/'QTR P&amp;L'!P2,"")</f>
        <v/>
      </c>
      <c r="Q2" s="13">
        <f>IFERROR('QTR CF'!Q3/'QTR P&amp;L'!Q2,"")</f>
        <v/>
      </c>
      <c r="R2" s="13">
        <f>IFERROR('QTR CF'!R3/'QTR P&amp;L'!R2,"")</f>
        <v/>
      </c>
      <c r="S2" s="14">
        <f>R2</f>
        <v/>
      </c>
      <c r="T2" s="14">
        <f>R2</f>
        <v/>
      </c>
      <c r="U2" s="14">
        <f>R2</f>
        <v/>
      </c>
      <c r="V2" s="14">
        <f>R2</f>
        <v/>
      </c>
      <c r="W2" s="14">
        <f>R2</f>
        <v/>
      </c>
      <c r="X2" s="14">
        <f>R2</f>
        <v/>
      </c>
      <c r="Y2" s="14">
        <f>R2</f>
        <v/>
      </c>
      <c r="Z2" s="14">
        <f>R2</f>
        <v/>
      </c>
      <c r="AA2" s="14">
        <f>R2</f>
        <v/>
      </c>
      <c r="AB2" s="14">
        <f>R2</f>
        <v/>
      </c>
      <c r="AC2" s="14">
        <f>R2</f>
        <v/>
      </c>
      <c r="AD2" s="14">
        <f>R2</f>
        <v/>
      </c>
      <c r="AE2" s="14">
        <f>R2</f>
        <v/>
      </c>
      <c r="AF2" s="14">
        <f>R2</f>
        <v/>
      </c>
      <c r="AG2" s="14">
        <f>R2</f>
        <v/>
      </c>
      <c r="AH2" s="14">
        <f>R2</f>
        <v/>
      </c>
      <c r="AI2" s="14">
        <f>R2</f>
        <v/>
      </c>
      <c r="AJ2" s="14">
        <f>R2</f>
        <v/>
      </c>
      <c r="AK2" s="14">
        <f>R2</f>
        <v/>
      </c>
    </row>
    <row r="3">
      <c r="A3" s="3" t="inlineStr">
        <is>
          <t>Operating Lease ROU Asset Amortization — % of Revenue</t>
        </is>
      </c>
      <c r="B3" s="13">
        <f>IFERROR('QTR CF'!B8/'QTR P&amp;L'!B2,"")</f>
        <v/>
      </c>
      <c r="C3" s="13">
        <f>IFERROR('QTR CF'!C8/'QTR P&amp;L'!C2,"")</f>
        <v/>
      </c>
      <c r="D3" s="13">
        <f>IFERROR('QTR CF'!D8/'QTR P&amp;L'!D2,"")</f>
        <v/>
      </c>
      <c r="E3" s="13">
        <f>IFERROR('QTR CF'!E8/'QTR P&amp;L'!E2,"")</f>
        <v/>
      </c>
      <c r="F3" s="13">
        <f>IFERROR('QTR CF'!F8/'QTR P&amp;L'!F2,"")</f>
        <v/>
      </c>
      <c r="G3" s="13">
        <f>IFERROR('QTR CF'!G8/'QTR P&amp;L'!G2,"")</f>
        <v/>
      </c>
      <c r="H3" s="13">
        <f>IFERROR('QTR CF'!H8/'QTR P&amp;L'!H2,"")</f>
        <v/>
      </c>
      <c r="I3" s="13">
        <f>IFERROR('QTR CF'!I8/'QTR P&amp;L'!I2,"")</f>
        <v/>
      </c>
      <c r="J3" s="13">
        <f>IFERROR('QTR CF'!J8/'QTR P&amp;L'!J2,"")</f>
        <v/>
      </c>
      <c r="K3" s="13">
        <f>IFERROR('QTR CF'!K8/'QTR P&amp;L'!K2,"")</f>
        <v/>
      </c>
      <c r="L3" s="13">
        <f>IFERROR('QTR CF'!L8/'QTR P&amp;L'!L2,"")</f>
        <v/>
      </c>
      <c r="M3" s="13">
        <f>IFERROR('QTR CF'!M8/'QTR P&amp;L'!M2,"")</f>
        <v/>
      </c>
      <c r="N3" s="13">
        <f>IFERROR('QTR CF'!N8/'QTR P&amp;L'!N2,"")</f>
        <v/>
      </c>
      <c r="O3" s="13">
        <f>IFERROR('QTR CF'!O8/'QTR P&amp;L'!O2,"")</f>
        <v/>
      </c>
      <c r="P3" s="13">
        <f>IFERROR('QTR CF'!P8/'QTR P&amp;L'!P2,"")</f>
        <v/>
      </c>
      <c r="Q3" s="13">
        <f>IFERROR('QTR CF'!Q8/'QTR P&amp;L'!Q2,"")</f>
        <v/>
      </c>
      <c r="R3" s="13">
        <f>IFERROR('QTR CF'!R8/'QTR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</row>
    <row r="4">
      <c r="A4" s="3" t="inlineStr">
        <is>
          <t>Stock-Based Compensation — % of Revenue</t>
        </is>
      </c>
      <c r="B4" s="13">
        <f>IFERROR('QTR CF'!B9/'QTR P&amp;L'!B2,"")</f>
        <v/>
      </c>
      <c r="C4" s="13">
        <f>IFERROR('QTR CF'!C9/'QTR P&amp;L'!C2,"")</f>
        <v/>
      </c>
      <c r="D4" s="13">
        <f>IFERROR('QTR CF'!D9/'QTR P&amp;L'!D2,"")</f>
        <v/>
      </c>
      <c r="E4" s="13">
        <f>IFERROR('QTR CF'!E9/'QTR P&amp;L'!E2,"")</f>
        <v/>
      </c>
      <c r="F4" s="13">
        <f>IFERROR('QTR CF'!F9/'QTR P&amp;L'!F2,"")</f>
        <v/>
      </c>
      <c r="G4" s="13">
        <f>IFERROR('QTR CF'!G9/'QTR P&amp;L'!G2,"")</f>
        <v/>
      </c>
      <c r="H4" s="13">
        <f>IFERROR('QTR CF'!H9/'QTR P&amp;L'!H2,"")</f>
        <v/>
      </c>
      <c r="I4" s="13">
        <f>IFERROR('QTR CF'!I9/'QTR P&amp;L'!I2,"")</f>
        <v/>
      </c>
      <c r="J4" s="13">
        <f>IFERROR('QTR CF'!J9/'QTR P&amp;L'!J2,"")</f>
        <v/>
      </c>
      <c r="K4" s="13">
        <f>IFERROR('QTR CF'!K9/'QTR P&amp;L'!K2,"")</f>
        <v/>
      </c>
      <c r="L4" s="13">
        <f>IFERROR('QTR CF'!L9/'QTR P&amp;L'!L2,"")</f>
        <v/>
      </c>
      <c r="M4" s="13">
        <f>IFERROR('QTR CF'!M9/'QTR P&amp;L'!M2,"")</f>
        <v/>
      </c>
      <c r="N4" s="13">
        <f>IFERROR('QTR CF'!N9/'QTR P&amp;L'!N2,"")</f>
        <v/>
      </c>
      <c r="O4" s="13">
        <f>IFERROR('QTR CF'!O9/'QTR P&amp;L'!O2,"")</f>
        <v/>
      </c>
      <c r="P4" s="13">
        <f>IFERROR('QTR CF'!P9/'QTR P&amp;L'!P2,"")</f>
        <v/>
      </c>
      <c r="Q4" s="13">
        <f>IFERROR('QTR CF'!Q9/'QTR P&amp;L'!Q2,"")</f>
        <v/>
      </c>
      <c r="R4" s="13">
        <f>IFERROR('QTR CF'!R9/'QTR P&amp;L'!R2,"")</f>
        <v/>
      </c>
      <c r="S4" s="14">
        <f>R4</f>
        <v/>
      </c>
      <c r="T4" s="14">
        <f>R4</f>
        <v/>
      </c>
      <c r="U4" s="14">
        <f>R4</f>
        <v/>
      </c>
      <c r="V4" s="14">
        <f>R4</f>
        <v/>
      </c>
      <c r="W4" s="14">
        <f>R4</f>
        <v/>
      </c>
      <c r="X4" s="14">
        <f>R4</f>
        <v/>
      </c>
      <c r="Y4" s="14">
        <f>R4</f>
        <v/>
      </c>
      <c r="Z4" s="14">
        <f>R4</f>
        <v/>
      </c>
      <c r="AA4" s="14">
        <f>R4</f>
        <v/>
      </c>
      <c r="AB4" s="14">
        <f>R4</f>
        <v/>
      </c>
      <c r="AC4" s="14">
        <f>R4</f>
        <v/>
      </c>
      <c r="AD4" s="14">
        <f>R4</f>
        <v/>
      </c>
      <c r="AE4" s="14">
        <f>R4</f>
        <v/>
      </c>
      <c r="AF4" s="14">
        <f>R4</f>
        <v/>
      </c>
      <c r="AG4" s="14">
        <f>R4</f>
        <v/>
      </c>
      <c r="AH4" s="14">
        <f>R4</f>
        <v/>
      </c>
      <c r="AI4" s="14">
        <f>R4</f>
        <v/>
      </c>
      <c r="AJ4" s="14">
        <f>R4</f>
        <v/>
      </c>
      <c r="AK4" s="14">
        <f>R4</f>
        <v/>
      </c>
    </row>
    <row r="5">
      <c r="A5" s="3" t="inlineStr">
        <is>
          <t>Other Operating Items — % of Revenue</t>
        </is>
      </c>
      <c r="B5" s="13">
        <f>IFERROR('QTR CF'!B24/'QTR P&amp;L'!B2,"")</f>
        <v/>
      </c>
      <c r="C5" s="13">
        <f>IFERROR('QTR CF'!C24/'QTR P&amp;L'!C2,"")</f>
        <v/>
      </c>
      <c r="D5" s="13">
        <f>IFERROR('QTR CF'!D24/'QTR P&amp;L'!D2,"")</f>
        <v/>
      </c>
      <c r="E5" s="13">
        <f>IFERROR('QTR CF'!E24/'QTR P&amp;L'!E2,"")</f>
        <v/>
      </c>
      <c r="F5" s="13">
        <f>IFERROR('QTR CF'!F24/'QTR P&amp;L'!F2,"")</f>
        <v/>
      </c>
      <c r="G5" s="13">
        <f>IFERROR('QTR CF'!G24/'QTR P&amp;L'!G2,"")</f>
        <v/>
      </c>
      <c r="H5" s="13">
        <f>IFERROR('QTR CF'!H24/'QTR P&amp;L'!H2,"")</f>
        <v/>
      </c>
      <c r="I5" s="13">
        <f>IFERROR('QTR CF'!I24/'QTR P&amp;L'!I2,"")</f>
        <v/>
      </c>
      <c r="J5" s="13">
        <f>IFERROR('QTR CF'!J24/'QTR P&amp;L'!J2,"")</f>
        <v/>
      </c>
      <c r="K5" s="13">
        <f>IFERROR('QTR CF'!K24/'QTR P&amp;L'!K2,"")</f>
        <v/>
      </c>
      <c r="L5" s="13">
        <f>IFERROR('QTR CF'!L24/'QTR P&amp;L'!L2,"")</f>
        <v/>
      </c>
      <c r="M5" s="13">
        <f>IFERROR('QTR CF'!M24/'QTR P&amp;L'!M2,"")</f>
        <v/>
      </c>
      <c r="N5" s="13">
        <f>IFERROR('QTR CF'!N24/'QTR P&amp;L'!N2,"")</f>
        <v/>
      </c>
      <c r="O5" s="13">
        <f>IFERROR('QTR CF'!O24/'QTR P&amp;L'!O2,"")</f>
        <v/>
      </c>
      <c r="P5" s="13">
        <f>IFERROR('QTR CF'!P24/'QTR P&amp;L'!P2,"")</f>
        <v/>
      </c>
      <c r="Q5" s="13">
        <f>IFERROR('QTR CF'!Q24/'QTR P&amp;L'!Q2,"")</f>
        <v/>
      </c>
      <c r="R5" s="13">
        <f>IFERROR('QTR CF'!R24/'QTR P&amp;L'!R2,"")</f>
        <v/>
      </c>
      <c r="S5" s="14">
        <f>R5</f>
        <v/>
      </c>
      <c r="T5" s="14">
        <f>R5</f>
        <v/>
      </c>
      <c r="U5" s="14">
        <f>R5</f>
        <v/>
      </c>
      <c r="V5" s="14">
        <f>R5</f>
        <v/>
      </c>
      <c r="W5" s="14">
        <f>R5</f>
        <v/>
      </c>
      <c r="X5" s="14">
        <f>R5</f>
        <v/>
      </c>
      <c r="Y5" s="14">
        <f>R5</f>
        <v/>
      </c>
      <c r="Z5" s="14">
        <f>R5</f>
        <v/>
      </c>
      <c r="AA5" s="14">
        <f>R5</f>
        <v/>
      </c>
      <c r="AB5" s="14">
        <f>R5</f>
        <v/>
      </c>
      <c r="AC5" s="14">
        <f>R5</f>
        <v/>
      </c>
      <c r="AD5" s="14">
        <f>R5</f>
        <v/>
      </c>
      <c r="AE5" s="14">
        <f>R5</f>
        <v/>
      </c>
      <c r="AF5" s="14">
        <f>R5</f>
        <v/>
      </c>
      <c r="AG5" s="14">
        <f>R5</f>
        <v/>
      </c>
      <c r="AH5" s="14">
        <f>R5</f>
        <v/>
      </c>
      <c r="AI5" s="14">
        <f>R5</f>
        <v/>
      </c>
      <c r="AJ5" s="14">
        <f>R5</f>
        <v/>
      </c>
      <c r="AK5" s="14">
        <f>R5</f>
        <v/>
      </c>
    </row>
    <row r="6">
      <c r="A6" s="3" t="inlineStr">
        <is>
          <t>Purchase of PP&amp;E — % of Revenue</t>
        </is>
      </c>
      <c r="B6" s="13">
        <f>IFERROR('QTR CF'!B26/'QTR P&amp;L'!B2,"")</f>
        <v/>
      </c>
      <c r="C6" s="13">
        <f>IFERROR('QTR CF'!C26/'QTR P&amp;L'!C2,"")</f>
        <v/>
      </c>
      <c r="D6" s="13">
        <f>IFERROR('QTR CF'!D26/'QTR P&amp;L'!D2,"")</f>
        <v/>
      </c>
      <c r="E6" s="13">
        <f>IFERROR('QTR CF'!E26/'QTR P&amp;L'!E2,"")</f>
        <v/>
      </c>
      <c r="F6" s="13">
        <f>IFERROR('QTR CF'!F26/'QTR P&amp;L'!F2,"")</f>
        <v/>
      </c>
      <c r="G6" s="13">
        <f>IFERROR('QTR CF'!G26/'QTR P&amp;L'!G2,"")</f>
        <v/>
      </c>
      <c r="H6" s="13">
        <f>IFERROR('QTR CF'!H26/'QTR P&amp;L'!H2,"")</f>
        <v/>
      </c>
      <c r="I6" s="13">
        <f>IFERROR('QTR CF'!I26/'QTR P&amp;L'!I2,"")</f>
        <v/>
      </c>
      <c r="J6" s="13">
        <f>IFERROR('QTR CF'!J26/'QTR P&amp;L'!J2,"")</f>
        <v/>
      </c>
      <c r="K6" s="13">
        <f>IFERROR('QTR CF'!K26/'QTR P&amp;L'!K2,"")</f>
        <v/>
      </c>
      <c r="L6" s="13">
        <f>IFERROR('QTR CF'!L26/'QTR P&amp;L'!L2,"")</f>
        <v/>
      </c>
      <c r="M6" s="13">
        <f>IFERROR('QTR CF'!M26/'QTR P&amp;L'!M2,"")</f>
        <v/>
      </c>
      <c r="N6" s="13">
        <f>IFERROR('QTR CF'!N26/'QTR P&amp;L'!N2,"")</f>
        <v/>
      </c>
      <c r="O6" s="13">
        <f>IFERROR('QTR CF'!O26/'QTR P&amp;L'!O2,"")</f>
        <v/>
      </c>
      <c r="P6" s="13">
        <f>IFERROR('QTR CF'!P26/'QTR P&amp;L'!P2,"")</f>
        <v/>
      </c>
      <c r="Q6" s="13">
        <f>IFERROR('QTR CF'!Q26/'QTR P&amp;L'!Q2,"")</f>
        <v/>
      </c>
      <c r="R6" s="13">
        <f>IFERROR('QTR CF'!R26/'QTR P&amp;L'!R2,"")</f>
        <v/>
      </c>
      <c r="S6" s="14">
        <f>R6</f>
        <v/>
      </c>
      <c r="T6" s="14">
        <f>R6</f>
        <v/>
      </c>
      <c r="U6" s="14">
        <f>R6</f>
        <v/>
      </c>
      <c r="V6" s="14">
        <f>R6</f>
        <v/>
      </c>
      <c r="W6" s="14">
        <f>R6</f>
        <v/>
      </c>
      <c r="X6" s="14">
        <f>R6</f>
        <v/>
      </c>
      <c r="Y6" s="14">
        <f>R6</f>
        <v/>
      </c>
      <c r="Z6" s="14">
        <f>R6</f>
        <v/>
      </c>
      <c r="AA6" s="14">
        <f>R6</f>
        <v/>
      </c>
      <c r="AB6" s="14">
        <f>R6</f>
        <v/>
      </c>
      <c r="AC6" s="14">
        <f>R6</f>
        <v/>
      </c>
      <c r="AD6" s="14">
        <f>R6</f>
        <v/>
      </c>
      <c r="AE6" s="14">
        <f>R6</f>
        <v/>
      </c>
      <c r="AF6" s="14">
        <f>R6</f>
        <v/>
      </c>
      <c r="AG6" s="14">
        <f>R6</f>
        <v/>
      </c>
      <c r="AH6" s="14">
        <f>R6</f>
        <v/>
      </c>
      <c r="AI6" s="14">
        <f>R6</f>
        <v/>
      </c>
      <c r="AJ6" s="14">
        <f>R6</f>
        <v/>
      </c>
      <c r="AK6" s="14">
        <f>R6</f>
        <v/>
      </c>
    </row>
    <row r="7">
      <c r="A7" s="3" t="inlineStr">
        <is>
          <t>Common Dividends — % of Net Income</t>
        </is>
      </c>
      <c r="B7" s="13">
        <f>IFERROR('QTR CF'!B39/'QTR P&amp;L'!B13,"")</f>
        <v/>
      </c>
      <c r="C7" s="13">
        <f>IFERROR('QTR CF'!C39/'QTR P&amp;L'!C13,"")</f>
        <v/>
      </c>
      <c r="D7" s="13">
        <f>IFERROR('QTR CF'!D39/'QTR P&amp;L'!D13,"")</f>
        <v/>
      </c>
      <c r="E7" s="13">
        <f>IFERROR('QTR CF'!E39/'QTR P&amp;L'!E13,"")</f>
        <v/>
      </c>
      <c r="F7" s="13">
        <f>IFERROR('QTR CF'!F39/'QTR P&amp;L'!F13,"")</f>
        <v/>
      </c>
      <c r="G7" s="13">
        <f>IFERROR('QTR CF'!G39/'QTR P&amp;L'!G13,"")</f>
        <v/>
      </c>
      <c r="H7" s="13">
        <f>IFERROR('QTR CF'!H39/'QTR P&amp;L'!H13,"")</f>
        <v/>
      </c>
      <c r="I7" s="13">
        <f>IFERROR('QTR CF'!I39/'QTR P&amp;L'!I13,"")</f>
        <v/>
      </c>
      <c r="J7" s="13">
        <f>IFERROR('QTR CF'!J39/'QTR P&amp;L'!J13,"")</f>
        <v/>
      </c>
      <c r="K7" s="13">
        <f>IFERROR('QTR CF'!K39/'QTR P&amp;L'!K13,"")</f>
        <v/>
      </c>
      <c r="L7" s="13">
        <f>IFERROR('QTR CF'!L39/'QTR P&amp;L'!L13,"")</f>
        <v/>
      </c>
      <c r="M7" s="13">
        <f>IFERROR('QTR CF'!M39/'QTR P&amp;L'!M13,"")</f>
        <v/>
      </c>
      <c r="N7" s="13">
        <f>IFERROR('QTR CF'!N39/'QTR P&amp;L'!N13,"")</f>
        <v/>
      </c>
      <c r="O7" s="13">
        <f>IFERROR('QTR CF'!O39/'QTR P&amp;L'!O13,"")</f>
        <v/>
      </c>
      <c r="P7" s="13">
        <f>IFERROR('QTR CF'!P39/'QTR P&amp;L'!P13,"")</f>
        <v/>
      </c>
      <c r="Q7" s="13">
        <f>IFERROR('QTR CF'!Q39/'QTR P&amp;L'!Q13,"")</f>
        <v/>
      </c>
      <c r="R7" s="13">
        <f>IFERROR('QTR CF'!R39/'QTR P&amp;L'!R13,"")</f>
        <v/>
      </c>
      <c r="S7" s="14">
        <f>R7</f>
        <v/>
      </c>
      <c r="T7" s="14">
        <f>R7</f>
        <v/>
      </c>
      <c r="U7" s="14">
        <f>R7</f>
        <v/>
      </c>
      <c r="V7" s="14">
        <f>R7</f>
        <v/>
      </c>
      <c r="W7" s="14">
        <f>R7</f>
        <v/>
      </c>
      <c r="X7" s="14">
        <f>R7</f>
        <v/>
      </c>
      <c r="Y7" s="14">
        <f>R7</f>
        <v/>
      </c>
      <c r="Z7" s="14">
        <f>R7</f>
        <v/>
      </c>
      <c r="AA7" s="14">
        <f>R7</f>
        <v/>
      </c>
      <c r="AB7" s="14">
        <f>R7</f>
        <v/>
      </c>
      <c r="AC7" s="14">
        <f>R7</f>
        <v/>
      </c>
      <c r="AD7" s="14">
        <f>R7</f>
        <v/>
      </c>
      <c r="AE7" s="14">
        <f>R7</f>
        <v/>
      </c>
      <c r="AF7" s="14">
        <f>R7</f>
        <v/>
      </c>
      <c r="AG7" s="14">
        <f>R7</f>
        <v/>
      </c>
      <c r="AH7" s="14">
        <f>R7</f>
        <v/>
      </c>
      <c r="AI7" s="14">
        <f>R7</f>
        <v/>
      </c>
      <c r="AJ7" s="14">
        <f>R7</f>
        <v/>
      </c>
      <c r="AK7" s="14">
        <f>R7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2026-04-28T02:11:40Z</dcterms:created>
  <dcterms:modified xmlns:dcterms="http://purl.org/dc/terms/" xmlns:xsi="http://www.w3.org/2001/XMLSchema-instance" xsi:type="dcterms:W3CDTF">2026-04-28T02:12:10Z</dcterms:modified>
</cp:coreProperties>
</file>