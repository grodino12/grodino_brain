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DRIVERS'!S5</f>
        <v/>
      </c>
      <c r="T7" s="11">
        <f>'QTR P&amp;L'!T2*'IS DRIVERS'!T5</f>
        <v/>
      </c>
      <c r="U7" s="11">
        <f>'QTR P&amp;L'!U2*'IS DRIVERS'!U5</f>
        <v/>
      </c>
      <c r="V7" s="11">
        <f>'QTR P&amp;L'!V2*'IS DRIVERS'!V5</f>
        <v/>
      </c>
      <c r="W7" s="11">
        <f>'QTR P&amp;L'!W2*'IS DRIVERS'!W5</f>
        <v/>
      </c>
      <c r="X7" s="11">
        <f>'QTR P&amp;L'!X2*'IS DRIVERS'!X5</f>
        <v/>
      </c>
      <c r="Y7" s="11">
        <f>'QTR P&amp;L'!Y2*'IS DRIVERS'!Y5</f>
        <v/>
      </c>
      <c r="Z7" s="11">
        <f>'QTR P&amp;L'!Z2*'IS DRIVERS'!Z5</f>
        <v/>
      </c>
      <c r="AA7" s="11">
        <f>'QTR P&amp;L'!AA2*'IS DRIVERS'!AA5</f>
        <v/>
      </c>
      <c r="AB7" s="11">
        <f>'QTR P&amp;L'!AB2*'IS DRIVERS'!AB5</f>
        <v/>
      </c>
      <c r="AC7" s="11">
        <f>'QTR P&amp;L'!AC2*'IS DRIVERS'!AC5</f>
        <v/>
      </c>
      <c r="AD7" s="11">
        <f>'QTR P&amp;L'!AD2*'IS DRIVERS'!AD5</f>
        <v/>
      </c>
      <c r="AE7" s="11">
        <f>'QTR P&amp;L'!AE2*'IS DRIVERS'!AE5</f>
        <v/>
      </c>
      <c r="AF7" s="11">
        <f>'QTR P&amp;L'!AF2*'IS DRIVERS'!AF5</f>
        <v/>
      </c>
      <c r="AG7" s="11">
        <f>'QTR P&amp;L'!AG2*'IS DRIVERS'!AG5</f>
        <v/>
      </c>
      <c r="AH7" s="11">
        <f>'QTR P&amp;L'!AH2*'IS DRIVERS'!AH5</f>
        <v/>
      </c>
      <c r="AI7" s="11">
        <f>'QTR P&amp;L'!AI2*'IS DRIVERS'!AI5</f>
        <v/>
      </c>
      <c r="AJ7" s="11">
        <f>'QTR P&amp;L'!AJ2*'IS DRIVERS'!AJ5</f>
        <v/>
      </c>
      <c r="AK7" s="11">
        <f>'QTR P&amp;L'!AK2*'IS DRIVERS'!AK5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DRIVERS'!S6</f>
        <v/>
      </c>
      <c r="T12" s="11">
        <f>'QTR P&amp;L'!T11*'IS DRIVERS'!T6</f>
        <v/>
      </c>
      <c r="U12" s="11">
        <f>'QTR P&amp;L'!U11*'IS DRIVERS'!U6</f>
        <v/>
      </c>
      <c r="V12" s="11">
        <f>'QTR P&amp;L'!V11*'IS DRIVERS'!V6</f>
        <v/>
      </c>
      <c r="W12" s="11">
        <f>'QTR P&amp;L'!W11*'IS DRIVERS'!W6</f>
        <v/>
      </c>
      <c r="X12" s="11">
        <f>'QTR P&amp;L'!X11*'IS DRIVERS'!X6</f>
        <v/>
      </c>
      <c r="Y12" s="11">
        <f>'QTR P&amp;L'!Y11*'IS DRIVERS'!Y6</f>
        <v/>
      </c>
      <c r="Z12" s="11">
        <f>'QTR P&amp;L'!Z11*'IS DRIVERS'!Z6</f>
        <v/>
      </c>
      <c r="AA12" s="11">
        <f>'QTR P&amp;L'!AA11*'IS DRIVERS'!AA6</f>
        <v/>
      </c>
      <c r="AB12" s="11">
        <f>'QTR P&amp;L'!AB11*'IS DRIVERS'!AB6</f>
        <v/>
      </c>
      <c r="AC12" s="11">
        <f>'QTR P&amp;L'!AC11*'IS DRIVERS'!AC6</f>
        <v/>
      </c>
      <c r="AD12" s="11">
        <f>'QTR P&amp;L'!AD11*'IS DRIVERS'!AD6</f>
        <v/>
      </c>
      <c r="AE12" s="11">
        <f>'QTR P&amp;L'!AE11*'IS DRIVERS'!AE6</f>
        <v/>
      </c>
      <c r="AF12" s="11">
        <f>'QTR P&amp;L'!AF11*'IS DRIVERS'!AF6</f>
        <v/>
      </c>
      <c r="AG12" s="11">
        <f>'QTR P&amp;L'!AG11*'IS DRIVERS'!AG6</f>
        <v/>
      </c>
      <c r="AH12" s="11">
        <f>'QTR P&amp;L'!AH11*'IS DRIVERS'!AH6</f>
        <v/>
      </c>
      <c r="AI12" s="11">
        <f>'QTR P&amp;L'!AI11*'IS DRIVERS'!AI6</f>
        <v/>
      </c>
      <c r="AJ12" s="11">
        <f>'QTR P&amp;L'!AJ11*'IS DRIVERS'!AJ6</f>
        <v/>
      </c>
      <c r="AK12" s="11">
        <f>'QTR P&amp;L'!AK11*'IS DRIVERS'!AK6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O2+'QTR CF'!S46</f>
        <v/>
      </c>
      <c r="Q2" s="11">
        <f>P2+'QTR CF'!T46</f>
        <v/>
      </c>
      <c r="R2" s="11">
        <f>Q2+'QTR CF'!U46</f>
        <v/>
      </c>
      <c r="S2" s="11">
        <f>R2+'QTR CF'!V46</f>
        <v/>
      </c>
      <c r="T2" s="11">
        <f>S2+'QTR CF'!W46</f>
        <v/>
      </c>
      <c r="U2" s="11">
        <f>T2+'QTR CF'!X46</f>
        <v/>
      </c>
      <c r="V2" s="11">
        <f>U2+'QTR CF'!Y46</f>
        <v/>
      </c>
      <c r="W2" s="11">
        <f>V2+'QTR CF'!Z46</f>
        <v/>
      </c>
      <c r="X2" s="11">
        <f>W2+'QTR CF'!AA46</f>
        <v/>
      </c>
      <c r="Y2" s="11">
        <f>X2+'QTR CF'!AB46</f>
        <v/>
      </c>
      <c r="Z2" s="11">
        <f>Y2+'QTR CF'!AC46</f>
        <v/>
      </c>
      <c r="AA2" s="11">
        <f>Z2+'QTR CF'!AD46</f>
        <v/>
      </c>
      <c r="AB2" s="11">
        <f>AA2+'QTR CF'!AE46</f>
        <v/>
      </c>
      <c r="AC2" s="11">
        <f>AB2+'QTR CF'!AF46</f>
        <v/>
      </c>
      <c r="AD2" s="11">
        <f>AC2+'QTR CF'!AG46</f>
        <v/>
      </c>
      <c r="AE2" s="11">
        <f>AD2+'QTR CF'!AH46</f>
        <v/>
      </c>
      <c r="AF2" s="11">
        <f>AE2+'QTR CF'!AI46</f>
        <v/>
      </c>
      <c r="AG2" s="11">
        <f>AF2+'QTR CF'!AJ46</f>
        <v/>
      </c>
      <c r="AH2" s="11">
        <f>AG2+'QTR CF'!AK46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O3</f>
        <v/>
      </c>
      <c r="Q3" s="11">
        <f>O3</f>
        <v/>
      </c>
      <c r="R3" s="11">
        <f>O3</f>
        <v/>
      </c>
      <c r="S3" s="11">
        <f>O3</f>
        <v/>
      </c>
      <c r="T3" s="11">
        <f>O3</f>
        <v/>
      </c>
      <c r="U3" s="11">
        <f>O3</f>
        <v/>
      </c>
      <c r="V3" s="11">
        <f>O3</f>
        <v/>
      </c>
      <c r="W3" s="11">
        <f>O3</f>
        <v/>
      </c>
      <c r="X3" s="11">
        <f>O3</f>
        <v/>
      </c>
      <c r="Y3" s="11">
        <f>O3</f>
        <v/>
      </c>
      <c r="Z3" s="11">
        <f>O3</f>
        <v/>
      </c>
      <c r="AA3" s="11">
        <f>O3</f>
        <v/>
      </c>
      <c r="AB3" s="11">
        <f>O3</f>
        <v/>
      </c>
      <c r="AC3" s="11">
        <f>O3</f>
        <v/>
      </c>
      <c r="AD3" s="11">
        <f>O3</f>
        <v/>
      </c>
      <c r="AE3" s="11">
        <f>O3</f>
        <v/>
      </c>
      <c r="AF3" s="11">
        <f>O3</f>
        <v/>
      </c>
      <c r="AG3" s="11">
        <f>O3</f>
        <v/>
      </c>
      <c r="AH3" s="11">
        <f>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DRIVERS'!P2/ASSUMPTIONS!$B$2</f>
        <v/>
      </c>
      <c r="Q4" s="11">
        <f>'QTR P&amp;L'!T2*'BS DRIVERS'!Q2/ASSUMPTIONS!$B$2</f>
        <v/>
      </c>
      <c r="R4" s="11">
        <f>'QTR P&amp;L'!U2*'BS DRIVERS'!R2/ASSUMPTIONS!$B$2</f>
        <v/>
      </c>
      <c r="S4" s="11">
        <f>'QTR P&amp;L'!V2*'BS DRIVERS'!S2/ASSUMPTIONS!$B$2</f>
        <v/>
      </c>
      <c r="T4" s="11">
        <f>'QTR P&amp;L'!W2*'BS DRIVERS'!T2/ASSUMPTIONS!$B$2</f>
        <v/>
      </c>
      <c r="U4" s="11">
        <f>'QTR P&amp;L'!X2*'BS DRIVERS'!U2/ASSUMPTIONS!$B$2</f>
        <v/>
      </c>
      <c r="V4" s="11">
        <f>'QTR P&amp;L'!Y2*'BS DRIVERS'!V2/ASSUMPTIONS!$B$2</f>
        <v/>
      </c>
      <c r="W4" s="11">
        <f>'QTR P&amp;L'!Z2*'BS DRIVERS'!W2/ASSUMPTIONS!$B$2</f>
        <v/>
      </c>
      <c r="X4" s="11">
        <f>'QTR P&amp;L'!AA2*'BS DRIVERS'!X2/ASSUMPTIONS!$B$2</f>
        <v/>
      </c>
      <c r="Y4" s="11">
        <f>'QTR P&amp;L'!AB2*'BS DRIVERS'!Y2/ASSUMPTIONS!$B$2</f>
        <v/>
      </c>
      <c r="Z4" s="11">
        <f>'QTR P&amp;L'!AC2*'BS DRIVERS'!Z2/ASSUMPTIONS!$B$2</f>
        <v/>
      </c>
      <c r="AA4" s="11">
        <f>'QTR P&amp;L'!AD2*'BS DRIVERS'!AA2/ASSUMPTIONS!$B$2</f>
        <v/>
      </c>
      <c r="AB4" s="11">
        <f>'QTR P&amp;L'!AE2*'BS DRIVERS'!AB2/ASSUMPTIONS!$B$2</f>
        <v/>
      </c>
      <c r="AC4" s="11">
        <f>'QTR P&amp;L'!AF2*'BS DRIVERS'!AC2/ASSUMPTIONS!$B$2</f>
        <v/>
      </c>
      <c r="AD4" s="11">
        <f>'QTR P&amp;L'!AG2*'BS DRIVERS'!AD2/ASSUMPTIONS!$B$2</f>
        <v/>
      </c>
      <c r="AE4" s="11">
        <f>'QTR P&amp;L'!AH2*'BS DRIVERS'!AE2/ASSUMPTIONS!$B$2</f>
        <v/>
      </c>
      <c r="AF4" s="11">
        <f>'QTR P&amp;L'!AI2*'BS DRIVERS'!AF2/ASSUMPTIONS!$B$2</f>
        <v/>
      </c>
      <c r="AG4" s="11">
        <f>'QTR P&amp;L'!AJ2*'BS DRIVERS'!AG2/ASSUMPTIONS!$B$2</f>
        <v/>
      </c>
      <c r="AH4" s="11">
        <f>'QTR P&amp;L'!AK2*'BS DRIVERS'!AH2/ASSUMPTIONS!$B$2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DRIVERS'!P3/ASSUMPTIONS!$B$2</f>
        <v/>
      </c>
      <c r="Q5" s="11">
        <f>'QTR P&amp;L'!T3*'BS DRIVERS'!Q3/ASSUMPTIONS!$B$2</f>
        <v/>
      </c>
      <c r="R5" s="11">
        <f>'QTR P&amp;L'!U3*'BS DRIVERS'!R3/ASSUMPTIONS!$B$2</f>
        <v/>
      </c>
      <c r="S5" s="11">
        <f>'QTR P&amp;L'!V3*'BS DRIVERS'!S3/ASSUMPTIONS!$B$2</f>
        <v/>
      </c>
      <c r="T5" s="11">
        <f>'QTR P&amp;L'!W3*'BS DRIVERS'!T3/ASSUMPTIONS!$B$2</f>
        <v/>
      </c>
      <c r="U5" s="11">
        <f>'QTR P&amp;L'!X3*'BS DRIVERS'!U3/ASSUMPTIONS!$B$2</f>
        <v/>
      </c>
      <c r="V5" s="11">
        <f>'QTR P&amp;L'!Y3*'BS DRIVERS'!V3/ASSUMPTIONS!$B$2</f>
        <v/>
      </c>
      <c r="W5" s="11">
        <f>'QTR P&amp;L'!Z3*'BS DRIVERS'!W3/ASSUMPTIONS!$B$2</f>
        <v/>
      </c>
      <c r="X5" s="11">
        <f>'QTR P&amp;L'!AA3*'BS DRIVERS'!X3/ASSUMPTIONS!$B$2</f>
        <v/>
      </c>
      <c r="Y5" s="11">
        <f>'QTR P&amp;L'!AB3*'BS DRIVERS'!Y3/ASSUMPTIONS!$B$2</f>
        <v/>
      </c>
      <c r="Z5" s="11">
        <f>'QTR P&amp;L'!AC3*'BS DRIVERS'!Z3/ASSUMPTIONS!$B$2</f>
        <v/>
      </c>
      <c r="AA5" s="11">
        <f>'QTR P&amp;L'!AD3*'BS DRIVERS'!AA3/ASSUMPTIONS!$B$2</f>
        <v/>
      </c>
      <c r="AB5" s="11">
        <f>'QTR P&amp;L'!AE3*'BS DRIVERS'!AB3/ASSUMPTIONS!$B$2</f>
        <v/>
      </c>
      <c r="AC5" s="11">
        <f>'QTR P&amp;L'!AF3*'BS DRIVERS'!AC3/ASSUMPTIONS!$B$2</f>
        <v/>
      </c>
      <c r="AD5" s="11">
        <f>'QTR P&amp;L'!AG3*'BS DRIVERS'!AD3/ASSUMPTIONS!$B$2</f>
        <v/>
      </c>
      <c r="AE5" s="11">
        <f>'QTR P&amp;L'!AH3*'BS DRIVERS'!AE3/ASSUMPTIONS!$B$2</f>
        <v/>
      </c>
      <c r="AF5" s="11">
        <f>'QTR P&amp;L'!AI3*'BS DRIVERS'!AF3/ASSUMPTIONS!$B$2</f>
        <v/>
      </c>
      <c r="AG5" s="11">
        <f>'QTR P&amp;L'!AJ3*'BS DRIVERS'!AG3/ASSUMPTIONS!$B$2</f>
        <v/>
      </c>
      <c r="AH5" s="11">
        <f>'QTR P&amp;L'!AK3*'BS DRIVERS'!AH3/ASSUMPTIONS!$B$2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DRIVERS'!P4</f>
        <v/>
      </c>
      <c r="Q6" s="11">
        <f>'QTR P&amp;L'!T2*'BS DRIVERS'!Q4</f>
        <v/>
      </c>
      <c r="R6" s="11">
        <f>'QTR P&amp;L'!U2*'BS DRIVERS'!R4</f>
        <v/>
      </c>
      <c r="S6" s="11">
        <f>'QTR P&amp;L'!V2*'BS DRIVERS'!S4</f>
        <v/>
      </c>
      <c r="T6" s="11">
        <f>'QTR P&amp;L'!W2*'BS DRIVERS'!T4</f>
        <v/>
      </c>
      <c r="U6" s="11">
        <f>'QTR P&amp;L'!X2*'BS DRIVERS'!U4</f>
        <v/>
      </c>
      <c r="V6" s="11">
        <f>'QTR P&amp;L'!Y2*'BS DRIVERS'!V4</f>
        <v/>
      </c>
      <c r="W6" s="11">
        <f>'QTR P&amp;L'!Z2*'BS DRIVERS'!W4</f>
        <v/>
      </c>
      <c r="X6" s="11">
        <f>'QTR P&amp;L'!AA2*'BS DRIVERS'!X4</f>
        <v/>
      </c>
      <c r="Y6" s="11">
        <f>'QTR P&amp;L'!AB2*'BS DRIVERS'!Y4</f>
        <v/>
      </c>
      <c r="Z6" s="11">
        <f>'QTR P&amp;L'!AC2*'BS DRIVERS'!Z4</f>
        <v/>
      </c>
      <c r="AA6" s="11">
        <f>'QTR P&amp;L'!AD2*'BS DRIVERS'!AA4</f>
        <v/>
      </c>
      <c r="AB6" s="11">
        <f>'QTR P&amp;L'!AE2*'BS DRIVERS'!AB4</f>
        <v/>
      </c>
      <c r="AC6" s="11">
        <f>'QTR P&amp;L'!AF2*'BS DRIVERS'!AC4</f>
        <v/>
      </c>
      <c r="AD6" s="11">
        <f>'QTR P&amp;L'!AG2*'BS DRIVERS'!AD4</f>
        <v/>
      </c>
      <c r="AE6" s="11">
        <f>'QTR P&amp;L'!AH2*'BS DRIVERS'!AE4</f>
        <v/>
      </c>
      <c r="AF6" s="11">
        <f>'QTR P&amp;L'!AI2*'BS DRIVERS'!AF4</f>
        <v/>
      </c>
      <c r="AG6" s="11">
        <f>'QTR P&amp;L'!AJ2*'BS DRIVERS'!AG4</f>
        <v/>
      </c>
      <c r="AH6" s="11">
        <f>'QTR P&amp;L'!AK2*'BS DRIVERS'!AH4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O8-'QTR CF'!S26-'QTR CF'!S3</f>
        <v/>
      </c>
      <c r="Q8" s="11">
        <f>P8-'QTR CF'!T26-'QTR CF'!T3</f>
        <v/>
      </c>
      <c r="R8" s="11">
        <f>Q8-'QTR CF'!U26-'QTR CF'!U3</f>
        <v/>
      </c>
      <c r="S8" s="11">
        <f>R8-'QTR CF'!V26-'QTR CF'!V3</f>
        <v/>
      </c>
      <c r="T8" s="11">
        <f>S8-'QTR CF'!W26-'QTR CF'!W3</f>
        <v/>
      </c>
      <c r="U8" s="11">
        <f>T8-'QTR CF'!X26-'QTR CF'!X3</f>
        <v/>
      </c>
      <c r="V8" s="11">
        <f>U8-'QTR CF'!Y26-'QTR CF'!Y3</f>
        <v/>
      </c>
      <c r="W8" s="11">
        <f>V8-'QTR CF'!Z26-'QTR CF'!Z3</f>
        <v/>
      </c>
      <c r="X8" s="11">
        <f>W8-'QTR CF'!AA26-'QTR CF'!AA3</f>
        <v/>
      </c>
      <c r="Y8" s="11">
        <f>X8-'QTR CF'!AB26-'QTR CF'!AB3</f>
        <v/>
      </c>
      <c r="Z8" s="11">
        <f>Y8-'QTR CF'!AC26-'QTR CF'!AC3</f>
        <v/>
      </c>
      <c r="AA8" s="11">
        <f>Z8-'QTR CF'!AD26-'QTR CF'!AD3</f>
        <v/>
      </c>
      <c r="AB8" s="11">
        <f>AA8-'QTR CF'!AE26-'QTR CF'!AE3</f>
        <v/>
      </c>
      <c r="AC8" s="11">
        <f>AB8-'QTR CF'!AF26-'QTR CF'!AF3</f>
        <v/>
      </c>
      <c r="AD8" s="11">
        <f>AC8-'QTR CF'!AG26-'QTR CF'!AG3</f>
        <v/>
      </c>
      <c r="AE8" s="11">
        <f>AD8-'QTR CF'!AH26-'QTR CF'!AH3</f>
        <v/>
      </c>
      <c r="AF8" s="11">
        <f>AE8-'QTR CF'!AI26-'QTR CF'!AI3</f>
        <v/>
      </c>
      <c r="AG8" s="11">
        <f>AF8-'QTR CF'!AJ26-'QTR CF'!AJ3</f>
        <v/>
      </c>
      <c r="AH8" s="11">
        <f>AG8-'QTR CF'!AK26-'QTR CF'!AK3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O9</f>
        <v/>
      </c>
      <c r="Q9" s="11">
        <f>O9</f>
        <v/>
      </c>
      <c r="R9" s="11">
        <f>O9</f>
        <v/>
      </c>
      <c r="S9" s="11">
        <f>O9</f>
        <v/>
      </c>
      <c r="T9" s="11">
        <f>O9</f>
        <v/>
      </c>
      <c r="U9" s="11">
        <f>O9</f>
        <v/>
      </c>
      <c r="V9" s="11">
        <f>O9</f>
        <v/>
      </c>
      <c r="W9" s="11">
        <f>O9</f>
        <v/>
      </c>
      <c r="X9" s="11">
        <f>O9</f>
        <v/>
      </c>
      <c r="Y9" s="11">
        <f>O9</f>
        <v/>
      </c>
      <c r="Z9" s="11">
        <f>O9</f>
        <v/>
      </c>
      <c r="AA9" s="11">
        <f>O9</f>
        <v/>
      </c>
      <c r="AB9" s="11">
        <f>O9</f>
        <v/>
      </c>
      <c r="AC9" s="11">
        <f>O9</f>
        <v/>
      </c>
      <c r="AD9" s="11">
        <f>O9</f>
        <v/>
      </c>
      <c r="AE9" s="11">
        <f>O9</f>
        <v/>
      </c>
      <c r="AF9" s="11">
        <f>O9</f>
        <v/>
      </c>
      <c r="AG9" s="11">
        <f>O9</f>
        <v/>
      </c>
      <c r="AH9" s="11">
        <f>O9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O10</f>
        <v/>
      </c>
      <c r="Q10" s="11">
        <f>O10</f>
        <v/>
      </c>
      <c r="R10" s="11">
        <f>O10</f>
        <v/>
      </c>
      <c r="S10" s="11">
        <f>O10</f>
        <v/>
      </c>
      <c r="T10" s="11">
        <f>O10</f>
        <v/>
      </c>
      <c r="U10" s="11">
        <f>O10</f>
        <v/>
      </c>
      <c r="V10" s="11">
        <f>O10</f>
        <v/>
      </c>
      <c r="W10" s="11">
        <f>O10</f>
        <v/>
      </c>
      <c r="X10" s="11">
        <f>O10</f>
        <v/>
      </c>
      <c r="Y10" s="11">
        <f>O10</f>
        <v/>
      </c>
      <c r="Z10" s="11">
        <f>O10</f>
        <v/>
      </c>
      <c r="AA10" s="11">
        <f>O10</f>
        <v/>
      </c>
      <c r="AB10" s="11">
        <f>O10</f>
        <v/>
      </c>
      <c r="AC10" s="11">
        <f>O10</f>
        <v/>
      </c>
      <c r="AD10" s="11">
        <f>O10</f>
        <v/>
      </c>
      <c r="AE10" s="11">
        <f>O10</f>
        <v/>
      </c>
      <c r="AF10" s="11">
        <f>O10</f>
        <v/>
      </c>
      <c r="AG10" s="11">
        <f>O10</f>
        <v/>
      </c>
      <c r="AH10" s="11">
        <f>O10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O11</f>
        <v/>
      </c>
      <c r="Q11" s="11">
        <f>O11</f>
        <v/>
      </c>
      <c r="R11" s="11">
        <f>O11</f>
        <v/>
      </c>
      <c r="S11" s="11">
        <f>O11</f>
        <v/>
      </c>
      <c r="T11" s="11">
        <f>O11</f>
        <v/>
      </c>
      <c r="U11" s="11">
        <f>O11</f>
        <v/>
      </c>
      <c r="V11" s="11">
        <f>O11</f>
        <v/>
      </c>
      <c r="W11" s="11">
        <f>O11</f>
        <v/>
      </c>
      <c r="X11" s="11">
        <f>O11</f>
        <v/>
      </c>
      <c r="Y11" s="11">
        <f>O11</f>
        <v/>
      </c>
      <c r="Z11" s="11">
        <f>O11</f>
        <v/>
      </c>
      <c r="AA11" s="11">
        <f>O11</f>
        <v/>
      </c>
      <c r="AB11" s="11">
        <f>O11</f>
        <v/>
      </c>
      <c r="AC11" s="11">
        <f>O11</f>
        <v/>
      </c>
      <c r="AD11" s="11">
        <f>O11</f>
        <v/>
      </c>
      <c r="AE11" s="11">
        <f>O11</f>
        <v/>
      </c>
      <c r="AF11" s="11">
        <f>O11</f>
        <v/>
      </c>
      <c r="AG11" s="11">
        <f>O11</f>
        <v/>
      </c>
      <c r="AH11" s="11">
        <f>O11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O12-'QTR CF'!S16</f>
        <v/>
      </c>
      <c r="Q12" s="11">
        <f>P12-'QTR CF'!T16</f>
        <v/>
      </c>
      <c r="R12" s="11">
        <f>Q12-'QTR CF'!U16</f>
        <v/>
      </c>
      <c r="S12" s="11">
        <f>R12-'QTR CF'!V16</f>
        <v/>
      </c>
      <c r="T12" s="11">
        <f>S12-'QTR CF'!W16</f>
        <v/>
      </c>
      <c r="U12" s="11">
        <f>T12-'QTR CF'!X16</f>
        <v/>
      </c>
      <c r="V12" s="11">
        <f>U12-'QTR CF'!Y16</f>
        <v/>
      </c>
      <c r="W12" s="11">
        <f>V12-'QTR CF'!Z16</f>
        <v/>
      </c>
      <c r="X12" s="11">
        <f>W12-'QTR CF'!AA16</f>
        <v/>
      </c>
      <c r="Y12" s="11">
        <f>X12-'QTR CF'!AB16</f>
        <v/>
      </c>
      <c r="Z12" s="11">
        <f>Y12-'QTR CF'!AC16</f>
        <v/>
      </c>
      <c r="AA12" s="11">
        <f>Z12-'QTR CF'!AD16</f>
        <v/>
      </c>
      <c r="AB12" s="11">
        <f>AA12-'QTR CF'!AE16</f>
        <v/>
      </c>
      <c r="AC12" s="11">
        <f>AB12-'QTR CF'!AF16</f>
        <v/>
      </c>
      <c r="AD12" s="11">
        <f>AC12-'QTR CF'!AG16</f>
        <v/>
      </c>
      <c r="AE12" s="11">
        <f>AD12-'QTR CF'!AH16</f>
        <v/>
      </c>
      <c r="AF12" s="11">
        <f>AE12-'QTR CF'!AI16</f>
        <v/>
      </c>
      <c r="AG12" s="11">
        <f>AF12-'QTR CF'!AJ16</f>
        <v/>
      </c>
      <c r="AH12" s="11">
        <f>AG12-'QTR CF'!AK16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DRIVERS'!P5</f>
        <v/>
      </c>
      <c r="Q13" s="11">
        <f>'QTR P&amp;L'!T2*'BS DRIVERS'!Q5</f>
        <v/>
      </c>
      <c r="R13" s="11">
        <f>'QTR P&amp;L'!U2*'BS DRIVERS'!R5</f>
        <v/>
      </c>
      <c r="S13" s="11">
        <f>'QTR P&amp;L'!V2*'BS DRIVERS'!S5</f>
        <v/>
      </c>
      <c r="T13" s="11">
        <f>'QTR P&amp;L'!W2*'BS DRIVERS'!T5</f>
        <v/>
      </c>
      <c r="U13" s="11">
        <f>'QTR P&amp;L'!X2*'BS DRIVERS'!U5</f>
        <v/>
      </c>
      <c r="V13" s="11">
        <f>'QTR P&amp;L'!Y2*'BS DRIVERS'!V5</f>
        <v/>
      </c>
      <c r="W13" s="11">
        <f>'QTR P&amp;L'!Z2*'BS DRIVERS'!W5</f>
        <v/>
      </c>
      <c r="X13" s="11">
        <f>'QTR P&amp;L'!AA2*'BS DRIVERS'!X5</f>
        <v/>
      </c>
      <c r="Y13" s="11">
        <f>'QTR P&amp;L'!AB2*'BS DRIVERS'!Y5</f>
        <v/>
      </c>
      <c r="Z13" s="11">
        <f>'QTR P&amp;L'!AC2*'BS DRIVERS'!Z5</f>
        <v/>
      </c>
      <c r="AA13" s="11">
        <f>'QTR P&amp;L'!AD2*'BS DRIVERS'!AA5</f>
        <v/>
      </c>
      <c r="AB13" s="11">
        <f>'QTR P&amp;L'!AE2*'BS DRIVERS'!AB5</f>
        <v/>
      </c>
      <c r="AC13" s="11">
        <f>'QTR P&amp;L'!AF2*'BS DRIVERS'!AC5</f>
        <v/>
      </c>
      <c r="AD13" s="11">
        <f>'QTR P&amp;L'!AG2*'BS DRIVERS'!AD5</f>
        <v/>
      </c>
      <c r="AE13" s="11">
        <f>'QTR P&amp;L'!AH2*'BS DRIVERS'!AE5</f>
        <v/>
      </c>
      <c r="AF13" s="11">
        <f>'QTR P&amp;L'!AI2*'BS DRIVERS'!AF5</f>
        <v/>
      </c>
      <c r="AG13" s="11">
        <f>'QTR P&amp;L'!AJ2*'BS DRIVERS'!AG5</f>
        <v/>
      </c>
      <c r="AH13" s="11">
        <f>'QTR P&amp;L'!AK2*'BS DRIVERS'!AH5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O15</f>
        <v/>
      </c>
      <c r="Q15" s="11">
        <f>O15</f>
        <v/>
      </c>
      <c r="R15" s="11">
        <f>O15</f>
        <v/>
      </c>
      <c r="S15" s="11">
        <f>O15</f>
        <v/>
      </c>
      <c r="T15" s="11">
        <f>O15</f>
        <v/>
      </c>
      <c r="U15" s="11">
        <f>O15</f>
        <v/>
      </c>
      <c r="V15" s="11">
        <f>O15</f>
        <v/>
      </c>
      <c r="W15" s="11">
        <f>O15</f>
        <v/>
      </c>
      <c r="X15" s="11">
        <f>O15</f>
        <v/>
      </c>
      <c r="Y15" s="11">
        <f>O15</f>
        <v/>
      </c>
      <c r="Z15" s="11">
        <f>O15</f>
        <v/>
      </c>
      <c r="AA15" s="11">
        <f>O15</f>
        <v/>
      </c>
      <c r="AB15" s="11">
        <f>O15</f>
        <v/>
      </c>
      <c r="AC15" s="11">
        <f>O15</f>
        <v/>
      </c>
      <c r="AD15" s="11">
        <f>O15</f>
        <v/>
      </c>
      <c r="AE15" s="11">
        <f>O15</f>
        <v/>
      </c>
      <c r="AF15" s="11">
        <f>O15</f>
        <v/>
      </c>
      <c r="AG15" s="11">
        <f>O15</f>
        <v/>
      </c>
      <c r="AH15" s="11">
        <f>O15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DRIVERS'!P6</f>
        <v/>
      </c>
      <c r="Q16" s="11">
        <f>'QTR P&amp;L'!T2*'BS DRIVERS'!Q6</f>
        <v/>
      </c>
      <c r="R16" s="11">
        <f>'QTR P&amp;L'!U2*'BS DRIVERS'!R6</f>
        <v/>
      </c>
      <c r="S16" s="11">
        <f>'QTR P&amp;L'!V2*'BS DRIVERS'!S6</f>
        <v/>
      </c>
      <c r="T16" s="11">
        <f>'QTR P&amp;L'!W2*'BS DRIVERS'!T6</f>
        <v/>
      </c>
      <c r="U16" s="11">
        <f>'QTR P&amp;L'!X2*'BS DRIVERS'!U6</f>
        <v/>
      </c>
      <c r="V16" s="11">
        <f>'QTR P&amp;L'!Y2*'BS DRIVERS'!V6</f>
        <v/>
      </c>
      <c r="W16" s="11">
        <f>'QTR P&amp;L'!Z2*'BS DRIVERS'!W6</f>
        <v/>
      </c>
      <c r="X16" s="11">
        <f>'QTR P&amp;L'!AA2*'BS DRIVERS'!X6</f>
        <v/>
      </c>
      <c r="Y16" s="11">
        <f>'QTR P&amp;L'!AB2*'BS DRIVERS'!Y6</f>
        <v/>
      </c>
      <c r="Z16" s="11">
        <f>'QTR P&amp;L'!AC2*'BS DRIVERS'!Z6</f>
        <v/>
      </c>
      <c r="AA16" s="11">
        <f>'QTR P&amp;L'!AD2*'BS DRIVERS'!AA6</f>
        <v/>
      </c>
      <c r="AB16" s="11">
        <f>'QTR P&amp;L'!AE2*'BS DRIVERS'!AB6</f>
        <v/>
      </c>
      <c r="AC16" s="11">
        <f>'QTR P&amp;L'!AF2*'BS DRIVERS'!AC6</f>
        <v/>
      </c>
      <c r="AD16" s="11">
        <f>'QTR P&amp;L'!AG2*'BS DRIVERS'!AD6</f>
        <v/>
      </c>
      <c r="AE16" s="11">
        <f>'QTR P&amp;L'!AH2*'BS DRIVERS'!AE6</f>
        <v/>
      </c>
      <c r="AF16" s="11">
        <f>'QTR P&amp;L'!AI2*'BS DRIVERS'!AF6</f>
        <v/>
      </c>
      <c r="AG16" s="11">
        <f>'QTR P&amp;L'!AJ2*'BS DRIVERS'!AG6</f>
        <v/>
      </c>
      <c r="AH16" s="11">
        <f>'QTR P&amp;L'!AK2*'BS DRIVERS'!AH6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O18</f>
        <v/>
      </c>
      <c r="Q18" s="11">
        <f>O18</f>
        <v/>
      </c>
      <c r="R18" s="11">
        <f>O18</f>
        <v/>
      </c>
      <c r="S18" s="11">
        <f>O18</f>
        <v/>
      </c>
      <c r="T18" s="11">
        <f>O18</f>
        <v/>
      </c>
      <c r="U18" s="11">
        <f>O18</f>
        <v/>
      </c>
      <c r="V18" s="11">
        <f>O18</f>
        <v/>
      </c>
      <c r="W18" s="11">
        <f>O18</f>
        <v/>
      </c>
      <c r="X18" s="11">
        <f>O18</f>
        <v/>
      </c>
      <c r="Y18" s="11">
        <f>O18</f>
        <v/>
      </c>
      <c r="Z18" s="11">
        <f>O18</f>
        <v/>
      </c>
      <c r="AA18" s="11">
        <f>O18</f>
        <v/>
      </c>
      <c r="AB18" s="11">
        <f>O18</f>
        <v/>
      </c>
      <c r="AC18" s="11">
        <f>O18</f>
        <v/>
      </c>
      <c r="AD18" s="11">
        <f>O18</f>
        <v/>
      </c>
      <c r="AE18" s="11">
        <f>O18</f>
        <v/>
      </c>
      <c r="AF18" s="11">
        <f>O18</f>
        <v/>
      </c>
      <c r="AG18" s="11">
        <f>O18</f>
        <v/>
      </c>
      <c r="AH18" s="11">
        <f>O18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O19</f>
        <v/>
      </c>
      <c r="Q19" s="11">
        <f>O19</f>
        <v/>
      </c>
      <c r="R19" s="11">
        <f>O19</f>
        <v/>
      </c>
      <c r="S19" s="11">
        <f>O19</f>
        <v/>
      </c>
      <c r="T19" s="11">
        <f>O19</f>
        <v/>
      </c>
      <c r="U19" s="11">
        <f>O19</f>
        <v/>
      </c>
      <c r="V19" s="11">
        <f>O19</f>
        <v/>
      </c>
      <c r="W19" s="11">
        <f>O19</f>
        <v/>
      </c>
      <c r="X19" s="11">
        <f>O19</f>
        <v/>
      </c>
      <c r="Y19" s="11">
        <f>O19</f>
        <v/>
      </c>
      <c r="Z19" s="11">
        <f>O19</f>
        <v/>
      </c>
      <c r="AA19" s="11">
        <f>O19</f>
        <v/>
      </c>
      <c r="AB19" s="11">
        <f>O19</f>
        <v/>
      </c>
      <c r="AC19" s="11">
        <f>O19</f>
        <v/>
      </c>
      <c r="AD19" s="11">
        <f>O19</f>
        <v/>
      </c>
      <c r="AE19" s="11">
        <f>O19</f>
        <v/>
      </c>
      <c r="AF19" s="11">
        <f>O19</f>
        <v/>
      </c>
      <c r="AG19" s="11">
        <f>O19</f>
        <v/>
      </c>
      <c r="AH19" s="11">
        <f>O19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DRIVERS'!P7</f>
        <v/>
      </c>
      <c r="Q20" s="11">
        <f>'QTR P&amp;L'!T2*'BS DRIVERS'!Q7</f>
        <v/>
      </c>
      <c r="R20" s="11">
        <f>'QTR P&amp;L'!U2*'BS DRIVERS'!R7</f>
        <v/>
      </c>
      <c r="S20" s="11">
        <f>'QTR P&amp;L'!V2*'BS DRIVERS'!S7</f>
        <v/>
      </c>
      <c r="T20" s="11">
        <f>'QTR P&amp;L'!W2*'BS DRIVERS'!T7</f>
        <v/>
      </c>
      <c r="U20" s="11">
        <f>'QTR P&amp;L'!X2*'BS DRIVERS'!U7</f>
        <v/>
      </c>
      <c r="V20" s="11">
        <f>'QTR P&amp;L'!Y2*'BS DRIVERS'!V7</f>
        <v/>
      </c>
      <c r="W20" s="11">
        <f>'QTR P&amp;L'!Z2*'BS DRIVERS'!W7</f>
        <v/>
      </c>
      <c r="X20" s="11">
        <f>'QTR P&amp;L'!AA2*'BS DRIVERS'!X7</f>
        <v/>
      </c>
      <c r="Y20" s="11">
        <f>'QTR P&amp;L'!AB2*'BS DRIVERS'!Y7</f>
        <v/>
      </c>
      <c r="Z20" s="11">
        <f>'QTR P&amp;L'!AC2*'BS DRIVERS'!Z7</f>
        <v/>
      </c>
      <c r="AA20" s="11">
        <f>'QTR P&amp;L'!AD2*'BS DRIVERS'!AA7</f>
        <v/>
      </c>
      <c r="AB20" s="11">
        <f>'QTR P&amp;L'!AE2*'BS DRIVERS'!AB7</f>
        <v/>
      </c>
      <c r="AC20" s="11">
        <f>'QTR P&amp;L'!AF2*'BS DRIVERS'!AC7</f>
        <v/>
      </c>
      <c r="AD20" s="11">
        <f>'QTR P&amp;L'!AG2*'BS DRIVERS'!AD7</f>
        <v/>
      </c>
      <c r="AE20" s="11">
        <f>'QTR P&amp;L'!AH2*'BS DRIVERS'!AE7</f>
        <v/>
      </c>
      <c r="AF20" s="11">
        <f>'QTR P&amp;L'!AI2*'BS DRIVERS'!AF7</f>
        <v/>
      </c>
      <c r="AG20" s="11">
        <f>'QTR P&amp;L'!AJ2*'BS DRIVERS'!AG7</f>
        <v/>
      </c>
      <c r="AH20" s="11">
        <f>'QTR P&amp;L'!AK2*'BS DRIVERS'!AH7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O22</f>
        <v/>
      </c>
      <c r="Q22" s="11">
        <f>O22</f>
        <v/>
      </c>
      <c r="R22" s="11">
        <f>O22</f>
        <v/>
      </c>
      <c r="S22" s="11">
        <f>O22</f>
        <v/>
      </c>
      <c r="T22" s="11">
        <f>O22</f>
        <v/>
      </c>
      <c r="U22" s="11">
        <f>O22</f>
        <v/>
      </c>
      <c r="V22" s="11">
        <f>O22</f>
        <v/>
      </c>
      <c r="W22" s="11">
        <f>O22</f>
        <v/>
      </c>
      <c r="X22" s="11">
        <f>O22</f>
        <v/>
      </c>
      <c r="Y22" s="11">
        <f>O22</f>
        <v/>
      </c>
      <c r="Z22" s="11">
        <f>O22</f>
        <v/>
      </c>
      <c r="AA22" s="11">
        <f>O22</f>
        <v/>
      </c>
      <c r="AB22" s="11">
        <f>O22</f>
        <v/>
      </c>
      <c r="AC22" s="11">
        <f>O22</f>
        <v/>
      </c>
      <c r="AD22" s="11">
        <f>O22</f>
        <v/>
      </c>
      <c r="AE22" s="11">
        <f>O22</f>
        <v/>
      </c>
      <c r="AF22" s="11">
        <f>O22</f>
        <v/>
      </c>
      <c r="AG22" s="11">
        <f>O22</f>
        <v/>
      </c>
      <c r="AH22" s="11">
        <f>O22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O23</f>
        <v/>
      </c>
      <c r="Q23" s="11">
        <f>O23</f>
        <v/>
      </c>
      <c r="R23" s="11">
        <f>O23</f>
        <v/>
      </c>
      <c r="S23" s="11">
        <f>O23</f>
        <v/>
      </c>
      <c r="T23" s="11">
        <f>O23</f>
        <v/>
      </c>
      <c r="U23" s="11">
        <f>O23</f>
        <v/>
      </c>
      <c r="V23" s="11">
        <f>O23</f>
        <v/>
      </c>
      <c r="W23" s="11">
        <f>O23</f>
        <v/>
      </c>
      <c r="X23" s="11">
        <f>O23</f>
        <v/>
      </c>
      <c r="Y23" s="11">
        <f>O23</f>
        <v/>
      </c>
      <c r="Z23" s="11">
        <f>O23</f>
        <v/>
      </c>
      <c r="AA23" s="11">
        <f>O23</f>
        <v/>
      </c>
      <c r="AB23" s="11">
        <f>O23</f>
        <v/>
      </c>
      <c r="AC23" s="11">
        <f>O23</f>
        <v/>
      </c>
      <c r="AD23" s="11">
        <f>O23</f>
        <v/>
      </c>
      <c r="AE23" s="11">
        <f>O23</f>
        <v/>
      </c>
      <c r="AF23" s="11">
        <f>O23</f>
        <v/>
      </c>
      <c r="AG23" s="11">
        <f>O23</f>
        <v/>
      </c>
      <c r="AH23" s="11">
        <f>O23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O24+'QTR P&amp;L'!S13+'QTR CF'!S39</f>
        <v/>
      </c>
      <c r="Q24" s="11">
        <f>P24+'QTR P&amp;L'!T13+'QTR CF'!T39</f>
        <v/>
      </c>
      <c r="R24" s="11">
        <f>Q24+'QTR P&amp;L'!U13+'QTR CF'!U39</f>
        <v/>
      </c>
      <c r="S24" s="11">
        <f>R24+'QTR P&amp;L'!V13+'QTR CF'!V39</f>
        <v/>
      </c>
      <c r="T24" s="11">
        <f>S24+'QTR P&amp;L'!W13+'QTR CF'!W39</f>
        <v/>
      </c>
      <c r="U24" s="11">
        <f>T24+'QTR P&amp;L'!X13+'QTR CF'!X39</f>
        <v/>
      </c>
      <c r="V24" s="11">
        <f>U24+'QTR P&amp;L'!Y13+'QTR CF'!Y39</f>
        <v/>
      </c>
      <c r="W24" s="11">
        <f>V24+'QTR P&amp;L'!Z13+'QTR CF'!Z39</f>
        <v/>
      </c>
      <c r="X24" s="11">
        <f>W24+'QTR P&amp;L'!AA13+'QTR CF'!AA39</f>
        <v/>
      </c>
      <c r="Y24" s="11">
        <f>X24+'QTR P&amp;L'!AB13+'QTR CF'!AB39</f>
        <v/>
      </c>
      <c r="Z24" s="11">
        <f>Y24+'QTR P&amp;L'!AC13+'QTR CF'!AC39</f>
        <v/>
      </c>
      <c r="AA24" s="11">
        <f>Z24+'QTR P&amp;L'!AD13+'QTR CF'!AD39</f>
        <v/>
      </c>
      <c r="AB24" s="11">
        <f>AA24+'QTR P&amp;L'!AE13+'QTR CF'!AE39</f>
        <v/>
      </c>
      <c r="AC24" s="11">
        <f>AB24+'QTR P&amp;L'!AF13+'QTR CF'!AF39</f>
        <v/>
      </c>
      <c r="AD24" s="11">
        <f>AC24+'QTR P&amp;L'!AG13+'QTR CF'!AG39</f>
        <v/>
      </c>
      <c r="AE24" s="11">
        <f>AD24+'QTR P&amp;L'!AH13+'QTR CF'!AH39</f>
        <v/>
      </c>
      <c r="AF24" s="11">
        <f>AE24+'QTR P&amp;L'!AI13+'QTR CF'!AI39</f>
        <v/>
      </c>
      <c r="AG24" s="11">
        <f>AF24+'QTR P&amp;L'!AJ13+'QTR CF'!AJ39</f>
        <v/>
      </c>
      <c r="AH24" s="11">
        <f>AG24+'QTR P&amp;L'!AK13+'QTR CF'!AK39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O25</f>
        <v/>
      </c>
      <c r="Q25" s="11">
        <f>O25</f>
        <v/>
      </c>
      <c r="R25" s="11">
        <f>O25</f>
        <v/>
      </c>
      <c r="S25" s="11">
        <f>O25</f>
        <v/>
      </c>
      <c r="T25" s="11">
        <f>O25</f>
        <v/>
      </c>
      <c r="U25" s="11">
        <f>O25</f>
        <v/>
      </c>
      <c r="V25" s="11">
        <f>O25</f>
        <v/>
      </c>
      <c r="W25" s="11">
        <f>O25</f>
        <v/>
      </c>
      <c r="X25" s="11">
        <f>O25</f>
        <v/>
      </c>
      <c r="Y25" s="11">
        <f>O25</f>
        <v/>
      </c>
      <c r="Z25" s="11">
        <f>O25</f>
        <v/>
      </c>
      <c r="AA25" s="11">
        <f>O25</f>
        <v/>
      </c>
      <c r="AB25" s="11">
        <f>O25</f>
        <v/>
      </c>
      <c r="AC25" s="11">
        <f>O25</f>
        <v/>
      </c>
      <c r="AD25" s="11">
        <f>O25</f>
        <v/>
      </c>
      <c r="AE25" s="11">
        <f>O25</f>
        <v/>
      </c>
      <c r="AF25" s="11">
        <f>O25</f>
        <v/>
      </c>
      <c r="AG25" s="11">
        <f>O25</f>
        <v/>
      </c>
      <c r="AH25" s="11">
        <f>O25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O26</f>
        <v/>
      </c>
      <c r="Q26" s="11">
        <f>O26</f>
        <v/>
      </c>
      <c r="R26" s="11">
        <f>O26</f>
        <v/>
      </c>
      <c r="S26" s="11">
        <f>O26</f>
        <v/>
      </c>
      <c r="T26" s="11">
        <f>O26</f>
        <v/>
      </c>
      <c r="U26" s="11">
        <f>O26</f>
        <v/>
      </c>
      <c r="V26" s="11">
        <f>O26</f>
        <v/>
      </c>
      <c r="W26" s="11">
        <f>O26</f>
        <v/>
      </c>
      <c r="X26" s="11">
        <f>O26</f>
        <v/>
      </c>
      <c r="Y26" s="11">
        <f>O26</f>
        <v/>
      </c>
      <c r="Z26" s="11">
        <f>O26</f>
        <v/>
      </c>
      <c r="AA26" s="11">
        <f>O26</f>
        <v/>
      </c>
      <c r="AB26" s="11">
        <f>O26</f>
        <v/>
      </c>
      <c r="AC26" s="11">
        <f>O26</f>
        <v/>
      </c>
      <c r="AD26" s="11">
        <f>O26</f>
        <v/>
      </c>
      <c r="AE26" s="11">
        <f>O26</f>
        <v/>
      </c>
      <c r="AF26" s="11">
        <f>O26</f>
        <v/>
      </c>
      <c r="AG26" s="11">
        <f>O26</f>
        <v/>
      </c>
      <c r="AH26" s="11">
        <f>O26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O27</f>
        <v/>
      </c>
      <c r="Q27" s="11">
        <f>O27</f>
        <v/>
      </c>
      <c r="R27" s="11">
        <f>O27</f>
        <v/>
      </c>
      <c r="S27" s="11">
        <f>O27</f>
        <v/>
      </c>
      <c r="T27" s="11">
        <f>O27</f>
        <v/>
      </c>
      <c r="U27" s="11">
        <f>O27</f>
        <v/>
      </c>
      <c r="V27" s="11">
        <f>O27</f>
        <v/>
      </c>
      <c r="W27" s="11">
        <f>O27</f>
        <v/>
      </c>
      <c r="X27" s="11">
        <f>O27</f>
        <v/>
      </c>
      <c r="Y27" s="11">
        <f>O27</f>
        <v/>
      </c>
      <c r="Z27" s="11">
        <f>O27</f>
        <v/>
      </c>
      <c r="AA27" s="11">
        <f>O27</f>
        <v/>
      </c>
      <c r="AB27" s="11">
        <f>O27</f>
        <v/>
      </c>
      <c r="AC27" s="11">
        <f>O27</f>
        <v/>
      </c>
      <c r="AD27" s="11">
        <f>O27</f>
        <v/>
      </c>
      <c r="AE27" s="11">
        <f>O27</f>
        <v/>
      </c>
      <c r="AF27" s="11">
        <f>O27</f>
        <v/>
      </c>
      <c r="AG27" s="11">
        <f>O27</f>
        <v/>
      </c>
      <c r="AH27" s="11">
        <f>O27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'QTR P&amp;L'!S13</f>
        <v/>
      </c>
      <c r="T2" s="11">
        <f>'QTR P&amp;L'!T13</f>
        <v/>
      </c>
      <c r="U2" s="11">
        <f>'QTR P&amp;L'!U13</f>
        <v/>
      </c>
      <c r="V2" s="11">
        <f>'QTR P&amp;L'!V13</f>
        <v/>
      </c>
      <c r="W2" s="11">
        <f>'QTR P&amp;L'!W13</f>
        <v/>
      </c>
      <c r="X2" s="11">
        <f>'QTR P&amp;L'!X13</f>
        <v/>
      </c>
      <c r="Y2" s="11">
        <f>'QTR P&amp;L'!Y13</f>
        <v/>
      </c>
      <c r="Z2" s="11">
        <f>'QTR P&amp;L'!Z13</f>
        <v/>
      </c>
      <c r="AA2" s="11">
        <f>'QTR P&amp;L'!AA13</f>
        <v/>
      </c>
      <c r="AB2" s="11">
        <f>'QTR P&amp;L'!AB13</f>
        <v/>
      </c>
      <c r="AC2" s="11">
        <f>'QTR P&amp;L'!AC13</f>
        <v/>
      </c>
      <c r="AD2" s="11">
        <f>'QTR P&amp;L'!AD13</f>
        <v/>
      </c>
      <c r="AE2" s="11">
        <f>'QTR P&amp;L'!AE13</f>
        <v/>
      </c>
      <c r="AF2" s="11">
        <f>'QTR P&amp;L'!AF13</f>
        <v/>
      </c>
      <c r="AG2" s="11">
        <f>'QTR P&amp;L'!AG13</f>
        <v/>
      </c>
      <c r="AH2" s="11">
        <f>'QTR P&amp;L'!AH13</f>
        <v/>
      </c>
      <c r="AI2" s="11">
        <f>'QTR P&amp;L'!AI13</f>
        <v/>
      </c>
      <c r="AJ2" s="11">
        <f>'QTR P&amp;L'!AJ13</f>
        <v/>
      </c>
      <c r="AK2" s="11">
        <f>'QTR P&amp;L'!AK13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DRIVERS'!S2</f>
        <v/>
      </c>
      <c r="T3" s="11">
        <f>'QTR P&amp;L'!T2*'CF DRIVERS'!T2</f>
        <v/>
      </c>
      <c r="U3" s="11">
        <f>'QTR P&amp;L'!U2*'CF DRIVERS'!U2</f>
        <v/>
      </c>
      <c r="V3" s="11">
        <f>'QTR P&amp;L'!V2*'CF DRIVERS'!V2</f>
        <v/>
      </c>
      <c r="W3" s="11">
        <f>'QTR P&amp;L'!W2*'CF DRIVERS'!W2</f>
        <v/>
      </c>
      <c r="X3" s="11">
        <f>'QTR P&amp;L'!X2*'CF DRIVERS'!X2</f>
        <v/>
      </c>
      <c r="Y3" s="11">
        <f>'QTR P&amp;L'!Y2*'CF DRIVERS'!Y2</f>
        <v/>
      </c>
      <c r="Z3" s="11">
        <f>'QTR P&amp;L'!Z2*'CF DRIVERS'!Z2</f>
        <v/>
      </c>
      <c r="AA3" s="11">
        <f>'QTR P&amp;L'!AA2*'CF DRIVERS'!AA2</f>
        <v/>
      </c>
      <c r="AB3" s="11">
        <f>'QTR P&amp;L'!AB2*'CF DRIVERS'!AB2</f>
        <v/>
      </c>
      <c r="AC3" s="11">
        <f>'QTR P&amp;L'!AC2*'CF DRIVERS'!AC2</f>
        <v/>
      </c>
      <c r="AD3" s="11">
        <f>'QTR P&amp;L'!AD2*'CF DRIVERS'!AD2</f>
        <v/>
      </c>
      <c r="AE3" s="11">
        <f>'QTR P&amp;L'!AE2*'CF DRIVERS'!AE2</f>
        <v/>
      </c>
      <c r="AF3" s="11">
        <f>'QTR P&amp;L'!AF2*'CF DRIVERS'!AF2</f>
        <v/>
      </c>
      <c r="AG3" s="11">
        <f>'QTR P&amp;L'!AG2*'CF DRIVERS'!AG2</f>
        <v/>
      </c>
      <c r="AH3" s="11">
        <f>'QTR P&amp;L'!AH2*'CF DRIVERS'!AH2</f>
        <v/>
      </c>
      <c r="AI3" s="11">
        <f>'QTR P&amp;L'!AI2*'CF DRIVERS'!AI2</f>
        <v/>
      </c>
      <c r="AJ3" s="11">
        <f>'QTR P&amp;L'!AJ2*'CF DRIVERS'!AJ2</f>
        <v/>
      </c>
      <c r="AK3" s="11">
        <f>'QTR P&amp;L'!AK2*'CF DRIVERS'!AK2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0</f>
        <v/>
      </c>
      <c r="T4" s="11">
        <f>0</f>
        <v/>
      </c>
      <c r="U4" s="11">
        <f>0</f>
        <v/>
      </c>
      <c r="V4" s="11">
        <f>0</f>
        <v/>
      </c>
      <c r="W4" s="11">
        <f>0</f>
        <v/>
      </c>
      <c r="X4" s="11">
        <f>0</f>
        <v/>
      </c>
      <c r="Y4" s="11">
        <f>0</f>
        <v/>
      </c>
      <c r="Z4" s="11">
        <f>0</f>
        <v/>
      </c>
      <c r="AA4" s="11">
        <f>0</f>
        <v/>
      </c>
      <c r="AB4" s="11">
        <f>0</f>
        <v/>
      </c>
      <c r="AC4" s="11">
        <f>0</f>
        <v/>
      </c>
      <c r="AD4" s="11">
        <f>0</f>
        <v/>
      </c>
      <c r="AE4" s="11">
        <f>0</f>
        <v/>
      </c>
      <c r="AF4" s="11">
        <f>0</f>
        <v/>
      </c>
      <c r="AG4" s="11">
        <f>0</f>
        <v/>
      </c>
      <c r="AH4" s="11">
        <f>0</f>
        <v/>
      </c>
      <c r="AI4" s="11">
        <f>0</f>
        <v/>
      </c>
      <c r="AJ4" s="11">
        <f>0</f>
        <v/>
      </c>
      <c r="AK4" s="11">
        <f>0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0</f>
        <v/>
      </c>
      <c r="T5" s="11">
        <f>0</f>
        <v/>
      </c>
      <c r="U5" s="11">
        <f>0</f>
        <v/>
      </c>
      <c r="V5" s="11">
        <f>0</f>
        <v/>
      </c>
      <c r="W5" s="11">
        <f>0</f>
        <v/>
      </c>
      <c r="X5" s="11">
        <f>0</f>
        <v/>
      </c>
      <c r="Y5" s="11">
        <f>0</f>
        <v/>
      </c>
      <c r="Z5" s="11">
        <f>0</f>
        <v/>
      </c>
      <c r="AA5" s="11">
        <f>0</f>
        <v/>
      </c>
      <c r="AB5" s="11">
        <f>0</f>
        <v/>
      </c>
      <c r="AC5" s="11">
        <f>0</f>
        <v/>
      </c>
      <c r="AD5" s="11">
        <f>0</f>
        <v/>
      </c>
      <c r="AE5" s="11">
        <f>0</f>
        <v/>
      </c>
      <c r="AF5" s="11">
        <f>0</f>
        <v/>
      </c>
      <c r="AG5" s="11">
        <f>0</f>
        <v/>
      </c>
      <c r="AH5" s="11">
        <f>0</f>
        <v/>
      </c>
      <c r="AI5" s="11">
        <f>0</f>
        <v/>
      </c>
      <c r="AJ5" s="11">
        <f>0</f>
        <v/>
      </c>
      <c r="AK5" s="11">
        <f>0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0</f>
        <v/>
      </c>
      <c r="T6" s="11">
        <f>0</f>
        <v/>
      </c>
      <c r="U6" s="11">
        <f>0</f>
        <v/>
      </c>
      <c r="V6" s="11">
        <f>0</f>
        <v/>
      </c>
      <c r="W6" s="11">
        <f>0</f>
        <v/>
      </c>
      <c r="X6" s="11">
        <f>0</f>
        <v/>
      </c>
      <c r="Y6" s="11">
        <f>0</f>
        <v/>
      </c>
      <c r="Z6" s="11">
        <f>0</f>
        <v/>
      </c>
      <c r="AA6" s="11">
        <f>0</f>
        <v/>
      </c>
      <c r="AB6" s="11">
        <f>0</f>
        <v/>
      </c>
      <c r="AC6" s="11">
        <f>0</f>
        <v/>
      </c>
      <c r="AD6" s="11">
        <f>0</f>
        <v/>
      </c>
      <c r="AE6" s="11">
        <f>0</f>
        <v/>
      </c>
      <c r="AF6" s="11">
        <f>0</f>
        <v/>
      </c>
      <c r="AG6" s="11">
        <f>0</f>
        <v/>
      </c>
      <c r="AH6" s="11">
        <f>0</f>
        <v/>
      </c>
      <c r="AI6" s="11">
        <f>0</f>
        <v/>
      </c>
      <c r="AJ6" s="11">
        <f>0</f>
        <v/>
      </c>
      <c r="AK6" s="11">
        <f>0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0</f>
        <v/>
      </c>
      <c r="T7" s="11">
        <f>0</f>
        <v/>
      </c>
      <c r="U7" s="11">
        <f>0</f>
        <v/>
      </c>
      <c r="V7" s="11">
        <f>0</f>
        <v/>
      </c>
      <c r="W7" s="11">
        <f>0</f>
        <v/>
      </c>
      <c r="X7" s="11">
        <f>0</f>
        <v/>
      </c>
      <c r="Y7" s="11">
        <f>0</f>
        <v/>
      </c>
      <c r="Z7" s="11">
        <f>0</f>
        <v/>
      </c>
      <c r="AA7" s="11">
        <f>0</f>
        <v/>
      </c>
      <c r="AB7" s="11">
        <f>0</f>
        <v/>
      </c>
      <c r="AC7" s="11">
        <f>0</f>
        <v/>
      </c>
      <c r="AD7" s="11">
        <f>0</f>
        <v/>
      </c>
      <c r="AE7" s="11">
        <f>0</f>
        <v/>
      </c>
      <c r="AF7" s="11">
        <f>0</f>
        <v/>
      </c>
      <c r="AG7" s="11">
        <f>0</f>
        <v/>
      </c>
      <c r="AH7" s="11">
        <f>0</f>
        <v/>
      </c>
      <c r="AI7" s="11">
        <f>0</f>
        <v/>
      </c>
      <c r="AJ7" s="11">
        <f>0</f>
        <v/>
      </c>
      <c r="AK7" s="11">
        <f>0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'QTR P&amp;L'!S2*'CF DRIVERS'!S3</f>
        <v/>
      </c>
      <c r="T8" s="11">
        <f>'QTR P&amp;L'!T2*'CF DRIVERS'!T3</f>
        <v/>
      </c>
      <c r="U8" s="11">
        <f>'QTR P&amp;L'!U2*'CF DRIVERS'!U3</f>
        <v/>
      </c>
      <c r="V8" s="11">
        <f>'QTR P&amp;L'!V2*'CF DRIVERS'!V3</f>
        <v/>
      </c>
      <c r="W8" s="11">
        <f>'QTR P&amp;L'!W2*'CF DRIVERS'!W3</f>
        <v/>
      </c>
      <c r="X8" s="11">
        <f>'QTR P&amp;L'!X2*'CF DRIVERS'!X3</f>
        <v/>
      </c>
      <c r="Y8" s="11">
        <f>'QTR P&amp;L'!Y2*'CF DRIVERS'!Y3</f>
        <v/>
      </c>
      <c r="Z8" s="11">
        <f>'QTR P&amp;L'!Z2*'CF DRIVERS'!Z3</f>
        <v/>
      </c>
      <c r="AA8" s="11">
        <f>'QTR P&amp;L'!AA2*'CF DRIVERS'!AA3</f>
        <v/>
      </c>
      <c r="AB8" s="11">
        <f>'QTR P&amp;L'!AB2*'CF DRIVERS'!AB3</f>
        <v/>
      </c>
      <c r="AC8" s="11">
        <f>'QTR P&amp;L'!AC2*'CF DRIVERS'!AC3</f>
        <v/>
      </c>
      <c r="AD8" s="11">
        <f>'QTR P&amp;L'!AD2*'CF DRIVERS'!AD3</f>
        <v/>
      </c>
      <c r="AE8" s="11">
        <f>'QTR P&amp;L'!AE2*'CF DRIVERS'!AE3</f>
        <v/>
      </c>
      <c r="AF8" s="11">
        <f>'QTR P&amp;L'!AF2*'CF DRIVERS'!AF3</f>
        <v/>
      </c>
      <c r="AG8" s="11">
        <f>'QTR P&amp;L'!AG2*'CF DRIVERS'!AG3</f>
        <v/>
      </c>
      <c r="AH8" s="11">
        <f>'QTR P&amp;L'!AH2*'CF DRIVERS'!AH3</f>
        <v/>
      </c>
      <c r="AI8" s="11">
        <f>'QTR P&amp;L'!AI2*'CF DRIVERS'!AI3</f>
        <v/>
      </c>
      <c r="AJ8" s="11">
        <f>'QTR P&amp;L'!AJ2*'CF DRIVERS'!AJ3</f>
        <v/>
      </c>
      <c r="AK8" s="11">
        <f>'QTR P&amp;L'!AK2*'CF DRIVERS'!AK3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DRIVERS'!S4</f>
        <v/>
      </c>
      <c r="T9" s="11">
        <f>'QTR P&amp;L'!T2*'CF DRIVERS'!T4</f>
        <v/>
      </c>
      <c r="U9" s="11">
        <f>'QTR P&amp;L'!U2*'CF DRIVERS'!U4</f>
        <v/>
      </c>
      <c r="V9" s="11">
        <f>'QTR P&amp;L'!V2*'CF DRIVERS'!V4</f>
        <v/>
      </c>
      <c r="W9" s="11">
        <f>'QTR P&amp;L'!W2*'CF DRIVERS'!W4</f>
        <v/>
      </c>
      <c r="X9" s="11">
        <f>'QTR P&amp;L'!X2*'CF DRIVERS'!X4</f>
        <v/>
      </c>
      <c r="Y9" s="11">
        <f>'QTR P&amp;L'!Y2*'CF DRIVERS'!Y4</f>
        <v/>
      </c>
      <c r="Z9" s="11">
        <f>'QTR P&amp;L'!Z2*'CF DRIVERS'!Z4</f>
        <v/>
      </c>
      <c r="AA9" s="11">
        <f>'QTR P&amp;L'!AA2*'CF DRIVERS'!AA4</f>
        <v/>
      </c>
      <c r="AB9" s="11">
        <f>'QTR P&amp;L'!AB2*'CF DRIVERS'!AB4</f>
        <v/>
      </c>
      <c r="AC9" s="11">
        <f>'QTR P&amp;L'!AC2*'CF DRIVERS'!AC4</f>
        <v/>
      </c>
      <c r="AD9" s="11">
        <f>'QTR P&amp;L'!AD2*'CF DRIVERS'!AD4</f>
        <v/>
      </c>
      <c r="AE9" s="11">
        <f>'QTR P&amp;L'!AE2*'CF DRIVERS'!AE4</f>
        <v/>
      </c>
      <c r="AF9" s="11">
        <f>'QTR P&amp;L'!AF2*'CF DRIVERS'!AF4</f>
        <v/>
      </c>
      <c r="AG9" s="11">
        <f>'QTR P&amp;L'!AG2*'CF DRIVERS'!AG4</f>
        <v/>
      </c>
      <c r="AH9" s="11">
        <f>'QTR P&amp;L'!AH2*'CF DRIVERS'!AH4</f>
        <v/>
      </c>
      <c r="AI9" s="11">
        <f>'QTR P&amp;L'!AI2*'CF DRIVERS'!AI4</f>
        <v/>
      </c>
      <c r="AJ9" s="11">
        <f>'QTR P&amp;L'!AJ2*'CF DRIVERS'!AJ4</f>
        <v/>
      </c>
      <c r="AK9" s="11">
        <f>'QTR P&amp;L'!AK2*'CF DRIVERS'!AK4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R10</f>
        <v/>
      </c>
      <c r="T10" s="11">
        <f>R10</f>
        <v/>
      </c>
      <c r="U10" s="11">
        <f>R10</f>
        <v/>
      </c>
      <c r="V10" s="11">
        <f>R10</f>
        <v/>
      </c>
      <c r="W10" s="11">
        <f>R10</f>
        <v/>
      </c>
      <c r="X10" s="11">
        <f>R10</f>
        <v/>
      </c>
      <c r="Y10" s="11">
        <f>R10</f>
        <v/>
      </c>
      <c r="Z10" s="11">
        <f>R10</f>
        <v/>
      </c>
      <c r="AA10" s="11">
        <f>R10</f>
        <v/>
      </c>
      <c r="AB10" s="11">
        <f>R10</f>
        <v/>
      </c>
      <c r="AC10" s="11">
        <f>R10</f>
        <v/>
      </c>
      <c r="AD10" s="11">
        <f>R10</f>
        <v/>
      </c>
      <c r="AE10" s="11">
        <f>R10</f>
        <v/>
      </c>
      <c r="AF10" s="11">
        <f>R10</f>
        <v/>
      </c>
      <c r="AG10" s="11">
        <f>R10</f>
        <v/>
      </c>
      <c r="AH10" s="11">
        <f>R10</f>
        <v/>
      </c>
      <c r="AI10" s="11">
        <f>R10</f>
        <v/>
      </c>
      <c r="AJ10" s="11">
        <f>R10</f>
        <v/>
      </c>
      <c r="AK10" s="11">
        <f>R10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R11</f>
        <v/>
      </c>
      <c r="T11" s="11">
        <f>R11</f>
        <v/>
      </c>
      <c r="U11" s="11">
        <f>R11</f>
        <v/>
      </c>
      <c r="V11" s="11">
        <f>R11</f>
        <v/>
      </c>
      <c r="W11" s="11">
        <f>R11</f>
        <v/>
      </c>
      <c r="X11" s="11">
        <f>R11</f>
        <v/>
      </c>
      <c r="Y11" s="11">
        <f>R11</f>
        <v/>
      </c>
      <c r="Z11" s="11">
        <f>R11</f>
        <v/>
      </c>
      <c r="AA11" s="11">
        <f>R11</f>
        <v/>
      </c>
      <c r="AB11" s="11">
        <f>R11</f>
        <v/>
      </c>
      <c r="AC11" s="11">
        <f>R11</f>
        <v/>
      </c>
      <c r="AD11" s="11">
        <f>R11</f>
        <v/>
      </c>
      <c r="AE11" s="11">
        <f>R11</f>
        <v/>
      </c>
      <c r="AF11" s="11">
        <f>R11</f>
        <v/>
      </c>
      <c r="AG11" s="11">
        <f>R11</f>
        <v/>
      </c>
      <c r="AH11" s="11">
        <f>R11</f>
        <v/>
      </c>
      <c r="AI11" s="11">
        <f>R11</f>
        <v/>
      </c>
      <c r="AJ11" s="11">
        <f>R11</f>
        <v/>
      </c>
      <c r="AK11" s="11">
        <f>R11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R12</f>
        <v/>
      </c>
      <c r="T12" s="11">
        <f>R12</f>
        <v/>
      </c>
      <c r="U12" s="11">
        <f>R12</f>
        <v/>
      </c>
      <c r="V12" s="11">
        <f>R12</f>
        <v/>
      </c>
      <c r="W12" s="11">
        <f>R12</f>
        <v/>
      </c>
      <c r="X12" s="11">
        <f>R12</f>
        <v/>
      </c>
      <c r="Y12" s="11">
        <f>R12</f>
        <v/>
      </c>
      <c r="Z12" s="11">
        <f>R12</f>
        <v/>
      </c>
      <c r="AA12" s="11">
        <f>R12</f>
        <v/>
      </c>
      <c r="AB12" s="11">
        <f>R12</f>
        <v/>
      </c>
      <c r="AC12" s="11">
        <f>R12</f>
        <v/>
      </c>
      <c r="AD12" s="11">
        <f>R12</f>
        <v/>
      </c>
      <c r="AE12" s="11">
        <f>R12</f>
        <v/>
      </c>
      <c r="AF12" s="11">
        <f>R12</f>
        <v/>
      </c>
      <c r="AG12" s="11">
        <f>R12</f>
        <v/>
      </c>
      <c r="AH12" s="11">
        <f>R12</f>
        <v/>
      </c>
      <c r="AI12" s="11">
        <f>R12</f>
        <v/>
      </c>
      <c r="AJ12" s="11">
        <f>R12</f>
        <v/>
      </c>
      <c r="AK12" s="11">
        <f>R12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R13</f>
        <v/>
      </c>
      <c r="T13" s="11">
        <f>R13</f>
        <v/>
      </c>
      <c r="U13" s="11">
        <f>R13</f>
        <v/>
      </c>
      <c r="V13" s="11">
        <f>R13</f>
        <v/>
      </c>
      <c r="W13" s="11">
        <f>R13</f>
        <v/>
      </c>
      <c r="X13" s="11">
        <f>R13</f>
        <v/>
      </c>
      <c r="Y13" s="11">
        <f>R13</f>
        <v/>
      </c>
      <c r="Z13" s="11">
        <f>R13</f>
        <v/>
      </c>
      <c r="AA13" s="11">
        <f>R13</f>
        <v/>
      </c>
      <c r="AB13" s="11">
        <f>R13</f>
        <v/>
      </c>
      <c r="AC13" s="11">
        <f>R13</f>
        <v/>
      </c>
      <c r="AD13" s="11">
        <f>R13</f>
        <v/>
      </c>
      <c r="AE13" s="11">
        <f>R13</f>
        <v/>
      </c>
      <c r="AF13" s="11">
        <f>R13</f>
        <v/>
      </c>
      <c r="AG13" s="11">
        <f>R13</f>
        <v/>
      </c>
      <c r="AH13" s="11">
        <f>R13</f>
        <v/>
      </c>
      <c r="AI13" s="11">
        <f>R13</f>
        <v/>
      </c>
      <c r="AJ13" s="11">
        <f>R13</f>
        <v/>
      </c>
      <c r="AK13" s="11">
        <f>R13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R14</f>
        <v/>
      </c>
      <c r="T14" s="11">
        <f>R14</f>
        <v/>
      </c>
      <c r="U14" s="11">
        <f>R14</f>
        <v/>
      </c>
      <c r="V14" s="11">
        <f>R14</f>
        <v/>
      </c>
      <c r="W14" s="11">
        <f>R14</f>
        <v/>
      </c>
      <c r="X14" s="11">
        <f>R14</f>
        <v/>
      </c>
      <c r="Y14" s="11">
        <f>R14</f>
        <v/>
      </c>
      <c r="Z14" s="11">
        <f>R14</f>
        <v/>
      </c>
      <c r="AA14" s="11">
        <f>R14</f>
        <v/>
      </c>
      <c r="AB14" s="11">
        <f>R14</f>
        <v/>
      </c>
      <c r="AC14" s="11">
        <f>R14</f>
        <v/>
      </c>
      <c r="AD14" s="11">
        <f>R14</f>
        <v/>
      </c>
      <c r="AE14" s="11">
        <f>R14</f>
        <v/>
      </c>
      <c r="AF14" s="11">
        <f>R14</f>
        <v/>
      </c>
      <c r="AG14" s="11">
        <f>R14</f>
        <v/>
      </c>
      <c r="AH14" s="11">
        <f>R14</f>
        <v/>
      </c>
      <c r="AI14" s="11">
        <f>R14</f>
        <v/>
      </c>
      <c r="AJ14" s="11">
        <f>R14</f>
        <v/>
      </c>
      <c r="AK14" s="11">
        <f>R14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R15</f>
        <v/>
      </c>
      <c r="T15" s="11">
        <f>R15</f>
        <v/>
      </c>
      <c r="U15" s="11">
        <f>R15</f>
        <v/>
      </c>
      <c r="V15" s="11">
        <f>R15</f>
        <v/>
      </c>
      <c r="W15" s="11">
        <f>R15</f>
        <v/>
      </c>
      <c r="X15" s="11">
        <f>R15</f>
        <v/>
      </c>
      <c r="Y15" s="11">
        <f>R15</f>
        <v/>
      </c>
      <c r="Z15" s="11">
        <f>R15</f>
        <v/>
      </c>
      <c r="AA15" s="11">
        <f>R15</f>
        <v/>
      </c>
      <c r="AB15" s="11">
        <f>R15</f>
        <v/>
      </c>
      <c r="AC15" s="11">
        <f>R15</f>
        <v/>
      </c>
      <c r="AD15" s="11">
        <f>R15</f>
        <v/>
      </c>
      <c r="AE15" s="11">
        <f>R15</f>
        <v/>
      </c>
      <c r="AF15" s="11">
        <f>R15</f>
        <v/>
      </c>
      <c r="AG15" s="11">
        <f>R15</f>
        <v/>
      </c>
      <c r="AH15" s="11">
        <f>R15</f>
        <v/>
      </c>
      <c r="AI15" s="11">
        <f>R15</f>
        <v/>
      </c>
      <c r="AJ15" s="11">
        <f>R15</f>
        <v/>
      </c>
      <c r="AK15" s="11">
        <f>R15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R16</f>
        <v/>
      </c>
      <c r="T16" s="11">
        <f>R16</f>
        <v/>
      </c>
      <c r="U16" s="11">
        <f>R16</f>
        <v/>
      </c>
      <c r="V16" s="11">
        <f>R16</f>
        <v/>
      </c>
      <c r="W16" s="11">
        <f>R16</f>
        <v/>
      </c>
      <c r="X16" s="11">
        <f>R16</f>
        <v/>
      </c>
      <c r="Y16" s="11">
        <f>R16</f>
        <v/>
      </c>
      <c r="Z16" s="11">
        <f>R16</f>
        <v/>
      </c>
      <c r="AA16" s="11">
        <f>R16</f>
        <v/>
      </c>
      <c r="AB16" s="11">
        <f>R16</f>
        <v/>
      </c>
      <c r="AC16" s="11">
        <f>R16</f>
        <v/>
      </c>
      <c r="AD16" s="11">
        <f>R16</f>
        <v/>
      </c>
      <c r="AE16" s="11">
        <f>R16</f>
        <v/>
      </c>
      <c r="AF16" s="11">
        <f>R16</f>
        <v/>
      </c>
      <c r="AG16" s="11">
        <f>R16</f>
        <v/>
      </c>
      <c r="AH16" s="11">
        <f>R16</f>
        <v/>
      </c>
      <c r="AI16" s="11">
        <f>R16</f>
        <v/>
      </c>
      <c r="AJ16" s="11">
        <f>R16</f>
        <v/>
      </c>
      <c r="AK16" s="11">
        <f>R16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0</f>
        <v/>
      </c>
      <c r="T17" s="11">
        <f>0</f>
        <v/>
      </c>
      <c r="U17" s="11">
        <f>0</f>
        <v/>
      </c>
      <c r="V17" s="11">
        <f>0</f>
        <v/>
      </c>
      <c r="W17" s="11">
        <f>0</f>
        <v/>
      </c>
      <c r="X17" s="11">
        <f>0</f>
        <v/>
      </c>
      <c r="Y17" s="11">
        <f>0</f>
        <v/>
      </c>
      <c r="Z17" s="11">
        <f>0</f>
        <v/>
      </c>
      <c r="AA17" s="11">
        <f>0</f>
        <v/>
      </c>
      <c r="AB17" s="11">
        <f>0</f>
        <v/>
      </c>
      <c r="AC17" s="11">
        <f>0</f>
        <v/>
      </c>
      <c r="AD17" s="11">
        <f>0</f>
        <v/>
      </c>
      <c r="AE17" s="11">
        <f>0</f>
        <v/>
      </c>
      <c r="AF17" s="11">
        <f>0</f>
        <v/>
      </c>
      <c r="AG17" s="11">
        <f>0</f>
        <v/>
      </c>
      <c r="AH17" s="11">
        <f>0</f>
        <v/>
      </c>
      <c r="AI17" s="11">
        <f>0</f>
        <v/>
      </c>
      <c r="AJ17" s="11">
        <f>0</f>
        <v/>
      </c>
      <c r="AK17" s="11">
        <f>0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0</f>
        <v/>
      </c>
      <c r="T18" s="11">
        <f>0</f>
        <v/>
      </c>
      <c r="U18" s="11">
        <f>0</f>
        <v/>
      </c>
      <c r="V18" s="11">
        <f>0</f>
        <v/>
      </c>
      <c r="W18" s="11">
        <f>0</f>
        <v/>
      </c>
      <c r="X18" s="11">
        <f>0</f>
        <v/>
      </c>
      <c r="Y18" s="11">
        <f>0</f>
        <v/>
      </c>
      <c r="Z18" s="11">
        <f>0</f>
        <v/>
      </c>
      <c r="AA18" s="11">
        <f>0</f>
        <v/>
      </c>
      <c r="AB18" s="11">
        <f>0</f>
        <v/>
      </c>
      <c r="AC18" s="11">
        <f>0</f>
        <v/>
      </c>
      <c r="AD18" s="11">
        <f>0</f>
        <v/>
      </c>
      <c r="AE18" s="11">
        <f>0</f>
        <v/>
      </c>
      <c r="AF18" s="11">
        <f>0</f>
        <v/>
      </c>
      <c r="AG18" s="11">
        <f>0</f>
        <v/>
      </c>
      <c r="AH18" s="11">
        <f>0</f>
        <v/>
      </c>
      <c r="AI18" s="11">
        <f>0</f>
        <v/>
      </c>
      <c r="AJ18" s="11">
        <f>0</f>
        <v/>
      </c>
      <c r="AK18" s="11">
        <f>0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-('QTR BS'!P4-'QTR BS'!O4)</f>
        <v/>
      </c>
      <c r="T19" s="11">
        <f>-('QTR BS'!Q4-'QTR BS'!P4)</f>
        <v/>
      </c>
      <c r="U19" s="11">
        <f>-('QTR BS'!R4-'QTR BS'!Q4)</f>
        <v/>
      </c>
      <c r="V19" s="11">
        <f>-('QTR BS'!S4-'QTR BS'!R4)</f>
        <v/>
      </c>
      <c r="W19" s="11">
        <f>-('QTR BS'!T4-'QTR BS'!S4)</f>
        <v/>
      </c>
      <c r="X19" s="11">
        <f>-('QTR BS'!U4-'QTR BS'!T4)</f>
        <v/>
      </c>
      <c r="Y19" s="11">
        <f>-('QTR BS'!V4-'QTR BS'!U4)</f>
        <v/>
      </c>
      <c r="Z19" s="11">
        <f>-('QTR BS'!W4-'QTR BS'!V4)</f>
        <v/>
      </c>
      <c r="AA19" s="11">
        <f>-('QTR BS'!X4-'QTR BS'!W4)</f>
        <v/>
      </c>
      <c r="AB19" s="11">
        <f>-('QTR BS'!Y4-'QTR BS'!X4)</f>
        <v/>
      </c>
      <c r="AC19" s="11">
        <f>-('QTR BS'!Z4-'QTR BS'!Y4)</f>
        <v/>
      </c>
      <c r="AD19" s="11">
        <f>-('QTR BS'!AA4-'QTR BS'!Z4)</f>
        <v/>
      </c>
      <c r="AE19" s="11">
        <f>-('QTR BS'!AB4-'QTR BS'!AA4)</f>
        <v/>
      </c>
      <c r="AF19" s="11">
        <f>-('QTR BS'!AC4-'QTR BS'!AB4)</f>
        <v/>
      </c>
      <c r="AG19" s="11">
        <f>-('QTR BS'!AD4-'QTR BS'!AC4)</f>
        <v/>
      </c>
      <c r="AH19" s="11">
        <f>-('QTR BS'!AE4-'QTR BS'!AD4)</f>
        <v/>
      </c>
      <c r="AI19" s="11">
        <f>-('QTR BS'!AF4-'QTR BS'!AE4)</f>
        <v/>
      </c>
      <c r="AJ19" s="11">
        <f>-('QTR BS'!AG4-'QTR BS'!AF4)</f>
        <v/>
      </c>
      <c r="AK19" s="11">
        <f>-('QTR BS'!AH4-'QTR BS'!AG4)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-('QTR BS'!P5-'QTR BS'!O5)</f>
        <v/>
      </c>
      <c r="T20" s="11">
        <f>-('QTR BS'!Q5-'QTR BS'!P5)</f>
        <v/>
      </c>
      <c r="U20" s="11">
        <f>-('QTR BS'!R5-'QTR BS'!Q5)</f>
        <v/>
      </c>
      <c r="V20" s="11">
        <f>-('QTR BS'!S5-'QTR BS'!R5)</f>
        <v/>
      </c>
      <c r="W20" s="11">
        <f>-('QTR BS'!T5-'QTR BS'!S5)</f>
        <v/>
      </c>
      <c r="X20" s="11">
        <f>-('QTR BS'!U5-'QTR BS'!T5)</f>
        <v/>
      </c>
      <c r="Y20" s="11">
        <f>-('QTR BS'!V5-'QTR BS'!U5)</f>
        <v/>
      </c>
      <c r="Z20" s="11">
        <f>-('QTR BS'!W5-'QTR BS'!V5)</f>
        <v/>
      </c>
      <c r="AA20" s="11">
        <f>-('QTR BS'!X5-'QTR BS'!W5)</f>
        <v/>
      </c>
      <c r="AB20" s="11">
        <f>-('QTR BS'!Y5-'QTR BS'!X5)</f>
        <v/>
      </c>
      <c r="AC20" s="11">
        <f>-('QTR BS'!Z5-'QTR BS'!Y5)</f>
        <v/>
      </c>
      <c r="AD20" s="11">
        <f>-('QTR BS'!AA5-'QTR BS'!Z5)</f>
        <v/>
      </c>
      <c r="AE20" s="11">
        <f>-('QTR BS'!AB5-'QTR BS'!AA5)</f>
        <v/>
      </c>
      <c r="AF20" s="11">
        <f>-('QTR BS'!AC5-'QTR BS'!AB5)</f>
        <v/>
      </c>
      <c r="AG20" s="11">
        <f>-('QTR BS'!AD5-'QTR BS'!AC5)</f>
        <v/>
      </c>
      <c r="AH20" s="11">
        <f>-('QTR BS'!AE5-'QTR BS'!AD5)</f>
        <v/>
      </c>
      <c r="AI20" s="11">
        <f>-('QTR BS'!AF5-'QTR BS'!AE5)</f>
        <v/>
      </c>
      <c r="AJ20" s="11">
        <f>-('QTR BS'!AG5-'QTR BS'!AF5)</f>
        <v/>
      </c>
      <c r="AK20" s="11">
        <f>-('QTR BS'!AH5-'QTR BS'!AG5)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-('QTR BS'!P6-'QTR BS'!O6)</f>
        <v/>
      </c>
      <c r="T21" s="11">
        <f>-('QTR BS'!Q6-'QTR BS'!P6)</f>
        <v/>
      </c>
      <c r="U21" s="11">
        <f>-('QTR BS'!R6-'QTR BS'!Q6)</f>
        <v/>
      </c>
      <c r="V21" s="11">
        <f>-('QTR BS'!S6-'QTR BS'!R6)</f>
        <v/>
      </c>
      <c r="W21" s="11">
        <f>-('QTR BS'!T6-'QTR BS'!S6)</f>
        <v/>
      </c>
      <c r="X21" s="11">
        <f>-('QTR BS'!U6-'QTR BS'!T6)</f>
        <v/>
      </c>
      <c r="Y21" s="11">
        <f>-('QTR BS'!V6-'QTR BS'!U6)</f>
        <v/>
      </c>
      <c r="Z21" s="11">
        <f>-('QTR BS'!W6-'QTR BS'!V6)</f>
        <v/>
      </c>
      <c r="AA21" s="11">
        <f>-('QTR BS'!X6-'QTR BS'!W6)</f>
        <v/>
      </c>
      <c r="AB21" s="11">
        <f>-('QTR BS'!Y6-'QTR BS'!X6)</f>
        <v/>
      </c>
      <c r="AC21" s="11">
        <f>-('QTR BS'!Z6-'QTR BS'!Y6)</f>
        <v/>
      </c>
      <c r="AD21" s="11">
        <f>-('QTR BS'!AA6-'QTR BS'!Z6)</f>
        <v/>
      </c>
      <c r="AE21" s="11">
        <f>-('QTR BS'!AB6-'QTR BS'!AA6)</f>
        <v/>
      </c>
      <c r="AF21" s="11">
        <f>-('QTR BS'!AC6-'QTR BS'!AB6)</f>
        <v/>
      </c>
      <c r="AG21" s="11">
        <f>-('QTR BS'!AD6-'QTR BS'!AC6)</f>
        <v/>
      </c>
      <c r="AH21" s="11">
        <f>-('QTR BS'!AE6-'QTR BS'!AD6)</f>
        <v/>
      </c>
      <c r="AI21" s="11">
        <f>-('QTR BS'!AF6-'QTR BS'!AE6)</f>
        <v/>
      </c>
      <c r="AJ21" s="11">
        <f>-('QTR BS'!AG6-'QTR BS'!AF6)</f>
        <v/>
      </c>
      <c r="AK21" s="11">
        <f>-('QTR BS'!AH6-'QTR BS'!AG6)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R22</f>
        <v/>
      </c>
      <c r="T22" s="11">
        <f>R22</f>
        <v/>
      </c>
      <c r="U22" s="11">
        <f>R22</f>
        <v/>
      </c>
      <c r="V22" s="11">
        <f>R22</f>
        <v/>
      </c>
      <c r="W22" s="11">
        <f>R22</f>
        <v/>
      </c>
      <c r="X22" s="11">
        <f>R22</f>
        <v/>
      </c>
      <c r="Y22" s="11">
        <f>R22</f>
        <v/>
      </c>
      <c r="Z22" s="11">
        <f>R22</f>
        <v/>
      </c>
      <c r="AA22" s="11">
        <f>R22</f>
        <v/>
      </c>
      <c r="AB22" s="11">
        <f>R22</f>
        <v/>
      </c>
      <c r="AC22" s="11">
        <f>R22</f>
        <v/>
      </c>
      <c r="AD22" s="11">
        <f>R22</f>
        <v/>
      </c>
      <c r="AE22" s="11">
        <f>R22</f>
        <v/>
      </c>
      <c r="AF22" s="11">
        <f>R22</f>
        <v/>
      </c>
      <c r="AG22" s="11">
        <f>R22</f>
        <v/>
      </c>
      <c r="AH22" s="11">
        <f>R22</f>
        <v/>
      </c>
      <c r="AI22" s="11">
        <f>R22</f>
        <v/>
      </c>
      <c r="AJ22" s="11">
        <f>R22</f>
        <v/>
      </c>
      <c r="AK22" s="11">
        <f>R22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R23</f>
        <v/>
      </c>
      <c r="T23" s="11">
        <f>R23</f>
        <v/>
      </c>
      <c r="U23" s="11">
        <f>R23</f>
        <v/>
      </c>
      <c r="V23" s="11">
        <f>R23</f>
        <v/>
      </c>
      <c r="W23" s="11">
        <f>R23</f>
        <v/>
      </c>
      <c r="X23" s="11">
        <f>R23</f>
        <v/>
      </c>
      <c r="Y23" s="11">
        <f>R23</f>
        <v/>
      </c>
      <c r="Z23" s="11">
        <f>R23</f>
        <v/>
      </c>
      <c r="AA23" s="11">
        <f>R23</f>
        <v/>
      </c>
      <c r="AB23" s="11">
        <f>R23</f>
        <v/>
      </c>
      <c r="AC23" s="11">
        <f>R23</f>
        <v/>
      </c>
      <c r="AD23" s="11">
        <f>R23</f>
        <v/>
      </c>
      <c r="AE23" s="11">
        <f>R23</f>
        <v/>
      </c>
      <c r="AF23" s="11">
        <f>R23</f>
        <v/>
      </c>
      <c r="AG23" s="11">
        <f>R23</f>
        <v/>
      </c>
      <c r="AH23" s="11">
        <f>R23</f>
        <v/>
      </c>
      <c r="AI23" s="11">
        <f>R23</f>
        <v/>
      </c>
      <c r="AJ23" s="11">
        <f>R23</f>
        <v/>
      </c>
      <c r="AK23" s="11">
        <f>R23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'QTR P&amp;L'!S2*'CF DRIVERS'!S5</f>
        <v/>
      </c>
      <c r="T24" s="11">
        <f>'QTR P&amp;L'!T2*'CF DRIVERS'!T5</f>
        <v/>
      </c>
      <c r="U24" s="11">
        <f>'QTR P&amp;L'!U2*'CF DRIVERS'!U5</f>
        <v/>
      </c>
      <c r="V24" s="11">
        <f>'QTR P&amp;L'!V2*'CF DRIVERS'!V5</f>
        <v/>
      </c>
      <c r="W24" s="11">
        <f>'QTR P&amp;L'!W2*'CF DRIVERS'!W5</f>
        <v/>
      </c>
      <c r="X24" s="11">
        <f>'QTR P&amp;L'!X2*'CF DRIVERS'!X5</f>
        <v/>
      </c>
      <c r="Y24" s="11">
        <f>'QTR P&amp;L'!Y2*'CF DRIVERS'!Y5</f>
        <v/>
      </c>
      <c r="Z24" s="11">
        <f>'QTR P&amp;L'!Z2*'CF DRIVERS'!Z5</f>
        <v/>
      </c>
      <c r="AA24" s="11">
        <f>'QTR P&amp;L'!AA2*'CF DRIVERS'!AA5</f>
        <v/>
      </c>
      <c r="AB24" s="11">
        <f>'QTR P&amp;L'!AB2*'CF DRIVERS'!AB5</f>
        <v/>
      </c>
      <c r="AC24" s="11">
        <f>'QTR P&amp;L'!AC2*'CF DRIVERS'!AC5</f>
        <v/>
      </c>
      <c r="AD24" s="11">
        <f>'QTR P&amp;L'!AD2*'CF DRIVERS'!AD5</f>
        <v/>
      </c>
      <c r="AE24" s="11">
        <f>'QTR P&amp;L'!AE2*'CF DRIVERS'!AE5</f>
        <v/>
      </c>
      <c r="AF24" s="11">
        <f>'QTR P&amp;L'!AF2*'CF DRIVERS'!AF5</f>
        <v/>
      </c>
      <c r="AG24" s="11">
        <f>'QTR P&amp;L'!AG2*'CF DRIVERS'!AG5</f>
        <v/>
      </c>
      <c r="AH24" s="11">
        <f>'QTR P&amp;L'!AH2*'CF DRIVERS'!AH5</f>
        <v/>
      </c>
      <c r="AI24" s="11">
        <f>'QTR P&amp;L'!AI2*'CF DRIVERS'!AI5</f>
        <v/>
      </c>
      <c r="AJ24" s="11">
        <f>'QTR P&amp;L'!AJ2*'CF DRIVERS'!AJ5</f>
        <v/>
      </c>
      <c r="AK24" s="11">
        <f>'QTR P&amp;L'!AK2*'CF DRIVERS'!AK5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DRIVERS'!S6</f>
        <v/>
      </c>
      <c r="T26" s="11">
        <f>'QTR P&amp;L'!T2*'CF DRIVERS'!T6</f>
        <v/>
      </c>
      <c r="U26" s="11">
        <f>'QTR P&amp;L'!U2*'CF DRIVERS'!U6</f>
        <v/>
      </c>
      <c r="V26" s="11">
        <f>'QTR P&amp;L'!V2*'CF DRIVERS'!V6</f>
        <v/>
      </c>
      <c r="W26" s="11">
        <f>'QTR P&amp;L'!W2*'CF DRIVERS'!W6</f>
        <v/>
      </c>
      <c r="X26" s="11">
        <f>'QTR P&amp;L'!X2*'CF DRIVERS'!X6</f>
        <v/>
      </c>
      <c r="Y26" s="11">
        <f>'QTR P&amp;L'!Y2*'CF DRIVERS'!Y6</f>
        <v/>
      </c>
      <c r="Z26" s="11">
        <f>'QTR P&amp;L'!Z2*'CF DRIVERS'!Z6</f>
        <v/>
      </c>
      <c r="AA26" s="11">
        <f>'QTR P&amp;L'!AA2*'CF DRIVERS'!AA6</f>
        <v/>
      </c>
      <c r="AB26" s="11">
        <f>'QTR P&amp;L'!AB2*'CF DRIVERS'!AB6</f>
        <v/>
      </c>
      <c r="AC26" s="11">
        <f>'QTR P&amp;L'!AC2*'CF DRIVERS'!AC6</f>
        <v/>
      </c>
      <c r="AD26" s="11">
        <f>'QTR P&amp;L'!AD2*'CF DRIVERS'!AD6</f>
        <v/>
      </c>
      <c r="AE26" s="11">
        <f>'QTR P&amp;L'!AE2*'CF DRIVERS'!AE6</f>
        <v/>
      </c>
      <c r="AF26" s="11">
        <f>'QTR P&amp;L'!AF2*'CF DRIVERS'!AF6</f>
        <v/>
      </c>
      <c r="AG26" s="11">
        <f>'QTR P&amp;L'!AG2*'CF DRIVERS'!AG6</f>
        <v/>
      </c>
      <c r="AH26" s="11">
        <f>'QTR P&amp;L'!AH2*'CF DRIVERS'!AH6</f>
        <v/>
      </c>
      <c r="AI26" s="11">
        <f>'QTR P&amp;L'!AI2*'CF DRIVERS'!AI6</f>
        <v/>
      </c>
      <c r="AJ26" s="11">
        <f>'QTR P&amp;L'!AJ2*'CF DRIVERS'!AJ6</f>
        <v/>
      </c>
      <c r="AK26" s="11">
        <f>'QTR P&amp;L'!AK2*'CF DRIVERS'!AK6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0</f>
        <v/>
      </c>
      <c r="T29" s="11">
        <f>0</f>
        <v/>
      </c>
      <c r="U29" s="11">
        <f>0</f>
        <v/>
      </c>
      <c r="V29" s="11">
        <f>0</f>
        <v/>
      </c>
      <c r="W29" s="11">
        <f>0</f>
        <v/>
      </c>
      <c r="X29" s="11">
        <f>0</f>
        <v/>
      </c>
      <c r="Y29" s="11">
        <f>0</f>
        <v/>
      </c>
      <c r="Z29" s="11">
        <f>0</f>
        <v/>
      </c>
      <c r="AA29" s="11">
        <f>0</f>
        <v/>
      </c>
      <c r="AB29" s="11">
        <f>0</f>
        <v/>
      </c>
      <c r="AC29" s="11">
        <f>0</f>
        <v/>
      </c>
      <c r="AD29" s="11">
        <f>0</f>
        <v/>
      </c>
      <c r="AE29" s="11">
        <f>0</f>
        <v/>
      </c>
      <c r="AF29" s="11">
        <f>0</f>
        <v/>
      </c>
      <c r="AG29" s="11">
        <f>0</f>
        <v/>
      </c>
      <c r="AH29" s="11">
        <f>0</f>
        <v/>
      </c>
      <c r="AI29" s="11">
        <f>0</f>
        <v/>
      </c>
      <c r="AJ29" s="11">
        <f>0</f>
        <v/>
      </c>
      <c r="AK29" s="11">
        <f>0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R31</f>
        <v/>
      </c>
      <c r="T31" s="11">
        <f>R31</f>
        <v/>
      </c>
      <c r="U31" s="11">
        <f>R31</f>
        <v/>
      </c>
      <c r="V31" s="11">
        <f>R31</f>
        <v/>
      </c>
      <c r="W31" s="11">
        <f>R31</f>
        <v/>
      </c>
      <c r="X31" s="11">
        <f>R31</f>
        <v/>
      </c>
      <c r="Y31" s="11">
        <f>R31</f>
        <v/>
      </c>
      <c r="Z31" s="11">
        <f>R31</f>
        <v/>
      </c>
      <c r="AA31" s="11">
        <f>R31</f>
        <v/>
      </c>
      <c r="AB31" s="11">
        <f>R31</f>
        <v/>
      </c>
      <c r="AC31" s="11">
        <f>R31</f>
        <v/>
      </c>
      <c r="AD31" s="11">
        <f>R31</f>
        <v/>
      </c>
      <c r="AE31" s="11">
        <f>R31</f>
        <v/>
      </c>
      <c r="AF31" s="11">
        <f>R31</f>
        <v/>
      </c>
      <c r="AG31" s="11">
        <f>R31</f>
        <v/>
      </c>
      <c r="AH31" s="11">
        <f>R31</f>
        <v/>
      </c>
      <c r="AI31" s="11">
        <f>R31</f>
        <v/>
      </c>
      <c r="AJ31" s="11">
        <f>R31</f>
        <v/>
      </c>
      <c r="AK31" s="11">
        <f>R31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R32</f>
        <v/>
      </c>
      <c r="T32" s="11">
        <f>R32</f>
        <v/>
      </c>
      <c r="U32" s="11">
        <f>R32</f>
        <v/>
      </c>
      <c r="V32" s="11">
        <f>R32</f>
        <v/>
      </c>
      <c r="W32" s="11">
        <f>R32</f>
        <v/>
      </c>
      <c r="X32" s="11">
        <f>R32</f>
        <v/>
      </c>
      <c r="Y32" s="11">
        <f>R32</f>
        <v/>
      </c>
      <c r="Z32" s="11">
        <f>R32</f>
        <v/>
      </c>
      <c r="AA32" s="11">
        <f>R32</f>
        <v/>
      </c>
      <c r="AB32" s="11">
        <f>R32</f>
        <v/>
      </c>
      <c r="AC32" s="11">
        <f>R32</f>
        <v/>
      </c>
      <c r="AD32" s="11">
        <f>R32</f>
        <v/>
      </c>
      <c r="AE32" s="11">
        <f>R32</f>
        <v/>
      </c>
      <c r="AF32" s="11">
        <f>R32</f>
        <v/>
      </c>
      <c r="AG32" s="11">
        <f>R32</f>
        <v/>
      </c>
      <c r="AH32" s="11">
        <f>R32</f>
        <v/>
      </c>
      <c r="AI32" s="11">
        <f>R32</f>
        <v/>
      </c>
      <c r="AJ32" s="11">
        <f>R32</f>
        <v/>
      </c>
      <c r="AK32" s="11">
        <f>R32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-'QTR P&amp;L'!S13*'CF DRIVERS'!S7</f>
        <v/>
      </c>
      <c r="T39" s="11">
        <f>-'QTR P&amp;L'!T13*'CF DRIVERS'!T7</f>
        <v/>
      </c>
      <c r="U39" s="11">
        <f>-'QTR P&amp;L'!U13*'CF DRIVERS'!U7</f>
        <v/>
      </c>
      <c r="V39" s="11">
        <f>-'QTR P&amp;L'!V13*'CF DRIVERS'!V7</f>
        <v/>
      </c>
      <c r="W39" s="11">
        <f>-'QTR P&amp;L'!W13*'CF DRIVERS'!W7</f>
        <v/>
      </c>
      <c r="X39" s="11">
        <f>-'QTR P&amp;L'!X13*'CF DRIVERS'!X7</f>
        <v/>
      </c>
      <c r="Y39" s="11">
        <f>-'QTR P&amp;L'!Y13*'CF DRIVERS'!Y7</f>
        <v/>
      </c>
      <c r="Z39" s="11">
        <f>-'QTR P&amp;L'!Z13*'CF DRIVERS'!Z7</f>
        <v/>
      </c>
      <c r="AA39" s="11">
        <f>-'QTR P&amp;L'!AA13*'CF DRIVERS'!AA7</f>
        <v/>
      </c>
      <c r="AB39" s="11">
        <f>-'QTR P&amp;L'!AB13*'CF DRIVERS'!AB7</f>
        <v/>
      </c>
      <c r="AC39" s="11">
        <f>-'QTR P&amp;L'!AC13*'CF DRIVERS'!AC7</f>
        <v/>
      </c>
      <c r="AD39" s="11">
        <f>-'QTR P&amp;L'!AD13*'CF DRIVERS'!AD7</f>
        <v/>
      </c>
      <c r="AE39" s="11">
        <f>-'QTR P&amp;L'!AE13*'CF DRIVERS'!AE7</f>
        <v/>
      </c>
      <c r="AF39" s="11">
        <f>-'QTR P&amp;L'!AF13*'CF DRIVERS'!AF7</f>
        <v/>
      </c>
      <c r="AG39" s="11">
        <f>-'QTR P&amp;L'!AG13*'CF DRIVERS'!AG7</f>
        <v/>
      </c>
      <c r="AH39" s="11">
        <f>-'QTR P&amp;L'!AH13*'CF DRIVERS'!AH7</f>
        <v/>
      </c>
      <c r="AI39" s="11">
        <f>-'QTR P&amp;L'!AI13*'CF DRIVERS'!AI7</f>
        <v/>
      </c>
      <c r="AJ39" s="11">
        <f>-'QTR P&amp;L'!AJ13*'CF DRIVERS'!AJ7</f>
        <v/>
      </c>
      <c r="AK39" s="11">
        <f>-'QTR P&amp;L'!AK13*'CF DRIVERS'!AK7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R42</f>
        <v/>
      </c>
      <c r="T42" s="11">
        <f>R42</f>
        <v/>
      </c>
      <c r="U42" s="11">
        <f>R42</f>
        <v/>
      </c>
      <c r="V42" s="11">
        <f>R42</f>
        <v/>
      </c>
      <c r="W42" s="11">
        <f>R42</f>
        <v/>
      </c>
      <c r="X42" s="11">
        <f>R42</f>
        <v/>
      </c>
      <c r="Y42" s="11">
        <f>R42</f>
        <v/>
      </c>
      <c r="Z42" s="11">
        <f>R42</f>
        <v/>
      </c>
      <c r="AA42" s="11">
        <f>R42</f>
        <v/>
      </c>
      <c r="AB42" s="11">
        <f>R42</f>
        <v/>
      </c>
      <c r="AC42" s="11">
        <f>R42</f>
        <v/>
      </c>
      <c r="AD42" s="11">
        <f>R42</f>
        <v/>
      </c>
      <c r="AE42" s="11">
        <f>R42</f>
        <v/>
      </c>
      <c r="AF42" s="11">
        <f>R42</f>
        <v/>
      </c>
      <c r="AG42" s="11">
        <f>R42</f>
        <v/>
      </c>
      <c r="AH42" s="11">
        <f>R42</f>
        <v/>
      </c>
      <c r="AI42" s="11">
        <f>R42</f>
        <v/>
      </c>
      <c r="AJ42" s="11">
        <f>R42</f>
        <v/>
      </c>
      <c r="AK42" s="11">
        <f>R42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R43</f>
        <v/>
      </c>
      <c r="T43" s="11">
        <f>R43</f>
        <v/>
      </c>
      <c r="U43" s="11">
        <f>R43</f>
        <v/>
      </c>
      <c r="V43" s="11">
        <f>R43</f>
        <v/>
      </c>
      <c r="W43" s="11">
        <f>R43</f>
        <v/>
      </c>
      <c r="X43" s="11">
        <f>R43</f>
        <v/>
      </c>
      <c r="Y43" s="11">
        <f>R43</f>
        <v/>
      </c>
      <c r="Z43" s="11">
        <f>R43</f>
        <v/>
      </c>
      <c r="AA43" s="11">
        <f>R43</f>
        <v/>
      </c>
      <c r="AB43" s="11">
        <f>R43</f>
        <v/>
      </c>
      <c r="AC43" s="11">
        <f>R43</f>
        <v/>
      </c>
      <c r="AD43" s="11">
        <f>R43</f>
        <v/>
      </c>
      <c r="AE43" s="11">
        <f>R43</f>
        <v/>
      </c>
      <c r="AF43" s="11">
        <f>R43</f>
        <v/>
      </c>
      <c r="AG43" s="11">
        <f>R43</f>
        <v/>
      </c>
      <c r="AH43" s="11">
        <f>R43</f>
        <v/>
      </c>
      <c r="AI43" s="11">
        <f>R43</f>
        <v/>
      </c>
      <c r="AJ43" s="11">
        <f>R43</f>
        <v/>
      </c>
      <c r="AK43" s="11">
        <f>R43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R45</f>
        <v/>
      </c>
      <c r="T45" s="11">
        <f>R45</f>
        <v/>
      </c>
      <c r="U45" s="11">
        <f>R45</f>
        <v/>
      </c>
      <c r="V45" s="11">
        <f>R45</f>
        <v/>
      </c>
      <c r="W45" s="11">
        <f>R45</f>
        <v/>
      </c>
      <c r="X45" s="11">
        <f>R45</f>
        <v/>
      </c>
      <c r="Y45" s="11">
        <f>R45</f>
        <v/>
      </c>
      <c r="Z45" s="11">
        <f>R45</f>
        <v/>
      </c>
      <c r="AA45" s="11">
        <f>R45</f>
        <v/>
      </c>
      <c r="AB45" s="11">
        <f>R45</f>
        <v/>
      </c>
      <c r="AC45" s="11">
        <f>R45</f>
        <v/>
      </c>
      <c r="AD45" s="11">
        <f>R45</f>
        <v/>
      </c>
      <c r="AE45" s="11">
        <f>R45</f>
        <v/>
      </c>
      <c r="AF45" s="11">
        <f>R45</f>
        <v/>
      </c>
      <c r="AG45" s="11">
        <f>R45</f>
        <v/>
      </c>
      <c r="AH45" s="11">
        <f>R45</f>
        <v/>
      </c>
      <c r="AI45" s="11">
        <f>R45</f>
        <v/>
      </c>
      <c r="AJ45" s="11">
        <f>R45</f>
        <v/>
      </c>
      <c r="AK45" s="11">
        <f>R45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Impairment of Intangibles — % of Revenue</t>
        </is>
      </c>
      <c r="B5" s="13">
        <f>IFERROR('QTR P&amp;L'!B7/'QTR P&amp;L'!B2,"")</f>
        <v/>
      </c>
      <c r="C5" s="13">
        <f>IFERROR('QTR P&amp;L'!C7/'QTR P&amp;L'!C2,"")</f>
        <v/>
      </c>
      <c r="D5" s="13">
        <f>IFERROR('QTR P&amp;L'!D7/'QTR P&amp;L'!D2,"")</f>
        <v/>
      </c>
      <c r="E5" s="13">
        <f>IFERROR('QTR P&amp;L'!E7/'QTR P&amp;L'!E2,"")</f>
        <v/>
      </c>
      <c r="F5" s="13">
        <f>IFERROR('QTR P&amp;L'!F7/'QTR P&amp;L'!F2,"")</f>
        <v/>
      </c>
      <c r="G5" s="13">
        <f>IFERROR('QTR P&amp;L'!G7/'QTR P&amp;L'!G2,"")</f>
        <v/>
      </c>
      <c r="H5" s="13">
        <f>IFERROR('QTR P&amp;L'!H7/'QTR P&amp;L'!H2,"")</f>
        <v/>
      </c>
      <c r="I5" s="13">
        <f>IFERROR('QTR P&amp;L'!I7/'QTR P&amp;L'!I2,"")</f>
        <v/>
      </c>
      <c r="J5" s="13">
        <f>IFERROR('QTR P&amp;L'!J7/'QTR P&amp;L'!J2,"")</f>
        <v/>
      </c>
      <c r="K5" s="13">
        <f>IFERROR('QTR P&amp;L'!K7/'QTR P&amp;L'!K2,"")</f>
        <v/>
      </c>
      <c r="L5" s="13">
        <f>IFERROR('QTR P&amp;L'!L7/'QTR P&amp;L'!L2,"")</f>
        <v/>
      </c>
      <c r="M5" s="13">
        <f>IFERROR('QTR P&amp;L'!M7/'QTR P&amp;L'!M2,"")</f>
        <v/>
      </c>
      <c r="N5" s="13">
        <f>IFERROR('QTR P&amp;L'!N7/'QTR P&amp;L'!N2,"")</f>
        <v/>
      </c>
      <c r="O5" s="13">
        <f>IFERROR('QTR P&amp;L'!O7/'QTR P&amp;L'!O2,"")</f>
        <v/>
      </c>
      <c r="P5" s="13">
        <f>IFERROR('QTR P&amp;L'!P7/'QTR P&amp;L'!P2,"")</f>
        <v/>
      </c>
      <c r="Q5" s="13">
        <f>IFERROR('QTR P&amp;L'!Q7/'QTR P&amp;L'!Q2,"")</f>
        <v/>
      </c>
      <c r="R5" s="13">
        <f>IFERROR('QTR P&amp;L'!R7/'QTR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Income Tax (Expense) Benefit — Effective Tax Rate %</t>
        </is>
      </c>
      <c r="B6" s="13">
        <f>IFERROR('QTR P&amp;L'!B12/'QTR P&amp;L'!B11,"")</f>
        <v/>
      </c>
      <c r="C6" s="13">
        <f>IFERROR('QTR P&amp;L'!C12/'QTR P&amp;L'!C11,"")</f>
        <v/>
      </c>
      <c r="D6" s="13">
        <f>IFERROR('QTR P&amp;L'!D12/'QTR P&amp;L'!D11,"")</f>
        <v/>
      </c>
      <c r="E6" s="13">
        <f>IFERROR('QTR P&amp;L'!E12/'QTR P&amp;L'!E11,"")</f>
        <v/>
      </c>
      <c r="F6" s="13">
        <f>IFERROR('QTR P&amp;L'!F12/'QTR P&amp;L'!F11,"")</f>
        <v/>
      </c>
      <c r="G6" s="13">
        <f>IFERROR('QTR P&amp;L'!G12/'QTR P&amp;L'!G11,"")</f>
        <v/>
      </c>
      <c r="H6" s="13">
        <f>IFERROR('QTR P&amp;L'!H12/'QTR P&amp;L'!H11,"")</f>
        <v/>
      </c>
      <c r="I6" s="13">
        <f>IFERROR('QTR P&amp;L'!I12/'QTR P&amp;L'!I11,"")</f>
        <v/>
      </c>
      <c r="J6" s="13">
        <f>IFERROR('QTR P&amp;L'!J12/'QTR P&amp;L'!J11,"")</f>
        <v/>
      </c>
      <c r="K6" s="13">
        <f>IFERROR('QTR P&amp;L'!K12/'QTR P&amp;L'!K11,"")</f>
        <v/>
      </c>
      <c r="L6" s="13">
        <f>IFERROR('QTR P&amp;L'!L12/'QTR P&amp;L'!L11,"")</f>
        <v/>
      </c>
      <c r="M6" s="13">
        <f>IFERROR('QTR P&amp;L'!M12/'QTR P&amp;L'!M11,"")</f>
        <v/>
      </c>
      <c r="N6" s="13">
        <f>IFERROR('QTR P&amp;L'!N12/'QTR P&amp;L'!N11,"")</f>
        <v/>
      </c>
      <c r="O6" s="13">
        <f>IFERROR('QTR P&amp;L'!O12/'QTR P&amp;L'!O11,"")</f>
        <v/>
      </c>
      <c r="P6" s="13">
        <f>IFERROR('QTR P&amp;L'!P12/'QTR P&amp;L'!P11,"")</f>
        <v/>
      </c>
      <c r="Q6" s="13">
        <f>IFERROR('QTR P&amp;L'!Q12/'QTR P&amp;L'!Q11,"")</f>
        <v/>
      </c>
      <c r="R6" s="13">
        <f>IFERROR('QTR P&amp;L'!R12/'QTR P&amp;L'!R11,"")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Accounts Receivable — DSO (days)</t>
        </is>
      </c>
      <c r="B2" s="15">
        <f>IFERROR('QTR BS'!B4/'QTR P&amp;L'!B2*ASSUMPTIONS!$B$2,"")</f>
        <v/>
      </c>
      <c r="C2" s="15">
        <f>IFERROR('QTR BS'!C4/'QTR P&amp;L'!C2*ASSUMPTIONS!$B$2,"")</f>
        <v/>
      </c>
      <c r="D2" s="15">
        <f>IFERROR('QTR BS'!D4/'QTR P&amp;L'!D2*ASSUMPTIONS!$B$2,"")</f>
        <v/>
      </c>
      <c r="E2" s="15">
        <f>IFERROR('QTR BS'!E4/'QTR P&amp;L'!E2*ASSUMPTIONS!$B$2,"")</f>
        <v/>
      </c>
      <c r="F2" s="15">
        <f>IFERROR('QTR BS'!F4/'QTR P&amp;L'!F2*ASSUMPTIONS!$B$2,"")</f>
        <v/>
      </c>
      <c r="G2" s="15">
        <f>IFERROR('QTR BS'!G4/'QTR P&amp;L'!G2*ASSUMPTIONS!$B$2,"")</f>
        <v/>
      </c>
      <c r="H2" s="15">
        <f>IFERROR('QTR BS'!H4/'QTR P&amp;L'!H2*ASSUMPTIONS!$B$2,"")</f>
        <v/>
      </c>
      <c r="I2" s="15">
        <f>IFERROR('QTR BS'!I4/'QTR P&amp;L'!I2*ASSUMPTIONS!$B$2,"")</f>
        <v/>
      </c>
      <c r="J2" s="15">
        <f>IFERROR('QTR BS'!J4/'QTR P&amp;L'!J2*ASSUMPTIONS!$B$2,"")</f>
        <v/>
      </c>
      <c r="K2" s="15">
        <f>IFERROR('QTR BS'!K4/'QTR P&amp;L'!K2*ASSUMPTIONS!$B$2,"")</f>
        <v/>
      </c>
      <c r="L2" s="15">
        <f>IFERROR('QTR BS'!L4/'QTR P&amp;L'!L2*ASSUMPTIONS!$B$2,"")</f>
        <v/>
      </c>
      <c r="M2" s="15">
        <f>IFERROR('QTR BS'!M4/'QTR P&amp;L'!M2*ASSUMPTIONS!$B$2,"")</f>
        <v/>
      </c>
      <c r="N2" s="15">
        <f>IFERROR('QTR BS'!N4/'QTR P&amp;L'!N2*ASSUMPTIONS!$B$2,"")</f>
        <v/>
      </c>
      <c r="O2" s="15">
        <f>IFERROR('QTR BS'!O4/'QTR P&amp;L'!O2*ASSUMPTIONS!$B$2,"")</f>
        <v/>
      </c>
      <c r="P2" s="16">
        <f>O2</f>
        <v/>
      </c>
      <c r="Q2" s="16">
        <f>O2</f>
        <v/>
      </c>
      <c r="R2" s="16">
        <f>O2</f>
        <v/>
      </c>
      <c r="S2" s="16">
        <f>O2</f>
        <v/>
      </c>
      <c r="T2" s="16">
        <f>O2</f>
        <v/>
      </c>
      <c r="U2" s="16">
        <f>O2</f>
        <v/>
      </c>
      <c r="V2" s="16">
        <f>O2</f>
        <v/>
      </c>
      <c r="W2" s="16">
        <f>O2</f>
        <v/>
      </c>
      <c r="X2" s="16">
        <f>O2</f>
        <v/>
      </c>
      <c r="Y2" s="16">
        <f>O2</f>
        <v/>
      </c>
      <c r="Z2" s="16">
        <f>O2</f>
        <v/>
      </c>
      <c r="AA2" s="16">
        <f>O2</f>
        <v/>
      </c>
      <c r="AB2" s="16">
        <f>O2</f>
        <v/>
      </c>
      <c r="AC2" s="16">
        <f>O2</f>
        <v/>
      </c>
      <c r="AD2" s="16">
        <f>O2</f>
        <v/>
      </c>
      <c r="AE2" s="16">
        <f>O2</f>
        <v/>
      </c>
      <c r="AF2" s="16">
        <f>O2</f>
        <v/>
      </c>
      <c r="AG2" s="16">
        <f>O2</f>
        <v/>
      </c>
      <c r="AH2" s="16">
        <f>O2</f>
        <v/>
      </c>
    </row>
    <row r="3">
      <c r="A3" s="3" t="inlineStr">
        <is>
          <t>Inventories — DIO (days)</t>
        </is>
      </c>
      <c r="B3" s="15">
        <f>IFERROR('QTR BS'!B5/'QTR P&amp;L'!B3*ASSUMPTIONS!$B$2,"")</f>
        <v/>
      </c>
      <c r="C3" s="15">
        <f>IFERROR('QTR BS'!C5/'QTR P&amp;L'!C3*ASSUMPTIONS!$B$2,"")</f>
        <v/>
      </c>
      <c r="D3" s="15">
        <f>IFERROR('QTR BS'!D5/'QTR P&amp;L'!D3*ASSUMPTIONS!$B$2,"")</f>
        <v/>
      </c>
      <c r="E3" s="15">
        <f>IFERROR('QTR BS'!E5/'QTR P&amp;L'!E3*ASSUMPTIONS!$B$2,"")</f>
        <v/>
      </c>
      <c r="F3" s="15">
        <f>IFERROR('QTR BS'!F5/'QTR P&amp;L'!F3*ASSUMPTIONS!$B$2,"")</f>
        <v/>
      </c>
      <c r="G3" s="15">
        <f>IFERROR('QTR BS'!G5/'QTR P&amp;L'!G3*ASSUMPTIONS!$B$2,"")</f>
        <v/>
      </c>
      <c r="H3" s="15">
        <f>IFERROR('QTR BS'!H5/'QTR P&amp;L'!H3*ASSUMPTIONS!$B$2,"")</f>
        <v/>
      </c>
      <c r="I3" s="15">
        <f>IFERROR('QTR BS'!I5/'QTR P&amp;L'!I3*ASSUMPTIONS!$B$2,"")</f>
        <v/>
      </c>
      <c r="J3" s="15">
        <f>IFERROR('QTR BS'!J5/'QTR P&amp;L'!J3*ASSUMPTIONS!$B$2,"")</f>
        <v/>
      </c>
      <c r="K3" s="15">
        <f>IFERROR('QTR BS'!K5/'QTR P&amp;L'!K3*ASSUMPTIONS!$B$2,"")</f>
        <v/>
      </c>
      <c r="L3" s="15">
        <f>IFERROR('QTR BS'!L5/'QTR P&amp;L'!L3*ASSUMPTIONS!$B$2,"")</f>
        <v/>
      </c>
      <c r="M3" s="15">
        <f>IFERROR('QTR BS'!M5/'QTR P&amp;L'!M3*ASSUMPTIONS!$B$2,"")</f>
        <v/>
      </c>
      <c r="N3" s="15">
        <f>IFERROR('QTR BS'!N5/'QTR P&amp;L'!N3*ASSUMPTIONS!$B$2,"")</f>
        <v/>
      </c>
      <c r="O3" s="15">
        <f>IFERROR('QTR BS'!O5/'QTR P&amp;L'!O3*ASSUMPTIONS!$B$2,"")</f>
        <v/>
      </c>
      <c r="P3" s="16">
        <f>O3</f>
        <v/>
      </c>
      <c r="Q3" s="16">
        <f>O3</f>
        <v/>
      </c>
      <c r="R3" s="16">
        <f>O3</f>
        <v/>
      </c>
      <c r="S3" s="16">
        <f>O3</f>
        <v/>
      </c>
      <c r="T3" s="16">
        <f>O3</f>
        <v/>
      </c>
      <c r="U3" s="16">
        <f>O3</f>
        <v/>
      </c>
      <c r="V3" s="16">
        <f>O3</f>
        <v/>
      </c>
      <c r="W3" s="16">
        <f>O3</f>
        <v/>
      </c>
      <c r="X3" s="16">
        <f>O3</f>
        <v/>
      </c>
      <c r="Y3" s="16">
        <f>O3</f>
        <v/>
      </c>
      <c r="Z3" s="16">
        <f>O3</f>
        <v/>
      </c>
      <c r="AA3" s="16">
        <f>O3</f>
        <v/>
      </c>
      <c r="AB3" s="16">
        <f>O3</f>
        <v/>
      </c>
      <c r="AC3" s="16">
        <f>O3</f>
        <v/>
      </c>
      <c r="AD3" s="16">
        <f>O3</f>
        <v/>
      </c>
      <c r="AE3" s="16">
        <f>O3</f>
        <v/>
      </c>
      <c r="AF3" s="16">
        <f>O3</f>
        <v/>
      </c>
      <c r="AG3" s="16">
        <f>O3</f>
        <v/>
      </c>
      <c r="AH3" s="16">
        <f>O3</f>
        <v/>
      </c>
    </row>
    <row r="4">
      <c r="A4" s="3" t="inlineStr">
        <is>
          <t>Prepaid Expenses — % of Revenue</t>
        </is>
      </c>
      <c r="B4" s="13">
        <f>IFERROR('QTR BS'!B6/'QTR P&amp;L'!B2,"")</f>
        <v/>
      </c>
      <c r="C4" s="13">
        <f>IFERROR('QTR BS'!C6/'QTR P&amp;L'!C2,"")</f>
        <v/>
      </c>
      <c r="D4" s="13">
        <f>IFERROR('QTR BS'!D6/'QTR P&amp;L'!D2,"")</f>
        <v/>
      </c>
      <c r="E4" s="13">
        <f>IFERROR('QTR BS'!E6/'QTR P&amp;L'!E2,"")</f>
        <v/>
      </c>
      <c r="F4" s="13">
        <f>IFERROR('QTR BS'!F6/'QTR P&amp;L'!F2,"")</f>
        <v/>
      </c>
      <c r="G4" s="13">
        <f>IFERROR('QTR BS'!G6/'QTR P&amp;L'!G2,"")</f>
        <v/>
      </c>
      <c r="H4" s="13">
        <f>IFERROR('QTR BS'!H6/'QTR P&amp;L'!H2,"")</f>
        <v/>
      </c>
      <c r="I4" s="13">
        <f>IFERROR('QTR BS'!I6/'QTR P&amp;L'!I2,"")</f>
        <v/>
      </c>
      <c r="J4" s="13">
        <f>IFERROR('QTR BS'!J6/'QTR P&amp;L'!J2,"")</f>
        <v/>
      </c>
      <c r="K4" s="13">
        <f>IFERROR('QTR BS'!K6/'QTR P&amp;L'!K2,"")</f>
        <v/>
      </c>
      <c r="L4" s="13">
        <f>IFERROR('QTR BS'!L6/'QTR P&amp;L'!L2,"")</f>
        <v/>
      </c>
      <c r="M4" s="13">
        <f>IFERROR('QTR BS'!M6/'QTR P&amp;L'!M2,"")</f>
        <v/>
      </c>
      <c r="N4" s="13">
        <f>IFERROR('QTR BS'!N6/'QTR P&amp;L'!N2,"")</f>
        <v/>
      </c>
      <c r="O4" s="13">
        <f>IFERROR('QTR BS'!O6/'QTR P&amp;L'!O2,"")</f>
        <v/>
      </c>
      <c r="P4" s="14">
        <f>O4</f>
        <v/>
      </c>
      <c r="Q4" s="14">
        <f>O4</f>
        <v/>
      </c>
      <c r="R4" s="14">
        <f>O4</f>
        <v/>
      </c>
      <c r="S4" s="14">
        <f>O4</f>
        <v/>
      </c>
      <c r="T4" s="14">
        <f>O4</f>
        <v/>
      </c>
      <c r="U4" s="14">
        <f>O4</f>
        <v/>
      </c>
      <c r="V4" s="14">
        <f>O4</f>
        <v/>
      </c>
      <c r="W4" s="14">
        <f>O4</f>
        <v/>
      </c>
      <c r="X4" s="14">
        <f>O4</f>
        <v/>
      </c>
      <c r="Y4" s="14">
        <f>O4</f>
        <v/>
      </c>
      <c r="Z4" s="14">
        <f>O4</f>
        <v/>
      </c>
      <c r="AA4" s="14">
        <f>O4</f>
        <v/>
      </c>
      <c r="AB4" s="14">
        <f>O4</f>
        <v/>
      </c>
      <c r="AC4" s="14">
        <f>O4</f>
        <v/>
      </c>
      <c r="AD4" s="14">
        <f>O4</f>
        <v/>
      </c>
      <c r="AE4" s="14">
        <f>O4</f>
        <v/>
      </c>
      <c r="AF4" s="14">
        <f>O4</f>
        <v/>
      </c>
      <c r="AG4" s="14">
        <f>O4</f>
        <v/>
      </c>
      <c r="AH4" s="14">
        <f>O4</f>
        <v/>
      </c>
    </row>
    <row r="5">
      <c r="A5" s="3" t="inlineStr">
        <is>
          <t>Other Non-Current Assets — % of Revenue</t>
        </is>
      </c>
      <c r="B5" s="13">
        <f>IFERROR('QTR BS'!B13/'QTR P&amp;L'!B2,"")</f>
        <v/>
      </c>
      <c r="C5" s="13">
        <f>IFERROR('QTR BS'!C13/'QTR P&amp;L'!C2,"")</f>
        <v/>
      </c>
      <c r="D5" s="13">
        <f>IFERROR('QTR BS'!D13/'QTR P&amp;L'!D2,"")</f>
        <v/>
      </c>
      <c r="E5" s="13">
        <f>IFERROR('QTR BS'!E13/'QTR P&amp;L'!E2,"")</f>
        <v/>
      </c>
      <c r="F5" s="13">
        <f>IFERROR('QTR BS'!F13/'QTR P&amp;L'!F2,"")</f>
        <v/>
      </c>
      <c r="G5" s="13">
        <f>IFERROR('QTR BS'!G13/'QTR P&amp;L'!G2,"")</f>
        <v/>
      </c>
      <c r="H5" s="13">
        <f>IFERROR('QTR BS'!H13/'QTR P&amp;L'!H2,"")</f>
        <v/>
      </c>
      <c r="I5" s="13">
        <f>IFERROR('QTR BS'!I13/'QTR P&amp;L'!I2,"")</f>
        <v/>
      </c>
      <c r="J5" s="13">
        <f>IFERROR('QTR BS'!J13/'QTR P&amp;L'!J2,"")</f>
        <v/>
      </c>
      <c r="K5" s="13">
        <f>IFERROR('QTR BS'!K13/'QTR P&amp;L'!K2,"")</f>
        <v/>
      </c>
      <c r="L5" s="13">
        <f>IFERROR('QTR BS'!L13/'QTR P&amp;L'!L2,"")</f>
        <v/>
      </c>
      <c r="M5" s="13">
        <f>IFERROR('QTR BS'!M13/'QTR P&amp;L'!M2,"")</f>
        <v/>
      </c>
      <c r="N5" s="13">
        <f>IFERROR('QTR BS'!N13/'QTR P&amp;L'!N2,"")</f>
        <v/>
      </c>
      <c r="O5" s="13">
        <f>IFERROR('QTR BS'!O13/'QTR P&amp;L'!O2,"")</f>
        <v/>
      </c>
      <c r="P5" s="14">
        <f>O5</f>
        <v/>
      </c>
      <c r="Q5" s="14">
        <f>O5</f>
        <v/>
      </c>
      <c r="R5" s="14">
        <f>O5</f>
        <v/>
      </c>
      <c r="S5" s="14">
        <f>O5</f>
        <v/>
      </c>
      <c r="T5" s="14">
        <f>O5</f>
        <v/>
      </c>
      <c r="U5" s="14">
        <f>O5</f>
        <v/>
      </c>
      <c r="V5" s="14">
        <f>O5</f>
        <v/>
      </c>
      <c r="W5" s="14">
        <f>O5</f>
        <v/>
      </c>
      <c r="X5" s="14">
        <f>O5</f>
        <v/>
      </c>
      <c r="Y5" s="14">
        <f>O5</f>
        <v/>
      </c>
      <c r="Z5" s="14">
        <f>O5</f>
        <v/>
      </c>
      <c r="AA5" s="14">
        <f>O5</f>
        <v/>
      </c>
      <c r="AB5" s="14">
        <f>O5</f>
        <v/>
      </c>
      <c r="AC5" s="14">
        <f>O5</f>
        <v/>
      </c>
      <c r="AD5" s="14">
        <f>O5</f>
        <v/>
      </c>
      <c r="AE5" s="14">
        <f>O5</f>
        <v/>
      </c>
      <c r="AF5" s="14">
        <f>O5</f>
        <v/>
      </c>
      <c r="AG5" s="14">
        <f>O5</f>
        <v/>
      </c>
      <c r="AH5" s="14">
        <f>O5</f>
        <v/>
      </c>
    </row>
    <row r="6">
      <c r="A6" s="3" t="inlineStr">
        <is>
          <t>Accrued Expenses — % of Revenue</t>
        </is>
      </c>
      <c r="B6" s="13">
        <f>IFERROR('QTR BS'!B16/'QTR P&amp;L'!B2,"")</f>
        <v/>
      </c>
      <c r="C6" s="13">
        <f>IFERROR('QTR BS'!C16/'QTR P&amp;L'!C2,"")</f>
        <v/>
      </c>
      <c r="D6" s="13">
        <f>IFERROR('QTR BS'!D16/'QTR P&amp;L'!D2,"")</f>
        <v/>
      </c>
      <c r="E6" s="13">
        <f>IFERROR('QTR BS'!E16/'QTR P&amp;L'!E2,"")</f>
        <v/>
      </c>
      <c r="F6" s="13">
        <f>IFERROR('QTR BS'!F16/'QTR P&amp;L'!F2,"")</f>
        <v/>
      </c>
      <c r="G6" s="13">
        <f>IFERROR('QTR BS'!G16/'QTR P&amp;L'!G2,"")</f>
        <v/>
      </c>
      <c r="H6" s="13">
        <f>IFERROR('QTR BS'!H16/'QTR P&amp;L'!H2,"")</f>
        <v/>
      </c>
      <c r="I6" s="13">
        <f>IFERROR('QTR BS'!I16/'QTR P&amp;L'!I2,"")</f>
        <v/>
      </c>
      <c r="J6" s="13">
        <f>IFERROR('QTR BS'!J16/'QTR P&amp;L'!J2,"")</f>
        <v/>
      </c>
      <c r="K6" s="13">
        <f>IFERROR('QTR BS'!K16/'QTR P&amp;L'!K2,"")</f>
        <v/>
      </c>
      <c r="L6" s="13">
        <f>IFERROR('QTR BS'!L16/'QTR P&amp;L'!L2,"")</f>
        <v/>
      </c>
      <c r="M6" s="13">
        <f>IFERROR('QTR BS'!M16/'QTR P&amp;L'!M2,"")</f>
        <v/>
      </c>
      <c r="N6" s="13">
        <f>IFERROR('QTR BS'!N16/'QTR P&amp;L'!N2,"")</f>
        <v/>
      </c>
      <c r="O6" s="13">
        <f>IFERROR('QTR BS'!O16/'QTR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Other Non-Current Liabilities — % of Revenue</t>
        </is>
      </c>
      <c r="B7" s="13">
        <f>IFERROR('QTR BS'!B20/'QTR P&amp;L'!B2,"")</f>
        <v/>
      </c>
      <c r="C7" s="13">
        <f>IFERROR('QTR BS'!C20/'QTR P&amp;L'!C2,"")</f>
        <v/>
      </c>
      <c r="D7" s="13">
        <f>IFERROR('QTR BS'!D20/'QTR P&amp;L'!D2,"")</f>
        <v/>
      </c>
      <c r="E7" s="13">
        <f>IFERROR('QTR BS'!E20/'QTR P&amp;L'!E2,"")</f>
        <v/>
      </c>
      <c r="F7" s="13">
        <f>IFERROR('QTR BS'!F20/'QTR P&amp;L'!F2,"")</f>
        <v/>
      </c>
      <c r="G7" s="13">
        <f>IFERROR('QTR BS'!G20/'QTR P&amp;L'!G2,"")</f>
        <v/>
      </c>
      <c r="H7" s="13">
        <f>IFERROR('QTR BS'!H20/'QTR P&amp;L'!H2,"")</f>
        <v/>
      </c>
      <c r="I7" s="13">
        <f>IFERROR('QTR BS'!I20/'QTR P&amp;L'!I2,"")</f>
        <v/>
      </c>
      <c r="J7" s="13">
        <f>IFERROR('QTR BS'!J20/'QTR P&amp;L'!J2,"")</f>
        <v/>
      </c>
      <c r="K7" s="13">
        <f>IFERROR('QTR BS'!K20/'QTR P&amp;L'!K2,"")</f>
        <v/>
      </c>
      <c r="L7" s="13">
        <f>IFERROR('QTR BS'!L20/'QTR P&amp;L'!L2,"")</f>
        <v/>
      </c>
      <c r="M7" s="13">
        <f>IFERROR('QTR BS'!M20/'QTR P&amp;L'!M2,"")</f>
        <v/>
      </c>
      <c r="N7" s="13">
        <f>IFERROR('QTR BS'!N20/'QTR P&amp;L'!N2,"")</f>
        <v/>
      </c>
      <c r="O7" s="13">
        <f>IFERROR('QTR BS'!O20/'QTR P&amp;L'!O2,"")</f>
        <v/>
      </c>
      <c r="P7" s="14">
        <f>O7</f>
        <v/>
      </c>
      <c r="Q7" s="14">
        <f>O7</f>
        <v/>
      </c>
      <c r="R7" s="14">
        <f>O7</f>
        <v/>
      </c>
      <c r="S7" s="14">
        <f>O7</f>
        <v/>
      </c>
      <c r="T7" s="14">
        <f>O7</f>
        <v/>
      </c>
      <c r="U7" s="14">
        <f>O7</f>
        <v/>
      </c>
      <c r="V7" s="14">
        <f>O7</f>
        <v/>
      </c>
      <c r="W7" s="14">
        <f>O7</f>
        <v/>
      </c>
      <c r="X7" s="14">
        <f>O7</f>
        <v/>
      </c>
      <c r="Y7" s="14">
        <f>O7</f>
        <v/>
      </c>
      <c r="Z7" s="14">
        <f>O7</f>
        <v/>
      </c>
      <c r="AA7" s="14">
        <f>O7</f>
        <v/>
      </c>
      <c r="AB7" s="14">
        <f>O7</f>
        <v/>
      </c>
      <c r="AC7" s="14">
        <f>O7</f>
        <v/>
      </c>
      <c r="AD7" s="14">
        <f>O7</f>
        <v/>
      </c>
      <c r="AE7" s="14">
        <f>O7</f>
        <v/>
      </c>
      <c r="AF7" s="14">
        <f>O7</f>
        <v/>
      </c>
      <c r="AG7" s="14">
        <f>O7</f>
        <v/>
      </c>
      <c r="AH7" s="14">
        <f>O7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Depreciation &amp; Amortization — % of Revenue</t>
        </is>
      </c>
      <c r="B2" s="13">
        <f>IFERROR('QTR CF'!B3/'QTR P&amp;L'!B2,"")</f>
        <v/>
      </c>
      <c r="C2" s="13">
        <f>IFERROR('QTR CF'!C3/'QTR P&amp;L'!C2,"")</f>
        <v/>
      </c>
      <c r="D2" s="13">
        <f>IFERROR('QTR CF'!D3/'QTR P&amp;L'!D2,"")</f>
        <v/>
      </c>
      <c r="E2" s="13">
        <f>IFERROR('QTR CF'!E3/'QTR P&amp;L'!E2,"")</f>
        <v/>
      </c>
      <c r="F2" s="13">
        <f>IFERROR('QTR CF'!F3/'QTR P&amp;L'!F2,"")</f>
        <v/>
      </c>
      <c r="G2" s="13">
        <f>IFERROR('QTR CF'!G3/'QTR P&amp;L'!G2,"")</f>
        <v/>
      </c>
      <c r="H2" s="13">
        <f>IFERROR('QTR CF'!H3/'QTR P&amp;L'!H2,"")</f>
        <v/>
      </c>
      <c r="I2" s="13">
        <f>IFERROR('QTR CF'!I3/'QTR P&amp;L'!I2,"")</f>
        <v/>
      </c>
      <c r="J2" s="13">
        <f>IFERROR('QTR CF'!J3/'QTR P&amp;L'!J2,"")</f>
        <v/>
      </c>
      <c r="K2" s="13">
        <f>IFERROR('QTR CF'!K3/'QTR P&amp;L'!K2,"")</f>
        <v/>
      </c>
      <c r="L2" s="13">
        <f>IFERROR('QTR CF'!L3/'QTR P&amp;L'!L2,"")</f>
        <v/>
      </c>
      <c r="M2" s="13">
        <f>IFERROR('QTR CF'!M3/'QTR P&amp;L'!M2,"")</f>
        <v/>
      </c>
      <c r="N2" s="13">
        <f>IFERROR('QTR CF'!N3/'QTR P&amp;L'!N2,"")</f>
        <v/>
      </c>
      <c r="O2" s="13">
        <f>IFERROR('QTR CF'!O3/'QTR P&amp;L'!O2,"")</f>
        <v/>
      </c>
      <c r="P2" s="13">
        <f>IFERROR('QTR CF'!P3/'QTR P&amp;L'!P2,"")</f>
        <v/>
      </c>
      <c r="Q2" s="13">
        <f>IFERROR('QTR CF'!Q3/'QTR P&amp;L'!Q2,"")</f>
        <v/>
      </c>
      <c r="R2" s="13">
        <f>IFERROR('QTR CF'!R3/'QTR P&amp;L'!R2,"")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Operating Lease ROU Asset Amortization — % of Revenue</t>
        </is>
      </c>
      <c r="B3" s="13">
        <f>IFERROR('QTR CF'!B8/'QTR P&amp;L'!B2,"")</f>
        <v/>
      </c>
      <c r="C3" s="13">
        <f>IFERROR('QTR CF'!C8/'QTR P&amp;L'!C2,"")</f>
        <v/>
      </c>
      <c r="D3" s="13">
        <f>IFERROR('QTR CF'!D8/'QTR P&amp;L'!D2,"")</f>
        <v/>
      </c>
      <c r="E3" s="13">
        <f>IFERROR('QTR CF'!E8/'QTR P&amp;L'!E2,"")</f>
        <v/>
      </c>
      <c r="F3" s="13">
        <f>IFERROR('QTR CF'!F8/'QTR P&amp;L'!F2,"")</f>
        <v/>
      </c>
      <c r="G3" s="13">
        <f>IFERROR('QTR CF'!G8/'QTR P&amp;L'!G2,"")</f>
        <v/>
      </c>
      <c r="H3" s="13">
        <f>IFERROR('QTR CF'!H8/'QTR P&amp;L'!H2,"")</f>
        <v/>
      </c>
      <c r="I3" s="13">
        <f>IFERROR('QTR CF'!I8/'QTR P&amp;L'!I2,"")</f>
        <v/>
      </c>
      <c r="J3" s="13">
        <f>IFERROR('QTR CF'!J8/'QTR P&amp;L'!J2,"")</f>
        <v/>
      </c>
      <c r="K3" s="13">
        <f>IFERROR('QTR CF'!K8/'QTR P&amp;L'!K2,"")</f>
        <v/>
      </c>
      <c r="L3" s="13">
        <f>IFERROR('QTR CF'!L8/'QTR P&amp;L'!L2,"")</f>
        <v/>
      </c>
      <c r="M3" s="13">
        <f>IFERROR('QTR CF'!M8/'QTR P&amp;L'!M2,"")</f>
        <v/>
      </c>
      <c r="N3" s="13">
        <f>IFERROR('QTR CF'!N8/'QTR P&amp;L'!N2,"")</f>
        <v/>
      </c>
      <c r="O3" s="13">
        <f>IFERROR('QTR CF'!O8/'QTR P&amp;L'!O2,"")</f>
        <v/>
      </c>
      <c r="P3" s="13">
        <f>IFERROR('QTR CF'!P8/'QTR P&amp;L'!P2,"")</f>
        <v/>
      </c>
      <c r="Q3" s="13">
        <f>IFERROR('QTR CF'!Q8/'QTR P&amp;L'!Q2,"")</f>
        <v/>
      </c>
      <c r="R3" s="13">
        <f>IFERROR('QTR CF'!R8/'QTR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Stock-Based Compensation — % of Revenue</t>
        </is>
      </c>
      <c r="B4" s="13">
        <f>IFERROR('QTR CF'!B9/'QTR P&amp;L'!B2,"")</f>
        <v/>
      </c>
      <c r="C4" s="13">
        <f>IFERROR('QTR CF'!C9/'QTR P&amp;L'!C2,"")</f>
        <v/>
      </c>
      <c r="D4" s="13">
        <f>IFERROR('QTR CF'!D9/'QTR P&amp;L'!D2,"")</f>
        <v/>
      </c>
      <c r="E4" s="13">
        <f>IFERROR('QTR CF'!E9/'QTR P&amp;L'!E2,"")</f>
        <v/>
      </c>
      <c r="F4" s="13">
        <f>IFERROR('QTR CF'!F9/'QTR P&amp;L'!F2,"")</f>
        <v/>
      </c>
      <c r="G4" s="13">
        <f>IFERROR('QTR CF'!G9/'QTR P&amp;L'!G2,"")</f>
        <v/>
      </c>
      <c r="H4" s="13">
        <f>IFERROR('QTR CF'!H9/'QTR P&amp;L'!H2,"")</f>
        <v/>
      </c>
      <c r="I4" s="13">
        <f>IFERROR('QTR CF'!I9/'QTR P&amp;L'!I2,"")</f>
        <v/>
      </c>
      <c r="J4" s="13">
        <f>IFERROR('QTR CF'!J9/'QTR P&amp;L'!J2,"")</f>
        <v/>
      </c>
      <c r="K4" s="13">
        <f>IFERROR('QTR CF'!K9/'QTR P&amp;L'!K2,"")</f>
        <v/>
      </c>
      <c r="L4" s="13">
        <f>IFERROR('QTR CF'!L9/'QTR P&amp;L'!L2,"")</f>
        <v/>
      </c>
      <c r="M4" s="13">
        <f>IFERROR('QTR CF'!M9/'QTR P&amp;L'!M2,"")</f>
        <v/>
      </c>
      <c r="N4" s="13">
        <f>IFERROR('QTR CF'!N9/'QTR P&amp;L'!N2,"")</f>
        <v/>
      </c>
      <c r="O4" s="13">
        <f>IFERROR('QTR CF'!O9/'QTR P&amp;L'!O2,"")</f>
        <v/>
      </c>
      <c r="P4" s="13">
        <f>IFERROR('QTR CF'!P9/'QTR P&amp;L'!P2,"")</f>
        <v/>
      </c>
      <c r="Q4" s="13">
        <f>IFERROR('QTR CF'!Q9/'QTR P&amp;L'!Q2,"")</f>
        <v/>
      </c>
      <c r="R4" s="13">
        <f>IFERROR('QTR CF'!R9/'QTR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Other Operating Items — % of Revenue</t>
        </is>
      </c>
      <c r="B5" s="13">
        <f>IFERROR('QTR CF'!B24/'QTR P&amp;L'!B2,"")</f>
        <v/>
      </c>
      <c r="C5" s="13">
        <f>IFERROR('QTR CF'!C24/'QTR P&amp;L'!C2,"")</f>
        <v/>
      </c>
      <c r="D5" s="13">
        <f>IFERROR('QTR CF'!D24/'QTR P&amp;L'!D2,"")</f>
        <v/>
      </c>
      <c r="E5" s="13">
        <f>IFERROR('QTR CF'!E24/'QTR P&amp;L'!E2,"")</f>
        <v/>
      </c>
      <c r="F5" s="13">
        <f>IFERROR('QTR CF'!F24/'QTR P&amp;L'!F2,"")</f>
        <v/>
      </c>
      <c r="G5" s="13">
        <f>IFERROR('QTR CF'!G24/'QTR P&amp;L'!G2,"")</f>
        <v/>
      </c>
      <c r="H5" s="13">
        <f>IFERROR('QTR CF'!H24/'QTR P&amp;L'!H2,"")</f>
        <v/>
      </c>
      <c r="I5" s="13">
        <f>IFERROR('QTR CF'!I24/'QTR P&amp;L'!I2,"")</f>
        <v/>
      </c>
      <c r="J5" s="13">
        <f>IFERROR('QTR CF'!J24/'QTR P&amp;L'!J2,"")</f>
        <v/>
      </c>
      <c r="K5" s="13">
        <f>IFERROR('QTR CF'!K24/'QTR P&amp;L'!K2,"")</f>
        <v/>
      </c>
      <c r="L5" s="13">
        <f>IFERROR('QTR CF'!L24/'QTR P&amp;L'!L2,"")</f>
        <v/>
      </c>
      <c r="M5" s="13">
        <f>IFERROR('QTR CF'!M24/'QTR P&amp;L'!M2,"")</f>
        <v/>
      </c>
      <c r="N5" s="13">
        <f>IFERROR('QTR CF'!N24/'QTR P&amp;L'!N2,"")</f>
        <v/>
      </c>
      <c r="O5" s="13">
        <f>IFERROR('QTR CF'!O24/'QTR P&amp;L'!O2,"")</f>
        <v/>
      </c>
      <c r="P5" s="13">
        <f>IFERROR('QTR CF'!P24/'QTR P&amp;L'!P2,"")</f>
        <v/>
      </c>
      <c r="Q5" s="13">
        <f>IFERROR('QTR CF'!Q24/'QTR P&amp;L'!Q2,"")</f>
        <v/>
      </c>
      <c r="R5" s="13">
        <f>IFERROR('QTR CF'!R24/'QTR P&amp;L'!R2,"")</f>
        <v/>
      </c>
      <c r="S5" s="14">
        <f>R5</f>
        <v/>
      </c>
      <c r="T5" s="14">
        <f>R5</f>
        <v/>
      </c>
      <c r="U5" s="14">
        <f>R5</f>
        <v/>
      </c>
      <c r="V5" s="14">
        <f>R5</f>
        <v/>
      </c>
      <c r="W5" s="14">
        <f>R5</f>
        <v/>
      </c>
      <c r="X5" s="14">
        <f>R5</f>
        <v/>
      </c>
      <c r="Y5" s="14">
        <f>R5</f>
        <v/>
      </c>
      <c r="Z5" s="14">
        <f>R5</f>
        <v/>
      </c>
      <c r="AA5" s="14">
        <f>R5</f>
        <v/>
      </c>
      <c r="AB5" s="14">
        <f>R5</f>
        <v/>
      </c>
      <c r="AC5" s="14">
        <f>R5</f>
        <v/>
      </c>
      <c r="AD5" s="14">
        <f>R5</f>
        <v/>
      </c>
      <c r="AE5" s="14">
        <f>R5</f>
        <v/>
      </c>
      <c r="AF5" s="14">
        <f>R5</f>
        <v/>
      </c>
      <c r="AG5" s="14">
        <f>R5</f>
        <v/>
      </c>
      <c r="AH5" s="14">
        <f>R5</f>
        <v/>
      </c>
      <c r="AI5" s="14">
        <f>R5</f>
        <v/>
      </c>
      <c r="AJ5" s="14">
        <f>R5</f>
        <v/>
      </c>
      <c r="AK5" s="14">
        <f>R5</f>
        <v/>
      </c>
    </row>
    <row r="6">
      <c r="A6" s="3" t="inlineStr">
        <is>
          <t>Purchase of PP&amp;E — % of Revenue</t>
        </is>
      </c>
      <c r="B6" s="13">
        <f>IFERROR('QTR CF'!B26/'QTR P&amp;L'!B2,"")</f>
        <v/>
      </c>
      <c r="C6" s="13">
        <f>IFERROR('QTR CF'!C26/'QTR P&amp;L'!C2,"")</f>
        <v/>
      </c>
      <c r="D6" s="13">
        <f>IFERROR('QTR CF'!D26/'QTR P&amp;L'!D2,"")</f>
        <v/>
      </c>
      <c r="E6" s="13">
        <f>IFERROR('QTR CF'!E26/'QTR P&amp;L'!E2,"")</f>
        <v/>
      </c>
      <c r="F6" s="13">
        <f>IFERROR('QTR CF'!F26/'QTR P&amp;L'!F2,"")</f>
        <v/>
      </c>
      <c r="G6" s="13">
        <f>IFERROR('QTR CF'!G26/'QTR P&amp;L'!G2,"")</f>
        <v/>
      </c>
      <c r="H6" s="13">
        <f>IFERROR('QTR CF'!H26/'QTR P&amp;L'!H2,"")</f>
        <v/>
      </c>
      <c r="I6" s="13">
        <f>IFERROR('QTR CF'!I26/'QTR P&amp;L'!I2,"")</f>
        <v/>
      </c>
      <c r="J6" s="13">
        <f>IFERROR('QTR CF'!J26/'QTR P&amp;L'!J2,"")</f>
        <v/>
      </c>
      <c r="K6" s="13">
        <f>IFERROR('QTR CF'!K26/'QTR P&amp;L'!K2,"")</f>
        <v/>
      </c>
      <c r="L6" s="13">
        <f>IFERROR('QTR CF'!L26/'QTR P&amp;L'!L2,"")</f>
        <v/>
      </c>
      <c r="M6" s="13">
        <f>IFERROR('QTR CF'!M26/'QTR P&amp;L'!M2,"")</f>
        <v/>
      </c>
      <c r="N6" s="13">
        <f>IFERROR('QTR CF'!N26/'QTR P&amp;L'!N2,"")</f>
        <v/>
      </c>
      <c r="O6" s="13">
        <f>IFERROR('QTR CF'!O26/'QTR P&amp;L'!O2,"")</f>
        <v/>
      </c>
      <c r="P6" s="13">
        <f>IFERROR('QTR CF'!P26/'QTR P&amp;L'!P2,"")</f>
        <v/>
      </c>
      <c r="Q6" s="13">
        <f>IFERROR('QTR CF'!Q26/'QTR P&amp;L'!Q2,"")</f>
        <v/>
      </c>
      <c r="R6" s="13">
        <f>IFERROR('QTR CF'!R26/'QTR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Common Dividends — % of Net Income</t>
        </is>
      </c>
      <c r="B7" s="13">
        <f>IFERROR('QTR CF'!B39/'QTR P&amp;L'!B13,"")</f>
        <v/>
      </c>
      <c r="C7" s="13">
        <f>IFERROR('QTR CF'!C39/'QTR P&amp;L'!C13,"")</f>
        <v/>
      </c>
      <c r="D7" s="13">
        <f>IFERROR('QTR CF'!D39/'QTR P&amp;L'!D13,"")</f>
        <v/>
      </c>
      <c r="E7" s="13">
        <f>IFERROR('QTR CF'!E39/'QTR P&amp;L'!E13,"")</f>
        <v/>
      </c>
      <c r="F7" s="13">
        <f>IFERROR('QTR CF'!F39/'QTR P&amp;L'!F13,"")</f>
        <v/>
      </c>
      <c r="G7" s="13">
        <f>IFERROR('QTR CF'!G39/'QTR P&amp;L'!G13,"")</f>
        <v/>
      </c>
      <c r="H7" s="13">
        <f>IFERROR('QTR CF'!H39/'QTR P&amp;L'!H13,"")</f>
        <v/>
      </c>
      <c r="I7" s="13">
        <f>IFERROR('QTR CF'!I39/'QTR P&amp;L'!I13,"")</f>
        <v/>
      </c>
      <c r="J7" s="13">
        <f>IFERROR('QTR CF'!J39/'QTR P&amp;L'!J13,"")</f>
        <v/>
      </c>
      <c r="K7" s="13">
        <f>IFERROR('QTR CF'!K39/'QTR P&amp;L'!K13,"")</f>
        <v/>
      </c>
      <c r="L7" s="13">
        <f>IFERROR('QTR CF'!L39/'QTR P&amp;L'!L13,"")</f>
        <v/>
      </c>
      <c r="M7" s="13">
        <f>IFERROR('QTR CF'!M39/'QTR P&amp;L'!M13,"")</f>
        <v/>
      </c>
      <c r="N7" s="13">
        <f>IFERROR('QTR CF'!N39/'QTR P&amp;L'!N13,"")</f>
        <v/>
      </c>
      <c r="O7" s="13">
        <f>IFERROR('QTR CF'!O39/'QTR P&amp;L'!O13,"")</f>
        <v/>
      </c>
      <c r="P7" s="13">
        <f>IFERROR('QTR CF'!P39/'QTR P&amp;L'!P13,"")</f>
        <v/>
      </c>
      <c r="Q7" s="13">
        <f>IFERROR('QTR CF'!Q39/'QTR P&amp;L'!Q13,"")</f>
        <v/>
      </c>
      <c r="R7" s="13">
        <f>IFERROR('QTR CF'!R39/'QTR P&amp;L'!R13,"")</f>
        <v/>
      </c>
      <c r="S7" s="14">
        <f>R7</f>
        <v/>
      </c>
      <c r="T7" s="14">
        <f>R7</f>
        <v/>
      </c>
      <c r="U7" s="14">
        <f>R7</f>
        <v/>
      </c>
      <c r="V7" s="14">
        <f>R7</f>
        <v/>
      </c>
      <c r="W7" s="14">
        <f>R7</f>
        <v/>
      </c>
      <c r="X7" s="14">
        <f>R7</f>
        <v/>
      </c>
      <c r="Y7" s="14">
        <f>R7</f>
        <v/>
      </c>
      <c r="Z7" s="14">
        <f>R7</f>
        <v/>
      </c>
      <c r="AA7" s="14">
        <f>R7</f>
        <v/>
      </c>
      <c r="AB7" s="14">
        <f>R7</f>
        <v/>
      </c>
      <c r="AC7" s="14">
        <f>R7</f>
        <v/>
      </c>
      <c r="AD7" s="14">
        <f>R7</f>
        <v/>
      </c>
      <c r="AE7" s="14">
        <f>R7</f>
        <v/>
      </c>
      <c r="AF7" s="14">
        <f>R7</f>
        <v/>
      </c>
      <c r="AG7" s="14">
        <f>R7</f>
        <v/>
      </c>
      <c r="AH7" s="14">
        <f>R7</f>
        <v/>
      </c>
      <c r="AI7" s="14">
        <f>R7</f>
        <v/>
      </c>
      <c r="AJ7" s="14">
        <f>R7</f>
        <v/>
      </c>
      <c r="AK7" s="14">
        <f>R7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2026-04-28T02:21:36Z</dcterms:created>
  <dcterms:modified xmlns:dcterms="http://purl.org/dc/terms/" xmlns:xsi="http://www.w3.org/2001/XMLSchema-instance" xsi:type="dcterms:W3CDTF">2026-04-28T02:21:38Z</dcterms:modified>
</cp:coreProperties>
</file>