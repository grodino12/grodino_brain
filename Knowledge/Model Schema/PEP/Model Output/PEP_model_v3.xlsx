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IS DRIVERS" sheetId="5" state="visible" r:id="rId5"/>
    <sheet xmlns:r="http://schemas.openxmlformats.org/officeDocument/2006/relationships" name="BS DRIVERS" sheetId="6" state="visible" r:id="rId6"/>
    <sheet xmlns:r="http://schemas.openxmlformats.org/officeDocument/2006/relationships" name="CF DRIVERS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;(0.0);&quot;--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7" fontId="0" fillId="3" borderId="0" pivotButton="0" quotePrefix="0" xfId="0"/>
    <xf numFmtId="0" fontId="3" fillId="5" borderId="0" pivotButton="0" quotePrefix="0" xfId="0"/>
    <xf numFmtId="0" fontId="0" fillId="5" borderId="0" pivotButton="0" quotePrefix="0" xfId="0"/>
    <xf numFmtId="168" fontId="0" fillId="0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Year</t>
        </is>
      </c>
      <c r="B2" s="10" t="n">
        <v>365</v>
      </c>
      <c r="C2" t="inlineStr">
        <is>
          <t>Used in DSO, DIO, DPO formulas</t>
        </is>
      </c>
    </row>
    <row r="3">
      <c r="A3" s="3" t="inlineStr">
        <is>
          <t>Share Repurchases $</t>
        </is>
      </c>
      <c r="B3" s="11" t="n">
        <v>0</v>
      </c>
      <c r="C3" t="inlineStr">
        <is>
          <t>Per-period repurchase assumption for projection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12">
        <f>'ANNL P&amp;L'!F2*(1+'IS DRIVERS'!G2)</f>
        <v/>
      </c>
      <c r="H2" s="12">
        <f>'ANNL P&amp;L'!G2*(1+'IS DRIVERS'!H2)</f>
        <v/>
      </c>
      <c r="I2" s="12">
        <f>'ANNL P&amp;L'!H2*(1+'IS DRIVERS'!I2)</f>
        <v/>
      </c>
      <c r="J2" s="12">
        <f>'ANNL P&amp;L'!I2*(1+'IS DRIVERS'!J2)</f>
        <v/>
      </c>
      <c r="K2" s="12">
        <f>'ANNL P&amp;L'!J2*(1+'IS DRIVERS'!K2)</f>
        <v/>
      </c>
      <c r="L2" s="12">
        <f>'ANNL P&amp;L'!K2*(1+'IS DRIVERS'!L2)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12">
        <f>'IS DRIVERS'!G3*'ANNL P&amp;L'!G2</f>
        <v/>
      </c>
      <c r="H3" s="12">
        <f>'IS DRIVERS'!H3*'ANNL P&amp;L'!H2</f>
        <v/>
      </c>
      <c r="I3" s="12">
        <f>'IS DRIVERS'!I3*'ANNL P&amp;L'!I2</f>
        <v/>
      </c>
      <c r="J3" s="12">
        <f>'IS DRIVERS'!J3*'ANNL P&amp;L'!J2</f>
        <v/>
      </c>
      <c r="K3" s="12">
        <f>'IS DRIVERS'!K3*'ANNL P&amp;L'!K2</f>
        <v/>
      </c>
      <c r="L3" s="12">
        <f>'IS DRIVERS'!L3*'ANNL P&amp;L'!L2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12">
        <f>'IS DRIVERS'!G4*'ANNL P&amp;L'!G2</f>
        <v/>
      </c>
      <c r="H5" s="12">
        <f>'IS DRIVERS'!H4*'ANNL P&amp;L'!H2</f>
        <v/>
      </c>
      <c r="I5" s="12">
        <f>'IS DRIVERS'!I4*'ANNL P&amp;L'!I2</f>
        <v/>
      </c>
      <c r="J5" s="12">
        <f>'IS DRIVERS'!J4*'ANNL P&amp;L'!J2</f>
        <v/>
      </c>
      <c r="K5" s="12">
        <f>'IS DRIVERS'!K4*'ANNL P&amp;L'!K2</f>
        <v/>
      </c>
      <c r="L5" s="12">
        <f>'IS DRIVERS'!L4*'ANNL P&amp;L'!L2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12">
        <f>'IS DRIVERS'!G5</f>
        <v/>
      </c>
      <c r="H10" s="12">
        <f>'IS DRIVERS'!H5</f>
        <v/>
      </c>
      <c r="I10" s="12">
        <f>'IS DRIVERS'!I5</f>
        <v/>
      </c>
      <c r="J10" s="12">
        <f>'IS DRIVERS'!J5</f>
        <v/>
      </c>
      <c r="K10" s="12">
        <f>'IS DRIVERS'!K5</f>
        <v/>
      </c>
      <c r="L10" s="12">
        <f>'IS DRIVERS'!L5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12">
        <f>F18</f>
        <v/>
      </c>
      <c r="H18" s="12">
        <f>G18</f>
        <v/>
      </c>
      <c r="I18" s="12">
        <f>H18</f>
        <v/>
      </c>
      <c r="J18" s="12">
        <f>I18</f>
        <v/>
      </c>
      <c r="K18" s="12">
        <f>J18</f>
        <v/>
      </c>
      <c r="L18" s="12">
        <f>K18</f>
        <v/>
      </c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12">
        <f>F19</f>
        <v/>
      </c>
      <c r="H19" s="12">
        <f>G19</f>
        <v/>
      </c>
      <c r="I19" s="12">
        <f>H19</f>
        <v/>
      </c>
      <c r="J19" s="12">
        <f>I19</f>
        <v/>
      </c>
      <c r="K19" s="12">
        <f>J19</f>
        <v/>
      </c>
      <c r="L19" s="12">
        <f>K19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12">
        <f>E2+'CASH FLOW'!G48</f>
        <v/>
      </c>
      <c r="G2" s="12">
        <f>F2+'CASH FLOW'!H48</f>
        <v/>
      </c>
      <c r="H2" s="12">
        <f>G2+'CASH FLOW'!I48</f>
        <v/>
      </c>
      <c r="I2" s="12">
        <f>H2+'CASH FLOW'!J48</f>
        <v/>
      </c>
      <c r="J2" s="12">
        <f>I2+'CASH FLOW'!K48</f>
        <v/>
      </c>
      <c r="K2" s="12">
        <f>J2+'CASH FLOW'!L48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12">
        <f>'BS DRIVERS'!G3*'ANNL P&amp;L'!G2/ASSUMPTIONS!$B$2</f>
        <v/>
      </c>
      <c r="G4" s="12">
        <f>'BS DRIVERS'!H3*'ANNL P&amp;L'!H2/ASSUMPTIONS!$B$2</f>
        <v/>
      </c>
      <c r="H4" s="12">
        <f>'BS DRIVERS'!I3*'ANNL P&amp;L'!I2/ASSUMPTIONS!$B$2</f>
        <v/>
      </c>
      <c r="I4" s="12">
        <f>'BS DRIVERS'!J3*'ANNL P&amp;L'!J2/ASSUMPTIONS!$B$2</f>
        <v/>
      </c>
      <c r="J4" s="12">
        <f>'BS DRIVERS'!K3*'ANNL P&amp;L'!K2/ASSUMPTIONS!$B$2</f>
        <v/>
      </c>
      <c r="K4" s="12">
        <f>'BS DRIVERS'!L3*'ANNL P&amp;L'!L2/ASSUMPTIONS!$B$2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12">
        <f>'BS DRIVERS'!G4*'ANNL P&amp;L'!G3/ASSUMPTIONS!$B$2</f>
        <v/>
      </c>
      <c r="G5" s="12">
        <f>'BS DRIVERS'!H4*'ANNL P&amp;L'!H3/ASSUMPTIONS!$B$2</f>
        <v/>
      </c>
      <c r="H5" s="12">
        <f>'BS DRIVERS'!I4*'ANNL P&amp;L'!I3/ASSUMPTIONS!$B$2</f>
        <v/>
      </c>
      <c r="I5" s="12">
        <f>'BS DRIVERS'!J4*'ANNL P&amp;L'!J3/ASSUMPTIONS!$B$2</f>
        <v/>
      </c>
      <c r="J5" s="12">
        <f>'BS DRIVERS'!K4*'ANNL P&amp;L'!K3/ASSUMPTIONS!$B$2</f>
        <v/>
      </c>
      <c r="K5" s="12">
        <f>'BS DRIVERS'!L4*'ANNL P&amp;L'!L3/ASSUMPTIONS!$B$2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12">
        <f>'BS DRIVERS'!G7*'ANNL P&amp;L'!G2</f>
        <v/>
      </c>
      <c r="G6" s="12">
        <f>'BS DRIVERS'!H7*'ANNL P&amp;L'!H2</f>
        <v/>
      </c>
      <c r="H6" s="12">
        <f>'BS DRIVERS'!I7*'ANNL P&amp;L'!I2</f>
        <v/>
      </c>
      <c r="I6" s="12">
        <f>'BS DRIVERS'!J7*'ANNL P&amp;L'!J2</f>
        <v/>
      </c>
      <c r="J6" s="12">
        <f>'BS DRIVERS'!K7*'ANNL P&amp;L'!K2</f>
        <v/>
      </c>
      <c r="K6" s="12">
        <f>'BS DRIVERS'!L7*'ANNL P&amp;L'!L2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12">
        <f>E8-'CASH FLOW'!G27-'CASH FLOW'!G3</f>
        <v/>
      </c>
      <c r="G8" s="12">
        <f>F8-'CASH FLOW'!H27-'CASH FLOW'!H3</f>
        <v/>
      </c>
      <c r="H8" s="12">
        <f>G8-'CASH FLOW'!I27-'CASH FLOW'!I3</f>
        <v/>
      </c>
      <c r="I8" s="12">
        <f>H8-'CASH FLOW'!J27-'CASH FLOW'!J3</f>
        <v/>
      </c>
      <c r="J8" s="12">
        <f>I8-'CASH FLOW'!K27-'CASH FLOW'!K3</f>
        <v/>
      </c>
      <c r="K8" s="12">
        <f>J8-'CASH FLOW'!L27-'CASH FLOW'!L3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12">
        <f>E9</f>
        <v/>
      </c>
      <c r="G9" s="12">
        <f>F9</f>
        <v/>
      </c>
      <c r="H9" s="12">
        <f>G9</f>
        <v/>
      </c>
      <c r="I9" s="12">
        <f>H9</f>
        <v/>
      </c>
      <c r="J9" s="12">
        <f>I9</f>
        <v/>
      </c>
      <c r="K9" s="12">
        <f>J9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12">
        <f>E10</f>
        <v/>
      </c>
      <c r="G10" s="12">
        <f>F10</f>
        <v/>
      </c>
      <c r="H10" s="12">
        <f>G10</f>
        <v/>
      </c>
      <c r="I10" s="12">
        <f>H10</f>
        <v/>
      </c>
      <c r="J10" s="12">
        <f>I10</f>
        <v/>
      </c>
      <c r="K10" s="12">
        <f>J10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12">
        <f>E12</f>
        <v/>
      </c>
      <c r="G12" s="12">
        <f>F12</f>
        <v/>
      </c>
      <c r="H12" s="12">
        <f>G12</f>
        <v/>
      </c>
      <c r="I12" s="12">
        <f>H12</f>
        <v/>
      </c>
      <c r="J12" s="12">
        <f>I12</f>
        <v/>
      </c>
      <c r="K12" s="12">
        <f>J12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12">
        <f>'BS DRIVERS'!G9*'ANNL P&amp;L'!G2</f>
        <v/>
      </c>
      <c r="G13" s="12">
        <f>'BS DRIVERS'!H9*'ANNL P&amp;L'!H2</f>
        <v/>
      </c>
      <c r="H13" s="12">
        <f>'BS DRIVERS'!I9*'ANNL P&amp;L'!I2</f>
        <v/>
      </c>
      <c r="I13" s="12">
        <f>'BS DRIVERS'!J9*'ANNL P&amp;L'!J2</f>
        <v/>
      </c>
      <c r="J13" s="12">
        <f>'BS DRIVERS'!K9*'ANNL P&amp;L'!K2</f>
        <v/>
      </c>
      <c r="K13" s="12">
        <f>'BS DRIVERS'!L9*'ANNL P&amp;L'!L2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12">
        <f>'BS DRIVERS'!G12*'ANNL P&amp;L'!G2</f>
        <v/>
      </c>
      <c r="G16" s="12">
        <f>'BS DRIVERS'!H12*'ANNL P&amp;L'!H2</f>
        <v/>
      </c>
      <c r="H16" s="12">
        <f>'BS DRIVERS'!I12*'ANNL P&amp;L'!I2</f>
        <v/>
      </c>
      <c r="I16" s="12">
        <f>'BS DRIVERS'!J12*'ANNL P&amp;L'!J2</f>
        <v/>
      </c>
      <c r="J16" s="12">
        <f>'BS DRIVERS'!K12*'ANNL P&amp;L'!K2</f>
        <v/>
      </c>
      <c r="K16" s="12">
        <f>'BS DRIVERS'!L12*'ANNL P&amp;L'!L2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12">
        <f>E19</f>
        <v/>
      </c>
      <c r="G19" s="12">
        <f>F19</f>
        <v/>
      </c>
      <c r="H19" s="12">
        <f>G19</f>
        <v/>
      </c>
      <c r="I19" s="12">
        <f>H19</f>
        <v/>
      </c>
      <c r="J19" s="12">
        <f>I19</f>
        <v/>
      </c>
      <c r="K19" s="12">
        <f>J19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12">
        <f>E22</f>
        <v/>
      </c>
      <c r="G22" s="12">
        <f>F22</f>
        <v/>
      </c>
      <c r="H22" s="12">
        <f>G22</f>
        <v/>
      </c>
      <c r="I22" s="12">
        <f>H22</f>
        <v/>
      </c>
      <c r="J22" s="12">
        <f>I22</f>
        <v/>
      </c>
      <c r="K22" s="12">
        <f>J22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12">
        <f>E23+'CASH FLOW'!G10+'CASH FLOW'!G43</f>
        <v/>
      </c>
      <c r="G23" s="12">
        <f>F23+'CASH FLOW'!H10+'CASH FLOW'!H43</f>
        <v/>
      </c>
      <c r="H23" s="12">
        <f>G23+'CASH FLOW'!I10+'CASH FLOW'!I43</f>
        <v/>
      </c>
      <c r="I23" s="12">
        <f>H23+'CASH FLOW'!J10+'CASH FLOW'!J43</f>
        <v/>
      </c>
      <c r="J23" s="12">
        <f>I23+'CASH FLOW'!K10+'CASH FLOW'!K43</f>
        <v/>
      </c>
      <c r="K23" s="12">
        <f>J23+'CASH FLOW'!L10+'CASH FLOW'!L43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12">
        <f>E24+'ANNL P&amp;L'!G13+'CASH FLOW'!G41</f>
        <v/>
      </c>
      <c r="G24" s="12">
        <f>F24+'ANNL P&amp;L'!H13+'CASH FLOW'!H41</f>
        <v/>
      </c>
      <c r="H24" s="12">
        <f>G24+'ANNL P&amp;L'!I13+'CASH FLOW'!I41</f>
        <v/>
      </c>
      <c r="I24" s="12">
        <f>H24+'ANNL P&amp;L'!J13+'CASH FLOW'!J41</f>
        <v/>
      </c>
      <c r="J24" s="12">
        <f>I24+'ANNL P&amp;L'!K13+'CASH FLOW'!K41</f>
        <v/>
      </c>
      <c r="K24" s="12">
        <f>J24+'ANNL P&amp;L'!L13+'CASH FLOW'!L41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12">
        <f>E25+'CASH FLOW'!G47</f>
        <v/>
      </c>
      <c r="G25" s="12">
        <f>F25+'CASH FLOW'!H47</f>
        <v/>
      </c>
      <c r="H25" s="12">
        <f>G25+'CASH FLOW'!I47</f>
        <v/>
      </c>
      <c r="I25" s="12">
        <f>H25+'CASH FLOW'!J47</f>
        <v/>
      </c>
      <c r="J25" s="12">
        <f>I25+'CASH FLOW'!K47</f>
        <v/>
      </c>
      <c r="K25" s="12">
        <f>J25+'CASH FLOW'!L47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12">
        <f>'ANNL P&amp;L'!G13</f>
        <v/>
      </c>
      <c r="H2" s="12">
        <f>'ANNL P&amp;L'!H13</f>
        <v/>
      </c>
      <c r="I2" s="12">
        <f>'ANNL P&amp;L'!I13</f>
        <v/>
      </c>
      <c r="J2" s="12">
        <f>'ANNL P&amp;L'!J13</f>
        <v/>
      </c>
      <c r="K2" s="12">
        <f>'ANNL P&amp;L'!K13</f>
        <v/>
      </c>
      <c r="L2" s="12">
        <f>'ANNL P&amp;L'!L13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12">
        <f>'CF DRIVERS'!G3*'BALANCE SHEET'!E8</f>
        <v/>
      </c>
      <c r="H3" s="12">
        <f>'CF DRIVERS'!H3*'BALANCE SHEET'!F8</f>
        <v/>
      </c>
      <c r="I3" s="12">
        <f>'CF DRIVERS'!I3*'BALANCE SHEET'!G8</f>
        <v/>
      </c>
      <c r="J3" s="12">
        <f>'CF DRIVERS'!J3*'BALANCE SHEET'!H8</f>
        <v/>
      </c>
      <c r="K3" s="12">
        <f>'CF DRIVERS'!K3*'BALANCE SHEET'!I8</f>
        <v/>
      </c>
      <c r="L3" s="12">
        <f>'CF DRIVERS'!L3*'BALANCE SHEET'!J8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12">
        <f>'CF DRIVERS'!G4</f>
        <v/>
      </c>
      <c r="H10" s="12">
        <f>'CF DRIVERS'!H4</f>
        <v/>
      </c>
      <c r="I10" s="12">
        <f>'CF DRIVERS'!I4</f>
        <v/>
      </c>
      <c r="J10" s="12">
        <f>'CF DRIVERS'!J4</f>
        <v/>
      </c>
      <c r="K10" s="12">
        <f>'CF DRIVERS'!K4</f>
        <v/>
      </c>
      <c r="L10" s="12">
        <f>'CF DRIVERS'!L4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12">
        <f>0</f>
        <v/>
      </c>
      <c r="H17" s="12">
        <f>0</f>
        <v/>
      </c>
      <c r="I17" s="12">
        <f>0</f>
        <v/>
      </c>
      <c r="J17" s="12">
        <f>0</f>
        <v/>
      </c>
      <c r="K17" s="12">
        <f>0</f>
        <v/>
      </c>
      <c r="L17" s="12">
        <f>0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12">
        <f>-('BALANCE SHEET'!F4-'BALANCE SHEET'!E4)</f>
        <v/>
      </c>
      <c r="H20" s="12">
        <f>-('BALANCE SHEET'!G4-'BALANCE SHEET'!F4)</f>
        <v/>
      </c>
      <c r="I20" s="12">
        <f>-('BALANCE SHEET'!H4-'BALANCE SHEET'!G4)</f>
        <v/>
      </c>
      <c r="J20" s="12">
        <f>-('BALANCE SHEET'!I4-'BALANCE SHEET'!H4)</f>
        <v/>
      </c>
      <c r="K20" s="12">
        <f>-('BALANCE SHEET'!J4-'BALANCE SHEET'!I4)</f>
        <v/>
      </c>
      <c r="L20" s="12">
        <f>-('BALANCE SHEET'!K4-'BALANCE SHEET'!J4)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12">
        <f>-('BALANCE SHEET'!F5-'BALANCE SHEET'!E5)</f>
        <v/>
      </c>
      <c r="H21" s="12">
        <f>-('BALANCE SHEET'!G5-'BALANCE SHEET'!F5)</f>
        <v/>
      </c>
      <c r="I21" s="12">
        <f>-('BALANCE SHEET'!H5-'BALANCE SHEET'!G5)</f>
        <v/>
      </c>
      <c r="J21" s="12">
        <f>-('BALANCE SHEET'!I5-'BALANCE SHEET'!H5)</f>
        <v/>
      </c>
      <c r="K21" s="12">
        <f>-('BALANCE SHEET'!J5-'BALANCE SHEET'!I5)</f>
        <v/>
      </c>
      <c r="L21" s="12">
        <f>-('BALANCE SHEET'!K5-'BALANCE SHEET'!J5)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12">
        <f>-('BALANCE SHEET'!F6-'BALANCE SHEET'!E6)</f>
        <v/>
      </c>
      <c r="H22" s="12">
        <f>-('BALANCE SHEET'!G6-'BALANCE SHEET'!F6)</f>
        <v/>
      </c>
      <c r="I22" s="12">
        <f>-('BALANCE SHEET'!H6-'BALANCE SHEET'!G6)</f>
        <v/>
      </c>
      <c r="J22" s="12">
        <f>-('BALANCE SHEET'!I6-'BALANCE SHEET'!H6)</f>
        <v/>
      </c>
      <c r="K22" s="12">
        <f>-('BALANCE SHEET'!J6-'BALANCE SHEET'!I6)</f>
        <v/>
      </c>
      <c r="L22" s="12">
        <f>-('BALANCE SHEET'!K6-'BALANCE SHEET'!J6)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12" t="n"/>
      <c r="H23" s="12" t="n"/>
      <c r="I23" s="12" t="n"/>
      <c r="J23" s="12" t="n"/>
      <c r="K23" s="12" t="n"/>
      <c r="L23" s="12" t="n"/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12" t="n"/>
      <c r="H24" s="12" t="n"/>
      <c r="I24" s="12" t="n"/>
      <c r="J24" s="12" t="n"/>
      <c r="K24" s="12" t="n"/>
      <c r="L24" s="12" t="n"/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12">
        <f>0</f>
        <v/>
      </c>
      <c r="H25" s="12">
        <f>0</f>
        <v/>
      </c>
      <c r="I25" s="12">
        <f>0</f>
        <v/>
      </c>
      <c r="J25" s="12">
        <f>0</f>
        <v/>
      </c>
      <c r="K25" s="12">
        <f>0</f>
        <v/>
      </c>
      <c r="L25" s="12">
        <f>0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12">
        <f>'CF DRIVERS'!G5*'BALANCE SHEET'!E8</f>
        <v/>
      </c>
      <c r="H27" s="12">
        <f>'CF DRIVERS'!H5*'BALANCE SHEET'!F8</f>
        <v/>
      </c>
      <c r="I27" s="12">
        <f>'CF DRIVERS'!I5*'BALANCE SHEET'!G8</f>
        <v/>
      </c>
      <c r="J27" s="12">
        <f>'CF DRIVERS'!J5*'BALANCE SHEET'!H8</f>
        <v/>
      </c>
      <c r="K27" s="12">
        <f>'CF DRIVERS'!K5*'BALANCE SHEET'!I8</f>
        <v/>
      </c>
      <c r="L27" s="12">
        <f>'CF DRIVERS'!L5*'BALANCE SHEET'!J8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 t="n"/>
      <c r="H36" s="5" t="n"/>
      <c r="I36" s="5" t="n"/>
      <c r="J36" s="5" t="n"/>
      <c r="K36" s="5" t="n"/>
      <c r="L36" s="5" t="n"/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12">
        <f>'CF DRIVERS'!G8</f>
        <v/>
      </c>
      <c r="H42" s="12">
        <f>'CF DRIVERS'!H8</f>
        <v/>
      </c>
      <c r="I42" s="12">
        <f>'CF DRIVERS'!I8</f>
        <v/>
      </c>
      <c r="J42" s="12">
        <f>'CF DRIVERS'!J8</f>
        <v/>
      </c>
      <c r="K42" s="12">
        <f>'CF DRIVERS'!K8</f>
        <v/>
      </c>
      <c r="L42" s="12">
        <f>'CF DRIVERS'!L8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12">
        <f>F43</f>
        <v/>
      </c>
      <c r="H43" s="12">
        <f>G43</f>
        <v/>
      </c>
      <c r="I43" s="12">
        <f>H43</f>
        <v/>
      </c>
      <c r="J43" s="12">
        <f>I43</f>
        <v/>
      </c>
      <c r="K43" s="12">
        <f>J43</f>
        <v/>
      </c>
      <c r="L43" s="12">
        <f>K43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12">
        <f>F47</f>
        <v/>
      </c>
      <c r="H47" s="12">
        <f>G47</f>
        <v/>
      </c>
      <c r="I47" s="12">
        <f>H47</f>
        <v/>
      </c>
      <c r="J47" s="12">
        <f>I47</f>
        <v/>
      </c>
      <c r="K47" s="12">
        <f>J47</f>
        <v/>
      </c>
      <c r="L47" s="12">
        <f>K47</f>
        <v/>
      </c>
    </row>
    <row r="48">
      <c r="A48" s="3" t="inlineStr">
        <is>
          <t>Net Change in Cash</t>
        </is>
      </c>
      <c r="B48" s="6">
        <f>B26+B34+B46+B47+B48</f>
        <v/>
      </c>
      <c r="C48" s="6">
        <f>C26+C34+C46+C47+C48</f>
        <v/>
      </c>
      <c r="D48" s="6">
        <f>D26+D34+D46+D47+D48</f>
        <v/>
      </c>
      <c r="E48" s="6">
        <f>E26+E34+E46+E47+E48</f>
        <v/>
      </c>
      <c r="F48" s="6">
        <f>F26+F34+F46+F47+F48</f>
        <v/>
      </c>
      <c r="G48" s="7">
        <f>'CASH FLOW'!G26+'CASH FLOW'!G34+'CASH FLOW'!G46+'CASH FLOW'!G47</f>
        <v/>
      </c>
      <c r="H48" s="7">
        <f>'CASH FLOW'!H26+'CASH FLOW'!H34+'CASH FLOW'!H46+'CASH FLOW'!H47</f>
        <v/>
      </c>
      <c r="I48" s="7">
        <f>'CASH FLOW'!I26+'CASH FLOW'!I34+'CASH FLOW'!I46+'CASH FLOW'!I47</f>
        <v/>
      </c>
      <c r="J48" s="7">
        <f>'CASH FLOW'!J26+'CASH FLOW'!J34+'CASH FLOW'!J46+'CASH FLOW'!J47</f>
        <v/>
      </c>
      <c r="K48" s="7">
        <f>'CASH FLOW'!K26+'CASH FLOW'!K34+'CASH FLOW'!K46+'CASH FLOW'!K47</f>
        <v/>
      </c>
      <c r="L48" s="7">
        <f>'CASH FLOW'!L26+'CASH FLOW'!L34+'CASH FLOW'!L46+'CASH FLOW'!L47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Revenue Growth %</t>
        </is>
      </c>
      <c r="C2" s="13">
        <f>IFERROR(('ANNL P&amp;L'!C2-'ANNL P&amp;L'!B2)/'ANNL P&amp;L'!B2,0)</f>
        <v/>
      </c>
      <c r="D2" s="13">
        <f>IFERROR(('ANNL P&amp;L'!D2-'ANNL P&amp;L'!C2)/'ANNL P&amp;L'!C2,0)</f>
        <v/>
      </c>
      <c r="E2" s="13">
        <f>IFERROR(('ANNL P&amp;L'!E2-'ANNL P&amp;L'!D2)/'ANNL P&amp;L'!D2,0)</f>
        <v/>
      </c>
      <c r="F2" s="13">
        <f>IFERROR(('ANNL P&amp;L'!F2-'ANNL P&amp;L'!E2)/'ANNL P&amp;L'!E2,0)</f>
        <v/>
      </c>
      <c r="G2" s="14" t="n"/>
      <c r="H2" s="14" t="n"/>
      <c r="I2" s="14" t="n"/>
      <c r="J2" s="14" t="n"/>
      <c r="K2" s="14" t="n"/>
      <c r="L2" s="14" t="n"/>
    </row>
    <row r="3">
      <c r="A3" s="3" t="inlineStr">
        <is>
          <t>COGS % of Revenue</t>
        </is>
      </c>
      <c r="B3" s="13">
        <f>IFERROR('ANNL P&amp;L'!B3/'ANNL P&amp;L'!B2,0)</f>
        <v/>
      </c>
      <c r="C3" s="13">
        <f>IFERROR('ANNL P&amp;L'!C3/'ANNL P&amp;L'!C2,0)</f>
        <v/>
      </c>
      <c r="D3" s="13">
        <f>IFERROR('ANNL P&amp;L'!D3/'ANNL P&amp;L'!D2,0)</f>
        <v/>
      </c>
      <c r="E3" s="13">
        <f>IFERROR('ANNL P&amp;L'!E3/'ANNL P&amp;L'!E2,0)</f>
        <v/>
      </c>
      <c r="F3" s="13">
        <f>IFERROR('ANNL P&amp;L'!F3/'ANNL P&amp;L'!F2,0)</f>
        <v/>
      </c>
      <c r="G3" s="15">
        <f>F3</f>
        <v/>
      </c>
      <c r="H3" s="15">
        <f>G3</f>
        <v/>
      </c>
      <c r="I3" s="15">
        <f>H3</f>
        <v/>
      </c>
      <c r="J3" s="15">
        <f>I3</f>
        <v/>
      </c>
      <c r="K3" s="15">
        <f>J3</f>
        <v/>
      </c>
      <c r="L3" s="15">
        <f>K3</f>
        <v/>
      </c>
    </row>
    <row r="4">
      <c r="A4" s="3" t="inlineStr">
        <is>
          <t>SG&amp;A % of Revenue</t>
        </is>
      </c>
      <c r="B4" s="13">
        <f>IFERROR('ANNL P&amp;L'!B5/'ANNL P&amp;L'!B2,0)</f>
        <v/>
      </c>
      <c r="C4" s="13">
        <f>IFERROR('ANNL P&amp;L'!C5/'ANNL P&amp;L'!C2,0)</f>
        <v/>
      </c>
      <c r="D4" s="13">
        <f>IFERROR('ANNL P&amp;L'!D5/'ANNL P&amp;L'!D2,0)</f>
        <v/>
      </c>
      <c r="E4" s="13">
        <f>IFERROR('ANNL P&amp;L'!E5/'ANNL P&amp;L'!E2,0)</f>
        <v/>
      </c>
      <c r="F4" s="13">
        <f>IFERROR('ANNL P&amp;L'!F5/'ANNL P&amp;L'!F2,0)</f>
        <v/>
      </c>
      <c r="G4" s="15">
        <f>F4</f>
        <v/>
      </c>
      <c r="H4" s="15">
        <f>G4</f>
        <v/>
      </c>
      <c r="I4" s="15">
        <f>H4</f>
        <v/>
      </c>
      <c r="J4" s="15">
        <f>I4</f>
        <v/>
      </c>
      <c r="K4" s="15">
        <f>J4</f>
        <v/>
      </c>
      <c r="L4" s="15">
        <f>K4</f>
        <v/>
      </c>
    </row>
    <row r="5">
      <c r="A5" s="3" t="inlineStr">
        <is>
          <t>Interest Income (Expense) $</t>
        </is>
      </c>
      <c r="B5" s="4">
        <f>'ANNL P&amp;L'!B10</f>
        <v/>
      </c>
      <c r="C5" s="4">
        <f>'ANNL P&amp;L'!C10</f>
        <v/>
      </c>
      <c r="D5" s="4">
        <f>'ANNL P&amp;L'!D10</f>
        <v/>
      </c>
      <c r="E5" s="4">
        <f>'ANNL P&amp;L'!E10</f>
        <v/>
      </c>
      <c r="F5" s="4">
        <f>'ANNL P&amp;L'!F10</f>
        <v/>
      </c>
      <c r="G5" s="12">
        <f>F5</f>
        <v/>
      </c>
      <c r="H5" s="12">
        <f>G5</f>
        <v/>
      </c>
      <c r="I5" s="12">
        <f>H5</f>
        <v/>
      </c>
      <c r="J5" s="12">
        <f>I5</f>
        <v/>
      </c>
      <c r="K5" s="12">
        <f>J5</f>
        <v/>
      </c>
      <c r="L5" s="12">
        <f>K5</f>
        <v/>
      </c>
    </row>
    <row r="6">
      <c r="A6" s="3" t="inlineStr">
        <is>
          <t>Foreign Currency Gain (Loss) $</t>
        </is>
      </c>
      <c r="G6" s="12">
        <f>F6</f>
        <v/>
      </c>
      <c r="H6" s="12">
        <f>G6</f>
        <v/>
      </c>
      <c r="I6" s="12">
        <f>H6</f>
        <v/>
      </c>
      <c r="J6" s="12">
        <f>I6</f>
        <v/>
      </c>
      <c r="K6" s="12">
        <f>J6</f>
        <v/>
      </c>
      <c r="L6" s="12">
        <f>K6</f>
        <v/>
      </c>
    </row>
    <row r="7">
      <c r="A7" s="3" t="inlineStr">
        <is>
          <t>Other Income (Expense) $</t>
        </is>
      </c>
      <c r="G7" s="12">
        <f>F7</f>
        <v/>
      </c>
      <c r="H7" s="12">
        <f>G7</f>
        <v/>
      </c>
      <c r="I7" s="12">
        <f>H7</f>
        <v/>
      </c>
      <c r="J7" s="12">
        <f>I7</f>
        <v/>
      </c>
      <c r="K7" s="12">
        <f>J7</f>
        <v/>
      </c>
      <c r="L7" s="12">
        <f>K7</f>
        <v/>
      </c>
    </row>
    <row r="8">
      <c r="A8" s="3" t="inlineStr">
        <is>
          <t>Effective Tax Rate %</t>
        </is>
      </c>
      <c r="G8" s="15">
        <f>F8</f>
        <v/>
      </c>
      <c r="H8" s="15">
        <f>G8</f>
        <v/>
      </c>
      <c r="I8" s="15">
        <f>H8</f>
        <v/>
      </c>
      <c r="J8" s="15">
        <f>I8</f>
        <v/>
      </c>
      <c r="K8" s="15">
        <f>J8</f>
        <v/>
      </c>
      <c r="L8" s="15">
        <f>K8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16" t="inlineStr">
        <is>
          <t>Current Assets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3" t="inlineStr">
        <is>
          <t>DSO (days)</t>
        </is>
      </c>
      <c r="C3" s="18">
        <f>IFERROR('BALANCE SHEET'!B4/'ANNL P&amp;L'!C2*ASSUMPTIONS!$B$2,0)</f>
        <v/>
      </c>
      <c r="D3" s="18">
        <f>IFERROR('BALANCE SHEET'!C4/'ANNL P&amp;L'!D2*ASSUMPTIONS!$B$2,0)</f>
        <v/>
      </c>
      <c r="E3" s="18">
        <f>IFERROR('BALANCE SHEET'!D4/'ANNL P&amp;L'!E2*ASSUMPTIONS!$B$2,0)</f>
        <v/>
      </c>
      <c r="F3" s="18">
        <f>IFERROR('BALANCE SHEET'!E4/'ANNL P&amp;L'!F2*ASSUMPTIONS!$B$2,0)</f>
        <v/>
      </c>
      <c r="G3" s="19">
        <f>F3</f>
        <v/>
      </c>
      <c r="H3" s="19">
        <f>G3</f>
        <v/>
      </c>
      <c r="I3" s="19">
        <f>H3</f>
        <v/>
      </c>
      <c r="J3" s="19">
        <f>I3</f>
        <v/>
      </c>
      <c r="K3" s="19">
        <f>J3</f>
        <v/>
      </c>
      <c r="L3" s="19">
        <f>K3</f>
        <v/>
      </c>
    </row>
    <row r="4">
      <c r="A4" s="3" t="inlineStr">
        <is>
          <t>DIO (days)</t>
        </is>
      </c>
      <c r="C4" s="18">
        <f>IFERROR('BALANCE SHEET'!B5/'ANNL P&amp;L'!C3*ASSUMPTIONS!$B$2,0)</f>
        <v/>
      </c>
      <c r="D4" s="18">
        <f>IFERROR('BALANCE SHEET'!C5/'ANNL P&amp;L'!D3*ASSUMPTIONS!$B$2,0)</f>
        <v/>
      </c>
      <c r="E4" s="18">
        <f>IFERROR('BALANCE SHEET'!D5/'ANNL P&amp;L'!E3*ASSUMPTIONS!$B$2,0)</f>
        <v/>
      </c>
      <c r="F4" s="18">
        <f>IFERROR('BALANCE SHEET'!E5/'ANNL P&amp;L'!F3*ASSUMPTIONS!$B$2,0)</f>
        <v/>
      </c>
      <c r="G4" s="19">
        <f>F4</f>
        <v/>
      </c>
      <c r="H4" s="19">
        <f>G4</f>
        <v/>
      </c>
      <c r="I4" s="19">
        <f>H4</f>
        <v/>
      </c>
      <c r="J4" s="19">
        <f>I4</f>
        <v/>
      </c>
      <c r="K4" s="19">
        <f>J4</f>
        <v/>
      </c>
      <c r="L4" s="19">
        <f>K4</f>
        <v/>
      </c>
    </row>
    <row r="5">
      <c r="A5" s="3" t="inlineStr">
        <is>
          <t>Note Receivable - Current % of Rev</t>
        </is>
      </c>
      <c r="G5" s="15">
        <f>F5</f>
        <v/>
      </c>
      <c r="H5" s="15">
        <f>G5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</row>
    <row r="6">
      <c r="A6" s="3" t="inlineStr">
        <is>
          <t>Deferred Other Costs - Current % of Rev</t>
        </is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  <c r="K6" s="15">
        <f>J6</f>
        <v/>
      </c>
      <c r="L6" s="15">
        <f>K6</f>
        <v/>
      </c>
    </row>
    <row r="7">
      <c r="A7" s="3" t="inlineStr">
        <is>
          <t>Prepaid Expenses % of Rev</t>
        </is>
      </c>
      <c r="C7" s="13">
        <f>IFERROR('BALANCE SHEET'!B6/'ANNL P&amp;L'!C2,0)</f>
        <v/>
      </c>
      <c r="D7" s="13">
        <f>IFERROR('BALANCE SHEET'!C6/'ANNL P&amp;L'!D2,0)</f>
        <v/>
      </c>
      <c r="E7" s="13">
        <f>IFERROR('BALANCE SHEET'!D6/'ANNL P&amp;L'!E2,0)</f>
        <v/>
      </c>
      <c r="F7" s="13">
        <f>IFERROR('BALANCE SHEET'!E6/'ANNL P&amp;L'!F2,0)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</row>
    <row r="8">
      <c r="A8" s="16" t="inlineStr">
        <is>
          <t>Non-Current Assets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A9" s="3" t="inlineStr">
        <is>
          <t>Other Non-Current Assets % of Rev</t>
        </is>
      </c>
      <c r="C9" s="13">
        <f>IFERROR('BALANCE SHEET'!B13/'ANNL P&amp;L'!C2,0)</f>
        <v/>
      </c>
      <c r="D9" s="13">
        <f>IFERROR('BALANCE SHEET'!C13/'ANNL P&amp;L'!D2,0)</f>
        <v/>
      </c>
      <c r="E9" s="13">
        <f>IFERROR('BALANCE SHEET'!D13/'ANNL P&amp;L'!E2,0)</f>
        <v/>
      </c>
      <c r="F9" s="13">
        <f>IFERROR('BALANCE SHEET'!E13/'ANNL P&amp;L'!F2,0)</f>
        <v/>
      </c>
      <c r="G9" s="15">
        <f>F9</f>
        <v/>
      </c>
      <c r="H9" s="15">
        <f>G9</f>
        <v/>
      </c>
      <c r="I9" s="15">
        <f>H9</f>
        <v/>
      </c>
      <c r="J9" s="15">
        <f>I9</f>
        <v/>
      </c>
      <c r="K9" s="15">
        <f>J9</f>
        <v/>
      </c>
      <c r="L9" s="15">
        <f>K9</f>
        <v/>
      </c>
    </row>
    <row r="10">
      <c r="A10" s="16" t="inlineStr">
        <is>
          <t>Current Liabilities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3" t="inlineStr">
        <is>
          <t>DPO (days)</t>
        </is>
      </c>
      <c r="G11" s="19">
        <f>F11</f>
        <v/>
      </c>
      <c r="H11" s="19">
        <f>G11</f>
        <v/>
      </c>
      <c r="I11" s="19">
        <f>H11</f>
        <v/>
      </c>
      <c r="J11" s="19">
        <f>I11</f>
        <v/>
      </c>
      <c r="K11" s="19">
        <f>J11</f>
        <v/>
      </c>
      <c r="L11" s="19">
        <f>K11</f>
        <v/>
      </c>
    </row>
    <row r="12">
      <c r="A12" s="3" t="inlineStr">
        <is>
          <t>Accrued Expenses % of Rev</t>
        </is>
      </c>
      <c r="C12" s="13">
        <f>IFERROR('BALANCE SHEET'!B16/'ANNL P&amp;L'!C2,0)</f>
        <v/>
      </c>
      <c r="D12" s="13">
        <f>IFERROR('BALANCE SHEET'!C16/'ANNL P&amp;L'!D2,0)</f>
        <v/>
      </c>
      <c r="E12" s="13">
        <f>IFERROR('BALANCE SHEET'!D16/'ANNL P&amp;L'!E2,0)</f>
        <v/>
      </c>
      <c r="F12" s="13">
        <f>IFERROR('BALANCE SHEET'!E16/'ANNL P&amp;L'!F2,0)</f>
        <v/>
      </c>
      <c r="G12" s="15">
        <f>F12</f>
        <v/>
      </c>
      <c r="H12" s="15">
        <f>G12</f>
        <v/>
      </c>
      <c r="I12" s="15">
        <f>H12</f>
        <v/>
      </c>
      <c r="J12" s="15">
        <f>I12</f>
        <v/>
      </c>
      <c r="K12" s="15">
        <f>J12</f>
        <v/>
      </c>
      <c r="L12" s="15">
        <f>K12</f>
        <v/>
      </c>
    </row>
    <row r="13">
      <c r="A13" s="3" t="inlineStr">
        <is>
          <t>Income Taxes Payable % of Rev</t>
        </is>
      </c>
      <c r="G13" s="15">
        <f>F13</f>
        <v/>
      </c>
      <c r="H13" s="15">
        <f>G13</f>
        <v/>
      </c>
      <c r="I13" s="15">
        <f>H13</f>
        <v/>
      </c>
      <c r="J13" s="15">
        <f>I13</f>
        <v/>
      </c>
      <c r="K13" s="15">
        <f>J13</f>
        <v/>
      </c>
      <c r="L13" s="15">
        <f>K13</f>
        <v/>
      </c>
    </row>
    <row r="14">
      <c r="A14" s="3" t="inlineStr">
        <is>
          <t>Accrued Distributor Termination Fees % of Rev</t>
        </is>
      </c>
      <c r="G14" s="15">
        <f>F14</f>
        <v/>
      </c>
      <c r="H14" s="15">
        <f>G14</f>
        <v/>
      </c>
      <c r="I14" s="15">
        <f>H14</f>
        <v/>
      </c>
      <c r="J14" s="15">
        <f>I14</f>
        <v/>
      </c>
      <c r="K14" s="15">
        <f>J14</f>
        <v/>
      </c>
      <c r="L14" s="15">
        <f>K14</f>
        <v/>
      </c>
    </row>
    <row r="15">
      <c r="A15" s="3" t="inlineStr">
        <is>
          <t>Accrued Promotional Allowance % of Rev</t>
        </is>
      </c>
      <c r="G15" s="15">
        <f>F15</f>
        <v/>
      </c>
      <c r="H15" s="15">
        <f>G15</f>
        <v/>
      </c>
      <c r="I15" s="15">
        <f>H15</f>
        <v/>
      </c>
      <c r="J15" s="15">
        <f>I15</f>
        <v/>
      </c>
      <c r="K15" s="15">
        <f>J15</f>
        <v/>
      </c>
      <c r="L15" s="15">
        <f>K15</f>
        <v/>
      </c>
    </row>
    <row r="16">
      <c r="A16" s="3" t="inlineStr">
        <is>
          <t>Lease Liability - Operating - Current % of Rev</t>
        </is>
      </c>
      <c r="G16" s="15">
        <f>F16</f>
        <v/>
      </c>
      <c r="H16" s="15">
        <f>G16</f>
        <v/>
      </c>
      <c r="I16" s="15">
        <f>H16</f>
        <v/>
      </c>
      <c r="J16" s="15">
        <f>I16</f>
        <v/>
      </c>
      <c r="K16" s="15">
        <f>J16</f>
        <v/>
      </c>
      <c r="L16" s="15">
        <f>K16</f>
        <v/>
      </c>
    </row>
    <row r="17">
      <c r="A17" s="3" t="inlineStr">
        <is>
          <t>Lease Liability - Finance - Current % of Rev</t>
        </is>
      </c>
      <c r="G17" s="15">
        <f>F17</f>
        <v/>
      </c>
      <c r="H17" s="15">
        <f>G17</f>
        <v/>
      </c>
      <c r="I17" s="15">
        <f>H17</f>
        <v/>
      </c>
      <c r="J17" s="15">
        <f>I17</f>
        <v/>
      </c>
      <c r="K17" s="15">
        <f>J17</f>
        <v/>
      </c>
      <c r="L17" s="15">
        <f>K17</f>
        <v/>
      </c>
    </row>
    <row r="18">
      <c r="A18" s="3" t="inlineStr">
        <is>
          <t>Deferred Revenue - Current % of Rev</t>
        </is>
      </c>
      <c r="G18" s="15">
        <f>F18</f>
        <v/>
      </c>
      <c r="H18" s="15">
        <f>G18</f>
        <v/>
      </c>
      <c r="I18" s="15">
        <f>H18</f>
        <v/>
      </c>
      <c r="J18" s="15">
        <f>I18</f>
        <v/>
      </c>
      <c r="K18" s="15">
        <f>J18</f>
        <v/>
      </c>
      <c r="L18" s="15">
        <f>K18</f>
        <v/>
      </c>
    </row>
    <row r="19">
      <c r="A19" s="3" t="inlineStr">
        <is>
          <t>Other Current Liabilities % of Rev</t>
        </is>
      </c>
      <c r="G19" s="15">
        <f>F19</f>
        <v/>
      </c>
      <c r="H19" s="15">
        <f>G19</f>
        <v/>
      </c>
      <c r="I19" s="15">
        <f>H19</f>
        <v/>
      </c>
      <c r="J19" s="15">
        <f>I19</f>
        <v/>
      </c>
      <c r="K19" s="15">
        <f>J19</f>
        <v/>
      </c>
      <c r="L19" s="15">
        <f>K19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Allowance for Credit Losses % of Revenue</t>
        </is>
      </c>
      <c r="G2" s="15">
        <f>F2</f>
        <v/>
      </c>
      <c r="H2" s="15">
        <f>G2</f>
        <v/>
      </c>
      <c r="I2" s="15">
        <f>H2</f>
        <v/>
      </c>
      <c r="J2" s="15">
        <f>I2</f>
        <v/>
      </c>
      <c r="K2" s="15">
        <f>J2</f>
        <v/>
      </c>
      <c r="L2" s="15">
        <f>K2</f>
        <v/>
      </c>
    </row>
    <row r="3">
      <c r="A3" s="3" t="inlineStr">
        <is>
          <t>D&amp;A % of PP&amp;E</t>
        </is>
      </c>
      <c r="D3" s="13">
        <f>IFERROR('CASH FLOW'!D3/'BALANCE SHEET'!B8,0)</f>
        <v/>
      </c>
      <c r="E3" s="13">
        <f>IFERROR('CASH FLOW'!E3/'BALANCE SHEET'!C8,0)</f>
        <v/>
      </c>
      <c r="F3" s="13">
        <f>IFERROR('CASH FLOW'!F3/'BALANCE SHEET'!D8,0)</f>
        <v/>
      </c>
      <c r="G3" s="15">
        <f>F3</f>
        <v/>
      </c>
      <c r="H3" s="15">
        <f>G3</f>
        <v/>
      </c>
      <c r="I3" s="15">
        <f>H3</f>
        <v/>
      </c>
      <c r="J3" s="15">
        <f>I3</f>
        <v/>
      </c>
      <c r="K3" s="15">
        <f>J3</f>
        <v/>
      </c>
      <c r="L3" s="15">
        <f>K3</f>
        <v/>
      </c>
    </row>
    <row r="4">
      <c r="A4" s="3" t="inlineStr">
        <is>
          <t>SBC $</t>
        </is>
      </c>
      <c r="B4" s="4">
        <f>'CASH FLOW'!B10</f>
        <v/>
      </c>
      <c r="C4" s="4">
        <f>'CASH FLOW'!C10</f>
        <v/>
      </c>
      <c r="D4" s="4">
        <f>'CASH FLOW'!D10</f>
        <v/>
      </c>
      <c r="E4" s="4">
        <f>'CASH FLOW'!E10</f>
        <v/>
      </c>
      <c r="F4" s="4">
        <f>'CASH FLOW'!F10</f>
        <v/>
      </c>
      <c r="G4" s="12">
        <f>F4</f>
        <v/>
      </c>
      <c r="H4" s="12">
        <f>G4</f>
        <v/>
      </c>
      <c r="I4" s="12">
        <f>H4</f>
        <v/>
      </c>
      <c r="J4" s="12">
        <f>I4</f>
        <v/>
      </c>
      <c r="K4" s="12">
        <f>J4</f>
        <v/>
      </c>
      <c r="L4" s="12">
        <f>K4</f>
        <v/>
      </c>
    </row>
    <row r="5">
      <c r="A5" s="3" t="inlineStr">
        <is>
          <t>CapEx % of PP&amp;E</t>
        </is>
      </c>
      <c r="D5" s="13">
        <f>IFERROR('CASH FLOW'!D27/'BALANCE SHEET'!B8,0)</f>
        <v/>
      </c>
      <c r="E5" s="13">
        <f>IFERROR('CASH FLOW'!E27/'BALANCE SHEET'!C8,0)</f>
        <v/>
      </c>
      <c r="F5" s="13">
        <f>IFERROR('CASH FLOW'!F27/'BALANCE SHEET'!D8,0)</f>
        <v/>
      </c>
      <c r="G5" s="15">
        <f>F5</f>
        <v/>
      </c>
      <c r="H5" s="15">
        <f>G5</f>
        <v/>
      </c>
      <c r="I5" s="15">
        <f>H5</f>
        <v/>
      </c>
      <c r="J5" s="15">
        <f>I5</f>
        <v/>
      </c>
      <c r="K5" s="15">
        <f>J5</f>
        <v/>
      </c>
      <c r="L5" s="15">
        <f>K5</f>
        <v/>
      </c>
    </row>
    <row r="6">
      <c r="A6" s="3" t="inlineStr">
        <is>
          <t>Preferred Dividends % of Preferred Balance</t>
        </is>
      </c>
      <c r="G6" s="15">
        <f>F6</f>
        <v/>
      </c>
      <c r="H6" s="15">
        <f>G6</f>
        <v/>
      </c>
      <c r="I6" s="15">
        <f>H6</f>
        <v/>
      </c>
      <c r="J6" s="15">
        <f>I6</f>
        <v/>
      </c>
      <c r="K6" s="15">
        <f>J6</f>
        <v/>
      </c>
      <c r="L6" s="15">
        <f>K6</f>
        <v/>
      </c>
    </row>
    <row r="7">
      <c r="A7" s="3" t="inlineStr">
        <is>
          <t>Common Dividends % of Net Income</t>
        </is>
      </c>
      <c r="B7" s="13">
        <f>IFERROR('CASH FLOW'!B41/'CASH FLOW'!B2,0)</f>
        <v/>
      </c>
      <c r="C7" s="13">
        <f>IFERROR('CASH FLOW'!C41/'CASH FLOW'!C2,0)</f>
        <v/>
      </c>
      <c r="D7" s="13">
        <f>IFERROR('CASH FLOW'!D41/'CASH FLOW'!D2,0)</f>
        <v/>
      </c>
      <c r="E7" s="13">
        <f>IFERROR('CASH FLOW'!E41/'CASH FLOW'!E2,0)</f>
        <v/>
      </c>
      <c r="F7" s="13">
        <f>IFERROR('CASH FLOW'!F41/'CASH FLOW'!F2,0)</f>
        <v/>
      </c>
      <c r="G7" s="15">
        <f>F7</f>
        <v/>
      </c>
      <c r="H7" s="15">
        <f>G7</f>
        <v/>
      </c>
      <c r="I7" s="15">
        <f>H7</f>
        <v/>
      </c>
      <c r="J7" s="15">
        <f>I7</f>
        <v/>
      </c>
      <c r="K7" s="15">
        <f>J7</f>
        <v/>
      </c>
      <c r="L7" s="15">
        <f>K7</f>
        <v/>
      </c>
    </row>
    <row r="8">
      <c r="A8" s="3" t="inlineStr">
        <is>
          <t>Share Repurchases $</t>
        </is>
      </c>
      <c r="B8" s="4">
        <f>'CASH FLOW'!B42</f>
        <v/>
      </c>
      <c r="C8" s="4">
        <f>'CASH FLOW'!C42</f>
        <v/>
      </c>
      <c r="D8" s="4">
        <f>'CASH FLOW'!D42</f>
        <v/>
      </c>
      <c r="E8" s="4">
        <f>'CASH FLOW'!E42</f>
        <v/>
      </c>
      <c r="F8" s="4">
        <f>'CASH FLOW'!F42</f>
        <v/>
      </c>
      <c r="G8" s="12">
        <f>ASSUMPTIONS!$B$3</f>
        <v/>
      </c>
      <c r="H8" s="12">
        <f>ASSUMPTIONS!$B$3</f>
        <v/>
      </c>
      <c r="I8" s="12">
        <f>ASSUMPTIONS!$B$3</f>
        <v/>
      </c>
      <c r="J8" s="12">
        <f>ASSUMPTIONS!$B$3</f>
        <v/>
      </c>
      <c r="K8" s="12">
        <f>ASSUMPTIONS!$B$3</f>
        <v/>
      </c>
      <c r="L8" s="12">
        <f>ASSUMPTIONS!$B$3</f>
        <v/>
      </c>
    </row>
    <row r="9">
      <c r="A9" s="3" t="inlineStr">
        <is>
          <t>Net Debt $</t>
        </is>
      </c>
      <c r="G9" s="12" t="n"/>
      <c r="H9" s="12" t="n"/>
      <c r="I9" s="12" t="n"/>
      <c r="J9" s="12" t="n"/>
      <c r="K9" s="12" t="n"/>
      <c r="L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B25+B33+B44+B45+B46</f>
        <v/>
      </c>
      <c r="C46" s="6">
        <f>C25+C33+C44+C45+C46</f>
        <v/>
      </c>
      <c r="D46" s="6">
        <f>D25+D33+D44+D45+D46</f>
        <v/>
      </c>
      <c r="E46" s="6">
        <f>E25+E33+E44+E45+E46</f>
        <v/>
      </c>
      <c r="F46" s="6">
        <f>F25+F33+F44+F45+F46</f>
        <v/>
      </c>
      <c r="G46" s="6">
        <f>G25+G33+G44+G45+G46</f>
        <v/>
      </c>
      <c r="H46" s="6">
        <f>H25+H33+H44+H45+H46</f>
        <v/>
      </c>
      <c r="I46" s="6">
        <f>I25+I33+I44+I45+I46</f>
        <v/>
      </c>
      <c r="J46" s="6">
        <f>J25+J33+J44+J45+J46</f>
        <v/>
      </c>
      <c r="K46" s="6">
        <f>K25+K33+K44+K45+K46</f>
        <v/>
      </c>
      <c r="L46" s="6">
        <f>L25+L33+L44+L45+L46</f>
        <v/>
      </c>
      <c r="M46" s="6">
        <f>M25+M33+M44+M45+M46</f>
        <v/>
      </c>
      <c r="N46" s="6">
        <f>N25+N33+N44+N45+N46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2026-04-27T20:29:28Z</dcterms:created>
  <dcterms:modified xmlns:dcterms="http://purl.org/dc/terms/" xmlns:xsi="http://www.w3.org/2001/XMLSchema-instance" xsi:type="dcterms:W3CDTF">2026-04-27T20:29:29Z</dcterms:modified>
</cp:coreProperties>
</file>