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L P&amp;L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" sheetId="3" state="visible" r:id="rId3"/>
    <sheet xmlns:r="http://schemas.openxmlformats.org/officeDocument/2006/relationships" name="YTD P&amp;L" sheetId="4" state="visible" r:id="rId4"/>
    <sheet xmlns:r="http://schemas.openxmlformats.org/officeDocument/2006/relationships" name="YTD BS" sheetId="5" state="visible" r:id="rId5"/>
    <sheet xmlns:r="http://schemas.openxmlformats.org/officeDocument/2006/relationships" name="YTD CF" sheetId="6" state="visible" r:id="rId6"/>
    <sheet xmlns:r="http://schemas.openxmlformats.org/officeDocument/2006/relationships" name="QTR P&amp;L" sheetId="7" state="visible" r:id="rId7"/>
    <sheet xmlns:r="http://schemas.openxmlformats.org/officeDocument/2006/relationships" name="QTR BS" sheetId="8" state="visible" r:id="rId8"/>
    <sheet xmlns:r="http://schemas.openxmlformats.org/officeDocument/2006/relationships" name="QTR C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-&quot;"/>
    <numFmt numFmtId="165" formatCode="$#,##0_);($#,##0);&quot;$--&quot;_)"/>
    <numFmt numFmtId="166" formatCode="$#,##0.00_);($#,##0.0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Sales / Revenue</t>
        </is>
      </c>
      <c r="B2" s="4" t="n">
        <v>79474</v>
      </c>
      <c r="C2" s="4" t="n">
        <v>86392</v>
      </c>
      <c r="D2" s="4" t="n">
        <v>91471</v>
      </c>
      <c r="E2" s="4" t="n">
        <v>91854</v>
      </c>
      <c r="F2" s="4" t="n">
        <v>93925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COGS</t>
        </is>
      </c>
      <c r="B3" s="4" t="n">
        <v>-37075</v>
      </c>
      <c r="C3" s="4" t="n">
        <v>-40576</v>
      </c>
      <c r="D3" s="4" t="n">
        <v>-41881</v>
      </c>
      <c r="E3" s="4" t="n">
        <v>-41744</v>
      </c>
      <c r="F3" s="4" t="n">
        <v>-43066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-31237</v>
      </c>
      <c r="C5" s="4" t="n">
        <v>-34459</v>
      </c>
      <c r="D5" s="4" t="n">
        <v>-36677</v>
      </c>
      <c r="E5" s="4" t="n">
        <v>-37190</v>
      </c>
      <c r="F5" s="4" t="n">
        <v>-37368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Gain on Juice Transaction</t>
        </is>
      </c>
      <c r="B6" s="4" t="n">
        <v>0</v>
      </c>
      <c r="C6" s="4" t="n">
        <v>-3321</v>
      </c>
      <c r="D6" s="4" t="n">
        <v>0</v>
      </c>
      <c r="E6" s="4" t="n">
        <v>0</v>
      </c>
      <c r="F6" s="4" t="n">
        <v>0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Impairment of Intangibles</t>
        </is>
      </c>
      <c r="B7" s="4" t="n">
        <v>0</v>
      </c>
      <c r="C7" s="4" t="n">
        <v>-3166</v>
      </c>
      <c r="D7" s="4" t="n">
        <v>-927</v>
      </c>
      <c r="E7" s="4" t="n">
        <v>-33</v>
      </c>
      <c r="F7" s="4" t="n">
        <v>-1993</v>
      </c>
      <c r="G7" s="5" t="n"/>
      <c r="H7" s="5" t="n"/>
      <c r="I7" s="5" t="n"/>
      <c r="J7" s="5" t="n"/>
      <c r="K7" s="5" t="n"/>
      <c r="L7" s="5" t="n"/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7">
        <f>G4+SUM(G5:G7)</f>
        <v/>
      </c>
      <c r="H8" s="7">
        <f>H4+SUM(H5:H7)</f>
        <v/>
      </c>
      <c r="I8" s="7">
        <f>I4+SUM(I5:I7)</f>
        <v/>
      </c>
      <c r="J8" s="7">
        <f>J4+SUM(J5:J7)</f>
        <v/>
      </c>
      <c r="K8" s="7">
        <f>K4+SUM(K5:K7)</f>
        <v/>
      </c>
      <c r="L8" s="7">
        <f>L4+SUM(L5:L7)</f>
        <v/>
      </c>
    </row>
    <row r="9">
      <c r="A9" s="3" t="inlineStr">
        <is>
          <t>Other Pension and OPEB Benefits Income (Expense)</t>
        </is>
      </c>
      <c r="B9" s="4" t="n">
        <v>522</v>
      </c>
      <c r="C9" s="4" t="n">
        <v>132</v>
      </c>
      <c r="D9" s="4" t="n">
        <v>250</v>
      </c>
      <c r="E9" s="4" t="n">
        <v>-22</v>
      </c>
      <c r="F9" s="4" t="n">
        <v>-133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Interest Income (Expense)</t>
        </is>
      </c>
      <c r="B10" s="4" t="n">
        <v>-1863</v>
      </c>
      <c r="C10" s="4" t="n">
        <v>-939</v>
      </c>
      <c r="D10" s="4" t="n">
        <v>-819</v>
      </c>
      <c r="E10" s="4" t="n">
        <v>-919</v>
      </c>
      <c r="F10" s="4" t="n">
        <v>-1121</v>
      </c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7">
        <f>G8+SUM(G9:G10)</f>
        <v/>
      </c>
      <c r="H11" s="7">
        <f>H8+SUM(H9:H10)</f>
        <v/>
      </c>
      <c r="I11" s="7">
        <f>I8+SUM(I9:I10)</f>
        <v/>
      </c>
      <c r="J11" s="7">
        <f>J8+SUM(J9:J10)</f>
        <v/>
      </c>
      <c r="K11" s="7">
        <f>K8+SUM(K9:K10)</f>
        <v/>
      </c>
      <c r="L11" s="7">
        <f>L8+SUM(L9:L10)</f>
        <v/>
      </c>
    </row>
    <row r="12">
      <c r="A12" s="3" t="inlineStr">
        <is>
          <t>Income Tax (Expense) Benefit</t>
        </is>
      </c>
      <c r="B12" s="4" t="n">
        <v>-2142</v>
      </c>
      <c r="C12" s="4" t="n">
        <v>-1727</v>
      </c>
      <c r="D12" s="4" t="n">
        <v>-2262</v>
      </c>
      <c r="E12" s="4" t="n">
        <v>-2320</v>
      </c>
      <c r="F12" s="4" t="n">
        <v>-1949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Net Income (Loss) Attributable to Noncontrolling Interest</t>
        </is>
      </c>
      <c r="B14" s="4" t="n">
        <v>61</v>
      </c>
      <c r="C14" s="4" t="n">
        <v>68</v>
      </c>
      <c r="D14" s="4" t="n">
        <v>81</v>
      </c>
      <c r="E14" s="4" t="n">
        <v>48</v>
      </c>
      <c r="F14" s="4" t="n">
        <v>55</v>
      </c>
      <c r="G14" s="5" t="n"/>
      <c r="H14" s="5" t="n"/>
      <c r="I14" s="5" t="n"/>
      <c r="J14" s="5" t="n"/>
      <c r="K14" s="5" t="n"/>
      <c r="L14" s="5" t="n"/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7">
        <f>G13-G14</f>
        <v/>
      </c>
      <c r="H15" s="7">
        <f>H13-H14</f>
        <v/>
      </c>
      <c r="I15" s="7">
        <f>I13-I14</f>
        <v/>
      </c>
      <c r="J15" s="7">
        <f>J13-J14</f>
        <v/>
      </c>
      <c r="K15" s="7">
        <f>K13-K14</f>
        <v/>
      </c>
      <c r="L15" s="7">
        <f>L13-L14</f>
        <v/>
      </c>
    </row>
    <row r="16">
      <c r="A16" s="3" t="inlineStr">
        <is>
          <t>Basic Earnings (Loss) per Share</t>
        </is>
      </c>
      <c r="B16" s="8" t="n">
        <v>5.51</v>
      </c>
      <c r="C16" s="8" t="n">
        <v>6.45</v>
      </c>
      <c r="D16" s="8" t="n">
        <v>6.59</v>
      </c>
      <c r="E16" s="8" t="n">
        <v>6.97</v>
      </c>
      <c r="F16" s="8" t="n">
        <v>6.02</v>
      </c>
      <c r="G16" s="9" t="n"/>
      <c r="H16" s="9" t="n"/>
      <c r="I16" s="9" t="n"/>
      <c r="J16" s="9" t="n"/>
      <c r="K16" s="9" t="n"/>
      <c r="L16" s="9" t="n"/>
    </row>
    <row r="17">
      <c r="A17" s="3" t="inlineStr">
        <is>
          <t>Diluted Earnings (Loss) per Share</t>
        </is>
      </c>
      <c r="B17" s="8" t="n">
        <v>5.49</v>
      </c>
      <c r="C17" s="8" t="n">
        <v>6.42</v>
      </c>
      <c r="D17" s="8" t="n">
        <v>6.56</v>
      </c>
      <c r="E17" s="8" t="n">
        <v>6.95</v>
      </c>
      <c r="F17" s="8" t="n">
        <v>6</v>
      </c>
      <c r="G17" s="9" t="n"/>
      <c r="H17" s="9" t="n"/>
      <c r="I17" s="9" t="n"/>
      <c r="J17" s="9" t="n"/>
      <c r="K17" s="9" t="n"/>
      <c r="L17" s="9" t="n"/>
    </row>
    <row r="18">
      <c r="A18" s="3" t="inlineStr">
        <is>
          <t>Weighted Average Shares Outstanding (Basic)</t>
        </is>
      </c>
      <c r="B18" s="4" t="n">
        <v>1382000000</v>
      </c>
      <c r="C18" s="4" t="n">
        <v>1380000000</v>
      </c>
      <c r="D18" s="4" t="n">
        <v>1376000000</v>
      </c>
      <c r="E18" s="4" t="n">
        <v>1373000000</v>
      </c>
      <c r="F18" s="4" t="n">
        <v>1369000000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Weighted Average Shares Outstanding (Diluted)</t>
        </is>
      </c>
      <c r="B19" s="4" t="n">
        <v>1389000000</v>
      </c>
      <c r="C19" s="4" t="n">
        <v>1387000000</v>
      </c>
      <c r="D19" s="4" t="n">
        <v>1383000000</v>
      </c>
      <c r="E19" s="4" t="n">
        <v>1378000000</v>
      </c>
      <c r="F19" s="4" t="n">
        <v>1373000000</v>
      </c>
      <c r="G19" s="5" t="n"/>
      <c r="H19" s="5" t="n"/>
      <c r="I19" s="5" t="n"/>
      <c r="J19" s="5" t="n"/>
      <c r="K19" s="5" t="n"/>
      <c r="L19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Cash &amp; Cash Equivalents</t>
        </is>
      </c>
      <c r="B2" s="4" t="n">
        <v>4954</v>
      </c>
      <c r="C2" s="4" t="n">
        <v>9711</v>
      </c>
      <c r="D2" s="4" t="n">
        <v>8505</v>
      </c>
      <c r="E2" s="4" t="n">
        <v>9159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Short-Term Investments</t>
        </is>
      </c>
      <c r="B3" s="4" t="n">
        <v>394</v>
      </c>
      <c r="C3" s="4" t="n">
        <v>292</v>
      </c>
      <c r="D3" s="4" t="n">
        <v>761</v>
      </c>
      <c r="E3" s="4" t="n">
        <v>371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Accounts Receivable</t>
        </is>
      </c>
      <c r="B4" s="4" t="n">
        <v>10163</v>
      </c>
      <c r="C4" s="4" t="n">
        <v>10815</v>
      </c>
      <c r="D4" s="4" t="n">
        <v>10333</v>
      </c>
      <c r="E4" s="4" t="n">
        <v>11506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Inventories</t>
        </is>
      </c>
      <c r="B5" s="4" t="n">
        <v>5222</v>
      </c>
      <c r="C5" s="4" t="n">
        <v>5334</v>
      </c>
      <c r="D5" s="4" t="n">
        <v>5306</v>
      </c>
      <c r="E5" s="4" t="n">
        <v>5845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Prepaid Expenses</t>
        </is>
      </c>
      <c r="B6" s="4" t="n">
        <v>806</v>
      </c>
      <c r="C6" s="4" t="n">
        <v>798</v>
      </c>
      <c r="D6" s="4" t="n">
        <v>921</v>
      </c>
      <c r="E6" s="4" t="n">
        <v>1068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7">
        <f>SUM(F2:F6)</f>
        <v/>
      </c>
      <c r="G7" s="7">
        <f>SUM(G2:G6)</f>
        <v/>
      </c>
      <c r="H7" s="7">
        <f>SUM(H2:H6)</f>
        <v/>
      </c>
      <c r="I7" s="7">
        <f>SUM(I2:I6)</f>
        <v/>
      </c>
      <c r="J7" s="7">
        <f>SUM(J2:J6)</f>
        <v/>
      </c>
      <c r="K7" s="7">
        <f>SUM(K2:K6)</f>
        <v/>
      </c>
    </row>
    <row r="8">
      <c r="A8" s="3" t="inlineStr">
        <is>
          <t>Net PP&amp;E</t>
        </is>
      </c>
      <c r="B8" s="4" t="n">
        <v>24291</v>
      </c>
      <c r="C8" s="4" t="n">
        <v>27039</v>
      </c>
      <c r="D8" s="4" t="n">
        <v>28008</v>
      </c>
      <c r="E8" s="4" t="n">
        <v>29905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Intangible Assets</t>
        </is>
      </c>
      <c r="B9" s="4" t="n">
        <v>15586</v>
      </c>
      <c r="C9" s="4" t="n">
        <v>14929</v>
      </c>
      <c r="D9" s="4" t="n">
        <v>14801</v>
      </c>
      <c r="E9" s="4" t="n">
        <v>15066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Goodwill</t>
        </is>
      </c>
      <c r="B10" s="4" t="n">
        <v>18202</v>
      </c>
      <c r="C10" s="4" t="n">
        <v>17728</v>
      </c>
      <c r="D10" s="4" t="n">
        <v>17534</v>
      </c>
      <c r="E10" s="4" t="n">
        <v>18916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Equity Method Investments</t>
        </is>
      </c>
      <c r="B11" s="4" t="n">
        <v>3073</v>
      </c>
      <c r="C11" s="4" t="n">
        <v>2714</v>
      </c>
      <c r="D11" s="4" t="n">
        <v>1985</v>
      </c>
      <c r="E11" s="4" t="n">
        <v>2038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Deferred Tax Assets</t>
        </is>
      </c>
      <c r="B12" s="4" t="n">
        <v>4204</v>
      </c>
      <c r="C12" s="4" t="n">
        <v>4474</v>
      </c>
      <c r="D12" s="4" t="n">
        <v>4362</v>
      </c>
      <c r="E12" s="4" t="n">
        <v>4541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Other Non-Current Assets</t>
        </is>
      </c>
      <c r="B13" s="4" t="n">
        <v>5292</v>
      </c>
      <c r="C13" s="4" t="n">
        <v>6661</v>
      </c>
      <c r="D13" s="4" t="n">
        <v>6951</v>
      </c>
      <c r="E13" s="4" t="n">
        <v>8984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7">
        <f>F7+SUM(F8:F13)</f>
        <v/>
      </c>
      <c r="G14" s="7">
        <f>G7+SUM(G8:G13)</f>
        <v/>
      </c>
      <c r="H14" s="7">
        <f>H7+SUM(H8:H13)</f>
        <v/>
      </c>
      <c r="I14" s="7">
        <f>I7+SUM(I8:I13)</f>
        <v/>
      </c>
      <c r="J14" s="7">
        <f>J7+SUM(J8:J13)</f>
        <v/>
      </c>
      <c r="K14" s="7">
        <f>K7+SUM(K8:K13)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6510</v>
      </c>
      <c r="D15" s="4" t="n">
        <v>7082</v>
      </c>
      <c r="E15" s="4" t="n">
        <v>6861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Accrued Expenses</t>
        </is>
      </c>
      <c r="B16" s="4" t="n">
        <v>23371</v>
      </c>
      <c r="C16" s="4" t="n">
        <v>25137</v>
      </c>
      <c r="D16" s="4" t="n">
        <v>24454</v>
      </c>
      <c r="E16" s="4" t="n">
        <v>25903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7">
        <f>SUM(F15:F16)</f>
        <v/>
      </c>
      <c r="G17" s="7">
        <f>SUM(G15:G16)</f>
        <v/>
      </c>
      <c r="H17" s="7">
        <f>SUM(H15:H16)</f>
        <v/>
      </c>
      <c r="I17" s="7">
        <f>SUM(I15:I16)</f>
        <v/>
      </c>
      <c r="J17" s="7">
        <f>SUM(J15:J16)</f>
        <v/>
      </c>
      <c r="K17" s="7">
        <f>SUM(K15:K16)</f>
        <v/>
      </c>
    </row>
    <row r="18">
      <c r="A18" s="3" t="inlineStr">
        <is>
          <t>Long-Term Debt</t>
        </is>
      </c>
      <c r="B18" s="4" t="n">
        <v>35657</v>
      </c>
      <c r="C18" s="4" t="n">
        <v>37595</v>
      </c>
      <c r="D18" s="4" t="n">
        <v>37224</v>
      </c>
      <c r="E18" s="4" t="n">
        <v>42321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Deferred Tax Liability</t>
        </is>
      </c>
      <c r="B19" s="4" t="n">
        <v>4133</v>
      </c>
      <c r="C19" s="4" t="n">
        <v>3895</v>
      </c>
      <c r="D19" s="4" t="n">
        <v>3484</v>
      </c>
      <c r="E19" s="4" t="n">
        <v>3802</v>
      </c>
      <c r="F19" s="5" t="n"/>
      <c r="G19" s="5" t="n"/>
      <c r="H19" s="5" t="n"/>
      <c r="I19" s="5" t="n"/>
      <c r="J19" s="5" t="n"/>
      <c r="K19" s="5" t="n"/>
    </row>
    <row r="20">
      <c r="A20" s="3" t="inlineStr">
        <is>
          <t>Other Non-Current Liabilities</t>
        </is>
      </c>
      <c r="B20" s="4" t="n">
        <v>8339</v>
      </c>
      <c r="C20" s="4" t="n">
        <v>8721</v>
      </c>
      <c r="D20" s="4" t="n">
        <v>9052</v>
      </c>
      <c r="E20" s="4" t="n">
        <v>7965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7">
        <f>F17+SUM(F18:F20)</f>
        <v/>
      </c>
      <c r="G21" s="7">
        <f>G17+SUM(G18:G20)</f>
        <v/>
      </c>
      <c r="H21" s="7">
        <f>H17+SUM(H18:H20)</f>
        <v/>
      </c>
      <c r="I21" s="7">
        <f>I17+SUM(I18:I20)</f>
        <v/>
      </c>
      <c r="J21" s="7">
        <f>J17+SUM(J18:J20)</f>
        <v/>
      </c>
      <c r="K21" s="7">
        <f>K17+SUM(K18:K20)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Additional Paid-in Capital</t>
        </is>
      </c>
      <c r="B23" s="4" t="n">
        <v>4134</v>
      </c>
      <c r="C23" s="4" t="n">
        <v>4261</v>
      </c>
      <c r="D23" s="4" t="n">
        <v>4385</v>
      </c>
      <c r="E23" s="4" t="n">
        <v>4451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Retained Earnings (Accumulated Deficit)</t>
        </is>
      </c>
      <c r="B24" s="4" t="n">
        <v>67800</v>
      </c>
      <c r="C24" s="4" t="n">
        <v>70035</v>
      </c>
      <c r="D24" s="4" t="n">
        <v>72266</v>
      </c>
      <c r="E24" s="4" t="n">
        <v>72788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Accumulated Other Comprehensive Income (Loss)</t>
        </is>
      </c>
      <c r="B25" s="4" t="n">
        <v>-15302</v>
      </c>
      <c r="C25" s="4" t="n">
        <v>-15534</v>
      </c>
      <c r="D25" s="4" t="n">
        <v>-17612</v>
      </c>
      <c r="E25" s="4" t="n">
        <v>-15024</v>
      </c>
      <c r="F25" s="5" t="n"/>
      <c r="G25" s="5" t="n"/>
      <c r="H25" s="5" t="n"/>
      <c r="I25" s="5" t="n"/>
      <c r="J25" s="5" t="n"/>
      <c r="K25" s="5" t="n"/>
    </row>
    <row r="26">
      <c r="A26" s="3" t="inlineStr">
        <is>
          <t>Treasury Stock</t>
        </is>
      </c>
      <c r="B26" s="4" t="n">
        <v>-39506</v>
      </c>
      <c r="C26" s="4" t="n">
        <v>-40282</v>
      </c>
      <c r="D26" s="4" t="n">
        <v>-41021</v>
      </c>
      <c r="E26" s="4" t="n">
        <v>-41832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Noncontrolling Interest</t>
        </is>
      </c>
      <c r="B27" s="4" t="n">
        <v>124</v>
      </c>
      <c r="C27" s="4" t="n">
        <v>134</v>
      </c>
      <c r="D27" s="4" t="n">
        <v>130</v>
      </c>
      <c r="E27" s="4" t="n">
        <v>141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7">
        <f>SUM(F22:F27)</f>
        <v/>
      </c>
      <c r="G28" s="7">
        <f>SUM(G22:G27)</f>
        <v/>
      </c>
      <c r="H28" s="7">
        <f>SUM(H22:H27)</f>
        <v/>
      </c>
      <c r="I28" s="7">
        <f>SUM(I22:I27)</f>
        <v/>
      </c>
      <c r="J28" s="7">
        <f>SUM(J22:J27)</f>
        <v/>
      </c>
      <c r="K28" s="7">
        <f>SUM(K22:K27)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7">
        <f>F21+F28</f>
        <v/>
      </c>
      <c r="G29" s="7">
        <f>G21+G28</f>
        <v/>
      </c>
      <c r="H29" s="7">
        <f>H21+H28</f>
        <v/>
      </c>
      <c r="I29" s="7">
        <f>I21+I28</f>
        <v/>
      </c>
      <c r="J29" s="7">
        <f>J21+J28</f>
        <v/>
      </c>
      <c r="K29" s="7">
        <f>K21+K28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Income (Loss)</t>
        </is>
      </c>
      <c r="B2" s="4" t="n">
        <v>7679</v>
      </c>
      <c r="C2" s="4" t="n">
        <v>8978</v>
      </c>
      <c r="D2" s="4" t="n">
        <v>9155</v>
      </c>
      <c r="E2" s="4" t="n">
        <v>9626</v>
      </c>
      <c r="F2" s="4" t="n">
        <v>8295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Depreciation &amp; Amortization</t>
        </is>
      </c>
      <c r="B3" s="4" t="n">
        <v>2710</v>
      </c>
      <c r="C3" s="4" t="n">
        <v>2763</v>
      </c>
      <c r="D3" s="4" t="n">
        <v>2948</v>
      </c>
      <c r="E3" s="4" t="n">
        <v>3160</v>
      </c>
      <c r="F3" s="4" t="n">
        <v>3451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Gain on Juice Transaction</t>
        </is>
      </c>
      <c r="B4" s="4" t="n">
        <v>0</v>
      </c>
      <c r="C4" s="4" t="n">
        <v>-3321</v>
      </c>
      <c r="D4" s="4" t="n">
        <v>0</v>
      </c>
      <c r="E4" s="4" t="n">
        <v>0</v>
      </c>
      <c r="F4" s="4" t="n">
        <v>0</v>
      </c>
      <c r="G4" s="5" t="n"/>
      <c r="H4" s="5" t="n"/>
      <c r="I4" s="5" t="n"/>
      <c r="J4" s="5" t="n"/>
      <c r="K4" s="5" t="n"/>
      <c r="L4" s="5" t="n"/>
    </row>
    <row r="5">
      <c r="A5" s="3" t="inlineStr">
        <is>
          <t>Impairment and Other Charges</t>
        </is>
      </c>
      <c r="B5" s="4" t="n">
        <v>0</v>
      </c>
      <c r="C5" s="4" t="n">
        <v>3618</v>
      </c>
      <c r="D5" s="4" t="n">
        <v>1230</v>
      </c>
      <c r="E5" s="4" t="n">
        <v>714</v>
      </c>
      <c r="F5" s="4" t="n">
        <v>1946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Indirect Tax Impact</t>
        </is>
      </c>
      <c r="B6" s="4" t="n">
        <v>0</v>
      </c>
      <c r="C6" s="4" t="n">
        <v>0</v>
      </c>
      <c r="D6" s="4" t="n">
        <v>0</v>
      </c>
      <c r="E6" s="4" t="n">
        <v>218</v>
      </c>
      <c r="F6" s="4" t="n">
        <v>0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Product Recall Impact</t>
        </is>
      </c>
      <c r="B7" s="4" t="n">
        <v>0</v>
      </c>
      <c r="C7" s="4" t="n">
        <v>0</v>
      </c>
      <c r="D7" s="4" t="n">
        <v>136</v>
      </c>
      <c r="E7" s="4" t="n">
        <v>187</v>
      </c>
      <c r="F7" s="4" t="n">
        <v>0</v>
      </c>
      <c r="G7" s="5" t="n"/>
      <c r="H7" s="5" t="n"/>
      <c r="I7" s="5" t="n"/>
      <c r="J7" s="5" t="n"/>
      <c r="K7" s="5" t="n"/>
      <c r="L7" s="5" t="n"/>
    </row>
    <row r="8">
      <c r="A8" s="3" t="inlineStr">
        <is>
          <t>Cash Payments for Product Recall</t>
        </is>
      </c>
      <c r="B8" s="4" t="n">
        <v>0</v>
      </c>
      <c r="C8" s="4" t="n">
        <v>0</v>
      </c>
      <c r="D8" s="4" t="n">
        <v>0</v>
      </c>
      <c r="E8" s="4" t="n">
        <v>-148</v>
      </c>
      <c r="F8" s="4" t="n">
        <v>-6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Operating Lease ROU Asset Amortization</t>
        </is>
      </c>
      <c r="B9" s="4" t="n">
        <v>505</v>
      </c>
      <c r="C9" s="4" t="n">
        <v>517</v>
      </c>
      <c r="D9" s="4" t="n">
        <v>570</v>
      </c>
      <c r="E9" s="4" t="n">
        <v>655</v>
      </c>
      <c r="F9" s="4" t="n">
        <v>727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Stock-Based Compensation</t>
        </is>
      </c>
      <c r="B10" s="4" t="n">
        <v>301</v>
      </c>
      <c r="C10" s="4" t="n">
        <v>343</v>
      </c>
      <c r="D10" s="4" t="n">
        <v>380</v>
      </c>
      <c r="E10" s="4" t="n">
        <v>362</v>
      </c>
      <c r="F10" s="4" t="n">
        <v>288</v>
      </c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Restructuring and Asset Impairment Charges</t>
        </is>
      </c>
      <c r="B11" s="4" t="n">
        <v>247</v>
      </c>
      <c r="C11" s="4" t="n">
        <v>411</v>
      </c>
      <c r="D11" s="4" t="n">
        <v>445</v>
      </c>
      <c r="E11" s="4" t="n">
        <v>727</v>
      </c>
      <c r="F11" s="4" t="n">
        <v>983</v>
      </c>
      <c r="G11" s="5" t="n"/>
      <c r="H11" s="5" t="n"/>
      <c r="I11" s="5" t="n"/>
      <c r="J11" s="5" t="n"/>
      <c r="K11" s="5" t="n"/>
      <c r="L11" s="5" t="n"/>
    </row>
    <row r="12">
      <c r="A12" s="3" t="inlineStr">
        <is>
          <t>Cash Payments for Restructuring</t>
        </is>
      </c>
      <c r="B12" s="4" t="n">
        <v>-256</v>
      </c>
      <c r="C12" s="4" t="n">
        <v>-224</v>
      </c>
      <c r="D12" s="4" t="n">
        <v>-434</v>
      </c>
      <c r="E12" s="4" t="n">
        <v>-436</v>
      </c>
      <c r="F12" s="4" t="n">
        <v>-796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Acquisition and Divestiture-Related Charges</t>
        </is>
      </c>
      <c r="B13" s="4" t="n">
        <v>-4</v>
      </c>
      <c r="C13" s="4" t="n">
        <v>80</v>
      </c>
      <c r="D13" s="4" t="n">
        <v>41</v>
      </c>
      <c r="E13" s="4" t="n">
        <v>0</v>
      </c>
      <c r="F13" s="4" t="n">
        <v>453</v>
      </c>
      <c r="G13" s="5" t="n"/>
      <c r="H13" s="5" t="n"/>
      <c r="I13" s="5" t="n"/>
      <c r="J13" s="5" t="n"/>
      <c r="K13" s="5" t="n"/>
      <c r="L13" s="5" t="n"/>
    </row>
    <row r="14">
      <c r="A14" s="3" t="inlineStr">
        <is>
          <t>Cash Payments for Acquisition and Divestiture Costs</t>
        </is>
      </c>
      <c r="B14" s="4" t="n">
        <v>-176</v>
      </c>
      <c r="C14" s="4" t="n">
        <v>-46</v>
      </c>
      <c r="D14" s="4" t="n">
        <v>-41</v>
      </c>
      <c r="E14" s="4" t="n">
        <v>0</v>
      </c>
      <c r="F14" s="4" t="n">
        <v>-228</v>
      </c>
      <c r="G14" s="5" t="n"/>
      <c r="H14" s="5" t="n"/>
      <c r="I14" s="5" t="n"/>
      <c r="J14" s="5" t="n"/>
      <c r="K14" s="5" t="n"/>
      <c r="L14" s="5" t="n"/>
    </row>
    <row r="15">
      <c r="A15" s="3" t="inlineStr">
        <is>
          <t>Pension and Postretirement Benefits Expense</t>
        </is>
      </c>
      <c r="B15" s="4" t="n">
        <v>123</v>
      </c>
      <c r="C15" s="4" t="n">
        <v>419</v>
      </c>
      <c r="D15" s="4" t="n">
        <v>150</v>
      </c>
      <c r="E15" s="4" t="n">
        <v>414</v>
      </c>
      <c r="F15" s="4" t="n">
        <v>504</v>
      </c>
      <c r="G15" s="5" t="n"/>
      <c r="H15" s="5" t="n"/>
      <c r="I15" s="5" t="n"/>
      <c r="J15" s="5" t="n"/>
      <c r="K15" s="5" t="n"/>
      <c r="L15" s="5" t="n"/>
    </row>
    <row r="16">
      <c r="A16" s="3" t="inlineStr">
        <is>
          <t>Pension and Postretirement Benefits Contributions</t>
        </is>
      </c>
      <c r="B16" s="4" t="n">
        <v>-785</v>
      </c>
      <c r="C16" s="4" t="n">
        <v>-384</v>
      </c>
      <c r="D16" s="4" t="n">
        <v>-410</v>
      </c>
      <c r="E16" s="4" t="n">
        <v>-348</v>
      </c>
      <c r="F16" s="4" t="n">
        <v>-472</v>
      </c>
      <c r="G16" s="5" t="n"/>
      <c r="H16" s="5" t="n"/>
      <c r="I16" s="5" t="n"/>
      <c r="J16" s="5" t="n"/>
      <c r="K16" s="5" t="n"/>
      <c r="L16" s="5" t="n"/>
    </row>
    <row r="17">
      <c r="A17" s="3" t="inlineStr">
        <is>
          <t>(Benefit) Provision for Deferred Income Taxes</t>
        </is>
      </c>
      <c r="B17" s="4" t="n">
        <v>298</v>
      </c>
      <c r="C17" s="4" t="n">
        <v>-873</v>
      </c>
      <c r="D17" s="4" t="n">
        <v>-271</v>
      </c>
      <c r="E17" s="4" t="n">
        <v>-42</v>
      </c>
      <c r="F17" s="4" t="n">
        <v>71</v>
      </c>
      <c r="G17" s="5" t="n"/>
      <c r="H17" s="5" t="n"/>
      <c r="I17" s="5" t="n"/>
      <c r="J17" s="5" t="n"/>
      <c r="K17" s="5" t="n"/>
      <c r="L17" s="5" t="n"/>
    </row>
    <row r="18">
      <c r="A18" s="3" t="inlineStr">
        <is>
          <t>Tax Expense Related to TCJ Act</t>
        </is>
      </c>
      <c r="B18" s="4" t="n">
        <v>190</v>
      </c>
      <c r="C18" s="4" t="n">
        <v>86</v>
      </c>
      <c r="D18" s="4" t="n">
        <v>0</v>
      </c>
      <c r="E18" s="4" t="n">
        <v>0</v>
      </c>
      <c r="F18" s="4" t="n">
        <v>0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Tax Payments Related to TCJ Act</t>
        </is>
      </c>
      <c r="B19" s="4" t="n">
        <v>-309</v>
      </c>
      <c r="C19" s="4" t="n">
        <v>-309</v>
      </c>
      <c r="D19" s="4" t="n">
        <v>-309</v>
      </c>
      <c r="E19" s="4" t="n">
        <v>-579</v>
      </c>
      <c r="F19" s="4" t="n">
        <v>-772</v>
      </c>
      <c r="G19" s="5" t="n"/>
      <c r="H19" s="5" t="n"/>
      <c r="I19" s="5" t="n"/>
      <c r="J19" s="5" t="n"/>
      <c r="K19" s="5" t="n"/>
      <c r="L19" s="5" t="n"/>
    </row>
    <row r="20">
      <c r="A20" s="3" t="inlineStr">
        <is>
          <t>Accounts Receivable</t>
        </is>
      </c>
      <c r="B20" s="4" t="n">
        <v>-651</v>
      </c>
      <c r="C20" s="4" t="n">
        <v>-1763</v>
      </c>
      <c r="D20" s="4" t="n">
        <v>-793</v>
      </c>
      <c r="E20" s="4" t="n">
        <v>-138</v>
      </c>
      <c r="F20" s="4" t="n">
        <v>-580</v>
      </c>
      <c r="G20" s="5" t="n"/>
      <c r="H20" s="5" t="n"/>
      <c r="I20" s="5" t="n"/>
      <c r="J20" s="5" t="n"/>
      <c r="K20" s="5" t="n"/>
      <c r="L20" s="5" t="n"/>
    </row>
    <row r="21">
      <c r="A21" s="3" t="inlineStr">
        <is>
          <t>Inventories</t>
        </is>
      </c>
      <c r="B21" s="4" t="n">
        <v>-582</v>
      </c>
      <c r="C21" s="4" t="n">
        <v>-1142</v>
      </c>
      <c r="D21" s="4" t="n">
        <v>-261</v>
      </c>
      <c r="E21" s="4" t="n">
        <v>-314</v>
      </c>
      <c r="F21" s="4" t="n">
        <v>-150</v>
      </c>
      <c r="G21" s="5" t="n"/>
      <c r="H21" s="5" t="n"/>
      <c r="I21" s="5" t="n"/>
      <c r="J21" s="5" t="n"/>
      <c r="K21" s="5" t="n"/>
      <c r="L21" s="5" t="n"/>
    </row>
    <row r="22">
      <c r="A22" s="3" t="inlineStr">
        <is>
          <t>Prepaid Expenses</t>
        </is>
      </c>
      <c r="B22" s="4" t="n">
        <v>159</v>
      </c>
      <c r="C22" s="4" t="n">
        <v>118</v>
      </c>
      <c r="D22" s="4" t="n">
        <v>-13</v>
      </c>
      <c r="E22" s="4" t="n">
        <v>40</v>
      </c>
      <c r="F22" s="4" t="n">
        <v>195</v>
      </c>
      <c r="G22" s="5" t="n"/>
      <c r="H22" s="5" t="n"/>
      <c r="I22" s="5" t="n"/>
      <c r="J22" s="5" t="n"/>
      <c r="K22" s="5" t="n"/>
      <c r="L22" s="5" t="n"/>
    </row>
    <row r="23">
      <c r="A23" s="3" t="inlineStr">
        <is>
          <t>Accounts Payable</t>
        </is>
      </c>
      <c r="B23" s="4" t="n">
        <v>1762</v>
      </c>
      <c r="C23" s="4" t="n">
        <v>1842</v>
      </c>
      <c r="D23" s="4" t="n">
        <v>420</v>
      </c>
      <c r="E23" s="4" t="n">
        <v>-1161</v>
      </c>
      <c r="F23" s="4" t="n">
        <v>-677</v>
      </c>
      <c r="G23" s="5" t="n"/>
      <c r="H23" s="5" t="n"/>
      <c r="I23" s="5" t="n"/>
      <c r="J23" s="5" t="n"/>
      <c r="K23" s="5" t="n"/>
      <c r="L23" s="5" t="n"/>
    </row>
    <row r="24">
      <c r="A24" s="3" t="inlineStr">
        <is>
          <t>Other Current Liabilities</t>
        </is>
      </c>
      <c r="B24" s="4" t="n">
        <v>30</v>
      </c>
      <c r="C24" s="4" t="n">
        <v>57</v>
      </c>
      <c r="D24" s="4" t="n">
        <v>310</v>
      </c>
      <c r="E24" s="4" t="n">
        <v>-123</v>
      </c>
      <c r="F24" s="4" t="n">
        <v>-433</v>
      </c>
      <c r="G24" s="5" t="n"/>
      <c r="H24" s="5" t="n"/>
      <c r="I24" s="5" t="n"/>
      <c r="J24" s="5" t="n"/>
      <c r="K24" s="5" t="n"/>
      <c r="L24" s="5" t="n"/>
    </row>
    <row r="25">
      <c r="A25" s="3" t="inlineStr">
        <is>
          <t>Other Operating Items</t>
        </is>
      </c>
      <c r="B25" s="4" t="n">
        <v>375</v>
      </c>
      <c r="C25" s="4" t="n">
        <v>-359</v>
      </c>
      <c r="D25" s="4" t="n">
        <v>189</v>
      </c>
      <c r="E25" s="4" t="n">
        <v>-307</v>
      </c>
      <c r="F25" s="4" t="n">
        <v>-712</v>
      </c>
      <c r="G25" s="5" t="n"/>
      <c r="H25" s="5" t="n"/>
      <c r="I25" s="5" t="n"/>
      <c r="J25" s="5" t="n"/>
      <c r="K25" s="5" t="n"/>
      <c r="L25" s="5" t="n"/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6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  <c r="L26" s="7">
        <f>SUM(L2:L25)</f>
        <v/>
      </c>
    </row>
    <row r="27">
      <c r="A27" s="3" t="inlineStr">
        <is>
          <t>Purchase of PP&amp;E</t>
        </is>
      </c>
      <c r="B27" s="4" t="n">
        <v>-4625</v>
      </c>
      <c r="C27" s="4" t="n">
        <v>-5207</v>
      </c>
      <c r="D27" s="4" t="n">
        <v>-5518</v>
      </c>
      <c r="E27" s="4" t="n">
        <v>-5318</v>
      </c>
      <c r="F27" s="4" t="n">
        <v>-4415</v>
      </c>
      <c r="G27" s="5" t="n"/>
      <c r="H27" s="5" t="n"/>
      <c r="I27" s="5" t="n"/>
      <c r="J27" s="5" t="n"/>
      <c r="K27" s="5" t="n"/>
      <c r="L27" s="5" t="n"/>
    </row>
    <row r="28">
      <c r="A28" s="3" t="inlineStr">
        <is>
          <t>Proceeds from Sale of Assets</t>
        </is>
      </c>
      <c r="B28" s="4" t="n">
        <v>166</v>
      </c>
      <c r="C28" s="4" t="n">
        <v>251</v>
      </c>
      <c r="D28" s="4" t="n">
        <v>198</v>
      </c>
      <c r="E28" s="4" t="n">
        <v>342</v>
      </c>
      <c r="F28" s="4" t="n">
        <v>528</v>
      </c>
      <c r="G28" s="5" t="n"/>
      <c r="H28" s="5" t="n"/>
      <c r="I28" s="5" t="n"/>
      <c r="J28" s="5" t="n"/>
      <c r="K28" s="5" t="n"/>
      <c r="L28" s="5" t="n"/>
    </row>
    <row r="29">
      <c r="A29" s="3" t="inlineStr">
        <is>
          <t>Acquisitions, Net of Cash Acquired</t>
        </is>
      </c>
      <c r="B29" s="4" t="n">
        <v>-61</v>
      </c>
      <c r="C29" s="4" t="n">
        <v>-873</v>
      </c>
      <c r="D29" s="4" t="n">
        <v>-314</v>
      </c>
      <c r="E29" s="4" t="n">
        <v>-256</v>
      </c>
      <c r="F29" s="4" t="n">
        <v>-3391</v>
      </c>
      <c r="G29" s="5" t="n"/>
      <c r="H29" s="5" t="n"/>
      <c r="I29" s="5" t="n"/>
      <c r="J29" s="5" t="n"/>
      <c r="K29" s="5" t="n"/>
      <c r="L29" s="5" t="n"/>
    </row>
    <row r="30">
      <c r="A30" s="3" t="inlineStr">
        <is>
          <t>Proceeds from Juice Transaction</t>
        </is>
      </c>
      <c r="B30" s="4" t="n">
        <v>0</v>
      </c>
      <c r="C30" s="4" t="n">
        <v>3456</v>
      </c>
      <c r="D30" s="4" t="n">
        <v>0</v>
      </c>
      <c r="E30" s="4" t="n">
        <v>0</v>
      </c>
      <c r="F30" s="4" t="n">
        <v>0</v>
      </c>
      <c r="G30" s="5" t="n"/>
      <c r="H30" s="5" t="n"/>
      <c r="I30" s="5" t="n"/>
      <c r="J30" s="5" t="n"/>
      <c r="K30" s="5" t="n"/>
      <c r="L30" s="5" t="n"/>
    </row>
    <row r="31">
      <c r="A31" s="3" t="inlineStr">
        <is>
          <t>Proceeds from Divestitures of Businesses</t>
        </is>
      </c>
      <c r="B31" s="4" t="n">
        <v>169</v>
      </c>
      <c r="C31" s="4" t="n">
        <v>49</v>
      </c>
      <c r="D31" s="4" t="n">
        <v>75</v>
      </c>
      <c r="E31" s="4" t="n">
        <v>166</v>
      </c>
      <c r="F31" s="4" t="n">
        <v>39</v>
      </c>
      <c r="G31" s="5" t="n"/>
      <c r="H31" s="5" t="n"/>
      <c r="I31" s="5" t="n"/>
      <c r="J31" s="5" t="n"/>
      <c r="K31" s="5" t="n"/>
      <c r="L31" s="5" t="n"/>
    </row>
    <row r="32">
      <c r="A32" s="3" t="inlineStr">
        <is>
          <t>Net Change in Short-Term Investments</t>
        </is>
      </c>
      <c r="B32" s="4" t="n">
        <v>1077</v>
      </c>
      <c r="C32" s="4" t="n">
        <v>-117</v>
      </c>
      <c r="D32" s="4" t="n">
        <v>16</v>
      </c>
      <c r="E32" s="4" t="n">
        <v>-420</v>
      </c>
      <c r="F32" s="4" t="n">
        <v>460</v>
      </c>
      <c r="G32" s="5" t="n"/>
      <c r="H32" s="5" t="n"/>
      <c r="I32" s="5" t="n"/>
      <c r="J32" s="5" t="n"/>
      <c r="K32" s="5" t="n"/>
      <c r="L32" s="5" t="n"/>
    </row>
    <row r="33">
      <c r="A33" s="3" t="inlineStr">
        <is>
          <t>Other Investing Activities</t>
        </is>
      </c>
      <c r="B33" s="4" t="n">
        <v>5</v>
      </c>
      <c r="C33" s="4" t="n">
        <v>11</v>
      </c>
      <c r="D33" s="4" t="n">
        <v>48</v>
      </c>
      <c r="E33" s="4" t="n">
        <v>14</v>
      </c>
      <c r="F33" s="4" t="n">
        <v>-100</v>
      </c>
      <c r="G33" s="5" t="n"/>
      <c r="H33" s="5" t="n"/>
      <c r="I33" s="5" t="n"/>
      <c r="J33" s="5" t="n"/>
      <c r="K33" s="5" t="n"/>
      <c r="L33" s="5" t="n"/>
    </row>
    <row r="34">
      <c r="A34" s="3" t="inlineStr">
        <is>
          <t>Cash Flow from Investing</t>
        </is>
      </c>
      <c r="B34" s="6">
        <f>SUM(B27:B33)</f>
        <v/>
      </c>
      <c r="C34" s="6">
        <f>SUM(C27:C33)</f>
        <v/>
      </c>
      <c r="D34" s="6">
        <f>SUM(D27:D33)</f>
        <v/>
      </c>
      <c r="E34" s="6">
        <f>SUM(E27:E33)</f>
        <v/>
      </c>
      <c r="F34" s="6">
        <f>SUM(F27:F33)</f>
        <v/>
      </c>
      <c r="G34" s="7">
        <f>SUM(G27:G33)</f>
        <v/>
      </c>
      <c r="H34" s="7">
        <f>SUM(H27:H33)</f>
        <v/>
      </c>
      <c r="I34" s="7">
        <f>SUM(I27:I33)</f>
        <v/>
      </c>
      <c r="J34" s="7">
        <f>SUM(J27:J33)</f>
        <v/>
      </c>
      <c r="K34" s="7">
        <f>SUM(K27:K33)</f>
        <v/>
      </c>
      <c r="L34" s="7">
        <f>SUM(L27:L33)</f>
        <v/>
      </c>
    </row>
    <row r="35">
      <c r="A35" s="3" t="inlineStr">
        <is>
          <t>Proceeds from Issuance of Long-Term Debt</t>
        </is>
      </c>
      <c r="B35" s="4" t="n">
        <v>4122</v>
      </c>
      <c r="C35" s="4" t="n">
        <v>3377</v>
      </c>
      <c r="D35" s="4" t="n">
        <v>5482</v>
      </c>
      <c r="E35" s="4" t="n">
        <v>4042</v>
      </c>
      <c r="F35" s="4" t="n">
        <v>8189</v>
      </c>
      <c r="G35" s="5" t="n"/>
      <c r="H35" s="5" t="n"/>
      <c r="I35" s="5" t="n"/>
      <c r="J35" s="5" t="n"/>
      <c r="K35" s="5" t="n"/>
      <c r="L35" s="5" t="n"/>
    </row>
    <row r="36">
      <c r="A36" s="3" t="inlineStr">
        <is>
          <t>Repayments of Long-Term Debt</t>
        </is>
      </c>
      <c r="B36" s="4" t="n">
        <v>-8299</v>
      </c>
      <c r="C36" s="4" t="n">
        <v>-4174</v>
      </c>
      <c r="D36" s="4" t="n">
        <v>-3005</v>
      </c>
      <c r="E36" s="4" t="n">
        <v>-3886</v>
      </c>
      <c r="F36" s="4" t="n">
        <v>-4082</v>
      </c>
      <c r="G36" s="5" t="n"/>
      <c r="H36" s="5" t="n"/>
      <c r="I36" s="5" t="n"/>
      <c r="J36" s="5" t="n"/>
      <c r="K36" s="5" t="n"/>
      <c r="L36" s="5" t="n"/>
    </row>
    <row r="37">
      <c r="A37" s="3" t="inlineStr">
        <is>
          <t>Proceeds from Short-Term Debt</t>
        </is>
      </c>
      <c r="B37" s="4" t="n">
        <v>8</v>
      </c>
      <c r="C37" s="4" t="n">
        <v>1969</v>
      </c>
      <c r="D37" s="4" t="n">
        <v>5428</v>
      </c>
      <c r="E37" s="4" t="n">
        <v>5786</v>
      </c>
      <c r="F37" s="4" t="n">
        <v>6391</v>
      </c>
      <c r="G37" s="5" t="n"/>
      <c r="H37" s="5" t="n"/>
      <c r="I37" s="5" t="n"/>
      <c r="J37" s="5" t="n"/>
      <c r="K37" s="5" t="n"/>
      <c r="L37" s="5" t="n"/>
    </row>
    <row r="38">
      <c r="A38" s="3" t="inlineStr">
        <is>
          <t>Repayments of Short-Term Debt</t>
        </is>
      </c>
      <c r="B38" s="4" t="n">
        <v>-397</v>
      </c>
      <c r="C38" s="4" t="n">
        <v>-1951</v>
      </c>
      <c r="D38" s="4" t="n">
        <v>-3106</v>
      </c>
      <c r="E38" s="4" t="n">
        <v>-5639</v>
      </c>
      <c r="F38" s="4" t="n">
        <v>-7920</v>
      </c>
      <c r="G38" s="5" t="n"/>
      <c r="H38" s="5" t="n"/>
      <c r="I38" s="5" t="n"/>
      <c r="J38" s="5" t="n"/>
      <c r="K38" s="5" t="n"/>
      <c r="L38" s="5" t="n"/>
    </row>
    <row r="39">
      <c r="A39" s="3" t="inlineStr">
        <is>
          <t>Net Change in Other Short-Term Debt</t>
        </is>
      </c>
      <c r="B39" s="4" t="n">
        <v>434</v>
      </c>
      <c r="C39" s="4" t="n">
        <v>-31</v>
      </c>
      <c r="D39" s="4" t="n">
        <v>-29</v>
      </c>
      <c r="E39" s="4" t="n">
        <v>392</v>
      </c>
      <c r="F39" s="4" t="n">
        <v>1170</v>
      </c>
      <c r="G39" s="5" t="n"/>
      <c r="H39" s="5" t="n"/>
      <c r="I39" s="5" t="n"/>
      <c r="J39" s="5" t="n"/>
      <c r="K39" s="5" t="n"/>
      <c r="L39" s="5" t="n"/>
    </row>
    <row r="40">
      <c r="A40" s="3" t="inlineStr">
        <is>
          <t>Payments of Contingent Consideration</t>
        </is>
      </c>
      <c r="B40" s="4" t="n">
        <v>-773</v>
      </c>
      <c r="C40" s="4" t="n">
        <v>0</v>
      </c>
      <c r="D40" s="4" t="n">
        <v>0</v>
      </c>
      <c r="E40" s="4" t="n">
        <v>0</v>
      </c>
      <c r="F40" s="4" t="n">
        <v>0</v>
      </c>
      <c r="G40" s="5" t="n"/>
      <c r="H40" s="5" t="n"/>
      <c r="I40" s="5" t="n"/>
      <c r="J40" s="5" t="n"/>
      <c r="K40" s="5" t="n"/>
      <c r="L40" s="5" t="n"/>
    </row>
    <row r="41">
      <c r="A41" s="3" t="inlineStr">
        <is>
          <t>Common Dividends</t>
        </is>
      </c>
      <c r="B41" s="4" t="n">
        <v>-5815</v>
      </c>
      <c r="C41" s="4" t="n">
        <v>-6172</v>
      </c>
      <c r="D41" s="4" t="n">
        <v>-6682</v>
      </c>
      <c r="E41" s="4" t="n">
        <v>-7229</v>
      </c>
      <c r="F41" s="4" t="n">
        <v>-7638</v>
      </c>
      <c r="G41" s="5" t="n"/>
      <c r="H41" s="5" t="n"/>
      <c r="I41" s="5" t="n"/>
      <c r="J41" s="5" t="n"/>
      <c r="K41" s="5" t="n"/>
      <c r="L41" s="5" t="n"/>
    </row>
    <row r="42">
      <c r="A42" s="3" t="inlineStr">
        <is>
          <t>Share Repurchases</t>
        </is>
      </c>
      <c r="B42" s="4" t="n">
        <v>-106</v>
      </c>
      <c r="C42" s="4" t="n">
        <v>-1500</v>
      </c>
      <c r="D42" s="4" t="n">
        <v>-1000</v>
      </c>
      <c r="E42" s="4" t="n">
        <v>-1000</v>
      </c>
      <c r="F42" s="4" t="n">
        <v>-1000</v>
      </c>
      <c r="G42" s="5" t="n"/>
      <c r="H42" s="5" t="n"/>
      <c r="I42" s="5" t="n"/>
      <c r="J42" s="5" t="n"/>
      <c r="K42" s="5" t="n"/>
      <c r="L42" s="5" t="n"/>
    </row>
    <row r="43">
      <c r="A43" s="3" t="inlineStr">
        <is>
          <t>Proceeds from Exercise of Stock Options</t>
        </is>
      </c>
      <c r="B43" s="4" t="n">
        <v>185</v>
      </c>
      <c r="C43" s="4" t="n">
        <v>138</v>
      </c>
      <c r="D43" s="4" t="n">
        <v>116</v>
      </c>
      <c r="E43" s="4" t="n">
        <v>166</v>
      </c>
      <c r="F43" s="4" t="n">
        <v>97</v>
      </c>
      <c r="G43" s="5" t="n"/>
      <c r="H43" s="5" t="n"/>
      <c r="I43" s="5" t="n"/>
      <c r="J43" s="5" t="n"/>
      <c r="K43" s="5" t="n"/>
      <c r="L43" s="5" t="n"/>
    </row>
    <row r="44">
      <c r="A44" s="3" t="inlineStr">
        <is>
          <t>Tax Withholdings on RSU/PSU Settlement</t>
        </is>
      </c>
      <c r="B44" s="4" t="n">
        <v>-92</v>
      </c>
      <c r="C44" s="4" t="n">
        <v>-107</v>
      </c>
      <c r="D44" s="4" t="n">
        <v>-140</v>
      </c>
      <c r="E44" s="4" t="n">
        <v>-135</v>
      </c>
      <c r="F44" s="4" t="n">
        <v>-113</v>
      </c>
      <c r="G44" s="5" t="n"/>
      <c r="H44" s="5" t="n"/>
      <c r="I44" s="5" t="n"/>
      <c r="J44" s="5" t="n"/>
      <c r="K44" s="5" t="n"/>
      <c r="L44" s="5" t="n"/>
    </row>
    <row r="45">
      <c r="A45" s="3" t="inlineStr">
        <is>
          <t>Other Financing Activities</t>
        </is>
      </c>
      <c r="B45" s="4" t="n">
        <v>-47</v>
      </c>
      <c r="C45" s="4" t="n">
        <v>-72</v>
      </c>
      <c r="D45" s="4" t="n">
        <v>-73</v>
      </c>
      <c r="E45" s="4" t="n">
        <v>-53</v>
      </c>
      <c r="F45" s="4" t="n">
        <v>-73</v>
      </c>
      <c r="G45" s="5" t="n"/>
      <c r="H45" s="5" t="n"/>
      <c r="I45" s="5" t="n"/>
      <c r="J45" s="5" t="n"/>
      <c r="K45" s="5" t="n"/>
      <c r="L45" s="5" t="n"/>
    </row>
    <row r="46">
      <c r="A46" s="3" t="inlineStr">
        <is>
          <t>Cash Flow from Financing</t>
        </is>
      </c>
      <c r="B46" s="6">
        <f>SUM(B35:B45)</f>
        <v/>
      </c>
      <c r="C46" s="6">
        <f>SUM(C35:C45)</f>
        <v/>
      </c>
      <c r="D46" s="6">
        <f>SUM(D35:D45)</f>
        <v/>
      </c>
      <c r="E46" s="6">
        <f>SUM(E35:E45)</f>
        <v/>
      </c>
      <c r="F46" s="6">
        <f>SUM(F35:F45)</f>
        <v/>
      </c>
      <c r="G46" s="7">
        <f>SUM(G35:G45)</f>
        <v/>
      </c>
      <c r="H46" s="7">
        <f>SUM(H35:H45)</f>
        <v/>
      </c>
      <c r="I46" s="7">
        <f>SUM(I35:I45)</f>
        <v/>
      </c>
      <c r="J46" s="7">
        <f>SUM(J35:J45)</f>
        <v/>
      </c>
      <c r="K46" s="7">
        <f>SUM(K35:K45)</f>
        <v/>
      </c>
      <c r="L46" s="7">
        <f>SUM(L35:L45)</f>
        <v/>
      </c>
    </row>
    <row r="47">
      <c r="A47" s="3" t="inlineStr">
        <is>
          <t>FX Effect on Cash</t>
        </is>
      </c>
      <c r="B47" s="4" t="n">
        <v>-114</v>
      </c>
      <c r="C47" s="4" t="n">
        <v>-465</v>
      </c>
      <c r="D47" s="4" t="n">
        <v>-277</v>
      </c>
      <c r="E47" s="4" t="n">
        <v>-687</v>
      </c>
      <c r="F47" s="4" t="n">
        <v>422</v>
      </c>
      <c r="G47" s="5" t="n"/>
      <c r="H47" s="5" t="n"/>
      <c r="I47" s="5" t="n"/>
      <c r="J47" s="5" t="n"/>
      <c r="K47" s="5" t="n"/>
      <c r="L47" s="5" t="n"/>
    </row>
    <row r="48">
      <c r="A48" s="3" t="inlineStr">
        <is>
          <t>Net Change in Cash</t>
        </is>
      </c>
      <c r="B48" s="6">
        <f>B26+B34+B46+B47+B48</f>
        <v/>
      </c>
      <c r="C48" s="6">
        <f>C26+C34+C46+C47+C48</f>
        <v/>
      </c>
      <c r="D48" s="6">
        <f>D26+D34+D46+D47+D48</f>
        <v/>
      </c>
      <c r="E48" s="6">
        <f>E26+E34+E46+E47+E48</f>
        <v/>
      </c>
      <c r="F48" s="6">
        <f>F26+F34+F46+F47+F48</f>
        <v/>
      </c>
      <c r="G48" s="7">
        <f>G26+G34+G46+G47+G48</f>
        <v/>
      </c>
      <c r="H48" s="7">
        <f>H26+H34+H46+H47+H48</f>
        <v/>
      </c>
      <c r="I48" s="7">
        <f>I26+I34+I46+I47+I48</f>
        <v/>
      </c>
      <c r="J48" s="7">
        <f>J26+J34+J46+J47+J48</f>
        <v/>
      </c>
      <c r="K48" s="7">
        <f>K26+K34+K46+K47+K48</f>
        <v/>
      </c>
      <c r="L48" s="7">
        <f>L26+L34+L46+L47+L48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Sales / Revenue</t>
        </is>
      </c>
      <c r="B2" s="4" t="n">
        <v>16200</v>
      </c>
      <c r="C2" s="4" t="n">
        <v>36425</v>
      </c>
      <c r="D2" s="4" t="n">
        <v>58396</v>
      </c>
      <c r="E2" s="4" t="n">
        <v>17846</v>
      </c>
      <c r="F2" s="4" t="n">
        <v>40168</v>
      </c>
      <c r="G2" s="4" t="n">
        <v>63621</v>
      </c>
      <c r="H2" s="4" t="n">
        <v>18250</v>
      </c>
      <c r="I2" s="4" t="n">
        <v>40751</v>
      </c>
      <c r="J2" s="4" t="n">
        <v>64070</v>
      </c>
      <c r="K2" s="4" t="n">
        <v>17919</v>
      </c>
      <c r="L2" s="4" t="n">
        <v>40645</v>
      </c>
      <c r="M2" s="4" t="n">
        <v>64582</v>
      </c>
      <c r="N2" s="4" t="n">
        <v>19443</v>
      </c>
    </row>
    <row r="3">
      <c r="A3" s="3" t="inlineStr">
        <is>
          <t>COGS</t>
        </is>
      </c>
      <c r="B3" s="4" t="n">
        <v>-7433</v>
      </c>
      <c r="C3" s="4" t="n">
        <v>-16848</v>
      </c>
      <c r="D3" s="4" t="n">
        <v>-27156</v>
      </c>
      <c r="E3" s="4" t="n">
        <v>-7988</v>
      </c>
      <c r="F3" s="4" t="n">
        <v>-18109</v>
      </c>
      <c r="G3" s="4" t="n">
        <v>-28784</v>
      </c>
      <c r="H3" s="4" t="n">
        <v>-8248</v>
      </c>
      <c r="I3" s="4" t="n">
        <v>-18167</v>
      </c>
      <c r="J3" s="4" t="n">
        <v>-28563</v>
      </c>
      <c r="K3" s="4" t="n">
        <v>-7926</v>
      </c>
      <c r="L3" s="4" t="n">
        <v>-18230</v>
      </c>
      <c r="M3" s="4" t="n">
        <v>-29343</v>
      </c>
      <c r="N3" s="4" t="n">
        <v>-8712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</row>
    <row r="5">
      <c r="A5" s="3" t="inlineStr">
        <is>
          <t>SG&amp;A</t>
        </is>
      </c>
      <c r="B5" s="4" t="n">
        <v>-6580</v>
      </c>
      <c r="C5" s="4" t="n">
        <v>-13967</v>
      </c>
      <c r="D5" s="4" t="n">
        <v>-22262</v>
      </c>
      <c r="E5" s="4" t="n">
        <v>-7229</v>
      </c>
      <c r="F5" s="4" t="n">
        <v>-15771</v>
      </c>
      <c r="G5" s="4" t="n">
        <v>-24528</v>
      </c>
      <c r="H5" s="4" t="n">
        <v>-7285</v>
      </c>
      <c r="I5" s="4" t="n">
        <v>-15819</v>
      </c>
      <c r="J5" s="4" t="n">
        <v>-24870</v>
      </c>
      <c r="K5" s="4" t="n">
        <v>-7410</v>
      </c>
      <c r="L5" s="4" t="n">
        <v>-16183</v>
      </c>
      <c r="M5" s="4" t="n">
        <v>-25305</v>
      </c>
      <c r="N5" s="4" t="n">
        <v>-7518</v>
      </c>
    </row>
    <row r="6">
      <c r="A6" s="3" t="inlineStr">
        <is>
          <t>Gain on Juice Transaction</t>
        </is>
      </c>
      <c r="B6" s="4" t="n">
        <v>-3322</v>
      </c>
      <c r="C6" s="4" t="n">
        <v>-3335</v>
      </c>
      <c r="D6" s="4" t="n">
        <v>-3321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Impairment of Intangibles</t>
        </is>
      </c>
      <c r="B7" s="4" t="n">
        <v>-242</v>
      </c>
      <c r="C7" s="4" t="n">
        <v>-1601</v>
      </c>
      <c r="D7" s="4" t="n">
        <v>-1602</v>
      </c>
      <c r="E7" s="4" t="n">
        <v>0</v>
      </c>
      <c r="F7" s="4" t="n">
        <v>0</v>
      </c>
      <c r="G7" s="4" t="n">
        <v>-6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-1860</v>
      </c>
      <c r="M7" s="4" t="n">
        <v>-1993</v>
      </c>
      <c r="N7" s="4" t="n">
        <v>0</v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6">
        <f>G4+SUM(G5:G7)</f>
        <v/>
      </c>
      <c r="H8" s="6">
        <f>H4+SUM(H5:H7)</f>
        <v/>
      </c>
      <c r="I8" s="6">
        <f>I4+SUM(I5:I7)</f>
        <v/>
      </c>
      <c r="J8" s="6">
        <f>J4+SUM(J5:J7)</f>
        <v/>
      </c>
      <c r="K8" s="6">
        <f>K4+SUM(K5:K7)</f>
        <v/>
      </c>
      <c r="L8" s="6">
        <f>L4+SUM(L5:L7)</f>
        <v/>
      </c>
      <c r="M8" s="6">
        <f>M4+SUM(M5:M7)</f>
        <v/>
      </c>
      <c r="N8" s="6">
        <f>N4+SUM(N5:N7)</f>
        <v/>
      </c>
    </row>
    <row r="9">
      <c r="A9" s="3" t="inlineStr">
        <is>
          <t>Other Pension and OPEB Benefits Income (Expense)</t>
        </is>
      </c>
      <c r="B9" s="4" t="n">
        <v>134</v>
      </c>
      <c r="C9" s="4" t="n">
        <v>132</v>
      </c>
      <c r="D9" s="4" t="n">
        <v>168</v>
      </c>
      <c r="E9" s="4" t="n">
        <v>61</v>
      </c>
      <c r="F9" s="4" t="n">
        <v>121</v>
      </c>
      <c r="G9" s="4" t="n">
        <v>183</v>
      </c>
      <c r="H9" s="4" t="n">
        <v>58</v>
      </c>
      <c r="I9" s="4" t="n">
        <v>114</v>
      </c>
      <c r="J9" s="4" t="n">
        <v>155</v>
      </c>
      <c r="K9" s="4" t="n">
        <v>23</v>
      </c>
      <c r="L9" s="4" t="n">
        <v>65</v>
      </c>
      <c r="M9" s="4" t="n">
        <v>91</v>
      </c>
      <c r="N9" s="4" t="n">
        <v>58</v>
      </c>
    </row>
    <row r="10">
      <c r="A10" s="3" t="inlineStr">
        <is>
          <t>Interest Income (Expense)</t>
        </is>
      </c>
      <c r="B10" s="4" t="n">
        <v>-240</v>
      </c>
      <c r="C10" s="4" t="n">
        <v>-476</v>
      </c>
      <c r="D10" s="4" t="n">
        <v>-666</v>
      </c>
      <c r="E10" s="4" t="n">
        <v>-200</v>
      </c>
      <c r="F10" s="4" t="n">
        <v>-401</v>
      </c>
      <c r="G10" s="4" t="n">
        <v>-602</v>
      </c>
      <c r="H10" s="4" t="n">
        <v>-202</v>
      </c>
      <c r="I10" s="4" t="n">
        <v>-436</v>
      </c>
      <c r="J10" s="4" t="n">
        <v>-655</v>
      </c>
      <c r="K10" s="4" t="n">
        <v>-264</v>
      </c>
      <c r="L10" s="4" t="n">
        <v>-524</v>
      </c>
      <c r="M10" s="4" t="n">
        <v>-788</v>
      </c>
      <c r="N10" s="4" t="n">
        <v>-301</v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6">
        <f>G8+SUM(G9:G10)</f>
        <v/>
      </c>
      <c r="H11" s="6">
        <f>H8+SUM(H9:H10)</f>
        <v/>
      </c>
      <c r="I11" s="6">
        <f>I8+SUM(I9:I10)</f>
        <v/>
      </c>
      <c r="J11" s="6">
        <f>J8+SUM(J9:J10)</f>
        <v/>
      </c>
      <c r="K11" s="6">
        <f>K8+SUM(K9:K10)</f>
        <v/>
      </c>
      <c r="L11" s="6">
        <f>L8+SUM(L9:L10)</f>
        <v/>
      </c>
      <c r="M11" s="6">
        <f>M8+SUM(M9:M10)</f>
        <v/>
      </c>
      <c r="N11" s="6">
        <f>N8+SUM(N9:N10)</f>
        <v/>
      </c>
    </row>
    <row r="12">
      <c r="A12" s="3" t="inlineStr">
        <is>
          <t>Income Tax (Expense) Benefit</t>
        </is>
      </c>
      <c r="B12" s="4" t="n">
        <v>-888</v>
      </c>
      <c r="C12" s="4" t="n">
        <v>-1281</v>
      </c>
      <c r="D12" s="4" t="n">
        <v>-1756</v>
      </c>
      <c r="E12" s="4" t="n">
        <v>-546</v>
      </c>
      <c r="F12" s="4" t="n">
        <v>-1293</v>
      </c>
      <c r="G12" s="4" t="n">
        <v>-2053</v>
      </c>
      <c r="H12" s="4" t="n">
        <v>-520</v>
      </c>
      <c r="I12" s="4" t="n">
        <v>-1296</v>
      </c>
      <c r="J12" s="4" t="n">
        <v>-2045</v>
      </c>
      <c r="K12" s="4" t="n">
        <v>-499</v>
      </c>
      <c r="L12" s="4" t="n">
        <v>-791</v>
      </c>
      <c r="M12" s="4" t="n">
        <v>-1504</v>
      </c>
      <c r="N12" s="4" t="n">
        <v>-632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  <c r="N13" s="6">
        <f>N11+N12</f>
        <v/>
      </c>
    </row>
    <row r="14">
      <c r="A14" s="3" t="inlineStr">
        <is>
          <t>Net Income (Loss) Attributable to Noncontrolling Interest</t>
        </is>
      </c>
      <c r="B14" s="4" t="n">
        <v>12</v>
      </c>
      <c r="C14" s="4" t="n">
        <v>29</v>
      </c>
      <c r="D14" s="4" t="n">
        <v>51</v>
      </c>
      <c r="E14" s="4" t="n">
        <v>12</v>
      </c>
      <c r="F14" s="4" t="n">
        <v>35</v>
      </c>
      <c r="G14" s="4" t="n">
        <v>59</v>
      </c>
      <c r="H14" s="4" t="n">
        <v>11</v>
      </c>
      <c r="I14" s="4" t="n">
        <v>22</v>
      </c>
      <c r="J14" s="4" t="n">
        <v>37</v>
      </c>
      <c r="K14" s="4" t="n">
        <v>9</v>
      </c>
      <c r="L14" s="4" t="n">
        <v>25</v>
      </c>
      <c r="M14" s="4" t="n">
        <v>40</v>
      </c>
      <c r="N14" s="4" t="n">
        <v>11</v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6">
        <f>G13-G14</f>
        <v/>
      </c>
      <c r="H15" s="6">
        <f>H13-H14</f>
        <v/>
      </c>
      <c r="I15" s="6">
        <f>I13-I14</f>
        <v/>
      </c>
      <c r="J15" s="6">
        <f>J13-J14</f>
        <v/>
      </c>
      <c r="K15" s="6">
        <f>K13-K14</f>
        <v/>
      </c>
      <c r="L15" s="6">
        <f>L13-L14</f>
        <v/>
      </c>
      <c r="M15" s="6">
        <f>M13-M14</f>
        <v/>
      </c>
      <c r="N15" s="6">
        <f>N13-N14</f>
        <v/>
      </c>
    </row>
    <row r="16">
      <c r="A16" s="3" t="inlineStr">
        <is>
          <t>Basic Earnings (Loss) per Share</t>
        </is>
      </c>
      <c r="B16" s="8" t="n">
        <v>3.08</v>
      </c>
      <c r="C16" s="8" t="n">
        <v>4.11</v>
      </c>
      <c r="D16" s="8" t="n">
        <v>6.07</v>
      </c>
      <c r="E16" s="8" t="n">
        <v>1.4</v>
      </c>
      <c r="F16" s="8" t="n">
        <v>3.4</v>
      </c>
      <c r="G16" s="8" t="n">
        <v>5.64</v>
      </c>
      <c r="H16" s="8" t="n">
        <v>1.49</v>
      </c>
      <c r="I16" s="8" t="n">
        <v>3.73</v>
      </c>
      <c r="J16" s="8" t="n">
        <v>5.86</v>
      </c>
      <c r="K16" s="8" t="n">
        <v>1.34</v>
      </c>
      <c r="L16" s="8" t="n">
        <v>2.26</v>
      </c>
      <c r="M16" s="8" t="n">
        <v>4.16</v>
      </c>
      <c r="N16" s="8" t="n">
        <v>1.7</v>
      </c>
    </row>
    <row r="17">
      <c r="A17" s="3" t="inlineStr">
        <is>
          <t>Diluted Earnings (Loss) per Share</t>
        </is>
      </c>
      <c r="B17" s="8" t="n">
        <v>3.06</v>
      </c>
      <c r="C17" s="8" t="n">
        <v>4.09</v>
      </c>
      <c r="D17" s="8" t="n">
        <v>6.04</v>
      </c>
      <c r="E17" s="8" t="n">
        <v>1.4</v>
      </c>
      <c r="F17" s="8" t="n">
        <v>3.38</v>
      </c>
      <c r="G17" s="8" t="n">
        <v>5.62</v>
      </c>
      <c r="H17" s="8" t="n">
        <v>1.48</v>
      </c>
      <c r="I17" s="8" t="n">
        <v>3.71</v>
      </c>
      <c r="J17" s="8" t="n">
        <v>5.84</v>
      </c>
      <c r="K17" s="8" t="n">
        <v>1.33</v>
      </c>
      <c r="L17" s="8" t="n">
        <v>2.25</v>
      </c>
      <c r="M17" s="8" t="n">
        <v>4.15</v>
      </c>
      <c r="N17" s="8" t="n">
        <v>1.7</v>
      </c>
    </row>
    <row r="18">
      <c r="A18" s="3" t="inlineStr">
        <is>
          <t>Weighted Average Shares Outstanding (Basic)</t>
        </is>
      </c>
      <c r="B18" s="4" t="n">
        <v>1383000000</v>
      </c>
      <c r="C18" s="4" t="n">
        <v>1383000000</v>
      </c>
      <c r="D18" s="4" t="n">
        <v>1382000000</v>
      </c>
      <c r="E18" s="4" t="n">
        <v>1378000000</v>
      </c>
      <c r="F18" s="4" t="n">
        <v>1378000000</v>
      </c>
      <c r="G18" s="4" t="n">
        <v>1377000000</v>
      </c>
      <c r="H18" s="4" t="n">
        <v>1375000000</v>
      </c>
      <c r="I18" s="4" t="n">
        <v>1375000000</v>
      </c>
      <c r="J18" s="4" t="n">
        <v>1374000000</v>
      </c>
      <c r="K18" s="4" t="n">
        <v>1372000000</v>
      </c>
      <c r="L18" s="4" t="n">
        <v>1371000000</v>
      </c>
      <c r="M18" s="4" t="n">
        <v>1370000000</v>
      </c>
      <c r="N18" s="4" t="n">
        <v>1367000000</v>
      </c>
    </row>
    <row r="19">
      <c r="A19" s="3" t="inlineStr">
        <is>
          <t>Weighted Average Shares Outstanding (Diluted)</t>
        </is>
      </c>
      <c r="B19" s="4" t="n">
        <v>1391000000</v>
      </c>
      <c r="C19" s="4" t="n">
        <v>1390000000</v>
      </c>
      <c r="D19" s="4" t="n">
        <v>1389000000</v>
      </c>
      <c r="E19" s="4" t="n">
        <v>1384000000</v>
      </c>
      <c r="F19" s="4" t="n">
        <v>1384000000</v>
      </c>
      <c r="G19" s="4" t="n">
        <v>1384000000</v>
      </c>
      <c r="H19" s="4" t="n">
        <v>1380000000</v>
      </c>
      <c r="I19" s="4" t="n">
        <v>1380000000</v>
      </c>
      <c r="J19" s="4" t="n">
        <v>1379000000</v>
      </c>
      <c r="K19" s="4" t="n">
        <v>1376000000</v>
      </c>
      <c r="L19" s="4" t="n">
        <v>1374000000</v>
      </c>
      <c r="M19" s="4" t="n">
        <v>1373000000</v>
      </c>
      <c r="N19" s="4" t="n">
        <v>1371000000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</row>
    <row r="2">
      <c r="A2" s="3" t="inlineStr">
        <is>
          <t>Cash &amp; Cash Equivalents</t>
        </is>
      </c>
      <c r="B2" s="4" t="n">
        <v>4954</v>
      </c>
      <c r="C2" s="4" t="n">
        <v>4770</v>
      </c>
      <c r="D2" s="4" t="n">
        <v>6116</v>
      </c>
      <c r="E2" s="4" t="n">
        <v>10017</v>
      </c>
      <c r="F2" s="4" t="n">
        <v>9711</v>
      </c>
      <c r="G2" s="4" t="n">
        <v>8047</v>
      </c>
      <c r="H2" s="4" t="n">
        <v>6353</v>
      </c>
      <c r="I2" s="4" t="n">
        <v>7308</v>
      </c>
      <c r="J2" s="4" t="n">
        <v>8505</v>
      </c>
      <c r="K2" s="4" t="n">
        <v>8268</v>
      </c>
      <c r="L2" s="4" t="n">
        <v>7631</v>
      </c>
      <c r="M2" s="4" t="n">
        <v>8126</v>
      </c>
      <c r="N2" s="4" t="n">
        <v>9159</v>
      </c>
      <c r="O2" s="4" t="n">
        <v>10475</v>
      </c>
    </row>
    <row r="3">
      <c r="A3" s="3" t="inlineStr">
        <is>
          <t>Short-Term Investments</t>
        </is>
      </c>
      <c r="B3" s="4" t="n">
        <v>394</v>
      </c>
      <c r="C3" s="4" t="n">
        <v>434</v>
      </c>
      <c r="D3" s="4" t="n">
        <v>338</v>
      </c>
      <c r="E3" s="4" t="n">
        <v>266</v>
      </c>
      <c r="F3" s="4" t="n">
        <v>292</v>
      </c>
      <c r="G3" s="4" t="n">
        <v>303</v>
      </c>
      <c r="H3" s="4" t="n">
        <v>315</v>
      </c>
      <c r="I3" s="4" t="n">
        <v>743</v>
      </c>
      <c r="J3" s="4" t="n">
        <v>761</v>
      </c>
      <c r="K3" s="4" t="n">
        <v>314</v>
      </c>
      <c r="L3" s="4" t="n">
        <v>342</v>
      </c>
      <c r="M3" s="4" t="n">
        <v>535</v>
      </c>
      <c r="N3" s="4" t="n">
        <v>371</v>
      </c>
      <c r="O3" s="4" t="n">
        <v>353</v>
      </c>
    </row>
    <row r="4">
      <c r="A4" s="3" t="inlineStr">
        <is>
          <t>Accounts Receivable</t>
        </is>
      </c>
      <c r="B4" s="4" t="n">
        <v>10163</v>
      </c>
      <c r="C4" s="4" t="n">
        <v>10469</v>
      </c>
      <c r="D4" s="4" t="n">
        <v>11456</v>
      </c>
      <c r="E4" s="4" t="n">
        <v>11782</v>
      </c>
      <c r="F4" s="4" t="n">
        <v>10815</v>
      </c>
      <c r="G4" s="4" t="n">
        <v>10938</v>
      </c>
      <c r="H4" s="4" t="n">
        <v>11942</v>
      </c>
      <c r="I4" s="4" t="n">
        <v>12088</v>
      </c>
      <c r="J4" s="4" t="n">
        <v>10333</v>
      </c>
      <c r="K4" s="4" t="n">
        <v>10800</v>
      </c>
      <c r="L4" s="4" t="n">
        <v>12390</v>
      </c>
      <c r="M4" s="4" t="n">
        <v>12634</v>
      </c>
      <c r="N4" s="4" t="n">
        <v>11506</v>
      </c>
      <c r="O4" s="4" t="n">
        <v>12171</v>
      </c>
    </row>
    <row r="5">
      <c r="A5" s="3" t="inlineStr">
        <is>
          <t>Inventories</t>
        </is>
      </c>
      <c r="B5" s="4" t="n">
        <v>5222</v>
      </c>
      <c r="C5" s="4" t="n">
        <v>5697</v>
      </c>
      <c r="D5" s="4" t="n">
        <v>5969</v>
      </c>
      <c r="E5" s="4" t="n">
        <v>5558</v>
      </c>
      <c r="F5" s="4" t="n">
        <v>5334</v>
      </c>
      <c r="G5" s="4" t="n">
        <v>5569</v>
      </c>
      <c r="H5" s="4" t="n">
        <v>5887</v>
      </c>
      <c r="I5" s="4" t="n">
        <v>5644</v>
      </c>
      <c r="J5" s="4" t="n">
        <v>5306</v>
      </c>
      <c r="K5" s="4" t="n">
        <v>5660</v>
      </c>
      <c r="L5" s="4" t="n">
        <v>6487</v>
      </c>
      <c r="M5" s="4" t="n">
        <v>6093</v>
      </c>
      <c r="N5" s="4" t="n">
        <v>5845</v>
      </c>
      <c r="O5" s="4" t="n">
        <v>6211</v>
      </c>
    </row>
    <row r="6">
      <c r="A6" s="3" t="inlineStr">
        <is>
          <t>Prepaid Expenses</t>
        </is>
      </c>
      <c r="B6" s="4" t="n">
        <v>806</v>
      </c>
      <c r="C6" s="4" t="n">
        <v>1057</v>
      </c>
      <c r="D6" s="4" t="n">
        <v>1075</v>
      </c>
      <c r="E6" s="4" t="n">
        <v>1026</v>
      </c>
      <c r="F6" s="4" t="n">
        <v>798</v>
      </c>
      <c r="G6" s="4" t="n">
        <v>1148</v>
      </c>
      <c r="H6" s="4" t="n">
        <v>1206</v>
      </c>
      <c r="I6" s="4" t="n">
        <v>1069</v>
      </c>
      <c r="J6" s="4" t="n">
        <v>921</v>
      </c>
      <c r="K6" s="4" t="n">
        <v>1246</v>
      </c>
      <c r="L6" s="4" t="n">
        <v>1360</v>
      </c>
      <c r="M6" s="4" t="n">
        <v>1334</v>
      </c>
      <c r="N6" s="4" t="n">
        <v>1068</v>
      </c>
      <c r="O6" s="4" t="n">
        <v>1706</v>
      </c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  <c r="J7" s="6">
        <f>SUM(J2:J6)</f>
        <v/>
      </c>
      <c r="K7" s="6">
        <f>SUM(K2:K6)</f>
        <v/>
      </c>
      <c r="L7" s="6">
        <f>SUM(L2:L6)</f>
        <v/>
      </c>
      <c r="M7" s="6">
        <f>SUM(M2:M6)</f>
        <v/>
      </c>
      <c r="N7" s="6">
        <f>SUM(N2:N6)</f>
        <v/>
      </c>
      <c r="O7" s="6">
        <f>SUM(O2:O6)</f>
        <v/>
      </c>
    </row>
    <row r="8">
      <c r="A8" s="3" t="inlineStr">
        <is>
          <t>Net PP&amp;E</t>
        </is>
      </c>
      <c r="B8" s="4" t="n">
        <v>24291</v>
      </c>
      <c r="C8" s="4" t="n">
        <v>24228</v>
      </c>
      <c r="D8" s="4" t="n">
        <v>24500</v>
      </c>
      <c r="E8" s="4" t="n">
        <v>24853</v>
      </c>
      <c r="F8" s="4" t="n">
        <v>27039</v>
      </c>
      <c r="G8" s="4" t="n">
        <v>26792</v>
      </c>
      <c r="H8" s="4" t="n">
        <v>27042</v>
      </c>
      <c r="I8" s="4" t="n">
        <v>27188</v>
      </c>
      <c r="J8" s="4" t="n">
        <v>28008</v>
      </c>
      <c r="K8" s="4" t="n">
        <v>28213</v>
      </c>
      <c r="L8" s="4" t="n">
        <v>28797</v>
      </c>
      <c r="M8" s="4" t="n">
        <v>29053</v>
      </c>
      <c r="N8" s="4" t="n">
        <v>29905</v>
      </c>
      <c r="O8" s="4" t="n">
        <v>29807</v>
      </c>
    </row>
    <row r="9">
      <c r="A9" s="3" t="inlineStr">
        <is>
          <t>Intangible Assets</t>
        </is>
      </c>
      <c r="B9" s="4" t="n">
        <v>15586</v>
      </c>
      <c r="C9" s="4" t="n">
        <v>15523</v>
      </c>
      <c r="D9" s="4" t="n">
        <v>15562</v>
      </c>
      <c r="E9" s="4" t="n">
        <v>15501</v>
      </c>
      <c r="F9" s="4" t="n">
        <v>14929</v>
      </c>
      <c r="G9" s="4" t="n">
        <v>14853</v>
      </c>
      <c r="H9" s="4" t="n">
        <v>14826</v>
      </c>
      <c r="I9" s="4" t="n">
        <v>14857</v>
      </c>
      <c r="J9" s="4" t="n">
        <v>14801</v>
      </c>
      <c r="K9" s="4" t="n">
        <v>15363</v>
      </c>
      <c r="L9" s="4" t="n">
        <v>15523</v>
      </c>
      <c r="M9" s="4" t="n">
        <v>14852</v>
      </c>
      <c r="N9" s="4" t="n">
        <v>15066</v>
      </c>
      <c r="O9" s="4" t="n">
        <v>15143</v>
      </c>
    </row>
    <row r="10">
      <c r="A10" s="3" t="inlineStr">
        <is>
          <t>Goodwill</t>
        </is>
      </c>
      <c r="B10" s="4" t="n">
        <v>18202</v>
      </c>
      <c r="C10" s="4" t="n">
        <v>18089</v>
      </c>
      <c r="D10" s="4" t="n">
        <v>17997</v>
      </c>
      <c r="E10" s="4" t="n">
        <v>17892</v>
      </c>
      <c r="F10" s="4" t="n">
        <v>17728</v>
      </c>
      <c r="G10" s="4" t="n">
        <v>17646</v>
      </c>
      <c r="H10" s="4" t="n">
        <v>17648</v>
      </c>
      <c r="I10" s="4" t="n">
        <v>17709</v>
      </c>
      <c r="J10" s="4" t="n">
        <v>17534</v>
      </c>
      <c r="K10" s="4" t="n">
        <v>18364</v>
      </c>
      <c r="L10" s="4" t="n">
        <v>18952</v>
      </c>
      <c r="M10" s="4" t="n">
        <v>18845</v>
      </c>
      <c r="N10" s="4" t="n">
        <v>18916</v>
      </c>
      <c r="O10" s="4" t="n">
        <v>19021</v>
      </c>
    </row>
    <row r="11">
      <c r="A11" s="3" t="inlineStr">
        <is>
          <t>Equity Method Investments</t>
        </is>
      </c>
      <c r="B11" s="4" t="n">
        <v>3073</v>
      </c>
      <c r="C11" s="4" t="n">
        <v>3123</v>
      </c>
      <c r="D11" s="4" t="n">
        <v>3038</v>
      </c>
      <c r="E11" s="4" t="n">
        <v>2955</v>
      </c>
      <c r="F11" s="4" t="n">
        <v>2714</v>
      </c>
      <c r="G11" s="4" t="n">
        <v>2734</v>
      </c>
      <c r="H11" s="4" t="n">
        <v>2674</v>
      </c>
      <c r="I11" s="4" t="n">
        <v>2645</v>
      </c>
      <c r="J11" s="4" t="n">
        <v>1985</v>
      </c>
      <c r="K11" s="4" t="n">
        <v>1996</v>
      </c>
      <c r="L11" s="4" t="n">
        <v>2061</v>
      </c>
      <c r="M11" s="4" t="n">
        <v>2084</v>
      </c>
      <c r="N11" s="4" t="n">
        <v>2038</v>
      </c>
      <c r="O11" s="4" t="n">
        <v>2135</v>
      </c>
    </row>
    <row r="12">
      <c r="A12" s="3" t="inlineStr">
        <is>
          <t>Deferred Tax Assets</t>
        </is>
      </c>
      <c r="B12" s="4" t="n">
        <v>4204</v>
      </c>
      <c r="C12" s="4" t="n">
        <v>4211</v>
      </c>
      <c r="D12" s="4" t="n">
        <v>4186</v>
      </c>
      <c r="E12" s="4" t="n">
        <v>4165</v>
      </c>
      <c r="F12" s="4" t="n">
        <v>4474</v>
      </c>
      <c r="G12" s="4" t="n">
        <v>4444</v>
      </c>
      <c r="H12" s="4" t="n">
        <v>4465</v>
      </c>
      <c r="I12" s="4" t="n">
        <v>4321</v>
      </c>
      <c r="J12" s="4" t="n">
        <v>4362</v>
      </c>
      <c r="K12" s="4" t="n">
        <v>4350</v>
      </c>
      <c r="L12" s="4" t="n">
        <v>4293</v>
      </c>
      <c r="M12" s="4" t="n">
        <v>4341</v>
      </c>
      <c r="N12" s="4" t="n">
        <v>4541</v>
      </c>
      <c r="O12" s="4" t="n">
        <v>4560</v>
      </c>
    </row>
    <row r="13">
      <c r="A13" s="3" t="inlineStr">
        <is>
          <t>Other Non-Current Assets</t>
        </is>
      </c>
      <c r="B13" s="4" t="n">
        <v>5292</v>
      </c>
      <c r="C13" s="4" t="n">
        <v>5441</v>
      </c>
      <c r="D13" s="4" t="n">
        <v>5669</v>
      </c>
      <c r="E13" s="4" t="n">
        <v>5938</v>
      </c>
      <c r="F13" s="4" t="n">
        <v>6661</v>
      </c>
      <c r="G13" s="4" t="n">
        <v>7566</v>
      </c>
      <c r="H13" s="4" t="n">
        <v>7175</v>
      </c>
      <c r="I13" s="4" t="n">
        <v>6941</v>
      </c>
      <c r="J13" s="4" t="n">
        <v>6951</v>
      </c>
      <c r="K13" s="4" t="n">
        <v>7163</v>
      </c>
      <c r="L13" s="4" t="n">
        <v>7509</v>
      </c>
      <c r="M13" s="4" t="n">
        <v>8661</v>
      </c>
      <c r="N13" s="4" t="n">
        <v>8984</v>
      </c>
      <c r="O13" s="4" t="n">
        <v>9064</v>
      </c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6">
        <f>F7+SUM(F8:F13)</f>
        <v/>
      </c>
      <c r="G14" s="6">
        <f>G7+SUM(G8:G13)</f>
        <v/>
      </c>
      <c r="H14" s="6">
        <f>H7+SUM(H8:H13)</f>
        <v/>
      </c>
      <c r="I14" s="6">
        <f>I7+SUM(I8:I13)</f>
        <v/>
      </c>
      <c r="J14" s="6">
        <f>J7+SUM(J8:J13)</f>
        <v/>
      </c>
      <c r="K14" s="6">
        <f>K7+SUM(K8:K13)</f>
        <v/>
      </c>
      <c r="L14" s="6">
        <f>L7+SUM(L8:L13)</f>
        <v/>
      </c>
      <c r="M14" s="6">
        <f>M7+SUM(M8:M13)</f>
        <v/>
      </c>
      <c r="N14" s="6">
        <f>N7+SUM(N8:N13)</f>
        <v/>
      </c>
      <c r="O14" s="6">
        <f>O7+SUM(O8:O13)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4281</v>
      </c>
      <c r="D15" s="4" t="n">
        <v>7613</v>
      </c>
      <c r="E15" s="4" t="n">
        <v>8937</v>
      </c>
      <c r="F15" s="4" t="n">
        <v>6510</v>
      </c>
      <c r="G15" s="4" t="n">
        <v>8161</v>
      </c>
      <c r="H15" s="4" t="n">
        <v>8289</v>
      </c>
      <c r="I15" s="4" t="n">
        <v>6524</v>
      </c>
      <c r="J15" s="4" t="n">
        <v>7082</v>
      </c>
      <c r="K15" s="4" t="n">
        <v>9099</v>
      </c>
      <c r="L15" s="4" t="n">
        <v>12056</v>
      </c>
      <c r="M15" s="4" t="n">
        <v>6736</v>
      </c>
      <c r="N15" s="4" t="n">
        <v>6861</v>
      </c>
      <c r="O15" s="4" t="n">
        <v>10151</v>
      </c>
    </row>
    <row r="16">
      <c r="A16" s="3" t="inlineStr">
        <is>
          <t>Accrued Expenses</t>
        </is>
      </c>
      <c r="B16" s="4" t="n">
        <v>23371</v>
      </c>
      <c r="C16" s="4" t="n">
        <v>21556</v>
      </c>
      <c r="D16" s="4" t="n">
        <v>22005</v>
      </c>
      <c r="E16" s="4" t="n">
        <v>23723</v>
      </c>
      <c r="F16" s="4" t="n">
        <v>25137</v>
      </c>
      <c r="G16" s="4" t="n">
        <v>22073</v>
      </c>
      <c r="H16" s="4" t="n">
        <v>22859</v>
      </c>
      <c r="I16" s="4" t="n">
        <v>23791</v>
      </c>
      <c r="J16" s="4" t="n">
        <v>24454</v>
      </c>
      <c r="K16" s="4" t="n">
        <v>22412</v>
      </c>
      <c r="L16" s="4" t="n">
        <v>24340</v>
      </c>
      <c r="M16" s="4" t="n">
        <v>24763</v>
      </c>
      <c r="N16" s="4" t="n">
        <v>25903</v>
      </c>
      <c r="O16" s="4" t="n">
        <v>24326</v>
      </c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6">
        <f>SUM(F15:F16)</f>
        <v/>
      </c>
      <c r="G17" s="6">
        <f>SUM(G15:G16)</f>
        <v/>
      </c>
      <c r="H17" s="6">
        <f>SUM(H15:H16)</f>
        <v/>
      </c>
      <c r="I17" s="6">
        <f>SUM(I15:I16)</f>
        <v/>
      </c>
      <c r="J17" s="6">
        <f>SUM(J15:J16)</f>
        <v/>
      </c>
      <c r="K17" s="6">
        <f>SUM(K15:K16)</f>
        <v/>
      </c>
      <c r="L17" s="6">
        <f>SUM(L15:L16)</f>
        <v/>
      </c>
      <c r="M17" s="6">
        <f>SUM(M15:M16)</f>
        <v/>
      </c>
      <c r="N17" s="6">
        <f>SUM(N15:N16)</f>
        <v/>
      </c>
      <c r="O17" s="6">
        <f>SUM(O15:O16)</f>
        <v/>
      </c>
    </row>
    <row r="18">
      <c r="A18" s="3" t="inlineStr">
        <is>
          <t>Long-Term Debt</t>
        </is>
      </c>
      <c r="B18" s="4" t="n">
        <v>35657</v>
      </c>
      <c r="C18" s="4" t="n">
        <v>37486</v>
      </c>
      <c r="D18" s="4" t="n">
        <v>36008</v>
      </c>
      <c r="E18" s="4" t="n">
        <v>35837</v>
      </c>
      <c r="F18" s="4" t="n">
        <v>37595</v>
      </c>
      <c r="G18" s="4" t="n">
        <v>37707</v>
      </c>
      <c r="H18" s="4" t="n">
        <v>36638</v>
      </c>
      <c r="I18" s="4" t="n">
        <v>38490</v>
      </c>
      <c r="J18" s="4" t="n">
        <v>37224</v>
      </c>
      <c r="K18" s="4" t="n">
        <v>39419</v>
      </c>
      <c r="L18" s="4" t="n">
        <v>39328</v>
      </c>
      <c r="M18" s="4" t="n">
        <v>44113</v>
      </c>
      <c r="N18" s="4" t="n">
        <v>42321</v>
      </c>
      <c r="O18" s="4" t="n">
        <v>42577</v>
      </c>
    </row>
    <row r="19">
      <c r="A19" s="3" t="inlineStr">
        <is>
          <t>Deferred Tax Liability</t>
        </is>
      </c>
      <c r="B19" s="4" t="n">
        <v>4133</v>
      </c>
      <c r="C19" s="4" t="n">
        <v>4039</v>
      </c>
      <c r="D19" s="4" t="n">
        <v>4113</v>
      </c>
      <c r="E19" s="4" t="n">
        <v>4047</v>
      </c>
      <c r="F19" s="4" t="n">
        <v>3895</v>
      </c>
      <c r="G19" s="4" t="n">
        <v>4087</v>
      </c>
      <c r="H19" s="4" t="n">
        <v>3908</v>
      </c>
      <c r="I19" s="4" t="n">
        <v>3684</v>
      </c>
      <c r="J19" s="4" t="n">
        <v>3484</v>
      </c>
      <c r="K19" s="4" t="n">
        <v>3541</v>
      </c>
      <c r="L19" s="4" t="n">
        <v>3102</v>
      </c>
      <c r="M19" s="4" t="n">
        <v>3474</v>
      </c>
      <c r="N19" s="4" t="n">
        <v>3802</v>
      </c>
      <c r="O19" s="4" t="n">
        <v>4048</v>
      </c>
    </row>
    <row r="20">
      <c r="A20" s="3" t="inlineStr">
        <is>
          <t>Other Non-Current Liabilities</t>
        </is>
      </c>
      <c r="B20" s="4" t="n">
        <v>8339</v>
      </c>
      <c r="C20" s="4" t="n">
        <v>8505</v>
      </c>
      <c r="D20" s="4" t="n">
        <v>8342</v>
      </c>
      <c r="E20" s="4" t="n">
        <v>8439</v>
      </c>
      <c r="F20" s="4" t="n">
        <v>8721</v>
      </c>
      <c r="G20" s="4" t="n">
        <v>8822</v>
      </c>
      <c r="H20" s="4" t="n">
        <v>8259</v>
      </c>
      <c r="I20" s="4" t="n">
        <v>8419</v>
      </c>
      <c r="J20" s="4" t="n">
        <v>9052</v>
      </c>
      <c r="K20" s="4" t="n">
        <v>8737</v>
      </c>
      <c r="L20" s="4" t="n">
        <v>7960</v>
      </c>
      <c r="M20" s="4" t="n">
        <v>7929</v>
      </c>
      <c r="N20" s="4" t="n">
        <v>7965</v>
      </c>
      <c r="O20" s="4" t="n">
        <v>8008</v>
      </c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6">
        <f>F17+SUM(F18:F20)</f>
        <v/>
      </c>
      <c r="G21" s="6">
        <f>G17+SUM(G18:G20)</f>
        <v/>
      </c>
      <c r="H21" s="6">
        <f>H17+SUM(H18:H20)</f>
        <v/>
      </c>
      <c r="I21" s="6">
        <f>I17+SUM(I18:I20)</f>
        <v/>
      </c>
      <c r="J21" s="6">
        <f>J17+SUM(J18:J20)</f>
        <v/>
      </c>
      <c r="K21" s="6">
        <f>K17+SUM(K18:K20)</f>
        <v/>
      </c>
      <c r="L21" s="6">
        <f>L17+SUM(L18:L20)</f>
        <v/>
      </c>
      <c r="M21" s="6">
        <f>M17+SUM(M18:M20)</f>
        <v/>
      </c>
      <c r="N21" s="6">
        <f>N17+SUM(N18:N20)</f>
        <v/>
      </c>
      <c r="O21" s="6">
        <f>O17+SUM(O18:O20)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4" t="n">
        <v>23</v>
      </c>
      <c r="G22" s="4" t="n">
        <v>23</v>
      </c>
      <c r="H22" s="4" t="n">
        <v>23</v>
      </c>
      <c r="I22" s="4" t="n">
        <v>23</v>
      </c>
      <c r="J22" s="4" t="n">
        <v>23</v>
      </c>
      <c r="K22" s="4" t="n">
        <v>23</v>
      </c>
      <c r="L22" s="4" t="n">
        <v>23</v>
      </c>
      <c r="M22" s="4" t="n">
        <v>23</v>
      </c>
      <c r="N22" s="4" t="n">
        <v>23</v>
      </c>
      <c r="O22" s="4" t="n">
        <v>23</v>
      </c>
    </row>
    <row r="23">
      <c r="A23" s="3" t="inlineStr">
        <is>
          <t>Additional Paid-in Capital</t>
        </is>
      </c>
      <c r="B23" s="4" t="n">
        <v>4134</v>
      </c>
      <c r="C23" s="4" t="n">
        <v>3996</v>
      </c>
      <c r="D23" s="4" t="n">
        <v>4082</v>
      </c>
      <c r="E23" s="4" t="n">
        <v>4154</v>
      </c>
      <c r="F23" s="4" t="n">
        <v>4261</v>
      </c>
      <c r="G23" s="4" t="n">
        <v>4132</v>
      </c>
      <c r="H23" s="4" t="n">
        <v>4203</v>
      </c>
      <c r="I23" s="4" t="n">
        <v>4281</v>
      </c>
      <c r="J23" s="4" t="n">
        <v>4385</v>
      </c>
      <c r="K23" s="4" t="n">
        <v>4274</v>
      </c>
      <c r="L23" s="4" t="n">
        <v>4299</v>
      </c>
      <c r="M23" s="4" t="n">
        <v>4374</v>
      </c>
      <c r="N23" s="4" t="n">
        <v>4451</v>
      </c>
      <c r="O23" s="4" t="n">
        <v>4401</v>
      </c>
    </row>
    <row r="24">
      <c r="A24" s="3" t="inlineStr">
        <is>
          <t>Retained Earnings (Accumulated Deficit)</t>
        </is>
      </c>
      <c r="B24" s="4" t="n">
        <v>67800</v>
      </c>
      <c r="C24" s="4" t="n">
        <v>68142</v>
      </c>
      <c r="D24" s="4" t="n">
        <v>69135</v>
      </c>
      <c r="E24" s="4" t="n">
        <v>70479</v>
      </c>
      <c r="F24" s="4" t="n">
        <v>70035</v>
      </c>
      <c r="G24" s="4" t="n">
        <v>70331</v>
      </c>
      <c r="H24" s="4" t="n">
        <v>71545</v>
      </c>
      <c r="I24" s="4" t="n">
        <v>72607</v>
      </c>
      <c r="J24" s="4" t="n">
        <v>72266</v>
      </c>
      <c r="K24" s="4" t="n">
        <v>72238</v>
      </c>
      <c r="L24" s="4" t="n">
        <v>71547</v>
      </c>
      <c r="M24" s="4" t="n">
        <v>72197</v>
      </c>
      <c r="N24" s="4" t="n">
        <v>72788</v>
      </c>
      <c r="O24" s="4" t="n">
        <v>73165</v>
      </c>
    </row>
    <row r="25">
      <c r="A25" s="3" t="inlineStr">
        <is>
          <t>Accumulated Other Comprehensive Income (Loss)</t>
        </is>
      </c>
      <c r="B25" s="4" t="n">
        <v>-15302</v>
      </c>
      <c r="C25" s="4" t="n">
        <v>-15601</v>
      </c>
      <c r="D25" s="4" t="n">
        <v>-15780</v>
      </c>
      <c r="E25" s="4" t="n">
        <v>-15794</v>
      </c>
      <c r="F25" s="4" t="n">
        <v>-15534</v>
      </c>
      <c r="G25" s="4" t="n">
        <v>-15179</v>
      </c>
      <c r="H25" s="4" t="n">
        <v>-15786</v>
      </c>
      <c r="I25" s="4" t="n">
        <v>-16652</v>
      </c>
      <c r="J25" s="4" t="n">
        <v>-17612</v>
      </c>
      <c r="K25" s="4" t="n">
        <v>-17078</v>
      </c>
      <c r="L25" s="4" t="n">
        <v>-16090</v>
      </c>
      <c r="M25" s="4" t="n">
        <v>-15597</v>
      </c>
      <c r="N25" s="4" t="n">
        <v>-15024</v>
      </c>
      <c r="O25" s="4" t="n">
        <v>-14342</v>
      </c>
    </row>
    <row r="26">
      <c r="A26" s="3" t="inlineStr">
        <is>
          <t>Treasury Stock</t>
        </is>
      </c>
      <c r="B26" s="4" t="n">
        <v>-39506</v>
      </c>
      <c r="C26" s="4" t="n">
        <v>-39518</v>
      </c>
      <c r="D26" s="4" t="n">
        <v>-39775</v>
      </c>
      <c r="E26" s="4" t="n">
        <v>-40056</v>
      </c>
      <c r="F26" s="4" t="n">
        <v>-40282</v>
      </c>
      <c r="G26" s="4" t="n">
        <v>-40260</v>
      </c>
      <c r="H26" s="4" t="n">
        <v>-40539</v>
      </c>
      <c r="I26" s="4" t="n">
        <v>-40806</v>
      </c>
      <c r="J26" s="4" t="n">
        <v>-41021</v>
      </c>
      <c r="K26" s="4" t="n">
        <v>-41068</v>
      </c>
      <c r="L26" s="4" t="n">
        <v>-41361</v>
      </c>
      <c r="M26" s="4" t="n">
        <v>-41609</v>
      </c>
      <c r="N26" s="4" t="n">
        <v>-41832</v>
      </c>
      <c r="O26" s="4" t="n">
        <v>-41864</v>
      </c>
    </row>
    <row r="27">
      <c r="A27" s="3" t="inlineStr">
        <is>
          <t>Noncontrolling Interest</t>
        </is>
      </c>
      <c r="B27" s="4" t="n">
        <v>124</v>
      </c>
      <c r="C27" s="4" t="n">
        <v>133</v>
      </c>
      <c r="D27" s="4" t="n">
        <v>140</v>
      </c>
      <c r="E27" s="4" t="n">
        <v>164</v>
      </c>
      <c r="F27" s="4" t="n">
        <v>134</v>
      </c>
      <c r="G27" s="4" t="n">
        <v>143</v>
      </c>
      <c r="H27" s="4" t="n">
        <v>134</v>
      </c>
      <c r="I27" s="4" t="n">
        <v>152</v>
      </c>
      <c r="J27" s="4" t="n">
        <v>130</v>
      </c>
      <c r="K27" s="4" t="n">
        <v>140</v>
      </c>
      <c r="L27" s="4" t="n">
        <v>141</v>
      </c>
      <c r="M27" s="4" t="n">
        <v>155</v>
      </c>
      <c r="N27" s="4" t="n">
        <v>141</v>
      </c>
      <c r="O27" s="4" t="n">
        <v>153</v>
      </c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6">
        <f>SUM(F22:F27)</f>
        <v/>
      </c>
      <c r="G28" s="6">
        <f>SUM(G22:G27)</f>
        <v/>
      </c>
      <c r="H28" s="6">
        <f>SUM(H22:H27)</f>
        <v/>
      </c>
      <c r="I28" s="6">
        <f>SUM(I22:I27)</f>
        <v/>
      </c>
      <c r="J28" s="6">
        <f>SUM(J22:J27)</f>
        <v/>
      </c>
      <c r="K28" s="6">
        <f>SUM(K22:K27)</f>
        <v/>
      </c>
      <c r="L28" s="6">
        <f>SUM(L22:L27)</f>
        <v/>
      </c>
      <c r="M28" s="6">
        <f>SUM(M22:M27)</f>
        <v/>
      </c>
      <c r="N28" s="6">
        <f>SUM(N22:N27)</f>
        <v/>
      </c>
      <c r="O28" s="6">
        <f>SUM(O22:O27)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6">
        <f>F21+F28</f>
        <v/>
      </c>
      <c r="G29" s="6">
        <f>G21+G28</f>
        <v/>
      </c>
      <c r="H29" s="6">
        <f>H21+H28</f>
        <v/>
      </c>
      <c r="I29" s="6">
        <f>I21+I28</f>
        <v/>
      </c>
      <c r="J29" s="6">
        <f>J21+J28</f>
        <v/>
      </c>
      <c r="K29" s="6">
        <f>K21+K28</f>
        <v/>
      </c>
      <c r="L29" s="6">
        <f>L21+L28</f>
        <v/>
      </c>
      <c r="M29" s="6">
        <f>M21+M28</f>
        <v/>
      </c>
      <c r="N29" s="6">
        <f>N21+N28</f>
        <v/>
      </c>
      <c r="O29" s="6">
        <f>O21+O28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Income (Loss)</t>
        </is>
      </c>
      <c r="B2" s="4" t="n">
        <v>4273</v>
      </c>
      <c r="C2" s="4" t="n">
        <v>5719</v>
      </c>
      <c r="D2" s="4" t="n">
        <v>8443</v>
      </c>
      <c r="E2" s="4" t="n">
        <v>1944</v>
      </c>
      <c r="F2" s="4" t="n">
        <v>4715</v>
      </c>
      <c r="G2" s="4" t="n">
        <v>7831</v>
      </c>
      <c r="H2" s="4" t="n">
        <v>2053</v>
      </c>
      <c r="I2" s="4" t="n">
        <v>5147</v>
      </c>
      <c r="J2" s="4" t="n">
        <v>8092</v>
      </c>
      <c r="K2" s="4" t="n">
        <v>1843</v>
      </c>
      <c r="L2" s="4" t="n">
        <v>3122</v>
      </c>
      <c r="M2" s="4" t="n">
        <v>5740</v>
      </c>
      <c r="N2" s="4" t="n">
        <v>2338</v>
      </c>
    </row>
    <row r="3">
      <c r="A3" s="3" t="inlineStr">
        <is>
          <t>Depreciation &amp; Amortization</t>
        </is>
      </c>
      <c r="B3" s="4" t="n">
        <v>555</v>
      </c>
      <c r="C3" s="4" t="n">
        <v>1195</v>
      </c>
      <c r="D3" s="4" t="n">
        <v>1854</v>
      </c>
      <c r="E3" s="4" t="n">
        <v>590</v>
      </c>
      <c r="F3" s="4" t="n">
        <v>1268</v>
      </c>
      <c r="G3" s="4" t="n">
        <v>1973</v>
      </c>
      <c r="H3" s="4" t="n">
        <v>641</v>
      </c>
      <c r="I3" s="4" t="n">
        <v>1379</v>
      </c>
      <c r="J3" s="4" t="n">
        <v>2118</v>
      </c>
      <c r="K3" s="4" t="n">
        <v>684</v>
      </c>
      <c r="L3" s="4" t="n">
        <v>1491</v>
      </c>
      <c r="M3" s="4" t="n">
        <v>2315</v>
      </c>
      <c r="N3" s="4" t="n">
        <v>742</v>
      </c>
    </row>
    <row r="4">
      <c r="A4" s="3" t="inlineStr">
        <is>
          <t>Gain on Juice Transaction</t>
        </is>
      </c>
      <c r="B4" s="4" t="n">
        <v>-3322</v>
      </c>
      <c r="C4" s="4" t="n">
        <v>-3335</v>
      </c>
      <c r="D4" s="4" t="n">
        <v>-3321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>
      <c r="A5" s="3" t="inlineStr">
        <is>
          <t>Impairment and Other Charges</t>
        </is>
      </c>
      <c r="B5" s="4" t="n">
        <v>482</v>
      </c>
      <c r="C5" s="4" t="n">
        <v>1871</v>
      </c>
      <c r="D5" s="4" t="n">
        <v>1877</v>
      </c>
      <c r="E5" s="4" t="n">
        <v>-13</v>
      </c>
      <c r="F5" s="4" t="n">
        <v>97</v>
      </c>
      <c r="G5" s="4" t="n">
        <v>102</v>
      </c>
      <c r="H5" s="4" t="n">
        <v>0</v>
      </c>
      <c r="I5" s="4" t="n">
        <v>0</v>
      </c>
      <c r="J5" s="4" t="n">
        <v>10</v>
      </c>
      <c r="K5" s="4" t="n">
        <v>0</v>
      </c>
      <c r="L5" s="4" t="n">
        <v>1860</v>
      </c>
      <c r="M5" s="4" t="n">
        <v>1960</v>
      </c>
      <c r="N5" s="4" t="n">
        <v>0</v>
      </c>
    </row>
    <row r="6">
      <c r="A6" s="3" t="inlineStr">
        <is>
          <t>Product Recall Impact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167</v>
      </c>
      <c r="I6" s="4" t="n">
        <v>182</v>
      </c>
      <c r="J6" s="4" t="n">
        <v>184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Cash Payments for Product Recall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-108</v>
      </c>
      <c r="I7" s="4" t="n">
        <v>-135</v>
      </c>
      <c r="J7" s="4" t="n">
        <v>-138</v>
      </c>
      <c r="K7" s="4" t="n">
        <v>-2</v>
      </c>
      <c r="L7" s="4" t="n">
        <v>-2</v>
      </c>
      <c r="M7" s="4" t="n">
        <v>-5</v>
      </c>
      <c r="N7" s="4" t="n">
        <v>0</v>
      </c>
    </row>
    <row r="8">
      <c r="A8" s="3" t="inlineStr">
        <is>
          <t>Operating Lease ROU Asset Amortization</t>
        </is>
      </c>
      <c r="B8" s="4" t="n">
        <v>103</v>
      </c>
      <c r="C8" s="4" t="n">
        <v>223</v>
      </c>
      <c r="D8" s="4" t="n">
        <v>346</v>
      </c>
      <c r="E8" s="4" t="n">
        <v>116</v>
      </c>
      <c r="F8" s="4" t="n">
        <v>248</v>
      </c>
      <c r="G8" s="4" t="n">
        <v>384</v>
      </c>
      <c r="H8" s="4" t="n">
        <v>127</v>
      </c>
      <c r="I8" s="4" t="n">
        <v>278</v>
      </c>
      <c r="J8" s="4" t="n">
        <v>438</v>
      </c>
      <c r="K8" s="4" t="n">
        <v>145</v>
      </c>
      <c r="L8" s="4" t="n">
        <v>315</v>
      </c>
      <c r="M8" s="4" t="n">
        <v>489</v>
      </c>
      <c r="N8" s="4" t="n">
        <v>162</v>
      </c>
    </row>
    <row r="9">
      <c r="A9" s="3" t="inlineStr">
        <is>
          <t>Stock-Based Compensation</t>
        </is>
      </c>
      <c r="B9" s="4" t="n">
        <v>81</v>
      </c>
      <c r="C9" s="4" t="n">
        <v>156</v>
      </c>
      <c r="D9" s="4" t="n">
        <v>233</v>
      </c>
      <c r="E9" s="4" t="n">
        <v>93</v>
      </c>
      <c r="F9" s="4" t="n">
        <v>179</v>
      </c>
      <c r="G9" s="4" t="n">
        <v>267</v>
      </c>
      <c r="H9" s="4" t="n">
        <v>97</v>
      </c>
      <c r="I9" s="4" t="n">
        <v>183</v>
      </c>
      <c r="J9" s="4" t="n">
        <v>260</v>
      </c>
      <c r="K9" s="4" t="n">
        <v>77</v>
      </c>
      <c r="L9" s="4" t="n">
        <v>131</v>
      </c>
      <c r="M9" s="4" t="n">
        <v>207</v>
      </c>
      <c r="N9" s="4" t="n">
        <v>93</v>
      </c>
    </row>
    <row r="10">
      <c r="A10" s="3" t="inlineStr">
        <is>
          <t>Restructuring and Asset Impairment Charges</t>
        </is>
      </c>
      <c r="B10" s="4" t="n">
        <v>27</v>
      </c>
      <c r="C10" s="4" t="n">
        <v>75</v>
      </c>
      <c r="D10" s="4" t="n">
        <v>126</v>
      </c>
      <c r="E10" s="4" t="n">
        <v>112</v>
      </c>
      <c r="F10" s="4" t="n">
        <v>204</v>
      </c>
      <c r="G10" s="4" t="n">
        <v>287</v>
      </c>
      <c r="H10" s="4" t="n">
        <v>96</v>
      </c>
      <c r="I10" s="4" t="n">
        <v>170</v>
      </c>
      <c r="J10" s="4" t="n">
        <v>415</v>
      </c>
      <c r="K10" s="4" t="n">
        <v>213</v>
      </c>
      <c r="L10" s="4" t="n">
        <v>426</v>
      </c>
      <c r="M10" s="4" t="n">
        <v>567</v>
      </c>
      <c r="N10" s="4" t="n">
        <v>133</v>
      </c>
    </row>
    <row r="11">
      <c r="A11" s="3" t="inlineStr">
        <is>
          <t>Cash Payments for Restructuring</t>
        </is>
      </c>
      <c r="B11" s="4" t="n">
        <v>-32</v>
      </c>
      <c r="C11" s="4" t="n">
        <v>-82</v>
      </c>
      <c r="D11" s="4" t="n">
        <v>-134</v>
      </c>
      <c r="E11" s="4" t="n">
        <v>-64</v>
      </c>
      <c r="F11" s="4" t="n">
        <v>-187</v>
      </c>
      <c r="G11" s="4" t="n">
        <v>-283</v>
      </c>
      <c r="H11" s="4" t="n">
        <v>-60</v>
      </c>
      <c r="I11" s="4" t="n">
        <v>-173</v>
      </c>
      <c r="J11" s="4" t="n">
        <v>-284</v>
      </c>
      <c r="K11" s="4" t="n">
        <v>-232</v>
      </c>
      <c r="L11" s="4" t="n">
        <v>-387</v>
      </c>
      <c r="M11" s="4" t="n">
        <v>-554</v>
      </c>
      <c r="N11" s="4" t="n">
        <v>-145</v>
      </c>
    </row>
    <row r="12">
      <c r="A12" s="3" t="inlineStr">
        <is>
          <t>Acquisition and Divestiture-Related Charges</t>
        </is>
      </c>
      <c r="B12" s="4" t="n">
        <v>56</v>
      </c>
      <c r="C12" s="4" t="n">
        <v>64</v>
      </c>
      <c r="D12" s="4" t="n">
        <v>69</v>
      </c>
      <c r="E12" s="4" t="n">
        <v>2</v>
      </c>
      <c r="F12" s="4" t="n">
        <v>9</v>
      </c>
      <c r="G12" s="4" t="n">
        <v>20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308</v>
      </c>
      <c r="N12" s="4" t="n">
        <v>-113</v>
      </c>
    </row>
    <row r="13">
      <c r="A13" s="3" t="inlineStr">
        <is>
          <t>Cash Payments for Acquisition and Divestiture Costs</t>
        </is>
      </c>
      <c r="B13" s="4" t="n">
        <v>-17</v>
      </c>
      <c r="C13" s="4" t="n">
        <v>-34</v>
      </c>
      <c r="D13" s="4" t="n">
        <v>-41</v>
      </c>
      <c r="E13" s="4" t="n">
        <v>-4</v>
      </c>
      <c r="F13" s="4" t="n">
        <v>-10</v>
      </c>
      <c r="G13" s="4" t="n">
        <v>-15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-80</v>
      </c>
      <c r="N13" s="4" t="n">
        <v>-14</v>
      </c>
    </row>
    <row r="14">
      <c r="A14" s="3" t="inlineStr">
        <is>
          <t>Pension and Postretirement Benefits Expense</t>
        </is>
      </c>
      <c r="B14" s="4" t="n">
        <v>-1</v>
      </c>
      <c r="C14" s="4" t="n">
        <v>139</v>
      </c>
      <c r="D14" s="4" t="n">
        <v>235</v>
      </c>
      <c r="E14" s="4" t="n">
        <v>30</v>
      </c>
      <c r="F14" s="4" t="n">
        <v>62</v>
      </c>
      <c r="G14" s="4" t="n">
        <v>93</v>
      </c>
      <c r="H14" s="4" t="n">
        <v>31</v>
      </c>
      <c r="I14" s="4" t="n">
        <v>67</v>
      </c>
      <c r="J14" s="4" t="n">
        <v>114</v>
      </c>
      <c r="K14" s="4" t="n">
        <v>48</v>
      </c>
      <c r="L14" s="4" t="n">
        <v>99</v>
      </c>
      <c r="M14" s="4" t="n">
        <v>164</v>
      </c>
      <c r="N14" s="4" t="n">
        <v>13</v>
      </c>
    </row>
    <row r="15">
      <c r="A15" s="3" t="inlineStr">
        <is>
          <t>Pension and Postretirement Benefits Contributions</t>
        </is>
      </c>
      <c r="B15" s="4" t="n">
        <v>-178</v>
      </c>
      <c r="C15" s="4" t="n">
        <v>-214</v>
      </c>
      <c r="D15" s="4" t="n">
        <v>-335</v>
      </c>
      <c r="E15" s="4" t="n">
        <v>-175</v>
      </c>
      <c r="F15" s="4" t="n">
        <v>-209</v>
      </c>
      <c r="G15" s="4" t="n">
        <v>-374</v>
      </c>
      <c r="H15" s="4" t="n">
        <v>-218</v>
      </c>
      <c r="I15" s="4" t="n">
        <v>-263</v>
      </c>
      <c r="J15" s="4" t="n">
        <v>-300</v>
      </c>
      <c r="K15" s="4" t="n">
        <v>-317</v>
      </c>
      <c r="L15" s="4" t="n">
        <v>-354</v>
      </c>
      <c r="M15" s="4" t="n">
        <v>-400</v>
      </c>
      <c r="N15" s="4" t="n">
        <v>-270</v>
      </c>
    </row>
    <row r="16">
      <c r="A16" s="3" t="inlineStr">
        <is>
          <t>(Benefit) Provision for Deferred Income Taxes</t>
        </is>
      </c>
      <c r="B16" s="4" t="n">
        <v>257</v>
      </c>
      <c r="C16" s="4" t="n">
        <v>49</v>
      </c>
      <c r="D16" s="4" t="n">
        <v>-322</v>
      </c>
      <c r="E16" s="4" t="n">
        <v>78</v>
      </c>
      <c r="F16" s="4" t="n">
        <v>270</v>
      </c>
      <c r="G16" s="4" t="n">
        <v>343</v>
      </c>
      <c r="H16" s="4" t="n">
        <v>116</v>
      </c>
      <c r="I16" s="4" t="n">
        <v>142</v>
      </c>
      <c r="J16" s="4" t="n">
        <v>124</v>
      </c>
      <c r="K16" s="4" t="n">
        <v>111</v>
      </c>
      <c r="L16" s="4" t="n">
        <v>-260</v>
      </c>
      <c r="M16" s="4" t="n">
        <v>30</v>
      </c>
      <c r="N16" s="4" t="n">
        <v>226</v>
      </c>
    </row>
    <row r="17">
      <c r="A17" s="3" t="inlineStr">
        <is>
          <t>Tax Expense Related to TCJ Act</t>
        </is>
      </c>
      <c r="B17" s="4" t="n">
        <v>0</v>
      </c>
      <c r="C17" s="4" t="n">
        <v>0</v>
      </c>
      <c r="D17" s="4" t="n">
        <v>86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</row>
    <row r="18">
      <c r="A18" s="3" t="inlineStr">
        <is>
          <t>Tax Payments Related to TCJ Act</t>
        </is>
      </c>
      <c r="B18" s="4" t="n">
        <v>0</v>
      </c>
      <c r="C18" s="4" t="n">
        <v>-309</v>
      </c>
      <c r="D18" s="4" t="n">
        <v>-309</v>
      </c>
      <c r="E18" s="4" t="n">
        <v>0</v>
      </c>
      <c r="F18" s="4" t="n">
        <v>-309</v>
      </c>
      <c r="G18" s="4" t="n">
        <v>-309</v>
      </c>
      <c r="H18" s="4" t="n">
        <v>0</v>
      </c>
      <c r="I18" s="4" t="n">
        <v>-579</v>
      </c>
      <c r="J18" s="4" t="n">
        <v>-579</v>
      </c>
      <c r="K18" s="4" t="n">
        <v>0</v>
      </c>
      <c r="L18" s="4" t="n">
        <v>-772</v>
      </c>
      <c r="M18" s="4" t="n">
        <v>-772</v>
      </c>
      <c r="N18" s="4" t="n">
        <v>0</v>
      </c>
    </row>
    <row r="19">
      <c r="A19" s="3" t="inlineStr">
        <is>
          <t>Accounts Receivable</t>
        </is>
      </c>
      <c r="B19" s="4" t="n">
        <v>-837</v>
      </c>
      <c r="C19" s="4" t="n">
        <v>-1753</v>
      </c>
      <c r="D19" s="4" t="n">
        <v>-2258</v>
      </c>
      <c r="E19" s="4" t="n">
        <v>-348</v>
      </c>
      <c r="F19" s="4" t="n">
        <v>-1330</v>
      </c>
      <c r="G19" s="4" t="n">
        <v>-1699</v>
      </c>
      <c r="H19" s="4" t="n">
        <v>-96</v>
      </c>
      <c r="I19" s="4" t="n">
        <v>-1138</v>
      </c>
      <c r="J19" s="4" t="n">
        <v>-1521</v>
      </c>
      <c r="K19" s="4" t="n">
        <v>-318</v>
      </c>
      <c r="L19" s="4" t="n">
        <v>-1582</v>
      </c>
      <c r="M19" s="4" t="n">
        <v>-1747</v>
      </c>
      <c r="N19" s="4" t="n">
        <v>-530</v>
      </c>
    </row>
    <row r="20">
      <c r="A20" s="3" t="inlineStr">
        <is>
          <t>Inventories</t>
        </is>
      </c>
      <c r="B20" s="4" t="n">
        <v>-549</v>
      </c>
      <c r="C20" s="4" t="n">
        <v>-990</v>
      </c>
      <c r="D20" s="4" t="n">
        <v>-837</v>
      </c>
      <c r="E20" s="4" t="n">
        <v>-542</v>
      </c>
      <c r="F20" s="4" t="n">
        <v>-851</v>
      </c>
      <c r="G20" s="4" t="n">
        <v>-473</v>
      </c>
      <c r="H20" s="4" t="n">
        <v>-291</v>
      </c>
      <c r="I20" s="4" t="n">
        <v>-696</v>
      </c>
      <c r="J20" s="4" t="n">
        <v>-492</v>
      </c>
      <c r="K20" s="4" t="n">
        <v>-238</v>
      </c>
      <c r="L20" s="4" t="n">
        <v>-800</v>
      </c>
      <c r="M20" s="4" t="n">
        <v>-449</v>
      </c>
      <c r="N20" s="4" t="n">
        <v>-315</v>
      </c>
    </row>
    <row r="21">
      <c r="A21" s="3" t="inlineStr">
        <is>
          <t>Prepaid Expenses</t>
        </is>
      </c>
      <c r="B21" s="4" t="n">
        <v>-190</v>
      </c>
      <c r="C21" s="4" t="n">
        <v>-186</v>
      </c>
      <c r="D21" s="4" t="n">
        <v>-124</v>
      </c>
      <c r="E21" s="4" t="n">
        <v>-288</v>
      </c>
      <c r="F21" s="4" t="n">
        <v>-271</v>
      </c>
      <c r="G21" s="4" t="n">
        <v>-242</v>
      </c>
      <c r="H21" s="4" t="n">
        <v>-342</v>
      </c>
      <c r="I21" s="4" t="n">
        <v>-365</v>
      </c>
      <c r="J21" s="4" t="n">
        <v>-200</v>
      </c>
      <c r="K21" s="4" t="n">
        <v>-307</v>
      </c>
      <c r="L21" s="4" t="n">
        <v>-354</v>
      </c>
      <c r="M21" s="4" t="n">
        <v>-223</v>
      </c>
      <c r="N21" s="4" t="n">
        <v>-406</v>
      </c>
    </row>
    <row r="22">
      <c r="A22" s="3" t="inlineStr">
        <is>
          <t>Accounts Payable</t>
        </is>
      </c>
      <c r="B22" s="4" t="n">
        <v>-1238</v>
      </c>
      <c r="C22" s="4" t="n">
        <v>-990</v>
      </c>
      <c r="D22" s="4" t="n">
        <v>426</v>
      </c>
      <c r="E22" s="4" t="n">
        <v>-2259</v>
      </c>
      <c r="F22" s="4" t="n">
        <v>-1960</v>
      </c>
      <c r="G22" s="4" t="n">
        <v>-859</v>
      </c>
      <c r="H22" s="4" t="n">
        <v>-3408</v>
      </c>
      <c r="I22" s="4" t="n">
        <v>-2968</v>
      </c>
      <c r="J22" s="4" t="n">
        <v>-2312</v>
      </c>
      <c r="K22" s="4" t="n">
        <v>-2671</v>
      </c>
      <c r="L22" s="4" t="n">
        <v>-2083</v>
      </c>
      <c r="M22" s="4" t="n">
        <v>-1647</v>
      </c>
      <c r="N22" s="4" t="n">
        <v>-1847</v>
      </c>
    </row>
    <row r="23">
      <c r="A23" s="3" t="inlineStr">
        <is>
          <t>Other Current Liabilities</t>
        </is>
      </c>
      <c r="B23" s="4" t="n">
        <v>489</v>
      </c>
      <c r="C23" s="4" t="n">
        <v>608</v>
      </c>
      <c r="D23" s="4" t="n">
        <v>718</v>
      </c>
      <c r="E23" s="4" t="n">
        <v>290</v>
      </c>
      <c r="F23" s="4" t="n">
        <v>100</v>
      </c>
      <c r="G23" s="4" t="n">
        <v>512</v>
      </c>
      <c r="H23" s="4" t="n">
        <v>222</v>
      </c>
      <c r="I23" s="4" t="n">
        <v>287</v>
      </c>
      <c r="J23" s="4" t="n">
        <v>426</v>
      </c>
      <c r="K23" s="4" t="n">
        <v>223</v>
      </c>
      <c r="L23" s="4" t="n">
        <v>415</v>
      </c>
      <c r="M23" s="4" t="n">
        <v>6</v>
      </c>
      <c r="N23" s="4" t="n">
        <v>131</v>
      </c>
    </row>
    <row r="24">
      <c r="A24" s="3" t="inlineStr">
        <is>
          <t>Other Operating Items</t>
        </is>
      </c>
      <c r="B24" s="4" t="n">
        <v>-133</v>
      </c>
      <c r="C24" s="4" t="n">
        <v>-325</v>
      </c>
      <c r="D24" s="4" t="n">
        <v>-426</v>
      </c>
      <c r="E24" s="4" t="n">
        <v>46</v>
      </c>
      <c r="F24" s="4" t="n">
        <v>-6</v>
      </c>
      <c r="G24" s="4" t="n">
        <v>72</v>
      </c>
      <c r="H24" s="4" t="n">
        <v>-68</v>
      </c>
      <c r="I24" s="4" t="n">
        <v>-203</v>
      </c>
      <c r="J24" s="4" t="n">
        <v>-135</v>
      </c>
      <c r="K24" s="4" t="n">
        <v>-232</v>
      </c>
      <c r="L24" s="4" t="n">
        <v>-269</v>
      </c>
      <c r="M24" s="4" t="n">
        <v>-441</v>
      </c>
      <c r="N24" s="4" t="n">
        <v>-157</v>
      </c>
    </row>
    <row r="25">
      <c r="A25" s="3" t="inlineStr">
        <is>
          <t>Cash Flow from Operations</t>
        </is>
      </c>
      <c r="B25" s="6">
        <f>SUM(B2:B24)</f>
        <v/>
      </c>
      <c r="C25" s="6">
        <f>SUM(C2:C24)</f>
        <v/>
      </c>
      <c r="D25" s="6">
        <f>SUM(D2:D24)</f>
        <v/>
      </c>
      <c r="E25" s="6">
        <f>SUM(E2:E24)</f>
        <v/>
      </c>
      <c r="F25" s="6">
        <f>SUM(F2:F24)</f>
        <v/>
      </c>
      <c r="G25" s="6">
        <f>SUM(G2:G24)</f>
        <v/>
      </c>
      <c r="H25" s="6">
        <f>SUM(H2:H24)</f>
        <v/>
      </c>
      <c r="I25" s="6">
        <f>SUM(I2:I24)</f>
        <v/>
      </c>
      <c r="J25" s="6">
        <f>SUM(J2:J24)</f>
        <v/>
      </c>
      <c r="K25" s="6">
        <f>SUM(K2:K24)</f>
        <v/>
      </c>
      <c r="L25" s="6">
        <f>SUM(L2:L24)</f>
        <v/>
      </c>
      <c r="M25" s="6">
        <f>SUM(M2:M24)</f>
        <v/>
      </c>
      <c r="N25" s="6">
        <f>SUM(N2:N24)</f>
        <v/>
      </c>
    </row>
    <row r="26">
      <c r="A26" s="3" t="inlineStr">
        <is>
          <t>Purchase of PP&amp;E</t>
        </is>
      </c>
      <c r="B26" s="4" t="n">
        <v>-522</v>
      </c>
      <c r="C26" s="4" t="n">
        <v>-1499</v>
      </c>
      <c r="D26" s="4" t="n">
        <v>-2556</v>
      </c>
      <c r="E26" s="4" t="n">
        <v>-581</v>
      </c>
      <c r="F26" s="4" t="n">
        <v>-1513</v>
      </c>
      <c r="G26" s="4" t="n">
        <v>-2537</v>
      </c>
      <c r="H26" s="4" t="n">
        <v>-614</v>
      </c>
      <c r="I26" s="4" t="n">
        <v>-1701</v>
      </c>
      <c r="J26" s="4" t="n">
        <v>-2850</v>
      </c>
      <c r="K26" s="4" t="n">
        <v>-603</v>
      </c>
      <c r="L26" s="4" t="n">
        <v>-1507</v>
      </c>
      <c r="M26" s="4" t="n">
        <v>-2499</v>
      </c>
      <c r="N26" s="4" t="n">
        <v>-447</v>
      </c>
    </row>
    <row r="27">
      <c r="A27" s="3" t="inlineStr">
        <is>
          <t>Proceeds from Sale of Assets</t>
        </is>
      </c>
      <c r="B27" s="4" t="n">
        <v>3</v>
      </c>
      <c r="C27" s="4" t="n">
        <v>222</v>
      </c>
      <c r="D27" s="4" t="n">
        <v>228</v>
      </c>
      <c r="E27" s="4" t="n">
        <v>19</v>
      </c>
      <c r="F27" s="4" t="n">
        <v>122</v>
      </c>
      <c r="G27" s="4" t="n">
        <v>131</v>
      </c>
      <c r="H27" s="4" t="n">
        <v>7</v>
      </c>
      <c r="I27" s="4" t="n">
        <v>127</v>
      </c>
      <c r="J27" s="4" t="n">
        <v>177</v>
      </c>
      <c r="K27" s="4" t="n">
        <v>132</v>
      </c>
      <c r="L27" s="4" t="n">
        <v>169</v>
      </c>
      <c r="M27" s="4" t="n">
        <v>272</v>
      </c>
      <c r="N27" s="4" t="n">
        <v>13</v>
      </c>
    </row>
    <row r="28">
      <c r="A28" s="3" t="inlineStr">
        <is>
          <t>Acquisitions, Net of Cash Acquired</t>
        </is>
      </c>
      <c r="B28" s="4" t="n">
        <v>-13</v>
      </c>
      <c r="C28" s="4" t="n">
        <v>-29</v>
      </c>
      <c r="D28" s="4" t="n">
        <v>-804</v>
      </c>
      <c r="E28" s="4" t="n">
        <v>-16</v>
      </c>
      <c r="F28" s="4" t="n">
        <v>-83</v>
      </c>
      <c r="G28" s="4" t="n">
        <v>-132</v>
      </c>
      <c r="H28" s="4" t="n">
        <v>-6</v>
      </c>
      <c r="I28" s="4" t="n">
        <v>-30</v>
      </c>
      <c r="J28" s="4" t="n">
        <v>-31</v>
      </c>
      <c r="K28" s="4" t="n">
        <v>-1200</v>
      </c>
      <c r="L28" s="4" t="n">
        <v>-3130</v>
      </c>
      <c r="M28" s="4" t="n">
        <v>-3176</v>
      </c>
      <c r="N28" s="4" t="n">
        <v>-67</v>
      </c>
    </row>
    <row r="29">
      <c r="A29" s="3" t="inlineStr">
        <is>
          <t>Proceeds from Juice Transaction</t>
        </is>
      </c>
      <c r="B29" s="4" t="n">
        <v>3456</v>
      </c>
      <c r="C29" s="4" t="n">
        <v>3456</v>
      </c>
      <c r="D29" s="4" t="n">
        <v>3456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0</v>
      </c>
    </row>
    <row r="30">
      <c r="A30" s="3" t="inlineStr">
        <is>
          <t>Proceeds from Divestitures of Businesses</t>
        </is>
      </c>
      <c r="B30" s="4" t="n">
        <v>5</v>
      </c>
      <c r="C30" s="4" t="n">
        <v>15</v>
      </c>
      <c r="D30" s="4" t="n">
        <v>15</v>
      </c>
      <c r="E30" s="4" t="n">
        <v>85</v>
      </c>
      <c r="F30" s="4" t="n">
        <v>75</v>
      </c>
      <c r="G30" s="4" t="n">
        <v>75</v>
      </c>
      <c r="H30" s="4" t="n">
        <v>53</v>
      </c>
      <c r="I30" s="4" t="n">
        <v>135</v>
      </c>
      <c r="J30" s="4" t="n">
        <v>145</v>
      </c>
      <c r="K30" s="4" t="n">
        <v>2</v>
      </c>
      <c r="L30" s="4" t="n">
        <v>5</v>
      </c>
      <c r="M30" s="4" t="n">
        <v>5</v>
      </c>
      <c r="N30" s="4" t="n">
        <v>0</v>
      </c>
    </row>
    <row r="31">
      <c r="A31" s="3" t="inlineStr">
        <is>
          <t>Net Change in Short-Term Investments</t>
        </is>
      </c>
      <c r="B31" s="4" t="n">
        <v>22</v>
      </c>
      <c r="C31" s="4" t="n">
        <v>8</v>
      </c>
      <c r="D31" s="4" t="n">
        <v>-37</v>
      </c>
      <c r="E31" s="4" t="n">
        <v>-39</v>
      </c>
      <c r="F31" s="4" t="n">
        <v>-56</v>
      </c>
      <c r="G31" s="4" t="n">
        <v>35</v>
      </c>
      <c r="H31" s="4" t="n">
        <v>8</v>
      </c>
      <c r="I31" s="4" t="n">
        <v>1</v>
      </c>
      <c r="J31" s="4" t="n">
        <v>-421</v>
      </c>
      <c r="K31" s="4" t="n">
        <v>441</v>
      </c>
      <c r="L31" s="4" t="n">
        <v>447</v>
      </c>
      <c r="M31" s="4" t="n">
        <v>278</v>
      </c>
      <c r="N31" s="4" t="n">
        <v>5</v>
      </c>
    </row>
    <row r="32">
      <c r="A32" s="3" t="inlineStr">
        <is>
          <t>Other Investing Activities</t>
        </is>
      </c>
      <c r="B32" s="4" t="n">
        <v>4</v>
      </c>
      <c r="C32" s="4" t="n">
        <v>-1</v>
      </c>
      <c r="D32" s="4" t="n">
        <v>7</v>
      </c>
      <c r="E32" s="4" t="n">
        <v>0</v>
      </c>
      <c r="F32" s="4" t="n">
        <v>32</v>
      </c>
      <c r="G32" s="4" t="n">
        <v>49</v>
      </c>
      <c r="H32" s="4" t="n">
        <v>-10</v>
      </c>
      <c r="I32" s="4" t="n">
        <v>14</v>
      </c>
      <c r="J32" s="4" t="n">
        <v>15</v>
      </c>
      <c r="K32" s="4" t="n">
        <v>-4</v>
      </c>
      <c r="L32" s="4" t="n">
        <v>-111</v>
      </c>
      <c r="M32" s="4" t="n">
        <v>-117</v>
      </c>
      <c r="N32" s="4" t="n">
        <v>19</v>
      </c>
    </row>
    <row r="33">
      <c r="A33" s="3" t="inlineStr">
        <is>
          <t>Cash Flow from Investing</t>
        </is>
      </c>
      <c r="B33" s="6">
        <f>SUM(B26:B32)</f>
        <v/>
      </c>
      <c r="C33" s="6">
        <f>SUM(C26:C32)</f>
        <v/>
      </c>
      <c r="D33" s="6">
        <f>SUM(D26:D32)</f>
        <v/>
      </c>
      <c r="E33" s="6">
        <f>SUM(E26:E32)</f>
        <v/>
      </c>
      <c r="F33" s="6">
        <f>SUM(F26:F32)</f>
        <v/>
      </c>
      <c r="G33" s="6">
        <f>SUM(G26:G32)</f>
        <v/>
      </c>
      <c r="H33" s="6">
        <f>SUM(H26:H32)</f>
        <v/>
      </c>
      <c r="I33" s="6">
        <f>SUM(I26:I32)</f>
        <v/>
      </c>
      <c r="J33" s="6">
        <f>SUM(J26:J32)</f>
        <v/>
      </c>
      <c r="K33" s="6">
        <f>SUM(K26:K32)</f>
        <v/>
      </c>
      <c r="L33" s="6">
        <f>SUM(L26:L32)</f>
        <v/>
      </c>
      <c r="M33" s="6">
        <f>SUM(M26:M32)</f>
        <v/>
      </c>
      <c r="N33" s="6">
        <f>SUM(N26:N32)</f>
        <v/>
      </c>
    </row>
    <row r="34">
      <c r="A34" s="3" t="inlineStr">
        <is>
          <t>Proceeds from Issuance of Long-Term Debt</t>
        </is>
      </c>
      <c r="B34" s="4" t="n">
        <v>0</v>
      </c>
      <c r="C34" s="4" t="n">
        <v>0</v>
      </c>
      <c r="D34" s="4" t="n">
        <v>3377</v>
      </c>
      <c r="E34" s="4" t="n">
        <v>2986</v>
      </c>
      <c r="F34" s="4" t="n">
        <v>2986</v>
      </c>
      <c r="G34" s="4" t="n">
        <v>2986</v>
      </c>
      <c r="H34" s="4" t="n">
        <v>1761</v>
      </c>
      <c r="I34" s="4" t="n">
        <v>1765</v>
      </c>
      <c r="J34" s="4" t="n">
        <v>4014</v>
      </c>
      <c r="K34" s="4" t="n">
        <v>3505</v>
      </c>
      <c r="L34" s="4" t="n">
        <v>3521</v>
      </c>
      <c r="M34" s="4" t="n">
        <v>8179</v>
      </c>
      <c r="N34" s="4" t="n">
        <v>2964</v>
      </c>
    </row>
    <row r="35">
      <c r="A35" s="3" t="inlineStr">
        <is>
          <t>Repayments of Long-Term Debt</t>
        </is>
      </c>
      <c r="B35" s="4" t="n">
        <v>-1251</v>
      </c>
      <c r="C35" s="4" t="n">
        <v>-3202</v>
      </c>
      <c r="D35" s="4" t="n">
        <v>-3203</v>
      </c>
      <c r="E35" s="4" t="n">
        <v>-1251</v>
      </c>
      <c r="F35" s="4" t="n">
        <v>-2252</v>
      </c>
      <c r="G35" s="4" t="n">
        <v>-2253</v>
      </c>
      <c r="H35" s="4" t="n">
        <v>-1252</v>
      </c>
      <c r="I35" s="4" t="n">
        <v>-2882</v>
      </c>
      <c r="J35" s="4" t="n">
        <v>-2883</v>
      </c>
      <c r="K35" s="4" t="n">
        <v>-1541</v>
      </c>
      <c r="L35" s="4" t="n">
        <v>-2543</v>
      </c>
      <c r="M35" s="4" t="n">
        <v>-3245</v>
      </c>
      <c r="N35" s="4" t="n">
        <v>-1629</v>
      </c>
    </row>
    <row r="36">
      <c r="A36" s="3" t="inlineStr">
        <is>
          <t>Proceeds from Short-Term Debt</t>
        </is>
      </c>
      <c r="B36" s="4" t="n">
        <v>559</v>
      </c>
      <c r="C36" s="4" t="n">
        <v>1935</v>
      </c>
      <c r="D36" s="4" t="n">
        <v>1947</v>
      </c>
      <c r="E36" s="4" t="n">
        <v>393</v>
      </c>
      <c r="F36" s="4" t="n">
        <v>1660</v>
      </c>
      <c r="G36" s="4" t="n">
        <v>4688</v>
      </c>
      <c r="H36" s="4" t="n">
        <v>2313</v>
      </c>
      <c r="I36" s="4" t="n">
        <v>3080</v>
      </c>
      <c r="J36" s="4" t="n">
        <v>3808</v>
      </c>
      <c r="K36" s="4" t="n">
        <v>3656</v>
      </c>
      <c r="L36" s="4" t="n">
        <v>5251</v>
      </c>
      <c r="M36" s="4" t="n">
        <v>5528</v>
      </c>
      <c r="N36" s="4" t="n">
        <v>1937</v>
      </c>
    </row>
    <row r="37">
      <c r="A37" s="3" t="inlineStr">
        <is>
          <t>Repayments of Short-Term Debt</t>
        </is>
      </c>
      <c r="B37" s="4" t="n">
        <v>0</v>
      </c>
      <c r="C37" s="4" t="n">
        <v>0</v>
      </c>
      <c r="D37" s="4" t="n">
        <v>-1932</v>
      </c>
      <c r="E37" s="4" t="n">
        <v>-1</v>
      </c>
      <c r="F37" s="4" t="n">
        <v>-26</v>
      </c>
      <c r="G37" s="4" t="n">
        <v>-1037</v>
      </c>
      <c r="H37" s="4" t="n">
        <v>-1631</v>
      </c>
      <c r="I37" s="4" t="n">
        <v>-2138</v>
      </c>
      <c r="J37" s="4" t="n">
        <v>-4177</v>
      </c>
      <c r="K37" s="4" t="n">
        <v>-2119</v>
      </c>
      <c r="L37" s="4" t="n">
        <v>-2492</v>
      </c>
      <c r="M37" s="4" t="n">
        <v>-5417</v>
      </c>
      <c r="N37" s="4" t="n">
        <v>-676</v>
      </c>
    </row>
    <row r="38">
      <c r="A38" s="3" t="inlineStr">
        <is>
          <t>Net Change in Other Short-Term Debt</t>
        </is>
      </c>
      <c r="B38" s="4" t="n">
        <v>647</v>
      </c>
      <c r="C38" s="4" t="n">
        <v>844</v>
      </c>
      <c r="D38" s="4" t="n">
        <v>-45</v>
      </c>
      <c r="E38" s="4" t="n">
        <v>491</v>
      </c>
      <c r="F38" s="4" t="n">
        <v>2023</v>
      </c>
      <c r="G38" s="4" t="n">
        <v>1395</v>
      </c>
      <c r="H38" s="4" t="n">
        <v>774</v>
      </c>
      <c r="I38" s="4" t="n">
        <v>1286</v>
      </c>
      <c r="J38" s="4" t="n">
        <v>101</v>
      </c>
      <c r="K38" s="4" t="n">
        <v>373</v>
      </c>
      <c r="L38" s="4" t="n">
        <v>2438</v>
      </c>
      <c r="M38" s="4" t="n">
        <v>445</v>
      </c>
      <c r="N38" s="4" t="n">
        <v>1198</v>
      </c>
    </row>
    <row r="39">
      <c r="A39" s="3" t="inlineStr">
        <is>
          <t>Common Dividends</t>
        </is>
      </c>
      <c r="B39" s="4" t="n">
        <v>-1505</v>
      </c>
      <c r="C39" s="4" t="n">
        <v>-2997</v>
      </c>
      <c r="D39" s="4" t="n">
        <v>-4586</v>
      </c>
      <c r="E39" s="4" t="n">
        <v>-1608</v>
      </c>
      <c r="F39" s="4" t="n">
        <v>-3199</v>
      </c>
      <c r="G39" s="4" t="n">
        <v>-4941</v>
      </c>
      <c r="H39" s="4" t="n">
        <v>-1767</v>
      </c>
      <c r="I39" s="4" t="n">
        <v>-3506</v>
      </c>
      <c r="J39" s="4" t="n">
        <v>-5369</v>
      </c>
      <c r="K39" s="4" t="n">
        <v>-1882</v>
      </c>
      <c r="L39" s="4" t="n">
        <v>-3743</v>
      </c>
      <c r="M39" s="4" t="n">
        <v>-5692</v>
      </c>
      <c r="N39" s="4" t="n">
        <v>-1966</v>
      </c>
    </row>
    <row r="40">
      <c r="A40" s="3" t="inlineStr">
        <is>
          <t>Share Repurchases</t>
        </is>
      </c>
      <c r="B40" s="4" t="n">
        <v>-193</v>
      </c>
      <c r="C40" s="4" t="n">
        <v>-699</v>
      </c>
      <c r="D40" s="4" t="n">
        <v>-1156</v>
      </c>
      <c r="E40" s="4" t="n">
        <v>-160</v>
      </c>
      <c r="F40" s="4" t="n">
        <v>-453</v>
      </c>
      <c r="G40" s="4" t="n">
        <v>-751</v>
      </c>
      <c r="H40" s="4" t="n">
        <v>-146</v>
      </c>
      <c r="I40" s="4" t="n">
        <v>-461</v>
      </c>
      <c r="J40" s="4" t="n">
        <v>-760</v>
      </c>
      <c r="K40" s="4" t="n">
        <v>-183</v>
      </c>
      <c r="L40" s="4" t="n">
        <v>-494</v>
      </c>
      <c r="M40" s="4" t="n">
        <v>-752</v>
      </c>
      <c r="N40" s="4" t="n">
        <v>-182</v>
      </c>
    </row>
    <row r="41">
      <c r="A41" s="3" t="inlineStr">
        <is>
          <t>Proceeds from Exercise of Stock Options</t>
        </is>
      </c>
      <c r="B41" s="4" t="n">
        <v>49</v>
      </c>
      <c r="C41" s="4" t="n">
        <v>89</v>
      </c>
      <c r="D41" s="4" t="n">
        <v>113</v>
      </c>
      <c r="E41" s="4" t="n">
        <v>46</v>
      </c>
      <c r="F41" s="4" t="n">
        <v>86</v>
      </c>
      <c r="G41" s="4" t="n">
        <v>100</v>
      </c>
      <c r="H41" s="4" t="n">
        <v>66</v>
      </c>
      <c r="I41" s="4" t="n">
        <v>107</v>
      </c>
      <c r="J41" s="4" t="n">
        <v>138</v>
      </c>
      <c r="K41" s="4" t="n">
        <v>50</v>
      </c>
      <c r="L41" s="4" t="n">
        <v>58</v>
      </c>
      <c r="M41" s="4" t="n">
        <v>76</v>
      </c>
      <c r="N41" s="4" t="n">
        <v>93</v>
      </c>
    </row>
    <row r="42">
      <c r="A42" s="3" t="inlineStr">
        <is>
          <t>Tax Withholdings on RSU/PSU Settlement</t>
        </is>
      </c>
      <c r="B42" s="4" t="n">
        <v>-85</v>
      </c>
      <c r="C42" s="4" t="n">
        <v>-87</v>
      </c>
      <c r="D42" s="4" t="n">
        <v>-97</v>
      </c>
      <c r="E42" s="4" t="n">
        <v>-116</v>
      </c>
      <c r="F42" s="4" t="n">
        <v>-119</v>
      </c>
      <c r="G42" s="4" t="n">
        <v>-135</v>
      </c>
      <c r="H42" s="4" t="n">
        <v>-108</v>
      </c>
      <c r="I42" s="4" t="n">
        <v>-131</v>
      </c>
      <c r="J42" s="4" t="n">
        <v>-132</v>
      </c>
      <c r="K42" s="4" t="n">
        <v>-89</v>
      </c>
      <c r="L42" s="4" t="n">
        <v>-111</v>
      </c>
      <c r="M42" s="4" t="n">
        <v>-112</v>
      </c>
      <c r="N42" s="4" t="n">
        <v>-76</v>
      </c>
    </row>
    <row r="43">
      <c r="A43" s="3" t="inlineStr">
        <is>
          <t>Other Financing Activities</t>
        </is>
      </c>
      <c r="B43" s="4" t="n">
        <v>-1</v>
      </c>
      <c r="C43" s="4" t="n">
        <v>-15</v>
      </c>
      <c r="D43" s="4" t="n">
        <v>-25</v>
      </c>
      <c r="E43" s="4" t="n">
        <v>-3</v>
      </c>
      <c r="F43" s="4" t="n">
        <v>-16</v>
      </c>
      <c r="G43" s="4" t="n">
        <v>-18</v>
      </c>
      <c r="H43" s="4" t="n">
        <v>0</v>
      </c>
      <c r="I43" s="4" t="n">
        <v>-20</v>
      </c>
      <c r="J43" s="4" t="n">
        <v>-22</v>
      </c>
      <c r="K43" s="4" t="n">
        <v>-2</v>
      </c>
      <c r="L43" s="4" t="n">
        <v>-17</v>
      </c>
      <c r="M43" s="4" t="n">
        <v>-18</v>
      </c>
      <c r="N43" s="4" t="n">
        <v>-1</v>
      </c>
    </row>
    <row r="44">
      <c r="A44" s="3" t="inlineStr">
        <is>
          <t>Cash Flow from Financing</t>
        </is>
      </c>
      <c r="B44" s="6">
        <f>SUM(B34:B43)</f>
        <v/>
      </c>
      <c r="C44" s="6">
        <f>SUM(C34:C43)</f>
        <v/>
      </c>
      <c r="D44" s="6">
        <f>SUM(D34:D43)</f>
        <v/>
      </c>
      <c r="E44" s="6">
        <f>SUM(E34:E43)</f>
        <v/>
      </c>
      <c r="F44" s="6">
        <f>SUM(F34:F43)</f>
        <v/>
      </c>
      <c r="G44" s="6">
        <f>SUM(G34:G43)</f>
        <v/>
      </c>
      <c r="H44" s="6">
        <f>SUM(H34:H43)</f>
        <v/>
      </c>
      <c r="I44" s="6">
        <f>SUM(I34:I43)</f>
        <v/>
      </c>
      <c r="J44" s="6">
        <f>SUM(J34:J43)</f>
        <v/>
      </c>
      <c r="K44" s="6">
        <f>SUM(K34:K43)</f>
        <v/>
      </c>
      <c r="L44" s="6">
        <f>SUM(L34:L43)</f>
        <v/>
      </c>
      <c r="M44" s="6">
        <f>SUM(M34:M43)</f>
        <v/>
      </c>
      <c r="N44" s="6">
        <f>SUM(N34:N43)</f>
        <v/>
      </c>
    </row>
    <row r="45">
      <c r="A45" s="3" t="inlineStr">
        <is>
          <t>FX Effect on Cash</t>
        </is>
      </c>
      <c r="B45" s="4" t="n">
        <v>-17</v>
      </c>
      <c r="C45" s="4" t="n">
        <v>-83</v>
      </c>
      <c r="D45" s="4" t="n">
        <v>-197</v>
      </c>
      <c r="E45" s="4" t="n">
        <v>-116</v>
      </c>
      <c r="F45" s="4" t="n">
        <v>-144</v>
      </c>
      <c r="G45" s="4" t="n">
        <v>-254</v>
      </c>
      <c r="H45" s="4" t="n">
        <v>-38</v>
      </c>
      <c r="I45" s="4" t="n">
        <v>-304</v>
      </c>
      <c r="J45" s="4" t="n">
        <v>-391</v>
      </c>
      <c r="K45" s="4" t="n">
        <v>203</v>
      </c>
      <c r="L45" s="4" t="n">
        <v>422</v>
      </c>
      <c r="M45" s="4" t="n">
        <v>395</v>
      </c>
      <c r="N45" s="4" t="n">
        <v>121</v>
      </c>
    </row>
    <row r="46">
      <c r="A46" s="3" t="inlineStr">
        <is>
          <t>Net Change in Cash</t>
        </is>
      </c>
      <c r="B46" s="6">
        <f>B25+B33+B44+B45+B46</f>
        <v/>
      </c>
      <c r="C46" s="6">
        <f>C25+C33+C44+C45+C46</f>
        <v/>
      </c>
      <c r="D46" s="6">
        <f>D25+D33+D44+D45+D46</f>
        <v/>
      </c>
      <c r="E46" s="6">
        <f>E25+E33+E44+E45+E46</f>
        <v/>
      </c>
      <c r="F46" s="6">
        <f>F25+F33+F44+F45+F46</f>
        <v/>
      </c>
      <c r="G46" s="6">
        <f>G25+G33+G44+G45+G46</f>
        <v/>
      </c>
      <c r="H46" s="6">
        <f>H25+H33+H44+H45+H46</f>
        <v/>
      </c>
      <c r="I46" s="6">
        <f>I25+I33+I44+I45+I46</f>
        <v/>
      </c>
      <c r="J46" s="6">
        <f>J25+J33+J44+J45+J46</f>
        <v/>
      </c>
      <c r="K46" s="6">
        <f>K25+K33+K44+K45+K46</f>
        <v/>
      </c>
      <c r="L46" s="6">
        <f>L25+L33+L44+L45+L46</f>
        <v/>
      </c>
      <c r="M46" s="6">
        <f>M25+M33+M44+M45+M46</f>
        <v/>
      </c>
      <c r="N46" s="6">
        <f>N25+N33+N44+N45+N46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</row>
    <row r="6">
      <c r="A6" s="3" t="inlineStr">
        <is>
          <t>Gain on Juice Transaction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4">
        <f>'YTD P&amp;L'!N6</f>
        <v/>
      </c>
    </row>
    <row r="7">
      <c r="A7" s="3" t="inlineStr">
        <is>
          <t>Impairment of Intangibles</t>
        </is>
      </c>
      <c r="B7" s="4">
        <f>'YTD P&amp;L'!B7</f>
        <v/>
      </c>
      <c r="C7" s="4">
        <f>'YTD P&amp;L'!C7-'YTD P&amp;L'!B7</f>
        <v/>
      </c>
      <c r="D7" s="4">
        <f>'YTD P&amp;L'!D7-'YTD P&amp;L'!C7</f>
        <v/>
      </c>
      <c r="E7" s="4">
        <f>'ANNL P&amp;L'!C7-'YTD P&amp;L'!D7</f>
        <v/>
      </c>
      <c r="F7" s="4">
        <f>'YTD P&amp;L'!E7</f>
        <v/>
      </c>
      <c r="G7" s="4">
        <f>'YTD P&amp;L'!F7-'YTD P&amp;L'!E7</f>
        <v/>
      </c>
      <c r="H7" s="4">
        <f>'YTD P&amp;L'!G7-'YTD P&amp;L'!F7</f>
        <v/>
      </c>
      <c r="I7" s="4">
        <f>'ANNL P&amp;L'!D7-'YTD P&amp;L'!G7</f>
        <v/>
      </c>
      <c r="J7" s="4">
        <f>'YTD P&amp;L'!H7</f>
        <v/>
      </c>
      <c r="K7" s="4">
        <f>'YTD P&amp;L'!I7-'YTD P&amp;L'!H7</f>
        <v/>
      </c>
      <c r="L7" s="4">
        <f>'YTD P&amp;L'!J7-'YTD P&amp;L'!I7</f>
        <v/>
      </c>
      <c r="M7" s="4">
        <f>'ANNL P&amp;L'!E7-'YTD P&amp;L'!J7</f>
        <v/>
      </c>
      <c r="N7" s="4">
        <f>'YTD P&amp;L'!K7</f>
        <v/>
      </c>
      <c r="O7" s="4">
        <f>'YTD P&amp;L'!L7-'YTD P&amp;L'!K7</f>
        <v/>
      </c>
      <c r="P7" s="4">
        <f>'YTD P&amp;L'!M7-'YTD P&amp;L'!L7</f>
        <v/>
      </c>
      <c r="Q7" s="4">
        <f>'ANNL P&amp;L'!F7-'YTD P&amp;L'!M7</f>
        <v/>
      </c>
      <c r="R7" s="4">
        <f>'YTD P&amp;L'!N7</f>
        <v/>
      </c>
    </row>
    <row r="8">
      <c r="A8" s="3" t="inlineStr">
        <is>
          <t>Income (Loss) from Operations</t>
        </is>
      </c>
      <c r="B8" s="6">
        <f>'YTD P&amp;L'!B8</f>
        <v/>
      </c>
      <c r="C8" s="6">
        <f>'YTD P&amp;L'!C8-'YTD P&amp;L'!B8</f>
        <v/>
      </c>
      <c r="D8" s="6">
        <f>'YTD P&amp;L'!D8-'YTD P&amp;L'!C8</f>
        <v/>
      </c>
      <c r="E8" s="6">
        <f>'ANNL P&amp;L'!C8-'YTD P&amp;L'!D8</f>
        <v/>
      </c>
      <c r="F8" s="6">
        <f>'YTD P&amp;L'!E8</f>
        <v/>
      </c>
      <c r="G8" s="6">
        <f>'YTD P&amp;L'!F8-'YTD P&amp;L'!E8</f>
        <v/>
      </c>
      <c r="H8" s="6">
        <f>'YTD P&amp;L'!G8-'YTD P&amp;L'!F8</f>
        <v/>
      </c>
      <c r="I8" s="6">
        <f>'ANNL P&amp;L'!D8-'YTD P&amp;L'!G8</f>
        <v/>
      </c>
      <c r="J8" s="6">
        <f>'YTD P&amp;L'!H8</f>
        <v/>
      </c>
      <c r="K8" s="6">
        <f>'YTD P&amp;L'!I8-'YTD P&amp;L'!H8</f>
        <v/>
      </c>
      <c r="L8" s="6">
        <f>'YTD P&amp;L'!J8-'YTD P&amp;L'!I8</f>
        <v/>
      </c>
      <c r="M8" s="6">
        <f>'ANNL P&amp;L'!E8-'YTD P&amp;L'!J8</f>
        <v/>
      </c>
      <c r="N8" s="6">
        <f>'YTD P&amp;L'!K8</f>
        <v/>
      </c>
      <c r="O8" s="6">
        <f>'YTD P&amp;L'!L8-'YTD P&amp;L'!K8</f>
        <v/>
      </c>
      <c r="P8" s="6">
        <f>'YTD P&amp;L'!M8-'YTD P&amp;L'!L8</f>
        <v/>
      </c>
      <c r="Q8" s="6">
        <f>'ANNL P&amp;L'!F8-'YTD P&amp;L'!M8</f>
        <v/>
      </c>
      <c r="R8" s="6">
        <f>'YTD P&amp;L'!N8</f>
        <v/>
      </c>
    </row>
    <row r="9">
      <c r="A9" s="3" t="inlineStr">
        <is>
          <t>Other Pension and OPEB Benefits Income (Expense)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</row>
    <row r="10">
      <c r="A10" s="3" t="inlineStr">
        <is>
          <t>Interest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4">
        <f>'YTD P&amp;L'!N10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6">
        <f>'YTD P&amp;L'!N11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4">
        <f>'YTD P&amp;L'!N12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6">
        <f>'YTD P&amp;L'!N13</f>
        <v/>
      </c>
    </row>
    <row r="14">
      <c r="A14" s="3" t="inlineStr">
        <is>
          <t>Net Income (Loss) Attributable to Noncontrolling Interest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4">
        <f>'YTD P&amp;L'!N14</f>
        <v/>
      </c>
    </row>
    <row r="15">
      <c r="A15" s="3" t="inlineStr">
        <is>
          <t>Net Income (Loss) Less NCI</t>
        </is>
      </c>
      <c r="B15" s="6">
        <f>'YTD P&amp;L'!B15</f>
        <v/>
      </c>
      <c r="C15" s="6">
        <f>'YTD P&amp;L'!C15-'YTD P&amp;L'!B15</f>
        <v/>
      </c>
      <c r="D15" s="6">
        <f>'YTD P&amp;L'!D15-'YTD P&amp;L'!C15</f>
        <v/>
      </c>
      <c r="E15" s="6">
        <f>'ANNL P&amp;L'!C15-'YTD P&amp;L'!D15</f>
        <v/>
      </c>
      <c r="F15" s="6">
        <f>'YTD P&amp;L'!E15</f>
        <v/>
      </c>
      <c r="G15" s="6">
        <f>'YTD P&amp;L'!F15-'YTD P&amp;L'!E15</f>
        <v/>
      </c>
      <c r="H15" s="6">
        <f>'YTD P&amp;L'!G15-'YTD P&amp;L'!F15</f>
        <v/>
      </c>
      <c r="I15" s="6">
        <f>'ANNL P&amp;L'!D15-'YTD P&amp;L'!G15</f>
        <v/>
      </c>
      <c r="J15" s="6">
        <f>'YTD P&amp;L'!H15</f>
        <v/>
      </c>
      <c r="K15" s="6">
        <f>'YTD P&amp;L'!I15-'YTD P&amp;L'!H15</f>
        <v/>
      </c>
      <c r="L15" s="6">
        <f>'YTD P&amp;L'!J15-'YTD P&amp;L'!I15</f>
        <v/>
      </c>
      <c r="M15" s="6">
        <f>'ANNL P&amp;L'!E15-'YTD P&amp;L'!J15</f>
        <v/>
      </c>
      <c r="N15" s="6">
        <f>'YTD P&amp;L'!K15</f>
        <v/>
      </c>
      <c r="O15" s="6">
        <f>'YTD P&amp;L'!L15-'YTD P&amp;L'!K15</f>
        <v/>
      </c>
      <c r="P15" s="6">
        <f>'YTD P&amp;L'!M15-'YTD P&amp;L'!L15</f>
        <v/>
      </c>
      <c r="Q15" s="6">
        <f>'ANNL P&amp;L'!F15-'YTD P&amp;L'!M15</f>
        <v/>
      </c>
      <c r="R15" s="6">
        <f>'YTD P&amp;L'!N15</f>
        <v/>
      </c>
    </row>
    <row r="16">
      <c r="A16" s="3" t="inlineStr">
        <is>
          <t>Basic Earnings (Loss) per Share</t>
        </is>
      </c>
    </row>
    <row r="17">
      <c r="A17" s="3" t="inlineStr">
        <is>
          <t>Diluted Earnings (Loss) per Share</t>
        </is>
      </c>
    </row>
    <row r="18">
      <c r="A18" s="3" t="inlineStr">
        <is>
          <t>Weighted Average Shares Outstanding (Basic)</t>
        </is>
      </c>
    </row>
    <row r="19">
      <c r="A19" s="3" t="inlineStr">
        <is>
          <t>Weighted Average Shares Outstanding (Diluted)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</row>
    <row r="3">
      <c r="A3" s="3" t="inlineStr">
        <is>
          <t>Short-Term Investments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</row>
    <row r="5">
      <c r="A5" s="3" t="inlineStr">
        <is>
          <t>Inventories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</row>
    <row r="6">
      <c r="A6" s="3" t="inlineStr">
        <is>
          <t>Prepaid Expenses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4">
        <f>'YTD BS'!O6</f>
        <v/>
      </c>
    </row>
    <row r="7">
      <c r="A7" s="3" t="inlineStr">
        <is>
          <t>Total Current Assets</t>
        </is>
      </c>
      <c r="B7" s="6">
        <f>'BALANCE SHEET'!B7</f>
        <v/>
      </c>
      <c r="C7" s="6">
        <f>'YTD BS'!C7</f>
        <v/>
      </c>
      <c r="D7" s="6">
        <f>'YTD BS'!D7</f>
        <v/>
      </c>
      <c r="E7" s="6">
        <f>'YTD BS'!E7</f>
        <v/>
      </c>
      <c r="F7" s="6">
        <f>'BALANCE SHEET'!C7</f>
        <v/>
      </c>
      <c r="G7" s="6">
        <f>'YTD BS'!G7</f>
        <v/>
      </c>
      <c r="H7" s="6">
        <f>'YTD BS'!H7</f>
        <v/>
      </c>
      <c r="I7" s="6">
        <f>'YTD BS'!I7</f>
        <v/>
      </c>
      <c r="J7" s="6">
        <f>'BALANCE SHEET'!D7</f>
        <v/>
      </c>
      <c r="K7" s="6">
        <f>'YTD BS'!K7</f>
        <v/>
      </c>
      <c r="L7" s="6">
        <f>'YTD BS'!L7</f>
        <v/>
      </c>
      <c r="M7" s="6">
        <f>'YTD BS'!M7</f>
        <v/>
      </c>
      <c r="N7" s="6">
        <f>'BALANCE SHEET'!E7</f>
        <v/>
      </c>
      <c r="O7" s="6">
        <f>'YTD BS'!O7</f>
        <v/>
      </c>
    </row>
    <row r="8">
      <c r="A8" s="3" t="inlineStr">
        <is>
          <t>Net PP&amp;E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4">
        <f>'YTD BS'!O8</f>
        <v/>
      </c>
    </row>
    <row r="9">
      <c r="A9" s="3" t="inlineStr">
        <is>
          <t>Intangible Assets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</row>
    <row r="10">
      <c r="A10" s="3" t="inlineStr">
        <is>
          <t>Goodwill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</row>
    <row r="11">
      <c r="A11" s="3" t="inlineStr">
        <is>
          <t>Equity Method Investments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4">
        <f>'YTD BS'!O11</f>
        <v/>
      </c>
    </row>
    <row r="12">
      <c r="A12" s="3" t="inlineStr">
        <is>
          <t>Deferred Tax Assets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</row>
    <row r="13">
      <c r="A13" s="3" t="inlineStr">
        <is>
          <t>Other Non-Current Assets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</row>
    <row r="14">
      <c r="A14" s="3" t="inlineStr">
        <is>
          <t>Total Assets</t>
        </is>
      </c>
      <c r="B14" s="6">
        <f>'BALANCE SHEET'!B14</f>
        <v/>
      </c>
      <c r="C14" s="6">
        <f>'YTD BS'!C14</f>
        <v/>
      </c>
      <c r="D14" s="6">
        <f>'YTD BS'!D14</f>
        <v/>
      </c>
      <c r="E14" s="6">
        <f>'YTD BS'!E14</f>
        <v/>
      </c>
      <c r="F14" s="6">
        <f>'BALANCE SHEET'!C14</f>
        <v/>
      </c>
      <c r="G14" s="6">
        <f>'YTD BS'!G14</f>
        <v/>
      </c>
      <c r="H14" s="6">
        <f>'YTD BS'!H14</f>
        <v/>
      </c>
      <c r="I14" s="6">
        <f>'YTD BS'!I14</f>
        <v/>
      </c>
      <c r="J14" s="6">
        <f>'BALANCE SHEET'!D14</f>
        <v/>
      </c>
      <c r="K14" s="6">
        <f>'YTD BS'!K14</f>
        <v/>
      </c>
      <c r="L14" s="6">
        <f>'YTD BS'!L14</f>
        <v/>
      </c>
      <c r="M14" s="6">
        <f>'YTD BS'!M14</f>
        <v/>
      </c>
      <c r="N14" s="6">
        <f>'BALANCE SHEET'!E14</f>
        <v/>
      </c>
      <c r="O14" s="6">
        <f>'YTD BS'!O14</f>
        <v/>
      </c>
    </row>
    <row r="15">
      <c r="A15" s="3" t="inlineStr">
        <is>
          <t>Short-Term Debt Obligations</t>
        </is>
      </c>
      <c r="B15" s="4">
        <f>'BALANCE SHEET'!B15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SHEET'!C15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SHEET'!D15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SHEET'!E15</f>
        <v/>
      </c>
      <c r="O15" s="4">
        <f>'YTD BS'!O15</f>
        <v/>
      </c>
    </row>
    <row r="16">
      <c r="A16" s="3" t="inlineStr">
        <is>
          <t>Accrued Expenses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</row>
    <row r="17">
      <c r="A17" s="3" t="inlineStr">
        <is>
          <t>Total Current Liabilities</t>
        </is>
      </c>
      <c r="B17" s="6">
        <f>'BALANCE SHEET'!B17</f>
        <v/>
      </c>
      <c r="C17" s="6">
        <f>'YTD BS'!C17</f>
        <v/>
      </c>
      <c r="D17" s="6">
        <f>'YTD BS'!D17</f>
        <v/>
      </c>
      <c r="E17" s="6">
        <f>'YTD BS'!E17</f>
        <v/>
      </c>
      <c r="F17" s="6">
        <f>'BALANCE SHEET'!C17</f>
        <v/>
      </c>
      <c r="G17" s="6">
        <f>'YTD BS'!G17</f>
        <v/>
      </c>
      <c r="H17" s="6">
        <f>'YTD BS'!H17</f>
        <v/>
      </c>
      <c r="I17" s="6">
        <f>'YTD BS'!I17</f>
        <v/>
      </c>
      <c r="J17" s="6">
        <f>'BALANCE SHEET'!D17</f>
        <v/>
      </c>
      <c r="K17" s="6">
        <f>'YTD BS'!K17</f>
        <v/>
      </c>
      <c r="L17" s="6">
        <f>'YTD BS'!L17</f>
        <v/>
      </c>
      <c r="M17" s="6">
        <f>'YTD BS'!M17</f>
        <v/>
      </c>
      <c r="N17" s="6">
        <f>'BALANCE SHEET'!E17</f>
        <v/>
      </c>
      <c r="O17" s="6">
        <f>'YTD BS'!O17</f>
        <v/>
      </c>
    </row>
    <row r="18">
      <c r="A18" s="3" t="inlineStr">
        <is>
          <t>Long-Term Debt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4">
        <f>'YTD BS'!O18</f>
        <v/>
      </c>
    </row>
    <row r="19">
      <c r="A19" s="3" t="inlineStr">
        <is>
          <t>Deferred Tax Liability</t>
        </is>
      </c>
      <c r="B19" s="4">
        <f>'BALANCE SHEET'!B19</f>
        <v/>
      </c>
      <c r="C19" s="4">
        <f>'YTD BS'!C19</f>
        <v/>
      </c>
      <c r="D19" s="4">
        <f>'YTD BS'!D19</f>
        <v/>
      </c>
      <c r="E19" s="4">
        <f>'YTD BS'!E19</f>
        <v/>
      </c>
      <c r="F19" s="4">
        <f>'BALANCE SHEET'!C19</f>
        <v/>
      </c>
      <c r="G19" s="4">
        <f>'YTD BS'!G19</f>
        <v/>
      </c>
      <c r="H19" s="4">
        <f>'YTD BS'!H19</f>
        <v/>
      </c>
      <c r="I19" s="4">
        <f>'YTD BS'!I19</f>
        <v/>
      </c>
      <c r="J19" s="4">
        <f>'BALANCE SHEET'!D19</f>
        <v/>
      </c>
      <c r="K19" s="4">
        <f>'YTD BS'!K19</f>
        <v/>
      </c>
      <c r="L19" s="4">
        <f>'YTD BS'!L19</f>
        <v/>
      </c>
      <c r="M19" s="4">
        <f>'YTD BS'!M19</f>
        <v/>
      </c>
      <c r="N19" s="4">
        <f>'BALANCE SHEET'!E19</f>
        <v/>
      </c>
      <c r="O19" s="4">
        <f>'YTD BS'!O19</f>
        <v/>
      </c>
    </row>
    <row r="20">
      <c r="A20" s="3" t="inlineStr">
        <is>
          <t>Other Non-Current Liabilities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</row>
    <row r="21">
      <c r="A21" s="3" t="inlineStr">
        <is>
          <t>Total Liabilities</t>
        </is>
      </c>
      <c r="B21" s="6">
        <f>'BALANCE SHEET'!B21</f>
        <v/>
      </c>
      <c r="C21" s="6">
        <f>'YTD BS'!C21</f>
        <v/>
      </c>
      <c r="D21" s="6">
        <f>'YTD BS'!D21</f>
        <v/>
      </c>
      <c r="E21" s="6">
        <f>'YTD BS'!E21</f>
        <v/>
      </c>
      <c r="F21" s="6">
        <f>'BALANCE SHEET'!C21</f>
        <v/>
      </c>
      <c r="G21" s="6">
        <f>'YTD BS'!G21</f>
        <v/>
      </c>
      <c r="H21" s="6">
        <f>'YTD BS'!H21</f>
        <v/>
      </c>
      <c r="I21" s="6">
        <f>'YTD BS'!I21</f>
        <v/>
      </c>
      <c r="J21" s="6">
        <f>'BALANCE SHEET'!D21</f>
        <v/>
      </c>
      <c r="K21" s="6">
        <f>'YTD BS'!K21</f>
        <v/>
      </c>
      <c r="L21" s="6">
        <f>'YTD BS'!L21</f>
        <v/>
      </c>
      <c r="M21" s="6">
        <f>'YTD BS'!M21</f>
        <v/>
      </c>
      <c r="N21" s="6">
        <f>'BALANCE SHEET'!E21</f>
        <v/>
      </c>
      <c r="O21" s="6">
        <f>'YTD BS'!O21</f>
        <v/>
      </c>
    </row>
    <row r="22">
      <c r="A22" s="3" t="inlineStr">
        <is>
          <t>Common Stock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4">
        <f>'YTD BS'!O22</f>
        <v/>
      </c>
    </row>
    <row r="23">
      <c r="A23" s="3" t="inlineStr">
        <is>
          <t>Additional Paid-in Capital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</row>
    <row r="24">
      <c r="A24" s="3" t="inlineStr">
        <is>
          <t>Retained Earnings (Accumulated Deficit)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</row>
    <row r="25">
      <c r="A25" s="3" t="inlineStr">
        <is>
          <t>Accumulated Other Comprehensive Income (Loss)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4">
        <f>'YTD BS'!O25</f>
        <v/>
      </c>
    </row>
    <row r="26">
      <c r="A26" s="3" t="inlineStr">
        <is>
          <t>Treasury Stock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4">
        <f>'YTD BS'!O26</f>
        <v/>
      </c>
    </row>
    <row r="27">
      <c r="A27" s="3" t="inlineStr">
        <is>
          <t>Noncontrolling Interest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</row>
    <row r="28">
      <c r="A28" s="3" t="inlineStr">
        <is>
          <t>Total Stockholders' Equity</t>
        </is>
      </c>
      <c r="B28" s="6">
        <f>'BALANCE SHEET'!B28</f>
        <v/>
      </c>
      <c r="C28" s="6">
        <f>'YTD BS'!C28</f>
        <v/>
      </c>
      <c r="D28" s="6">
        <f>'YTD BS'!D28</f>
        <v/>
      </c>
      <c r="E28" s="6">
        <f>'YTD BS'!E28</f>
        <v/>
      </c>
      <c r="F28" s="6">
        <f>'BALANCE SHEET'!C28</f>
        <v/>
      </c>
      <c r="G28" s="6">
        <f>'YTD BS'!G28</f>
        <v/>
      </c>
      <c r="H28" s="6">
        <f>'YTD BS'!H28</f>
        <v/>
      </c>
      <c r="I28" s="6">
        <f>'YTD BS'!I28</f>
        <v/>
      </c>
      <c r="J28" s="6">
        <f>'BALANCE SHEET'!D28</f>
        <v/>
      </c>
      <c r="K28" s="6">
        <f>'YTD BS'!K28</f>
        <v/>
      </c>
      <c r="L28" s="6">
        <f>'YTD BS'!L28</f>
        <v/>
      </c>
      <c r="M28" s="6">
        <f>'YTD BS'!M28</f>
        <v/>
      </c>
      <c r="N28" s="6">
        <f>'BALANCE SHEET'!E28</f>
        <v/>
      </c>
      <c r="O28" s="6">
        <f>'YTD BS'!O28</f>
        <v/>
      </c>
    </row>
    <row r="29">
      <c r="A29" s="3" t="inlineStr">
        <is>
          <t>Total Liabilities, Mezzanine &amp; Stockholders' Equity</t>
        </is>
      </c>
      <c r="B29" s="6">
        <f>'BALANCE SHEET'!B29</f>
        <v/>
      </c>
      <c r="C29" s="6">
        <f>'YTD BS'!C29</f>
        <v/>
      </c>
      <c r="D29" s="6">
        <f>'YTD BS'!D29</f>
        <v/>
      </c>
      <c r="E29" s="6">
        <f>'YTD BS'!E29</f>
        <v/>
      </c>
      <c r="F29" s="6">
        <f>'BALANCE SHEET'!C29</f>
        <v/>
      </c>
      <c r="G29" s="6">
        <f>'YTD BS'!G29</f>
        <v/>
      </c>
      <c r="H29" s="6">
        <f>'YTD BS'!H29</f>
        <v/>
      </c>
      <c r="I29" s="6">
        <f>'YTD BS'!I29</f>
        <v/>
      </c>
      <c r="J29" s="6">
        <f>'BALANCE SHEET'!D29</f>
        <v/>
      </c>
      <c r="K29" s="6">
        <f>'YTD BS'!K29</f>
        <v/>
      </c>
      <c r="L29" s="6">
        <f>'YTD BS'!L29</f>
        <v/>
      </c>
      <c r="M29" s="6">
        <f>'YTD BS'!M29</f>
        <v/>
      </c>
      <c r="N29" s="6">
        <f>'BALANCE SHEET'!E29</f>
        <v/>
      </c>
      <c r="O29" s="6">
        <f>'YTD BS'!O29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</row>
    <row r="4">
      <c r="A4" s="3" t="inlineStr">
        <is>
          <t>Gain on Juice Transaction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</row>
    <row r="5">
      <c r="A5" s="3" t="inlineStr">
        <is>
          <t>Impairment and Other Charges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FLOW'!C5-'YTD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FLOW'!D5-'YTD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FLOW'!E5-'YTD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FLOW'!F5-'YTD CF'!M5</f>
        <v/>
      </c>
      <c r="R5" s="4">
        <f>'YTD CF'!N5</f>
        <v/>
      </c>
    </row>
    <row r="6">
      <c r="A6" s="3" t="inlineStr">
        <is>
          <t>Product Recall Impact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FLOW'!C7-'YTD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FLOW'!D7-'YTD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FLOW'!E7-'YTD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FLOW'!F7-'YTD CF'!M6</f>
        <v/>
      </c>
      <c r="R6" s="4">
        <f>'YTD CF'!N6</f>
        <v/>
      </c>
    </row>
    <row r="7">
      <c r="A7" s="3" t="inlineStr">
        <is>
          <t>Cash Payments for Product Recall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FLOW'!C8-'YTD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FLOW'!D8-'YTD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FLOW'!E8-'YTD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FLOW'!F8-'YTD CF'!M7</f>
        <v/>
      </c>
      <c r="R7" s="4">
        <f>'YTD CF'!N7</f>
        <v/>
      </c>
    </row>
    <row r="8">
      <c r="A8" s="3" t="inlineStr">
        <is>
          <t>Operating Lease ROU Asset Amortization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FLOW'!C9-'YTD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FLOW'!D9-'YTD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FLOW'!E9-'YTD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FLOW'!F9-'YTD CF'!M8</f>
        <v/>
      </c>
      <c r="R8" s="4">
        <f>'YTD CF'!N8</f>
        <v/>
      </c>
    </row>
    <row r="9">
      <c r="A9" s="3" t="inlineStr">
        <is>
          <t>Stock-Based Compensation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FLOW'!C10-'YTD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FLOW'!D10-'YTD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FLOW'!E10-'YTD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FLOW'!F10-'YTD CF'!M9</f>
        <v/>
      </c>
      <c r="R9" s="4">
        <f>'YTD CF'!N9</f>
        <v/>
      </c>
    </row>
    <row r="10">
      <c r="A10" s="3" t="inlineStr">
        <is>
          <t>Restructuring and Asset Impairment Charges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FLOW'!C11-'YTD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FLOW'!D11-'YTD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FLOW'!E11-'YTD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FLOW'!F11-'YTD CF'!M10</f>
        <v/>
      </c>
      <c r="R10" s="4">
        <f>'YTD CF'!N10</f>
        <v/>
      </c>
    </row>
    <row r="11">
      <c r="A11" s="3" t="inlineStr">
        <is>
          <t>Cash Payments for Restructuring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FLOW'!C12-'YTD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FLOW'!D12-'YTD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FLOW'!E12-'YTD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FLOW'!F12-'YTD CF'!M11</f>
        <v/>
      </c>
      <c r="R11" s="4">
        <f>'YTD CF'!N11</f>
        <v/>
      </c>
    </row>
    <row r="12">
      <c r="A12" s="3" t="inlineStr">
        <is>
          <t>Acquisition and Divestiture-Related Charges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FLOW'!C13-'YTD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FLOW'!D13-'YTD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FLOW'!E13-'YTD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FLOW'!F13-'YTD CF'!M12</f>
        <v/>
      </c>
      <c r="R12" s="4">
        <f>'YTD CF'!N12</f>
        <v/>
      </c>
    </row>
    <row r="13">
      <c r="A13" s="3" t="inlineStr">
        <is>
          <t>Cash Payments for Acquisition and Divestiture Costs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FLOW'!C14-'YTD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FLOW'!D14-'YTD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FLOW'!E14-'YTD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FLOW'!F14-'YTD CF'!M13</f>
        <v/>
      </c>
      <c r="R13" s="4">
        <f>'YTD CF'!N13</f>
        <v/>
      </c>
    </row>
    <row r="14">
      <c r="A14" s="3" t="inlineStr">
        <is>
          <t>Pension and Postretirement Benefits Expense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FLOW'!C15-'YTD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FLOW'!D15-'YTD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FLOW'!E15-'YTD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FLOW'!F15-'YTD CF'!M14</f>
        <v/>
      </c>
      <c r="R14" s="4">
        <f>'YTD CF'!N14</f>
        <v/>
      </c>
    </row>
    <row r="15">
      <c r="A15" s="3" t="inlineStr">
        <is>
          <t>Pension and Postretirement Benefits Contributions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FLOW'!C16-'YTD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FLOW'!D16-'YTD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FLOW'!E16-'YTD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FLOW'!F16-'YTD CF'!M15</f>
        <v/>
      </c>
      <c r="R15" s="4">
        <f>'YTD CF'!N15</f>
        <v/>
      </c>
    </row>
    <row r="16">
      <c r="A16" s="3" t="inlineStr">
        <is>
          <t>(Benefit) Provision for Deferred Income Taxes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FLOW'!C17-'YTD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FLOW'!D17-'YTD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FLOW'!E17-'YTD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FLOW'!F17-'YTD CF'!M16</f>
        <v/>
      </c>
      <c r="R16" s="4">
        <f>'YTD CF'!N16</f>
        <v/>
      </c>
    </row>
    <row r="17">
      <c r="A17" s="3" t="inlineStr">
        <is>
          <t>Tax Expense Related to TCJ Act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FLOW'!C18-'YTD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FLOW'!D18-'YTD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FLOW'!E18-'YTD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FLOW'!F18-'YTD CF'!M17</f>
        <v/>
      </c>
      <c r="R17" s="4">
        <f>'YTD CF'!N17</f>
        <v/>
      </c>
    </row>
    <row r="18">
      <c r="A18" s="3" t="inlineStr">
        <is>
          <t>Tax Payments Related to TCJ Act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FLOW'!C19-'YTD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FLOW'!D19-'YTD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FLOW'!E19-'YTD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FLOW'!F19-'YTD CF'!M18</f>
        <v/>
      </c>
      <c r="R18" s="4">
        <f>'YTD CF'!N18</f>
        <v/>
      </c>
    </row>
    <row r="19">
      <c r="A19" s="3" t="inlineStr">
        <is>
          <t>Accounts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FLOW'!C20-'YTD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FLOW'!D20-'YTD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FLOW'!E20-'YTD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FLOW'!F20-'YTD CF'!M19</f>
        <v/>
      </c>
      <c r="R19" s="4">
        <f>'YTD CF'!N19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FLOW'!C21-'YTD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FLOW'!D21-'YTD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FLOW'!E21-'YTD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FLOW'!F21-'YTD CF'!M20</f>
        <v/>
      </c>
      <c r="R20" s="4">
        <f>'YTD CF'!N20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FLOW'!C22-'YTD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FLOW'!D22-'YTD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FLOW'!E22-'YTD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FLOW'!F22-'YTD CF'!M21</f>
        <v/>
      </c>
      <c r="R21" s="4">
        <f>'YTD CF'!N21</f>
        <v/>
      </c>
    </row>
    <row r="22">
      <c r="A22" s="3" t="inlineStr">
        <is>
          <t>Accounts Payable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FLOW'!C23-'YTD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FLOW'!D23-'YTD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FLOW'!E23-'YTD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FLOW'!F23-'YTD CF'!M22</f>
        <v/>
      </c>
      <c r="R22" s="4">
        <f>'YTD CF'!N22</f>
        <v/>
      </c>
    </row>
    <row r="23">
      <c r="A23" s="3" t="inlineStr">
        <is>
          <t>Other Current Liabilities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FLOW'!C24-'YTD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FLOW'!D24-'YTD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FLOW'!E24-'YTD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FLOW'!F24-'YTD CF'!M23</f>
        <v/>
      </c>
      <c r="R23" s="4">
        <f>'YTD CF'!N23</f>
        <v/>
      </c>
    </row>
    <row r="24">
      <c r="A24" s="3" t="inlineStr">
        <is>
          <t>Other Operating Items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FLOW'!C25-'YTD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FLOW'!D25-'YTD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FLOW'!E25-'YTD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FLOW'!F25-'YTD CF'!M24</f>
        <v/>
      </c>
      <c r="R24" s="4">
        <f>'YTD CF'!N24</f>
        <v/>
      </c>
    </row>
    <row r="25">
      <c r="A25" s="3" t="inlineStr">
        <is>
          <t>Cash Flow from Operations</t>
        </is>
      </c>
      <c r="B25" s="6">
        <f>'YTD CF'!B25</f>
        <v/>
      </c>
      <c r="C25" s="6">
        <f>'YTD CF'!C25-'YTD CF'!B25</f>
        <v/>
      </c>
      <c r="D25" s="6">
        <f>'YTD CF'!D25-'YTD CF'!C25</f>
        <v/>
      </c>
      <c r="E25" s="6">
        <f>'CASH FLOW'!C26-'YTD CF'!D25</f>
        <v/>
      </c>
      <c r="F25" s="6">
        <f>'YTD CF'!E25</f>
        <v/>
      </c>
      <c r="G25" s="6">
        <f>'YTD CF'!F25-'YTD CF'!E25</f>
        <v/>
      </c>
      <c r="H25" s="6">
        <f>'YTD CF'!G25-'YTD CF'!F25</f>
        <v/>
      </c>
      <c r="I25" s="6">
        <f>'CASH FLOW'!D26-'YTD CF'!G25</f>
        <v/>
      </c>
      <c r="J25" s="6">
        <f>'YTD CF'!H25</f>
        <v/>
      </c>
      <c r="K25" s="6">
        <f>'YTD CF'!I25-'YTD CF'!H25</f>
        <v/>
      </c>
      <c r="L25" s="6">
        <f>'YTD CF'!J25-'YTD CF'!I25</f>
        <v/>
      </c>
      <c r="M25" s="6">
        <f>'CASH FLOW'!E26-'YTD CF'!J25</f>
        <v/>
      </c>
      <c r="N25" s="6">
        <f>'YTD CF'!K25</f>
        <v/>
      </c>
      <c r="O25" s="6">
        <f>'YTD CF'!L25-'YTD CF'!K25</f>
        <v/>
      </c>
      <c r="P25" s="6">
        <f>'YTD CF'!M25-'YTD CF'!L25</f>
        <v/>
      </c>
      <c r="Q25" s="6">
        <f>'CASH FLOW'!F26-'YTD CF'!M25</f>
        <v/>
      </c>
      <c r="R25" s="6">
        <f>'YTD CF'!N25</f>
        <v/>
      </c>
    </row>
    <row r="26">
      <c r="A26" s="3" t="inlineStr">
        <is>
          <t>Purchase of PP&amp;E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FLOW'!C27-'YTD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FLOW'!D27-'YTD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FLOW'!E27-'YTD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FLOW'!F27-'YTD CF'!M26</f>
        <v/>
      </c>
      <c r="R26" s="4">
        <f>'YTD CF'!N26</f>
        <v/>
      </c>
    </row>
    <row r="27">
      <c r="A27" s="3" t="inlineStr">
        <is>
          <t>Proceeds from Sale of Assets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FLOW'!C28-'YTD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FLOW'!D28-'YTD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FLOW'!E28-'YTD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FLOW'!F28-'YTD CF'!M27</f>
        <v/>
      </c>
      <c r="R27" s="4">
        <f>'YTD CF'!N27</f>
        <v/>
      </c>
    </row>
    <row r="28">
      <c r="A28" s="3" t="inlineStr">
        <is>
          <t>Acquisitions, Net of Cash Acquired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FLOW'!C29-'YTD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FLOW'!D29-'YTD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FLOW'!E29-'YTD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FLOW'!F29-'YTD CF'!M28</f>
        <v/>
      </c>
      <c r="R28" s="4">
        <f>'YTD CF'!N28</f>
        <v/>
      </c>
    </row>
    <row r="29">
      <c r="A29" s="3" t="inlineStr">
        <is>
          <t>Proceeds from Juice Transaction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FLOW'!C30-'YTD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FLOW'!D30-'YTD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FLOW'!E30-'YTD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FLOW'!F30-'YTD CF'!M29</f>
        <v/>
      </c>
      <c r="R29" s="4">
        <f>'YTD CF'!N29</f>
        <v/>
      </c>
    </row>
    <row r="30">
      <c r="A30" s="3" t="inlineStr">
        <is>
          <t>Proceeds from Divestitures of Businesses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FLOW'!C31-'YTD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FLOW'!D31-'YTD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FLOW'!E31-'YTD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FLOW'!F31-'YTD CF'!M30</f>
        <v/>
      </c>
      <c r="R30" s="4">
        <f>'YTD CF'!N30</f>
        <v/>
      </c>
    </row>
    <row r="31">
      <c r="A31" s="3" t="inlineStr">
        <is>
          <t>Net Change in Short-Term Investments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FLOW'!C32-'YTD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FLOW'!D32-'YTD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FLOW'!E32-'YTD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FLOW'!F32-'YTD CF'!M31</f>
        <v/>
      </c>
      <c r="R31" s="4">
        <f>'YTD CF'!N31</f>
        <v/>
      </c>
    </row>
    <row r="32">
      <c r="A32" s="3" t="inlineStr">
        <is>
          <t>Other Investing Activities</t>
        </is>
      </c>
      <c r="B32" s="4">
        <f>'YTD CF'!B32</f>
        <v/>
      </c>
      <c r="C32" s="4">
        <f>'YTD CF'!C32-'YTD CF'!B32</f>
        <v/>
      </c>
      <c r="D32" s="4">
        <f>'YTD CF'!D32-'YTD CF'!C32</f>
        <v/>
      </c>
      <c r="E32" s="4">
        <f>'CASH FLOW'!C33-'YTD CF'!D32</f>
        <v/>
      </c>
      <c r="F32" s="4">
        <f>'YTD CF'!E32</f>
        <v/>
      </c>
      <c r="G32" s="4">
        <f>'YTD CF'!F32-'YTD CF'!E32</f>
        <v/>
      </c>
      <c r="H32" s="4">
        <f>'YTD CF'!G32-'YTD CF'!F32</f>
        <v/>
      </c>
      <c r="I32" s="4">
        <f>'CASH FLOW'!D33-'YTD CF'!G32</f>
        <v/>
      </c>
      <c r="J32" s="4">
        <f>'YTD CF'!H32</f>
        <v/>
      </c>
      <c r="K32" s="4">
        <f>'YTD CF'!I32-'YTD CF'!H32</f>
        <v/>
      </c>
      <c r="L32" s="4">
        <f>'YTD CF'!J32-'YTD CF'!I32</f>
        <v/>
      </c>
      <c r="M32" s="4">
        <f>'CASH FLOW'!E33-'YTD CF'!J32</f>
        <v/>
      </c>
      <c r="N32" s="4">
        <f>'YTD CF'!K32</f>
        <v/>
      </c>
      <c r="O32" s="4">
        <f>'YTD CF'!L32-'YTD CF'!K32</f>
        <v/>
      </c>
      <c r="P32" s="4">
        <f>'YTD CF'!M32-'YTD CF'!L32</f>
        <v/>
      </c>
      <c r="Q32" s="4">
        <f>'CASH FLOW'!F33-'YTD CF'!M32</f>
        <v/>
      </c>
      <c r="R32" s="4">
        <f>'YTD CF'!N32</f>
        <v/>
      </c>
    </row>
    <row r="33">
      <c r="A33" s="3" t="inlineStr">
        <is>
          <t>Cash Flow from Investing</t>
        </is>
      </c>
      <c r="B33" s="6">
        <f>'YTD CF'!B33</f>
        <v/>
      </c>
      <c r="C33" s="6">
        <f>'YTD CF'!C33-'YTD CF'!B33</f>
        <v/>
      </c>
      <c r="D33" s="6">
        <f>'YTD CF'!D33-'YTD CF'!C33</f>
        <v/>
      </c>
      <c r="E33" s="6">
        <f>'CASH FLOW'!C34-'YTD CF'!D33</f>
        <v/>
      </c>
      <c r="F33" s="6">
        <f>'YTD CF'!E33</f>
        <v/>
      </c>
      <c r="G33" s="6">
        <f>'YTD CF'!F33-'YTD CF'!E33</f>
        <v/>
      </c>
      <c r="H33" s="6">
        <f>'YTD CF'!G33-'YTD CF'!F33</f>
        <v/>
      </c>
      <c r="I33" s="6">
        <f>'CASH FLOW'!D34-'YTD CF'!G33</f>
        <v/>
      </c>
      <c r="J33" s="6">
        <f>'YTD CF'!H33</f>
        <v/>
      </c>
      <c r="K33" s="6">
        <f>'YTD CF'!I33-'YTD CF'!H33</f>
        <v/>
      </c>
      <c r="L33" s="6">
        <f>'YTD CF'!J33-'YTD CF'!I33</f>
        <v/>
      </c>
      <c r="M33" s="6">
        <f>'CASH FLOW'!E34-'YTD CF'!J33</f>
        <v/>
      </c>
      <c r="N33" s="6">
        <f>'YTD CF'!K33</f>
        <v/>
      </c>
      <c r="O33" s="6">
        <f>'YTD CF'!L33-'YTD CF'!K33</f>
        <v/>
      </c>
      <c r="P33" s="6">
        <f>'YTD CF'!M33-'YTD CF'!L33</f>
        <v/>
      </c>
      <c r="Q33" s="6">
        <f>'CASH FLOW'!F34-'YTD CF'!M33</f>
        <v/>
      </c>
      <c r="R33" s="6">
        <f>'YTD CF'!N33</f>
        <v/>
      </c>
    </row>
    <row r="34">
      <c r="A34" s="3" t="inlineStr">
        <is>
          <t>Proceeds from Issuance of Long-Term Debt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FLOW'!C35-'YTD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FLOW'!D35-'YTD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FLOW'!E35-'YTD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FLOW'!F35-'YTD CF'!M34</f>
        <v/>
      </c>
      <c r="R34" s="4">
        <f>'YTD CF'!N34</f>
        <v/>
      </c>
    </row>
    <row r="35">
      <c r="A35" s="3" t="inlineStr">
        <is>
          <t>Repayments of Long-Term Debt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FLOW'!C36-'YTD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FLOW'!D36-'YTD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FLOW'!E36-'YTD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FLOW'!F36-'YTD CF'!M35</f>
        <v/>
      </c>
      <c r="R35" s="4">
        <f>'YTD CF'!N35</f>
        <v/>
      </c>
    </row>
    <row r="36">
      <c r="A36" s="3" t="inlineStr">
        <is>
          <t>Proceeds from Short-Term Debt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FLOW'!C37-'YTD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FLOW'!D37-'YTD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FLOW'!E37-'YTD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FLOW'!F37-'YTD CF'!M36</f>
        <v/>
      </c>
      <c r="R36" s="4">
        <f>'YTD CF'!N36</f>
        <v/>
      </c>
    </row>
    <row r="37">
      <c r="A37" s="3" t="inlineStr">
        <is>
          <t>Repayments of Short-Term Debt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FLOW'!C38-'YTD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FLOW'!D38-'YTD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FLOW'!E38-'YTD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FLOW'!F38-'YTD CF'!M37</f>
        <v/>
      </c>
      <c r="R37" s="4">
        <f>'YTD CF'!N37</f>
        <v/>
      </c>
    </row>
    <row r="38">
      <c r="A38" s="3" t="inlineStr">
        <is>
          <t>Net Change in Other Short-Term Debt</t>
        </is>
      </c>
      <c r="B38" s="4">
        <f>'YTD CF'!B38</f>
        <v/>
      </c>
      <c r="C38" s="4">
        <f>'YTD CF'!C38-'YTD CF'!B38</f>
        <v/>
      </c>
      <c r="D38" s="4">
        <f>'YTD CF'!D38-'YTD CF'!C38</f>
        <v/>
      </c>
      <c r="E38" s="4">
        <f>'CASH FLOW'!C39-'YTD CF'!D38</f>
        <v/>
      </c>
      <c r="F38" s="4">
        <f>'YTD CF'!E38</f>
        <v/>
      </c>
      <c r="G38" s="4">
        <f>'YTD CF'!F38-'YTD CF'!E38</f>
        <v/>
      </c>
      <c r="H38" s="4">
        <f>'YTD CF'!G38-'YTD CF'!F38</f>
        <v/>
      </c>
      <c r="I38" s="4">
        <f>'CASH FLOW'!D39-'YTD CF'!G38</f>
        <v/>
      </c>
      <c r="J38" s="4">
        <f>'YTD CF'!H38</f>
        <v/>
      </c>
      <c r="K38" s="4">
        <f>'YTD CF'!I38-'YTD CF'!H38</f>
        <v/>
      </c>
      <c r="L38" s="4">
        <f>'YTD CF'!J38-'YTD CF'!I38</f>
        <v/>
      </c>
      <c r="M38" s="4">
        <f>'CASH FLOW'!E39-'YTD CF'!J38</f>
        <v/>
      </c>
      <c r="N38" s="4">
        <f>'YTD CF'!K38</f>
        <v/>
      </c>
      <c r="O38" s="4">
        <f>'YTD CF'!L38-'YTD CF'!K38</f>
        <v/>
      </c>
      <c r="P38" s="4">
        <f>'YTD CF'!M38-'YTD CF'!L38</f>
        <v/>
      </c>
      <c r="Q38" s="4">
        <f>'CASH FLOW'!F39-'YTD CF'!M38</f>
        <v/>
      </c>
      <c r="R38" s="4">
        <f>'YTD CF'!N38</f>
        <v/>
      </c>
    </row>
    <row r="39">
      <c r="A39" s="3" t="inlineStr">
        <is>
          <t>Common Dividends</t>
        </is>
      </c>
      <c r="B39" s="4">
        <f>'YTD CF'!B39</f>
        <v/>
      </c>
      <c r="C39" s="4">
        <f>'YTD CF'!C39-'YTD CF'!B39</f>
        <v/>
      </c>
      <c r="D39" s="4">
        <f>'YTD CF'!D39-'YTD CF'!C39</f>
        <v/>
      </c>
      <c r="E39" s="4">
        <f>'CASH FLOW'!C41-'YTD CF'!D39</f>
        <v/>
      </c>
      <c r="F39" s="4">
        <f>'YTD CF'!E39</f>
        <v/>
      </c>
      <c r="G39" s="4">
        <f>'YTD CF'!F39-'YTD CF'!E39</f>
        <v/>
      </c>
      <c r="H39" s="4">
        <f>'YTD CF'!G39-'YTD CF'!F39</f>
        <v/>
      </c>
      <c r="I39" s="4">
        <f>'CASH FLOW'!D41-'YTD CF'!G39</f>
        <v/>
      </c>
      <c r="J39" s="4">
        <f>'YTD CF'!H39</f>
        <v/>
      </c>
      <c r="K39" s="4">
        <f>'YTD CF'!I39-'YTD CF'!H39</f>
        <v/>
      </c>
      <c r="L39" s="4">
        <f>'YTD CF'!J39-'YTD CF'!I39</f>
        <v/>
      </c>
      <c r="M39" s="4">
        <f>'CASH FLOW'!E41-'YTD CF'!J39</f>
        <v/>
      </c>
      <c r="N39" s="4">
        <f>'YTD CF'!K39</f>
        <v/>
      </c>
      <c r="O39" s="4">
        <f>'YTD CF'!L39-'YTD CF'!K39</f>
        <v/>
      </c>
      <c r="P39" s="4">
        <f>'YTD CF'!M39-'YTD CF'!L39</f>
        <v/>
      </c>
      <c r="Q39" s="4">
        <f>'CASH FLOW'!F41-'YTD CF'!M39</f>
        <v/>
      </c>
      <c r="R39" s="4">
        <f>'YTD CF'!N39</f>
        <v/>
      </c>
    </row>
    <row r="40">
      <c r="A40" s="3" t="inlineStr">
        <is>
          <t>Share Repurchases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FLOW'!C42-'YTD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FLOW'!D42-'YTD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FLOW'!E42-'YTD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FLOW'!F42-'YTD CF'!M40</f>
        <v/>
      </c>
      <c r="R40" s="4">
        <f>'YTD CF'!N40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FLOW'!C43-'YTD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FLOW'!D43-'YTD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FLOW'!E43-'YTD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FLOW'!F43-'YTD CF'!M41</f>
        <v/>
      </c>
      <c r="R41" s="4">
        <f>'YTD CF'!N41</f>
        <v/>
      </c>
    </row>
    <row r="42">
      <c r="A42" s="3" t="inlineStr">
        <is>
          <t>Tax Withholdings on RSU/PSU Settlement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FLOW'!C44-'YTD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FLOW'!D44-'YTD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FLOW'!E44-'YTD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FLOW'!F44-'YTD CF'!M42</f>
        <v/>
      </c>
      <c r="R42" s="4">
        <f>'YTD CF'!N42</f>
        <v/>
      </c>
    </row>
    <row r="43">
      <c r="A43" s="3" t="inlineStr">
        <is>
          <t>Other Financing Activities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FLOW'!C45-'YTD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FLOW'!D45-'YTD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FLOW'!E45-'YTD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FLOW'!F45-'YTD CF'!M43</f>
        <v/>
      </c>
      <c r="R43" s="4">
        <f>'YTD CF'!N43</f>
        <v/>
      </c>
    </row>
    <row r="44">
      <c r="A44" s="3" t="inlineStr">
        <is>
          <t>Cash Flow from Financing</t>
        </is>
      </c>
      <c r="B44" s="6">
        <f>'YTD CF'!B44</f>
        <v/>
      </c>
      <c r="C44" s="6">
        <f>'YTD CF'!C44-'YTD CF'!B44</f>
        <v/>
      </c>
      <c r="D44" s="6">
        <f>'YTD CF'!D44-'YTD CF'!C44</f>
        <v/>
      </c>
      <c r="E44" s="6">
        <f>'CASH FLOW'!C46-'YTD CF'!D44</f>
        <v/>
      </c>
      <c r="F44" s="6">
        <f>'YTD CF'!E44</f>
        <v/>
      </c>
      <c r="G44" s="6">
        <f>'YTD CF'!F44-'YTD CF'!E44</f>
        <v/>
      </c>
      <c r="H44" s="6">
        <f>'YTD CF'!G44-'YTD CF'!F44</f>
        <v/>
      </c>
      <c r="I44" s="6">
        <f>'CASH FLOW'!D46-'YTD CF'!G44</f>
        <v/>
      </c>
      <c r="J44" s="6">
        <f>'YTD CF'!H44</f>
        <v/>
      </c>
      <c r="K44" s="6">
        <f>'YTD CF'!I44-'YTD CF'!H44</f>
        <v/>
      </c>
      <c r="L44" s="6">
        <f>'YTD CF'!J44-'YTD CF'!I44</f>
        <v/>
      </c>
      <c r="M44" s="6">
        <f>'CASH FLOW'!E46-'YTD CF'!J44</f>
        <v/>
      </c>
      <c r="N44" s="6">
        <f>'YTD CF'!K44</f>
        <v/>
      </c>
      <c r="O44" s="6">
        <f>'YTD CF'!L44-'YTD CF'!K44</f>
        <v/>
      </c>
      <c r="P44" s="6">
        <f>'YTD CF'!M44-'YTD CF'!L44</f>
        <v/>
      </c>
      <c r="Q44" s="6">
        <f>'CASH FLOW'!F46-'YTD CF'!M44</f>
        <v/>
      </c>
      <c r="R44" s="6">
        <f>'YTD CF'!N44</f>
        <v/>
      </c>
    </row>
    <row r="45">
      <c r="A45" s="3" t="inlineStr">
        <is>
          <t>FX Effect on Cash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FLOW'!C47-'YTD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FLOW'!D47-'YTD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FLOW'!E47-'YTD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FLOW'!F47-'YTD CF'!M45</f>
        <v/>
      </c>
      <c r="R45" s="4">
        <f>'YTD CF'!N45</f>
        <v/>
      </c>
    </row>
    <row r="46">
      <c r="A46" s="3" t="inlineStr">
        <is>
          <t>Net Change in Cash</t>
        </is>
      </c>
      <c r="B46" s="6">
        <f>'YTD CF'!B46</f>
        <v/>
      </c>
      <c r="C46" s="6">
        <f>'YTD CF'!C46-'YTD CF'!B46</f>
        <v/>
      </c>
      <c r="D46" s="6">
        <f>'YTD CF'!D46-'YTD CF'!C46</f>
        <v/>
      </c>
      <c r="E46" s="6">
        <f>'CASH FLOW'!C48-'YTD CF'!D46</f>
        <v/>
      </c>
      <c r="F46" s="6">
        <f>'YTD CF'!E46</f>
        <v/>
      </c>
      <c r="G46" s="6">
        <f>'YTD CF'!F46-'YTD CF'!E46</f>
        <v/>
      </c>
      <c r="H46" s="6">
        <f>'YTD CF'!G46-'YTD CF'!F46</f>
        <v/>
      </c>
      <c r="I46" s="6">
        <f>'CASH FLOW'!D48-'YTD CF'!G46</f>
        <v/>
      </c>
      <c r="J46" s="6">
        <f>'YTD CF'!H46</f>
        <v/>
      </c>
      <c r="K46" s="6">
        <f>'YTD CF'!I46-'YTD CF'!H46</f>
        <v/>
      </c>
      <c r="L46" s="6">
        <f>'YTD CF'!J46-'YTD CF'!I46</f>
        <v/>
      </c>
      <c r="M46" s="6">
        <f>'CASH FLOW'!E48-'YTD CF'!J46</f>
        <v/>
      </c>
      <c r="N46" s="6">
        <f>'YTD CF'!K46</f>
        <v/>
      </c>
      <c r="O46" s="6">
        <f>'YTD CF'!L46-'YTD CF'!K46</f>
        <v/>
      </c>
      <c r="P46" s="6">
        <f>'YTD CF'!M46-'YTD CF'!L46</f>
        <v/>
      </c>
      <c r="Q46" s="6">
        <f>'CASH FLOW'!F48-'YTD CF'!M46</f>
        <v/>
      </c>
      <c r="R46" s="6">
        <f>'YTD CF'!N46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2026-04-27T20:37:49Z</dcterms:created>
  <dcterms:modified xmlns:dcterms="http://purl.org/dc/terms/" xmlns:xsi="http://www.w3.org/2001/XMLSchema-instance" xsi:type="dcterms:W3CDTF">2026-04-27T21:52:57Z</dcterms:modified>
</cp:coreProperties>
</file>