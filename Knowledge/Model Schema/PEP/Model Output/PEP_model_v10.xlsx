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'IS DRIVERS'!S5</f>
        <v/>
      </c>
      <c r="T6" s="11">
        <f>'IS DRIVERS'!T5</f>
        <v/>
      </c>
      <c r="U6" s="11">
        <f>'IS DRIVERS'!U5</f>
        <v/>
      </c>
      <c r="V6" s="11">
        <f>'IS DRIVERS'!V5</f>
        <v/>
      </c>
      <c r="W6" s="11">
        <f>'IS DRIVERS'!W5</f>
        <v/>
      </c>
      <c r="X6" s="11">
        <f>'IS DRIVERS'!X5</f>
        <v/>
      </c>
      <c r="Y6" s="11">
        <f>'IS DRIVERS'!Y5</f>
        <v/>
      </c>
      <c r="Z6" s="11">
        <f>'IS DRIVERS'!Z5</f>
        <v/>
      </c>
      <c r="AA6" s="11">
        <f>'IS DRIVERS'!AA5</f>
        <v/>
      </c>
      <c r="AB6" s="11">
        <f>'IS DRIVERS'!AB5</f>
        <v/>
      </c>
      <c r="AC6" s="11">
        <f>'IS DRIVERS'!AC5</f>
        <v/>
      </c>
      <c r="AD6" s="11">
        <f>'IS DRIVERS'!AD5</f>
        <v/>
      </c>
      <c r="AE6" s="11">
        <f>'IS DRIVERS'!AE5</f>
        <v/>
      </c>
      <c r="AF6" s="11">
        <f>'IS DRIVERS'!AF5</f>
        <v/>
      </c>
      <c r="AG6" s="11">
        <f>'IS DRIVERS'!AG5</f>
        <v/>
      </c>
      <c r="AH6" s="11">
        <f>'IS DRIVERS'!AH5</f>
        <v/>
      </c>
      <c r="AI6" s="11">
        <f>'IS DRIVERS'!AI5</f>
        <v/>
      </c>
      <c r="AJ6" s="11">
        <f>'IS DRIVERS'!AJ5</f>
        <v/>
      </c>
      <c r="AK6" s="11">
        <f>'IS DRIVERS'!AK5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DRIVERS'!S6</f>
        <v/>
      </c>
      <c r="T7" s="11">
        <f>'QTR P&amp;L'!T2*'IS DRIVERS'!T6</f>
        <v/>
      </c>
      <c r="U7" s="11">
        <f>'QTR P&amp;L'!U2*'IS DRIVERS'!U6</f>
        <v/>
      </c>
      <c r="V7" s="11">
        <f>'QTR P&amp;L'!V2*'IS DRIVERS'!V6</f>
        <v/>
      </c>
      <c r="W7" s="11">
        <f>'QTR P&amp;L'!W2*'IS DRIVERS'!W6</f>
        <v/>
      </c>
      <c r="X7" s="11">
        <f>'QTR P&amp;L'!X2*'IS DRIVERS'!X6</f>
        <v/>
      </c>
      <c r="Y7" s="11">
        <f>'QTR P&amp;L'!Y2*'IS DRIVERS'!Y6</f>
        <v/>
      </c>
      <c r="Z7" s="11">
        <f>'QTR P&amp;L'!Z2*'IS DRIVERS'!Z6</f>
        <v/>
      </c>
      <c r="AA7" s="11">
        <f>'QTR P&amp;L'!AA2*'IS DRIVERS'!AA6</f>
        <v/>
      </c>
      <c r="AB7" s="11">
        <f>'QTR P&amp;L'!AB2*'IS DRIVERS'!AB6</f>
        <v/>
      </c>
      <c r="AC7" s="11">
        <f>'QTR P&amp;L'!AC2*'IS DRIVERS'!AC6</f>
        <v/>
      </c>
      <c r="AD7" s="11">
        <f>'QTR P&amp;L'!AD2*'IS DRIVERS'!AD6</f>
        <v/>
      </c>
      <c r="AE7" s="11">
        <f>'QTR P&amp;L'!AE2*'IS DRIVERS'!AE6</f>
        <v/>
      </c>
      <c r="AF7" s="11">
        <f>'QTR P&amp;L'!AF2*'IS DRIVERS'!AF6</f>
        <v/>
      </c>
      <c r="AG7" s="11">
        <f>'QTR P&amp;L'!AG2*'IS DRIVERS'!AG6</f>
        <v/>
      </c>
      <c r="AH7" s="11">
        <f>'QTR P&amp;L'!AH2*'IS DRIVERS'!AH6</f>
        <v/>
      </c>
      <c r="AI7" s="11">
        <f>'QTR P&amp;L'!AI2*'IS DRIVERS'!AI6</f>
        <v/>
      </c>
      <c r="AJ7" s="11">
        <f>'QTR P&amp;L'!AJ2*'IS DRIVERS'!AJ6</f>
        <v/>
      </c>
      <c r="AK7" s="11">
        <f>'QTR P&amp;L'!AK2*'IS DRIVERS'!AK6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11">
        <f>'IS DRIVERS'!S7</f>
        <v/>
      </c>
      <c r="T9" s="11">
        <f>'IS DRIVERS'!T7</f>
        <v/>
      </c>
      <c r="U9" s="11">
        <f>'IS DRIVERS'!U7</f>
        <v/>
      </c>
      <c r="V9" s="11">
        <f>'IS DRIVERS'!V7</f>
        <v/>
      </c>
      <c r="W9" s="11">
        <f>'IS DRIVERS'!W7</f>
        <v/>
      </c>
      <c r="X9" s="11">
        <f>'IS DRIVERS'!X7</f>
        <v/>
      </c>
      <c r="Y9" s="11">
        <f>'IS DRIVERS'!Y7</f>
        <v/>
      </c>
      <c r="Z9" s="11">
        <f>'IS DRIVERS'!Z7</f>
        <v/>
      </c>
      <c r="AA9" s="11">
        <f>'IS DRIVERS'!AA7</f>
        <v/>
      </c>
      <c r="AB9" s="11">
        <f>'IS DRIVERS'!AB7</f>
        <v/>
      </c>
      <c r="AC9" s="11">
        <f>'IS DRIVERS'!AC7</f>
        <v/>
      </c>
      <c r="AD9" s="11">
        <f>'IS DRIVERS'!AD7</f>
        <v/>
      </c>
      <c r="AE9" s="11">
        <f>'IS DRIVERS'!AE7</f>
        <v/>
      </c>
      <c r="AF9" s="11">
        <f>'IS DRIVERS'!AF7</f>
        <v/>
      </c>
      <c r="AG9" s="11">
        <f>'IS DRIVERS'!AG7</f>
        <v/>
      </c>
      <c r="AH9" s="11">
        <f>'IS DRIVERS'!AH7</f>
        <v/>
      </c>
      <c r="AI9" s="11">
        <f>'IS DRIVERS'!AI7</f>
        <v/>
      </c>
      <c r="AJ9" s="11">
        <f>'IS DRIVERS'!AJ7</f>
        <v/>
      </c>
      <c r="AK9" s="11">
        <f>'IS DRIVERS'!AK7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11">
        <f>'IS DRIVERS'!S8</f>
        <v/>
      </c>
      <c r="T10" s="11">
        <f>'IS DRIVERS'!T8</f>
        <v/>
      </c>
      <c r="U10" s="11">
        <f>'IS DRIVERS'!U8</f>
        <v/>
      </c>
      <c r="V10" s="11">
        <f>'IS DRIVERS'!V8</f>
        <v/>
      </c>
      <c r="W10" s="11">
        <f>'IS DRIVERS'!W8</f>
        <v/>
      </c>
      <c r="X10" s="11">
        <f>'IS DRIVERS'!X8</f>
        <v/>
      </c>
      <c r="Y10" s="11">
        <f>'IS DRIVERS'!Y8</f>
        <v/>
      </c>
      <c r="Z10" s="11">
        <f>'IS DRIVERS'!Z8</f>
        <v/>
      </c>
      <c r="AA10" s="11">
        <f>'IS DRIVERS'!AA8</f>
        <v/>
      </c>
      <c r="AB10" s="11">
        <f>'IS DRIVERS'!AB8</f>
        <v/>
      </c>
      <c r="AC10" s="11">
        <f>'IS DRIVERS'!AC8</f>
        <v/>
      </c>
      <c r="AD10" s="11">
        <f>'IS DRIVERS'!AD8</f>
        <v/>
      </c>
      <c r="AE10" s="11">
        <f>'IS DRIVERS'!AE8</f>
        <v/>
      </c>
      <c r="AF10" s="11">
        <f>'IS DRIVERS'!AF8</f>
        <v/>
      </c>
      <c r="AG10" s="11">
        <f>'IS DRIVERS'!AG8</f>
        <v/>
      </c>
      <c r="AH10" s="11">
        <f>'IS DRIVERS'!AH8</f>
        <v/>
      </c>
      <c r="AI10" s="11">
        <f>'IS DRIVERS'!AI8</f>
        <v/>
      </c>
      <c r="AJ10" s="11">
        <f>'IS DRIVERS'!AJ8</f>
        <v/>
      </c>
      <c r="AK10" s="11">
        <f>'IS DRIVERS'!AK8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DRIVERS'!S9</f>
        <v/>
      </c>
      <c r="T12" s="11">
        <f>'QTR P&amp;L'!T11*'IS DRIVERS'!T9</f>
        <v/>
      </c>
      <c r="U12" s="11">
        <f>'QTR P&amp;L'!U11*'IS DRIVERS'!U9</f>
        <v/>
      </c>
      <c r="V12" s="11">
        <f>'QTR P&amp;L'!V11*'IS DRIVERS'!V9</f>
        <v/>
      </c>
      <c r="W12" s="11">
        <f>'QTR P&amp;L'!W11*'IS DRIVERS'!W9</f>
        <v/>
      </c>
      <c r="X12" s="11">
        <f>'QTR P&amp;L'!X11*'IS DRIVERS'!X9</f>
        <v/>
      </c>
      <c r="Y12" s="11">
        <f>'QTR P&amp;L'!Y11*'IS DRIVERS'!Y9</f>
        <v/>
      </c>
      <c r="Z12" s="11">
        <f>'QTR P&amp;L'!Z11*'IS DRIVERS'!Z9</f>
        <v/>
      </c>
      <c r="AA12" s="11">
        <f>'QTR P&amp;L'!AA11*'IS DRIVERS'!AA9</f>
        <v/>
      </c>
      <c r="AB12" s="11">
        <f>'QTR P&amp;L'!AB11*'IS DRIVERS'!AB9</f>
        <v/>
      </c>
      <c r="AC12" s="11">
        <f>'QTR P&amp;L'!AC11*'IS DRIVERS'!AC9</f>
        <v/>
      </c>
      <c r="AD12" s="11">
        <f>'QTR P&amp;L'!AD11*'IS DRIVERS'!AD9</f>
        <v/>
      </c>
      <c r="AE12" s="11">
        <f>'QTR P&amp;L'!AE11*'IS DRIVERS'!AE9</f>
        <v/>
      </c>
      <c r="AF12" s="11">
        <f>'QTR P&amp;L'!AF11*'IS DRIVERS'!AF9</f>
        <v/>
      </c>
      <c r="AG12" s="11">
        <f>'QTR P&amp;L'!AG11*'IS DRIVERS'!AG9</f>
        <v/>
      </c>
      <c r="AH12" s="11">
        <f>'QTR P&amp;L'!AH11*'IS DRIVERS'!AH9</f>
        <v/>
      </c>
      <c r="AI12" s="11">
        <f>'QTR P&amp;L'!AI11*'IS DRIVERS'!AI9</f>
        <v/>
      </c>
      <c r="AJ12" s="11">
        <f>'QTR P&amp;L'!AJ11*'IS DRIVERS'!AJ9</f>
        <v/>
      </c>
      <c r="AK12" s="11">
        <f>'QTR P&amp;L'!AK11*'IS DRIVERS'!AK9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11">
        <f>'IS DRIVERS'!S10</f>
        <v/>
      </c>
      <c r="T14" s="11">
        <f>'IS DRIVERS'!T10</f>
        <v/>
      </c>
      <c r="U14" s="11">
        <f>'IS DRIVERS'!U10</f>
        <v/>
      </c>
      <c r="V14" s="11">
        <f>'IS DRIVERS'!V10</f>
        <v/>
      </c>
      <c r="W14" s="11">
        <f>'IS DRIVERS'!W10</f>
        <v/>
      </c>
      <c r="X14" s="11">
        <f>'IS DRIVERS'!X10</f>
        <v/>
      </c>
      <c r="Y14" s="11">
        <f>'IS DRIVERS'!Y10</f>
        <v/>
      </c>
      <c r="Z14" s="11">
        <f>'IS DRIVERS'!Z10</f>
        <v/>
      </c>
      <c r="AA14" s="11">
        <f>'IS DRIVERS'!AA10</f>
        <v/>
      </c>
      <c r="AB14" s="11">
        <f>'IS DRIVERS'!AB10</f>
        <v/>
      </c>
      <c r="AC14" s="11">
        <f>'IS DRIVERS'!AC10</f>
        <v/>
      </c>
      <c r="AD14" s="11">
        <f>'IS DRIVERS'!AD10</f>
        <v/>
      </c>
      <c r="AE14" s="11">
        <f>'IS DRIVERS'!AE10</f>
        <v/>
      </c>
      <c r="AF14" s="11">
        <f>'IS DRIVERS'!AF10</f>
        <v/>
      </c>
      <c r="AG14" s="11">
        <f>'IS DRIVERS'!AG10</f>
        <v/>
      </c>
      <c r="AH14" s="11">
        <f>'IS DRIVERS'!AH10</f>
        <v/>
      </c>
      <c r="AI14" s="11">
        <f>'IS DRIVERS'!AI10</f>
        <v/>
      </c>
      <c r="AJ14" s="11">
        <f>'IS DRIVERS'!AJ10</f>
        <v/>
      </c>
      <c r="AK14" s="11">
        <f>'IS DRIVERS'!AK10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'BS DRIVERS'!P2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'BS DRIVERS'!P3</f>
        <v/>
      </c>
      <c r="Q3" s="11">
        <f>'BS DRIVERS'!Q3</f>
        <v/>
      </c>
      <c r="R3" s="11">
        <f>'BS DRIVERS'!R3</f>
        <v/>
      </c>
      <c r="S3" s="11">
        <f>'BS DRIVERS'!S3</f>
        <v/>
      </c>
      <c r="T3" s="11">
        <f>'BS DRIVERS'!T3</f>
        <v/>
      </c>
      <c r="U3" s="11">
        <f>'BS DRIVERS'!U3</f>
        <v/>
      </c>
      <c r="V3" s="11">
        <f>'BS DRIVERS'!V3</f>
        <v/>
      </c>
      <c r="W3" s="11">
        <f>'BS DRIVERS'!W3</f>
        <v/>
      </c>
      <c r="X3" s="11">
        <f>'BS DRIVERS'!X3</f>
        <v/>
      </c>
      <c r="Y3" s="11">
        <f>'BS DRIVERS'!Y3</f>
        <v/>
      </c>
      <c r="Z3" s="11">
        <f>'BS DRIVERS'!Z3</f>
        <v/>
      </c>
      <c r="AA3" s="11">
        <f>'BS DRIVERS'!AA3</f>
        <v/>
      </c>
      <c r="AB3" s="11">
        <f>'BS DRIVERS'!AB3</f>
        <v/>
      </c>
      <c r="AC3" s="11">
        <f>'BS DRIVERS'!AC3</f>
        <v/>
      </c>
      <c r="AD3" s="11">
        <f>'BS DRIVERS'!AD3</f>
        <v/>
      </c>
      <c r="AE3" s="11">
        <f>'BS DRIVERS'!AE3</f>
        <v/>
      </c>
      <c r="AF3" s="11">
        <f>'BS DRIVERS'!AF3</f>
        <v/>
      </c>
      <c r="AG3" s="11">
        <f>'BS DRIVERS'!AG3</f>
        <v/>
      </c>
      <c r="AH3" s="11">
        <f>'BS DRIVERS'!AH3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DRIVERS'!P4/ASSUMPTIONS!$B$2</f>
        <v/>
      </c>
      <c r="Q4" s="11">
        <f>'QTR P&amp;L'!T2*'BS DRIVERS'!Q4/ASSUMPTIONS!$B$2</f>
        <v/>
      </c>
      <c r="R4" s="11">
        <f>'QTR P&amp;L'!U2*'BS DRIVERS'!R4/ASSUMPTIONS!$B$2</f>
        <v/>
      </c>
      <c r="S4" s="11">
        <f>'QTR P&amp;L'!V2*'BS DRIVERS'!S4/ASSUMPTIONS!$B$2</f>
        <v/>
      </c>
      <c r="T4" s="11">
        <f>'QTR P&amp;L'!W2*'BS DRIVERS'!T4/ASSUMPTIONS!$B$2</f>
        <v/>
      </c>
      <c r="U4" s="11">
        <f>'QTR P&amp;L'!X2*'BS DRIVERS'!U4/ASSUMPTIONS!$B$2</f>
        <v/>
      </c>
      <c r="V4" s="11">
        <f>'QTR P&amp;L'!Y2*'BS DRIVERS'!V4/ASSUMPTIONS!$B$2</f>
        <v/>
      </c>
      <c r="W4" s="11">
        <f>'QTR P&amp;L'!Z2*'BS DRIVERS'!W4/ASSUMPTIONS!$B$2</f>
        <v/>
      </c>
      <c r="X4" s="11">
        <f>'QTR P&amp;L'!AA2*'BS DRIVERS'!X4/ASSUMPTIONS!$B$2</f>
        <v/>
      </c>
      <c r="Y4" s="11">
        <f>'QTR P&amp;L'!AB2*'BS DRIVERS'!Y4/ASSUMPTIONS!$B$2</f>
        <v/>
      </c>
      <c r="Z4" s="11">
        <f>'QTR P&amp;L'!AC2*'BS DRIVERS'!Z4/ASSUMPTIONS!$B$2</f>
        <v/>
      </c>
      <c r="AA4" s="11">
        <f>'QTR P&amp;L'!AD2*'BS DRIVERS'!AA4/ASSUMPTIONS!$B$2</f>
        <v/>
      </c>
      <c r="AB4" s="11">
        <f>'QTR P&amp;L'!AE2*'BS DRIVERS'!AB4/ASSUMPTIONS!$B$2</f>
        <v/>
      </c>
      <c r="AC4" s="11">
        <f>'QTR P&amp;L'!AF2*'BS DRIVERS'!AC4/ASSUMPTIONS!$B$2</f>
        <v/>
      </c>
      <c r="AD4" s="11">
        <f>'QTR P&amp;L'!AG2*'BS DRIVERS'!AD4/ASSUMPTIONS!$B$2</f>
        <v/>
      </c>
      <c r="AE4" s="11">
        <f>'QTR P&amp;L'!AH2*'BS DRIVERS'!AE4/ASSUMPTIONS!$B$2</f>
        <v/>
      </c>
      <c r="AF4" s="11">
        <f>'QTR P&amp;L'!AI2*'BS DRIVERS'!AF4/ASSUMPTIONS!$B$2</f>
        <v/>
      </c>
      <c r="AG4" s="11">
        <f>'QTR P&amp;L'!AJ2*'BS DRIVERS'!AG4/ASSUMPTIONS!$B$2</f>
        <v/>
      </c>
      <c r="AH4" s="11">
        <f>'QTR P&amp;L'!AK2*'BS DRIVERS'!AH4/ASSUMPTIONS!$B$2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DRIVERS'!P5/ASSUMPTIONS!$B$2</f>
        <v/>
      </c>
      <c r="Q5" s="11">
        <f>'QTR P&amp;L'!T3*'BS DRIVERS'!Q5/ASSUMPTIONS!$B$2</f>
        <v/>
      </c>
      <c r="R5" s="11">
        <f>'QTR P&amp;L'!U3*'BS DRIVERS'!R5/ASSUMPTIONS!$B$2</f>
        <v/>
      </c>
      <c r="S5" s="11">
        <f>'QTR P&amp;L'!V3*'BS DRIVERS'!S5/ASSUMPTIONS!$B$2</f>
        <v/>
      </c>
      <c r="T5" s="11">
        <f>'QTR P&amp;L'!W3*'BS DRIVERS'!T5/ASSUMPTIONS!$B$2</f>
        <v/>
      </c>
      <c r="U5" s="11">
        <f>'QTR P&amp;L'!X3*'BS DRIVERS'!U5/ASSUMPTIONS!$B$2</f>
        <v/>
      </c>
      <c r="V5" s="11">
        <f>'QTR P&amp;L'!Y3*'BS DRIVERS'!V5/ASSUMPTIONS!$B$2</f>
        <v/>
      </c>
      <c r="W5" s="11">
        <f>'QTR P&amp;L'!Z3*'BS DRIVERS'!W5/ASSUMPTIONS!$B$2</f>
        <v/>
      </c>
      <c r="X5" s="11">
        <f>'QTR P&amp;L'!AA3*'BS DRIVERS'!X5/ASSUMPTIONS!$B$2</f>
        <v/>
      </c>
      <c r="Y5" s="11">
        <f>'QTR P&amp;L'!AB3*'BS DRIVERS'!Y5/ASSUMPTIONS!$B$2</f>
        <v/>
      </c>
      <c r="Z5" s="11">
        <f>'QTR P&amp;L'!AC3*'BS DRIVERS'!Z5/ASSUMPTIONS!$B$2</f>
        <v/>
      </c>
      <c r="AA5" s="11">
        <f>'QTR P&amp;L'!AD3*'BS DRIVERS'!AA5/ASSUMPTIONS!$B$2</f>
        <v/>
      </c>
      <c r="AB5" s="11">
        <f>'QTR P&amp;L'!AE3*'BS DRIVERS'!AB5/ASSUMPTIONS!$B$2</f>
        <v/>
      </c>
      <c r="AC5" s="11">
        <f>'QTR P&amp;L'!AF3*'BS DRIVERS'!AC5/ASSUMPTIONS!$B$2</f>
        <v/>
      </c>
      <c r="AD5" s="11">
        <f>'QTR P&amp;L'!AG3*'BS DRIVERS'!AD5/ASSUMPTIONS!$B$2</f>
        <v/>
      </c>
      <c r="AE5" s="11">
        <f>'QTR P&amp;L'!AH3*'BS DRIVERS'!AE5/ASSUMPTIONS!$B$2</f>
        <v/>
      </c>
      <c r="AF5" s="11">
        <f>'QTR P&amp;L'!AI3*'BS DRIVERS'!AF5/ASSUMPTIONS!$B$2</f>
        <v/>
      </c>
      <c r="AG5" s="11">
        <f>'QTR P&amp;L'!AJ3*'BS DRIVERS'!AG5/ASSUMPTIONS!$B$2</f>
        <v/>
      </c>
      <c r="AH5" s="11">
        <f>'QTR P&amp;L'!AK3*'BS DRIVERS'!AH5/ASSUMPTIONS!$B$2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DRIVERS'!P6</f>
        <v/>
      </c>
      <c r="Q6" s="11">
        <f>'QTR P&amp;L'!T2*'BS DRIVERS'!Q6</f>
        <v/>
      </c>
      <c r="R6" s="11">
        <f>'QTR P&amp;L'!U2*'BS DRIVERS'!R6</f>
        <v/>
      </c>
      <c r="S6" s="11">
        <f>'QTR P&amp;L'!V2*'BS DRIVERS'!S6</f>
        <v/>
      </c>
      <c r="T6" s="11">
        <f>'QTR P&amp;L'!W2*'BS DRIVERS'!T6</f>
        <v/>
      </c>
      <c r="U6" s="11">
        <f>'QTR P&amp;L'!X2*'BS DRIVERS'!U6</f>
        <v/>
      </c>
      <c r="V6" s="11">
        <f>'QTR P&amp;L'!Y2*'BS DRIVERS'!V6</f>
        <v/>
      </c>
      <c r="W6" s="11">
        <f>'QTR P&amp;L'!Z2*'BS DRIVERS'!W6</f>
        <v/>
      </c>
      <c r="X6" s="11">
        <f>'QTR P&amp;L'!AA2*'BS DRIVERS'!X6</f>
        <v/>
      </c>
      <c r="Y6" s="11">
        <f>'QTR P&amp;L'!AB2*'BS DRIVERS'!Y6</f>
        <v/>
      </c>
      <c r="Z6" s="11">
        <f>'QTR P&amp;L'!AC2*'BS DRIVERS'!Z6</f>
        <v/>
      </c>
      <c r="AA6" s="11">
        <f>'QTR P&amp;L'!AD2*'BS DRIVERS'!AA6</f>
        <v/>
      </c>
      <c r="AB6" s="11">
        <f>'QTR P&amp;L'!AE2*'BS DRIVERS'!AB6</f>
        <v/>
      </c>
      <c r="AC6" s="11">
        <f>'QTR P&amp;L'!AF2*'BS DRIVERS'!AC6</f>
        <v/>
      </c>
      <c r="AD6" s="11">
        <f>'QTR P&amp;L'!AG2*'BS DRIVERS'!AD6</f>
        <v/>
      </c>
      <c r="AE6" s="11">
        <f>'QTR P&amp;L'!AH2*'BS DRIVERS'!AE6</f>
        <v/>
      </c>
      <c r="AF6" s="11">
        <f>'QTR P&amp;L'!AI2*'BS DRIVERS'!AF6</f>
        <v/>
      </c>
      <c r="AG6" s="11">
        <f>'QTR P&amp;L'!AJ2*'BS DRIVERS'!AG6</f>
        <v/>
      </c>
      <c r="AH6" s="11">
        <f>'QTR P&amp;L'!AK2*'BS DRIVERS'!AH6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'BS DRIVERS'!P7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'BS DRIVERS'!P8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'BS DRIVERS'!P9</f>
        <v/>
      </c>
      <c r="Q10" s="11">
        <f>'BS DRIVERS'!Q9</f>
        <v/>
      </c>
      <c r="R10" s="11">
        <f>'BS DRIVERS'!R9</f>
        <v/>
      </c>
      <c r="S10" s="11">
        <f>'BS DRIVERS'!S9</f>
        <v/>
      </c>
      <c r="T10" s="11">
        <f>'BS DRIVERS'!T9</f>
        <v/>
      </c>
      <c r="U10" s="11">
        <f>'BS DRIVERS'!U9</f>
        <v/>
      </c>
      <c r="V10" s="11">
        <f>'BS DRIVERS'!V9</f>
        <v/>
      </c>
      <c r="W10" s="11">
        <f>'BS DRIVERS'!W9</f>
        <v/>
      </c>
      <c r="X10" s="11">
        <f>'BS DRIVERS'!X9</f>
        <v/>
      </c>
      <c r="Y10" s="11">
        <f>'BS DRIVERS'!Y9</f>
        <v/>
      </c>
      <c r="Z10" s="11">
        <f>'BS DRIVERS'!Z9</f>
        <v/>
      </c>
      <c r="AA10" s="11">
        <f>'BS DRIVERS'!AA9</f>
        <v/>
      </c>
      <c r="AB10" s="11">
        <f>'BS DRIVERS'!AB9</f>
        <v/>
      </c>
      <c r="AC10" s="11">
        <f>'BS DRIVERS'!AC9</f>
        <v/>
      </c>
      <c r="AD10" s="11">
        <f>'BS DRIVERS'!AD9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'BS DRIVERS'!P10</f>
        <v/>
      </c>
      <c r="Q11" s="11">
        <f>'BS DRIVERS'!Q10</f>
        <v/>
      </c>
      <c r="R11" s="11">
        <f>'BS DRIVERS'!R10</f>
        <v/>
      </c>
      <c r="S11" s="11">
        <f>'BS DRIVERS'!S10</f>
        <v/>
      </c>
      <c r="T11" s="11">
        <f>'BS DRIVERS'!T10</f>
        <v/>
      </c>
      <c r="U11" s="11">
        <f>'BS DRIVERS'!U10</f>
        <v/>
      </c>
      <c r="V11" s="11">
        <f>'BS DRIVERS'!V10</f>
        <v/>
      </c>
      <c r="W11" s="11">
        <f>'BS DRIVERS'!W10</f>
        <v/>
      </c>
      <c r="X11" s="11">
        <f>'BS DRIVERS'!X10</f>
        <v/>
      </c>
      <c r="Y11" s="11">
        <f>'BS DRIVERS'!Y10</f>
        <v/>
      </c>
      <c r="Z11" s="11">
        <f>'BS DRIVERS'!Z10</f>
        <v/>
      </c>
      <c r="AA11" s="11">
        <f>'BS DRIVERS'!AA10</f>
        <v/>
      </c>
      <c r="AB11" s="11">
        <f>'BS DRIVERS'!AB10</f>
        <v/>
      </c>
      <c r="AC11" s="11">
        <f>'BS DRIVERS'!AC10</f>
        <v/>
      </c>
      <c r="AD11" s="11">
        <f>'BS DRIVERS'!AD10</f>
        <v/>
      </c>
      <c r="AE11" s="11">
        <f>'BS DRIVERS'!AE10</f>
        <v/>
      </c>
      <c r="AF11" s="11">
        <f>'BS DRIVERS'!AF10</f>
        <v/>
      </c>
      <c r="AG11" s="11">
        <f>'BS DRIVERS'!AG10</f>
        <v/>
      </c>
      <c r="AH11" s="11">
        <f>'BS DRIVERS'!AH10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'BS DRIVERS'!P11</f>
        <v/>
      </c>
      <c r="Q12" s="11">
        <f>'BS DRIVERS'!Q11</f>
        <v/>
      </c>
      <c r="R12" s="11">
        <f>'BS DRIVERS'!R11</f>
        <v/>
      </c>
      <c r="S12" s="11">
        <f>'BS DRIVERS'!S11</f>
        <v/>
      </c>
      <c r="T12" s="11">
        <f>'BS DRIVERS'!T11</f>
        <v/>
      </c>
      <c r="U12" s="11">
        <f>'BS DRIVERS'!U11</f>
        <v/>
      </c>
      <c r="V12" s="11">
        <f>'BS DRIVERS'!V11</f>
        <v/>
      </c>
      <c r="W12" s="11">
        <f>'BS DRIVERS'!W11</f>
        <v/>
      </c>
      <c r="X12" s="11">
        <f>'BS DRIVERS'!X11</f>
        <v/>
      </c>
      <c r="Y12" s="11">
        <f>'BS DRIVERS'!Y11</f>
        <v/>
      </c>
      <c r="Z12" s="11">
        <f>'BS DRIVERS'!Z11</f>
        <v/>
      </c>
      <c r="AA12" s="11">
        <f>'BS DRIVERS'!AA11</f>
        <v/>
      </c>
      <c r="AB12" s="11">
        <f>'BS DRIVERS'!AB11</f>
        <v/>
      </c>
      <c r="AC12" s="11">
        <f>'BS DRIVERS'!AC11</f>
        <v/>
      </c>
      <c r="AD12" s="11">
        <f>'BS DRIVERS'!AD11</f>
        <v/>
      </c>
      <c r="AE12" s="11">
        <f>'BS DRIVERS'!AE11</f>
        <v/>
      </c>
      <c r="AF12" s="11">
        <f>'BS DRIVERS'!AF11</f>
        <v/>
      </c>
      <c r="AG12" s="11">
        <f>'BS DRIVERS'!AG11</f>
        <v/>
      </c>
      <c r="AH12" s="11">
        <f>'BS DRIVERS'!AH11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DRIVERS'!P12</f>
        <v/>
      </c>
      <c r="Q13" s="11">
        <f>'QTR P&amp;L'!T2*'BS DRIVERS'!Q12</f>
        <v/>
      </c>
      <c r="R13" s="11">
        <f>'QTR P&amp;L'!U2*'BS DRIVERS'!R12</f>
        <v/>
      </c>
      <c r="S13" s="11">
        <f>'QTR P&amp;L'!V2*'BS DRIVERS'!S12</f>
        <v/>
      </c>
      <c r="T13" s="11">
        <f>'QTR P&amp;L'!W2*'BS DRIVERS'!T12</f>
        <v/>
      </c>
      <c r="U13" s="11">
        <f>'QTR P&amp;L'!X2*'BS DRIVERS'!U12</f>
        <v/>
      </c>
      <c r="V13" s="11">
        <f>'QTR P&amp;L'!Y2*'BS DRIVERS'!V12</f>
        <v/>
      </c>
      <c r="W13" s="11">
        <f>'QTR P&amp;L'!Z2*'BS DRIVERS'!W12</f>
        <v/>
      </c>
      <c r="X13" s="11">
        <f>'QTR P&amp;L'!AA2*'BS DRIVERS'!X12</f>
        <v/>
      </c>
      <c r="Y13" s="11">
        <f>'QTR P&amp;L'!AB2*'BS DRIVERS'!Y12</f>
        <v/>
      </c>
      <c r="Z13" s="11">
        <f>'QTR P&amp;L'!AC2*'BS DRIVERS'!Z12</f>
        <v/>
      </c>
      <c r="AA13" s="11">
        <f>'QTR P&amp;L'!AD2*'BS DRIVERS'!AA12</f>
        <v/>
      </c>
      <c r="AB13" s="11">
        <f>'QTR P&amp;L'!AE2*'BS DRIVERS'!AB12</f>
        <v/>
      </c>
      <c r="AC13" s="11">
        <f>'QTR P&amp;L'!AF2*'BS DRIVERS'!AC12</f>
        <v/>
      </c>
      <c r="AD13" s="11">
        <f>'QTR P&amp;L'!AG2*'BS DRIVERS'!AD12</f>
        <v/>
      </c>
      <c r="AE13" s="11">
        <f>'QTR P&amp;L'!AH2*'BS DRIVERS'!AE12</f>
        <v/>
      </c>
      <c r="AF13" s="11">
        <f>'QTR P&amp;L'!AI2*'BS DRIVERS'!AF12</f>
        <v/>
      </c>
      <c r="AG13" s="11">
        <f>'QTR P&amp;L'!AJ2*'BS DRIVERS'!AG12</f>
        <v/>
      </c>
      <c r="AH13" s="11">
        <f>'QTR P&amp;L'!AK2*'BS DRIVERS'!AH12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'BS DRIVERS'!P13</f>
        <v/>
      </c>
      <c r="Q15" s="11">
        <f>'BS DRIVERS'!Q13</f>
        <v/>
      </c>
      <c r="R15" s="11">
        <f>'BS DRIVERS'!R13</f>
        <v/>
      </c>
      <c r="S15" s="11">
        <f>'BS DRIVERS'!S13</f>
        <v/>
      </c>
      <c r="T15" s="11">
        <f>'BS DRIVERS'!T13</f>
        <v/>
      </c>
      <c r="U15" s="11">
        <f>'BS DRIVERS'!U13</f>
        <v/>
      </c>
      <c r="V15" s="11">
        <f>'BS DRIVERS'!V13</f>
        <v/>
      </c>
      <c r="W15" s="11">
        <f>'BS DRIVERS'!W13</f>
        <v/>
      </c>
      <c r="X15" s="11">
        <f>'BS DRIVERS'!X13</f>
        <v/>
      </c>
      <c r="Y15" s="11">
        <f>'BS DRIVERS'!Y13</f>
        <v/>
      </c>
      <c r="Z15" s="11">
        <f>'BS DRIVERS'!Z13</f>
        <v/>
      </c>
      <c r="AA15" s="11">
        <f>'BS DRIVERS'!AA13</f>
        <v/>
      </c>
      <c r="AB15" s="11">
        <f>'BS DRIVERS'!AB13</f>
        <v/>
      </c>
      <c r="AC15" s="11">
        <f>'BS DRIVERS'!AC13</f>
        <v/>
      </c>
      <c r="AD15" s="11">
        <f>'BS DRIVERS'!AD13</f>
        <v/>
      </c>
      <c r="AE15" s="11">
        <f>'BS DRIVERS'!AE13</f>
        <v/>
      </c>
      <c r="AF15" s="11">
        <f>'BS DRIVERS'!AF13</f>
        <v/>
      </c>
      <c r="AG15" s="11">
        <f>'BS DRIVERS'!AG13</f>
        <v/>
      </c>
      <c r="AH15" s="11">
        <f>'BS DRIVERS'!AH13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DRIVERS'!P14</f>
        <v/>
      </c>
      <c r="Q16" s="11">
        <f>'QTR P&amp;L'!T2*'BS DRIVERS'!Q14</f>
        <v/>
      </c>
      <c r="R16" s="11">
        <f>'QTR P&amp;L'!U2*'BS DRIVERS'!R14</f>
        <v/>
      </c>
      <c r="S16" s="11">
        <f>'QTR P&amp;L'!V2*'BS DRIVERS'!S14</f>
        <v/>
      </c>
      <c r="T16" s="11">
        <f>'QTR P&amp;L'!W2*'BS DRIVERS'!T14</f>
        <v/>
      </c>
      <c r="U16" s="11">
        <f>'QTR P&amp;L'!X2*'BS DRIVERS'!U14</f>
        <v/>
      </c>
      <c r="V16" s="11">
        <f>'QTR P&amp;L'!Y2*'BS DRIVERS'!V14</f>
        <v/>
      </c>
      <c r="W16" s="11">
        <f>'QTR P&amp;L'!Z2*'BS DRIVERS'!W14</f>
        <v/>
      </c>
      <c r="X16" s="11">
        <f>'QTR P&amp;L'!AA2*'BS DRIVERS'!X14</f>
        <v/>
      </c>
      <c r="Y16" s="11">
        <f>'QTR P&amp;L'!AB2*'BS DRIVERS'!Y14</f>
        <v/>
      </c>
      <c r="Z16" s="11">
        <f>'QTR P&amp;L'!AC2*'BS DRIVERS'!Z14</f>
        <v/>
      </c>
      <c r="AA16" s="11">
        <f>'QTR P&amp;L'!AD2*'BS DRIVERS'!AA14</f>
        <v/>
      </c>
      <c r="AB16" s="11">
        <f>'QTR P&amp;L'!AE2*'BS DRIVERS'!AB14</f>
        <v/>
      </c>
      <c r="AC16" s="11">
        <f>'QTR P&amp;L'!AF2*'BS DRIVERS'!AC14</f>
        <v/>
      </c>
      <c r="AD16" s="11">
        <f>'QTR P&amp;L'!AG2*'BS DRIVERS'!AD14</f>
        <v/>
      </c>
      <c r="AE16" s="11">
        <f>'QTR P&amp;L'!AH2*'BS DRIVERS'!AE14</f>
        <v/>
      </c>
      <c r="AF16" s="11">
        <f>'QTR P&amp;L'!AI2*'BS DRIVERS'!AF14</f>
        <v/>
      </c>
      <c r="AG16" s="11">
        <f>'QTR P&amp;L'!AJ2*'BS DRIVERS'!AG14</f>
        <v/>
      </c>
      <c r="AH16" s="11">
        <f>'QTR P&amp;L'!AK2*'BS DRIVERS'!AH14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'BS DRIVERS'!P15</f>
        <v/>
      </c>
      <c r="Q18" s="11">
        <f>'BS DRIVERS'!Q15</f>
        <v/>
      </c>
      <c r="R18" s="11">
        <f>'BS DRIVERS'!R15</f>
        <v/>
      </c>
      <c r="S18" s="11">
        <f>'BS DRIVERS'!S15</f>
        <v/>
      </c>
      <c r="T18" s="11">
        <f>'BS DRIVERS'!T15</f>
        <v/>
      </c>
      <c r="U18" s="11">
        <f>'BS DRIVERS'!U15</f>
        <v/>
      </c>
      <c r="V18" s="11">
        <f>'BS DRIVERS'!V15</f>
        <v/>
      </c>
      <c r="W18" s="11">
        <f>'BS DRIVERS'!W15</f>
        <v/>
      </c>
      <c r="X18" s="11">
        <f>'BS DRIVERS'!X15</f>
        <v/>
      </c>
      <c r="Y18" s="11">
        <f>'BS DRIVERS'!Y15</f>
        <v/>
      </c>
      <c r="Z18" s="11">
        <f>'BS DRIVERS'!Z15</f>
        <v/>
      </c>
      <c r="AA18" s="11">
        <f>'BS DRIVERS'!AA15</f>
        <v/>
      </c>
      <c r="AB18" s="11">
        <f>'BS DRIVERS'!AB15</f>
        <v/>
      </c>
      <c r="AC18" s="11">
        <f>'BS DRIVERS'!AC15</f>
        <v/>
      </c>
      <c r="AD18" s="11">
        <f>'BS DRIVERS'!AD15</f>
        <v/>
      </c>
      <c r="AE18" s="11">
        <f>'BS DRIVERS'!AE15</f>
        <v/>
      </c>
      <c r="AF18" s="11">
        <f>'BS DRIVERS'!AF15</f>
        <v/>
      </c>
      <c r="AG18" s="11">
        <f>'BS DRIVERS'!AG15</f>
        <v/>
      </c>
      <c r="AH18" s="11">
        <f>'BS DRIVERS'!AH15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'BS DRIVERS'!P16</f>
        <v/>
      </c>
      <c r="Q19" s="11">
        <f>'BS DRIVERS'!Q16</f>
        <v/>
      </c>
      <c r="R19" s="11">
        <f>'BS DRIVERS'!R16</f>
        <v/>
      </c>
      <c r="S19" s="11">
        <f>'BS DRIVERS'!S16</f>
        <v/>
      </c>
      <c r="T19" s="11">
        <f>'BS DRIVERS'!T16</f>
        <v/>
      </c>
      <c r="U19" s="11">
        <f>'BS DRIVERS'!U16</f>
        <v/>
      </c>
      <c r="V19" s="11">
        <f>'BS DRIVERS'!V16</f>
        <v/>
      </c>
      <c r="W19" s="11">
        <f>'BS DRIVERS'!W16</f>
        <v/>
      </c>
      <c r="X19" s="11">
        <f>'BS DRIVERS'!X16</f>
        <v/>
      </c>
      <c r="Y19" s="11">
        <f>'BS DRIVERS'!Y16</f>
        <v/>
      </c>
      <c r="Z19" s="11">
        <f>'BS DRIVERS'!Z16</f>
        <v/>
      </c>
      <c r="AA19" s="11">
        <f>'BS DRIVERS'!AA16</f>
        <v/>
      </c>
      <c r="AB19" s="11">
        <f>'BS DRIVERS'!AB16</f>
        <v/>
      </c>
      <c r="AC19" s="11">
        <f>'BS DRIVERS'!AC16</f>
        <v/>
      </c>
      <c r="AD19" s="11">
        <f>'BS DRIVERS'!AD16</f>
        <v/>
      </c>
      <c r="AE19" s="11">
        <f>'BS DRIVERS'!AE16</f>
        <v/>
      </c>
      <c r="AF19" s="11">
        <f>'BS DRIVERS'!AF16</f>
        <v/>
      </c>
      <c r="AG19" s="11">
        <f>'BS DRIVERS'!AG16</f>
        <v/>
      </c>
      <c r="AH19" s="11">
        <f>'BS DRIVERS'!AH16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DRIVERS'!P17</f>
        <v/>
      </c>
      <c r="Q20" s="11">
        <f>'QTR P&amp;L'!T2*'BS DRIVERS'!Q17</f>
        <v/>
      </c>
      <c r="R20" s="11">
        <f>'QTR P&amp;L'!U2*'BS DRIVERS'!R17</f>
        <v/>
      </c>
      <c r="S20" s="11">
        <f>'QTR P&amp;L'!V2*'BS DRIVERS'!S17</f>
        <v/>
      </c>
      <c r="T20" s="11">
        <f>'QTR P&amp;L'!W2*'BS DRIVERS'!T17</f>
        <v/>
      </c>
      <c r="U20" s="11">
        <f>'QTR P&amp;L'!X2*'BS DRIVERS'!U17</f>
        <v/>
      </c>
      <c r="V20" s="11">
        <f>'QTR P&amp;L'!Y2*'BS DRIVERS'!V17</f>
        <v/>
      </c>
      <c r="W20" s="11">
        <f>'QTR P&amp;L'!Z2*'BS DRIVERS'!W17</f>
        <v/>
      </c>
      <c r="X20" s="11">
        <f>'QTR P&amp;L'!AA2*'BS DRIVERS'!X17</f>
        <v/>
      </c>
      <c r="Y20" s="11">
        <f>'QTR P&amp;L'!AB2*'BS DRIVERS'!Y17</f>
        <v/>
      </c>
      <c r="Z20" s="11">
        <f>'QTR P&amp;L'!AC2*'BS DRIVERS'!Z17</f>
        <v/>
      </c>
      <c r="AA20" s="11">
        <f>'QTR P&amp;L'!AD2*'BS DRIVERS'!AA17</f>
        <v/>
      </c>
      <c r="AB20" s="11">
        <f>'QTR P&amp;L'!AE2*'BS DRIVERS'!AB17</f>
        <v/>
      </c>
      <c r="AC20" s="11">
        <f>'QTR P&amp;L'!AF2*'BS DRIVERS'!AC17</f>
        <v/>
      </c>
      <c r="AD20" s="11">
        <f>'QTR P&amp;L'!AG2*'BS DRIVERS'!AD17</f>
        <v/>
      </c>
      <c r="AE20" s="11">
        <f>'QTR P&amp;L'!AH2*'BS DRIVERS'!AE17</f>
        <v/>
      </c>
      <c r="AF20" s="11">
        <f>'QTR P&amp;L'!AI2*'BS DRIVERS'!AF17</f>
        <v/>
      </c>
      <c r="AG20" s="11">
        <f>'QTR P&amp;L'!AJ2*'BS DRIVERS'!AG17</f>
        <v/>
      </c>
      <c r="AH20" s="11">
        <f>'QTR P&amp;L'!AK2*'BS DRIVERS'!AH17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'BS DRIVERS'!P18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'BS DRIVERS'!P19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'BS DRIVERS'!P20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'BS DRIVERS'!P21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'BS DRIVERS'!P22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'BS DRIVERS'!P23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'CF DRIVERS'!S2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DRIVERS'!S3</f>
        <v/>
      </c>
      <c r="T3" s="11">
        <f>'QTR P&amp;L'!T2*'CF DRIVERS'!T3</f>
        <v/>
      </c>
      <c r="U3" s="11">
        <f>'QTR P&amp;L'!U2*'CF DRIVERS'!U3</f>
        <v/>
      </c>
      <c r="V3" s="11">
        <f>'QTR P&amp;L'!V2*'CF DRIVERS'!V3</f>
        <v/>
      </c>
      <c r="W3" s="11">
        <f>'QTR P&amp;L'!W2*'CF DRIVERS'!W3</f>
        <v/>
      </c>
      <c r="X3" s="11">
        <f>'QTR P&amp;L'!X2*'CF DRIVERS'!X3</f>
        <v/>
      </c>
      <c r="Y3" s="11">
        <f>'QTR P&amp;L'!Y2*'CF DRIVERS'!Y3</f>
        <v/>
      </c>
      <c r="Z3" s="11">
        <f>'QTR P&amp;L'!Z2*'CF DRIVERS'!Z3</f>
        <v/>
      </c>
      <c r="AA3" s="11">
        <f>'QTR P&amp;L'!AA2*'CF DRIVERS'!AA3</f>
        <v/>
      </c>
      <c r="AB3" s="11">
        <f>'QTR P&amp;L'!AB2*'CF DRIVERS'!AB3</f>
        <v/>
      </c>
      <c r="AC3" s="11">
        <f>'QTR P&amp;L'!AC2*'CF DRIVERS'!AC3</f>
        <v/>
      </c>
      <c r="AD3" s="11">
        <f>'QTR P&amp;L'!AD2*'CF DRIVERS'!AD3</f>
        <v/>
      </c>
      <c r="AE3" s="11">
        <f>'QTR P&amp;L'!AE2*'CF DRIVERS'!AE3</f>
        <v/>
      </c>
      <c r="AF3" s="11">
        <f>'QTR P&amp;L'!AF2*'CF DRIVERS'!AF3</f>
        <v/>
      </c>
      <c r="AG3" s="11">
        <f>'QTR P&amp;L'!AG2*'CF DRIVERS'!AG3</f>
        <v/>
      </c>
      <c r="AH3" s="11">
        <f>'QTR P&amp;L'!AH2*'CF DRIVERS'!AH3</f>
        <v/>
      </c>
      <c r="AI3" s="11">
        <f>'QTR P&amp;L'!AI2*'CF DRIVERS'!AI3</f>
        <v/>
      </c>
      <c r="AJ3" s="11">
        <f>'QTR P&amp;L'!AJ2*'CF DRIVERS'!AJ3</f>
        <v/>
      </c>
      <c r="AK3" s="11">
        <f>'QTR P&amp;L'!AK2*'CF DRIVERS'!AK3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'CF DRIVERS'!S4</f>
        <v/>
      </c>
      <c r="T4" s="11">
        <f>'CF DRIVERS'!T4</f>
        <v/>
      </c>
      <c r="U4" s="11">
        <f>'CF DRIVERS'!U4</f>
        <v/>
      </c>
      <c r="V4" s="11">
        <f>'CF DRIVERS'!V4</f>
        <v/>
      </c>
      <c r="W4" s="11">
        <f>'CF DRIVERS'!W4</f>
        <v/>
      </c>
      <c r="X4" s="11">
        <f>'CF DRIVERS'!X4</f>
        <v/>
      </c>
      <c r="Y4" s="11">
        <f>'CF DRIVERS'!Y4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'CF DRIVERS'!S5</f>
        <v/>
      </c>
      <c r="T5" s="11">
        <f>'CF DRIVERS'!T5</f>
        <v/>
      </c>
      <c r="U5" s="11">
        <f>'CF DRIVERS'!U5</f>
        <v/>
      </c>
      <c r="V5" s="11">
        <f>'CF DRIVERS'!V5</f>
        <v/>
      </c>
      <c r="W5" s="11">
        <f>'CF DRIVERS'!W5</f>
        <v/>
      </c>
      <c r="X5" s="11">
        <f>'CF DRIVERS'!X5</f>
        <v/>
      </c>
      <c r="Y5" s="11">
        <f>'CF DRIVERS'!Y5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'CF DRIVERS'!S6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'CF DRIVERS'!S7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'CF DRIVERS'!S8</f>
        <v/>
      </c>
      <c r="T8" s="11">
        <f>'CF DRIVERS'!T8</f>
        <v/>
      </c>
      <c r="U8" s="11">
        <f>'CF DRIVERS'!U8</f>
        <v/>
      </c>
      <c r="V8" s="11">
        <f>'CF DRIVERS'!V8</f>
        <v/>
      </c>
      <c r="W8" s="11">
        <f>'CF DRIVERS'!W8</f>
        <v/>
      </c>
      <c r="X8" s="11">
        <f>'CF DRIVERS'!X8</f>
        <v/>
      </c>
      <c r="Y8" s="11">
        <f>'CF DRIVERS'!Y8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DRIVERS'!S9</f>
        <v/>
      </c>
      <c r="T9" s="11">
        <f>'QTR P&amp;L'!T2*'CF DRIVERS'!T9</f>
        <v/>
      </c>
      <c r="U9" s="11">
        <f>'QTR P&amp;L'!U2*'CF DRIVERS'!U9</f>
        <v/>
      </c>
      <c r="V9" s="11">
        <f>'QTR P&amp;L'!V2*'CF DRIVERS'!V9</f>
        <v/>
      </c>
      <c r="W9" s="11">
        <f>'QTR P&amp;L'!W2*'CF DRIVERS'!W9</f>
        <v/>
      </c>
      <c r="X9" s="11">
        <f>'QTR P&amp;L'!X2*'CF DRIVERS'!X9</f>
        <v/>
      </c>
      <c r="Y9" s="11">
        <f>'QTR P&amp;L'!Y2*'CF DRIVERS'!Y9</f>
        <v/>
      </c>
      <c r="Z9" s="11">
        <f>'QTR P&amp;L'!Z2*'CF DRIVERS'!Z9</f>
        <v/>
      </c>
      <c r="AA9" s="11">
        <f>'QTR P&amp;L'!AA2*'CF DRIVERS'!AA9</f>
        <v/>
      </c>
      <c r="AB9" s="11">
        <f>'QTR P&amp;L'!AB2*'CF DRIVERS'!AB9</f>
        <v/>
      </c>
      <c r="AC9" s="11">
        <f>'QTR P&amp;L'!AC2*'CF DRIVERS'!AC9</f>
        <v/>
      </c>
      <c r="AD9" s="11">
        <f>'QTR P&amp;L'!AD2*'CF DRIVERS'!AD9</f>
        <v/>
      </c>
      <c r="AE9" s="11">
        <f>'QTR P&amp;L'!AE2*'CF DRIVERS'!AE9</f>
        <v/>
      </c>
      <c r="AF9" s="11">
        <f>'QTR P&amp;L'!AF2*'CF DRIVERS'!AF9</f>
        <v/>
      </c>
      <c r="AG9" s="11">
        <f>'QTR P&amp;L'!AG2*'CF DRIVERS'!AG9</f>
        <v/>
      </c>
      <c r="AH9" s="11">
        <f>'QTR P&amp;L'!AH2*'CF DRIVERS'!AH9</f>
        <v/>
      </c>
      <c r="AI9" s="11">
        <f>'QTR P&amp;L'!AI2*'CF DRIVERS'!AI9</f>
        <v/>
      </c>
      <c r="AJ9" s="11">
        <f>'QTR P&amp;L'!AJ2*'CF DRIVERS'!AJ9</f>
        <v/>
      </c>
      <c r="AK9" s="11">
        <f>'QTR P&amp;L'!AK2*'CF DRIVERS'!AK9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'CF DRIVERS'!S10</f>
        <v/>
      </c>
      <c r="T10" s="11">
        <f>'CF DRIVERS'!T10</f>
        <v/>
      </c>
      <c r="U10" s="11">
        <f>'CF DRIVERS'!U10</f>
        <v/>
      </c>
      <c r="V10" s="11">
        <f>'CF DRIVERS'!V10</f>
        <v/>
      </c>
      <c r="W10" s="11">
        <f>'CF DRIVERS'!W10</f>
        <v/>
      </c>
      <c r="X10" s="11">
        <f>'CF DRIVERS'!X10</f>
        <v/>
      </c>
      <c r="Y10" s="11">
        <f>'CF DRIVERS'!Y10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'CF DRIVERS'!S11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'CF DRIVERS'!S12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'CF DRIVERS'!S13</f>
        <v/>
      </c>
      <c r="T13" s="11">
        <f>'CF DRIVERS'!T13</f>
        <v/>
      </c>
      <c r="U13" s="11">
        <f>'CF DRIVERS'!U13</f>
        <v/>
      </c>
      <c r="V13" s="11">
        <f>'CF DRIVERS'!V13</f>
        <v/>
      </c>
      <c r="W13" s="11">
        <f>'CF DRIVERS'!W13</f>
        <v/>
      </c>
      <c r="X13" s="11">
        <f>'CF DRIVERS'!X13</f>
        <v/>
      </c>
      <c r="Y13" s="11">
        <f>'CF DRIVERS'!Y13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'CF DRIVERS'!S14</f>
        <v/>
      </c>
      <c r="T14" s="11">
        <f>'CF DRIVERS'!T14</f>
        <v/>
      </c>
      <c r="U14" s="11">
        <f>'CF DRIVERS'!U14</f>
        <v/>
      </c>
      <c r="V14" s="11">
        <f>'CF DRIVERS'!V14</f>
        <v/>
      </c>
      <c r="W14" s="11">
        <f>'CF DRIVERS'!W14</f>
        <v/>
      </c>
      <c r="X14" s="11">
        <f>'CF DRIVERS'!X14</f>
        <v/>
      </c>
      <c r="Y14" s="11">
        <f>'CF DRIVERS'!Y14</f>
        <v/>
      </c>
      <c r="Z14" s="11">
        <f>'CF DRIVERS'!Z14</f>
        <v/>
      </c>
      <c r="AA14" s="11">
        <f>'CF DRIVERS'!AA14</f>
        <v/>
      </c>
      <c r="AB14" s="11">
        <f>'CF DRIVERS'!AB14</f>
        <v/>
      </c>
      <c r="AC14" s="11">
        <f>'CF DRIVERS'!AC14</f>
        <v/>
      </c>
      <c r="AD14" s="11">
        <f>'CF DRIVERS'!AD14</f>
        <v/>
      </c>
      <c r="AE14" s="11">
        <f>'CF DRIVERS'!AE14</f>
        <v/>
      </c>
      <c r="AF14" s="11">
        <f>'CF DRIVERS'!AF14</f>
        <v/>
      </c>
      <c r="AG14" s="11">
        <f>'CF DRIVERS'!AG14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'CF DRIVERS'!S15</f>
        <v/>
      </c>
      <c r="T15" s="11">
        <f>'CF DRIVERS'!T15</f>
        <v/>
      </c>
      <c r="U15" s="11">
        <f>'CF DRIVERS'!U15</f>
        <v/>
      </c>
      <c r="V15" s="11">
        <f>'CF DRIVERS'!V15</f>
        <v/>
      </c>
      <c r="W15" s="11">
        <f>'CF DRIVERS'!W15</f>
        <v/>
      </c>
      <c r="X15" s="11">
        <f>'CF DRIVERS'!X15</f>
        <v/>
      </c>
      <c r="Y15" s="11">
        <f>'CF DRIVERS'!Y15</f>
        <v/>
      </c>
      <c r="Z15" s="11">
        <f>'CF DRIVERS'!Z15</f>
        <v/>
      </c>
      <c r="AA15" s="11">
        <f>'CF DRIVERS'!AA15</f>
        <v/>
      </c>
      <c r="AB15" s="11">
        <f>'CF DRIVERS'!AB15</f>
        <v/>
      </c>
      <c r="AC15" s="11">
        <f>'CF DRIVERS'!AC15</f>
        <v/>
      </c>
      <c r="AD15" s="11">
        <f>'CF DRIVERS'!AD15</f>
        <v/>
      </c>
      <c r="AE15" s="11">
        <f>'CF DRIVERS'!AE15</f>
        <v/>
      </c>
      <c r="AF15" s="11">
        <f>'CF DRIVERS'!AF15</f>
        <v/>
      </c>
      <c r="AG15" s="11">
        <f>'CF DRIVERS'!AG15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'CF DRIVERS'!S16</f>
        <v/>
      </c>
      <c r="T16" s="11">
        <f>'CF DRIVERS'!T16</f>
        <v/>
      </c>
      <c r="U16" s="11">
        <f>'CF DRIVERS'!U16</f>
        <v/>
      </c>
      <c r="V16" s="11">
        <f>'CF DRIVERS'!V16</f>
        <v/>
      </c>
      <c r="W16" s="11">
        <f>'CF DRIVERS'!W16</f>
        <v/>
      </c>
      <c r="X16" s="11">
        <f>'CF DRIVERS'!X16</f>
        <v/>
      </c>
      <c r="Y16" s="11">
        <f>'CF DRIVERS'!Y16</f>
        <v/>
      </c>
      <c r="Z16" s="11">
        <f>'CF DRIVERS'!Z16</f>
        <v/>
      </c>
      <c r="AA16" s="11">
        <f>'CF DRIVERS'!AA16</f>
        <v/>
      </c>
      <c r="AB16" s="11">
        <f>'CF DRIVERS'!AB16</f>
        <v/>
      </c>
      <c r="AC16" s="11">
        <f>'CF DRIVERS'!AC16</f>
        <v/>
      </c>
      <c r="AD16" s="11">
        <f>'CF DRIVERS'!AD16</f>
        <v/>
      </c>
      <c r="AE16" s="11">
        <f>'CF DRIVERS'!AE16</f>
        <v/>
      </c>
      <c r="AF16" s="11">
        <f>'CF DRIVERS'!AF16</f>
        <v/>
      </c>
      <c r="AG16" s="11">
        <f>'CF DRIVERS'!AG16</f>
        <v/>
      </c>
      <c r="AH16" s="11">
        <f>'CF DRIVERS'!AH16</f>
        <v/>
      </c>
      <c r="AI16" s="11">
        <f>'CF DRIVERS'!AI16</f>
        <v/>
      </c>
      <c r="AJ16" s="11">
        <f>'CF DRIVERS'!AJ16</f>
        <v/>
      </c>
      <c r="AK16" s="11">
        <f>'CF DRIVERS'!AK16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'CF DRIVERS'!S17</f>
        <v/>
      </c>
      <c r="T17" s="11">
        <f>'CF DRIVERS'!T17</f>
        <v/>
      </c>
      <c r="U17" s="11">
        <f>'CF DRIVERS'!U17</f>
        <v/>
      </c>
      <c r="V17" s="11">
        <f>'CF DRIVERS'!V17</f>
        <v/>
      </c>
      <c r="W17" s="11">
        <f>'CF DRIVERS'!W17</f>
        <v/>
      </c>
      <c r="X17" s="11">
        <f>'CF DRIVERS'!X17</f>
        <v/>
      </c>
      <c r="Y17" s="11">
        <f>'CF DRIVERS'!Y17</f>
        <v/>
      </c>
      <c r="Z17" s="11">
        <f>'CF DRIVERS'!Z17</f>
        <v/>
      </c>
      <c r="AA17" s="11">
        <f>'CF DRIVERS'!AA17</f>
        <v/>
      </c>
      <c r="AB17" s="11">
        <f>'CF DRIVERS'!AB17</f>
        <v/>
      </c>
      <c r="AC17" s="11">
        <f>'CF DRIVERS'!AC17</f>
        <v/>
      </c>
      <c r="AD17" s="11">
        <f>'CF DRIVERS'!AD17</f>
        <v/>
      </c>
      <c r="AE17" s="11">
        <f>'CF DRIVERS'!AE17</f>
        <v/>
      </c>
      <c r="AF17" s="11">
        <f>'CF DRIVERS'!AF17</f>
        <v/>
      </c>
      <c r="AG17" s="11">
        <f>'CF DRIVERS'!AG17</f>
        <v/>
      </c>
      <c r="AH17" s="11">
        <f>'CF DRIVERS'!AH17</f>
        <v/>
      </c>
      <c r="AI17" s="11">
        <f>'CF DRIVERS'!AI17</f>
        <v/>
      </c>
      <c r="AJ17" s="11">
        <f>'CF DRIVERS'!AJ17</f>
        <v/>
      </c>
      <c r="AK17" s="11">
        <f>'CF DRIVERS'!AK17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'CF DRIVERS'!S18</f>
        <v/>
      </c>
      <c r="T18" s="11">
        <f>'CF DRIVERS'!T18</f>
        <v/>
      </c>
      <c r="U18" s="11">
        <f>'CF DRIVERS'!U18</f>
        <v/>
      </c>
      <c r="V18" s="11">
        <f>'CF DRIVERS'!V18</f>
        <v/>
      </c>
      <c r="W18" s="11">
        <f>'CF DRIVERS'!W18</f>
        <v/>
      </c>
      <c r="X18" s="11">
        <f>'CF DRIVERS'!X18</f>
        <v/>
      </c>
      <c r="Y18" s="11">
        <f>'CF DRIVERS'!Y18</f>
        <v/>
      </c>
      <c r="Z18" s="11">
        <f>'CF DRIVERS'!Z18</f>
        <v/>
      </c>
      <c r="AA18" s="11">
        <f>'CF DRIVERS'!AA18</f>
        <v/>
      </c>
      <c r="AB18" s="11">
        <f>'CF DRIVERS'!AB18</f>
        <v/>
      </c>
      <c r="AC18" s="11">
        <f>'CF DRIVERS'!AC18</f>
        <v/>
      </c>
      <c r="AD18" s="11">
        <f>'CF DRIVERS'!AD18</f>
        <v/>
      </c>
      <c r="AE18" s="11">
        <f>'CF DRIVERS'!AE18</f>
        <v/>
      </c>
      <c r="AF18" s="11">
        <f>'CF DRIVERS'!AF18</f>
        <v/>
      </c>
      <c r="AG18" s="11">
        <f>'CF DRIVERS'!AG18</f>
        <v/>
      </c>
      <c r="AH18" s="11">
        <f>'CF DRIVERS'!AH18</f>
        <v/>
      </c>
      <c r="AI18" s="11">
        <f>'CF DRIVERS'!AI18</f>
        <v/>
      </c>
      <c r="AJ18" s="11">
        <f>'CF DRIVERS'!AJ18</f>
        <v/>
      </c>
      <c r="AK18" s="11">
        <f>'CF DRIVERS'!AK18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'CF DRIVERS'!S19</f>
        <v/>
      </c>
      <c r="T19" s="11">
        <f>'CF DRIVERS'!T19</f>
        <v/>
      </c>
      <c r="U19" s="11">
        <f>'CF DRIVERS'!U19</f>
        <v/>
      </c>
      <c r="V19" s="11">
        <f>'CF DRIVERS'!V19</f>
        <v/>
      </c>
      <c r="W19" s="11">
        <f>'CF DRIVERS'!W19</f>
        <v/>
      </c>
      <c r="X19" s="11">
        <f>'CF DRIVERS'!X19</f>
        <v/>
      </c>
      <c r="Y19" s="11">
        <f>'CF DRIVERS'!Y19</f>
        <v/>
      </c>
      <c r="Z19" s="11">
        <f>'CF DRIVERS'!Z19</f>
        <v/>
      </c>
      <c r="AA19" s="11">
        <f>'CF DRIVERS'!AA19</f>
        <v/>
      </c>
      <c r="AB19" s="11">
        <f>'CF DRIVERS'!AB19</f>
        <v/>
      </c>
      <c r="AC19" s="11">
        <f>'CF DRIVERS'!AC19</f>
        <v/>
      </c>
      <c r="AD19" s="11">
        <f>'CF DRIVERS'!AD19</f>
        <v/>
      </c>
      <c r="AE19" s="11">
        <f>'CF DRIVERS'!AE19</f>
        <v/>
      </c>
      <c r="AF19" s="11">
        <f>'CF DRIVERS'!AF19</f>
        <v/>
      </c>
      <c r="AG19" s="11">
        <f>'CF DRIVERS'!AG19</f>
        <v/>
      </c>
      <c r="AH19" s="11">
        <f>'CF DRIVERS'!AH19</f>
        <v/>
      </c>
      <c r="AI19" s="11">
        <f>'CF DRIVERS'!AI19</f>
        <v/>
      </c>
      <c r="AJ19" s="11">
        <f>'CF DRIVERS'!AJ19</f>
        <v/>
      </c>
      <c r="AK19" s="11">
        <f>'CF DRIVERS'!AK19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'CF DRIVERS'!S20</f>
        <v/>
      </c>
      <c r="T20" s="11">
        <f>'CF DRIVERS'!T20</f>
        <v/>
      </c>
      <c r="U20" s="11">
        <f>'CF DRIVERS'!U20</f>
        <v/>
      </c>
      <c r="V20" s="11">
        <f>'CF DRIVERS'!V20</f>
        <v/>
      </c>
      <c r="W20" s="11">
        <f>'CF DRIVERS'!W20</f>
        <v/>
      </c>
      <c r="X20" s="11">
        <f>'CF DRIVERS'!X20</f>
        <v/>
      </c>
      <c r="Y20" s="11">
        <f>'CF DRIVERS'!Y20</f>
        <v/>
      </c>
      <c r="Z20" s="11">
        <f>'CF DRIVERS'!Z20</f>
        <v/>
      </c>
      <c r="AA20" s="11">
        <f>'CF DRIVERS'!AA20</f>
        <v/>
      </c>
      <c r="AB20" s="11">
        <f>'CF DRIVERS'!AB20</f>
        <v/>
      </c>
      <c r="AC20" s="11">
        <f>'CF DRIVERS'!AC20</f>
        <v/>
      </c>
      <c r="AD20" s="11">
        <f>'CF DRIVERS'!AD20</f>
        <v/>
      </c>
      <c r="AE20" s="11">
        <f>'CF DRIVERS'!AE20</f>
        <v/>
      </c>
      <c r="AF20" s="11">
        <f>'CF DRIVERS'!AF20</f>
        <v/>
      </c>
      <c r="AG20" s="11">
        <f>'CF DRIVERS'!AG20</f>
        <v/>
      </c>
      <c r="AH20" s="11">
        <f>'CF DRIVERS'!AH20</f>
        <v/>
      </c>
      <c r="AI20" s="11">
        <f>'CF DRIVERS'!AI20</f>
        <v/>
      </c>
      <c r="AJ20" s="11">
        <f>'CF DRIVERS'!AJ20</f>
        <v/>
      </c>
      <c r="AK20" s="11">
        <f>'CF DRIVERS'!AK20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'CF DRIVERS'!S21</f>
        <v/>
      </c>
      <c r="T21" s="11">
        <f>'CF DRIVERS'!T21</f>
        <v/>
      </c>
      <c r="U21" s="11">
        <f>'CF DRIVERS'!U21</f>
        <v/>
      </c>
      <c r="V21" s="11">
        <f>'CF DRIVERS'!V21</f>
        <v/>
      </c>
      <c r="W21" s="11">
        <f>'CF DRIVERS'!W21</f>
        <v/>
      </c>
      <c r="X21" s="11">
        <f>'CF DRIVERS'!X21</f>
        <v/>
      </c>
      <c r="Y21" s="11">
        <f>'CF DRIVERS'!Y21</f>
        <v/>
      </c>
      <c r="Z21" s="11">
        <f>'CF DRIVERS'!Z21</f>
        <v/>
      </c>
      <c r="AA21" s="11">
        <f>'CF DRIVERS'!AA21</f>
        <v/>
      </c>
      <c r="AB21" s="11">
        <f>'CF DRIVERS'!AB21</f>
        <v/>
      </c>
      <c r="AC21" s="11">
        <f>'CF DRIVERS'!AC21</f>
        <v/>
      </c>
      <c r="AD21" s="11">
        <f>'CF DRIVERS'!AD21</f>
        <v/>
      </c>
      <c r="AE21" s="11">
        <f>'CF DRIVERS'!AE21</f>
        <v/>
      </c>
      <c r="AF21" s="11">
        <f>'CF DRIVERS'!AF21</f>
        <v/>
      </c>
      <c r="AG21" s="11">
        <f>'CF DRIVERS'!AG21</f>
        <v/>
      </c>
      <c r="AH21" s="11">
        <f>'CF DRIVERS'!AH21</f>
        <v/>
      </c>
      <c r="AI21" s="11">
        <f>'CF DRIVERS'!AI21</f>
        <v/>
      </c>
      <c r="AJ21" s="11">
        <f>'CF DRIVERS'!AJ21</f>
        <v/>
      </c>
      <c r="AK21" s="11">
        <f>'CF DRIVERS'!AK21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'CF DRIVERS'!S22</f>
        <v/>
      </c>
      <c r="T22" s="11">
        <f>'CF DRIVERS'!T22</f>
        <v/>
      </c>
      <c r="U22" s="11">
        <f>'CF DRIVERS'!U22</f>
        <v/>
      </c>
      <c r="V22" s="11">
        <f>'CF DRIVERS'!V22</f>
        <v/>
      </c>
      <c r="W22" s="11">
        <f>'CF DRIVERS'!W22</f>
        <v/>
      </c>
      <c r="X22" s="11">
        <f>'CF DRIVERS'!X22</f>
        <v/>
      </c>
      <c r="Y22" s="11">
        <f>'CF DRIVERS'!Y22</f>
        <v/>
      </c>
      <c r="Z22" s="11">
        <f>'CF DRIVERS'!Z22</f>
        <v/>
      </c>
      <c r="AA22" s="11">
        <f>'CF DRIVERS'!AA22</f>
        <v/>
      </c>
      <c r="AB22" s="11">
        <f>'CF DRIVERS'!AB22</f>
        <v/>
      </c>
      <c r="AC22" s="11">
        <f>'CF DRIVERS'!AC22</f>
        <v/>
      </c>
      <c r="AD22" s="11">
        <f>'CF DRIVERS'!AD22</f>
        <v/>
      </c>
      <c r="AE22" s="11">
        <f>'CF DRIVERS'!AE22</f>
        <v/>
      </c>
      <c r="AF22" s="11">
        <f>'CF DRIVERS'!AF22</f>
        <v/>
      </c>
      <c r="AG22" s="11">
        <f>'CF DRIVERS'!AG22</f>
        <v/>
      </c>
      <c r="AH22" s="11">
        <f>'CF DRIVERS'!AH22</f>
        <v/>
      </c>
      <c r="AI22" s="11">
        <f>'CF DRIVERS'!AI22</f>
        <v/>
      </c>
      <c r="AJ22" s="11">
        <f>'CF DRIVERS'!AJ22</f>
        <v/>
      </c>
      <c r="AK22" s="11">
        <f>'CF DRIVERS'!AK22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'CF DRIVERS'!S23</f>
        <v/>
      </c>
      <c r="T23" s="11">
        <f>'CF DRIVERS'!T23</f>
        <v/>
      </c>
      <c r="U23" s="11">
        <f>'CF DRIVERS'!U23</f>
        <v/>
      </c>
      <c r="V23" s="11">
        <f>'CF DRIVERS'!V23</f>
        <v/>
      </c>
      <c r="W23" s="11">
        <f>'CF DRIVERS'!W23</f>
        <v/>
      </c>
      <c r="X23" s="11">
        <f>'CF DRIVERS'!X23</f>
        <v/>
      </c>
      <c r="Y23" s="11">
        <f>'CF DRIVERS'!Y23</f>
        <v/>
      </c>
      <c r="Z23" s="11">
        <f>'CF DRIVERS'!Z23</f>
        <v/>
      </c>
      <c r="AA23" s="11">
        <f>'CF DRIVERS'!AA23</f>
        <v/>
      </c>
      <c r="AB23" s="11">
        <f>'CF DRIVERS'!AB23</f>
        <v/>
      </c>
      <c r="AC23" s="11">
        <f>'CF DRIVERS'!AC23</f>
        <v/>
      </c>
      <c r="AD23" s="11">
        <f>'CF DRIVERS'!AD23</f>
        <v/>
      </c>
      <c r="AE23" s="11">
        <f>'CF DRIVERS'!AE23</f>
        <v/>
      </c>
      <c r="AF23" s="11">
        <f>'CF DRIVERS'!AF23</f>
        <v/>
      </c>
      <c r="AG23" s="11">
        <f>'CF DRIVERS'!AG23</f>
        <v/>
      </c>
      <c r="AH23" s="11">
        <f>'CF DRIVERS'!AH23</f>
        <v/>
      </c>
      <c r="AI23" s="11">
        <f>'CF DRIVERS'!AI23</f>
        <v/>
      </c>
      <c r="AJ23" s="11">
        <f>'CF DRIVERS'!AJ23</f>
        <v/>
      </c>
      <c r="AK23" s="11">
        <f>'CF DRIVERS'!AK23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'CF DRIVERS'!S24</f>
        <v/>
      </c>
      <c r="T24" s="11">
        <f>'CF DRIVERS'!T24</f>
        <v/>
      </c>
      <c r="U24" s="11">
        <f>'CF DRIVERS'!U24</f>
        <v/>
      </c>
      <c r="V24" s="11">
        <f>'CF DRIVERS'!V24</f>
        <v/>
      </c>
      <c r="W24" s="11">
        <f>'CF DRIVERS'!W24</f>
        <v/>
      </c>
      <c r="X24" s="11">
        <f>'CF DRIVERS'!X24</f>
        <v/>
      </c>
      <c r="Y24" s="11">
        <f>'CF DRIVERS'!Y24</f>
        <v/>
      </c>
      <c r="Z24" s="11">
        <f>'CF DRIVERS'!Z24</f>
        <v/>
      </c>
      <c r="AA24" s="11">
        <f>'CF DRIVERS'!AA24</f>
        <v/>
      </c>
      <c r="AB24" s="11">
        <f>'CF DRIVERS'!AB24</f>
        <v/>
      </c>
      <c r="AC24" s="11">
        <f>'CF DRIVERS'!AC24</f>
        <v/>
      </c>
      <c r="AD24" s="11">
        <f>'CF DRIVERS'!AD24</f>
        <v/>
      </c>
      <c r="AE24" s="11">
        <f>'CF DRIVERS'!AE24</f>
        <v/>
      </c>
      <c r="AF24" s="11">
        <f>'CF DRIVERS'!AF24</f>
        <v/>
      </c>
      <c r="AG24" s="11">
        <f>'CF DRIVERS'!AG24</f>
        <v/>
      </c>
      <c r="AH24" s="11">
        <f>'CF DRIVERS'!AH24</f>
        <v/>
      </c>
      <c r="AI24" s="11">
        <f>'CF DRIVERS'!AI24</f>
        <v/>
      </c>
      <c r="AJ24" s="11">
        <f>'CF DRIVERS'!AJ24</f>
        <v/>
      </c>
      <c r="AK24" s="11">
        <f>'CF DRIVERS'!AK24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DRIVERS'!S25</f>
        <v/>
      </c>
      <c r="T26" s="11">
        <f>'QTR P&amp;L'!T2*'CF DRIVERS'!T25</f>
        <v/>
      </c>
      <c r="U26" s="11">
        <f>'QTR P&amp;L'!U2*'CF DRIVERS'!U25</f>
        <v/>
      </c>
      <c r="V26" s="11">
        <f>'QTR P&amp;L'!V2*'CF DRIVERS'!V25</f>
        <v/>
      </c>
      <c r="W26" s="11">
        <f>'QTR P&amp;L'!W2*'CF DRIVERS'!W25</f>
        <v/>
      </c>
      <c r="X26" s="11">
        <f>'QTR P&amp;L'!X2*'CF DRIVERS'!X25</f>
        <v/>
      </c>
      <c r="Y26" s="11">
        <f>'QTR P&amp;L'!Y2*'CF DRIVERS'!Y25</f>
        <v/>
      </c>
      <c r="Z26" s="11">
        <f>'QTR P&amp;L'!Z2*'CF DRIVERS'!Z25</f>
        <v/>
      </c>
      <c r="AA26" s="11">
        <f>'QTR P&amp;L'!AA2*'CF DRIVERS'!AA25</f>
        <v/>
      </c>
      <c r="AB26" s="11">
        <f>'QTR P&amp;L'!AB2*'CF DRIVERS'!AB25</f>
        <v/>
      </c>
      <c r="AC26" s="11">
        <f>'QTR P&amp;L'!AC2*'CF DRIVERS'!AC25</f>
        <v/>
      </c>
      <c r="AD26" s="11">
        <f>'QTR P&amp;L'!AD2*'CF DRIVERS'!AD25</f>
        <v/>
      </c>
      <c r="AE26" s="11">
        <f>'QTR P&amp;L'!AE2*'CF DRIVERS'!AE25</f>
        <v/>
      </c>
      <c r="AF26" s="11">
        <f>'QTR P&amp;L'!AF2*'CF DRIVERS'!AF25</f>
        <v/>
      </c>
      <c r="AG26" s="11">
        <f>'QTR P&amp;L'!AG2*'CF DRIVERS'!AG25</f>
        <v/>
      </c>
      <c r="AH26" s="11">
        <f>'QTR P&amp;L'!AH2*'CF DRIVERS'!AH25</f>
        <v/>
      </c>
      <c r="AI26" s="11">
        <f>'QTR P&amp;L'!AI2*'CF DRIVERS'!AI25</f>
        <v/>
      </c>
      <c r="AJ26" s="11">
        <f>'QTR P&amp;L'!AJ2*'CF DRIVERS'!AJ25</f>
        <v/>
      </c>
      <c r="AK26" s="11">
        <f>'QTR P&amp;L'!AK2*'CF DRIVERS'!AK25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11">
        <f>'CF DRIVERS'!S26</f>
        <v/>
      </c>
      <c r="T27" s="11">
        <f>'CF DRIVERS'!T26</f>
        <v/>
      </c>
      <c r="U27" s="11">
        <f>'CF DRIVERS'!U26</f>
        <v/>
      </c>
      <c r="V27" s="11">
        <f>'CF DRIVERS'!V26</f>
        <v/>
      </c>
      <c r="W27" s="11">
        <f>'CF DRIVERS'!W26</f>
        <v/>
      </c>
      <c r="X27" s="11">
        <f>'CF DRIVERS'!X26</f>
        <v/>
      </c>
      <c r="Y27" s="11">
        <f>'CF DRIVERS'!Y26</f>
        <v/>
      </c>
      <c r="Z27" s="11">
        <f>'CF DRIVERS'!Z26</f>
        <v/>
      </c>
      <c r="AA27" s="11">
        <f>'CF DRIVERS'!AA26</f>
        <v/>
      </c>
      <c r="AB27" s="11">
        <f>'CF DRIVERS'!AB26</f>
        <v/>
      </c>
      <c r="AC27" s="11">
        <f>'CF DRIVERS'!AC26</f>
        <v/>
      </c>
      <c r="AD27" s="11">
        <f>'CF DRIVERS'!AD26</f>
        <v/>
      </c>
      <c r="AE27" s="11">
        <f>'CF DRIVERS'!AE26</f>
        <v/>
      </c>
      <c r="AF27" s="11">
        <f>'CF DRIVERS'!AF26</f>
        <v/>
      </c>
      <c r="AG27" s="11">
        <f>'CF DRIVERS'!AG26</f>
        <v/>
      </c>
      <c r="AH27" s="11">
        <f>'CF DRIVERS'!AH26</f>
        <v/>
      </c>
      <c r="AI27" s="11">
        <f>'CF DRIVERS'!AI26</f>
        <v/>
      </c>
      <c r="AJ27" s="11">
        <f>'CF DRIVERS'!AJ26</f>
        <v/>
      </c>
      <c r="AK27" s="11">
        <f>'CF DRIVERS'!AK26</f>
        <v/>
      </c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11">
        <f>'CF DRIVERS'!S27</f>
        <v/>
      </c>
      <c r="T28" s="11">
        <f>'CF DRIVERS'!T27</f>
        <v/>
      </c>
      <c r="U28" s="11">
        <f>'CF DRIVERS'!U27</f>
        <v/>
      </c>
      <c r="V28" s="11">
        <f>'CF DRIVERS'!V27</f>
        <v/>
      </c>
      <c r="W28" s="11">
        <f>'CF DRIVERS'!W27</f>
        <v/>
      </c>
      <c r="X28" s="11">
        <f>'CF DRIVERS'!X27</f>
        <v/>
      </c>
      <c r="Y28" s="11">
        <f>'CF DRIVERS'!Y27</f>
        <v/>
      </c>
      <c r="Z28" s="11">
        <f>'CF DRIVERS'!Z27</f>
        <v/>
      </c>
      <c r="AA28" s="11">
        <f>'CF DRIVERS'!AA27</f>
        <v/>
      </c>
      <c r="AB28" s="11">
        <f>'CF DRIVERS'!AB27</f>
        <v/>
      </c>
      <c r="AC28" s="11">
        <f>'CF DRIVERS'!AC27</f>
        <v/>
      </c>
      <c r="AD28" s="11">
        <f>'CF DRIVERS'!AD27</f>
        <v/>
      </c>
      <c r="AE28" s="11">
        <f>'CF DRIVERS'!AE27</f>
        <v/>
      </c>
      <c r="AF28" s="11">
        <f>'CF DRIVERS'!AF27</f>
        <v/>
      </c>
      <c r="AG28" s="11">
        <f>'CF DRIVERS'!AG27</f>
        <v/>
      </c>
      <c r="AH28" s="11">
        <f>'CF DRIVERS'!AH27</f>
        <v/>
      </c>
      <c r="AI28" s="11">
        <f>'CF DRIVERS'!AI27</f>
        <v/>
      </c>
      <c r="AJ28" s="11">
        <f>'CF DRIVERS'!AJ27</f>
        <v/>
      </c>
      <c r="AK28" s="11">
        <f>'CF DRIVERS'!AK27</f>
        <v/>
      </c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'CF DRIVERS'!S28</f>
        <v/>
      </c>
      <c r="T29" s="11">
        <f>'CF DRIVERS'!T28</f>
        <v/>
      </c>
      <c r="U29" s="11">
        <f>'CF DRIVERS'!U28</f>
        <v/>
      </c>
      <c r="V29" s="11">
        <f>'CF DRIVERS'!V28</f>
        <v/>
      </c>
      <c r="W29" s="11">
        <f>'CF DRIVERS'!W28</f>
        <v/>
      </c>
      <c r="X29" s="11">
        <f>'CF DRIVERS'!X28</f>
        <v/>
      </c>
      <c r="Y29" s="11">
        <f>'CF DRIVERS'!Y28</f>
        <v/>
      </c>
      <c r="Z29" s="11">
        <f>'CF DRIVERS'!Z28</f>
        <v/>
      </c>
      <c r="AA29" s="11">
        <f>'CF DRIVERS'!AA28</f>
        <v/>
      </c>
      <c r="AB29" s="11">
        <f>'CF DRIVERS'!AB28</f>
        <v/>
      </c>
      <c r="AC29" s="11">
        <f>'CF DRIVERS'!AC28</f>
        <v/>
      </c>
      <c r="AD29" s="11">
        <f>'CF DRIVERS'!AD28</f>
        <v/>
      </c>
      <c r="AE29" s="11">
        <f>'CF DRIVERS'!AE28</f>
        <v/>
      </c>
      <c r="AF29" s="11">
        <f>'CF DRIVERS'!AF28</f>
        <v/>
      </c>
      <c r="AG29" s="11">
        <f>'CF DRIVERS'!AG28</f>
        <v/>
      </c>
      <c r="AH29" s="11">
        <f>'CF DRIVERS'!AH28</f>
        <v/>
      </c>
      <c r="AI29" s="11">
        <f>'CF DRIVERS'!AI28</f>
        <v/>
      </c>
      <c r="AJ29" s="11">
        <f>'CF DRIVERS'!AJ28</f>
        <v/>
      </c>
      <c r="AK29" s="11">
        <f>'CF DRIVERS'!AK28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11">
        <f>'CF DRIVERS'!S29</f>
        <v/>
      </c>
      <c r="T30" s="11">
        <f>'CF DRIVERS'!T29</f>
        <v/>
      </c>
      <c r="U30" s="11">
        <f>'CF DRIVERS'!U29</f>
        <v/>
      </c>
      <c r="V30" s="11">
        <f>'CF DRIVERS'!V29</f>
        <v/>
      </c>
      <c r="W30" s="11">
        <f>'CF DRIVERS'!W29</f>
        <v/>
      </c>
      <c r="X30" s="11">
        <f>'CF DRIVERS'!X29</f>
        <v/>
      </c>
      <c r="Y30" s="11">
        <f>'CF DRIVERS'!Y29</f>
        <v/>
      </c>
      <c r="Z30" s="11">
        <f>'CF DRIVERS'!Z29</f>
        <v/>
      </c>
      <c r="AA30" s="11">
        <f>'CF DRIVERS'!AA29</f>
        <v/>
      </c>
      <c r="AB30" s="11">
        <f>'CF DRIVERS'!AB29</f>
        <v/>
      </c>
      <c r="AC30" s="11">
        <f>'CF DRIVERS'!AC29</f>
        <v/>
      </c>
      <c r="AD30" s="11">
        <f>'CF DRIVERS'!AD29</f>
        <v/>
      </c>
      <c r="AE30" s="11">
        <f>'CF DRIVERS'!AE29</f>
        <v/>
      </c>
      <c r="AF30" s="11">
        <f>'CF DRIVERS'!AF29</f>
        <v/>
      </c>
      <c r="AG30" s="11">
        <f>'CF DRIVERS'!AG29</f>
        <v/>
      </c>
      <c r="AH30" s="11">
        <f>'CF DRIVERS'!AH29</f>
        <v/>
      </c>
      <c r="AI30" s="11">
        <f>'CF DRIVERS'!AI29</f>
        <v/>
      </c>
      <c r="AJ30" s="11">
        <f>'CF DRIVERS'!AJ29</f>
        <v/>
      </c>
      <c r="AK30" s="11">
        <f>'CF DRIVERS'!AK29</f>
        <v/>
      </c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'CF DRIVERS'!S30</f>
        <v/>
      </c>
      <c r="T31" s="11">
        <f>'CF DRIVERS'!T30</f>
        <v/>
      </c>
      <c r="U31" s="11">
        <f>'CF DRIVERS'!U30</f>
        <v/>
      </c>
      <c r="V31" s="11">
        <f>'CF DRIVERS'!V30</f>
        <v/>
      </c>
      <c r="W31" s="11">
        <f>'CF DRIVERS'!W30</f>
        <v/>
      </c>
      <c r="X31" s="11">
        <f>'CF DRIVERS'!X30</f>
        <v/>
      </c>
      <c r="Y31" s="11">
        <f>'CF DRIVERS'!Y30</f>
        <v/>
      </c>
      <c r="Z31" s="11">
        <f>'CF DRIVERS'!Z30</f>
        <v/>
      </c>
      <c r="AA31" s="11">
        <f>'CF DRIVERS'!AA30</f>
        <v/>
      </c>
      <c r="AB31" s="11">
        <f>'CF DRIVERS'!AB30</f>
        <v/>
      </c>
      <c r="AC31" s="11">
        <f>'CF DRIVERS'!AC30</f>
        <v/>
      </c>
      <c r="AD31" s="11">
        <f>'CF DRIVERS'!AD30</f>
        <v/>
      </c>
      <c r="AE31" s="11">
        <f>'CF DRIVERS'!AE30</f>
        <v/>
      </c>
      <c r="AF31" s="11">
        <f>'CF DRIVERS'!AF30</f>
        <v/>
      </c>
      <c r="AG31" s="11">
        <f>'CF DRIVERS'!AG30</f>
        <v/>
      </c>
      <c r="AH31" s="11">
        <f>'CF DRIVERS'!AH30</f>
        <v/>
      </c>
      <c r="AI31" s="11">
        <f>'CF DRIVERS'!AI30</f>
        <v/>
      </c>
      <c r="AJ31" s="11">
        <f>'CF DRIVERS'!AJ30</f>
        <v/>
      </c>
      <c r="AK31" s="11">
        <f>'CF DRIVERS'!AK30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'CF DRIVERS'!S31</f>
        <v/>
      </c>
      <c r="T32" s="11">
        <f>'CF DRIVERS'!T31</f>
        <v/>
      </c>
      <c r="U32" s="11">
        <f>'CF DRIVERS'!U31</f>
        <v/>
      </c>
      <c r="V32" s="11">
        <f>'CF DRIVERS'!V31</f>
        <v/>
      </c>
      <c r="W32" s="11">
        <f>'CF DRIVERS'!W31</f>
        <v/>
      </c>
      <c r="X32" s="11">
        <f>'CF DRIVERS'!X31</f>
        <v/>
      </c>
      <c r="Y32" s="11">
        <f>'CF DRIVERS'!Y31</f>
        <v/>
      </c>
      <c r="Z32" s="11">
        <f>'CF DRIVERS'!Z31</f>
        <v/>
      </c>
      <c r="AA32" s="11">
        <f>'CF DRIVERS'!AA31</f>
        <v/>
      </c>
      <c r="AB32" s="11">
        <f>'CF DRIVERS'!AB31</f>
        <v/>
      </c>
      <c r="AC32" s="11">
        <f>'CF DRIVERS'!AC31</f>
        <v/>
      </c>
      <c r="AD32" s="11">
        <f>'CF DRIVERS'!AD31</f>
        <v/>
      </c>
      <c r="AE32" s="11">
        <f>'CF DRIVERS'!AE31</f>
        <v/>
      </c>
      <c r="AF32" s="11">
        <f>'CF DRIVERS'!AF31</f>
        <v/>
      </c>
      <c r="AG32" s="11">
        <f>'CF DRIVERS'!AG31</f>
        <v/>
      </c>
      <c r="AH32" s="11">
        <f>'CF DRIVERS'!AH31</f>
        <v/>
      </c>
      <c r="AI32" s="11">
        <f>'CF DRIVERS'!AI31</f>
        <v/>
      </c>
      <c r="AJ32" s="11">
        <f>'CF DRIVERS'!AJ31</f>
        <v/>
      </c>
      <c r="AK32" s="11">
        <f>'CF DRIVERS'!AK31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11">
        <f>'CF DRIVERS'!S32</f>
        <v/>
      </c>
      <c r="T34" s="11">
        <f>'CF DRIVERS'!T32</f>
        <v/>
      </c>
      <c r="U34" s="11">
        <f>'CF DRIVERS'!U32</f>
        <v/>
      </c>
      <c r="V34" s="11">
        <f>'CF DRIVERS'!V32</f>
        <v/>
      </c>
      <c r="W34" s="11">
        <f>'CF DRIVERS'!W32</f>
        <v/>
      </c>
      <c r="X34" s="11">
        <f>'CF DRIVERS'!X32</f>
        <v/>
      </c>
      <c r="Y34" s="11">
        <f>'CF DRIVERS'!Y32</f>
        <v/>
      </c>
      <c r="Z34" s="11">
        <f>'CF DRIVERS'!Z32</f>
        <v/>
      </c>
      <c r="AA34" s="11">
        <f>'CF DRIVERS'!AA32</f>
        <v/>
      </c>
      <c r="AB34" s="11">
        <f>'CF DRIVERS'!AB32</f>
        <v/>
      </c>
      <c r="AC34" s="11">
        <f>'CF DRIVERS'!AC32</f>
        <v/>
      </c>
      <c r="AD34" s="11">
        <f>'CF DRIVERS'!AD32</f>
        <v/>
      </c>
      <c r="AE34" s="11">
        <f>'CF DRIVERS'!AE32</f>
        <v/>
      </c>
      <c r="AF34" s="11">
        <f>'CF DRIVERS'!AF32</f>
        <v/>
      </c>
      <c r="AG34" s="11">
        <f>'CF DRIVERS'!AG32</f>
        <v/>
      </c>
      <c r="AH34" s="11">
        <f>'CF DRIVERS'!AH32</f>
        <v/>
      </c>
      <c r="AI34" s="11">
        <f>'CF DRIVERS'!AI32</f>
        <v/>
      </c>
      <c r="AJ34" s="11">
        <f>'CF DRIVERS'!AJ32</f>
        <v/>
      </c>
      <c r="AK34" s="11">
        <f>'CF DRIVERS'!AK32</f>
        <v/>
      </c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11">
        <f>'CF DRIVERS'!S33</f>
        <v/>
      </c>
      <c r="T35" s="11">
        <f>'CF DRIVERS'!T33</f>
        <v/>
      </c>
      <c r="U35" s="11">
        <f>'CF DRIVERS'!U33</f>
        <v/>
      </c>
      <c r="V35" s="11">
        <f>'CF DRIVERS'!V33</f>
        <v/>
      </c>
      <c r="W35" s="11">
        <f>'CF DRIVERS'!W33</f>
        <v/>
      </c>
      <c r="X35" s="11">
        <f>'CF DRIVERS'!X33</f>
        <v/>
      </c>
      <c r="Y35" s="11">
        <f>'CF DRIVERS'!Y33</f>
        <v/>
      </c>
      <c r="Z35" s="11">
        <f>'CF DRIVERS'!Z33</f>
        <v/>
      </c>
      <c r="AA35" s="11">
        <f>'CF DRIVERS'!AA33</f>
        <v/>
      </c>
      <c r="AB35" s="11">
        <f>'CF DRIVERS'!AB33</f>
        <v/>
      </c>
      <c r="AC35" s="11">
        <f>'CF DRIVERS'!AC33</f>
        <v/>
      </c>
      <c r="AD35" s="11">
        <f>'CF DRIVERS'!AD33</f>
        <v/>
      </c>
      <c r="AE35" s="11">
        <f>'CF DRIVERS'!AE33</f>
        <v/>
      </c>
      <c r="AF35" s="11">
        <f>'CF DRIVERS'!AF33</f>
        <v/>
      </c>
      <c r="AG35" s="11">
        <f>'CF DRIVERS'!AG33</f>
        <v/>
      </c>
      <c r="AH35" s="11">
        <f>'CF DRIVERS'!AH33</f>
        <v/>
      </c>
      <c r="AI35" s="11">
        <f>'CF DRIVERS'!AI33</f>
        <v/>
      </c>
      <c r="AJ35" s="11">
        <f>'CF DRIVERS'!AJ33</f>
        <v/>
      </c>
      <c r="AK35" s="11">
        <f>'CF DRIVERS'!AK33</f>
        <v/>
      </c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11">
        <f>'CF DRIVERS'!S34</f>
        <v/>
      </c>
      <c r="T36" s="11">
        <f>'CF DRIVERS'!T34</f>
        <v/>
      </c>
      <c r="U36" s="11">
        <f>'CF DRIVERS'!U34</f>
        <v/>
      </c>
      <c r="V36" s="11">
        <f>'CF DRIVERS'!V34</f>
        <v/>
      </c>
      <c r="W36" s="11">
        <f>'CF DRIVERS'!W34</f>
        <v/>
      </c>
      <c r="X36" s="11">
        <f>'CF DRIVERS'!X34</f>
        <v/>
      </c>
      <c r="Y36" s="11">
        <f>'CF DRIVERS'!Y34</f>
        <v/>
      </c>
      <c r="Z36" s="11">
        <f>'CF DRIVERS'!Z34</f>
        <v/>
      </c>
      <c r="AA36" s="11">
        <f>'CF DRIVERS'!AA34</f>
        <v/>
      </c>
      <c r="AB36" s="11">
        <f>'CF DRIVERS'!AB34</f>
        <v/>
      </c>
      <c r="AC36" s="11">
        <f>'CF DRIVERS'!AC34</f>
        <v/>
      </c>
      <c r="AD36" s="11">
        <f>'CF DRIVERS'!AD34</f>
        <v/>
      </c>
      <c r="AE36" s="11">
        <f>'CF DRIVERS'!AE34</f>
        <v/>
      </c>
      <c r="AF36" s="11">
        <f>'CF DRIVERS'!AF34</f>
        <v/>
      </c>
      <c r="AG36" s="11">
        <f>'CF DRIVERS'!AG34</f>
        <v/>
      </c>
      <c r="AH36" s="11">
        <f>'CF DRIVERS'!AH34</f>
        <v/>
      </c>
      <c r="AI36" s="11">
        <f>'CF DRIVERS'!AI34</f>
        <v/>
      </c>
      <c r="AJ36" s="11">
        <f>'CF DRIVERS'!AJ34</f>
        <v/>
      </c>
      <c r="AK36" s="11">
        <f>'CF DRIVERS'!AK34</f>
        <v/>
      </c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11">
        <f>'CF DRIVERS'!S35</f>
        <v/>
      </c>
      <c r="T37" s="11">
        <f>'CF DRIVERS'!T35</f>
        <v/>
      </c>
      <c r="U37" s="11">
        <f>'CF DRIVERS'!U35</f>
        <v/>
      </c>
      <c r="V37" s="11">
        <f>'CF DRIVERS'!V35</f>
        <v/>
      </c>
      <c r="W37" s="11">
        <f>'CF DRIVERS'!W35</f>
        <v/>
      </c>
      <c r="X37" s="11">
        <f>'CF DRIVERS'!X35</f>
        <v/>
      </c>
      <c r="Y37" s="11">
        <f>'CF DRIVERS'!Y35</f>
        <v/>
      </c>
      <c r="Z37" s="11">
        <f>'CF DRIVERS'!Z35</f>
        <v/>
      </c>
      <c r="AA37" s="11">
        <f>'CF DRIVERS'!AA35</f>
        <v/>
      </c>
      <c r="AB37" s="11">
        <f>'CF DRIVERS'!AB35</f>
        <v/>
      </c>
      <c r="AC37" s="11">
        <f>'CF DRIVERS'!AC35</f>
        <v/>
      </c>
      <c r="AD37" s="11">
        <f>'CF DRIVERS'!AD35</f>
        <v/>
      </c>
      <c r="AE37" s="11">
        <f>'CF DRIVERS'!AE35</f>
        <v/>
      </c>
      <c r="AF37" s="11">
        <f>'CF DRIVERS'!AF35</f>
        <v/>
      </c>
      <c r="AG37" s="11">
        <f>'CF DRIVERS'!AG35</f>
        <v/>
      </c>
      <c r="AH37" s="11">
        <f>'CF DRIVERS'!AH35</f>
        <v/>
      </c>
      <c r="AI37" s="11">
        <f>'CF DRIVERS'!AI35</f>
        <v/>
      </c>
      <c r="AJ37" s="11">
        <f>'CF DRIVERS'!AJ35</f>
        <v/>
      </c>
      <c r="AK37" s="11">
        <f>'CF DRIVERS'!AK35</f>
        <v/>
      </c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11">
        <f>'CF DRIVERS'!S36</f>
        <v/>
      </c>
      <c r="T38" s="11">
        <f>'CF DRIVERS'!T36</f>
        <v/>
      </c>
      <c r="U38" s="11">
        <f>'CF DRIVERS'!U36</f>
        <v/>
      </c>
      <c r="V38" s="11">
        <f>'CF DRIVERS'!V36</f>
        <v/>
      </c>
      <c r="W38" s="11">
        <f>'CF DRIVERS'!W36</f>
        <v/>
      </c>
      <c r="X38" s="11">
        <f>'CF DRIVERS'!X36</f>
        <v/>
      </c>
      <c r="Y38" s="11">
        <f>'CF DRIVERS'!Y36</f>
        <v/>
      </c>
      <c r="Z38" s="11">
        <f>'CF DRIVERS'!Z36</f>
        <v/>
      </c>
      <c r="AA38" s="11">
        <f>'CF DRIVERS'!AA36</f>
        <v/>
      </c>
      <c r="AB38" s="11">
        <f>'CF DRIVERS'!AB36</f>
        <v/>
      </c>
      <c r="AC38" s="11">
        <f>'CF DRIVERS'!AC36</f>
        <v/>
      </c>
      <c r="AD38" s="11">
        <f>'CF DRIVERS'!AD36</f>
        <v/>
      </c>
      <c r="AE38" s="11">
        <f>'CF DRIVERS'!AE36</f>
        <v/>
      </c>
      <c r="AF38" s="11">
        <f>'CF DRIVERS'!AF36</f>
        <v/>
      </c>
      <c r="AG38" s="11">
        <f>'CF DRIVERS'!AG36</f>
        <v/>
      </c>
      <c r="AH38" s="11">
        <f>'CF DRIVERS'!AH36</f>
        <v/>
      </c>
      <c r="AI38" s="11">
        <f>'CF DRIVERS'!AI36</f>
        <v/>
      </c>
      <c r="AJ38" s="11">
        <f>'CF DRIVERS'!AJ36</f>
        <v/>
      </c>
      <c r="AK38" s="11">
        <f>'CF DRIVERS'!AK36</f>
        <v/>
      </c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'QTR P&amp;L'!S13*'CF DRIVERS'!S37</f>
        <v/>
      </c>
      <c r="T39" s="11">
        <f>'QTR P&amp;L'!T13*'CF DRIVERS'!T37</f>
        <v/>
      </c>
      <c r="U39" s="11">
        <f>'QTR P&amp;L'!U13*'CF DRIVERS'!U37</f>
        <v/>
      </c>
      <c r="V39" s="11">
        <f>'QTR P&amp;L'!V13*'CF DRIVERS'!V37</f>
        <v/>
      </c>
      <c r="W39" s="11">
        <f>'QTR P&amp;L'!W13*'CF DRIVERS'!W37</f>
        <v/>
      </c>
      <c r="X39" s="11">
        <f>'QTR P&amp;L'!X13*'CF DRIVERS'!X37</f>
        <v/>
      </c>
      <c r="Y39" s="11">
        <f>'QTR P&amp;L'!Y13*'CF DRIVERS'!Y37</f>
        <v/>
      </c>
      <c r="Z39" s="11">
        <f>'QTR P&amp;L'!Z13*'CF DRIVERS'!Z37</f>
        <v/>
      </c>
      <c r="AA39" s="11">
        <f>'QTR P&amp;L'!AA13*'CF DRIVERS'!AA37</f>
        <v/>
      </c>
      <c r="AB39" s="11">
        <f>'QTR P&amp;L'!AB13*'CF DRIVERS'!AB37</f>
        <v/>
      </c>
      <c r="AC39" s="11">
        <f>'QTR P&amp;L'!AC13*'CF DRIVERS'!AC37</f>
        <v/>
      </c>
      <c r="AD39" s="11">
        <f>'QTR P&amp;L'!AD13*'CF DRIVERS'!AD37</f>
        <v/>
      </c>
      <c r="AE39" s="11">
        <f>'QTR P&amp;L'!AE13*'CF DRIVERS'!AE37</f>
        <v/>
      </c>
      <c r="AF39" s="11">
        <f>'QTR P&amp;L'!AF13*'CF DRIVERS'!AF37</f>
        <v/>
      </c>
      <c r="AG39" s="11">
        <f>'QTR P&amp;L'!AG13*'CF DRIVERS'!AG37</f>
        <v/>
      </c>
      <c r="AH39" s="11">
        <f>'QTR P&amp;L'!AH13*'CF DRIVERS'!AH37</f>
        <v/>
      </c>
      <c r="AI39" s="11">
        <f>'QTR P&amp;L'!AI13*'CF DRIVERS'!AI37</f>
        <v/>
      </c>
      <c r="AJ39" s="11">
        <f>'QTR P&amp;L'!AJ13*'CF DRIVERS'!AJ37</f>
        <v/>
      </c>
      <c r="AK39" s="11">
        <f>'QTR P&amp;L'!AK13*'CF DRIVERS'!AK37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11">
        <f>'CF DRIVERS'!S38</f>
        <v/>
      </c>
      <c r="T40" s="11">
        <f>'CF DRIVERS'!T38</f>
        <v/>
      </c>
      <c r="U40" s="11">
        <f>'CF DRIVERS'!U38</f>
        <v/>
      </c>
      <c r="V40" s="11">
        <f>'CF DRIVERS'!V38</f>
        <v/>
      </c>
      <c r="W40" s="11">
        <f>'CF DRIVERS'!W38</f>
        <v/>
      </c>
      <c r="X40" s="11">
        <f>'CF DRIVERS'!X38</f>
        <v/>
      </c>
      <c r="Y40" s="11">
        <f>'CF DRIVERS'!Y38</f>
        <v/>
      </c>
      <c r="Z40" s="11">
        <f>'CF DRIVERS'!Z38</f>
        <v/>
      </c>
      <c r="AA40" s="11">
        <f>'CF DRIVERS'!AA38</f>
        <v/>
      </c>
      <c r="AB40" s="11">
        <f>'CF DRIVERS'!AB38</f>
        <v/>
      </c>
      <c r="AC40" s="11">
        <f>'CF DRIVERS'!AC38</f>
        <v/>
      </c>
      <c r="AD40" s="11">
        <f>'CF DRIVERS'!AD38</f>
        <v/>
      </c>
      <c r="AE40" s="11">
        <f>'CF DRIVERS'!AE38</f>
        <v/>
      </c>
      <c r="AF40" s="11">
        <f>'CF DRIVERS'!AF38</f>
        <v/>
      </c>
      <c r="AG40" s="11">
        <f>'CF DRIVERS'!AG38</f>
        <v/>
      </c>
      <c r="AH40" s="11">
        <f>'CF DRIVERS'!AH38</f>
        <v/>
      </c>
      <c r="AI40" s="11">
        <f>'CF DRIVERS'!AI38</f>
        <v/>
      </c>
      <c r="AJ40" s="11">
        <f>'CF DRIVERS'!AJ38</f>
        <v/>
      </c>
      <c r="AK40" s="11">
        <f>'CF DRIVERS'!AK38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11">
        <f>'CF DRIVERS'!S39</f>
        <v/>
      </c>
      <c r="T41" s="11">
        <f>'CF DRIVERS'!T39</f>
        <v/>
      </c>
      <c r="U41" s="11">
        <f>'CF DRIVERS'!U39</f>
        <v/>
      </c>
      <c r="V41" s="11">
        <f>'CF DRIVERS'!V39</f>
        <v/>
      </c>
      <c r="W41" s="11">
        <f>'CF DRIVERS'!W39</f>
        <v/>
      </c>
      <c r="X41" s="11">
        <f>'CF DRIVERS'!X39</f>
        <v/>
      </c>
      <c r="Y41" s="11">
        <f>'CF DRIVERS'!Y39</f>
        <v/>
      </c>
      <c r="Z41" s="11">
        <f>'CF DRIVERS'!Z39</f>
        <v/>
      </c>
      <c r="AA41" s="11">
        <f>'CF DRIVERS'!AA39</f>
        <v/>
      </c>
      <c r="AB41" s="11">
        <f>'CF DRIVERS'!AB39</f>
        <v/>
      </c>
      <c r="AC41" s="11">
        <f>'CF DRIVERS'!AC39</f>
        <v/>
      </c>
      <c r="AD41" s="11">
        <f>'CF DRIVERS'!AD39</f>
        <v/>
      </c>
      <c r="AE41" s="11">
        <f>'CF DRIVERS'!AE39</f>
        <v/>
      </c>
      <c r="AF41" s="11">
        <f>'CF DRIVERS'!AF39</f>
        <v/>
      </c>
      <c r="AG41" s="11">
        <f>'CF DRIVERS'!AG39</f>
        <v/>
      </c>
      <c r="AH41" s="11">
        <f>'CF DRIVERS'!AH39</f>
        <v/>
      </c>
      <c r="AI41" s="11">
        <f>'CF DRIVERS'!AI39</f>
        <v/>
      </c>
      <c r="AJ41" s="11">
        <f>'CF DRIVERS'!AJ39</f>
        <v/>
      </c>
      <c r="AK41" s="11">
        <f>'CF DRIVERS'!AK39</f>
        <v/>
      </c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'CF DRIVERS'!S40</f>
        <v/>
      </c>
      <c r="T42" s="11">
        <f>'CF DRIVERS'!T40</f>
        <v/>
      </c>
      <c r="U42" s="11">
        <f>'CF DRIVERS'!U40</f>
        <v/>
      </c>
      <c r="V42" s="11">
        <f>'CF DRIVERS'!V40</f>
        <v/>
      </c>
      <c r="W42" s="11">
        <f>'CF DRIVERS'!W40</f>
        <v/>
      </c>
      <c r="X42" s="11">
        <f>'CF DRIVERS'!X40</f>
        <v/>
      </c>
      <c r="Y42" s="11">
        <f>'CF DRIVERS'!Y40</f>
        <v/>
      </c>
      <c r="Z42" s="11">
        <f>'CF DRIVERS'!Z40</f>
        <v/>
      </c>
      <c r="AA42" s="11">
        <f>'CF DRIVERS'!AA40</f>
        <v/>
      </c>
      <c r="AB42" s="11">
        <f>'CF DRIVERS'!AB40</f>
        <v/>
      </c>
      <c r="AC42" s="11">
        <f>'CF DRIVERS'!AC40</f>
        <v/>
      </c>
      <c r="AD42" s="11">
        <f>'CF DRIVERS'!AD40</f>
        <v/>
      </c>
      <c r="AE42" s="11">
        <f>'CF DRIVERS'!AE40</f>
        <v/>
      </c>
      <c r="AF42" s="11">
        <f>'CF DRIVERS'!AF40</f>
        <v/>
      </c>
      <c r="AG42" s="11">
        <f>'CF DRIVERS'!AG40</f>
        <v/>
      </c>
      <c r="AH42" s="11">
        <f>'CF DRIVERS'!AH40</f>
        <v/>
      </c>
      <c r="AI42" s="11">
        <f>'CF DRIVERS'!AI40</f>
        <v/>
      </c>
      <c r="AJ42" s="11">
        <f>'CF DRIVERS'!AJ40</f>
        <v/>
      </c>
      <c r="AK42" s="11">
        <f>'CF DRIVERS'!AK40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'CF DRIVERS'!S41</f>
        <v/>
      </c>
      <c r="T43" s="11">
        <f>'CF DRIVERS'!T41</f>
        <v/>
      </c>
      <c r="U43" s="11">
        <f>'CF DRIVERS'!U41</f>
        <v/>
      </c>
      <c r="V43" s="11">
        <f>'CF DRIVERS'!V41</f>
        <v/>
      </c>
      <c r="W43" s="11">
        <f>'CF DRIVERS'!W41</f>
        <v/>
      </c>
      <c r="X43" s="11">
        <f>'CF DRIVERS'!X41</f>
        <v/>
      </c>
      <c r="Y43" s="11">
        <f>'CF DRIVERS'!Y41</f>
        <v/>
      </c>
      <c r="Z43" s="11">
        <f>'CF DRIVERS'!Z41</f>
        <v/>
      </c>
      <c r="AA43" s="11">
        <f>'CF DRIVERS'!AA41</f>
        <v/>
      </c>
      <c r="AB43" s="11">
        <f>'CF DRIVERS'!AB41</f>
        <v/>
      </c>
      <c r="AC43" s="11">
        <f>'CF DRIVERS'!AC41</f>
        <v/>
      </c>
      <c r="AD43" s="11">
        <f>'CF DRIVERS'!AD41</f>
        <v/>
      </c>
      <c r="AE43" s="11">
        <f>'CF DRIVERS'!AE41</f>
        <v/>
      </c>
      <c r="AF43" s="11">
        <f>'CF DRIVERS'!AF41</f>
        <v/>
      </c>
      <c r="AG43" s="11">
        <f>'CF DRIVERS'!AG41</f>
        <v/>
      </c>
      <c r="AH43" s="11">
        <f>'CF DRIVERS'!AH41</f>
        <v/>
      </c>
      <c r="AI43" s="11">
        <f>'CF DRIVERS'!AI41</f>
        <v/>
      </c>
      <c r="AJ43" s="11">
        <f>'CF DRIVERS'!AJ41</f>
        <v/>
      </c>
      <c r="AK43" s="11">
        <f>'CF DRIVERS'!AK41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'CF DRIVERS'!S42</f>
        <v/>
      </c>
      <c r="T45" s="11">
        <f>'CF DRIVERS'!T42</f>
        <v/>
      </c>
      <c r="U45" s="11">
        <f>'CF DRIVERS'!U42</f>
        <v/>
      </c>
      <c r="V45" s="11">
        <f>'CF DRIVERS'!V42</f>
        <v/>
      </c>
      <c r="W45" s="11">
        <f>'CF DRIVERS'!W42</f>
        <v/>
      </c>
      <c r="X45" s="11">
        <f>'CF DRIVERS'!X42</f>
        <v/>
      </c>
      <c r="Y45" s="11">
        <f>'CF DRIVERS'!Y42</f>
        <v/>
      </c>
      <c r="Z45" s="11">
        <f>'CF DRIVERS'!Z42</f>
        <v/>
      </c>
      <c r="AA45" s="11">
        <f>'CF DRIVERS'!AA42</f>
        <v/>
      </c>
      <c r="AB45" s="11">
        <f>'CF DRIVERS'!AB42</f>
        <v/>
      </c>
      <c r="AC45" s="11">
        <f>'CF DRIVERS'!AC42</f>
        <v/>
      </c>
      <c r="AD45" s="11">
        <f>'CF DRIVERS'!AD42</f>
        <v/>
      </c>
      <c r="AE45" s="11">
        <f>'CF DRIVERS'!AE42</f>
        <v/>
      </c>
      <c r="AF45" s="11">
        <f>'CF DRIVERS'!AF42</f>
        <v/>
      </c>
      <c r="AG45" s="11">
        <f>'CF DRIVERS'!AG42</f>
        <v/>
      </c>
      <c r="AH45" s="11">
        <f>'CF DRIVERS'!AH42</f>
        <v/>
      </c>
      <c r="AI45" s="11">
        <f>'CF DRIVERS'!AI42</f>
        <v/>
      </c>
      <c r="AJ45" s="11">
        <f>'CF DRIVERS'!AJ42</f>
        <v/>
      </c>
      <c r="AK45" s="11">
        <f>'CF DRIVERS'!AK42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Gain on Juice Transaction</t>
        </is>
      </c>
      <c r="B5" s="4">
        <f>'QTR P&amp;L'!B6</f>
        <v/>
      </c>
      <c r="C5" s="4">
        <f>'QTR P&amp;L'!C6</f>
        <v/>
      </c>
      <c r="D5" s="4">
        <f>'QTR P&amp;L'!D6</f>
        <v/>
      </c>
      <c r="E5" s="4">
        <f>'QTR P&amp;L'!E6</f>
        <v/>
      </c>
      <c r="F5" s="4">
        <f>'QTR P&amp;L'!F6</f>
        <v/>
      </c>
      <c r="G5" s="4">
        <f>'QTR P&amp;L'!G6</f>
        <v/>
      </c>
      <c r="H5" s="4">
        <f>'QTR P&amp;L'!H6</f>
        <v/>
      </c>
      <c r="I5" s="4">
        <f>'QTR P&amp;L'!I6</f>
        <v/>
      </c>
      <c r="J5" s="4">
        <f>'QTR P&amp;L'!J6</f>
        <v/>
      </c>
      <c r="K5" s="4">
        <f>'QTR P&amp;L'!K6</f>
        <v/>
      </c>
      <c r="L5" s="4">
        <f>'QTR P&amp;L'!L6</f>
        <v/>
      </c>
      <c r="M5" s="4">
        <f>'QTR P&amp;L'!M6</f>
        <v/>
      </c>
      <c r="N5" s="4">
        <f>'QTR P&amp;L'!N6</f>
        <v/>
      </c>
      <c r="O5" s="4">
        <f>'QTR P&amp;L'!O6</f>
        <v/>
      </c>
      <c r="P5" s="4">
        <f>'QTR P&amp;L'!P6</f>
        <v/>
      </c>
      <c r="Q5" s="4">
        <f>'QTR P&amp;L'!Q6</f>
        <v/>
      </c>
      <c r="R5" s="4">
        <f>'QTR P&amp;L'!R6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Impairment of Intangibles — % of Revenue</t>
        </is>
      </c>
      <c r="B6" s="13">
        <f>IFERROR('QTR P&amp;L'!B7/'QTR P&amp;L'!B2,"")</f>
        <v/>
      </c>
      <c r="C6" s="13">
        <f>IFERROR('QTR P&amp;L'!C7/'QTR P&amp;L'!C2,"")</f>
        <v/>
      </c>
      <c r="D6" s="13">
        <f>IFERROR('QTR P&amp;L'!D7/'QTR P&amp;L'!D2,"")</f>
        <v/>
      </c>
      <c r="E6" s="13">
        <f>IFERROR('QTR P&amp;L'!E7/'QTR P&amp;L'!E2,"")</f>
        <v/>
      </c>
      <c r="F6" s="13">
        <f>IFERROR('QTR P&amp;L'!F7/'QTR P&amp;L'!F2,"")</f>
        <v/>
      </c>
      <c r="G6" s="13">
        <f>IFERROR('QTR P&amp;L'!G7/'QTR P&amp;L'!G2,"")</f>
        <v/>
      </c>
      <c r="H6" s="13">
        <f>IFERROR('QTR P&amp;L'!H7/'QTR P&amp;L'!H2,"")</f>
        <v/>
      </c>
      <c r="I6" s="13">
        <f>IFERROR('QTR P&amp;L'!I7/'QTR P&amp;L'!I2,"")</f>
        <v/>
      </c>
      <c r="J6" s="13">
        <f>IFERROR('QTR P&amp;L'!J7/'QTR P&amp;L'!J2,"")</f>
        <v/>
      </c>
      <c r="K6" s="13">
        <f>IFERROR('QTR P&amp;L'!K7/'QTR P&amp;L'!K2,"")</f>
        <v/>
      </c>
      <c r="L6" s="13">
        <f>IFERROR('QTR P&amp;L'!L7/'QTR P&amp;L'!L2,"")</f>
        <v/>
      </c>
      <c r="M6" s="13">
        <f>IFERROR('QTR P&amp;L'!M7/'QTR P&amp;L'!M2,"")</f>
        <v/>
      </c>
      <c r="N6" s="13">
        <f>IFERROR('QTR P&amp;L'!N7/'QTR P&amp;L'!N2,"")</f>
        <v/>
      </c>
      <c r="O6" s="13">
        <f>IFERROR('QTR P&amp;L'!O7/'QTR P&amp;L'!O2,"")</f>
        <v/>
      </c>
      <c r="P6" s="13">
        <f>IFERROR('QTR P&amp;L'!P7/'QTR P&amp;L'!P2,"")</f>
        <v/>
      </c>
      <c r="Q6" s="13">
        <f>IFERROR('QTR P&amp;L'!Q7/'QTR P&amp;L'!Q2,"")</f>
        <v/>
      </c>
      <c r="R6" s="13">
        <f>IFERROR('QTR P&amp;L'!R7/'QTR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Other Pension and OPEB Benefits Income (Expense)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4">
        <f>'QTR P&amp;L'!R9</f>
        <v/>
      </c>
      <c r="S7" s="15">
        <f>R7</f>
        <v/>
      </c>
      <c r="T7" s="15">
        <f>R7</f>
        <v/>
      </c>
      <c r="U7" s="15">
        <f>R7</f>
        <v/>
      </c>
      <c r="V7" s="15">
        <f>R7</f>
        <v/>
      </c>
      <c r="W7" s="15">
        <f>R7</f>
        <v/>
      </c>
      <c r="X7" s="15">
        <f>R7</f>
        <v/>
      </c>
      <c r="Y7" s="15">
        <f>R7</f>
        <v/>
      </c>
      <c r="Z7" s="15">
        <f>R7</f>
        <v/>
      </c>
      <c r="AA7" s="15">
        <f>R7</f>
        <v/>
      </c>
      <c r="AB7" s="15">
        <f>R7</f>
        <v/>
      </c>
      <c r="AC7" s="15">
        <f>R7</f>
        <v/>
      </c>
      <c r="AD7" s="15">
        <f>R7</f>
        <v/>
      </c>
      <c r="AE7" s="15">
        <f>R7</f>
        <v/>
      </c>
      <c r="AF7" s="15">
        <f>R7</f>
        <v/>
      </c>
      <c r="AG7" s="15">
        <f>R7</f>
        <v/>
      </c>
      <c r="AH7" s="15">
        <f>R7</f>
        <v/>
      </c>
      <c r="AI7" s="15">
        <f>R7</f>
        <v/>
      </c>
      <c r="AJ7" s="15">
        <f>R7</f>
        <v/>
      </c>
      <c r="AK7" s="15">
        <f>R7</f>
        <v/>
      </c>
    </row>
    <row r="8">
      <c r="A8" s="3" t="inlineStr">
        <is>
          <t>Interest Income (Expense)</t>
        </is>
      </c>
      <c r="B8" s="4">
        <f>'QTR P&amp;L'!B10</f>
        <v/>
      </c>
      <c r="C8" s="4">
        <f>'QTR P&amp;L'!C10</f>
        <v/>
      </c>
      <c r="D8" s="4">
        <f>'QTR P&amp;L'!D10</f>
        <v/>
      </c>
      <c r="E8" s="4">
        <f>'QTR P&amp;L'!E10</f>
        <v/>
      </c>
      <c r="F8" s="4">
        <f>'QTR P&amp;L'!F10</f>
        <v/>
      </c>
      <c r="G8" s="4">
        <f>'QTR P&amp;L'!G10</f>
        <v/>
      </c>
      <c r="H8" s="4">
        <f>'QTR P&amp;L'!H10</f>
        <v/>
      </c>
      <c r="I8" s="4">
        <f>'QTR P&amp;L'!I10</f>
        <v/>
      </c>
      <c r="J8" s="4">
        <f>'QTR P&amp;L'!J10</f>
        <v/>
      </c>
      <c r="K8" s="4">
        <f>'QTR P&amp;L'!K10</f>
        <v/>
      </c>
      <c r="L8" s="4">
        <f>'QTR P&amp;L'!L10</f>
        <v/>
      </c>
      <c r="M8" s="4">
        <f>'QTR P&amp;L'!M10</f>
        <v/>
      </c>
      <c r="N8" s="4">
        <f>'QTR P&amp;L'!N10</f>
        <v/>
      </c>
      <c r="O8" s="4">
        <f>'QTR P&amp;L'!O10</f>
        <v/>
      </c>
      <c r="P8" s="4">
        <f>'QTR P&amp;L'!P10</f>
        <v/>
      </c>
      <c r="Q8" s="4">
        <f>'QTR P&amp;L'!Q10</f>
        <v/>
      </c>
      <c r="R8" s="4">
        <f>'QTR P&amp;L'!R10</f>
        <v/>
      </c>
      <c r="S8" s="15">
        <f>R8</f>
        <v/>
      </c>
      <c r="T8" s="15">
        <f>R8</f>
        <v/>
      </c>
      <c r="U8" s="15">
        <f>R8</f>
        <v/>
      </c>
      <c r="V8" s="15">
        <f>R8</f>
        <v/>
      </c>
      <c r="W8" s="15">
        <f>R8</f>
        <v/>
      </c>
      <c r="X8" s="15">
        <f>R8</f>
        <v/>
      </c>
      <c r="Y8" s="15">
        <f>R8</f>
        <v/>
      </c>
      <c r="Z8" s="15">
        <f>R8</f>
        <v/>
      </c>
      <c r="AA8" s="15">
        <f>R8</f>
        <v/>
      </c>
      <c r="AB8" s="15">
        <f>R8</f>
        <v/>
      </c>
      <c r="AC8" s="15">
        <f>R8</f>
        <v/>
      </c>
      <c r="AD8" s="15">
        <f>R8</f>
        <v/>
      </c>
      <c r="AE8" s="15">
        <f>R8</f>
        <v/>
      </c>
      <c r="AF8" s="15">
        <f>R8</f>
        <v/>
      </c>
      <c r="AG8" s="15">
        <f>R8</f>
        <v/>
      </c>
      <c r="AH8" s="15">
        <f>R8</f>
        <v/>
      </c>
      <c r="AI8" s="15">
        <f>R8</f>
        <v/>
      </c>
      <c r="AJ8" s="15">
        <f>R8</f>
        <v/>
      </c>
      <c r="AK8" s="15">
        <f>R8</f>
        <v/>
      </c>
    </row>
    <row r="9">
      <c r="A9" s="3" t="inlineStr">
        <is>
          <t>Income Tax (Expense) Benefit — Effective Tax Rate %</t>
        </is>
      </c>
      <c r="B9" s="13">
        <f>IFERROR('QTR P&amp;L'!B12/'QTR P&amp;L'!B11,"")</f>
        <v/>
      </c>
      <c r="C9" s="13">
        <f>IFERROR('QTR P&amp;L'!C12/'QTR P&amp;L'!C11,"")</f>
        <v/>
      </c>
      <c r="D9" s="13">
        <f>IFERROR('QTR P&amp;L'!D12/'QTR P&amp;L'!D11,"")</f>
        <v/>
      </c>
      <c r="E9" s="13">
        <f>IFERROR('QTR P&amp;L'!E12/'QTR P&amp;L'!E11,"")</f>
        <v/>
      </c>
      <c r="F9" s="13">
        <f>IFERROR('QTR P&amp;L'!F12/'QTR P&amp;L'!F11,"")</f>
        <v/>
      </c>
      <c r="G9" s="13">
        <f>IFERROR('QTR P&amp;L'!G12/'QTR P&amp;L'!G11,"")</f>
        <v/>
      </c>
      <c r="H9" s="13">
        <f>IFERROR('QTR P&amp;L'!H12/'QTR P&amp;L'!H11,"")</f>
        <v/>
      </c>
      <c r="I9" s="13">
        <f>IFERROR('QTR P&amp;L'!I12/'QTR P&amp;L'!I11,"")</f>
        <v/>
      </c>
      <c r="J9" s="13">
        <f>IFERROR('QTR P&amp;L'!J12/'QTR P&amp;L'!J11,"")</f>
        <v/>
      </c>
      <c r="K9" s="13">
        <f>IFERROR('QTR P&amp;L'!K12/'QTR P&amp;L'!K11,"")</f>
        <v/>
      </c>
      <c r="L9" s="13">
        <f>IFERROR('QTR P&amp;L'!L12/'QTR P&amp;L'!L11,"")</f>
        <v/>
      </c>
      <c r="M9" s="13">
        <f>IFERROR('QTR P&amp;L'!M12/'QTR P&amp;L'!M11,"")</f>
        <v/>
      </c>
      <c r="N9" s="13">
        <f>IFERROR('QTR P&amp;L'!N12/'QTR P&amp;L'!N11,"")</f>
        <v/>
      </c>
      <c r="O9" s="13">
        <f>IFERROR('QTR P&amp;L'!O12/'QTR P&amp;L'!O11,"")</f>
        <v/>
      </c>
      <c r="P9" s="13">
        <f>IFERROR('QTR P&amp;L'!P12/'QTR P&amp;L'!P11,"")</f>
        <v/>
      </c>
      <c r="Q9" s="13">
        <f>IFERROR('QTR P&amp;L'!Q12/'QTR P&amp;L'!Q11,"")</f>
        <v/>
      </c>
      <c r="R9" s="13">
        <f>IFERROR('QTR P&amp;L'!R12/'QTR P&amp;L'!R11,"")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Net Income (Loss) Attributable to Noncontrolling Interest</t>
        </is>
      </c>
      <c r="B10" s="4">
        <f>'QTR P&amp;L'!B14</f>
        <v/>
      </c>
      <c r="C10" s="4">
        <f>'QTR P&amp;L'!C14</f>
        <v/>
      </c>
      <c r="D10" s="4">
        <f>'QTR P&amp;L'!D14</f>
        <v/>
      </c>
      <c r="E10" s="4">
        <f>'QTR P&amp;L'!E14</f>
        <v/>
      </c>
      <c r="F10" s="4">
        <f>'QTR P&amp;L'!F14</f>
        <v/>
      </c>
      <c r="G10" s="4">
        <f>'QTR P&amp;L'!G14</f>
        <v/>
      </c>
      <c r="H10" s="4">
        <f>'QTR P&amp;L'!H14</f>
        <v/>
      </c>
      <c r="I10" s="4">
        <f>'QTR P&amp;L'!I14</f>
        <v/>
      </c>
      <c r="J10" s="4">
        <f>'QTR P&amp;L'!J14</f>
        <v/>
      </c>
      <c r="K10" s="4">
        <f>'QTR P&amp;L'!K14</f>
        <v/>
      </c>
      <c r="L10" s="4">
        <f>'QTR P&amp;L'!L14</f>
        <v/>
      </c>
      <c r="M10" s="4">
        <f>'QTR P&amp;L'!M14</f>
        <v/>
      </c>
      <c r="N10" s="4">
        <f>'QTR P&amp;L'!N14</f>
        <v/>
      </c>
      <c r="O10" s="4">
        <f>'QTR P&amp;L'!O14</f>
        <v/>
      </c>
      <c r="P10" s="4">
        <f>'QTR P&amp;L'!P14</f>
        <v/>
      </c>
      <c r="Q10" s="4">
        <f>'QTR P&amp;L'!Q14</f>
        <v/>
      </c>
      <c r="R10" s="4">
        <f>'QTR P&amp;L'!R14</f>
        <v/>
      </c>
      <c r="S10" s="15">
        <f>R10</f>
        <v/>
      </c>
      <c r="T10" s="15">
        <f>R10</f>
        <v/>
      </c>
      <c r="U10" s="15">
        <f>R10</f>
        <v/>
      </c>
      <c r="V10" s="15">
        <f>R10</f>
        <v/>
      </c>
      <c r="W10" s="15">
        <f>R10</f>
        <v/>
      </c>
      <c r="X10" s="15">
        <f>R10</f>
        <v/>
      </c>
      <c r="Y10" s="15">
        <f>R10</f>
        <v/>
      </c>
      <c r="Z10" s="15">
        <f>R10</f>
        <v/>
      </c>
      <c r="AA10" s="15">
        <f>R10</f>
        <v/>
      </c>
      <c r="AB10" s="15">
        <f>R10</f>
        <v/>
      </c>
      <c r="AC10" s="15">
        <f>R10</f>
        <v/>
      </c>
      <c r="AD10" s="15">
        <f>R10</f>
        <v/>
      </c>
      <c r="AE10" s="15">
        <f>R10</f>
        <v/>
      </c>
      <c r="AF10" s="15">
        <f>R10</f>
        <v/>
      </c>
      <c r="AG10" s="15">
        <f>R10</f>
        <v/>
      </c>
      <c r="AH10" s="15">
        <f>R10</f>
        <v/>
      </c>
      <c r="AI10" s="15">
        <f>R10</f>
        <v/>
      </c>
      <c r="AJ10" s="15">
        <f>R10</f>
        <v/>
      </c>
      <c r="AK10" s="15">
        <f>R10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O2+'QTR CF'!S46</f>
        <v/>
      </c>
      <c r="Q2" s="4">
        <f>P2+'QTR CF'!T46</f>
        <v/>
      </c>
      <c r="R2" s="4">
        <f>Q2+'QTR CF'!U46</f>
        <v/>
      </c>
      <c r="S2" s="4">
        <f>R2+'QTR CF'!V46</f>
        <v/>
      </c>
      <c r="T2" s="4">
        <f>S2+'QTR CF'!W46</f>
        <v/>
      </c>
      <c r="U2" s="4">
        <f>T2+'QTR CF'!X46</f>
        <v/>
      </c>
      <c r="V2" s="4">
        <f>U2+'QTR CF'!Y46</f>
        <v/>
      </c>
      <c r="W2" s="4">
        <f>V2+'QTR CF'!Z46</f>
        <v/>
      </c>
      <c r="X2" s="4">
        <f>W2+'QTR CF'!AA46</f>
        <v/>
      </c>
      <c r="Y2" s="4">
        <f>X2+'QTR CF'!AB46</f>
        <v/>
      </c>
      <c r="Z2" s="4">
        <f>Y2+'QTR CF'!AC46</f>
        <v/>
      </c>
      <c r="AA2" s="4">
        <f>Z2+'QTR CF'!AD46</f>
        <v/>
      </c>
      <c r="AB2" s="4">
        <f>AA2+'QTR CF'!AE46</f>
        <v/>
      </c>
      <c r="AC2" s="4">
        <f>AB2+'QTR CF'!AF46</f>
        <v/>
      </c>
      <c r="AD2" s="4">
        <f>AC2+'QTR CF'!AG46</f>
        <v/>
      </c>
      <c r="AE2" s="4">
        <f>AD2+'QTR CF'!AH46</f>
        <v/>
      </c>
      <c r="AF2" s="4">
        <f>AE2+'QTR CF'!AI46</f>
        <v/>
      </c>
      <c r="AG2" s="4">
        <f>AF2+'QTR CF'!AJ46</f>
        <v/>
      </c>
      <c r="AH2" s="4">
        <f>AG2+'QTR CF'!AK46</f>
        <v/>
      </c>
    </row>
    <row r="3">
      <c r="A3" s="3" t="inlineStr">
        <is>
          <t>Short-Term Investments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4">
        <f>'QTR BS'!O3</f>
        <v/>
      </c>
      <c r="P3" s="15">
        <f>O3</f>
        <v/>
      </c>
      <c r="Q3" s="15">
        <f>O3</f>
        <v/>
      </c>
      <c r="R3" s="15">
        <f>O3</f>
        <v/>
      </c>
      <c r="S3" s="15">
        <f>O3</f>
        <v/>
      </c>
      <c r="T3" s="15">
        <f>O3</f>
        <v/>
      </c>
      <c r="U3" s="15">
        <f>O3</f>
        <v/>
      </c>
      <c r="V3" s="15">
        <f>O3</f>
        <v/>
      </c>
      <c r="W3" s="15">
        <f>O3</f>
        <v/>
      </c>
      <c r="X3" s="15">
        <f>O3</f>
        <v/>
      </c>
      <c r="Y3" s="15">
        <f>O3</f>
        <v/>
      </c>
      <c r="Z3" s="15">
        <f>O3</f>
        <v/>
      </c>
      <c r="AA3" s="15">
        <f>O3</f>
        <v/>
      </c>
      <c r="AB3" s="15">
        <f>O3</f>
        <v/>
      </c>
      <c r="AC3" s="15">
        <f>O3</f>
        <v/>
      </c>
      <c r="AD3" s="15">
        <f>O3</f>
        <v/>
      </c>
      <c r="AE3" s="15">
        <f>O3</f>
        <v/>
      </c>
      <c r="AF3" s="15">
        <f>O3</f>
        <v/>
      </c>
      <c r="AG3" s="15">
        <f>O3</f>
        <v/>
      </c>
      <c r="AH3" s="15">
        <f>O3</f>
        <v/>
      </c>
    </row>
    <row r="4">
      <c r="A4" s="3" t="inlineStr">
        <is>
          <t>Accounts Receivable — DSO (days)</t>
        </is>
      </c>
      <c r="B4" s="16">
        <f>IFERROR('QTR BS'!B4/'QTR P&amp;L'!B2*ASSUMPTIONS!$B$2,"")</f>
        <v/>
      </c>
      <c r="C4" s="16">
        <f>IFERROR('QTR BS'!C4/'QTR P&amp;L'!C2*ASSUMPTIONS!$B$2,"")</f>
        <v/>
      </c>
      <c r="D4" s="16">
        <f>IFERROR('QTR BS'!D4/'QTR P&amp;L'!D2*ASSUMPTIONS!$B$2,"")</f>
        <v/>
      </c>
      <c r="E4" s="16">
        <f>IFERROR('QTR BS'!E4/'QTR P&amp;L'!E2*ASSUMPTIONS!$B$2,"")</f>
        <v/>
      </c>
      <c r="F4" s="16">
        <f>IFERROR('QTR BS'!F4/'QTR P&amp;L'!F2*ASSUMPTIONS!$B$2,"")</f>
        <v/>
      </c>
      <c r="G4" s="16">
        <f>IFERROR('QTR BS'!G4/'QTR P&amp;L'!G2*ASSUMPTIONS!$B$2,"")</f>
        <v/>
      </c>
      <c r="H4" s="16">
        <f>IFERROR('QTR BS'!H4/'QTR P&amp;L'!H2*ASSUMPTIONS!$B$2,"")</f>
        <v/>
      </c>
      <c r="I4" s="16">
        <f>IFERROR('QTR BS'!I4/'QTR P&amp;L'!I2*ASSUMPTIONS!$B$2,"")</f>
        <v/>
      </c>
      <c r="J4" s="16">
        <f>IFERROR('QTR BS'!J4/'QTR P&amp;L'!J2*ASSUMPTIONS!$B$2,"")</f>
        <v/>
      </c>
      <c r="K4" s="16">
        <f>IFERROR('QTR BS'!K4/'QTR P&amp;L'!K2*ASSUMPTIONS!$B$2,"")</f>
        <v/>
      </c>
      <c r="L4" s="16">
        <f>IFERROR('QTR BS'!L4/'QTR P&amp;L'!L2*ASSUMPTIONS!$B$2,"")</f>
        <v/>
      </c>
      <c r="M4" s="16">
        <f>IFERROR('QTR BS'!M4/'QTR P&amp;L'!M2*ASSUMPTIONS!$B$2,"")</f>
        <v/>
      </c>
      <c r="N4" s="16">
        <f>IFERROR('QTR BS'!N4/'QTR P&amp;L'!N2*ASSUMPTIONS!$B$2,"")</f>
        <v/>
      </c>
      <c r="O4" s="16">
        <f>IFERROR('QTR BS'!O4/'QTR P&amp;L'!O2*ASSUMPTIONS!$B$2,"")</f>
        <v/>
      </c>
      <c r="P4" s="17">
        <f>O4</f>
        <v/>
      </c>
      <c r="Q4" s="17">
        <f>O4</f>
        <v/>
      </c>
      <c r="R4" s="17">
        <f>O4</f>
        <v/>
      </c>
      <c r="S4" s="17">
        <f>O4</f>
        <v/>
      </c>
      <c r="T4" s="17">
        <f>O4</f>
        <v/>
      </c>
      <c r="U4" s="17">
        <f>O4</f>
        <v/>
      </c>
      <c r="V4" s="17">
        <f>O4</f>
        <v/>
      </c>
      <c r="W4" s="17">
        <f>O4</f>
        <v/>
      </c>
      <c r="X4" s="17">
        <f>O4</f>
        <v/>
      </c>
      <c r="Y4" s="17">
        <f>O4</f>
        <v/>
      </c>
      <c r="Z4" s="17">
        <f>O4</f>
        <v/>
      </c>
      <c r="AA4" s="17">
        <f>O4</f>
        <v/>
      </c>
      <c r="AB4" s="17">
        <f>O4</f>
        <v/>
      </c>
      <c r="AC4" s="17">
        <f>O4</f>
        <v/>
      </c>
      <c r="AD4" s="17">
        <f>O4</f>
        <v/>
      </c>
      <c r="AE4" s="17">
        <f>O4</f>
        <v/>
      </c>
      <c r="AF4" s="17">
        <f>O4</f>
        <v/>
      </c>
      <c r="AG4" s="17">
        <f>O4</f>
        <v/>
      </c>
      <c r="AH4" s="17">
        <f>O4</f>
        <v/>
      </c>
    </row>
    <row r="5">
      <c r="A5" s="3" t="inlineStr">
        <is>
          <t>Inventories — DIO (days)</t>
        </is>
      </c>
      <c r="B5" s="16">
        <f>IFERROR('QTR BS'!B5/'QTR P&amp;L'!B3*ASSUMPTIONS!$B$2,"")</f>
        <v/>
      </c>
      <c r="C5" s="16">
        <f>IFERROR('QTR BS'!C5/'QTR P&amp;L'!C3*ASSUMPTIONS!$B$2,"")</f>
        <v/>
      </c>
      <c r="D5" s="16">
        <f>IFERROR('QTR BS'!D5/'QTR P&amp;L'!D3*ASSUMPTIONS!$B$2,"")</f>
        <v/>
      </c>
      <c r="E5" s="16">
        <f>IFERROR('QTR BS'!E5/'QTR P&amp;L'!E3*ASSUMPTIONS!$B$2,"")</f>
        <v/>
      </c>
      <c r="F5" s="16">
        <f>IFERROR('QTR BS'!F5/'QTR P&amp;L'!F3*ASSUMPTIONS!$B$2,"")</f>
        <v/>
      </c>
      <c r="G5" s="16">
        <f>IFERROR('QTR BS'!G5/'QTR P&amp;L'!G3*ASSUMPTIONS!$B$2,"")</f>
        <v/>
      </c>
      <c r="H5" s="16">
        <f>IFERROR('QTR BS'!H5/'QTR P&amp;L'!H3*ASSUMPTIONS!$B$2,"")</f>
        <v/>
      </c>
      <c r="I5" s="16">
        <f>IFERROR('QTR BS'!I5/'QTR P&amp;L'!I3*ASSUMPTIONS!$B$2,"")</f>
        <v/>
      </c>
      <c r="J5" s="16">
        <f>IFERROR('QTR BS'!J5/'QTR P&amp;L'!J3*ASSUMPTIONS!$B$2,"")</f>
        <v/>
      </c>
      <c r="K5" s="16">
        <f>IFERROR('QTR BS'!K5/'QTR P&amp;L'!K3*ASSUMPTIONS!$B$2,"")</f>
        <v/>
      </c>
      <c r="L5" s="16">
        <f>IFERROR('QTR BS'!L5/'QTR P&amp;L'!L3*ASSUMPTIONS!$B$2,"")</f>
        <v/>
      </c>
      <c r="M5" s="16">
        <f>IFERROR('QTR BS'!M5/'QTR P&amp;L'!M3*ASSUMPTIONS!$B$2,"")</f>
        <v/>
      </c>
      <c r="N5" s="16">
        <f>IFERROR('QTR BS'!N5/'QTR P&amp;L'!N3*ASSUMPTIONS!$B$2,"")</f>
        <v/>
      </c>
      <c r="O5" s="16">
        <f>IFERROR('QTR BS'!O5/'QTR P&amp;L'!O3*ASSUMPTIONS!$B$2,"")</f>
        <v/>
      </c>
      <c r="P5" s="17">
        <f>O5</f>
        <v/>
      </c>
      <c r="Q5" s="17">
        <f>O5</f>
        <v/>
      </c>
      <c r="R5" s="17">
        <f>O5</f>
        <v/>
      </c>
      <c r="S5" s="17">
        <f>O5</f>
        <v/>
      </c>
      <c r="T5" s="17">
        <f>O5</f>
        <v/>
      </c>
      <c r="U5" s="17">
        <f>O5</f>
        <v/>
      </c>
      <c r="V5" s="17">
        <f>O5</f>
        <v/>
      </c>
      <c r="W5" s="17">
        <f>O5</f>
        <v/>
      </c>
      <c r="X5" s="17">
        <f>O5</f>
        <v/>
      </c>
      <c r="Y5" s="17">
        <f>O5</f>
        <v/>
      </c>
      <c r="Z5" s="17">
        <f>O5</f>
        <v/>
      </c>
      <c r="AA5" s="17">
        <f>O5</f>
        <v/>
      </c>
      <c r="AB5" s="17">
        <f>O5</f>
        <v/>
      </c>
      <c r="AC5" s="17">
        <f>O5</f>
        <v/>
      </c>
      <c r="AD5" s="17">
        <f>O5</f>
        <v/>
      </c>
      <c r="AE5" s="17">
        <f>O5</f>
        <v/>
      </c>
      <c r="AF5" s="17">
        <f>O5</f>
        <v/>
      </c>
      <c r="AG5" s="17">
        <f>O5</f>
        <v/>
      </c>
      <c r="AH5" s="17">
        <f>O5</f>
        <v/>
      </c>
    </row>
    <row r="6">
      <c r="A6" s="3" t="inlineStr">
        <is>
          <t>Prepaid Expenses — % of Revenue</t>
        </is>
      </c>
      <c r="B6" s="13">
        <f>IFERROR('QTR BS'!B6/'QTR P&amp;L'!B2,"")</f>
        <v/>
      </c>
      <c r="C6" s="13">
        <f>IFERROR('QTR BS'!C6/'QTR P&amp;L'!C2,"")</f>
        <v/>
      </c>
      <c r="D6" s="13">
        <f>IFERROR('QTR BS'!D6/'QTR P&amp;L'!D2,"")</f>
        <v/>
      </c>
      <c r="E6" s="13">
        <f>IFERROR('QTR BS'!E6/'QTR P&amp;L'!E2,"")</f>
        <v/>
      </c>
      <c r="F6" s="13">
        <f>IFERROR('QTR BS'!F6/'QTR P&amp;L'!F2,"")</f>
        <v/>
      </c>
      <c r="G6" s="13">
        <f>IFERROR('QTR BS'!G6/'QTR P&amp;L'!G2,"")</f>
        <v/>
      </c>
      <c r="H6" s="13">
        <f>IFERROR('QTR BS'!H6/'QTR P&amp;L'!H2,"")</f>
        <v/>
      </c>
      <c r="I6" s="13">
        <f>IFERROR('QTR BS'!I6/'QTR P&amp;L'!I2,"")</f>
        <v/>
      </c>
      <c r="J6" s="13">
        <f>IFERROR('QTR BS'!J6/'QTR P&amp;L'!J2,"")</f>
        <v/>
      </c>
      <c r="K6" s="13">
        <f>IFERROR('QTR BS'!K6/'QTR P&amp;L'!K2,"")</f>
        <v/>
      </c>
      <c r="L6" s="13">
        <f>IFERROR('QTR BS'!L6/'QTR P&amp;L'!L2,"")</f>
        <v/>
      </c>
      <c r="M6" s="13">
        <f>IFERROR('QTR BS'!M6/'QTR P&amp;L'!M2,"")</f>
        <v/>
      </c>
      <c r="N6" s="13">
        <f>IFERROR('QTR BS'!N6/'QTR P&amp;L'!N2,"")</f>
        <v/>
      </c>
      <c r="O6" s="13">
        <f>IFERROR('QTR BS'!O6/'QTR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Net PP&amp;E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O7-'QTR CF'!S26-'QTR CF'!S3</f>
        <v/>
      </c>
      <c r="Q7" s="4">
        <f>P7-'QTR CF'!T26-'QTR CF'!T3</f>
        <v/>
      </c>
      <c r="R7" s="4">
        <f>Q7-'QTR CF'!U26-'QTR CF'!U3</f>
        <v/>
      </c>
      <c r="S7" s="4">
        <f>R7-'QTR CF'!V26-'QTR CF'!V3</f>
        <v/>
      </c>
      <c r="T7" s="4">
        <f>S7-'QTR CF'!W26-'QTR CF'!W3</f>
        <v/>
      </c>
      <c r="U7" s="4">
        <f>T7-'QTR CF'!X26-'QTR CF'!X3</f>
        <v/>
      </c>
      <c r="V7" s="4">
        <f>U7-'QTR CF'!Y26-'QTR CF'!Y3</f>
        <v/>
      </c>
      <c r="W7" s="4">
        <f>V7-'QTR CF'!Z26-'QTR CF'!Z3</f>
        <v/>
      </c>
      <c r="X7" s="4">
        <f>W7-'QTR CF'!AA26-'QTR CF'!AA3</f>
        <v/>
      </c>
      <c r="Y7" s="4">
        <f>X7-'QTR CF'!AB26-'QTR CF'!AB3</f>
        <v/>
      </c>
      <c r="Z7" s="4">
        <f>Y7-'QTR CF'!AC26-'QTR CF'!AC3</f>
        <v/>
      </c>
      <c r="AA7" s="4">
        <f>Z7-'QTR CF'!AD26-'QTR CF'!AD3</f>
        <v/>
      </c>
      <c r="AB7" s="4">
        <f>AA7-'QTR CF'!AE26-'QTR CF'!AE3</f>
        <v/>
      </c>
      <c r="AC7" s="4">
        <f>AB7-'QTR CF'!AF26-'QTR CF'!AF3</f>
        <v/>
      </c>
      <c r="AD7" s="4">
        <f>AC7-'QTR CF'!AG26-'QTR CF'!AG3</f>
        <v/>
      </c>
      <c r="AE7" s="4">
        <f>AD7-'QTR CF'!AH26-'QTR CF'!AH3</f>
        <v/>
      </c>
      <c r="AF7" s="4">
        <f>AE7-'QTR CF'!AI26-'QTR CF'!AI3</f>
        <v/>
      </c>
      <c r="AG7" s="4">
        <f>AF7-'QTR CF'!AJ26-'QTR CF'!AJ3</f>
        <v/>
      </c>
      <c r="AH7" s="4">
        <f>AG7-'QTR CF'!AK26-'QTR CF'!AK3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15">
        <f>O8</f>
        <v/>
      </c>
      <c r="Q8" s="15">
        <f>O8</f>
        <v/>
      </c>
      <c r="R8" s="15">
        <f>O8</f>
        <v/>
      </c>
      <c r="S8" s="15">
        <f>O8</f>
        <v/>
      </c>
      <c r="T8" s="15">
        <f>O8</f>
        <v/>
      </c>
      <c r="U8" s="15">
        <f>O8</f>
        <v/>
      </c>
      <c r="V8" s="15">
        <f>O8</f>
        <v/>
      </c>
      <c r="W8" s="15">
        <f>O8</f>
        <v/>
      </c>
      <c r="X8" s="15">
        <f>O8</f>
        <v/>
      </c>
      <c r="Y8" s="15">
        <f>O8</f>
        <v/>
      </c>
      <c r="Z8" s="15">
        <f>O8</f>
        <v/>
      </c>
      <c r="AA8" s="15">
        <f>O8</f>
        <v/>
      </c>
      <c r="AB8" s="15">
        <f>O8</f>
        <v/>
      </c>
      <c r="AC8" s="15">
        <f>O8</f>
        <v/>
      </c>
      <c r="AD8" s="15">
        <f>O8</f>
        <v/>
      </c>
      <c r="AE8" s="15">
        <f>O8</f>
        <v/>
      </c>
      <c r="AF8" s="15">
        <f>O8</f>
        <v/>
      </c>
      <c r="AG8" s="15">
        <f>O8</f>
        <v/>
      </c>
      <c r="AH8" s="15">
        <f>O8</f>
        <v/>
      </c>
    </row>
    <row r="9">
      <c r="A9" s="3" t="inlineStr">
        <is>
          <t>Goodwill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15">
        <f>O9</f>
        <v/>
      </c>
      <c r="Q9" s="15">
        <f>O9</f>
        <v/>
      </c>
      <c r="R9" s="15">
        <f>O9</f>
        <v/>
      </c>
      <c r="S9" s="15">
        <f>O9</f>
        <v/>
      </c>
      <c r="T9" s="15">
        <f>O9</f>
        <v/>
      </c>
      <c r="U9" s="15">
        <f>O9</f>
        <v/>
      </c>
      <c r="V9" s="15">
        <f>O9</f>
        <v/>
      </c>
      <c r="W9" s="15">
        <f>O9</f>
        <v/>
      </c>
      <c r="X9" s="15">
        <f>O9</f>
        <v/>
      </c>
      <c r="Y9" s="15">
        <f>O9</f>
        <v/>
      </c>
      <c r="Z9" s="15">
        <f>O9</f>
        <v/>
      </c>
      <c r="AA9" s="15">
        <f>O9</f>
        <v/>
      </c>
      <c r="AB9" s="15">
        <f>O9</f>
        <v/>
      </c>
      <c r="AC9" s="15">
        <f>O9</f>
        <v/>
      </c>
      <c r="AD9" s="15">
        <f>O9</f>
        <v/>
      </c>
      <c r="AE9" s="15">
        <f>O9</f>
        <v/>
      </c>
      <c r="AF9" s="15">
        <f>O9</f>
        <v/>
      </c>
      <c r="AG9" s="15">
        <f>O9</f>
        <v/>
      </c>
      <c r="AH9" s="15">
        <f>O9</f>
        <v/>
      </c>
    </row>
    <row r="10">
      <c r="A10" s="3" t="inlineStr">
        <is>
          <t>Equity Method Investments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'QTR BS'!O11</f>
        <v/>
      </c>
      <c r="P10" s="15">
        <f>O10</f>
        <v/>
      </c>
      <c r="Q10" s="15">
        <f>O10</f>
        <v/>
      </c>
      <c r="R10" s="15">
        <f>O10</f>
        <v/>
      </c>
      <c r="S10" s="15">
        <f>O10</f>
        <v/>
      </c>
      <c r="T10" s="15">
        <f>O10</f>
        <v/>
      </c>
      <c r="U10" s="15">
        <f>O10</f>
        <v/>
      </c>
      <c r="V10" s="15">
        <f>O10</f>
        <v/>
      </c>
      <c r="W10" s="15">
        <f>O10</f>
        <v/>
      </c>
      <c r="X10" s="15">
        <f>O10</f>
        <v/>
      </c>
      <c r="Y10" s="15">
        <f>O10</f>
        <v/>
      </c>
      <c r="Z10" s="15">
        <f>O10</f>
        <v/>
      </c>
      <c r="AA10" s="15">
        <f>O10</f>
        <v/>
      </c>
      <c r="AB10" s="15">
        <f>O10</f>
        <v/>
      </c>
      <c r="AC10" s="15">
        <f>O10</f>
        <v/>
      </c>
      <c r="AD10" s="15">
        <f>O10</f>
        <v/>
      </c>
      <c r="AE10" s="15">
        <f>O10</f>
        <v/>
      </c>
      <c r="AF10" s="15">
        <f>O10</f>
        <v/>
      </c>
      <c r="AG10" s="15">
        <f>O10</f>
        <v/>
      </c>
      <c r="AH10" s="15">
        <f>O10</f>
        <v/>
      </c>
    </row>
    <row r="11">
      <c r="A11" s="3" t="inlineStr">
        <is>
          <t>Deferred Tax Assets</t>
        </is>
      </c>
      <c r="B11" s="4">
        <f>'QTR BS'!B12</f>
        <v/>
      </c>
      <c r="C11" s="4">
        <f>'QTR BS'!C12</f>
        <v/>
      </c>
      <c r="D11" s="4">
        <f>'QTR BS'!D12</f>
        <v/>
      </c>
      <c r="E11" s="4">
        <f>'QTR BS'!E12</f>
        <v/>
      </c>
      <c r="F11" s="4">
        <f>'QTR BS'!F12</f>
        <v/>
      </c>
      <c r="G11" s="4">
        <f>'QTR BS'!G12</f>
        <v/>
      </c>
      <c r="H11" s="4">
        <f>'QTR BS'!H12</f>
        <v/>
      </c>
      <c r="I11" s="4">
        <f>'QTR BS'!I12</f>
        <v/>
      </c>
      <c r="J11" s="4">
        <f>'QTR BS'!J12</f>
        <v/>
      </c>
      <c r="K11" s="4">
        <f>'QTR BS'!K12</f>
        <v/>
      </c>
      <c r="L11" s="4">
        <f>'QTR BS'!L12</f>
        <v/>
      </c>
      <c r="M11" s="4">
        <f>'QTR BS'!M12</f>
        <v/>
      </c>
      <c r="N11" s="4">
        <f>'QTR BS'!N12</f>
        <v/>
      </c>
      <c r="O11" s="4">
        <f>'QTR BS'!O12</f>
        <v/>
      </c>
      <c r="P11" s="4">
        <f>O11-'QTR CF'!S16</f>
        <v/>
      </c>
      <c r="Q11" s="4">
        <f>P11-'QTR CF'!T16</f>
        <v/>
      </c>
      <c r="R11" s="4">
        <f>Q11-'QTR CF'!U16</f>
        <v/>
      </c>
      <c r="S11" s="4">
        <f>R11-'QTR CF'!V16</f>
        <v/>
      </c>
      <c r="T11" s="4">
        <f>S11-'QTR CF'!W16</f>
        <v/>
      </c>
      <c r="U11" s="4">
        <f>T11-'QTR CF'!X16</f>
        <v/>
      </c>
      <c r="V11" s="4">
        <f>U11-'QTR CF'!Y16</f>
        <v/>
      </c>
      <c r="W11" s="4">
        <f>V11-'QTR CF'!Z16</f>
        <v/>
      </c>
      <c r="X11" s="4">
        <f>W11-'QTR CF'!AA16</f>
        <v/>
      </c>
      <c r="Y11" s="4">
        <f>X11-'QTR CF'!AB16</f>
        <v/>
      </c>
      <c r="Z11" s="4">
        <f>Y11-'QTR CF'!AC16</f>
        <v/>
      </c>
      <c r="AA11" s="4">
        <f>Z11-'QTR CF'!AD16</f>
        <v/>
      </c>
      <c r="AB11" s="4">
        <f>AA11-'QTR CF'!AE16</f>
        <v/>
      </c>
      <c r="AC11" s="4">
        <f>AB11-'QTR CF'!AF16</f>
        <v/>
      </c>
      <c r="AD11" s="4">
        <f>AC11-'QTR CF'!AG16</f>
        <v/>
      </c>
      <c r="AE11" s="4">
        <f>AD11-'QTR CF'!AH16</f>
        <v/>
      </c>
      <c r="AF11" s="4">
        <f>AE11-'QTR CF'!AI16</f>
        <v/>
      </c>
      <c r="AG11" s="4">
        <f>AF11-'QTR CF'!AJ16</f>
        <v/>
      </c>
      <c r="AH11" s="4">
        <f>AG11-'QTR CF'!AK16</f>
        <v/>
      </c>
    </row>
    <row r="12">
      <c r="A12" s="3" t="inlineStr">
        <is>
          <t>Other Non-Current Assets — % of Revenue</t>
        </is>
      </c>
      <c r="B12" s="13">
        <f>IFERROR('QTR BS'!B13/'QTR P&amp;L'!B2,"")</f>
        <v/>
      </c>
      <c r="C12" s="13">
        <f>IFERROR('QTR BS'!C13/'QTR P&amp;L'!C2,"")</f>
        <v/>
      </c>
      <c r="D12" s="13">
        <f>IFERROR('QTR BS'!D13/'QTR P&amp;L'!D2,"")</f>
        <v/>
      </c>
      <c r="E12" s="13">
        <f>IFERROR('QTR BS'!E13/'QTR P&amp;L'!E2,"")</f>
        <v/>
      </c>
      <c r="F12" s="13">
        <f>IFERROR('QTR BS'!F13/'QTR P&amp;L'!F2,"")</f>
        <v/>
      </c>
      <c r="G12" s="13">
        <f>IFERROR('QTR BS'!G13/'QTR P&amp;L'!G2,"")</f>
        <v/>
      </c>
      <c r="H12" s="13">
        <f>IFERROR('QTR BS'!H13/'QTR P&amp;L'!H2,"")</f>
        <v/>
      </c>
      <c r="I12" s="13">
        <f>IFERROR('QTR BS'!I13/'QTR P&amp;L'!I2,"")</f>
        <v/>
      </c>
      <c r="J12" s="13">
        <f>IFERROR('QTR BS'!J13/'QTR P&amp;L'!J2,"")</f>
        <v/>
      </c>
      <c r="K12" s="13">
        <f>IFERROR('QTR BS'!K13/'QTR P&amp;L'!K2,"")</f>
        <v/>
      </c>
      <c r="L12" s="13">
        <f>IFERROR('QTR BS'!L13/'QTR P&amp;L'!L2,"")</f>
        <v/>
      </c>
      <c r="M12" s="13">
        <f>IFERROR('QTR BS'!M13/'QTR P&amp;L'!M2,"")</f>
        <v/>
      </c>
      <c r="N12" s="13">
        <f>IFERROR('QTR BS'!N13/'QTR P&amp;L'!N2,"")</f>
        <v/>
      </c>
      <c r="O12" s="13">
        <f>IFERROR('QTR BS'!O13/'QTR P&amp;L'!O2,"")</f>
        <v/>
      </c>
      <c r="P12" s="14">
        <f>O12</f>
        <v/>
      </c>
      <c r="Q12" s="14">
        <f>O12</f>
        <v/>
      </c>
      <c r="R12" s="14">
        <f>O12</f>
        <v/>
      </c>
      <c r="S12" s="14">
        <f>O12</f>
        <v/>
      </c>
      <c r="T12" s="14">
        <f>O12</f>
        <v/>
      </c>
      <c r="U12" s="14">
        <f>O12</f>
        <v/>
      </c>
      <c r="V12" s="14">
        <f>O12</f>
        <v/>
      </c>
      <c r="W12" s="14">
        <f>O12</f>
        <v/>
      </c>
      <c r="X12" s="14">
        <f>O12</f>
        <v/>
      </c>
      <c r="Y12" s="14">
        <f>O12</f>
        <v/>
      </c>
      <c r="Z12" s="14">
        <f>O12</f>
        <v/>
      </c>
      <c r="AA12" s="14">
        <f>O12</f>
        <v/>
      </c>
      <c r="AB12" s="14">
        <f>O12</f>
        <v/>
      </c>
      <c r="AC12" s="14">
        <f>O12</f>
        <v/>
      </c>
      <c r="AD12" s="14">
        <f>O12</f>
        <v/>
      </c>
      <c r="AE12" s="14">
        <f>O12</f>
        <v/>
      </c>
      <c r="AF12" s="14">
        <f>O12</f>
        <v/>
      </c>
      <c r="AG12" s="14">
        <f>O12</f>
        <v/>
      </c>
      <c r="AH12" s="14">
        <f>O12</f>
        <v/>
      </c>
    </row>
    <row r="13">
      <c r="A13" s="3" t="inlineStr">
        <is>
          <t>Short-Term Debt Obligations</t>
        </is>
      </c>
      <c r="B13" s="4">
        <f>'QTR BS'!B15</f>
        <v/>
      </c>
      <c r="C13" s="4">
        <f>'QTR BS'!C15</f>
        <v/>
      </c>
      <c r="D13" s="4">
        <f>'QTR BS'!D15</f>
        <v/>
      </c>
      <c r="E13" s="4">
        <f>'QTR BS'!E15</f>
        <v/>
      </c>
      <c r="F13" s="4">
        <f>'QTR BS'!F15</f>
        <v/>
      </c>
      <c r="G13" s="4">
        <f>'QTR BS'!G15</f>
        <v/>
      </c>
      <c r="H13" s="4">
        <f>'QTR BS'!H15</f>
        <v/>
      </c>
      <c r="I13" s="4">
        <f>'QTR BS'!I15</f>
        <v/>
      </c>
      <c r="J13" s="4">
        <f>'QTR BS'!J15</f>
        <v/>
      </c>
      <c r="K13" s="4">
        <f>'QTR BS'!K15</f>
        <v/>
      </c>
      <c r="L13" s="4">
        <f>'QTR BS'!L15</f>
        <v/>
      </c>
      <c r="M13" s="4">
        <f>'QTR BS'!M15</f>
        <v/>
      </c>
      <c r="N13" s="4">
        <f>'QTR BS'!N15</f>
        <v/>
      </c>
      <c r="O13" s="4">
        <f>'QTR BS'!O15</f>
        <v/>
      </c>
      <c r="P13" s="15">
        <f>O13</f>
        <v/>
      </c>
      <c r="Q13" s="15">
        <f>O13</f>
        <v/>
      </c>
      <c r="R13" s="15">
        <f>O13</f>
        <v/>
      </c>
      <c r="S13" s="15">
        <f>O13</f>
        <v/>
      </c>
      <c r="T13" s="15">
        <f>O13</f>
        <v/>
      </c>
      <c r="U13" s="15">
        <f>O13</f>
        <v/>
      </c>
      <c r="V13" s="15">
        <f>O13</f>
        <v/>
      </c>
      <c r="W13" s="15">
        <f>O13</f>
        <v/>
      </c>
      <c r="X13" s="15">
        <f>O13</f>
        <v/>
      </c>
      <c r="Y13" s="15">
        <f>O13</f>
        <v/>
      </c>
      <c r="Z13" s="15">
        <f>O13</f>
        <v/>
      </c>
      <c r="AA13" s="15">
        <f>O13</f>
        <v/>
      </c>
      <c r="AB13" s="15">
        <f>O13</f>
        <v/>
      </c>
      <c r="AC13" s="15">
        <f>O13</f>
        <v/>
      </c>
      <c r="AD13" s="15">
        <f>O13</f>
        <v/>
      </c>
      <c r="AE13" s="15">
        <f>O13</f>
        <v/>
      </c>
      <c r="AF13" s="15">
        <f>O13</f>
        <v/>
      </c>
      <c r="AG13" s="15">
        <f>O13</f>
        <v/>
      </c>
      <c r="AH13" s="15">
        <f>O13</f>
        <v/>
      </c>
    </row>
    <row r="14">
      <c r="A14" s="3" t="inlineStr">
        <is>
          <t>Accrued Expenses — % of Revenue</t>
        </is>
      </c>
      <c r="B14" s="13">
        <f>IFERROR('QTR BS'!B16/'QTR P&amp;L'!B2,"")</f>
        <v/>
      </c>
      <c r="C14" s="13">
        <f>IFERROR('QTR BS'!C16/'QTR P&amp;L'!C2,"")</f>
        <v/>
      </c>
      <c r="D14" s="13">
        <f>IFERROR('QTR BS'!D16/'QTR P&amp;L'!D2,"")</f>
        <v/>
      </c>
      <c r="E14" s="13">
        <f>IFERROR('QTR BS'!E16/'QTR P&amp;L'!E2,"")</f>
        <v/>
      </c>
      <c r="F14" s="13">
        <f>IFERROR('QTR BS'!F16/'QTR P&amp;L'!F2,"")</f>
        <v/>
      </c>
      <c r="G14" s="13">
        <f>IFERROR('QTR BS'!G16/'QTR P&amp;L'!G2,"")</f>
        <v/>
      </c>
      <c r="H14" s="13">
        <f>IFERROR('QTR BS'!H16/'QTR P&amp;L'!H2,"")</f>
        <v/>
      </c>
      <c r="I14" s="13">
        <f>IFERROR('QTR BS'!I16/'QTR P&amp;L'!I2,"")</f>
        <v/>
      </c>
      <c r="J14" s="13">
        <f>IFERROR('QTR BS'!J16/'QTR P&amp;L'!J2,"")</f>
        <v/>
      </c>
      <c r="K14" s="13">
        <f>IFERROR('QTR BS'!K16/'QTR P&amp;L'!K2,"")</f>
        <v/>
      </c>
      <c r="L14" s="13">
        <f>IFERROR('QTR BS'!L16/'QTR P&amp;L'!L2,"")</f>
        <v/>
      </c>
      <c r="M14" s="13">
        <f>IFERROR('QTR BS'!M16/'QTR P&amp;L'!M2,"")</f>
        <v/>
      </c>
      <c r="N14" s="13">
        <f>IFERROR('QTR BS'!N16/'QTR P&amp;L'!N2,"")</f>
        <v/>
      </c>
      <c r="O14" s="13">
        <f>IFERROR('QTR BS'!O16/'QTR P&amp;L'!O2,"")</f>
        <v/>
      </c>
      <c r="P14" s="14">
        <f>O14</f>
        <v/>
      </c>
      <c r="Q14" s="14">
        <f>O14</f>
        <v/>
      </c>
      <c r="R14" s="14">
        <f>O14</f>
        <v/>
      </c>
      <c r="S14" s="14">
        <f>O14</f>
        <v/>
      </c>
      <c r="T14" s="14">
        <f>O14</f>
        <v/>
      </c>
      <c r="U14" s="14">
        <f>O14</f>
        <v/>
      </c>
      <c r="V14" s="14">
        <f>O14</f>
        <v/>
      </c>
      <c r="W14" s="14">
        <f>O14</f>
        <v/>
      </c>
      <c r="X14" s="14">
        <f>O14</f>
        <v/>
      </c>
      <c r="Y14" s="14">
        <f>O14</f>
        <v/>
      </c>
      <c r="Z14" s="14">
        <f>O14</f>
        <v/>
      </c>
      <c r="AA14" s="14">
        <f>O14</f>
        <v/>
      </c>
      <c r="AB14" s="14">
        <f>O14</f>
        <v/>
      </c>
      <c r="AC14" s="14">
        <f>O14</f>
        <v/>
      </c>
      <c r="AD14" s="14">
        <f>O14</f>
        <v/>
      </c>
      <c r="AE14" s="14">
        <f>O14</f>
        <v/>
      </c>
      <c r="AF14" s="14">
        <f>O14</f>
        <v/>
      </c>
      <c r="AG14" s="14">
        <f>O14</f>
        <v/>
      </c>
      <c r="AH14" s="14">
        <f>O14</f>
        <v/>
      </c>
    </row>
    <row r="15">
      <c r="A15" s="3" t="inlineStr">
        <is>
          <t>Long-Term Debt</t>
        </is>
      </c>
      <c r="B15" s="4">
        <f>'QTR BS'!B18</f>
        <v/>
      </c>
      <c r="C15" s="4">
        <f>'QTR BS'!C18</f>
        <v/>
      </c>
      <c r="D15" s="4">
        <f>'QTR BS'!D18</f>
        <v/>
      </c>
      <c r="E15" s="4">
        <f>'QTR BS'!E18</f>
        <v/>
      </c>
      <c r="F15" s="4">
        <f>'QTR BS'!F18</f>
        <v/>
      </c>
      <c r="G15" s="4">
        <f>'QTR BS'!G18</f>
        <v/>
      </c>
      <c r="H15" s="4">
        <f>'QTR BS'!H18</f>
        <v/>
      </c>
      <c r="I15" s="4">
        <f>'QTR BS'!I18</f>
        <v/>
      </c>
      <c r="J15" s="4">
        <f>'QTR BS'!J18</f>
        <v/>
      </c>
      <c r="K15" s="4">
        <f>'QTR BS'!K18</f>
        <v/>
      </c>
      <c r="L15" s="4">
        <f>'QTR BS'!L18</f>
        <v/>
      </c>
      <c r="M15" s="4">
        <f>'QTR BS'!M18</f>
        <v/>
      </c>
      <c r="N15" s="4">
        <f>'QTR BS'!N18</f>
        <v/>
      </c>
      <c r="O15" s="4">
        <f>'QTR BS'!O18</f>
        <v/>
      </c>
      <c r="P15" s="15">
        <f>O15</f>
        <v/>
      </c>
      <c r="Q15" s="15">
        <f>O15</f>
        <v/>
      </c>
      <c r="R15" s="15">
        <f>O15</f>
        <v/>
      </c>
      <c r="S15" s="15">
        <f>O15</f>
        <v/>
      </c>
      <c r="T15" s="15">
        <f>O15</f>
        <v/>
      </c>
      <c r="U15" s="15">
        <f>O15</f>
        <v/>
      </c>
      <c r="V15" s="15">
        <f>O15</f>
        <v/>
      </c>
      <c r="W15" s="15">
        <f>O15</f>
        <v/>
      </c>
      <c r="X15" s="15">
        <f>O15</f>
        <v/>
      </c>
      <c r="Y15" s="15">
        <f>O15</f>
        <v/>
      </c>
      <c r="Z15" s="15">
        <f>O15</f>
        <v/>
      </c>
      <c r="AA15" s="15">
        <f>O15</f>
        <v/>
      </c>
      <c r="AB15" s="15">
        <f>O15</f>
        <v/>
      </c>
      <c r="AC15" s="15">
        <f>O15</f>
        <v/>
      </c>
      <c r="AD15" s="15">
        <f>O15</f>
        <v/>
      </c>
      <c r="AE15" s="15">
        <f>O15</f>
        <v/>
      </c>
      <c r="AF15" s="15">
        <f>O15</f>
        <v/>
      </c>
      <c r="AG15" s="15">
        <f>O15</f>
        <v/>
      </c>
      <c r="AH15" s="15">
        <f>O15</f>
        <v/>
      </c>
    </row>
    <row r="16">
      <c r="A16" s="3" t="inlineStr">
        <is>
          <t>Deferred Tax Liability</t>
        </is>
      </c>
      <c r="B16" s="4">
        <f>'QTR BS'!B19</f>
        <v/>
      </c>
      <c r="C16" s="4">
        <f>'QTR BS'!C19</f>
        <v/>
      </c>
      <c r="D16" s="4">
        <f>'QTR BS'!D19</f>
        <v/>
      </c>
      <c r="E16" s="4">
        <f>'QTR BS'!E19</f>
        <v/>
      </c>
      <c r="F16" s="4">
        <f>'QTR BS'!F19</f>
        <v/>
      </c>
      <c r="G16" s="4">
        <f>'QTR BS'!G19</f>
        <v/>
      </c>
      <c r="H16" s="4">
        <f>'QTR BS'!H19</f>
        <v/>
      </c>
      <c r="I16" s="4">
        <f>'QTR BS'!I19</f>
        <v/>
      </c>
      <c r="J16" s="4">
        <f>'QTR BS'!J19</f>
        <v/>
      </c>
      <c r="K16" s="4">
        <f>'QTR BS'!K19</f>
        <v/>
      </c>
      <c r="L16" s="4">
        <f>'QTR BS'!L19</f>
        <v/>
      </c>
      <c r="M16" s="4">
        <f>'QTR BS'!M19</f>
        <v/>
      </c>
      <c r="N16" s="4">
        <f>'QTR BS'!N19</f>
        <v/>
      </c>
      <c r="O16" s="4">
        <f>'QTR BS'!O19</f>
        <v/>
      </c>
      <c r="P16" s="15">
        <f>O16</f>
        <v/>
      </c>
      <c r="Q16" s="15">
        <f>O16</f>
        <v/>
      </c>
      <c r="R16" s="15">
        <f>O16</f>
        <v/>
      </c>
      <c r="S16" s="15">
        <f>O16</f>
        <v/>
      </c>
      <c r="T16" s="15">
        <f>O16</f>
        <v/>
      </c>
      <c r="U16" s="15">
        <f>O16</f>
        <v/>
      </c>
      <c r="V16" s="15">
        <f>O16</f>
        <v/>
      </c>
      <c r="W16" s="15">
        <f>O16</f>
        <v/>
      </c>
      <c r="X16" s="15">
        <f>O16</f>
        <v/>
      </c>
      <c r="Y16" s="15">
        <f>O16</f>
        <v/>
      </c>
      <c r="Z16" s="15">
        <f>O16</f>
        <v/>
      </c>
      <c r="AA16" s="15">
        <f>O16</f>
        <v/>
      </c>
      <c r="AB16" s="15">
        <f>O16</f>
        <v/>
      </c>
      <c r="AC16" s="15">
        <f>O16</f>
        <v/>
      </c>
      <c r="AD16" s="15">
        <f>O16</f>
        <v/>
      </c>
      <c r="AE16" s="15">
        <f>O16</f>
        <v/>
      </c>
      <c r="AF16" s="15">
        <f>O16</f>
        <v/>
      </c>
      <c r="AG16" s="15">
        <f>O16</f>
        <v/>
      </c>
      <c r="AH16" s="15">
        <f>O16</f>
        <v/>
      </c>
    </row>
    <row r="17">
      <c r="A17" s="3" t="inlineStr">
        <is>
          <t>Other Non-Current Liabilities — % of Revenue</t>
        </is>
      </c>
      <c r="B17" s="13">
        <f>IFERROR('QTR BS'!B20/'QTR P&amp;L'!B2,"")</f>
        <v/>
      </c>
      <c r="C17" s="13">
        <f>IFERROR('QTR BS'!C20/'QTR P&amp;L'!C2,"")</f>
        <v/>
      </c>
      <c r="D17" s="13">
        <f>IFERROR('QTR BS'!D20/'QTR P&amp;L'!D2,"")</f>
        <v/>
      </c>
      <c r="E17" s="13">
        <f>IFERROR('QTR BS'!E20/'QTR P&amp;L'!E2,"")</f>
        <v/>
      </c>
      <c r="F17" s="13">
        <f>IFERROR('QTR BS'!F20/'QTR P&amp;L'!F2,"")</f>
        <v/>
      </c>
      <c r="G17" s="13">
        <f>IFERROR('QTR BS'!G20/'QTR P&amp;L'!G2,"")</f>
        <v/>
      </c>
      <c r="H17" s="13">
        <f>IFERROR('QTR BS'!H20/'QTR P&amp;L'!H2,"")</f>
        <v/>
      </c>
      <c r="I17" s="13">
        <f>IFERROR('QTR BS'!I20/'QTR P&amp;L'!I2,"")</f>
        <v/>
      </c>
      <c r="J17" s="13">
        <f>IFERROR('QTR BS'!J20/'QTR P&amp;L'!J2,"")</f>
        <v/>
      </c>
      <c r="K17" s="13">
        <f>IFERROR('QTR BS'!K20/'QTR P&amp;L'!K2,"")</f>
        <v/>
      </c>
      <c r="L17" s="13">
        <f>IFERROR('QTR BS'!L20/'QTR P&amp;L'!L2,"")</f>
        <v/>
      </c>
      <c r="M17" s="13">
        <f>IFERROR('QTR BS'!M20/'QTR P&amp;L'!M2,"")</f>
        <v/>
      </c>
      <c r="N17" s="13">
        <f>IFERROR('QTR BS'!N20/'QTR P&amp;L'!N2,"")</f>
        <v/>
      </c>
      <c r="O17" s="13">
        <f>IFERROR('QTR BS'!O20/'QTR P&amp;L'!O2,"")</f>
        <v/>
      </c>
      <c r="P17" s="14">
        <f>O17</f>
        <v/>
      </c>
      <c r="Q17" s="14">
        <f>O17</f>
        <v/>
      </c>
      <c r="R17" s="14">
        <f>O17</f>
        <v/>
      </c>
      <c r="S17" s="14">
        <f>O17</f>
        <v/>
      </c>
      <c r="T17" s="14">
        <f>O17</f>
        <v/>
      </c>
      <c r="U17" s="14">
        <f>O17</f>
        <v/>
      </c>
      <c r="V17" s="14">
        <f>O17</f>
        <v/>
      </c>
      <c r="W17" s="14">
        <f>O17</f>
        <v/>
      </c>
      <c r="X17" s="14">
        <f>O17</f>
        <v/>
      </c>
      <c r="Y17" s="14">
        <f>O17</f>
        <v/>
      </c>
      <c r="Z17" s="14">
        <f>O17</f>
        <v/>
      </c>
      <c r="AA17" s="14">
        <f>O17</f>
        <v/>
      </c>
      <c r="AB17" s="14">
        <f>O17</f>
        <v/>
      </c>
      <c r="AC17" s="14">
        <f>O17</f>
        <v/>
      </c>
      <c r="AD17" s="14">
        <f>O17</f>
        <v/>
      </c>
      <c r="AE17" s="14">
        <f>O17</f>
        <v/>
      </c>
      <c r="AF17" s="14">
        <f>O17</f>
        <v/>
      </c>
      <c r="AG17" s="14">
        <f>O17</f>
        <v/>
      </c>
      <c r="AH17" s="14">
        <f>O17</f>
        <v/>
      </c>
    </row>
    <row r="18">
      <c r="A18" s="3" t="inlineStr">
        <is>
          <t>Common Stock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15">
        <f>O18</f>
        <v/>
      </c>
      <c r="Q18" s="15">
        <f>O18</f>
        <v/>
      </c>
      <c r="R18" s="15">
        <f>O18</f>
        <v/>
      </c>
      <c r="S18" s="15">
        <f>O18</f>
        <v/>
      </c>
      <c r="T18" s="15">
        <f>O18</f>
        <v/>
      </c>
      <c r="U18" s="15">
        <f>O18</f>
        <v/>
      </c>
      <c r="V18" s="15">
        <f>O18</f>
        <v/>
      </c>
      <c r="W18" s="15">
        <f>O18</f>
        <v/>
      </c>
      <c r="X18" s="15">
        <f>O18</f>
        <v/>
      </c>
      <c r="Y18" s="15">
        <f>O18</f>
        <v/>
      </c>
      <c r="Z18" s="15">
        <f>O18</f>
        <v/>
      </c>
      <c r="AA18" s="15">
        <f>O18</f>
        <v/>
      </c>
      <c r="AB18" s="15">
        <f>O18</f>
        <v/>
      </c>
      <c r="AC18" s="15">
        <f>O18</f>
        <v/>
      </c>
      <c r="AD18" s="15">
        <f>O18</f>
        <v/>
      </c>
      <c r="AE18" s="15">
        <f>O18</f>
        <v/>
      </c>
      <c r="AF18" s="15">
        <f>O18</f>
        <v/>
      </c>
      <c r="AG18" s="15">
        <f>O18</f>
        <v/>
      </c>
      <c r="AH18" s="15">
        <f>O18</f>
        <v/>
      </c>
    </row>
    <row r="19">
      <c r="A19" s="3" t="inlineStr">
        <is>
          <t>Additional Paid-in Capital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4">
        <f>O19+'QTR CF'!S9</f>
        <v/>
      </c>
      <c r="Q19" s="4">
        <f>P19+'QTR CF'!T9</f>
        <v/>
      </c>
      <c r="R19" s="4">
        <f>Q19+'QTR CF'!U9</f>
        <v/>
      </c>
      <c r="S19" s="4">
        <f>R19+'QTR CF'!V9</f>
        <v/>
      </c>
      <c r="T19" s="4">
        <f>S19+'QTR CF'!W9</f>
        <v/>
      </c>
      <c r="U19" s="4">
        <f>T19+'QTR CF'!X9</f>
        <v/>
      </c>
      <c r="V19" s="4">
        <f>U19+'QTR CF'!Y9</f>
        <v/>
      </c>
      <c r="W19" s="4">
        <f>V19+'QTR CF'!Z9</f>
        <v/>
      </c>
      <c r="X19" s="4">
        <f>W19+'QTR CF'!AA9</f>
        <v/>
      </c>
      <c r="Y19" s="4">
        <f>X19+'QTR CF'!AB9</f>
        <v/>
      </c>
      <c r="Z19" s="4">
        <f>Y19+'QTR CF'!AC9</f>
        <v/>
      </c>
      <c r="AA19" s="4">
        <f>Z19+'QTR CF'!AD9</f>
        <v/>
      </c>
      <c r="AB19" s="4">
        <f>AA19+'QTR CF'!AE9</f>
        <v/>
      </c>
      <c r="AC19" s="4">
        <f>AB19+'QTR CF'!AF9</f>
        <v/>
      </c>
      <c r="AD19" s="4">
        <f>AC19+'QTR CF'!AG9</f>
        <v/>
      </c>
      <c r="AE19" s="4">
        <f>AD19+'QTR CF'!AH9</f>
        <v/>
      </c>
      <c r="AF19" s="4">
        <f>AE19+'QTR CF'!AI9</f>
        <v/>
      </c>
      <c r="AG19" s="4">
        <f>AF19+'QTR CF'!AJ9</f>
        <v/>
      </c>
      <c r="AH19" s="4">
        <f>AG19+'QTR CF'!AK9</f>
        <v/>
      </c>
    </row>
    <row r="20">
      <c r="A20" s="3" t="inlineStr">
        <is>
          <t>Retained Earnings (Accumulated Deficit)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O20+'QTR P&amp;L'!S13+'QTR CF'!S39</f>
        <v/>
      </c>
      <c r="Q20" s="4">
        <f>P20+'QTR P&amp;L'!T13+'QTR CF'!T39</f>
        <v/>
      </c>
      <c r="R20" s="4">
        <f>Q20+'QTR P&amp;L'!U13+'QTR CF'!U39</f>
        <v/>
      </c>
      <c r="S20" s="4">
        <f>R20+'QTR P&amp;L'!V13+'QTR CF'!V39</f>
        <v/>
      </c>
      <c r="T20" s="4">
        <f>S20+'QTR P&amp;L'!W13+'QTR CF'!W39</f>
        <v/>
      </c>
      <c r="U20" s="4">
        <f>T20+'QTR P&amp;L'!X13+'QTR CF'!X39</f>
        <v/>
      </c>
      <c r="V20" s="4">
        <f>U20+'QTR P&amp;L'!Y13+'QTR CF'!Y39</f>
        <v/>
      </c>
      <c r="W20" s="4">
        <f>V20+'QTR P&amp;L'!Z13+'QTR CF'!Z39</f>
        <v/>
      </c>
      <c r="X20" s="4">
        <f>W20+'QTR P&amp;L'!AA13+'QTR CF'!AA39</f>
        <v/>
      </c>
      <c r="Y20" s="4">
        <f>X20+'QTR P&amp;L'!AB13+'QTR CF'!AB39</f>
        <v/>
      </c>
      <c r="Z20" s="4">
        <f>Y20+'QTR P&amp;L'!AC13+'QTR CF'!AC39</f>
        <v/>
      </c>
      <c r="AA20" s="4">
        <f>Z20+'QTR P&amp;L'!AD13+'QTR CF'!AD39</f>
        <v/>
      </c>
      <c r="AB20" s="4">
        <f>AA20+'QTR P&amp;L'!AE13+'QTR CF'!AE39</f>
        <v/>
      </c>
      <c r="AC20" s="4">
        <f>AB20+'QTR P&amp;L'!AF13+'QTR CF'!AF39</f>
        <v/>
      </c>
      <c r="AD20" s="4">
        <f>AC20+'QTR P&amp;L'!AG13+'QTR CF'!AG39</f>
        <v/>
      </c>
      <c r="AE20" s="4">
        <f>AD20+'QTR P&amp;L'!AH13+'QTR CF'!AH39</f>
        <v/>
      </c>
      <c r="AF20" s="4">
        <f>AE20+'QTR P&amp;L'!AI13+'QTR CF'!AI39</f>
        <v/>
      </c>
      <c r="AG20" s="4">
        <f>AF20+'QTR P&amp;L'!AJ13+'QTR CF'!AJ39</f>
        <v/>
      </c>
      <c r="AH20" s="4">
        <f>AG20+'QTR P&amp;L'!AK13+'QTR CF'!AK39</f>
        <v/>
      </c>
    </row>
    <row r="21">
      <c r="A21" s="3" t="inlineStr">
        <is>
          <t>Accumulated Other Comprehensive Income (Loss)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4">
        <f>O21+'QTR CF'!S45</f>
        <v/>
      </c>
      <c r="Q21" s="4">
        <f>P21+'QTR CF'!T45</f>
        <v/>
      </c>
      <c r="R21" s="4">
        <f>Q21+'QTR CF'!U45</f>
        <v/>
      </c>
      <c r="S21" s="4">
        <f>R21+'QTR CF'!V45</f>
        <v/>
      </c>
      <c r="T21" s="4">
        <f>S21+'QTR CF'!W45</f>
        <v/>
      </c>
      <c r="U21" s="4">
        <f>T21+'QTR CF'!X45</f>
        <v/>
      </c>
      <c r="V21" s="4">
        <f>U21+'QTR CF'!Y45</f>
        <v/>
      </c>
      <c r="W21" s="4">
        <f>V21+'QTR CF'!Z45</f>
        <v/>
      </c>
      <c r="X21" s="4">
        <f>W21+'QTR CF'!AA45</f>
        <v/>
      </c>
      <c r="Y21" s="4">
        <f>X21+'QTR CF'!AB45</f>
        <v/>
      </c>
      <c r="Z21" s="4">
        <f>Y21+'QTR CF'!AC45</f>
        <v/>
      </c>
      <c r="AA21" s="4">
        <f>Z21+'QTR CF'!AD45</f>
        <v/>
      </c>
      <c r="AB21" s="4">
        <f>AA21+'QTR CF'!AE45</f>
        <v/>
      </c>
      <c r="AC21" s="4">
        <f>AB21+'QTR CF'!AF45</f>
        <v/>
      </c>
      <c r="AD21" s="4">
        <f>AC21+'QTR CF'!AG45</f>
        <v/>
      </c>
      <c r="AE21" s="4">
        <f>AD21+'QTR CF'!AH45</f>
        <v/>
      </c>
      <c r="AF21" s="4">
        <f>AE21+'QTR CF'!AI45</f>
        <v/>
      </c>
      <c r="AG21" s="4">
        <f>AF21+'QTR CF'!AJ45</f>
        <v/>
      </c>
      <c r="AH21" s="4">
        <f>AG21+'QTR CF'!AK45</f>
        <v/>
      </c>
    </row>
    <row r="22">
      <c r="A22" s="3" t="inlineStr">
        <is>
          <t>Treasury Stock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15">
        <f>O22</f>
        <v/>
      </c>
      <c r="Q22" s="15">
        <f>O22</f>
        <v/>
      </c>
      <c r="R22" s="15">
        <f>O22</f>
        <v/>
      </c>
      <c r="S22" s="15">
        <f>O22</f>
        <v/>
      </c>
      <c r="T22" s="15">
        <f>O22</f>
        <v/>
      </c>
      <c r="U22" s="15">
        <f>O22</f>
        <v/>
      </c>
      <c r="V22" s="15">
        <f>O22</f>
        <v/>
      </c>
      <c r="W22" s="15">
        <f>O22</f>
        <v/>
      </c>
      <c r="X22" s="15">
        <f>O22</f>
        <v/>
      </c>
      <c r="Y22" s="15">
        <f>O22</f>
        <v/>
      </c>
      <c r="Z22" s="15">
        <f>O22</f>
        <v/>
      </c>
      <c r="AA22" s="15">
        <f>O22</f>
        <v/>
      </c>
      <c r="AB22" s="15">
        <f>O22</f>
        <v/>
      </c>
      <c r="AC22" s="15">
        <f>O22</f>
        <v/>
      </c>
      <c r="AD22" s="15">
        <f>O22</f>
        <v/>
      </c>
      <c r="AE22" s="15">
        <f>O22</f>
        <v/>
      </c>
      <c r="AF22" s="15">
        <f>O22</f>
        <v/>
      </c>
      <c r="AG22" s="15">
        <f>O22</f>
        <v/>
      </c>
      <c r="AH22" s="15">
        <f>O22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15">
        <f>O23</f>
        <v/>
      </c>
      <c r="Q23" s="15">
        <f>O23</f>
        <v/>
      </c>
      <c r="R23" s="15">
        <f>O23</f>
        <v/>
      </c>
      <c r="S23" s="15">
        <f>O23</f>
        <v/>
      </c>
      <c r="T23" s="15">
        <f>O23</f>
        <v/>
      </c>
      <c r="U23" s="15">
        <f>O23</f>
        <v/>
      </c>
      <c r="V23" s="15">
        <f>O23</f>
        <v/>
      </c>
      <c r="W23" s="15">
        <f>O23</f>
        <v/>
      </c>
      <c r="X23" s="15">
        <f>O23</f>
        <v/>
      </c>
      <c r="Y23" s="15">
        <f>O23</f>
        <v/>
      </c>
      <c r="Z23" s="15">
        <f>O23</f>
        <v/>
      </c>
      <c r="AA23" s="15">
        <f>O23</f>
        <v/>
      </c>
      <c r="AB23" s="15">
        <f>O23</f>
        <v/>
      </c>
      <c r="AC23" s="15">
        <f>O23</f>
        <v/>
      </c>
      <c r="AD23" s="15">
        <f>O23</f>
        <v/>
      </c>
      <c r="AE23" s="15">
        <f>O23</f>
        <v/>
      </c>
      <c r="AF23" s="15">
        <f>O23</f>
        <v/>
      </c>
      <c r="AG23" s="15">
        <f>O23</f>
        <v/>
      </c>
      <c r="AH23" s="15">
        <f>O23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  <c r="AH2" s="4">
        <f>'QTR P&amp;L'!AH13</f>
        <v/>
      </c>
      <c r="AI2" s="4">
        <f>'QTR P&amp;L'!AI13</f>
        <v/>
      </c>
      <c r="AJ2" s="4">
        <f>'QTR P&amp;L'!AJ13</f>
        <v/>
      </c>
      <c r="AK2" s="4">
        <f>'QTR P&amp;L'!AK13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Gain on Juice Transaction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</row>
    <row r="5">
      <c r="A5" s="3" t="inlineStr">
        <is>
          <t>Impairment and Other Charges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Product Recall Impact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</row>
    <row r="7">
      <c r="A7" s="3" t="inlineStr">
        <is>
          <t>Cash Payments for Product Recall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</row>
    <row r="8">
      <c r="A8" s="3" t="inlineStr">
        <is>
          <t>Operating Lease ROU Asset Amortization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</row>
    <row r="9">
      <c r="A9" s="3" t="inlineStr">
        <is>
          <t>Stock-Based Compensation — % of Revenue</t>
        </is>
      </c>
      <c r="B9" s="13">
        <f>IFERROR('QTR CF'!B9/'QTR P&amp;L'!B2,"")</f>
        <v/>
      </c>
      <c r="C9" s="13">
        <f>IFERROR('QTR CF'!C9/'QTR P&amp;L'!C2,"")</f>
        <v/>
      </c>
      <c r="D9" s="13">
        <f>IFERROR('QTR CF'!D9/'QTR P&amp;L'!D2,"")</f>
        <v/>
      </c>
      <c r="E9" s="13">
        <f>IFERROR('QTR CF'!E9/'QTR P&amp;L'!E2,"")</f>
        <v/>
      </c>
      <c r="F9" s="13">
        <f>IFERROR('QTR CF'!F9/'QTR P&amp;L'!F2,"")</f>
        <v/>
      </c>
      <c r="G9" s="13">
        <f>IFERROR('QTR CF'!G9/'QTR P&amp;L'!G2,"")</f>
        <v/>
      </c>
      <c r="H9" s="13">
        <f>IFERROR('QTR CF'!H9/'QTR P&amp;L'!H2,"")</f>
        <v/>
      </c>
      <c r="I9" s="13">
        <f>IFERROR('QTR CF'!I9/'QTR P&amp;L'!I2,"")</f>
        <v/>
      </c>
      <c r="J9" s="13">
        <f>IFERROR('QTR CF'!J9/'QTR P&amp;L'!J2,"")</f>
        <v/>
      </c>
      <c r="K9" s="13">
        <f>IFERROR('QTR CF'!K9/'QTR P&amp;L'!K2,"")</f>
        <v/>
      </c>
      <c r="L9" s="13">
        <f>IFERROR('QTR CF'!L9/'QTR P&amp;L'!L2,"")</f>
        <v/>
      </c>
      <c r="M9" s="13">
        <f>IFERROR('QTR CF'!M9/'QTR P&amp;L'!M2,"")</f>
        <v/>
      </c>
      <c r="N9" s="13">
        <f>IFERROR('QTR CF'!N9/'QTR P&amp;L'!N2,"")</f>
        <v/>
      </c>
      <c r="O9" s="13">
        <f>IFERROR('QTR CF'!O9/'QTR P&amp;L'!O2,"")</f>
        <v/>
      </c>
      <c r="P9" s="13">
        <f>IFERROR('QTR CF'!P9/'QTR P&amp;L'!P2,"")</f>
        <v/>
      </c>
      <c r="Q9" s="13">
        <f>IFERROR('QTR CF'!Q9/'QTR P&amp;L'!Q2,"")</f>
        <v/>
      </c>
      <c r="R9" s="13">
        <f>IFERROR('QTR CF'!R9/'QTR P&amp;L'!R2,"")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Restructuring and Asset Impairment Charges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</row>
    <row r="11">
      <c r="A11" s="3" t="inlineStr">
        <is>
          <t>Cash Payments for Restructuring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</row>
    <row r="12">
      <c r="A12" s="3" t="inlineStr">
        <is>
          <t>Acquisition and Divestiture-Related Charges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</row>
    <row r="13">
      <c r="A13" s="3" t="inlineStr">
        <is>
          <t>Cash Payments for Acquisition and Divestiture Costs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</row>
    <row r="14">
      <c r="A14" s="3" t="inlineStr">
        <is>
          <t>Pension and Postretirement Benefits Expense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</row>
    <row r="15">
      <c r="A15" s="3" t="inlineStr">
        <is>
          <t>Pension and Postretirement Benefits Contributions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</row>
    <row r="16">
      <c r="A16" s="3" t="inlineStr">
        <is>
          <t>(Benefit) Provision for Deferred Income Taxes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'QTR CF'!R16</f>
        <v/>
      </c>
      <c r="S16" s="15">
        <f>R16</f>
        <v/>
      </c>
      <c r="T16" s="15">
        <f>R16</f>
        <v/>
      </c>
      <c r="U16" s="15">
        <f>R16</f>
        <v/>
      </c>
      <c r="V16" s="15">
        <f>R16</f>
        <v/>
      </c>
      <c r="W16" s="15">
        <f>R16</f>
        <v/>
      </c>
      <c r="X16" s="15">
        <f>R16</f>
        <v/>
      </c>
      <c r="Y16" s="15">
        <f>R16</f>
        <v/>
      </c>
      <c r="Z16" s="15">
        <f>R16</f>
        <v/>
      </c>
      <c r="AA16" s="15">
        <f>R16</f>
        <v/>
      </c>
      <c r="AB16" s="15">
        <f>R16</f>
        <v/>
      </c>
      <c r="AC16" s="15">
        <f>R16</f>
        <v/>
      </c>
      <c r="AD16" s="15">
        <f>R16</f>
        <v/>
      </c>
      <c r="AE16" s="15">
        <f>R16</f>
        <v/>
      </c>
      <c r="AF16" s="15">
        <f>R16</f>
        <v/>
      </c>
      <c r="AG16" s="15">
        <f>R16</f>
        <v/>
      </c>
      <c r="AH16" s="15">
        <f>R16</f>
        <v/>
      </c>
      <c r="AI16" s="15">
        <f>R16</f>
        <v/>
      </c>
      <c r="AJ16" s="15">
        <f>R16</f>
        <v/>
      </c>
      <c r="AK16" s="15">
        <f>R16</f>
        <v/>
      </c>
    </row>
    <row r="17">
      <c r="A17" s="3" t="inlineStr">
        <is>
          <t>Tax Expense Related to TCJ Act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'QTR CF'!R17</f>
        <v/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</row>
    <row r="18">
      <c r="A18" s="3" t="inlineStr">
        <is>
          <t>Tax Payments Related to TCJ Act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'QTR CF'!R18</f>
        <v/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</row>
    <row r="19">
      <c r="A19" s="3" t="inlineStr">
        <is>
          <t>Accounts Receivable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4">
        <f>'QTR CF'!R19</f>
        <v/>
      </c>
      <c r="S19" s="4">
        <f>-('QTR BS'!P4-'QTR BS'!O4)</f>
        <v/>
      </c>
      <c r="T19" s="4">
        <f>-('QTR BS'!Q4-'QTR BS'!P4)</f>
        <v/>
      </c>
      <c r="U19" s="4">
        <f>-('QTR BS'!R4-'QTR BS'!Q4)</f>
        <v/>
      </c>
      <c r="V19" s="4">
        <f>-('QTR BS'!S4-'QTR BS'!R4)</f>
        <v/>
      </c>
      <c r="W19" s="4">
        <f>-('QTR BS'!T4-'QTR BS'!S4)</f>
        <v/>
      </c>
      <c r="X19" s="4">
        <f>-('QTR BS'!U4-'QTR BS'!T4)</f>
        <v/>
      </c>
      <c r="Y19" s="4">
        <f>-('QTR BS'!V4-'QTR BS'!U4)</f>
        <v/>
      </c>
      <c r="Z19" s="4">
        <f>-('QTR BS'!W4-'QTR BS'!V4)</f>
        <v/>
      </c>
      <c r="AA19" s="4">
        <f>-('QTR BS'!X4-'QTR BS'!W4)</f>
        <v/>
      </c>
      <c r="AB19" s="4">
        <f>-('QTR BS'!Y4-'QTR BS'!X4)</f>
        <v/>
      </c>
      <c r="AC19" s="4">
        <f>-('QTR BS'!Z4-'QTR BS'!Y4)</f>
        <v/>
      </c>
      <c r="AD19" s="4">
        <f>-('QTR BS'!AA4-'QTR BS'!Z4)</f>
        <v/>
      </c>
      <c r="AE19" s="4">
        <f>-('QTR BS'!AB4-'QTR BS'!AA4)</f>
        <v/>
      </c>
      <c r="AF19" s="4">
        <f>-('QTR BS'!AC4-'QTR BS'!AB4)</f>
        <v/>
      </c>
      <c r="AG19" s="4">
        <f>-('QTR BS'!AD4-'QTR BS'!AC4)</f>
        <v/>
      </c>
      <c r="AH19" s="4">
        <f>-('QTR BS'!AE4-'QTR BS'!AD4)</f>
        <v/>
      </c>
      <c r="AI19" s="4">
        <f>-('QTR BS'!AF4-'QTR BS'!AE4)</f>
        <v/>
      </c>
      <c r="AJ19" s="4">
        <f>-('QTR BS'!AG4-'QTR BS'!AF4)</f>
        <v/>
      </c>
      <c r="AK19" s="4">
        <f>-('QTR BS'!AH4-'QTR BS'!AG4)</f>
        <v/>
      </c>
    </row>
    <row r="20">
      <c r="A20" s="3" t="inlineStr">
        <is>
          <t>Inventories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'QTR CF'!R20</f>
        <v/>
      </c>
      <c r="S20" s="4">
        <f>-('QTR BS'!P5-'QTR BS'!O5)</f>
        <v/>
      </c>
      <c r="T20" s="4">
        <f>-('QTR BS'!Q5-'QTR BS'!P5)</f>
        <v/>
      </c>
      <c r="U20" s="4">
        <f>-('QTR BS'!R5-'QTR BS'!Q5)</f>
        <v/>
      </c>
      <c r="V20" s="4">
        <f>-('QTR BS'!S5-'QTR BS'!R5)</f>
        <v/>
      </c>
      <c r="W20" s="4">
        <f>-('QTR BS'!T5-'QTR BS'!S5)</f>
        <v/>
      </c>
      <c r="X20" s="4">
        <f>-('QTR BS'!U5-'QTR BS'!T5)</f>
        <v/>
      </c>
      <c r="Y20" s="4">
        <f>-('QTR BS'!V5-'QTR BS'!U5)</f>
        <v/>
      </c>
      <c r="Z20" s="4">
        <f>-('QTR BS'!W5-'QTR BS'!V5)</f>
        <v/>
      </c>
      <c r="AA20" s="4">
        <f>-('QTR BS'!X5-'QTR BS'!W5)</f>
        <v/>
      </c>
      <c r="AB20" s="4">
        <f>-('QTR BS'!Y5-'QTR BS'!X5)</f>
        <v/>
      </c>
      <c r="AC20" s="4">
        <f>-('QTR BS'!Z5-'QTR BS'!Y5)</f>
        <v/>
      </c>
      <c r="AD20" s="4">
        <f>-('QTR BS'!AA5-'QTR BS'!Z5)</f>
        <v/>
      </c>
      <c r="AE20" s="4">
        <f>-('QTR BS'!AB5-'QTR BS'!AA5)</f>
        <v/>
      </c>
      <c r="AF20" s="4">
        <f>-('QTR BS'!AC5-'QTR BS'!AB5)</f>
        <v/>
      </c>
      <c r="AG20" s="4">
        <f>-('QTR BS'!AD5-'QTR BS'!AC5)</f>
        <v/>
      </c>
      <c r="AH20" s="4">
        <f>-('QTR BS'!AE5-'QTR BS'!AD5)</f>
        <v/>
      </c>
      <c r="AI20" s="4">
        <f>-('QTR BS'!AF5-'QTR BS'!AE5)</f>
        <v/>
      </c>
      <c r="AJ20" s="4">
        <f>-('QTR BS'!AG5-'QTR BS'!AF5)</f>
        <v/>
      </c>
      <c r="AK20" s="4">
        <f>-('QTR BS'!AH5-'QTR BS'!AG5)</f>
        <v/>
      </c>
    </row>
    <row r="21">
      <c r="A21" s="3" t="inlineStr">
        <is>
          <t>Prepaid Expenses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'QTR CF'!R21</f>
        <v/>
      </c>
      <c r="S21" s="4">
        <f>-('QTR BS'!P6-'QTR BS'!O6)</f>
        <v/>
      </c>
      <c r="T21" s="4">
        <f>-('QTR BS'!Q6-'QTR BS'!P6)</f>
        <v/>
      </c>
      <c r="U21" s="4">
        <f>-('QTR BS'!R6-'QTR BS'!Q6)</f>
        <v/>
      </c>
      <c r="V21" s="4">
        <f>-('QTR BS'!S6-'QTR BS'!R6)</f>
        <v/>
      </c>
      <c r="W21" s="4">
        <f>-('QTR BS'!T6-'QTR BS'!S6)</f>
        <v/>
      </c>
      <c r="X21" s="4">
        <f>-('QTR BS'!U6-'QTR BS'!T6)</f>
        <v/>
      </c>
      <c r="Y21" s="4">
        <f>-('QTR BS'!V6-'QTR BS'!U6)</f>
        <v/>
      </c>
      <c r="Z21" s="4">
        <f>-('QTR BS'!W6-'QTR BS'!V6)</f>
        <v/>
      </c>
      <c r="AA21" s="4">
        <f>-('QTR BS'!X6-'QTR BS'!W6)</f>
        <v/>
      </c>
      <c r="AB21" s="4">
        <f>-('QTR BS'!Y6-'QTR BS'!X6)</f>
        <v/>
      </c>
      <c r="AC21" s="4">
        <f>-('QTR BS'!Z6-'QTR BS'!Y6)</f>
        <v/>
      </c>
      <c r="AD21" s="4">
        <f>-('QTR BS'!AA6-'QTR BS'!Z6)</f>
        <v/>
      </c>
      <c r="AE21" s="4">
        <f>-('QTR BS'!AB6-'QTR BS'!AA6)</f>
        <v/>
      </c>
      <c r="AF21" s="4">
        <f>-('QTR BS'!AC6-'QTR BS'!AB6)</f>
        <v/>
      </c>
      <c r="AG21" s="4">
        <f>-('QTR BS'!AD6-'QTR BS'!AC6)</f>
        <v/>
      </c>
      <c r="AH21" s="4">
        <f>-('QTR BS'!AE6-'QTR BS'!AD6)</f>
        <v/>
      </c>
      <c r="AI21" s="4">
        <f>-('QTR BS'!AF6-'QTR BS'!AE6)</f>
        <v/>
      </c>
      <c r="AJ21" s="4">
        <f>-('QTR BS'!AG6-'QTR BS'!AF6)</f>
        <v/>
      </c>
      <c r="AK21" s="4">
        <f>-('QTR BS'!AH6-'QTR BS'!AG6)</f>
        <v/>
      </c>
    </row>
    <row r="22">
      <c r="A22" s="3" t="inlineStr">
        <is>
          <t>Accounts Payable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'QTR CF'!R22</f>
        <v/>
      </c>
      <c r="S22" s="4">
        <f>('QTR BS'!P16-'QTR BS'!O16)</f>
        <v/>
      </c>
      <c r="T22" s="4">
        <f>('QTR BS'!Q16-'QTR BS'!P16)</f>
        <v/>
      </c>
      <c r="U22" s="4">
        <f>('QTR BS'!R16-'QTR BS'!Q16)</f>
        <v/>
      </c>
      <c r="V22" s="4">
        <f>('QTR BS'!S16-'QTR BS'!R16)</f>
        <v/>
      </c>
      <c r="W22" s="4">
        <f>('QTR BS'!T16-'QTR BS'!S16)</f>
        <v/>
      </c>
      <c r="X22" s="4">
        <f>('QTR BS'!U16-'QTR BS'!T16)</f>
        <v/>
      </c>
      <c r="Y22" s="4">
        <f>('QTR BS'!V16-'QTR BS'!U16)</f>
        <v/>
      </c>
      <c r="Z22" s="4">
        <f>('QTR BS'!W16-'QTR BS'!V16)</f>
        <v/>
      </c>
      <c r="AA22" s="4">
        <f>('QTR BS'!X16-'QTR BS'!W16)</f>
        <v/>
      </c>
      <c r="AB22" s="4">
        <f>('QTR BS'!Y16-'QTR BS'!X16)</f>
        <v/>
      </c>
      <c r="AC22" s="4">
        <f>('QTR BS'!Z16-'QTR BS'!Y16)</f>
        <v/>
      </c>
      <c r="AD22" s="4">
        <f>('QTR BS'!AA16-'QTR BS'!Z16)</f>
        <v/>
      </c>
      <c r="AE22" s="4">
        <f>('QTR BS'!AB16-'QTR BS'!AA16)</f>
        <v/>
      </c>
      <c r="AF22" s="4">
        <f>('QTR BS'!AC16-'QTR BS'!AB16)</f>
        <v/>
      </c>
      <c r="AG22" s="4">
        <f>('QTR BS'!AD16-'QTR BS'!AC16)</f>
        <v/>
      </c>
      <c r="AH22" s="4">
        <f>('QTR BS'!AE16-'QTR BS'!AD16)</f>
        <v/>
      </c>
      <c r="AI22" s="4">
        <f>('QTR BS'!AF16-'QTR BS'!AE16)</f>
        <v/>
      </c>
      <c r="AJ22" s="4">
        <f>('QTR BS'!AG16-'QTR BS'!AF16)</f>
        <v/>
      </c>
      <c r="AK22" s="4">
        <f>('QTR BS'!AH16-'QTR BS'!AG16)</f>
        <v/>
      </c>
    </row>
    <row r="23">
      <c r="A23" s="3" t="inlineStr">
        <is>
          <t>Other Current Liabilities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'QTR CF'!R23</f>
        <v/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</row>
    <row r="24">
      <c r="A24" s="3" t="inlineStr">
        <is>
          <t>Other Operating Items</t>
        </is>
      </c>
      <c r="B24" s="4">
        <f>'QTR CF'!B24</f>
        <v/>
      </c>
      <c r="C24" s="4">
        <f>'QTR CF'!C24</f>
        <v/>
      </c>
      <c r="D24" s="4">
        <f>'QTR CF'!D24</f>
        <v/>
      </c>
      <c r="E24" s="4">
        <f>'QTR CF'!E24</f>
        <v/>
      </c>
      <c r="F24" s="4">
        <f>'QTR CF'!F24</f>
        <v/>
      </c>
      <c r="G24" s="4">
        <f>'QTR CF'!G24</f>
        <v/>
      </c>
      <c r="H24" s="4">
        <f>'QTR CF'!H24</f>
        <v/>
      </c>
      <c r="I24" s="4">
        <f>'QTR CF'!I24</f>
        <v/>
      </c>
      <c r="J24" s="4">
        <f>'QTR CF'!J24</f>
        <v/>
      </c>
      <c r="K24" s="4">
        <f>'QTR CF'!K24</f>
        <v/>
      </c>
      <c r="L24" s="4">
        <f>'QTR CF'!L24</f>
        <v/>
      </c>
      <c r="M24" s="4">
        <f>'QTR CF'!M24</f>
        <v/>
      </c>
      <c r="N24" s="4">
        <f>'QTR CF'!N24</f>
        <v/>
      </c>
      <c r="O24" s="4">
        <f>'QTR CF'!O24</f>
        <v/>
      </c>
      <c r="P24" s="4">
        <f>'QTR CF'!P24</f>
        <v/>
      </c>
      <c r="Q24" s="4">
        <f>'QTR CF'!Q24</f>
        <v/>
      </c>
      <c r="R24" s="4">
        <f>'QTR CF'!R24</f>
        <v/>
      </c>
      <c r="S24" s="4">
        <f>-('QTR BS'!P13-'QTR BS'!O13)+('QTR BS'!P20-'QTR BS'!O20)-('QTR BS'!P3-'QTR BS'!O3)-('QTR BS'!P9-'QTR BS'!O9)-('QTR BS'!P10-'QTR BS'!O10)-('QTR BS'!P11-'QTR BS'!O11)+('QTR BS'!P15-'QTR BS'!O15)+('QTR BS'!P18-'QTR BS'!O18)+('QTR BS'!P19-'QTR BS'!O19)+('QTR BS'!P22-'QTR BS'!O22)+('QTR BS'!P26-'QTR BS'!O26)+('QTR BS'!P27-'QTR BS'!O27)</f>
        <v/>
      </c>
      <c r="T24" s="4">
        <f>-('QTR BS'!Q13-'QTR BS'!P13)+('QTR BS'!Q20-'QTR BS'!P20)-('QTR BS'!Q3-'QTR BS'!P3)-('QTR BS'!Q9-'QTR BS'!P9)-('QTR BS'!Q10-'QTR BS'!P10)-('QTR BS'!Q11-'QTR BS'!P11)+('QTR BS'!Q15-'QTR BS'!P15)+('QTR BS'!Q18-'QTR BS'!P18)+('QTR BS'!Q19-'QTR BS'!P19)+('QTR BS'!Q22-'QTR BS'!P22)+('QTR BS'!Q26-'QTR BS'!P26)+('QTR BS'!Q27-'QTR BS'!P27)</f>
        <v/>
      </c>
      <c r="U24" s="4">
        <f>-('QTR BS'!R13-'QTR BS'!Q13)+('QTR BS'!R20-'QTR BS'!Q20)-('QTR BS'!R3-'QTR BS'!Q3)-('QTR BS'!R9-'QTR BS'!Q9)-('QTR BS'!R10-'QTR BS'!Q10)-('QTR BS'!R11-'QTR BS'!Q11)+('QTR BS'!R15-'QTR BS'!Q15)+('QTR BS'!R18-'QTR BS'!Q18)+('QTR BS'!R19-'QTR BS'!Q19)+('QTR BS'!R22-'QTR BS'!Q22)+('QTR BS'!R26-'QTR BS'!Q26)+('QTR BS'!R27-'QTR BS'!Q27)</f>
        <v/>
      </c>
      <c r="V24" s="4">
        <f>-('QTR BS'!S13-'QTR BS'!R13)+('QTR BS'!S20-'QTR BS'!R20)-('QTR BS'!S3-'QTR BS'!R3)-('QTR BS'!S9-'QTR BS'!R9)-('QTR BS'!S10-'QTR BS'!R10)-('QTR BS'!S11-'QTR BS'!R11)+('QTR BS'!S15-'QTR BS'!R15)+('QTR BS'!S18-'QTR BS'!R18)+('QTR BS'!S19-'QTR BS'!R19)+('QTR BS'!S22-'QTR BS'!R22)+('QTR BS'!S26-'QTR BS'!R26)+('QTR BS'!S27-'QTR BS'!R27)</f>
        <v/>
      </c>
      <c r="W24" s="4">
        <f>-('QTR BS'!T13-'QTR BS'!S13)+('QTR BS'!T20-'QTR BS'!S20)-('QTR BS'!T3-'QTR BS'!S3)-('QTR BS'!T9-'QTR BS'!S9)-('QTR BS'!T10-'QTR BS'!S10)-('QTR BS'!T11-'QTR BS'!S11)+('QTR BS'!T15-'QTR BS'!S15)+('QTR BS'!T18-'QTR BS'!S18)+('QTR BS'!T19-'QTR BS'!S19)+('QTR BS'!T22-'QTR BS'!S22)+('QTR BS'!T26-'QTR BS'!S26)+('QTR BS'!T27-'QTR BS'!S27)</f>
        <v/>
      </c>
      <c r="X24" s="4">
        <f>-('QTR BS'!U13-'QTR BS'!T13)+('QTR BS'!U20-'QTR BS'!T20)-('QTR BS'!U3-'QTR BS'!T3)-('QTR BS'!U9-'QTR BS'!T9)-('QTR BS'!U10-'QTR BS'!T10)-('QTR BS'!U11-'QTR BS'!T11)+('QTR BS'!U15-'QTR BS'!T15)+('QTR BS'!U18-'QTR BS'!T18)+('QTR BS'!U19-'QTR BS'!T19)+('QTR BS'!U22-'QTR BS'!T22)+('QTR BS'!U26-'QTR BS'!T26)+('QTR BS'!U27-'QTR BS'!T27)</f>
        <v/>
      </c>
      <c r="Y24" s="4">
        <f>-('QTR BS'!V13-'QTR BS'!U13)+('QTR BS'!V20-'QTR BS'!U20)-('QTR BS'!V3-'QTR BS'!U3)-('QTR BS'!V9-'QTR BS'!U9)-('QTR BS'!V10-'QTR BS'!U10)-('QTR BS'!V11-'QTR BS'!U11)+('QTR BS'!V15-'QTR BS'!U15)+('QTR BS'!V18-'QTR BS'!U18)+('QTR BS'!V19-'QTR BS'!U19)+('QTR BS'!V22-'QTR BS'!U22)+('QTR BS'!V26-'QTR BS'!U26)+('QTR BS'!V27-'QTR BS'!U27)</f>
        <v/>
      </c>
      <c r="Z24" s="4">
        <f>-('QTR BS'!W13-'QTR BS'!V13)+('QTR BS'!W20-'QTR BS'!V20)-('QTR BS'!W3-'QTR BS'!V3)-('QTR BS'!W9-'QTR BS'!V9)-('QTR BS'!W10-'QTR BS'!V10)-('QTR BS'!W11-'QTR BS'!V11)+('QTR BS'!W15-'QTR BS'!V15)+('QTR BS'!W18-'QTR BS'!V18)+('QTR BS'!W19-'QTR BS'!V19)+('QTR BS'!W22-'QTR BS'!V22)+('QTR BS'!W26-'QTR BS'!V26)+('QTR BS'!W27-'QTR BS'!V27)</f>
        <v/>
      </c>
      <c r="AA24" s="4">
        <f>-('QTR BS'!X13-'QTR BS'!W13)+('QTR BS'!X20-'QTR BS'!W20)-('QTR BS'!X3-'QTR BS'!W3)-('QTR BS'!X9-'QTR BS'!W9)-('QTR BS'!X10-'QTR BS'!W10)-('QTR BS'!X11-'QTR BS'!W11)+('QTR BS'!X15-'QTR BS'!W15)+('QTR BS'!X18-'QTR BS'!W18)+('QTR BS'!X19-'QTR BS'!W19)+('QTR BS'!X22-'QTR BS'!W22)+('QTR BS'!X26-'QTR BS'!W26)+('QTR BS'!X27-'QTR BS'!W27)</f>
        <v/>
      </c>
      <c r="AB24" s="4">
        <f>-('QTR BS'!Y13-'QTR BS'!X13)+('QTR BS'!Y20-'QTR BS'!X20)-('QTR BS'!Y3-'QTR BS'!X3)-('QTR BS'!Y9-'QTR BS'!X9)-('QTR BS'!Y10-'QTR BS'!X10)-('QTR BS'!Y11-'QTR BS'!X11)+('QTR BS'!Y15-'QTR BS'!X15)+('QTR BS'!Y18-'QTR BS'!X18)+('QTR BS'!Y19-'QTR BS'!X19)+('QTR BS'!Y22-'QTR BS'!X22)+('QTR BS'!Y26-'QTR BS'!X26)+('QTR BS'!Y27-'QTR BS'!X27)</f>
        <v/>
      </c>
      <c r="AC24" s="4">
        <f>-('QTR BS'!Z13-'QTR BS'!Y13)+('QTR BS'!Z20-'QTR BS'!Y20)-('QTR BS'!Z3-'QTR BS'!Y3)-('QTR BS'!Z9-'QTR BS'!Y9)-('QTR BS'!Z10-'QTR BS'!Y10)-('QTR BS'!Z11-'QTR BS'!Y11)+('QTR BS'!Z15-'QTR BS'!Y15)+('QTR BS'!Z18-'QTR BS'!Y18)+('QTR BS'!Z19-'QTR BS'!Y19)+('QTR BS'!Z22-'QTR BS'!Y22)+('QTR BS'!Z26-'QTR BS'!Y26)+('QTR BS'!Z27-'QTR BS'!Y27)</f>
        <v/>
      </c>
      <c r="AD24" s="4">
        <f>-('QTR BS'!AA13-'QTR BS'!Z13)+('QTR BS'!AA20-'QTR BS'!Z20)-('QTR BS'!AA3-'QTR BS'!Z3)-('QTR BS'!AA9-'QTR BS'!Z9)-('QTR BS'!AA10-'QTR BS'!Z10)-('QTR BS'!AA11-'QTR BS'!Z11)+('QTR BS'!AA15-'QTR BS'!Z15)+('QTR BS'!AA18-'QTR BS'!Z18)+('QTR BS'!AA19-'QTR BS'!Z19)+('QTR BS'!AA22-'QTR BS'!Z22)+('QTR BS'!AA26-'QTR BS'!Z26)+('QTR BS'!AA27-'QTR BS'!Z27)</f>
        <v/>
      </c>
      <c r="AE24" s="4">
        <f>-('QTR BS'!AB13-'QTR BS'!AA13)+('QTR BS'!AB20-'QTR BS'!AA20)-('QTR BS'!AB3-'QTR BS'!AA3)-('QTR BS'!AB9-'QTR BS'!AA9)-('QTR BS'!AB10-'QTR BS'!AA10)-('QTR BS'!AB11-'QTR BS'!AA11)+('QTR BS'!AB15-'QTR BS'!AA15)+('QTR BS'!AB18-'QTR BS'!AA18)+('QTR BS'!AB19-'QTR BS'!AA19)+('QTR BS'!AB22-'QTR BS'!AA22)+('QTR BS'!AB26-'QTR BS'!AA26)+('QTR BS'!AB27-'QTR BS'!AA27)</f>
        <v/>
      </c>
      <c r="AF24" s="4">
        <f>-('QTR BS'!AC13-'QTR BS'!AB13)+('QTR BS'!AC20-'QTR BS'!AB20)-('QTR BS'!AC3-'QTR BS'!AB3)-('QTR BS'!AC9-'QTR BS'!AB9)-('QTR BS'!AC10-'QTR BS'!AB10)-('QTR BS'!AC11-'QTR BS'!AB11)+('QTR BS'!AC15-'QTR BS'!AB15)+('QTR BS'!AC18-'QTR BS'!AB18)+('QTR BS'!AC19-'QTR BS'!AB19)+('QTR BS'!AC22-'QTR BS'!AB22)+('QTR BS'!AC26-'QTR BS'!AB26)+('QTR BS'!AC27-'QTR BS'!AB27)</f>
        <v/>
      </c>
      <c r="AG24" s="4">
        <f>-('QTR BS'!AD13-'QTR BS'!AC13)+('QTR BS'!AD20-'QTR BS'!AC20)-('QTR BS'!AD3-'QTR BS'!AC3)-('QTR BS'!AD9-'QTR BS'!AC9)-('QTR BS'!AD10-'QTR BS'!AC10)-('QTR BS'!AD11-'QTR BS'!AC11)+('QTR BS'!AD15-'QTR BS'!AC15)+('QTR BS'!AD18-'QTR BS'!AC18)+('QTR BS'!AD19-'QTR BS'!AC19)+('QTR BS'!AD22-'QTR BS'!AC22)+('QTR BS'!AD26-'QTR BS'!AC26)+('QTR BS'!AD27-'QTR BS'!AC27)</f>
        <v/>
      </c>
      <c r="AH24" s="4">
        <f>-('QTR BS'!AE13-'QTR BS'!AD13)+('QTR BS'!AE20-'QTR BS'!AD20)-('QTR BS'!AE3-'QTR BS'!AD3)-('QTR BS'!AE9-'QTR BS'!AD9)-('QTR BS'!AE10-'QTR BS'!AD10)-('QTR BS'!AE11-'QTR BS'!AD11)+('QTR BS'!AE15-'QTR BS'!AD15)+('QTR BS'!AE18-'QTR BS'!AD18)+('QTR BS'!AE19-'QTR BS'!AD19)+('QTR BS'!AE22-'QTR BS'!AD22)+('QTR BS'!AE26-'QTR BS'!AD26)+('QTR BS'!AE27-'QTR BS'!AD27)</f>
        <v/>
      </c>
      <c r="AI24" s="4">
        <f>-('QTR BS'!AF13-'QTR BS'!AE13)+('QTR BS'!AF20-'QTR BS'!AE20)-('QTR BS'!AF3-'QTR BS'!AE3)-('QTR BS'!AF9-'QTR BS'!AE9)-('QTR BS'!AF10-'QTR BS'!AE10)-('QTR BS'!AF11-'QTR BS'!AE11)+('QTR BS'!AF15-'QTR BS'!AE15)+('QTR BS'!AF18-'QTR BS'!AE18)+('QTR BS'!AF19-'QTR BS'!AE19)+('QTR BS'!AF22-'QTR BS'!AE22)+('QTR BS'!AF26-'QTR BS'!AE26)+('QTR BS'!AF27-'QTR BS'!AE27)</f>
        <v/>
      </c>
      <c r="AJ24" s="4">
        <f>-('QTR BS'!AG13-'QTR BS'!AF13)+('QTR BS'!AG20-'QTR BS'!AF20)-('QTR BS'!AG3-'QTR BS'!AF3)-('QTR BS'!AG9-'QTR BS'!AF9)-('QTR BS'!AG10-'QTR BS'!AF10)-('QTR BS'!AG11-'QTR BS'!AF11)+('QTR BS'!AG15-'QTR BS'!AF15)+('QTR BS'!AG18-'QTR BS'!AF18)+('QTR BS'!AG19-'QTR BS'!AF19)+('QTR BS'!AG22-'QTR BS'!AF22)+('QTR BS'!AG26-'QTR BS'!AF26)+('QTR BS'!AG27-'QTR BS'!AF27)</f>
        <v/>
      </c>
      <c r="AK24" s="4">
        <f>-('QTR BS'!AH13-'QTR BS'!AG13)+('QTR BS'!AH20-'QTR BS'!AG20)-('QTR BS'!AH3-'QTR BS'!AG3)-('QTR BS'!AH9-'QTR BS'!AG9)-('QTR BS'!AH10-'QTR BS'!AG10)-('QTR BS'!AH11-'QTR BS'!AG11)+('QTR BS'!AH15-'QTR BS'!AG15)+('QTR BS'!AH18-'QTR BS'!AG18)+('QTR BS'!AH19-'QTR BS'!AG19)+('QTR BS'!AH22-'QTR BS'!AG22)+('QTR BS'!AH26-'QTR BS'!AG26)+('QTR BS'!AH27-'QTR BS'!AG27)</f>
        <v/>
      </c>
    </row>
    <row r="25">
      <c r="A25" s="3" t="inlineStr">
        <is>
          <t>Purchase of PP&amp;E — % of Revenue</t>
        </is>
      </c>
      <c r="B25" s="13">
        <f>IFERROR('QTR CF'!B26/'QTR P&amp;L'!B2,"")</f>
        <v/>
      </c>
      <c r="C25" s="13">
        <f>IFERROR('QTR CF'!C26/'QTR P&amp;L'!C2,"")</f>
        <v/>
      </c>
      <c r="D25" s="13">
        <f>IFERROR('QTR CF'!D26/'QTR P&amp;L'!D2,"")</f>
        <v/>
      </c>
      <c r="E25" s="13">
        <f>IFERROR('QTR CF'!E26/'QTR P&amp;L'!E2,"")</f>
        <v/>
      </c>
      <c r="F25" s="13">
        <f>IFERROR('QTR CF'!F26/'QTR P&amp;L'!F2,"")</f>
        <v/>
      </c>
      <c r="G25" s="13">
        <f>IFERROR('QTR CF'!G26/'QTR P&amp;L'!G2,"")</f>
        <v/>
      </c>
      <c r="H25" s="13">
        <f>IFERROR('QTR CF'!H26/'QTR P&amp;L'!H2,"")</f>
        <v/>
      </c>
      <c r="I25" s="13">
        <f>IFERROR('QTR CF'!I26/'QTR P&amp;L'!I2,"")</f>
        <v/>
      </c>
      <c r="J25" s="13">
        <f>IFERROR('QTR CF'!J26/'QTR P&amp;L'!J2,"")</f>
        <v/>
      </c>
      <c r="K25" s="13">
        <f>IFERROR('QTR CF'!K26/'QTR P&amp;L'!K2,"")</f>
        <v/>
      </c>
      <c r="L25" s="13">
        <f>IFERROR('QTR CF'!L26/'QTR P&amp;L'!L2,"")</f>
        <v/>
      </c>
      <c r="M25" s="13">
        <f>IFERROR('QTR CF'!M26/'QTR P&amp;L'!M2,"")</f>
        <v/>
      </c>
      <c r="N25" s="13">
        <f>IFERROR('QTR CF'!N26/'QTR P&amp;L'!N2,"")</f>
        <v/>
      </c>
      <c r="O25" s="13">
        <f>IFERROR('QTR CF'!O26/'QTR P&amp;L'!O2,"")</f>
        <v/>
      </c>
      <c r="P25" s="13">
        <f>IFERROR('QTR CF'!P26/'QTR P&amp;L'!P2,"")</f>
        <v/>
      </c>
      <c r="Q25" s="13">
        <f>IFERROR('QTR CF'!Q26/'QTR P&amp;L'!Q2,"")</f>
        <v/>
      </c>
      <c r="R25" s="13">
        <f>IFERROR('QTR CF'!R26/'QTR P&amp;L'!R2,"")</f>
        <v/>
      </c>
      <c r="S25" s="14">
        <f>R25</f>
        <v/>
      </c>
      <c r="T25" s="14">
        <f>R25</f>
        <v/>
      </c>
      <c r="U25" s="14">
        <f>R25</f>
        <v/>
      </c>
      <c r="V25" s="14">
        <f>R25</f>
        <v/>
      </c>
      <c r="W25" s="14">
        <f>R25</f>
        <v/>
      </c>
      <c r="X25" s="14">
        <f>R25</f>
        <v/>
      </c>
      <c r="Y25" s="14">
        <f>R25</f>
        <v/>
      </c>
      <c r="Z25" s="14">
        <f>R25</f>
        <v/>
      </c>
      <c r="AA25" s="14">
        <f>R25</f>
        <v/>
      </c>
      <c r="AB25" s="14">
        <f>R25</f>
        <v/>
      </c>
      <c r="AC25" s="14">
        <f>R25</f>
        <v/>
      </c>
      <c r="AD25" s="14">
        <f>R25</f>
        <v/>
      </c>
      <c r="AE25" s="14">
        <f>R25</f>
        <v/>
      </c>
      <c r="AF25" s="14">
        <f>R25</f>
        <v/>
      </c>
      <c r="AG25" s="14">
        <f>R25</f>
        <v/>
      </c>
      <c r="AH25" s="14">
        <f>R25</f>
        <v/>
      </c>
      <c r="AI25" s="14">
        <f>R25</f>
        <v/>
      </c>
      <c r="AJ25" s="14">
        <f>R25</f>
        <v/>
      </c>
      <c r="AK25" s="14">
        <f>R25</f>
        <v/>
      </c>
    </row>
    <row r="26">
      <c r="A26" s="3" t="inlineStr">
        <is>
          <t>Proceeds from Sale of Assets</t>
        </is>
      </c>
      <c r="B26" s="4">
        <f>'QTR CF'!B27</f>
        <v/>
      </c>
      <c r="C26" s="4">
        <f>'QTR CF'!C27</f>
        <v/>
      </c>
      <c r="D26" s="4">
        <f>'QTR CF'!D27</f>
        <v/>
      </c>
      <c r="E26" s="4">
        <f>'QTR CF'!E27</f>
        <v/>
      </c>
      <c r="F26" s="4">
        <f>'QTR CF'!F27</f>
        <v/>
      </c>
      <c r="G26" s="4">
        <f>'QTR CF'!G27</f>
        <v/>
      </c>
      <c r="H26" s="4">
        <f>'QTR CF'!H27</f>
        <v/>
      </c>
      <c r="I26" s="4">
        <f>'QTR CF'!I27</f>
        <v/>
      </c>
      <c r="J26" s="4">
        <f>'QTR CF'!J27</f>
        <v/>
      </c>
      <c r="K26" s="4">
        <f>'QTR CF'!K27</f>
        <v/>
      </c>
      <c r="L26" s="4">
        <f>'QTR CF'!L27</f>
        <v/>
      </c>
      <c r="M26" s="4">
        <f>'QTR CF'!M27</f>
        <v/>
      </c>
      <c r="N26" s="4">
        <f>'QTR CF'!N27</f>
        <v/>
      </c>
      <c r="O26" s="4">
        <f>'QTR CF'!O27</f>
        <v/>
      </c>
      <c r="P26" s="4">
        <f>'QTR CF'!P27</f>
        <v/>
      </c>
      <c r="Q26" s="4">
        <f>'QTR CF'!Q27</f>
        <v/>
      </c>
      <c r="R26" s="4">
        <f>'QTR CF'!R27</f>
        <v/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0</v>
      </c>
      <c r="AJ26" s="15" t="n">
        <v>0</v>
      </c>
      <c r="AK26" s="15" t="n">
        <v>0</v>
      </c>
    </row>
    <row r="27">
      <c r="A27" s="3" t="inlineStr">
        <is>
          <t>Acquisitions, Net of Cash Acquired</t>
        </is>
      </c>
      <c r="B27" s="4">
        <f>'QTR CF'!B28</f>
        <v/>
      </c>
      <c r="C27" s="4">
        <f>'QTR CF'!C28</f>
        <v/>
      </c>
      <c r="D27" s="4">
        <f>'QTR CF'!D28</f>
        <v/>
      </c>
      <c r="E27" s="4">
        <f>'QTR CF'!E28</f>
        <v/>
      </c>
      <c r="F27" s="4">
        <f>'QTR CF'!F28</f>
        <v/>
      </c>
      <c r="G27" s="4">
        <f>'QTR CF'!G28</f>
        <v/>
      </c>
      <c r="H27" s="4">
        <f>'QTR CF'!H28</f>
        <v/>
      </c>
      <c r="I27" s="4">
        <f>'QTR CF'!I28</f>
        <v/>
      </c>
      <c r="J27" s="4">
        <f>'QTR CF'!J28</f>
        <v/>
      </c>
      <c r="K27" s="4">
        <f>'QTR CF'!K28</f>
        <v/>
      </c>
      <c r="L27" s="4">
        <f>'QTR CF'!L28</f>
        <v/>
      </c>
      <c r="M27" s="4">
        <f>'QTR CF'!M28</f>
        <v/>
      </c>
      <c r="N27" s="4">
        <f>'QTR CF'!N28</f>
        <v/>
      </c>
      <c r="O27" s="4">
        <f>'QTR CF'!O28</f>
        <v/>
      </c>
      <c r="P27" s="4">
        <f>'QTR CF'!P28</f>
        <v/>
      </c>
      <c r="Q27" s="4">
        <f>'QTR CF'!Q28</f>
        <v/>
      </c>
      <c r="R27" s="4">
        <f>'QTR CF'!R28</f>
        <v/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0</v>
      </c>
      <c r="AH27" s="15" t="n">
        <v>0</v>
      </c>
      <c r="AI27" s="15" t="n">
        <v>0</v>
      </c>
      <c r="AJ27" s="15" t="n">
        <v>0</v>
      </c>
      <c r="AK27" s="15" t="n">
        <v>0</v>
      </c>
    </row>
    <row r="28">
      <c r="A28" s="3" t="inlineStr">
        <is>
          <t>Proceeds from Juice Transaction</t>
        </is>
      </c>
      <c r="B28" s="4">
        <f>'QTR CF'!B29</f>
        <v/>
      </c>
      <c r="C28" s="4">
        <f>'QTR CF'!C29</f>
        <v/>
      </c>
      <c r="D28" s="4">
        <f>'QTR CF'!D29</f>
        <v/>
      </c>
      <c r="E28" s="4">
        <f>'QTR CF'!E29</f>
        <v/>
      </c>
      <c r="F28" s="4">
        <f>'QTR CF'!F29</f>
        <v/>
      </c>
      <c r="G28" s="4">
        <f>'QTR CF'!G29</f>
        <v/>
      </c>
      <c r="H28" s="4">
        <f>'QTR CF'!H29</f>
        <v/>
      </c>
      <c r="I28" s="4">
        <f>'QTR CF'!I29</f>
        <v/>
      </c>
      <c r="J28" s="4">
        <f>'QTR CF'!J29</f>
        <v/>
      </c>
      <c r="K28" s="4">
        <f>'QTR CF'!K29</f>
        <v/>
      </c>
      <c r="L28" s="4">
        <f>'QTR CF'!L29</f>
        <v/>
      </c>
      <c r="M28" s="4">
        <f>'QTR CF'!M29</f>
        <v/>
      </c>
      <c r="N28" s="4">
        <f>'QTR CF'!N29</f>
        <v/>
      </c>
      <c r="O28" s="4">
        <f>'QTR CF'!O29</f>
        <v/>
      </c>
      <c r="P28" s="4">
        <f>'QTR CF'!P29</f>
        <v/>
      </c>
      <c r="Q28" s="4">
        <f>'QTR CF'!Q29</f>
        <v/>
      </c>
      <c r="R28" s="4">
        <f>'QTR CF'!R29</f>
        <v/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</row>
    <row r="29">
      <c r="A29" s="3" t="inlineStr">
        <is>
          <t>Proceeds from Divestitures of Businesses</t>
        </is>
      </c>
      <c r="B29" s="4">
        <f>'QTR CF'!B30</f>
        <v/>
      </c>
      <c r="C29" s="4">
        <f>'QTR CF'!C30</f>
        <v/>
      </c>
      <c r="D29" s="4">
        <f>'QTR CF'!D30</f>
        <v/>
      </c>
      <c r="E29" s="4">
        <f>'QTR CF'!E30</f>
        <v/>
      </c>
      <c r="F29" s="4">
        <f>'QTR CF'!F30</f>
        <v/>
      </c>
      <c r="G29" s="4">
        <f>'QTR CF'!G30</f>
        <v/>
      </c>
      <c r="H29" s="4">
        <f>'QTR CF'!H30</f>
        <v/>
      </c>
      <c r="I29" s="4">
        <f>'QTR CF'!I30</f>
        <v/>
      </c>
      <c r="J29" s="4">
        <f>'QTR CF'!J30</f>
        <v/>
      </c>
      <c r="K29" s="4">
        <f>'QTR CF'!K30</f>
        <v/>
      </c>
      <c r="L29" s="4">
        <f>'QTR CF'!L30</f>
        <v/>
      </c>
      <c r="M29" s="4">
        <f>'QTR CF'!M30</f>
        <v/>
      </c>
      <c r="N29" s="4">
        <f>'QTR CF'!N30</f>
        <v/>
      </c>
      <c r="O29" s="4">
        <f>'QTR CF'!O30</f>
        <v/>
      </c>
      <c r="P29" s="4">
        <f>'QTR CF'!P30</f>
        <v/>
      </c>
      <c r="Q29" s="4">
        <f>'QTR CF'!Q30</f>
        <v/>
      </c>
      <c r="R29" s="4">
        <f>'QTR CF'!R30</f>
        <v/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</row>
    <row r="30">
      <c r="A30" s="3" t="inlineStr">
        <is>
          <t>Net Change in Short-Term Investments</t>
        </is>
      </c>
      <c r="B30" s="4">
        <f>'QTR CF'!B31</f>
        <v/>
      </c>
      <c r="C30" s="4">
        <f>'QTR CF'!C31</f>
        <v/>
      </c>
      <c r="D30" s="4">
        <f>'QTR CF'!D31</f>
        <v/>
      </c>
      <c r="E30" s="4">
        <f>'QTR CF'!E31</f>
        <v/>
      </c>
      <c r="F30" s="4">
        <f>'QTR CF'!F31</f>
        <v/>
      </c>
      <c r="G30" s="4">
        <f>'QTR CF'!G31</f>
        <v/>
      </c>
      <c r="H30" s="4">
        <f>'QTR CF'!H31</f>
        <v/>
      </c>
      <c r="I30" s="4">
        <f>'QTR CF'!I31</f>
        <v/>
      </c>
      <c r="J30" s="4">
        <f>'QTR CF'!J31</f>
        <v/>
      </c>
      <c r="K30" s="4">
        <f>'QTR CF'!K31</f>
        <v/>
      </c>
      <c r="L30" s="4">
        <f>'QTR CF'!L31</f>
        <v/>
      </c>
      <c r="M30" s="4">
        <f>'QTR CF'!M31</f>
        <v/>
      </c>
      <c r="N30" s="4">
        <f>'QTR CF'!N31</f>
        <v/>
      </c>
      <c r="O30" s="4">
        <f>'QTR CF'!O31</f>
        <v/>
      </c>
      <c r="P30" s="4">
        <f>'QTR CF'!P31</f>
        <v/>
      </c>
      <c r="Q30" s="4">
        <f>'QTR CF'!Q31</f>
        <v/>
      </c>
      <c r="R30" s="4">
        <f>'QTR CF'!R31</f>
        <v/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0</v>
      </c>
      <c r="AJ30" s="15" t="n">
        <v>0</v>
      </c>
      <c r="AK30" s="15" t="n">
        <v>0</v>
      </c>
    </row>
    <row r="31">
      <c r="A31" s="3" t="inlineStr">
        <is>
          <t>Other Investing Activities</t>
        </is>
      </c>
      <c r="B31" s="4">
        <f>'QTR CF'!B32</f>
        <v/>
      </c>
      <c r="C31" s="4">
        <f>'QTR CF'!C32</f>
        <v/>
      </c>
      <c r="D31" s="4">
        <f>'QTR CF'!D32</f>
        <v/>
      </c>
      <c r="E31" s="4">
        <f>'QTR CF'!E32</f>
        <v/>
      </c>
      <c r="F31" s="4">
        <f>'QTR CF'!F32</f>
        <v/>
      </c>
      <c r="G31" s="4">
        <f>'QTR CF'!G32</f>
        <v/>
      </c>
      <c r="H31" s="4">
        <f>'QTR CF'!H32</f>
        <v/>
      </c>
      <c r="I31" s="4">
        <f>'QTR CF'!I32</f>
        <v/>
      </c>
      <c r="J31" s="4">
        <f>'QTR CF'!J32</f>
        <v/>
      </c>
      <c r="K31" s="4">
        <f>'QTR CF'!K32</f>
        <v/>
      </c>
      <c r="L31" s="4">
        <f>'QTR CF'!L32</f>
        <v/>
      </c>
      <c r="M31" s="4">
        <f>'QTR CF'!M32</f>
        <v/>
      </c>
      <c r="N31" s="4">
        <f>'QTR CF'!N32</f>
        <v/>
      </c>
      <c r="O31" s="4">
        <f>'QTR CF'!O32</f>
        <v/>
      </c>
      <c r="P31" s="4">
        <f>'QTR CF'!P32</f>
        <v/>
      </c>
      <c r="Q31" s="4">
        <f>'QTR CF'!Q32</f>
        <v/>
      </c>
      <c r="R31" s="4">
        <f>'QTR CF'!R32</f>
        <v/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0</v>
      </c>
      <c r="AH31" s="15" t="n">
        <v>0</v>
      </c>
      <c r="AI31" s="15" t="n">
        <v>0</v>
      </c>
      <c r="AJ31" s="15" t="n">
        <v>0</v>
      </c>
      <c r="AK31" s="15" t="n">
        <v>0</v>
      </c>
    </row>
    <row r="32">
      <c r="A32" s="3" t="inlineStr">
        <is>
          <t>Proceeds from Issuance of Long-Term Debt</t>
        </is>
      </c>
      <c r="B32" s="4">
        <f>'QTR CF'!B34</f>
        <v/>
      </c>
      <c r="C32" s="4">
        <f>'QTR CF'!C34</f>
        <v/>
      </c>
      <c r="D32" s="4">
        <f>'QTR CF'!D34</f>
        <v/>
      </c>
      <c r="E32" s="4">
        <f>'QTR CF'!E34</f>
        <v/>
      </c>
      <c r="F32" s="4">
        <f>'QTR CF'!F34</f>
        <v/>
      </c>
      <c r="G32" s="4">
        <f>'QTR CF'!G34</f>
        <v/>
      </c>
      <c r="H32" s="4">
        <f>'QTR CF'!H34</f>
        <v/>
      </c>
      <c r="I32" s="4">
        <f>'QTR CF'!I34</f>
        <v/>
      </c>
      <c r="J32" s="4">
        <f>'QTR CF'!J34</f>
        <v/>
      </c>
      <c r="K32" s="4">
        <f>'QTR CF'!K34</f>
        <v/>
      </c>
      <c r="L32" s="4">
        <f>'QTR CF'!L34</f>
        <v/>
      </c>
      <c r="M32" s="4">
        <f>'QTR CF'!M34</f>
        <v/>
      </c>
      <c r="N32" s="4">
        <f>'QTR CF'!N34</f>
        <v/>
      </c>
      <c r="O32" s="4">
        <f>'QTR CF'!O34</f>
        <v/>
      </c>
      <c r="P32" s="4">
        <f>'QTR CF'!P34</f>
        <v/>
      </c>
      <c r="Q32" s="4">
        <f>'QTR CF'!Q34</f>
        <v/>
      </c>
      <c r="R32" s="4">
        <f>'QTR CF'!R34</f>
        <v/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0</v>
      </c>
      <c r="AJ32" s="15" t="n">
        <v>0</v>
      </c>
      <c r="AK32" s="15" t="n">
        <v>0</v>
      </c>
    </row>
    <row r="33">
      <c r="A33" s="3" t="inlineStr">
        <is>
          <t>Repayments of Long-Term Debt</t>
        </is>
      </c>
      <c r="B33" s="4">
        <f>'QTR CF'!B35</f>
        <v/>
      </c>
      <c r="C33" s="4">
        <f>'QTR CF'!C35</f>
        <v/>
      </c>
      <c r="D33" s="4">
        <f>'QTR CF'!D35</f>
        <v/>
      </c>
      <c r="E33" s="4">
        <f>'QTR CF'!E35</f>
        <v/>
      </c>
      <c r="F33" s="4">
        <f>'QTR CF'!F35</f>
        <v/>
      </c>
      <c r="G33" s="4">
        <f>'QTR CF'!G35</f>
        <v/>
      </c>
      <c r="H33" s="4">
        <f>'QTR CF'!H35</f>
        <v/>
      </c>
      <c r="I33" s="4">
        <f>'QTR CF'!I35</f>
        <v/>
      </c>
      <c r="J33" s="4">
        <f>'QTR CF'!J35</f>
        <v/>
      </c>
      <c r="K33" s="4">
        <f>'QTR CF'!K35</f>
        <v/>
      </c>
      <c r="L33" s="4">
        <f>'QTR CF'!L35</f>
        <v/>
      </c>
      <c r="M33" s="4">
        <f>'QTR CF'!M35</f>
        <v/>
      </c>
      <c r="N33" s="4">
        <f>'QTR CF'!N35</f>
        <v/>
      </c>
      <c r="O33" s="4">
        <f>'QTR CF'!O35</f>
        <v/>
      </c>
      <c r="P33" s="4">
        <f>'QTR CF'!P35</f>
        <v/>
      </c>
      <c r="Q33" s="4">
        <f>'QTR CF'!Q35</f>
        <v/>
      </c>
      <c r="R33" s="4">
        <f>'QTR CF'!R35</f>
        <v/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</row>
    <row r="34">
      <c r="A34" s="3" t="inlineStr">
        <is>
          <t>Proceeds from Short-Term Debt</t>
        </is>
      </c>
      <c r="B34" s="4">
        <f>'QTR CF'!B36</f>
        <v/>
      </c>
      <c r="C34" s="4">
        <f>'QTR CF'!C36</f>
        <v/>
      </c>
      <c r="D34" s="4">
        <f>'QTR CF'!D36</f>
        <v/>
      </c>
      <c r="E34" s="4">
        <f>'QTR CF'!E36</f>
        <v/>
      </c>
      <c r="F34" s="4">
        <f>'QTR CF'!F36</f>
        <v/>
      </c>
      <c r="G34" s="4">
        <f>'QTR CF'!G36</f>
        <v/>
      </c>
      <c r="H34" s="4">
        <f>'QTR CF'!H36</f>
        <v/>
      </c>
      <c r="I34" s="4">
        <f>'QTR CF'!I36</f>
        <v/>
      </c>
      <c r="J34" s="4">
        <f>'QTR CF'!J36</f>
        <v/>
      </c>
      <c r="K34" s="4">
        <f>'QTR CF'!K36</f>
        <v/>
      </c>
      <c r="L34" s="4">
        <f>'QTR CF'!L36</f>
        <v/>
      </c>
      <c r="M34" s="4">
        <f>'QTR CF'!M36</f>
        <v/>
      </c>
      <c r="N34" s="4">
        <f>'QTR CF'!N36</f>
        <v/>
      </c>
      <c r="O34" s="4">
        <f>'QTR CF'!O36</f>
        <v/>
      </c>
      <c r="P34" s="4">
        <f>'QTR CF'!P36</f>
        <v/>
      </c>
      <c r="Q34" s="4">
        <f>'QTR CF'!Q36</f>
        <v/>
      </c>
      <c r="R34" s="4">
        <f>'QTR CF'!R36</f>
        <v/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0</v>
      </c>
      <c r="AJ34" s="15" t="n">
        <v>0</v>
      </c>
      <c r="AK34" s="15" t="n">
        <v>0</v>
      </c>
    </row>
    <row r="35">
      <c r="A35" s="3" t="inlineStr">
        <is>
          <t>Repayments of Short-Term Debt</t>
        </is>
      </c>
      <c r="B35" s="4">
        <f>'QTR CF'!B37</f>
        <v/>
      </c>
      <c r="C35" s="4">
        <f>'QTR CF'!C37</f>
        <v/>
      </c>
      <c r="D35" s="4">
        <f>'QTR CF'!D37</f>
        <v/>
      </c>
      <c r="E35" s="4">
        <f>'QTR CF'!E37</f>
        <v/>
      </c>
      <c r="F35" s="4">
        <f>'QTR CF'!F37</f>
        <v/>
      </c>
      <c r="G35" s="4">
        <f>'QTR CF'!G37</f>
        <v/>
      </c>
      <c r="H35" s="4">
        <f>'QTR CF'!H37</f>
        <v/>
      </c>
      <c r="I35" s="4">
        <f>'QTR CF'!I37</f>
        <v/>
      </c>
      <c r="J35" s="4">
        <f>'QTR CF'!J37</f>
        <v/>
      </c>
      <c r="K35" s="4">
        <f>'QTR CF'!K37</f>
        <v/>
      </c>
      <c r="L35" s="4">
        <f>'QTR CF'!L37</f>
        <v/>
      </c>
      <c r="M35" s="4">
        <f>'QTR CF'!M37</f>
        <v/>
      </c>
      <c r="N35" s="4">
        <f>'QTR CF'!N37</f>
        <v/>
      </c>
      <c r="O35" s="4">
        <f>'QTR CF'!O37</f>
        <v/>
      </c>
      <c r="P35" s="4">
        <f>'QTR CF'!P37</f>
        <v/>
      </c>
      <c r="Q35" s="4">
        <f>'QTR CF'!Q37</f>
        <v/>
      </c>
      <c r="R35" s="4">
        <f>'QTR CF'!R37</f>
        <v/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</row>
    <row r="36">
      <c r="A36" s="3" t="inlineStr">
        <is>
          <t>Net Change in Other Short-Term Debt</t>
        </is>
      </c>
      <c r="B36" s="4">
        <f>'QTR CF'!B38</f>
        <v/>
      </c>
      <c r="C36" s="4">
        <f>'QTR CF'!C38</f>
        <v/>
      </c>
      <c r="D36" s="4">
        <f>'QTR CF'!D38</f>
        <v/>
      </c>
      <c r="E36" s="4">
        <f>'QTR CF'!E38</f>
        <v/>
      </c>
      <c r="F36" s="4">
        <f>'QTR CF'!F38</f>
        <v/>
      </c>
      <c r="G36" s="4">
        <f>'QTR CF'!G38</f>
        <v/>
      </c>
      <c r="H36" s="4">
        <f>'QTR CF'!H38</f>
        <v/>
      </c>
      <c r="I36" s="4">
        <f>'QTR CF'!I38</f>
        <v/>
      </c>
      <c r="J36" s="4">
        <f>'QTR CF'!J38</f>
        <v/>
      </c>
      <c r="K36" s="4">
        <f>'QTR CF'!K38</f>
        <v/>
      </c>
      <c r="L36" s="4">
        <f>'QTR CF'!L38</f>
        <v/>
      </c>
      <c r="M36" s="4">
        <f>'QTR CF'!M38</f>
        <v/>
      </c>
      <c r="N36" s="4">
        <f>'QTR CF'!N38</f>
        <v/>
      </c>
      <c r="O36" s="4">
        <f>'QTR CF'!O38</f>
        <v/>
      </c>
      <c r="P36" s="4">
        <f>'QTR CF'!P38</f>
        <v/>
      </c>
      <c r="Q36" s="4">
        <f>'QTR CF'!Q38</f>
        <v/>
      </c>
      <c r="R36" s="4">
        <f>'QTR CF'!R38</f>
        <v/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0</v>
      </c>
      <c r="AJ36" s="15" t="n">
        <v>0</v>
      </c>
      <c r="AK36" s="15" t="n">
        <v>0</v>
      </c>
    </row>
    <row r="37">
      <c r="A37" s="3" t="inlineStr">
        <is>
          <t>Common Dividends — % of Net Income</t>
        </is>
      </c>
      <c r="B37" s="13">
        <f>IFERROR('QTR CF'!B39/'QTR P&amp;L'!B13,"")</f>
        <v/>
      </c>
      <c r="C37" s="13">
        <f>IFERROR('QTR CF'!C39/'QTR P&amp;L'!C13,"")</f>
        <v/>
      </c>
      <c r="D37" s="13">
        <f>IFERROR('QTR CF'!D39/'QTR P&amp;L'!D13,"")</f>
        <v/>
      </c>
      <c r="E37" s="13">
        <f>IFERROR('QTR CF'!E39/'QTR P&amp;L'!E13,"")</f>
        <v/>
      </c>
      <c r="F37" s="13">
        <f>IFERROR('QTR CF'!F39/'QTR P&amp;L'!F13,"")</f>
        <v/>
      </c>
      <c r="G37" s="13">
        <f>IFERROR('QTR CF'!G39/'QTR P&amp;L'!G13,"")</f>
        <v/>
      </c>
      <c r="H37" s="13">
        <f>IFERROR('QTR CF'!H39/'QTR P&amp;L'!H13,"")</f>
        <v/>
      </c>
      <c r="I37" s="13">
        <f>IFERROR('QTR CF'!I39/'QTR P&amp;L'!I13,"")</f>
        <v/>
      </c>
      <c r="J37" s="13">
        <f>IFERROR('QTR CF'!J39/'QTR P&amp;L'!J13,"")</f>
        <v/>
      </c>
      <c r="K37" s="13">
        <f>IFERROR('QTR CF'!K39/'QTR P&amp;L'!K13,"")</f>
        <v/>
      </c>
      <c r="L37" s="13">
        <f>IFERROR('QTR CF'!L39/'QTR P&amp;L'!L13,"")</f>
        <v/>
      </c>
      <c r="M37" s="13">
        <f>IFERROR('QTR CF'!M39/'QTR P&amp;L'!M13,"")</f>
        <v/>
      </c>
      <c r="N37" s="13">
        <f>IFERROR('QTR CF'!N39/'QTR P&amp;L'!N13,"")</f>
        <v/>
      </c>
      <c r="O37" s="13">
        <f>IFERROR('QTR CF'!O39/'QTR P&amp;L'!O13,"")</f>
        <v/>
      </c>
      <c r="P37" s="13">
        <f>IFERROR('QTR CF'!P39/'QTR P&amp;L'!P13,"")</f>
        <v/>
      </c>
      <c r="Q37" s="13">
        <f>IFERROR('QTR CF'!Q39/'QTR P&amp;L'!Q13,"")</f>
        <v/>
      </c>
      <c r="R37" s="13">
        <f>IFERROR('QTR CF'!R39/'QTR P&amp;L'!R13,"")</f>
        <v/>
      </c>
      <c r="S37" s="14">
        <f>R37</f>
        <v/>
      </c>
      <c r="T37" s="14">
        <f>R37</f>
        <v/>
      </c>
      <c r="U37" s="14">
        <f>R37</f>
        <v/>
      </c>
      <c r="V37" s="14">
        <f>R37</f>
        <v/>
      </c>
      <c r="W37" s="14">
        <f>R37</f>
        <v/>
      </c>
      <c r="X37" s="14">
        <f>R37</f>
        <v/>
      </c>
      <c r="Y37" s="14">
        <f>R37</f>
        <v/>
      </c>
      <c r="Z37" s="14">
        <f>R37</f>
        <v/>
      </c>
      <c r="AA37" s="14">
        <f>R37</f>
        <v/>
      </c>
      <c r="AB37" s="14">
        <f>R37</f>
        <v/>
      </c>
      <c r="AC37" s="14">
        <f>R37</f>
        <v/>
      </c>
      <c r="AD37" s="14">
        <f>R37</f>
        <v/>
      </c>
      <c r="AE37" s="14">
        <f>R37</f>
        <v/>
      </c>
      <c r="AF37" s="14">
        <f>R37</f>
        <v/>
      </c>
      <c r="AG37" s="14">
        <f>R37</f>
        <v/>
      </c>
      <c r="AH37" s="14">
        <f>R37</f>
        <v/>
      </c>
      <c r="AI37" s="14">
        <f>R37</f>
        <v/>
      </c>
      <c r="AJ37" s="14">
        <f>R37</f>
        <v/>
      </c>
      <c r="AK37" s="14">
        <f>R37</f>
        <v/>
      </c>
    </row>
    <row r="38">
      <c r="A38" s="3" t="inlineStr">
        <is>
          <t>Share Repurchases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4">
        <f>'QTR CF'!R40</f>
        <v/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5" t="n">
        <v>0</v>
      </c>
      <c r="AK38" s="15" t="n">
        <v>0</v>
      </c>
    </row>
    <row r="39">
      <c r="A39" s="3" t="inlineStr">
        <is>
          <t>Proceeds from Exercise of Stock Options</t>
        </is>
      </c>
      <c r="B39" s="4">
        <f>'QTR CF'!B41</f>
        <v/>
      </c>
      <c r="C39" s="4">
        <f>'QTR CF'!C41</f>
        <v/>
      </c>
      <c r="D39" s="4">
        <f>'QTR CF'!D41</f>
        <v/>
      </c>
      <c r="E39" s="4">
        <f>'QTR CF'!E41</f>
        <v/>
      </c>
      <c r="F39" s="4">
        <f>'QTR CF'!F41</f>
        <v/>
      </c>
      <c r="G39" s="4">
        <f>'QTR CF'!G41</f>
        <v/>
      </c>
      <c r="H39" s="4">
        <f>'QTR CF'!H41</f>
        <v/>
      </c>
      <c r="I39" s="4">
        <f>'QTR CF'!I41</f>
        <v/>
      </c>
      <c r="J39" s="4">
        <f>'QTR CF'!J41</f>
        <v/>
      </c>
      <c r="K39" s="4">
        <f>'QTR CF'!K41</f>
        <v/>
      </c>
      <c r="L39" s="4">
        <f>'QTR CF'!L41</f>
        <v/>
      </c>
      <c r="M39" s="4">
        <f>'QTR CF'!M41</f>
        <v/>
      </c>
      <c r="N39" s="4">
        <f>'QTR CF'!N41</f>
        <v/>
      </c>
      <c r="O39" s="4">
        <f>'QTR CF'!O41</f>
        <v/>
      </c>
      <c r="P39" s="4">
        <f>'QTR CF'!P41</f>
        <v/>
      </c>
      <c r="Q39" s="4">
        <f>'QTR CF'!Q41</f>
        <v/>
      </c>
      <c r="R39" s="4">
        <f>'QTR CF'!R41</f>
        <v/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0</v>
      </c>
      <c r="AI39" s="15" t="n">
        <v>0</v>
      </c>
      <c r="AJ39" s="15" t="n">
        <v>0</v>
      </c>
      <c r="AK39" s="15" t="n">
        <v>0</v>
      </c>
    </row>
    <row r="40">
      <c r="A40" s="3" t="inlineStr">
        <is>
          <t>Tax Withholdings on RSU/PSU Settlement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4">
        <f>'QTR CF'!R42</f>
        <v/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0</v>
      </c>
    </row>
    <row r="41">
      <c r="A41" s="3" t="inlineStr">
        <is>
          <t>Other Financing Activities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4">
        <f>'QTR CF'!R43</f>
        <v/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0</v>
      </c>
      <c r="AJ41" s="15" t="n">
        <v>0</v>
      </c>
      <c r="AK41" s="15" t="n">
        <v>0</v>
      </c>
    </row>
    <row r="42">
      <c r="A42" s="3" t="inlineStr">
        <is>
          <t>FX Effect on Cash</t>
        </is>
      </c>
      <c r="B42" s="4">
        <f>'QTR CF'!B45</f>
        <v/>
      </c>
      <c r="C42" s="4">
        <f>'QTR CF'!C45</f>
        <v/>
      </c>
      <c r="D42" s="4">
        <f>'QTR CF'!D45</f>
        <v/>
      </c>
      <c r="E42" s="4">
        <f>'QTR CF'!E45</f>
        <v/>
      </c>
      <c r="F42" s="4">
        <f>'QTR CF'!F45</f>
        <v/>
      </c>
      <c r="G42" s="4">
        <f>'QTR CF'!G45</f>
        <v/>
      </c>
      <c r="H42" s="4">
        <f>'QTR CF'!H45</f>
        <v/>
      </c>
      <c r="I42" s="4">
        <f>'QTR CF'!I45</f>
        <v/>
      </c>
      <c r="J42" s="4">
        <f>'QTR CF'!J45</f>
        <v/>
      </c>
      <c r="K42" s="4">
        <f>'QTR CF'!K45</f>
        <v/>
      </c>
      <c r="L42" s="4">
        <f>'QTR CF'!L45</f>
        <v/>
      </c>
      <c r="M42" s="4">
        <f>'QTR CF'!M45</f>
        <v/>
      </c>
      <c r="N42" s="4">
        <f>'QTR CF'!N45</f>
        <v/>
      </c>
      <c r="O42" s="4">
        <f>'QTR CF'!O45</f>
        <v/>
      </c>
      <c r="P42" s="4">
        <f>'QTR CF'!P45</f>
        <v/>
      </c>
      <c r="Q42" s="4">
        <f>'QTR CF'!Q45</f>
        <v/>
      </c>
      <c r="R42" s="4">
        <f>'QTR CF'!R45</f>
        <v/>
      </c>
      <c r="S42" s="15">
        <f>R42</f>
        <v/>
      </c>
      <c r="T42" s="15">
        <f>R42</f>
        <v/>
      </c>
      <c r="U42" s="15">
        <f>R42</f>
        <v/>
      </c>
      <c r="V42" s="15">
        <f>R42</f>
        <v/>
      </c>
      <c r="W42" s="15">
        <f>R42</f>
        <v/>
      </c>
      <c r="X42" s="15">
        <f>R42</f>
        <v/>
      </c>
      <c r="Y42" s="15">
        <f>R42</f>
        <v/>
      </c>
      <c r="Z42" s="15">
        <f>R42</f>
        <v/>
      </c>
      <c r="AA42" s="15">
        <f>R42</f>
        <v/>
      </c>
      <c r="AB42" s="15">
        <f>R42</f>
        <v/>
      </c>
      <c r="AC42" s="15">
        <f>R42</f>
        <v/>
      </c>
      <c r="AD42" s="15">
        <f>R42</f>
        <v/>
      </c>
      <c r="AE42" s="15">
        <f>R42</f>
        <v/>
      </c>
      <c r="AF42" s="15">
        <f>R42</f>
        <v/>
      </c>
      <c r="AG42" s="15">
        <f>R42</f>
        <v/>
      </c>
      <c r="AH42" s="15">
        <f>R42</f>
        <v/>
      </c>
      <c r="AI42" s="15">
        <f>R42</f>
        <v/>
      </c>
      <c r="AJ42" s="15">
        <f>R42</f>
        <v/>
      </c>
      <c r="AK42" s="15">
        <f>R42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2026-04-28T14:37:35Z</dcterms:created>
  <dcterms:modified xmlns:dcterms="http://purl.org/dc/terms/" xmlns:xsi="http://www.w3.org/2001/XMLSchema-instance" xsi:type="dcterms:W3CDTF">2026-04-28T14:37:36Z</dcterms:modified>
</cp:coreProperties>
</file>