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NNL P&amp;L" sheetId="2" state="visible" r:id="rId2"/>
    <sheet name="BALANCE SHEET" sheetId="3" state="visible" r:id="rId3"/>
    <sheet name="CASH FLOW" sheetId="4" state="visible" r:id="rId4"/>
    <sheet name="IS DRIVERS" sheetId="5" state="visible" r:id="rId5"/>
    <sheet name="BS DRIVERS" sheetId="6" state="visible" r:id="rId6"/>
    <sheet name="CF DRIVE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;(0.0);&quot;--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  <color rgb="00595959"/>
    </font>
  </fonts>
  <fills count="6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AEAEA"/>
        <bgColor rgb="00EAEAEA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166" fontId="0" fillId="4" borderId="0" pivotButton="0" quotePrefix="0" xfId="0"/>
    <xf numFmtId="166" fontId="0" fillId="3" borderId="0" pivotButton="0" quotePrefix="0" xfId="0"/>
    <xf numFmtId="164" fontId="0" fillId="3" borderId="0" pivotButton="0" quotePrefix="0" xfId="0"/>
    <xf numFmtId="0" fontId="3" fillId="5" borderId="0" pivotButton="0" quotePrefix="0" xfId="0"/>
    <xf numFmtId="0" fontId="0" fillId="5" borderId="0" pivotButton="0" quotePrefix="0" xfId="0"/>
    <xf numFmtId="167" fontId="0" fillId="0" borderId="0" pivotButton="0" quotePrefix="0" xfId="0"/>
    <xf numFmtId="167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Year</t>
        </is>
      </c>
      <c r="B2" s="8" t="n">
        <v>365</v>
      </c>
      <c r="C2" t="inlineStr">
        <is>
          <t>Used in DSO, DIO, DPO formulas</t>
        </is>
      </c>
    </row>
    <row r="3">
      <c r="A3" s="3" t="inlineStr">
        <is>
          <t>Share Repurchases $</t>
        </is>
      </c>
      <c r="B3" s="9" t="n">
        <v>0</v>
      </c>
      <c r="C3" t="inlineStr">
        <is>
          <t>Per-period repurchase assumption for projection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>
        <f>'ANNL P&amp;L'!E2*(1+'IS DRIVERS'!F2)</f>
        <v/>
      </c>
      <c r="G2" s="5">
        <f>'ANNL P&amp;L'!F2*(1+'IS DRIVERS'!G2)</f>
        <v/>
      </c>
      <c r="H2" s="5">
        <f>'ANNL P&amp;L'!G2*(1+'IS DRIVERS'!H2)</f>
        <v/>
      </c>
      <c r="I2" s="5">
        <f>'ANNL P&amp;L'!H2*(1+'IS DRIVERS'!I2)</f>
        <v/>
      </c>
      <c r="J2" s="5">
        <f>'ANNL P&amp;L'!I2*(1+'IS DRIVERS'!J2)</f>
        <v/>
      </c>
      <c r="K2" s="5">
        <f>'ANNL P&amp;L'!J2*(1+'IS DRIVERS'!K2)</f>
        <v/>
      </c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>
        <f>'IS DRIVERS'!F3*'ANNL P&amp;L'!F2</f>
        <v/>
      </c>
      <c r="G3" s="5">
        <f>'IS DRIVERS'!G3*'ANNL P&amp;L'!G2</f>
        <v/>
      </c>
      <c r="H3" s="5">
        <f>'IS DRIVERS'!H3*'ANNL P&amp;L'!H2</f>
        <v/>
      </c>
      <c r="I3" s="5">
        <f>'IS DRIVERS'!I3*'ANNL P&amp;L'!I2</f>
        <v/>
      </c>
      <c r="J3" s="5">
        <f>'IS DRIVERS'!J3*'ANNL P&amp;L'!J2</f>
        <v/>
      </c>
      <c r="K3" s="5">
        <f>'IS DRIVERS'!K3*'ANNL P&amp;L'!K2</f>
        <v/>
      </c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>
        <f>'IS DRIVERS'!F4*'ANNL P&amp;L'!F2</f>
        <v/>
      </c>
      <c r="G5" s="5">
        <f>'IS DRIVERS'!G4*'ANNL P&amp;L'!G2</f>
        <v/>
      </c>
      <c r="H5" s="5">
        <f>'IS DRIVERS'!H4*'ANNL P&amp;L'!H2</f>
        <v/>
      </c>
      <c r="I5" s="5">
        <f>'IS DRIVERS'!I4*'ANNL P&amp;L'!I2</f>
        <v/>
      </c>
      <c r="J5" s="5">
        <f>'IS DRIVERS'!J4*'ANNL P&amp;L'!J2</f>
        <v/>
      </c>
      <c r="K5" s="5">
        <f>'IS DRIVERS'!K4*'ANNL P&amp;L'!K2</f>
        <v/>
      </c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5">
        <f>'IS DRIVERS'!F5</f>
        <v/>
      </c>
      <c r="G7" s="5">
        <f>'IS DRIVERS'!G5</f>
        <v/>
      </c>
      <c r="H7" s="5">
        <f>'IS DRIVERS'!H5</f>
        <v/>
      </c>
      <c r="I7" s="5">
        <f>'IS DRIVERS'!I5</f>
        <v/>
      </c>
      <c r="J7" s="5">
        <f>'IS DRIVERS'!J5</f>
        <v/>
      </c>
      <c r="K7" s="5">
        <f>'IS DRIVERS'!K5</f>
        <v/>
      </c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5">
        <f>'IS DRIVERS'!F6</f>
        <v/>
      </c>
      <c r="G8" s="5">
        <f>'IS DRIVERS'!G6</f>
        <v/>
      </c>
      <c r="H8" s="5">
        <f>'IS DRIVERS'!H6</f>
        <v/>
      </c>
      <c r="I8" s="5">
        <f>'IS DRIVERS'!I6</f>
        <v/>
      </c>
      <c r="J8" s="5">
        <f>'IS DRIVERS'!J6</f>
        <v/>
      </c>
      <c r="K8" s="5">
        <f>'IS DRIVERS'!K6</f>
        <v/>
      </c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5">
        <f>'IS DRIVERS'!F7</f>
        <v/>
      </c>
      <c r="G9" s="5">
        <f>'IS DRIVERS'!G7</f>
        <v/>
      </c>
      <c r="H9" s="5">
        <f>'IS DRIVERS'!H7</f>
        <v/>
      </c>
      <c r="I9" s="5">
        <f>'IS DRIVERS'!I7</f>
        <v/>
      </c>
      <c r="J9" s="5">
        <f>'IS DRIVERS'!J7</f>
        <v/>
      </c>
      <c r="K9" s="5">
        <f>'IS DRIVERS'!K7</f>
        <v/>
      </c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5">
        <f>'ANNL P&amp;L'!F10*'IS DRIVERS'!F8</f>
        <v/>
      </c>
      <c r="G11" s="5">
        <f>'ANNL P&amp;L'!G10*'IS DRIVERS'!G8</f>
        <v/>
      </c>
      <c r="H11" s="5">
        <f>'ANNL P&amp;L'!H10*'IS DRIVERS'!H8</f>
        <v/>
      </c>
      <c r="I11" s="5">
        <f>'ANNL P&amp;L'!I10*'IS DRIVERS'!I8</f>
        <v/>
      </c>
      <c r="J11" s="5">
        <f>'ANNL P&amp;L'!J10*'IS DRIVERS'!J8</f>
        <v/>
      </c>
      <c r="K11" s="5">
        <f>'ANNL P&amp;L'!K10*'IS DRIVERS'!K8</f>
        <v/>
      </c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Preferred 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>
        <f>'CASH FLOW'!F35</f>
        <v/>
      </c>
      <c r="G13" s="5">
        <f>'CASH FLOW'!G35</f>
        <v/>
      </c>
      <c r="H13" s="5">
        <f>'CASH FLOW'!H35</f>
        <v/>
      </c>
      <c r="I13" s="5">
        <f>'CASH FLOW'!I35</f>
        <v/>
      </c>
      <c r="J13" s="5">
        <f>'CASH FLOW'!J35</f>
        <v/>
      </c>
      <c r="K13" s="5">
        <f>'CASH FLOW'!K35</f>
        <v/>
      </c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>
        <f>E14</f>
        <v/>
      </c>
      <c r="G14" s="5">
        <f>F14</f>
        <v/>
      </c>
      <c r="H14" s="5">
        <f>G14</f>
        <v/>
      </c>
      <c r="I14" s="5">
        <f>H14</f>
        <v/>
      </c>
      <c r="J14" s="5">
        <f>I14</f>
        <v/>
      </c>
      <c r="K14" s="5">
        <f>J14</f>
        <v/>
      </c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>
        <f>'ANNL P&amp;L'!F12+'ANNL P&amp;L'!F13+'ANNL P&amp;L'!F14</f>
        <v/>
      </c>
      <c r="G15" s="5">
        <f>'ANNL P&amp;L'!G12+'ANNL P&amp;L'!G13+'ANNL P&amp;L'!G14</f>
        <v/>
      </c>
      <c r="H15" s="5">
        <f>'ANNL P&amp;L'!H12+'ANNL P&amp;L'!H13+'ANNL P&amp;L'!H14</f>
        <v/>
      </c>
      <c r="I15" s="5">
        <f>'ANNL P&amp;L'!I12+'ANNL P&amp;L'!I13+'ANNL P&amp;L'!I14</f>
        <v/>
      </c>
      <c r="J15" s="5">
        <f>'ANNL P&amp;L'!J12+'ANNL P&amp;L'!J13+'ANNL P&amp;L'!J14</f>
        <v/>
      </c>
      <c r="K15" s="5">
        <f>'ANNL P&amp;L'!K12+'ANNL P&amp;L'!K13+'ANNL P&amp;L'!K14</f>
        <v/>
      </c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>
        <f>E18</f>
        <v/>
      </c>
      <c r="G18" s="5">
        <f>F18</f>
        <v/>
      </c>
      <c r="H18" s="5">
        <f>G18</f>
        <v/>
      </c>
      <c r="I18" s="5">
        <f>H18</f>
        <v/>
      </c>
      <c r="J18" s="5">
        <f>I18</f>
        <v/>
      </c>
      <c r="K18" s="5">
        <f>J18</f>
        <v/>
      </c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>
        <f>E19</f>
        <v/>
      </c>
      <c r="G19" s="5">
        <f>F19</f>
        <v/>
      </c>
      <c r="H19" s="5">
        <f>G19</f>
        <v/>
      </c>
      <c r="I19" s="5">
        <f>H19</f>
        <v/>
      </c>
      <c r="J19" s="5">
        <f>I19</f>
        <v/>
      </c>
      <c r="K19" s="5">
        <f>J19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>
        <f>D2+'CASH FLOW'!F40</f>
        <v/>
      </c>
      <c r="F2" s="5">
        <f>E2+'CASH FLOW'!G40</f>
        <v/>
      </c>
      <c r="G2" s="5">
        <f>F2+'CASH FLOW'!H40</f>
        <v/>
      </c>
      <c r="H2" s="5">
        <f>G2+'CASH FLOW'!I40</f>
        <v/>
      </c>
      <c r="I2" s="5">
        <f>H2+'CASH FLOW'!J40</f>
        <v/>
      </c>
      <c r="J2" s="5">
        <f>I2+'CASH FLOW'!K40</f>
        <v/>
      </c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>
        <f>D3</f>
        <v/>
      </c>
      <c r="F3" s="5">
        <f>E3</f>
        <v/>
      </c>
      <c r="G3" s="5">
        <f>F3</f>
        <v/>
      </c>
      <c r="H3" s="5">
        <f>G3</f>
        <v/>
      </c>
      <c r="I3" s="5">
        <f>H3</f>
        <v/>
      </c>
      <c r="J3" s="5">
        <f>I3</f>
        <v/>
      </c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>
        <f>'BS DRIVERS'!F3*'ANNL P&amp;L'!F2/ASSUMPTIONS!$B$2</f>
        <v/>
      </c>
      <c r="F4" s="5">
        <f>'BS DRIVERS'!G3*'ANNL P&amp;L'!G2/ASSUMPTIONS!$B$2</f>
        <v/>
      </c>
      <c r="G4" s="5">
        <f>'BS DRIVERS'!H3*'ANNL P&amp;L'!H2/ASSUMPTIONS!$B$2</f>
        <v/>
      </c>
      <c r="H4" s="5">
        <f>'BS DRIVERS'!I3*'ANNL P&amp;L'!I2/ASSUMPTIONS!$B$2</f>
        <v/>
      </c>
      <c r="I4" s="5">
        <f>'BS DRIVERS'!J3*'ANNL P&amp;L'!J2/ASSUMPTIONS!$B$2</f>
        <v/>
      </c>
      <c r="J4" s="5">
        <f>'BS DRIVERS'!K3*'ANNL P&amp;L'!K2/ASSUMPTIONS!$B$2</f>
        <v/>
      </c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5">
        <f>'BS DRIVERS'!F5*'ANNL P&amp;L'!F2</f>
        <v/>
      </c>
      <c r="F5" s="5">
        <f>'BS DRIVERS'!G5*'ANNL P&amp;L'!G2</f>
        <v/>
      </c>
      <c r="G5" s="5">
        <f>'BS DRIVERS'!H5*'ANNL P&amp;L'!H2</f>
        <v/>
      </c>
      <c r="H5" s="5">
        <f>'BS DRIVERS'!I5*'ANNL P&amp;L'!I2</f>
        <v/>
      </c>
      <c r="I5" s="5">
        <f>'BS DRIVERS'!J5*'ANNL P&amp;L'!J2</f>
        <v/>
      </c>
      <c r="J5" s="5">
        <f>'BS DRIVERS'!K5*'ANNL P&amp;L'!K2</f>
        <v/>
      </c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>
        <f>'BS DRIVERS'!F4*'ANNL P&amp;L'!F3/ASSUMPTIONS!$B$2</f>
        <v/>
      </c>
      <c r="F6" s="5">
        <f>'BS DRIVERS'!G4*'ANNL P&amp;L'!G3/ASSUMPTIONS!$B$2</f>
        <v/>
      </c>
      <c r="G6" s="5">
        <f>'BS DRIVERS'!H4*'ANNL P&amp;L'!H3/ASSUMPTIONS!$B$2</f>
        <v/>
      </c>
      <c r="H6" s="5">
        <f>'BS DRIVERS'!I4*'ANNL P&amp;L'!I3/ASSUMPTIONS!$B$2</f>
        <v/>
      </c>
      <c r="I6" s="5">
        <f>'BS DRIVERS'!J4*'ANNL P&amp;L'!J3/ASSUMPTIONS!$B$2</f>
        <v/>
      </c>
      <c r="J6" s="5">
        <f>'BS DRIVERS'!K4*'ANNL P&amp;L'!K3/ASSUMPTIONS!$B$2</f>
        <v/>
      </c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5">
        <f>'BS DRIVERS'!F6*'ANNL P&amp;L'!F2</f>
        <v/>
      </c>
      <c r="F7" s="5">
        <f>'BS DRIVERS'!G6*'ANNL P&amp;L'!G2</f>
        <v/>
      </c>
      <c r="G7" s="5">
        <f>'BS DRIVERS'!H6*'ANNL P&amp;L'!H2</f>
        <v/>
      </c>
      <c r="H7" s="5">
        <f>'BS DRIVERS'!I6*'ANNL P&amp;L'!I2</f>
        <v/>
      </c>
      <c r="I7" s="5">
        <f>'BS DRIVERS'!J6*'ANNL P&amp;L'!J2</f>
        <v/>
      </c>
      <c r="J7" s="5">
        <f>'BS DRIVERS'!K6*'ANNL P&amp;L'!K2</f>
        <v/>
      </c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>
        <f>'BS DRIVERS'!F7*'ANNL P&amp;L'!F2</f>
        <v/>
      </c>
      <c r="F8" s="5">
        <f>'BS DRIVERS'!G7*'ANNL P&amp;L'!G2</f>
        <v/>
      </c>
      <c r="G8" s="5">
        <f>'BS DRIVERS'!H7*'ANNL P&amp;L'!H2</f>
        <v/>
      </c>
      <c r="H8" s="5">
        <f>'BS DRIVERS'!I7*'ANNL P&amp;L'!I2</f>
        <v/>
      </c>
      <c r="I8" s="5">
        <f>'BS DRIVERS'!J7*'ANNL P&amp;L'!J2</f>
        <v/>
      </c>
      <c r="J8" s="5">
        <f>'BS DRIVERS'!K7*'ANNL P&amp;L'!K2</f>
        <v/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5">
        <f>D10</f>
        <v/>
      </c>
      <c r="F10" s="5">
        <f>E10</f>
        <v/>
      </c>
      <c r="G10" s="5">
        <f>F10</f>
        <v/>
      </c>
      <c r="H10" s="5">
        <f>G10</f>
        <v/>
      </c>
      <c r="I10" s="5">
        <f>H10</f>
        <v/>
      </c>
      <c r="J10" s="5">
        <f>I10</f>
        <v/>
      </c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5">
        <f>D11-'CASH FLOW'!F28-'CASH FLOW'!F3</f>
        <v/>
      </c>
      <c r="F11" s="5">
        <f>E11-'CASH FLOW'!G28-'CASH FLOW'!G3</f>
        <v/>
      </c>
      <c r="G11" s="5">
        <f>F11-'CASH FLOW'!H28-'CASH FLOW'!H3</f>
        <v/>
      </c>
      <c r="H11" s="5">
        <f>G11-'CASH FLOW'!I28-'CASH FLOW'!I3</f>
        <v/>
      </c>
      <c r="I11" s="5">
        <f>H11-'CASH FLOW'!J28-'CASH FLOW'!J3</f>
        <v/>
      </c>
      <c r="J11" s="5">
        <f>I11-'CASH FLOW'!K28-'CASH FLOW'!K3</f>
        <v/>
      </c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5">
        <f>D12</f>
        <v/>
      </c>
      <c r="F12" s="5">
        <f>E12</f>
        <v/>
      </c>
      <c r="G12" s="5">
        <f>F12</f>
        <v/>
      </c>
      <c r="H12" s="5">
        <f>G12</f>
        <v/>
      </c>
      <c r="I12" s="5">
        <f>H12</f>
        <v/>
      </c>
      <c r="J12" s="5">
        <f>I12</f>
        <v/>
      </c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5">
        <f>D13</f>
        <v/>
      </c>
      <c r="F13" s="5">
        <f>E13</f>
        <v/>
      </c>
      <c r="G13" s="5">
        <f>F13</f>
        <v/>
      </c>
      <c r="H13" s="5">
        <f>G13</f>
        <v/>
      </c>
      <c r="I13" s="5">
        <f>H13</f>
        <v/>
      </c>
      <c r="J13" s="5">
        <f>I13</f>
        <v/>
      </c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5">
        <f>D14</f>
        <v/>
      </c>
      <c r="F14" s="5">
        <f>E14</f>
        <v/>
      </c>
      <c r="G14" s="5">
        <f>F14</f>
        <v/>
      </c>
      <c r="H14" s="5">
        <f>G14</f>
        <v/>
      </c>
      <c r="I14" s="5">
        <f>H14</f>
        <v/>
      </c>
      <c r="J14" s="5">
        <f>I14</f>
        <v/>
      </c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5">
        <f>D15</f>
        <v/>
      </c>
      <c r="F15" s="5">
        <f>E15</f>
        <v/>
      </c>
      <c r="G15" s="5">
        <f>F15</f>
        <v/>
      </c>
      <c r="H15" s="5">
        <f>G15</f>
        <v/>
      </c>
      <c r="I15" s="5">
        <f>H15</f>
        <v/>
      </c>
      <c r="J15" s="5">
        <f>I15</f>
        <v/>
      </c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5">
        <f>D16-'CASH FLOW'!F6</f>
        <v/>
      </c>
      <c r="F16" s="5">
        <f>E16-'CASH FLOW'!G6</f>
        <v/>
      </c>
      <c r="G16" s="5">
        <f>F16-'CASH FLOW'!H6</f>
        <v/>
      </c>
      <c r="H16" s="5">
        <f>G16-'CASH FLOW'!I6</f>
        <v/>
      </c>
      <c r="I16" s="5">
        <f>H16-'CASH FLOW'!J6</f>
        <v/>
      </c>
      <c r="J16" s="5">
        <f>I16-'CASH FLOW'!K6</f>
        <v/>
      </c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5">
        <f>D17</f>
        <v/>
      </c>
      <c r="F17" s="5">
        <f>E17</f>
        <v/>
      </c>
      <c r="G17" s="5">
        <f>F17</f>
        <v/>
      </c>
      <c r="H17" s="5">
        <f>G17</f>
        <v/>
      </c>
      <c r="I17" s="5">
        <f>H17</f>
        <v/>
      </c>
      <c r="J17" s="5">
        <f>I17</f>
        <v/>
      </c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5">
        <f>'BS DRIVERS'!F9*'ANNL P&amp;L'!F2</f>
        <v/>
      </c>
      <c r="F18" s="5">
        <f>'BS DRIVERS'!G9*'ANNL P&amp;L'!G2</f>
        <v/>
      </c>
      <c r="G18" s="5">
        <f>'BS DRIVERS'!H9*'ANNL P&amp;L'!H2</f>
        <v/>
      </c>
      <c r="H18" s="5">
        <f>'BS DRIVERS'!I9*'ANNL P&amp;L'!I2</f>
        <v/>
      </c>
      <c r="I18" s="5">
        <f>'BS DRIVERS'!J9*'ANNL P&amp;L'!J2</f>
        <v/>
      </c>
      <c r="J18" s="5">
        <f>'BS DRIVERS'!K9*'ANNL P&amp;L'!K2</f>
        <v/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7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5">
        <f>'BS DRIVERS'!F11*'ANNL P&amp;L'!F3/ASSUMPTIONS!$B$2</f>
        <v/>
      </c>
      <c r="F20" s="5">
        <f>'BS DRIVERS'!G11*'ANNL P&amp;L'!G3/ASSUMPTIONS!$B$2</f>
        <v/>
      </c>
      <c r="G20" s="5">
        <f>'BS DRIVERS'!H11*'ANNL P&amp;L'!H3/ASSUMPTIONS!$B$2</f>
        <v/>
      </c>
      <c r="H20" s="5">
        <f>'BS DRIVERS'!I11*'ANNL P&amp;L'!I3/ASSUMPTIONS!$B$2</f>
        <v/>
      </c>
      <c r="I20" s="5">
        <f>'BS DRIVERS'!J11*'ANNL P&amp;L'!J3/ASSUMPTIONS!$B$2</f>
        <v/>
      </c>
      <c r="J20" s="5">
        <f>'BS DRIVERS'!K11*'ANNL P&amp;L'!K3/ASSUMPTIONS!$B$2</f>
        <v/>
      </c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5">
        <f>'BS DRIVERS'!F12*'ANNL P&amp;L'!F2</f>
        <v/>
      </c>
      <c r="F21" s="5">
        <f>'BS DRIVERS'!G12*'ANNL P&amp;L'!G2</f>
        <v/>
      </c>
      <c r="G21" s="5">
        <f>'BS DRIVERS'!H12*'ANNL P&amp;L'!H2</f>
        <v/>
      </c>
      <c r="H21" s="5">
        <f>'BS DRIVERS'!I12*'ANNL P&amp;L'!I2</f>
        <v/>
      </c>
      <c r="I21" s="5">
        <f>'BS DRIVERS'!J12*'ANNL P&amp;L'!J2</f>
        <v/>
      </c>
      <c r="J21" s="5">
        <f>'BS DRIVERS'!K12*'ANNL P&amp;L'!K2</f>
        <v/>
      </c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5">
        <f>'BS DRIVERS'!F13*'ANNL P&amp;L'!F2</f>
        <v/>
      </c>
      <c r="F22" s="5">
        <f>'BS DRIVERS'!G13*'ANNL P&amp;L'!G2</f>
        <v/>
      </c>
      <c r="G22" s="5">
        <f>'BS DRIVERS'!H13*'ANNL P&amp;L'!H2</f>
        <v/>
      </c>
      <c r="H22" s="5">
        <f>'BS DRIVERS'!I13*'ANNL P&amp;L'!I2</f>
        <v/>
      </c>
      <c r="I22" s="5">
        <f>'BS DRIVERS'!J13*'ANNL P&amp;L'!J2</f>
        <v/>
      </c>
      <c r="J22" s="5">
        <f>'BS DRIVERS'!K13*'ANNL P&amp;L'!K2</f>
        <v/>
      </c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5">
        <f>'BS DRIVERS'!F14*'ANNL P&amp;L'!F2</f>
        <v/>
      </c>
      <c r="F23" s="5">
        <f>'BS DRIVERS'!G14*'ANNL P&amp;L'!G2</f>
        <v/>
      </c>
      <c r="G23" s="5">
        <f>'BS DRIVERS'!H14*'ANNL P&amp;L'!H2</f>
        <v/>
      </c>
      <c r="H23" s="5">
        <f>'BS DRIVERS'!I14*'ANNL P&amp;L'!I2</f>
        <v/>
      </c>
      <c r="I23" s="5">
        <f>'BS DRIVERS'!J14*'ANNL P&amp;L'!J2</f>
        <v/>
      </c>
      <c r="J23" s="5">
        <f>'BS DRIVERS'!K14*'ANNL P&amp;L'!K2</f>
        <v/>
      </c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5">
        <f>'BS DRIVERS'!F15*'ANNL P&amp;L'!F2</f>
        <v/>
      </c>
      <c r="F24" s="5">
        <f>'BS DRIVERS'!G15*'ANNL P&amp;L'!G2</f>
        <v/>
      </c>
      <c r="G24" s="5">
        <f>'BS DRIVERS'!H15*'ANNL P&amp;L'!H2</f>
        <v/>
      </c>
      <c r="H24" s="5">
        <f>'BS DRIVERS'!I15*'ANNL P&amp;L'!I2</f>
        <v/>
      </c>
      <c r="I24" s="5">
        <f>'BS DRIVERS'!J15*'ANNL P&amp;L'!J2</f>
        <v/>
      </c>
      <c r="J24" s="5">
        <f>'BS DRIVERS'!K15*'ANNL P&amp;L'!K2</f>
        <v/>
      </c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5">
        <f>'BS DRIVERS'!F16*'ANNL P&amp;L'!F2</f>
        <v/>
      </c>
      <c r="F25" s="5">
        <f>'BS DRIVERS'!G16*'ANNL P&amp;L'!G2</f>
        <v/>
      </c>
      <c r="G25" s="5">
        <f>'BS DRIVERS'!H16*'ANNL P&amp;L'!H2</f>
        <v/>
      </c>
      <c r="H25" s="5">
        <f>'BS DRIVERS'!I16*'ANNL P&amp;L'!I2</f>
        <v/>
      </c>
      <c r="I25" s="5">
        <f>'BS DRIVERS'!J16*'ANNL P&amp;L'!J2</f>
        <v/>
      </c>
      <c r="J25" s="5">
        <f>'BS DRIVERS'!K16*'ANNL P&amp;L'!K2</f>
        <v/>
      </c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5">
        <f>'BS DRIVERS'!F17*'ANNL P&amp;L'!F2</f>
        <v/>
      </c>
      <c r="F26" s="5">
        <f>'BS DRIVERS'!G17*'ANNL P&amp;L'!G2</f>
        <v/>
      </c>
      <c r="G26" s="5">
        <f>'BS DRIVERS'!H17*'ANNL P&amp;L'!H2</f>
        <v/>
      </c>
      <c r="H26" s="5">
        <f>'BS DRIVERS'!I17*'ANNL P&amp;L'!I2</f>
        <v/>
      </c>
      <c r="I26" s="5">
        <f>'BS DRIVERS'!J17*'ANNL P&amp;L'!J2</f>
        <v/>
      </c>
      <c r="J26" s="5">
        <f>'BS DRIVERS'!K17*'ANNL P&amp;L'!K2</f>
        <v/>
      </c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5">
        <f>'BS DRIVERS'!F18*'ANNL P&amp;L'!F2</f>
        <v/>
      </c>
      <c r="F27" s="5">
        <f>'BS DRIVERS'!G18*'ANNL P&amp;L'!G2</f>
        <v/>
      </c>
      <c r="G27" s="5">
        <f>'BS DRIVERS'!H18*'ANNL P&amp;L'!H2</f>
        <v/>
      </c>
      <c r="H27" s="5">
        <f>'BS DRIVERS'!I18*'ANNL P&amp;L'!I2</f>
        <v/>
      </c>
      <c r="I27" s="5">
        <f>'BS DRIVERS'!J18*'ANNL P&amp;L'!J2</f>
        <v/>
      </c>
      <c r="J27" s="5">
        <f>'BS DRIVERS'!K18*'ANNL P&amp;L'!K2</f>
        <v/>
      </c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5">
        <f>'BS DRIVERS'!F19*'ANNL P&amp;L'!F2</f>
        <v/>
      </c>
      <c r="F28" s="5">
        <f>'BS DRIVERS'!G19*'ANNL P&amp;L'!G2</f>
        <v/>
      </c>
      <c r="G28" s="5">
        <f>'BS DRIVERS'!H19*'ANNL P&amp;L'!H2</f>
        <v/>
      </c>
      <c r="H28" s="5">
        <f>'BS DRIVERS'!I19*'ANNL P&amp;L'!I2</f>
        <v/>
      </c>
      <c r="I28" s="5">
        <f>'BS DRIVERS'!J19*'ANNL P&amp;L'!J2</f>
        <v/>
      </c>
      <c r="J28" s="5">
        <f>'BS DRIVERS'!K19*'ANNL P&amp;L'!K2</f>
        <v/>
      </c>
    </row>
    <row r="29">
      <c r="A29" s="3" t="inlineStr">
        <is>
          <t>Total Current Liabilities</t>
        </is>
      </c>
      <c r="B29" s="6">
        <f>SUM(B20:B28)</f>
        <v/>
      </c>
      <c r="C29" s="6">
        <f>SUM(C20:C28)</f>
        <v/>
      </c>
      <c r="D29" s="6">
        <f>SUM(D20:D28)</f>
        <v/>
      </c>
      <c r="E29" s="7">
        <f>SUM(E20:E28)</f>
        <v/>
      </c>
      <c r="F29" s="7">
        <f>SUM(F20:F28)</f>
        <v/>
      </c>
      <c r="G29" s="7">
        <f>SUM(G20:G28)</f>
        <v/>
      </c>
      <c r="H29" s="7">
        <f>SUM(H20:H28)</f>
        <v/>
      </c>
      <c r="I29" s="7">
        <f>SUM(I20:I28)</f>
        <v/>
      </c>
      <c r="J29" s="7">
        <f>SUM(J20:J28)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5">
        <f>D30</f>
        <v/>
      </c>
      <c r="F30" s="5">
        <f>E30</f>
        <v/>
      </c>
      <c r="G30" s="5">
        <f>F30</f>
        <v/>
      </c>
      <c r="H30" s="5">
        <f>G30</f>
        <v/>
      </c>
      <c r="I30" s="5">
        <f>H30</f>
        <v/>
      </c>
      <c r="J30" s="5">
        <f>I30</f>
        <v/>
      </c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5">
        <f>D31</f>
        <v/>
      </c>
      <c r="F31" s="5">
        <f>E31</f>
        <v/>
      </c>
      <c r="G31" s="5">
        <f>F31</f>
        <v/>
      </c>
      <c r="H31" s="5">
        <f>G31</f>
        <v/>
      </c>
      <c r="I31" s="5">
        <f>H31</f>
        <v/>
      </c>
      <c r="J31" s="5">
        <f>I31</f>
        <v/>
      </c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5">
        <f>D32</f>
        <v/>
      </c>
      <c r="F32" s="5">
        <f>E32</f>
        <v/>
      </c>
      <c r="G32" s="5">
        <f>F32</f>
        <v/>
      </c>
      <c r="H32" s="5">
        <f>G32</f>
        <v/>
      </c>
      <c r="I32" s="5">
        <f>H32</f>
        <v/>
      </c>
      <c r="J32" s="5">
        <f>I32</f>
        <v/>
      </c>
    </row>
    <row r="33">
      <c r="A33" s="3" t="inlineStr">
        <is>
          <t>Deferred Revenue - Non-Current</t>
        </is>
      </c>
      <c r="B33" s="4" t="n">
        <v>179788</v>
      </c>
      <c r="C33" s="4" t="n">
        <v>167227</v>
      </c>
      <c r="D33" s="4" t="n">
        <v>157714</v>
      </c>
      <c r="E33" s="5">
        <f>D33</f>
        <v/>
      </c>
      <c r="F33" s="5">
        <f>E33</f>
        <v/>
      </c>
      <c r="G33" s="5">
        <f>F33</f>
        <v/>
      </c>
      <c r="H33" s="5">
        <f>G33</f>
        <v/>
      </c>
      <c r="I33" s="5">
        <f>H33</f>
        <v/>
      </c>
      <c r="J33" s="5">
        <f>I33</f>
        <v/>
      </c>
    </row>
    <row r="34">
      <c r="A34" s="3" t="inlineStr">
        <is>
          <t>Total Liabilities</t>
        </is>
      </c>
      <c r="B34" s="6">
        <f>B29+SUM(B30:B33)</f>
        <v/>
      </c>
      <c r="C34" s="6">
        <f>C29+SUM(C30:C33)</f>
        <v/>
      </c>
      <c r="D34" s="6">
        <f>D29+SUM(D30:D33)</f>
        <v/>
      </c>
      <c r="E34" s="7">
        <f>E29+SUM(E30:E33)</f>
        <v/>
      </c>
      <c r="F34" s="7">
        <f>F29+SUM(F30:F33)</f>
        <v/>
      </c>
      <c r="G34" s="7">
        <f>G29+SUM(G30:G33)</f>
        <v/>
      </c>
      <c r="H34" s="7">
        <f>H29+SUM(H30:H33)</f>
        <v/>
      </c>
      <c r="I34" s="7">
        <f>I29+SUM(I30:I33)</f>
        <v/>
      </c>
      <c r="J34" s="7">
        <f>J29+SUM(J30:J33)</f>
        <v/>
      </c>
    </row>
    <row r="35">
      <c r="A35" s="3" t="inlineStr">
        <is>
          <t>Convertible Preferred Stock</t>
        </is>
      </c>
      <c r="B35" s="4" t="n">
        <v>824488</v>
      </c>
      <c r="C35" s="4" t="n">
        <v>824488</v>
      </c>
      <c r="D35" s="4" t="n">
        <v>824488</v>
      </c>
      <c r="E35" s="5">
        <f>D35</f>
        <v/>
      </c>
      <c r="F35" s="5">
        <f>E35</f>
        <v/>
      </c>
      <c r="G35" s="5">
        <f>F35</f>
        <v/>
      </c>
      <c r="H35" s="5">
        <f>G35</f>
        <v/>
      </c>
      <c r="I35" s="5">
        <f>H35</f>
        <v/>
      </c>
      <c r="J35" s="5">
        <f>I35</f>
        <v/>
      </c>
    </row>
    <row r="36">
      <c r="A36" s="3" t="inlineStr">
        <is>
          <t>Common Stock</t>
        </is>
      </c>
      <c r="B36" s="4" t="n">
        <v>76</v>
      </c>
      <c r="C36" s="4" t="n">
        <v>77</v>
      </c>
      <c r="D36" s="4" t="n">
        <v>79</v>
      </c>
      <c r="E36" s="5">
        <f>D36</f>
        <v/>
      </c>
      <c r="F36" s="5">
        <f>E36</f>
        <v/>
      </c>
      <c r="G36" s="5">
        <f>F36</f>
        <v/>
      </c>
      <c r="H36" s="5">
        <f>G36</f>
        <v/>
      </c>
      <c r="I36" s="5">
        <f>H36</f>
        <v/>
      </c>
      <c r="J36" s="5">
        <f>I36</f>
        <v/>
      </c>
    </row>
    <row r="37">
      <c r="A37" s="3" t="inlineStr">
        <is>
          <t>Additional Paid-in Capital</t>
        </is>
      </c>
      <c r="B37" s="4" t="n">
        <v>280668</v>
      </c>
      <c r="C37" s="4" t="n">
        <v>276717</v>
      </c>
      <c r="D37" s="4" t="n">
        <v>297579</v>
      </c>
      <c r="E37" s="5">
        <f>D37+'CASH FLOW'!F9+'CASH FLOW'!F33</f>
        <v/>
      </c>
      <c r="F37" s="5">
        <f>E37+'CASH FLOW'!G9+'CASH FLOW'!G33</f>
        <v/>
      </c>
      <c r="G37" s="5">
        <f>F37+'CASH FLOW'!H9+'CASH FLOW'!H33</f>
        <v/>
      </c>
      <c r="H37" s="5">
        <f>G37+'CASH FLOW'!I9+'CASH FLOW'!I33</f>
        <v/>
      </c>
      <c r="I37" s="5">
        <f>H37+'CASH FLOW'!J9+'CASH FLOW'!J33</f>
        <v/>
      </c>
      <c r="J37" s="5">
        <f>I37+'CASH FLOW'!K9+'CASH FLOW'!K33</f>
        <v/>
      </c>
    </row>
    <row r="38">
      <c r="A38" s="3" t="inlineStr">
        <is>
          <t>Accumulated Other Comprehensive Income (Loss)</t>
        </is>
      </c>
      <c r="B38" s="4" t="n">
        <v>-1881</v>
      </c>
      <c r="C38" s="4" t="n">
        <v>-701</v>
      </c>
      <c r="D38" s="4" t="n">
        <v>-3250</v>
      </c>
      <c r="E38" s="5">
        <f>D38</f>
        <v/>
      </c>
      <c r="F38" s="5">
        <f>E38</f>
        <v/>
      </c>
      <c r="G38" s="5">
        <f>F38</f>
        <v/>
      </c>
      <c r="H38" s="5">
        <f>G38</f>
        <v/>
      </c>
      <c r="I38" s="5">
        <f>H38</f>
        <v/>
      </c>
      <c r="J38" s="5">
        <f>I38</f>
        <v/>
      </c>
    </row>
    <row r="39">
      <c r="A39" s="3" t="inlineStr">
        <is>
          <t>Retained Earnings (Accumulated Deficit)</t>
        </is>
      </c>
      <c r="B39" s="4" t="n">
        <v>-238772</v>
      </c>
      <c r="C39" s="4" t="n">
        <v>-12053</v>
      </c>
      <c r="D39" s="4" t="n">
        <v>105521</v>
      </c>
      <c r="E39" s="5">
        <f>D39+'ANNL P&amp;L'!F12+'CASH FLOW'!F35</f>
        <v/>
      </c>
      <c r="F39" s="5">
        <f>E39+'ANNL P&amp;L'!G12+'CASH FLOW'!G35</f>
        <v/>
      </c>
      <c r="G39" s="5">
        <f>F39+'ANNL P&amp;L'!H12+'CASH FLOW'!H35</f>
        <v/>
      </c>
      <c r="H39" s="5">
        <f>G39+'ANNL P&amp;L'!I12+'CASH FLOW'!I35</f>
        <v/>
      </c>
      <c r="I39" s="5">
        <f>H39+'ANNL P&amp;L'!J12+'CASH FLOW'!J35</f>
        <v/>
      </c>
      <c r="J39" s="5">
        <f>I39+'ANNL P&amp;L'!K12+'CASH FLOW'!K35</f>
        <v/>
      </c>
    </row>
    <row r="40">
      <c r="A40" s="3" t="inlineStr">
        <is>
          <t>Total Stockholders' Equity</t>
        </is>
      </c>
      <c r="B40" s="6">
        <f>SUM(B36:B39)</f>
        <v/>
      </c>
      <c r="C40" s="6">
        <f>SUM(C36:C39)</f>
        <v/>
      </c>
      <c r="D40" s="6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  <c r="H40" s="7">
        <f>SUM(H36:H39)</f>
        <v/>
      </c>
      <c r="I40" s="7">
        <f>SUM(I36:I39)</f>
        <v/>
      </c>
      <c r="J40" s="7">
        <f>SUM(J36:J39)</f>
        <v/>
      </c>
    </row>
    <row r="41">
      <c r="A41" s="3" t="inlineStr">
        <is>
          <t>Total Liabilities, Mezzanine &amp; Stockholders' Equity</t>
        </is>
      </c>
      <c r="B41" s="6">
        <f>B34+B35+B40</f>
        <v/>
      </c>
      <c r="C41" s="6">
        <f>C34+C35+C40</f>
        <v/>
      </c>
      <c r="D41" s="6">
        <f>D34+D35+D40</f>
        <v/>
      </c>
      <c r="E41" s="7">
        <f>E34+E35+E40</f>
        <v/>
      </c>
      <c r="F41" s="7">
        <f>F34+F35+F40</f>
        <v/>
      </c>
      <c r="G41" s="7">
        <f>G34+G35+G40</f>
        <v/>
      </c>
      <c r="H41" s="7">
        <f>H34+H35+H40</f>
        <v/>
      </c>
      <c r="I41" s="7">
        <f>I34+I35+I40</f>
        <v/>
      </c>
      <c r="J41" s="7">
        <f>J34+J35+J40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>
        <f>'ANNL P&amp;L'!F12</f>
        <v/>
      </c>
      <c r="G2" s="5">
        <f>'ANNL P&amp;L'!G12</f>
        <v/>
      </c>
      <c r="H2" s="5">
        <f>'ANNL P&amp;L'!H12</f>
        <v/>
      </c>
      <c r="I2" s="5">
        <f>'ANNL P&amp;L'!I12</f>
        <v/>
      </c>
      <c r="J2" s="5">
        <f>'ANNL P&amp;L'!J12</f>
        <v/>
      </c>
      <c r="K2" s="5">
        <f>'ANNL P&amp;L'!K12</f>
        <v/>
      </c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>
        <f>'CF DRIVERS'!F2*'BALANCE SHEET'!D11</f>
        <v/>
      </c>
      <c r="G3" s="5">
        <f>'CF DRIVERS'!G2*'BALANCE SHEET'!E11</f>
        <v/>
      </c>
      <c r="H3" s="5">
        <f>'CF DRIVERS'!H2*'BALANCE SHEET'!F11</f>
        <v/>
      </c>
      <c r="I3" s="5">
        <f>'CF DRIVERS'!I2*'BALANCE SHEET'!G11</f>
        <v/>
      </c>
      <c r="J3" s="5">
        <f>'CF DRIVERS'!J2*'BALANCE SHEET'!H11</f>
        <v/>
      </c>
      <c r="K3" s="5">
        <f>'CF DRIVERS'!K2*'BALANCE SHEET'!I11</f>
        <v/>
      </c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>
        <f>E4</f>
        <v/>
      </c>
      <c r="G4" s="5">
        <f>F4</f>
        <v/>
      </c>
      <c r="H4" s="5">
        <f>G4</f>
        <v/>
      </c>
      <c r="I4" s="5">
        <f>H4</f>
        <v/>
      </c>
      <c r="J4" s="5">
        <f>I4</f>
        <v/>
      </c>
      <c r="K4" s="5">
        <f>J4</f>
        <v/>
      </c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>
        <f>E5</f>
        <v/>
      </c>
      <c r="G5" s="5">
        <f>F5</f>
        <v/>
      </c>
      <c r="H5" s="5">
        <f>G5</f>
        <v/>
      </c>
      <c r="I5" s="5">
        <f>H5</f>
        <v/>
      </c>
      <c r="J5" s="5">
        <f>I5</f>
        <v/>
      </c>
      <c r="K5" s="5">
        <f>J5</f>
        <v/>
      </c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>
        <f>E6</f>
        <v/>
      </c>
      <c r="G6" s="5">
        <f>F6</f>
        <v/>
      </c>
      <c r="H6" s="5">
        <f>G6</f>
        <v/>
      </c>
      <c r="I6" s="5">
        <f>H6</f>
        <v/>
      </c>
      <c r="J6" s="5">
        <f>I6</f>
        <v/>
      </c>
      <c r="K6" s="5">
        <f>J6</f>
        <v/>
      </c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>
        <f>E7</f>
        <v/>
      </c>
      <c r="G7" s="5">
        <f>F7</f>
        <v/>
      </c>
      <c r="H7" s="5">
        <f>G7</f>
        <v/>
      </c>
      <c r="I7" s="5">
        <f>H7</f>
        <v/>
      </c>
      <c r="J7" s="5">
        <f>I7</f>
        <v/>
      </c>
      <c r="K7" s="5">
        <f>J7</f>
        <v/>
      </c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>
        <f>E8</f>
        <v/>
      </c>
      <c r="G8" s="5">
        <f>F8</f>
        <v/>
      </c>
      <c r="H8" s="5">
        <f>G8</f>
        <v/>
      </c>
      <c r="I8" s="5">
        <f>H8</f>
        <v/>
      </c>
      <c r="J8" s="5">
        <f>I8</f>
        <v/>
      </c>
      <c r="K8" s="5">
        <f>J8</f>
        <v/>
      </c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>
        <f>'CF DRIVERS'!F3</f>
        <v/>
      </c>
      <c r="G9" s="5">
        <f>'CF DRIVERS'!G3</f>
        <v/>
      </c>
      <c r="H9" s="5">
        <f>'CF DRIVERS'!H3</f>
        <v/>
      </c>
      <c r="I9" s="5">
        <f>'CF DRIVERS'!I3</f>
        <v/>
      </c>
      <c r="J9" s="5">
        <f>'CF DRIVERS'!J3</f>
        <v/>
      </c>
      <c r="K9" s="5">
        <f>'CF DRIVERS'!K3</f>
        <v/>
      </c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>
        <f>E10</f>
        <v/>
      </c>
      <c r="G10" s="5">
        <f>F10</f>
        <v/>
      </c>
      <c r="H10" s="5">
        <f>G10</f>
        <v/>
      </c>
      <c r="I10" s="5">
        <f>H10</f>
        <v/>
      </c>
      <c r="J10" s="5">
        <f>I10</f>
        <v/>
      </c>
      <c r="K10" s="5">
        <f>J10</f>
        <v/>
      </c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>
        <f>E11</f>
        <v/>
      </c>
      <c r="G11" s="5">
        <f>F11</f>
        <v/>
      </c>
      <c r="H11" s="5">
        <f>G11</f>
        <v/>
      </c>
      <c r="I11" s="5">
        <f>H11</f>
        <v/>
      </c>
      <c r="J11" s="5">
        <f>I11</f>
        <v/>
      </c>
      <c r="K11" s="5">
        <f>J11</f>
        <v/>
      </c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5">
        <f>E12</f>
        <v/>
      </c>
      <c r="G12" s="5">
        <f>F12</f>
        <v/>
      </c>
      <c r="H12" s="5">
        <f>G12</f>
        <v/>
      </c>
      <c r="I12" s="5">
        <f>H12</f>
        <v/>
      </c>
      <c r="J12" s="5">
        <f>I12</f>
        <v/>
      </c>
      <c r="K12" s="5">
        <f>J12</f>
        <v/>
      </c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5">
        <f>E13</f>
        <v/>
      </c>
      <c r="G13" s="5">
        <f>F13</f>
        <v/>
      </c>
      <c r="H13" s="5">
        <f>G13</f>
        <v/>
      </c>
      <c r="I13" s="5">
        <f>H13</f>
        <v/>
      </c>
      <c r="J13" s="5">
        <f>I13</f>
        <v/>
      </c>
      <c r="K13" s="5">
        <f>J13</f>
        <v/>
      </c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5">
        <f>-('BALANCE SHEET'!E4-'BALANCE SHEET'!D4)</f>
        <v/>
      </c>
      <c r="G14" s="5">
        <f>-('BALANCE SHEET'!F4-'BALANCE SHEET'!E4)</f>
        <v/>
      </c>
      <c r="H14" s="5">
        <f>-('BALANCE SHEET'!G4-'BALANCE SHEET'!F4)</f>
        <v/>
      </c>
      <c r="I14" s="5">
        <f>-('BALANCE SHEET'!H4-'BALANCE SHEET'!G4)</f>
        <v/>
      </c>
      <c r="J14" s="5">
        <f>-('BALANCE SHEET'!I4-'BALANCE SHEET'!H4)</f>
        <v/>
      </c>
      <c r="K14" s="5">
        <f>-('BALANCE SHEET'!J4-'BALANCE SHEET'!I4)</f>
        <v/>
      </c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5">
        <f>-('BALANCE SHEET'!E5-'BALANCE SHEET'!D5)</f>
        <v/>
      </c>
      <c r="G15" s="5">
        <f>-('BALANCE SHEET'!F5-'BALANCE SHEET'!E5)</f>
        <v/>
      </c>
      <c r="H15" s="5">
        <f>-('BALANCE SHEET'!G5-'BALANCE SHEET'!F5)</f>
        <v/>
      </c>
      <c r="I15" s="5">
        <f>-('BALANCE SHEET'!H5-'BALANCE SHEET'!G5)</f>
        <v/>
      </c>
      <c r="J15" s="5">
        <f>-('BALANCE SHEET'!I5-'BALANCE SHEET'!H5)</f>
        <v/>
      </c>
      <c r="K15" s="5">
        <f>-('BALANCE SHEET'!J5-'BALANCE SHEET'!I5)</f>
        <v/>
      </c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5">
        <f>-('BALANCE SHEET'!E6-'BALANCE SHEET'!D6)</f>
        <v/>
      </c>
      <c r="G16" s="5">
        <f>-('BALANCE SHEET'!F6-'BALANCE SHEET'!E6)</f>
        <v/>
      </c>
      <c r="H16" s="5">
        <f>-('BALANCE SHEET'!G6-'BALANCE SHEET'!F6)</f>
        <v/>
      </c>
      <c r="I16" s="5">
        <f>-('BALANCE SHEET'!H6-'BALANCE SHEET'!G6)</f>
        <v/>
      </c>
      <c r="J16" s="5">
        <f>-('BALANCE SHEET'!I6-'BALANCE SHEET'!H6)</f>
        <v/>
      </c>
      <c r="K16" s="5">
        <f>-('BALANCE SHEET'!J6-'BALANCE SHEET'!I6)</f>
        <v/>
      </c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5">
        <f>-('BALANCE SHEET'!E8-'BALANCE SHEET'!D8)</f>
        <v/>
      </c>
      <c r="G17" s="5">
        <f>-('BALANCE SHEET'!F8-'BALANCE SHEET'!E8)</f>
        <v/>
      </c>
      <c r="H17" s="5">
        <f>-('BALANCE SHEET'!G8-'BALANCE SHEET'!F8)</f>
        <v/>
      </c>
      <c r="I17" s="5">
        <f>-('BALANCE SHEET'!H8-'BALANCE SHEET'!G8)</f>
        <v/>
      </c>
      <c r="J17" s="5">
        <f>-('BALANCE SHEET'!I8-'BALANCE SHEET'!H8)</f>
        <v/>
      </c>
      <c r="K17" s="5">
        <f>-('BALANCE SHEET'!J8-'BALANCE SHEET'!I8)</f>
        <v/>
      </c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5">
        <f>('BALANCE SHEET'!E20-'BALANCE SHEET'!D20)</f>
        <v/>
      </c>
      <c r="G18" s="5">
        <f>('BALANCE SHEET'!F20-'BALANCE SHEET'!E20)</f>
        <v/>
      </c>
      <c r="H18" s="5">
        <f>('BALANCE SHEET'!G20-'BALANCE SHEET'!F20)</f>
        <v/>
      </c>
      <c r="I18" s="5">
        <f>('BALANCE SHEET'!H20-'BALANCE SHEET'!G20)</f>
        <v/>
      </c>
      <c r="J18" s="5">
        <f>('BALANCE SHEET'!I20-'BALANCE SHEET'!H20)</f>
        <v/>
      </c>
      <c r="K18" s="5">
        <f>('BALANCE SHEET'!J20-'BALANCE SHEET'!I20)</f>
        <v/>
      </c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5">
        <f>('BALANCE SHEET'!E21-'BALANCE SHEET'!D21)</f>
        <v/>
      </c>
      <c r="G19" s="5">
        <f>('BALANCE SHEET'!F21-'BALANCE SHEET'!E21)</f>
        <v/>
      </c>
      <c r="H19" s="5">
        <f>('BALANCE SHEET'!G21-'BALANCE SHEET'!F21)</f>
        <v/>
      </c>
      <c r="I19" s="5">
        <f>('BALANCE SHEET'!H21-'BALANCE SHEET'!G21)</f>
        <v/>
      </c>
      <c r="J19" s="5">
        <f>('BALANCE SHEET'!I21-'BALANCE SHEET'!H21)</f>
        <v/>
      </c>
      <c r="K19" s="5">
        <f>('BALANCE SHEET'!J21-'BALANCE SHEET'!I21)</f>
        <v/>
      </c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5">
        <f>('BALANCE SHEET'!E28-'BALANCE SHEET'!D28)</f>
        <v/>
      </c>
      <c r="G20" s="5">
        <f>('BALANCE SHEET'!F28-'BALANCE SHEET'!E28)</f>
        <v/>
      </c>
      <c r="H20" s="5">
        <f>('BALANCE SHEET'!G28-'BALANCE SHEET'!F28)</f>
        <v/>
      </c>
      <c r="I20" s="5">
        <f>('BALANCE SHEET'!H28-'BALANCE SHEET'!G28)</f>
        <v/>
      </c>
      <c r="J20" s="5">
        <f>('BALANCE SHEET'!I28-'BALANCE SHEET'!H28)</f>
        <v/>
      </c>
      <c r="K20" s="5">
        <f>('BALANCE SHEET'!J28-'BALANCE SHEET'!I28)</f>
        <v/>
      </c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5">
        <f>('BALANCE SHEET'!E24-'BALANCE SHEET'!D24)</f>
        <v/>
      </c>
      <c r="G21" s="5">
        <f>('BALANCE SHEET'!F24-'BALANCE SHEET'!E24)</f>
        <v/>
      </c>
      <c r="H21" s="5">
        <f>('BALANCE SHEET'!G24-'BALANCE SHEET'!F24)</f>
        <v/>
      </c>
      <c r="I21" s="5">
        <f>('BALANCE SHEET'!H24-'BALANCE SHEET'!G24)</f>
        <v/>
      </c>
      <c r="J21" s="5">
        <f>('BALANCE SHEET'!I24-'BALANCE SHEET'!H24)</f>
        <v/>
      </c>
      <c r="K21" s="5">
        <f>('BALANCE SHEET'!J24-'BALANCE SHEET'!I24)</f>
        <v/>
      </c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5">
        <f>('BALANCE SHEET'!E23-'BALANCE SHEET'!D23)</f>
        <v/>
      </c>
      <c r="G22" s="5">
        <f>('BALANCE SHEET'!F23-'BALANCE SHEET'!E23)</f>
        <v/>
      </c>
      <c r="H22" s="5">
        <f>('BALANCE SHEET'!G23-'BALANCE SHEET'!F23)</f>
        <v/>
      </c>
      <c r="I22" s="5">
        <f>('BALANCE SHEET'!H23-'BALANCE SHEET'!G23)</f>
        <v/>
      </c>
      <c r="J22" s="5">
        <f>('BALANCE SHEET'!I23-'BALANCE SHEET'!H23)</f>
        <v/>
      </c>
      <c r="K22" s="5">
        <f>('BALANCE SHEET'!J23-'BALANCE SHEET'!I23)</f>
        <v/>
      </c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5">
        <f>E23</f>
        <v/>
      </c>
      <c r="G23" s="5">
        <f>F23</f>
        <v/>
      </c>
      <c r="H23" s="5">
        <f>G23</f>
        <v/>
      </c>
      <c r="I23" s="5">
        <f>H23</f>
        <v/>
      </c>
      <c r="J23" s="5">
        <f>I23</f>
        <v/>
      </c>
      <c r="K23" s="5">
        <f>J23</f>
        <v/>
      </c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5">
        <f>(('BALANCE SHEET'!E27+'BALANCE SHEET'!E33)-('BALANCE SHEET'!D27+'BALANCE SHEET'!D33))</f>
        <v/>
      </c>
      <c r="G24" s="5">
        <f>(('BALANCE SHEET'!F27+'BALANCE SHEET'!F33)-('BALANCE SHEET'!E27+'BALANCE SHEET'!E33))</f>
        <v/>
      </c>
      <c r="H24" s="5">
        <f>(('BALANCE SHEET'!G27+'BALANCE SHEET'!G33)-('BALANCE SHEET'!F27+'BALANCE SHEET'!F33))</f>
        <v/>
      </c>
      <c r="I24" s="5">
        <f>(('BALANCE SHEET'!H27+'BALANCE SHEET'!H33)-('BALANCE SHEET'!G27+'BALANCE SHEET'!G33))</f>
        <v/>
      </c>
      <c r="J24" s="5">
        <f>(('BALANCE SHEET'!I27+'BALANCE SHEET'!I33)-('BALANCE SHEET'!H27+'BALANCE SHEET'!H33))</f>
        <v/>
      </c>
      <c r="K24" s="5">
        <f>(('BALANCE SHEET'!J27+'BALANCE SHEET'!J33)-('BALANCE SHEET'!I27+'BALANCE SHEET'!I33))</f>
        <v/>
      </c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5">
        <f>-('BALANCE SHEET'!E18-'BALANCE SHEET'!D18)</f>
        <v/>
      </c>
      <c r="G25" s="5">
        <f>-('BALANCE SHEET'!F18-'BALANCE SHEET'!E18)</f>
        <v/>
      </c>
      <c r="H25" s="5">
        <f>-('BALANCE SHEET'!G18-'BALANCE SHEET'!F18)</f>
        <v/>
      </c>
      <c r="I25" s="5">
        <f>-('BALANCE SHEET'!H18-'BALANCE SHEET'!G18)</f>
        <v/>
      </c>
      <c r="J25" s="5">
        <f>-('BALANCE SHEET'!I18-'BALANCE SHEET'!H18)</f>
        <v/>
      </c>
      <c r="K25" s="5">
        <f>-('BALANCE SHEET'!J18-'BALANCE SHEET'!I18)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5">
        <f>E27</f>
        <v/>
      </c>
      <c r="G27" s="5">
        <f>F27</f>
        <v/>
      </c>
      <c r="H27" s="5">
        <f>G27</f>
        <v/>
      </c>
      <c r="I27" s="5">
        <f>H27</f>
        <v/>
      </c>
      <c r="J27" s="5">
        <f>I27</f>
        <v/>
      </c>
      <c r="K27" s="5">
        <f>J27</f>
        <v/>
      </c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5">
        <f>'CF DRIVERS'!F4*'BALANCE SHEET'!D11</f>
        <v/>
      </c>
      <c r="G28" s="5">
        <f>'CF DRIVERS'!G4*'BALANCE SHEET'!E11</f>
        <v/>
      </c>
      <c r="H28" s="5">
        <f>'CF DRIVERS'!H4*'BALANCE SHEET'!F11</f>
        <v/>
      </c>
      <c r="I28" s="5">
        <f>'CF DRIVERS'!I4*'BALANCE SHEET'!G11</f>
        <v/>
      </c>
      <c r="J28" s="5">
        <f>'CF DRIVERS'!J4*'BALANCE SHEET'!H11</f>
        <v/>
      </c>
      <c r="K28" s="5">
        <f>'CF DRIVERS'!K4*'BALANCE SHEET'!I11</f>
        <v/>
      </c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5" t="n"/>
      <c r="G30" s="5" t="n"/>
      <c r="H30" s="5" t="n"/>
      <c r="I30" s="5" t="n"/>
      <c r="J30" s="5" t="n"/>
      <c r="K30" s="5" t="n"/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5">
        <f>E32</f>
        <v/>
      </c>
      <c r="G32" s="5">
        <f>F32</f>
        <v/>
      </c>
      <c r="H32" s="5">
        <f>G32</f>
        <v/>
      </c>
      <c r="I32" s="5">
        <f>H32</f>
        <v/>
      </c>
      <c r="J32" s="5">
        <f>I32</f>
        <v/>
      </c>
      <c r="K32" s="5">
        <f>J32</f>
        <v/>
      </c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>
        <f>E33</f>
        <v/>
      </c>
      <c r="G33" s="5">
        <f>F33</f>
        <v/>
      </c>
      <c r="H33" s="5">
        <f>G33</f>
        <v/>
      </c>
      <c r="I33" s="5">
        <f>H33</f>
        <v/>
      </c>
      <c r="J33" s="5">
        <f>I33</f>
        <v/>
      </c>
      <c r="K33" s="5">
        <f>J33</f>
        <v/>
      </c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5">
        <f>E34</f>
        <v/>
      </c>
      <c r="G34" s="5">
        <f>F34</f>
        <v/>
      </c>
      <c r="H34" s="5">
        <f>G34</f>
        <v/>
      </c>
      <c r="I34" s="5">
        <f>H34</f>
        <v/>
      </c>
      <c r="J34" s="5">
        <f>I34</f>
        <v/>
      </c>
      <c r="K34" s="5">
        <f>J34</f>
        <v/>
      </c>
    </row>
    <row r="35">
      <c r="A35" s="3" t="inlineStr">
        <is>
          <t>Preferred Dividends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5">
        <f>'CF DRIVERS'!F5*'BALANCE SHEET'!E35</f>
        <v/>
      </c>
      <c r="G35" s="5">
        <f>'CF DRIVERS'!G5*'BALANCE SHEET'!F35</f>
        <v/>
      </c>
      <c r="H35" s="5">
        <f>'CF DRIVERS'!H5*'BALANCE SHEET'!G35</f>
        <v/>
      </c>
      <c r="I35" s="5">
        <f>'CF DRIVERS'!I5*'BALANCE SHEET'!H35</f>
        <v/>
      </c>
      <c r="J35" s="5">
        <f>'CF DRIVERS'!J5*'BALANCE SHEET'!I35</f>
        <v/>
      </c>
      <c r="K35" s="5">
        <f>'CF DRIVERS'!K5*'BALANCE SHEET'!J35</f>
        <v/>
      </c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5">
        <f>E36</f>
        <v/>
      </c>
      <c r="G36" s="5">
        <f>F36</f>
        <v/>
      </c>
      <c r="H36" s="5">
        <f>G36</f>
        <v/>
      </c>
      <c r="I36" s="5">
        <f>H36</f>
        <v/>
      </c>
      <c r="J36" s="5">
        <f>I36</f>
        <v/>
      </c>
      <c r="K36" s="5">
        <f>J36</f>
        <v/>
      </c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5">
        <f>'CF DRIVERS'!F7</f>
        <v/>
      </c>
      <c r="G37" s="5">
        <f>'CF DRIVERS'!G7</f>
        <v/>
      </c>
      <c r="H37" s="5">
        <f>'CF DRIVERS'!H7</f>
        <v/>
      </c>
      <c r="I37" s="5">
        <f>'CF DRIVERS'!I7</f>
        <v/>
      </c>
      <c r="J37" s="5">
        <f>'CF DRIVERS'!J7</f>
        <v/>
      </c>
      <c r="K37" s="5">
        <f>'CF DRIVERS'!K7</f>
        <v/>
      </c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5">
        <f>E39</f>
        <v/>
      </c>
      <c r="G39" s="5">
        <f>F39</f>
        <v/>
      </c>
      <c r="H39" s="5">
        <f>G39</f>
        <v/>
      </c>
      <c r="I39" s="5">
        <f>H39</f>
        <v/>
      </c>
      <c r="J39" s="5">
        <f>I39</f>
        <v/>
      </c>
      <c r="K39" s="5">
        <f>J39</f>
        <v/>
      </c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5">
        <f>'CASH FLOW'!F26+'CASH FLOW'!F31+'CASH FLOW'!F38+'CASH FLOW'!F39</f>
        <v/>
      </c>
      <c r="G40" s="5">
        <f>'CASH FLOW'!G26+'CASH FLOW'!G31+'CASH FLOW'!G38+'CASH FLOW'!G39</f>
        <v/>
      </c>
      <c r="H40" s="5">
        <f>'CASH FLOW'!H26+'CASH FLOW'!H31+'CASH FLOW'!H38+'CASH FLOW'!H39</f>
        <v/>
      </c>
      <c r="I40" s="5">
        <f>'CASH FLOW'!I26+'CASH FLOW'!I31+'CASH FLOW'!I38+'CASH FLOW'!I39</f>
        <v/>
      </c>
      <c r="J40" s="5">
        <f>'CASH FLOW'!J26+'CASH FLOW'!J31+'CASH FLOW'!J38+'CASH FLOW'!J39</f>
        <v/>
      </c>
      <c r="K40" s="5">
        <f>'CASH FLOW'!K26+'CASH FLOW'!K31+'CASH FLOW'!K38+'CASH FLOW'!K39</f>
        <v/>
      </c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5">
        <f>'CASH FLOW'!E42</f>
        <v/>
      </c>
      <c r="G41" s="5">
        <f>'CASH FLOW'!F42</f>
        <v/>
      </c>
      <c r="H41" s="5">
        <f>'CASH FLOW'!G42</f>
        <v/>
      </c>
      <c r="I41" s="5">
        <f>'CASH FLOW'!H42</f>
        <v/>
      </c>
      <c r="J41" s="5">
        <f>'CASH FLOW'!I42</f>
        <v/>
      </c>
      <c r="K41" s="5">
        <f>'CASH FLOW'!J42</f>
        <v/>
      </c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5">
        <f>'CASH FLOW'!F41+'CASH FLOW'!F40</f>
        <v/>
      </c>
      <c r="G42" s="5">
        <f>'CASH FLOW'!G41+'CASH FLOW'!G40</f>
        <v/>
      </c>
      <c r="H42" s="5">
        <f>'CASH FLOW'!H41+'CASH FLOW'!H40</f>
        <v/>
      </c>
      <c r="I42" s="5">
        <f>'CASH FLOW'!I41+'CASH FLOW'!I40</f>
        <v/>
      </c>
      <c r="J42" s="5">
        <f>'CASH FLOW'!J41+'CASH FLOW'!J40</f>
        <v/>
      </c>
      <c r="K42" s="5">
        <f>'CASH FLOW'!K41+'CASH FLOW'!K40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Revenue Growth %</t>
        </is>
      </c>
      <c r="C2" s="10">
        <f>IFERROR(('ANNL P&amp;L'!C2-'ANNL P&amp;L'!B2)/'ANNL P&amp;L'!B2,0)</f>
        <v/>
      </c>
      <c r="D2" s="10">
        <f>IFERROR(('ANNL P&amp;L'!D2-'ANNL P&amp;L'!C2)/'ANNL P&amp;L'!C2,0)</f>
        <v/>
      </c>
      <c r="E2" s="10">
        <f>IFERROR(('ANNL P&amp;L'!E2-'ANNL P&amp;L'!D2)/'ANNL P&amp;L'!D2,0)</f>
        <v/>
      </c>
      <c r="F2" s="11" t="n"/>
      <c r="G2" s="11" t="n"/>
      <c r="H2" s="11" t="n"/>
      <c r="I2" s="11" t="n"/>
      <c r="J2" s="11" t="n"/>
      <c r="K2" s="11" t="n"/>
    </row>
    <row r="3">
      <c r="A3" s="3" t="inlineStr">
        <is>
          <t>COGS % of Revenue</t>
        </is>
      </c>
      <c r="B3" s="10">
        <f>IFERROR('ANNL P&amp;L'!B3/'ANNL P&amp;L'!B2,0)</f>
        <v/>
      </c>
      <c r="C3" s="10">
        <f>IFERROR('ANNL P&amp;L'!C3/'ANNL P&amp;L'!C2,0)</f>
        <v/>
      </c>
      <c r="D3" s="10">
        <f>IFERROR('ANNL P&amp;L'!D3/'ANNL P&amp;L'!D2,0)</f>
        <v/>
      </c>
      <c r="E3" s="10">
        <f>IFERROR('ANNL P&amp;L'!E3/'ANNL P&amp;L'!E2,0)</f>
        <v/>
      </c>
      <c r="F3" s="12">
        <f>E3</f>
        <v/>
      </c>
      <c r="G3" s="12">
        <f>F3</f>
        <v/>
      </c>
      <c r="H3" s="12">
        <f>G3</f>
        <v/>
      </c>
      <c r="I3" s="12">
        <f>H3</f>
        <v/>
      </c>
      <c r="J3" s="12">
        <f>I3</f>
        <v/>
      </c>
      <c r="K3" s="12">
        <f>J3</f>
        <v/>
      </c>
    </row>
    <row r="4">
      <c r="A4" s="3" t="inlineStr">
        <is>
          <t>SG&amp;A % of Revenue</t>
        </is>
      </c>
      <c r="B4" s="10">
        <f>IFERROR('ANNL P&amp;L'!B5/'ANNL P&amp;L'!B2,0)</f>
        <v/>
      </c>
      <c r="C4" s="10">
        <f>IFERROR('ANNL P&amp;L'!C5/'ANNL P&amp;L'!C2,0)</f>
        <v/>
      </c>
      <c r="D4" s="10">
        <f>IFERROR('ANNL P&amp;L'!D5/'ANNL P&amp;L'!D2,0)</f>
        <v/>
      </c>
      <c r="E4" s="10">
        <f>IFERROR('ANNL P&amp;L'!E5/'ANNL P&amp;L'!E2,0)</f>
        <v/>
      </c>
      <c r="F4" s="12">
        <f>E4</f>
        <v/>
      </c>
      <c r="G4" s="12">
        <f>F4</f>
        <v/>
      </c>
      <c r="H4" s="12">
        <f>G4</f>
        <v/>
      </c>
      <c r="I4" s="12">
        <f>H4</f>
        <v/>
      </c>
      <c r="J4" s="12">
        <f>I4</f>
        <v/>
      </c>
      <c r="K4" s="12">
        <f>J4</f>
        <v/>
      </c>
    </row>
    <row r="5">
      <c r="A5" s="3" t="inlineStr">
        <is>
          <t>Interest Income (Expense) $</t>
        </is>
      </c>
      <c r="B5" s="4">
        <f>'ANNL P&amp;L'!B7</f>
        <v/>
      </c>
      <c r="C5" s="4">
        <f>'ANNL P&amp;L'!C7</f>
        <v/>
      </c>
      <c r="D5" s="4">
        <f>'ANNL P&amp;L'!D7</f>
        <v/>
      </c>
      <c r="E5" s="4">
        <f>'ANNL P&amp;L'!E7</f>
        <v/>
      </c>
      <c r="F5" s="13">
        <f>E5</f>
        <v/>
      </c>
      <c r="G5" s="13">
        <f>F5</f>
        <v/>
      </c>
      <c r="H5" s="13">
        <f>G5</f>
        <v/>
      </c>
      <c r="I5" s="13">
        <f>H5</f>
        <v/>
      </c>
      <c r="J5" s="13">
        <f>I5</f>
        <v/>
      </c>
      <c r="K5" s="13">
        <f>J5</f>
        <v/>
      </c>
    </row>
    <row r="6">
      <c r="A6" s="3" t="inlineStr">
        <is>
          <t>Foreign Currency Gain (Loss) $</t>
        </is>
      </c>
      <c r="B6" s="4">
        <f>'ANNL P&amp;L'!B8</f>
        <v/>
      </c>
      <c r="C6" s="4">
        <f>'ANNL P&amp;L'!C8</f>
        <v/>
      </c>
      <c r="D6" s="4">
        <f>'ANNL P&amp;L'!D8</f>
        <v/>
      </c>
      <c r="E6" s="4">
        <f>'ANNL P&amp;L'!E8</f>
        <v/>
      </c>
      <c r="F6" s="13">
        <f>E6</f>
        <v/>
      </c>
      <c r="G6" s="13">
        <f>F6</f>
        <v/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</row>
    <row r="7">
      <c r="A7" s="3" t="inlineStr">
        <is>
          <t>Other Income (Expense) $</t>
        </is>
      </c>
      <c r="B7" s="4">
        <f>'ANNL P&amp;L'!B9</f>
        <v/>
      </c>
      <c r="C7" s="4">
        <f>'ANNL P&amp;L'!C9</f>
        <v/>
      </c>
      <c r="D7" s="4">
        <f>'ANNL P&amp;L'!D9</f>
        <v/>
      </c>
      <c r="E7" s="4">
        <f>'ANNL P&amp;L'!E9</f>
        <v/>
      </c>
      <c r="F7" s="13">
        <f>E7</f>
        <v/>
      </c>
      <c r="G7" s="13">
        <f>F7</f>
        <v/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</row>
    <row r="8">
      <c r="A8" s="3" t="inlineStr">
        <is>
          <t>Effective Tax Rate %</t>
        </is>
      </c>
      <c r="B8" s="10">
        <f>IFERROR('ANNL P&amp;L'!B11/'ANNL P&amp;L'!B10,0)</f>
        <v/>
      </c>
      <c r="C8" s="10">
        <f>IFERROR('ANNL P&amp;L'!C11/'ANNL P&amp;L'!C10,0)</f>
        <v/>
      </c>
      <c r="D8" s="10">
        <f>IFERROR('ANNL P&amp;L'!D11/'ANNL P&amp;L'!D10,0)</f>
        <v/>
      </c>
      <c r="E8" s="10">
        <f>IFERROR('ANNL P&amp;L'!E11/'ANNL P&amp;L'!E10,0)</f>
        <v/>
      </c>
      <c r="F8" s="12">
        <f>E8</f>
        <v/>
      </c>
      <c r="G8" s="12">
        <f>F8</f>
        <v/>
      </c>
      <c r="H8" s="12">
        <f>G8</f>
        <v/>
      </c>
      <c r="I8" s="12">
        <f>H8</f>
        <v/>
      </c>
      <c r="J8" s="12">
        <f>I8</f>
        <v/>
      </c>
      <c r="K8" s="12">
        <f>J8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14" t="inlineStr">
        <is>
          <t>Current Assets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</row>
    <row r="3">
      <c r="A3" s="3" t="inlineStr">
        <is>
          <t>DSO (days)</t>
        </is>
      </c>
      <c r="C3" s="16">
        <f>IFERROR('BALANCE SHEET'!B4/'ANNL P&amp;L'!C2*ASSUMPTIONS!$B$2,0)</f>
        <v/>
      </c>
      <c r="D3" s="16">
        <f>IFERROR('BALANCE SHEET'!C4/'ANNL P&amp;L'!D2*ASSUMPTIONS!$B$2,0)</f>
        <v/>
      </c>
      <c r="E3" s="16">
        <f>IFERROR('BALANCE SHEET'!D4/'ANNL P&amp;L'!E2*ASSUMPTIONS!$B$2,0)</f>
        <v/>
      </c>
      <c r="F3" s="17">
        <f>E3</f>
        <v/>
      </c>
      <c r="G3" s="17">
        <f>F3</f>
        <v/>
      </c>
      <c r="H3" s="17">
        <f>G3</f>
        <v/>
      </c>
      <c r="I3" s="17">
        <f>H3</f>
        <v/>
      </c>
      <c r="J3" s="17">
        <f>I3</f>
        <v/>
      </c>
      <c r="K3" s="17">
        <f>J3</f>
        <v/>
      </c>
    </row>
    <row r="4">
      <c r="A4" s="3" t="inlineStr">
        <is>
          <t>DIO (days)</t>
        </is>
      </c>
      <c r="C4" s="16">
        <f>IFERROR('BALANCE SHEET'!B6/'ANNL P&amp;L'!C3*ASSUMPTIONS!$B$2,0)</f>
        <v/>
      </c>
      <c r="D4" s="16">
        <f>IFERROR('BALANCE SHEET'!C6/'ANNL P&amp;L'!D3*ASSUMPTIONS!$B$2,0)</f>
        <v/>
      </c>
      <c r="E4" s="16">
        <f>IFERROR('BALANCE SHEET'!D6/'ANNL P&amp;L'!E3*ASSUMPTIONS!$B$2,0)</f>
        <v/>
      </c>
      <c r="F4" s="17">
        <f>E4</f>
        <v/>
      </c>
      <c r="G4" s="17">
        <f>F4</f>
        <v/>
      </c>
      <c r="H4" s="17">
        <f>G4</f>
        <v/>
      </c>
      <c r="I4" s="17">
        <f>H4</f>
        <v/>
      </c>
      <c r="J4" s="17">
        <f>I4</f>
        <v/>
      </c>
      <c r="K4" s="17">
        <f>J4</f>
        <v/>
      </c>
    </row>
    <row r="5">
      <c r="A5" s="3" t="inlineStr">
        <is>
          <t>Note Receivable - Current % of Rev</t>
        </is>
      </c>
      <c r="C5" s="10">
        <f>IFERROR('BALANCE SHEET'!B5/'ANNL P&amp;L'!C2,0)</f>
        <v/>
      </c>
      <c r="D5" s="10">
        <f>IFERROR('BALANCE SHEET'!C5/'ANNL P&amp;L'!D2,0)</f>
        <v/>
      </c>
      <c r="E5" s="10">
        <f>IFERROR('BALANCE SHEET'!D5/'ANNL P&amp;L'!E2,0)</f>
        <v/>
      </c>
      <c r="F5" s="12">
        <f>E5</f>
        <v/>
      </c>
      <c r="G5" s="12">
        <f>F5</f>
        <v/>
      </c>
      <c r="H5" s="12">
        <f>G5</f>
        <v/>
      </c>
      <c r="I5" s="12">
        <f>H5</f>
        <v/>
      </c>
      <c r="J5" s="12">
        <f>I5</f>
        <v/>
      </c>
      <c r="K5" s="12">
        <f>J5</f>
        <v/>
      </c>
    </row>
    <row r="6">
      <c r="A6" s="3" t="inlineStr">
        <is>
          <t>Deferred Other Costs - Current % of Rev</t>
        </is>
      </c>
      <c r="C6" s="10">
        <f>IFERROR('BALANCE SHEET'!B7/'ANNL P&amp;L'!C2,0)</f>
        <v/>
      </c>
      <c r="D6" s="10">
        <f>IFERROR('BALANCE SHEET'!C7/'ANNL P&amp;L'!D2,0)</f>
        <v/>
      </c>
      <c r="E6" s="10">
        <f>IFERROR('BALANCE SHEET'!D7/'ANNL P&amp;L'!E2,0)</f>
        <v/>
      </c>
      <c r="F6" s="12">
        <f>E6</f>
        <v/>
      </c>
      <c r="G6" s="12">
        <f>F6</f>
        <v/>
      </c>
      <c r="H6" s="12">
        <f>G6</f>
        <v/>
      </c>
      <c r="I6" s="12">
        <f>H6</f>
        <v/>
      </c>
      <c r="J6" s="12">
        <f>I6</f>
        <v/>
      </c>
      <c r="K6" s="12">
        <f>J6</f>
        <v/>
      </c>
    </row>
    <row r="7">
      <c r="A7" s="3" t="inlineStr">
        <is>
          <t>Prepaid Expenses % of Rev</t>
        </is>
      </c>
      <c r="C7" s="10">
        <f>IFERROR('BALANCE SHEET'!B8/'ANNL P&amp;L'!C2,0)</f>
        <v/>
      </c>
      <c r="D7" s="10">
        <f>IFERROR('BALANCE SHEET'!C8/'ANNL P&amp;L'!D2,0)</f>
        <v/>
      </c>
      <c r="E7" s="10">
        <f>IFERROR('BALANCE SHEET'!D8/'ANNL P&amp;L'!E2,0)</f>
        <v/>
      </c>
      <c r="F7" s="12">
        <f>E7</f>
        <v/>
      </c>
      <c r="G7" s="12">
        <f>F7</f>
        <v/>
      </c>
      <c r="H7" s="12">
        <f>G7</f>
        <v/>
      </c>
      <c r="I7" s="12">
        <f>H7</f>
        <v/>
      </c>
      <c r="J7" s="12">
        <f>I7</f>
        <v/>
      </c>
      <c r="K7" s="12">
        <f>J7</f>
        <v/>
      </c>
    </row>
    <row r="8">
      <c r="A8" s="14" t="inlineStr">
        <is>
          <t>Non-Current Assets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3" t="inlineStr">
        <is>
          <t>Other Non-Current Assets % of Rev</t>
        </is>
      </c>
      <c r="C9" s="10">
        <f>IFERROR('BALANCE SHEET'!B18/'ANNL P&amp;L'!C2,0)</f>
        <v/>
      </c>
      <c r="D9" s="10">
        <f>IFERROR('BALANCE SHEET'!C18/'ANNL P&amp;L'!D2,0)</f>
        <v/>
      </c>
      <c r="E9" s="10">
        <f>IFERROR('BALANCE SHEET'!D18/'ANNL P&amp;L'!E2,0)</f>
        <v/>
      </c>
      <c r="F9" s="12">
        <f>E9</f>
        <v/>
      </c>
      <c r="G9" s="12">
        <f>F9</f>
        <v/>
      </c>
      <c r="H9" s="12">
        <f>G9</f>
        <v/>
      </c>
      <c r="I9" s="12">
        <f>H9</f>
        <v/>
      </c>
      <c r="J9" s="12">
        <f>I9</f>
        <v/>
      </c>
      <c r="K9" s="12">
        <f>J9</f>
        <v/>
      </c>
    </row>
    <row r="10">
      <c r="A10" s="14" t="inlineStr">
        <is>
          <t>Current Liabilities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3" t="inlineStr">
        <is>
          <t>DPO (days)</t>
        </is>
      </c>
      <c r="C11" s="16">
        <f>IFERROR('BALANCE SHEET'!B20/'ANNL P&amp;L'!C3*ASSUMPTIONS!$B$2,0)</f>
        <v/>
      </c>
      <c r="D11" s="16">
        <f>IFERROR('BALANCE SHEET'!C20/'ANNL P&amp;L'!D3*ASSUMPTIONS!$B$2,0)</f>
        <v/>
      </c>
      <c r="E11" s="16">
        <f>IFERROR('BALANCE SHEET'!D20/'ANNL P&amp;L'!E3*ASSUMPTIONS!$B$2,0)</f>
        <v/>
      </c>
      <c r="F11" s="17">
        <f>E11</f>
        <v/>
      </c>
      <c r="G11" s="17">
        <f>F11</f>
        <v/>
      </c>
      <c r="H11" s="17">
        <f>G11</f>
        <v/>
      </c>
      <c r="I11" s="17">
        <f>H11</f>
        <v/>
      </c>
      <c r="J11" s="17">
        <f>I11</f>
        <v/>
      </c>
      <c r="K11" s="17">
        <f>J11</f>
        <v/>
      </c>
    </row>
    <row r="12">
      <c r="A12" s="3" t="inlineStr">
        <is>
          <t>Accrued Expenses % of Rev</t>
        </is>
      </c>
      <c r="C12" s="10">
        <f>IFERROR('BALANCE SHEET'!B21/'ANNL P&amp;L'!C2,0)</f>
        <v/>
      </c>
      <c r="D12" s="10">
        <f>IFERROR('BALANCE SHEET'!C21/'ANNL P&amp;L'!D2,0)</f>
        <v/>
      </c>
      <c r="E12" s="10">
        <f>IFERROR('BALANCE SHEET'!D21/'ANNL P&amp;L'!E2,0)</f>
        <v/>
      </c>
      <c r="F12" s="12">
        <f>E12</f>
        <v/>
      </c>
      <c r="G12" s="12">
        <f>F12</f>
        <v/>
      </c>
      <c r="H12" s="12">
        <f>G12</f>
        <v/>
      </c>
      <c r="I12" s="12">
        <f>H12</f>
        <v/>
      </c>
      <c r="J12" s="12">
        <f>I12</f>
        <v/>
      </c>
      <c r="K12" s="12">
        <f>J12</f>
        <v/>
      </c>
    </row>
    <row r="13">
      <c r="A13" s="3" t="inlineStr">
        <is>
          <t>Income Taxes Payable % of Rev</t>
        </is>
      </c>
      <c r="C13" s="10">
        <f>IFERROR('BALANCE SHEET'!B22/'ANNL P&amp;L'!C2,0)</f>
        <v/>
      </c>
      <c r="D13" s="10">
        <f>IFERROR('BALANCE SHEET'!C22/'ANNL P&amp;L'!D2,0)</f>
        <v/>
      </c>
      <c r="E13" s="10">
        <f>IFERROR('BALANCE SHEET'!D22/'ANNL P&amp;L'!E2,0)</f>
        <v/>
      </c>
      <c r="F13" s="12">
        <f>E13</f>
        <v/>
      </c>
      <c r="G13" s="12">
        <f>F13</f>
        <v/>
      </c>
      <c r="H13" s="12">
        <f>G13</f>
        <v/>
      </c>
      <c r="I13" s="12">
        <f>H13</f>
        <v/>
      </c>
      <c r="J13" s="12">
        <f>I13</f>
        <v/>
      </c>
      <c r="K13" s="12">
        <f>J13</f>
        <v/>
      </c>
    </row>
    <row r="14">
      <c r="A14" s="3" t="inlineStr">
        <is>
          <t>Accrued Distributor Termination Fees % of Rev</t>
        </is>
      </c>
      <c r="C14" s="10">
        <f>IFERROR('BALANCE SHEET'!B23/'ANNL P&amp;L'!C2,0)</f>
        <v/>
      </c>
      <c r="D14" s="10">
        <f>IFERROR('BALANCE SHEET'!C23/'ANNL P&amp;L'!D2,0)</f>
        <v/>
      </c>
      <c r="E14" s="10">
        <f>IFERROR('BALANCE SHEET'!D23/'ANNL P&amp;L'!E2,0)</f>
        <v/>
      </c>
      <c r="F14" s="12">
        <f>E14</f>
        <v/>
      </c>
      <c r="G14" s="12">
        <f>F14</f>
        <v/>
      </c>
      <c r="H14" s="12">
        <f>G14</f>
        <v/>
      </c>
      <c r="I14" s="12">
        <f>H14</f>
        <v/>
      </c>
      <c r="J14" s="12">
        <f>I14</f>
        <v/>
      </c>
      <c r="K14" s="12">
        <f>J14</f>
        <v/>
      </c>
    </row>
    <row r="15">
      <c r="A15" s="3" t="inlineStr">
        <is>
          <t>Accrued Promotional Allowance % of Rev</t>
        </is>
      </c>
      <c r="C15" s="10">
        <f>IFERROR('BALANCE SHEET'!B24/'ANNL P&amp;L'!C2,0)</f>
        <v/>
      </c>
      <c r="D15" s="10">
        <f>IFERROR('BALANCE SHEET'!C24/'ANNL P&amp;L'!D2,0)</f>
        <v/>
      </c>
      <c r="E15" s="10">
        <f>IFERROR('BALANCE SHEET'!D24/'ANNL P&amp;L'!E2,0)</f>
        <v/>
      </c>
      <c r="F15" s="12">
        <f>E15</f>
        <v/>
      </c>
      <c r="G15" s="12">
        <f>F15</f>
        <v/>
      </c>
      <c r="H15" s="12">
        <f>G15</f>
        <v/>
      </c>
      <c r="I15" s="12">
        <f>H15</f>
        <v/>
      </c>
      <c r="J15" s="12">
        <f>I15</f>
        <v/>
      </c>
      <c r="K15" s="12">
        <f>J15</f>
        <v/>
      </c>
    </row>
    <row r="16">
      <c r="A16" s="3" t="inlineStr">
        <is>
          <t>Lease Liability - Operating - Current % of Rev</t>
        </is>
      </c>
      <c r="C16" s="10">
        <f>IFERROR('BALANCE SHEET'!B25/'ANNL P&amp;L'!C2,0)</f>
        <v/>
      </c>
      <c r="D16" s="10">
        <f>IFERROR('BALANCE SHEET'!C25/'ANNL P&amp;L'!D2,0)</f>
        <v/>
      </c>
      <c r="E16" s="10">
        <f>IFERROR('BALANCE SHEET'!D25/'ANNL P&amp;L'!E2,0)</f>
        <v/>
      </c>
      <c r="F16" s="12">
        <f>E16</f>
        <v/>
      </c>
      <c r="G16" s="12">
        <f>F16</f>
        <v/>
      </c>
      <c r="H16" s="12">
        <f>G16</f>
        <v/>
      </c>
      <c r="I16" s="12">
        <f>H16</f>
        <v/>
      </c>
      <c r="J16" s="12">
        <f>I16</f>
        <v/>
      </c>
      <c r="K16" s="12">
        <f>J16</f>
        <v/>
      </c>
    </row>
    <row r="17">
      <c r="A17" s="3" t="inlineStr">
        <is>
          <t>Lease Liability - Finance - Current % of Rev</t>
        </is>
      </c>
      <c r="C17" s="10">
        <f>IFERROR('BALANCE SHEET'!B26/'ANNL P&amp;L'!C2,0)</f>
        <v/>
      </c>
      <c r="D17" s="10">
        <f>IFERROR('BALANCE SHEET'!C26/'ANNL P&amp;L'!D2,0)</f>
        <v/>
      </c>
      <c r="E17" s="10">
        <f>IFERROR('BALANCE SHEET'!D26/'ANNL P&amp;L'!E2,0)</f>
        <v/>
      </c>
      <c r="F17" s="12">
        <f>E17</f>
        <v/>
      </c>
      <c r="G17" s="12">
        <f>F17</f>
        <v/>
      </c>
      <c r="H17" s="12">
        <f>G17</f>
        <v/>
      </c>
      <c r="I17" s="12">
        <f>H17</f>
        <v/>
      </c>
      <c r="J17" s="12">
        <f>I17</f>
        <v/>
      </c>
      <c r="K17" s="12">
        <f>J17</f>
        <v/>
      </c>
    </row>
    <row r="18">
      <c r="A18" s="3" t="inlineStr">
        <is>
          <t>Deferred Revenue - Current % of Rev</t>
        </is>
      </c>
      <c r="C18" s="10">
        <f>IFERROR('BALANCE SHEET'!B27/'ANNL P&amp;L'!C2,0)</f>
        <v/>
      </c>
      <c r="D18" s="10">
        <f>IFERROR('BALANCE SHEET'!C27/'ANNL P&amp;L'!D2,0)</f>
        <v/>
      </c>
      <c r="E18" s="10">
        <f>IFERROR('BALANCE SHEET'!D27/'ANNL P&amp;L'!E2,0)</f>
        <v/>
      </c>
      <c r="F18" s="12">
        <f>E18</f>
        <v/>
      </c>
      <c r="G18" s="12">
        <f>F18</f>
        <v/>
      </c>
      <c r="H18" s="12">
        <f>G18</f>
        <v/>
      </c>
      <c r="I18" s="12">
        <f>H18</f>
        <v/>
      </c>
      <c r="J18" s="12">
        <f>I18</f>
        <v/>
      </c>
      <c r="K18" s="12">
        <f>J18</f>
        <v/>
      </c>
    </row>
    <row r="19">
      <c r="A19" s="3" t="inlineStr">
        <is>
          <t>Other Current Liabilities % of Rev</t>
        </is>
      </c>
      <c r="C19" s="10">
        <f>IFERROR('BALANCE SHEET'!B28/'ANNL P&amp;L'!C2,0)</f>
        <v/>
      </c>
      <c r="D19" s="10">
        <f>IFERROR('BALANCE SHEET'!C28/'ANNL P&amp;L'!D2,0)</f>
        <v/>
      </c>
      <c r="E19" s="10">
        <f>IFERROR('BALANCE SHEET'!D28/'ANNL P&amp;L'!E2,0)</f>
        <v/>
      </c>
      <c r="F19" s="12">
        <f>E19</f>
        <v/>
      </c>
      <c r="G19" s="12">
        <f>F19</f>
        <v/>
      </c>
      <c r="H19" s="12">
        <f>G19</f>
        <v/>
      </c>
      <c r="I19" s="12">
        <f>H19</f>
        <v/>
      </c>
      <c r="J19" s="12">
        <f>I19</f>
        <v/>
      </c>
      <c r="K19" s="12">
        <f>J19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D&amp;A % of PP&amp;E</t>
        </is>
      </c>
      <c r="D2" s="10">
        <f>IFERROR('CASH FLOW'!D3/'BALANCE SHEET'!B11,0)</f>
        <v/>
      </c>
      <c r="E2" s="10">
        <f>IFERROR('CASH FLOW'!E3/'BALANCE SHEET'!C11,0)</f>
        <v/>
      </c>
      <c r="F2" s="12">
        <f>E2</f>
        <v/>
      </c>
      <c r="G2" s="12">
        <f>F2</f>
        <v/>
      </c>
      <c r="H2" s="12">
        <f>G2</f>
        <v/>
      </c>
      <c r="I2" s="12">
        <f>H2</f>
        <v/>
      </c>
      <c r="J2" s="12">
        <f>I2</f>
        <v/>
      </c>
      <c r="K2" s="12">
        <f>J2</f>
        <v/>
      </c>
    </row>
    <row r="3">
      <c r="A3" s="3" t="inlineStr">
        <is>
          <t>SBC $</t>
        </is>
      </c>
      <c r="B3" s="4">
        <f>'CASH FLOW'!B9</f>
        <v/>
      </c>
      <c r="C3" s="4">
        <f>'CASH FLOW'!C9</f>
        <v/>
      </c>
      <c r="D3" s="4">
        <f>'CASH FLOW'!D9</f>
        <v/>
      </c>
      <c r="E3" s="4">
        <f>'CASH FLOW'!E9</f>
        <v/>
      </c>
      <c r="F3" s="13">
        <f>E3</f>
        <v/>
      </c>
      <c r="G3" s="13">
        <f>F3</f>
        <v/>
      </c>
      <c r="H3" s="13">
        <f>G3</f>
        <v/>
      </c>
      <c r="I3" s="13">
        <f>H3</f>
        <v/>
      </c>
      <c r="J3" s="13">
        <f>I3</f>
        <v/>
      </c>
      <c r="K3" s="13">
        <f>J3</f>
        <v/>
      </c>
    </row>
    <row r="4">
      <c r="A4" s="3" t="inlineStr">
        <is>
          <t>CapEx % of PP&amp;E</t>
        </is>
      </c>
      <c r="D4" s="10">
        <f>IFERROR('CASH FLOW'!D28/'BALANCE SHEET'!B11,0)</f>
        <v/>
      </c>
      <c r="E4" s="10">
        <f>IFERROR('CASH FLOW'!E28/'BALANCE SHEET'!C11,0)</f>
        <v/>
      </c>
      <c r="F4" s="12">
        <f>E4</f>
        <v/>
      </c>
      <c r="G4" s="12">
        <f>F4</f>
        <v/>
      </c>
      <c r="H4" s="12">
        <f>G4</f>
        <v/>
      </c>
      <c r="I4" s="12">
        <f>H4</f>
        <v/>
      </c>
      <c r="J4" s="12">
        <f>I4</f>
        <v/>
      </c>
      <c r="K4" s="12">
        <f>J4</f>
        <v/>
      </c>
    </row>
    <row r="5">
      <c r="A5" s="3" t="inlineStr">
        <is>
          <t>Preferred Dividends % of Preferred Balance</t>
        </is>
      </c>
      <c r="C5" s="10">
        <f>IFERROR('CASH FLOW'!C35/'BALANCE SHEET'!B35,0)</f>
        <v/>
      </c>
      <c r="D5" s="10">
        <f>IFERROR('CASH FLOW'!D35/'BALANCE SHEET'!C35,0)</f>
        <v/>
      </c>
      <c r="E5" s="10">
        <f>IFERROR('CASH FLOW'!E35/'BALANCE SHEET'!D35,0)</f>
        <v/>
      </c>
      <c r="F5" s="12">
        <f>E5</f>
        <v/>
      </c>
      <c r="G5" s="12">
        <f>F5</f>
        <v/>
      </c>
      <c r="H5" s="12">
        <f>G5</f>
        <v/>
      </c>
      <c r="I5" s="12">
        <f>H5</f>
        <v/>
      </c>
      <c r="J5" s="12">
        <f>I5</f>
        <v/>
      </c>
      <c r="K5" s="12">
        <f>J5</f>
        <v/>
      </c>
    </row>
    <row r="6">
      <c r="A6" s="3" t="inlineStr">
        <is>
          <t>Common Dividends % of Net Income</t>
        </is>
      </c>
      <c r="F6" s="12">
        <f>E6</f>
        <v/>
      </c>
      <c r="G6" s="12">
        <f>F6</f>
        <v/>
      </c>
      <c r="H6" s="12">
        <f>G6</f>
        <v/>
      </c>
      <c r="I6" s="12">
        <f>H6</f>
        <v/>
      </c>
      <c r="J6" s="12">
        <f>I6</f>
        <v/>
      </c>
      <c r="K6" s="12">
        <f>J6</f>
        <v/>
      </c>
    </row>
    <row r="7">
      <c r="A7" s="3" t="inlineStr">
        <is>
          <t>Share Repurchases $</t>
        </is>
      </c>
      <c r="B7" s="4">
        <f>'CASH FLOW'!B37</f>
        <v/>
      </c>
      <c r="C7" s="4">
        <f>'CASH FLOW'!C37</f>
        <v/>
      </c>
      <c r="D7" s="4">
        <f>'CASH FLOW'!D37</f>
        <v/>
      </c>
      <c r="E7" s="4">
        <f>'CASH FLOW'!E37</f>
        <v/>
      </c>
      <c r="F7" s="13">
        <f>ASSUMPTIONS!$B$3</f>
        <v/>
      </c>
      <c r="G7" s="13">
        <f>ASSUMPTIONS!$B$3</f>
        <v/>
      </c>
      <c r="H7" s="13">
        <f>ASSUMPTIONS!$B$3</f>
        <v/>
      </c>
      <c r="I7" s="13">
        <f>ASSUMPTIONS!$B$3</f>
        <v/>
      </c>
      <c r="J7" s="13">
        <f>ASSUMPTIONS!$B$3</f>
        <v/>
      </c>
      <c r="K7" s="13">
        <f>ASSUMPTIONS!$B$3</f>
        <v/>
      </c>
    </row>
    <row r="8">
      <c r="A8" s="3" t="inlineStr">
        <is>
          <t>Net Debt $</t>
        </is>
      </c>
      <c r="C8" s="4">
        <f>('BALANCE SHEET'!B25+'BALANCE SHEET'!B26+'BALANCE SHEET'!B30+'BALANCE SHEET'!B31)-('BALANCE SHEET'!B2+'BALANCE SHEET'!B3)</f>
        <v/>
      </c>
      <c r="D8" s="4">
        <f>('BALANCE SHEET'!C25+'BALANCE SHEET'!C26+'BALANCE SHEET'!C30+'BALANCE SHEET'!C31)-('BALANCE SHEET'!C2+'BALANCE SHEET'!C3)</f>
        <v/>
      </c>
      <c r="E8" s="4">
        <f>('BALANCE SHEET'!D25+'BALANCE SHEET'!D26+'BALANCE SHEET'!D30+'BALANCE SHEET'!D31)-('BALANCE SHEET'!D2+'BALANCE SHEET'!D3)</f>
        <v/>
      </c>
      <c r="F8" s="13">
        <f>('BALANCE SHEET'!E25+'BALANCE SHEET'!E26+'BALANCE SHEET'!E30+'BALANCE SHEET'!E31)-('BALANCE SHEET'!E2+'BALANCE SHEET'!E3)</f>
        <v/>
      </c>
      <c r="G8" s="13">
        <f>('BALANCE SHEET'!F25+'BALANCE SHEET'!F26+'BALANCE SHEET'!F30+'BALANCE SHEET'!F31)-('BALANCE SHEET'!F2+'BALANCE SHEET'!F3)</f>
        <v/>
      </c>
      <c r="H8" s="13">
        <f>('BALANCE SHEET'!G25+'BALANCE SHEET'!G26+'BALANCE SHEET'!G30+'BALANCE SHEET'!G31)-('BALANCE SHEET'!G2+'BALANCE SHEET'!G3)</f>
        <v/>
      </c>
      <c r="I8" s="13">
        <f>('BALANCE SHEET'!H25+'BALANCE SHEET'!H26+'BALANCE SHEET'!H30+'BALANCE SHEET'!H31)-('BALANCE SHEET'!H2+'BALANCE SHEET'!H3)</f>
        <v/>
      </c>
      <c r="J8" s="13">
        <f>('BALANCE SHEET'!I25+'BALANCE SHEET'!I26+'BALANCE SHEET'!I30+'BALANCE SHEET'!I31)-('BALANCE SHEET'!I2+'BALANCE SHEET'!I3)</f>
        <v/>
      </c>
      <c r="K8" s="13">
        <f>('BALANCE SHEET'!J25+'BALANCE SHEET'!J26+'BALANCE SHEET'!J30+'BALANCE SHEET'!J31)-('BALANCE SHEET'!J2+'BALANCE SHEET'!J3)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2026-04-24T05:20:58Z</dcterms:created>
  <dcterms:modified xsi:type="dcterms:W3CDTF">2026-04-24T05:21:03Z</dcterms:modified>
</cp:coreProperties>
</file>