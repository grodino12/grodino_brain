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  <sheet name="IS DRIVERS" sheetId="4" state="visible" r:id="rId4"/>
    <sheet name="BS DRIVERS" sheetId="5" state="visible" r:id="rId5"/>
    <sheet name="CF DRIV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 t="n"/>
      <c r="F39" s="5" t="n"/>
      <c r="G39" s="5" t="n"/>
      <c r="H39" s="5" t="n"/>
      <c r="I39" s="5" t="n"/>
      <c r="J39" s="5" t="n"/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8">
        <f>IFERROR(('ANNL P&amp;L'!C2-'ANNL P&amp;L'!B2)/'ANNL P&amp;L'!B2,0)</f>
        <v/>
      </c>
      <c r="D2" s="8">
        <f>IFERROR(('ANNL P&amp;L'!D2-'ANNL P&amp;L'!C2)/'ANNL P&amp;L'!C2,0)</f>
        <v/>
      </c>
      <c r="E2" s="8">
        <f>IFERROR(('ANNL P&amp;L'!E2-'ANNL P&amp;L'!D2)/'ANNL P&amp;L'!D2,0)</f>
        <v/>
      </c>
      <c r="F2" s="9" t="n"/>
      <c r="G2" s="9" t="n"/>
      <c r="H2" s="9" t="n"/>
      <c r="I2" s="9" t="n"/>
      <c r="J2" s="9" t="n"/>
      <c r="K2" s="9" t="n"/>
    </row>
    <row r="3">
      <c r="A3" s="3" t="inlineStr">
        <is>
          <t>COGS % of Revenue</t>
        </is>
      </c>
      <c r="B3" s="8">
        <f>IFERROR('ANNL P&amp;L'!B3/'ANNL P&amp;L'!B2,0)</f>
        <v/>
      </c>
      <c r="C3" s="8">
        <f>IFERROR('ANNL P&amp;L'!C3/'ANNL P&amp;L'!C2,0)</f>
        <v/>
      </c>
      <c r="D3" s="8">
        <f>IFERROR('ANNL P&amp;L'!D3/'ANNL P&amp;L'!D2,0)</f>
        <v/>
      </c>
      <c r="E3" s="8">
        <f>IFERROR('ANNL P&amp;L'!E3/'ANNL P&amp;L'!E2,0)</f>
        <v/>
      </c>
      <c r="F3" s="9" t="n"/>
      <c r="G3" s="9" t="n"/>
      <c r="H3" s="9" t="n"/>
      <c r="I3" s="9" t="n"/>
      <c r="J3" s="9" t="n"/>
      <c r="K3" s="9" t="n"/>
    </row>
    <row r="4">
      <c r="A4" s="3" t="inlineStr">
        <is>
          <t>SG&amp;A % of Revenue</t>
        </is>
      </c>
      <c r="B4" s="8">
        <f>IFERROR('ANNL P&amp;L'!B5/'ANNL P&amp;L'!B2,0)</f>
        <v/>
      </c>
      <c r="C4" s="8">
        <f>IFERROR('ANNL P&amp;L'!C5/'ANNL P&amp;L'!C2,0)</f>
        <v/>
      </c>
      <c r="D4" s="8">
        <f>IFERROR('ANNL P&amp;L'!D5/'ANNL P&amp;L'!D2,0)</f>
        <v/>
      </c>
      <c r="E4" s="8">
        <f>IFERROR('ANNL P&amp;L'!E5/'ANNL P&amp;L'!E2,0)</f>
        <v/>
      </c>
      <c r="F4" s="9" t="n"/>
      <c r="G4" s="9" t="n"/>
      <c r="H4" s="9" t="n"/>
      <c r="I4" s="9" t="n"/>
      <c r="J4" s="9" t="n"/>
      <c r="K4" s="9" t="n"/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0" t="n"/>
      <c r="G5" s="10" t="n"/>
      <c r="H5" s="10" t="n"/>
      <c r="I5" s="10" t="n"/>
      <c r="J5" s="10" t="n"/>
      <c r="K5" s="10" t="n"/>
    </row>
    <row r="6">
      <c r="A6" s="3" t="inlineStr">
        <is>
          <t>FX / Other Income $</t>
        </is>
      </c>
      <c r="B6" s="4">
        <f>'ANNL P&amp;L'!B8+'ANNL P&amp;L'!B9</f>
        <v/>
      </c>
      <c r="C6" s="4">
        <f>'ANNL P&amp;L'!C8+'ANNL P&amp;L'!C9</f>
        <v/>
      </c>
      <c r="D6" s="4">
        <f>'ANNL P&amp;L'!D8+'ANNL P&amp;L'!D9</f>
        <v/>
      </c>
      <c r="E6" s="4">
        <f>'ANNL P&amp;L'!E8+'ANNL P&amp;L'!E9</f>
        <v/>
      </c>
      <c r="F6" s="10" t="n"/>
      <c r="G6" s="10" t="n"/>
      <c r="H6" s="10" t="n"/>
      <c r="I6" s="10" t="n"/>
      <c r="J6" s="10" t="n"/>
      <c r="K6" s="10" t="n"/>
    </row>
    <row r="7">
      <c r="A7" s="3" t="inlineStr">
        <is>
          <t>Effective Tax Rate %</t>
        </is>
      </c>
      <c r="B7" s="8">
        <f>IFERROR('ANNL P&amp;L'!B11/'ANNL P&amp;L'!B10,0)</f>
        <v/>
      </c>
      <c r="C7" s="8">
        <f>IFERROR('ANNL P&amp;L'!C11/'ANNL P&amp;L'!C10,0)</f>
        <v/>
      </c>
      <c r="D7" s="8">
        <f>IFERROR('ANNL P&amp;L'!D11/'ANNL P&amp;L'!D10,0)</f>
        <v/>
      </c>
      <c r="E7" s="8">
        <f>IFERROR('ANNL P&amp;L'!E11/'ANNL P&amp;L'!E10,0)</f>
        <v/>
      </c>
      <c r="F7" s="9" t="n"/>
      <c r="G7" s="9" t="n"/>
      <c r="H7" s="9" t="n"/>
      <c r="I7" s="9" t="n"/>
      <c r="J7" s="9" t="n"/>
      <c r="K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1" t="inlineStr">
        <is>
          <t>Current Assets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</row>
    <row r="3">
      <c r="A3" s="3" t="inlineStr">
        <is>
          <t>DSO (days)</t>
        </is>
      </c>
      <c r="C3" s="13">
        <f>IFERROR('BALANCE SHEET'!B4/'ANNL P&amp;L'!C2*365,0)</f>
        <v/>
      </c>
      <c r="D3" s="13">
        <f>IFERROR('BALANCE SHEET'!C4/'ANNL P&amp;L'!D2*365,0)</f>
        <v/>
      </c>
      <c r="E3" s="13">
        <f>IFERROR('BALANCE SHEET'!D4/'ANNL P&amp;L'!E2*365,0)</f>
        <v/>
      </c>
      <c r="F3" s="14" t="n"/>
      <c r="G3" s="14" t="n"/>
      <c r="H3" s="14" t="n"/>
      <c r="I3" s="14" t="n"/>
      <c r="J3" s="14" t="n"/>
      <c r="K3" s="14" t="n"/>
    </row>
    <row r="4">
      <c r="A4" s="3" t="inlineStr">
        <is>
          <t>DIO (days)</t>
        </is>
      </c>
      <c r="C4" s="13">
        <f>IFERROR('BALANCE SHEET'!B6/'ANNL P&amp;L'!C3*365,0)</f>
        <v/>
      </c>
      <c r="D4" s="13">
        <f>IFERROR('BALANCE SHEET'!C6/'ANNL P&amp;L'!D3*365,0)</f>
        <v/>
      </c>
      <c r="E4" s="13">
        <f>IFERROR('BALANCE SHEET'!D6/'ANNL P&amp;L'!E3*365,0)</f>
        <v/>
      </c>
      <c r="F4" s="14" t="n"/>
      <c r="G4" s="14" t="n"/>
      <c r="H4" s="14" t="n"/>
      <c r="I4" s="14" t="n"/>
      <c r="J4" s="14" t="n"/>
      <c r="K4" s="14" t="n"/>
    </row>
    <row r="5">
      <c r="A5" s="3" t="inlineStr">
        <is>
          <t>Note Receivable - Current % of Rev</t>
        </is>
      </c>
      <c r="C5" s="8">
        <f>IFERROR('BALANCE SHEET'!B5/'ANNL P&amp;L'!C2,0)</f>
        <v/>
      </c>
      <c r="D5" s="8">
        <f>IFERROR('BALANCE SHEET'!C5/'ANNL P&amp;L'!D2,0)</f>
        <v/>
      </c>
      <c r="E5" s="8">
        <f>IFERROR('BALANCE SHEET'!D5/'ANNL P&amp;L'!E2,0)</f>
        <v/>
      </c>
      <c r="F5" s="9" t="n"/>
      <c r="G5" s="9" t="n"/>
      <c r="H5" s="9" t="n"/>
      <c r="I5" s="9" t="n"/>
      <c r="J5" s="9" t="n"/>
      <c r="K5" s="9" t="n"/>
    </row>
    <row r="6">
      <c r="A6" s="3" t="inlineStr">
        <is>
          <t>Deferred Other Costs - Current % of Rev</t>
        </is>
      </c>
      <c r="C6" s="8">
        <f>IFERROR('BALANCE SHEET'!B7/'ANNL P&amp;L'!C2,0)</f>
        <v/>
      </c>
      <c r="D6" s="8">
        <f>IFERROR('BALANCE SHEET'!C7/'ANNL P&amp;L'!D2,0)</f>
        <v/>
      </c>
      <c r="E6" s="8">
        <f>IFERROR('BALANCE SHEET'!D7/'ANNL P&amp;L'!E2,0)</f>
        <v/>
      </c>
      <c r="F6" s="9" t="n"/>
      <c r="G6" s="9" t="n"/>
      <c r="H6" s="9" t="n"/>
      <c r="I6" s="9" t="n"/>
      <c r="J6" s="9" t="n"/>
      <c r="K6" s="9" t="n"/>
    </row>
    <row r="7">
      <c r="A7" s="3" t="inlineStr">
        <is>
          <t>Prepaid Expenses % of Rev</t>
        </is>
      </c>
      <c r="C7" s="8">
        <f>IFERROR('BALANCE SHEET'!B8/'ANNL P&amp;L'!C2,0)</f>
        <v/>
      </c>
      <c r="D7" s="8">
        <f>IFERROR('BALANCE SHEET'!C8/'ANNL P&amp;L'!D2,0)</f>
        <v/>
      </c>
      <c r="E7" s="8">
        <f>IFERROR('BALANCE SHEET'!D8/'ANNL P&amp;L'!E2,0)</f>
        <v/>
      </c>
      <c r="F7" s="9" t="n"/>
      <c r="G7" s="9" t="n"/>
      <c r="H7" s="9" t="n"/>
      <c r="I7" s="9" t="n"/>
      <c r="J7" s="9" t="n"/>
      <c r="K7" s="9" t="n"/>
    </row>
    <row r="8">
      <c r="A8" s="11" t="inlineStr">
        <is>
          <t>Current Liabilities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3" t="inlineStr">
        <is>
          <t>DPO (days)</t>
        </is>
      </c>
      <c r="C9" s="13">
        <f>IFERROR('BALANCE SHEET'!B20/'ANNL P&amp;L'!C3*365,0)</f>
        <v/>
      </c>
      <c r="D9" s="13">
        <f>IFERROR('BALANCE SHEET'!C20/'ANNL P&amp;L'!D3*365,0)</f>
        <v/>
      </c>
      <c r="E9" s="13">
        <f>IFERROR('BALANCE SHEET'!D20/'ANNL P&amp;L'!E3*365,0)</f>
        <v/>
      </c>
      <c r="F9" s="14" t="n"/>
      <c r="G9" s="14" t="n"/>
      <c r="H9" s="14" t="n"/>
      <c r="I9" s="14" t="n"/>
      <c r="J9" s="14" t="n"/>
      <c r="K9" s="14" t="n"/>
    </row>
    <row r="10">
      <c r="A10" s="3" t="inlineStr">
        <is>
          <t>Accrued Expenses % of Rev</t>
        </is>
      </c>
      <c r="C10" s="8">
        <f>IFERROR('BALANCE SHEET'!B21/'ANNL P&amp;L'!C2,0)</f>
        <v/>
      </c>
      <c r="D10" s="8">
        <f>IFERROR('BALANCE SHEET'!C21/'ANNL P&amp;L'!D2,0)</f>
        <v/>
      </c>
      <c r="E10" s="8">
        <f>IFERROR('BALANCE SHEET'!D21/'ANNL P&amp;L'!E2,0)</f>
        <v/>
      </c>
      <c r="F10" s="9" t="n"/>
      <c r="G10" s="9" t="n"/>
      <c r="H10" s="9" t="n"/>
      <c r="I10" s="9" t="n"/>
      <c r="J10" s="9" t="n"/>
      <c r="K10" s="9" t="n"/>
    </row>
    <row r="11">
      <c r="A11" s="3" t="inlineStr">
        <is>
          <t>Income Taxes Payable % of Rev</t>
        </is>
      </c>
      <c r="C11" s="8">
        <f>IFERROR('BALANCE SHEET'!B22/'ANNL P&amp;L'!C2,0)</f>
        <v/>
      </c>
      <c r="D11" s="8">
        <f>IFERROR('BALANCE SHEET'!C22/'ANNL P&amp;L'!D2,0)</f>
        <v/>
      </c>
      <c r="E11" s="8">
        <f>IFERROR('BALANCE SHEET'!D22/'ANNL P&amp;L'!E2,0)</f>
        <v/>
      </c>
      <c r="F11" s="9" t="n"/>
      <c r="G11" s="9" t="n"/>
      <c r="H11" s="9" t="n"/>
      <c r="I11" s="9" t="n"/>
      <c r="J11" s="9" t="n"/>
      <c r="K11" s="9" t="n"/>
    </row>
    <row r="12">
      <c r="A12" s="3" t="inlineStr">
        <is>
          <t>Accrued Distributor Termination Fees % of Rev</t>
        </is>
      </c>
      <c r="C12" s="8">
        <f>IFERROR('BALANCE SHEET'!B23/'ANNL P&amp;L'!C2,0)</f>
        <v/>
      </c>
      <c r="D12" s="8">
        <f>IFERROR('BALANCE SHEET'!C23/'ANNL P&amp;L'!D2,0)</f>
        <v/>
      </c>
      <c r="E12" s="8">
        <f>IFERROR('BALANCE SHEET'!D23/'ANNL P&amp;L'!E2,0)</f>
        <v/>
      </c>
      <c r="F12" s="9" t="n"/>
      <c r="G12" s="9" t="n"/>
      <c r="H12" s="9" t="n"/>
      <c r="I12" s="9" t="n"/>
      <c r="J12" s="9" t="n"/>
      <c r="K12" s="9" t="n"/>
    </row>
    <row r="13">
      <c r="A13" s="3" t="inlineStr">
        <is>
          <t>Accrued Promotional Allowance % of Rev</t>
        </is>
      </c>
      <c r="C13" s="8">
        <f>IFERROR('BALANCE SHEET'!B24/'ANNL P&amp;L'!C2,0)</f>
        <v/>
      </c>
      <c r="D13" s="8">
        <f>IFERROR('BALANCE SHEET'!C24/'ANNL P&amp;L'!D2,0)</f>
        <v/>
      </c>
      <c r="E13" s="8">
        <f>IFERROR('BALANCE SHEET'!D24/'ANNL P&amp;L'!E2,0)</f>
        <v/>
      </c>
      <c r="F13" s="9" t="n"/>
      <c r="G13" s="9" t="n"/>
      <c r="H13" s="9" t="n"/>
      <c r="I13" s="9" t="n"/>
      <c r="J13" s="9" t="n"/>
      <c r="K13" s="9" t="n"/>
    </row>
    <row r="14">
      <c r="A14" s="3" t="inlineStr">
        <is>
          <t>Lease Liability - Operating - Current % of Rev</t>
        </is>
      </c>
      <c r="C14" s="8">
        <f>IFERROR('BALANCE SHEET'!B25/'ANNL P&amp;L'!C2,0)</f>
        <v/>
      </c>
      <c r="D14" s="8">
        <f>IFERROR('BALANCE SHEET'!C25/'ANNL P&amp;L'!D2,0)</f>
        <v/>
      </c>
      <c r="E14" s="8">
        <f>IFERROR('BALANCE SHEET'!D25/'ANNL P&amp;L'!E2,0)</f>
        <v/>
      </c>
      <c r="F14" s="9" t="n"/>
      <c r="G14" s="9" t="n"/>
      <c r="H14" s="9" t="n"/>
      <c r="I14" s="9" t="n"/>
      <c r="J14" s="9" t="n"/>
      <c r="K14" s="9" t="n"/>
    </row>
    <row r="15">
      <c r="A15" s="3" t="inlineStr">
        <is>
          <t>Lease Liability - Finance - Current % of Rev</t>
        </is>
      </c>
      <c r="C15" s="8">
        <f>IFERROR('BALANCE SHEET'!B26/'ANNL P&amp;L'!C2,0)</f>
        <v/>
      </c>
      <c r="D15" s="8">
        <f>IFERROR('BALANCE SHEET'!C26/'ANNL P&amp;L'!D2,0)</f>
        <v/>
      </c>
      <c r="E15" s="8">
        <f>IFERROR('BALANCE SHEET'!D26/'ANNL P&amp;L'!E2,0)</f>
        <v/>
      </c>
      <c r="F15" s="9" t="n"/>
      <c r="G15" s="9" t="n"/>
      <c r="H15" s="9" t="n"/>
      <c r="I15" s="9" t="n"/>
      <c r="J15" s="9" t="n"/>
      <c r="K15" s="9" t="n"/>
    </row>
    <row r="16">
      <c r="A16" s="3" t="inlineStr">
        <is>
          <t>Deferred Revenue - Current % of Rev</t>
        </is>
      </c>
      <c r="C16" s="8">
        <f>IFERROR('BALANCE SHEET'!B27/'ANNL P&amp;L'!C2,0)</f>
        <v/>
      </c>
      <c r="D16" s="8">
        <f>IFERROR('BALANCE SHEET'!C27/'ANNL P&amp;L'!D2,0)</f>
        <v/>
      </c>
      <c r="E16" s="8">
        <f>IFERROR('BALANCE SHEET'!D27/'ANNL P&amp;L'!E2,0)</f>
        <v/>
      </c>
      <c r="F16" s="9" t="n"/>
      <c r="G16" s="9" t="n"/>
      <c r="H16" s="9" t="n"/>
      <c r="I16" s="9" t="n"/>
      <c r="J16" s="9" t="n"/>
      <c r="K16" s="9" t="n"/>
    </row>
    <row r="17">
      <c r="A17" s="3" t="inlineStr">
        <is>
          <t>Other Current Liabilities % of Rev</t>
        </is>
      </c>
      <c r="C17" s="8">
        <f>IFERROR('BALANCE SHEET'!B28/'ANNL P&amp;L'!C2,0)</f>
        <v/>
      </c>
      <c r="D17" s="8">
        <f>IFERROR('BALANCE SHEET'!C28/'ANNL P&amp;L'!D2,0)</f>
        <v/>
      </c>
      <c r="E17" s="8">
        <f>IFERROR('BALANCE SHEET'!D28/'ANNL P&amp;L'!E2,0)</f>
        <v/>
      </c>
      <c r="F17" s="9" t="n"/>
      <c r="G17" s="9" t="n"/>
      <c r="H17" s="9" t="n"/>
      <c r="I17" s="9" t="n"/>
      <c r="J17" s="9" t="n"/>
      <c r="K17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$</t>
        </is>
      </c>
      <c r="B2" s="4">
        <f>'CASH FLOW'!B3</f>
        <v/>
      </c>
      <c r="C2" s="4">
        <f>'CASH FLOW'!C3</f>
        <v/>
      </c>
      <c r="D2" s="4">
        <f>'CASH FLOW'!D3</f>
        <v/>
      </c>
      <c r="E2" s="4">
        <f>'CASH FLOW'!E3</f>
        <v/>
      </c>
      <c r="F2" s="10" t="n"/>
      <c r="G2" s="10" t="n"/>
      <c r="H2" s="10" t="n"/>
      <c r="I2" s="10" t="n"/>
      <c r="J2" s="10" t="n"/>
      <c r="K2" s="10" t="n"/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0" t="n"/>
      <c r="G3" s="10" t="n"/>
      <c r="H3" s="10" t="n"/>
      <c r="I3" s="10" t="n"/>
      <c r="J3" s="10" t="n"/>
      <c r="K3" s="10" t="n"/>
    </row>
    <row r="4">
      <c r="A4" s="3" t="inlineStr">
        <is>
          <t>CapEx $</t>
        </is>
      </c>
      <c r="B4" s="4">
        <f>'CASH FLOW'!B28</f>
        <v/>
      </c>
      <c r="C4" s="4">
        <f>'CASH FLOW'!C28</f>
        <v/>
      </c>
      <c r="D4" s="4">
        <f>'CASH FLOW'!D28</f>
        <v/>
      </c>
      <c r="E4" s="4">
        <f>'CASH FLOW'!E28</f>
        <v/>
      </c>
      <c r="F4" s="10" t="n"/>
      <c r="G4" s="10" t="n"/>
      <c r="H4" s="10" t="n"/>
      <c r="I4" s="10" t="n"/>
      <c r="J4" s="10" t="n"/>
      <c r="K4" s="10" t="n"/>
    </row>
    <row r="5">
      <c r="A5" s="3" t="inlineStr">
        <is>
          <t>Preferred Dividends % of Preferred Balance</t>
        </is>
      </c>
      <c r="C5" s="8">
        <f>IFERROR('CASH FLOW'!C35/'BALANCE SHEET'!B35,0)</f>
        <v/>
      </c>
      <c r="D5" s="8">
        <f>IFERROR('CASH FLOW'!D35/'BALANCE SHEET'!C35,0)</f>
        <v/>
      </c>
      <c r="E5" s="8">
        <f>IFERROR('CASH FLOW'!E35/'BALANCE SHEET'!D35,0)</f>
        <v/>
      </c>
      <c r="F5" s="9" t="n"/>
      <c r="G5" s="9" t="n"/>
      <c r="H5" s="9" t="n"/>
      <c r="I5" s="9" t="n"/>
      <c r="J5" s="9" t="n"/>
      <c r="K5" s="9" t="n"/>
    </row>
    <row r="6">
      <c r="A6" s="3" t="inlineStr">
        <is>
          <t>Common Dividends % of Net Income</t>
        </is>
      </c>
      <c r="F6" s="9" t="n"/>
      <c r="G6" s="9" t="n"/>
      <c r="H6" s="9" t="n"/>
      <c r="I6" s="9" t="n"/>
      <c r="J6" s="9" t="n"/>
      <c r="K6" s="9" t="n"/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0" t="n"/>
      <c r="G7" s="10" t="n"/>
      <c r="H7" s="10" t="n"/>
      <c r="I7" s="10" t="n"/>
      <c r="J7" s="10" t="n"/>
      <c r="K7" s="10" t="n"/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0" t="n"/>
      <c r="G8" s="10" t="n"/>
      <c r="H8" s="10" t="n"/>
      <c r="I8" s="10" t="n"/>
      <c r="J8" s="10" t="n"/>
      <c r="K8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2026-04-23T23:22:26Z</dcterms:created>
  <dcterms:modified xsi:type="dcterms:W3CDTF">2026-04-23T23:22:27Z</dcterms:modified>
</cp:coreProperties>
</file>