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  <sheet name="IS DRIVERS" sheetId="4" state="visible" r:id="rId4"/>
    <sheet name="BS DRIVERS" sheetId="5" state="visible" r:id="rId5"/>
    <sheet name="CF DRIV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;(0.0);&quot;--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  <color rgb="00595959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EAEAEA"/>
        <bgColor rgb="00EAEAEA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164" fontId="0" fillId="3" borderId="0" pivotButton="0" quotePrefix="0" xfId="0"/>
    <xf numFmtId="0" fontId="3" fillId="4" borderId="0" pivotButton="0" quotePrefix="0" xfId="0"/>
    <xf numFmtId="0" fontId="0" fillId="4" borderId="0" pivotButton="0" quotePrefix="0" xfId="0"/>
    <xf numFmtId="167" fontId="0" fillId="0" borderId="0" pivotButton="0" quotePrefix="0" xfId="0"/>
    <xf numFmtId="167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5" t="n"/>
      <c r="F18" s="5" t="n"/>
      <c r="G18" s="5" t="n"/>
      <c r="H18" s="5" t="n"/>
      <c r="I18" s="5" t="n"/>
      <c r="J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7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5" t="n"/>
      <c r="F28" s="5" t="n"/>
      <c r="G28" s="5" t="n"/>
      <c r="H28" s="5" t="n"/>
      <c r="I28" s="5" t="n"/>
      <c r="J28" s="5" t="n"/>
    </row>
    <row r="29">
      <c r="A29" s="3" t="inlineStr">
        <is>
          <t>Total Current Liabilities</t>
        </is>
      </c>
      <c r="B29" s="6">
        <f>SUM(B20:B28)</f>
        <v/>
      </c>
      <c r="C29" s="6">
        <f>SUM(C20:C28)</f>
        <v/>
      </c>
      <c r="D29" s="6">
        <f>SUM(D20:D28)</f>
        <v/>
      </c>
      <c r="E29" s="7">
        <f>SUM(E20:E28)</f>
        <v/>
      </c>
      <c r="F29" s="7">
        <f>SUM(F20:F28)</f>
        <v/>
      </c>
      <c r="G29" s="7">
        <f>SUM(G20:G28)</f>
        <v/>
      </c>
      <c r="H29" s="7">
        <f>SUM(H20:H28)</f>
        <v/>
      </c>
      <c r="I29" s="7">
        <f>SUM(I20:I28)</f>
        <v/>
      </c>
      <c r="J29" s="7">
        <f>SUM(J20:J28)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Deferred Revenue - Non-Current</t>
        </is>
      </c>
      <c r="B33" s="4" t="n">
        <v>179788</v>
      </c>
      <c r="C33" s="4" t="n">
        <v>167227</v>
      </c>
      <c r="D33" s="4" t="n">
        <v>157714</v>
      </c>
      <c r="E33" s="5" t="n"/>
      <c r="F33" s="5" t="n"/>
      <c r="G33" s="5" t="n"/>
      <c r="H33" s="5" t="n"/>
      <c r="I33" s="5" t="n"/>
      <c r="J33" s="5" t="n"/>
    </row>
    <row r="34">
      <c r="A34" s="3" t="inlineStr">
        <is>
          <t>Total Liabilities</t>
        </is>
      </c>
      <c r="B34" s="6">
        <f>B29+SUM(B30:B33)</f>
        <v/>
      </c>
      <c r="C34" s="6">
        <f>C29+SUM(C30:C33)</f>
        <v/>
      </c>
      <c r="D34" s="6">
        <f>D29+SUM(D30:D33)</f>
        <v/>
      </c>
      <c r="E34" s="7">
        <f>E29+SUM(E30:E33)</f>
        <v/>
      </c>
      <c r="F34" s="7">
        <f>F29+SUM(F30:F33)</f>
        <v/>
      </c>
      <c r="G34" s="7">
        <f>G29+SUM(G30:G33)</f>
        <v/>
      </c>
      <c r="H34" s="7">
        <f>H29+SUM(H30:H33)</f>
        <v/>
      </c>
      <c r="I34" s="7">
        <f>I29+SUM(I30:I33)</f>
        <v/>
      </c>
      <c r="J34" s="7">
        <f>J29+SUM(J30:J33)</f>
        <v/>
      </c>
    </row>
    <row r="35">
      <c r="A35" s="3" t="inlineStr">
        <is>
          <t>Convertible Preferred Stock</t>
        </is>
      </c>
      <c r="B35" s="4" t="n">
        <v>824488</v>
      </c>
      <c r="C35" s="4" t="n">
        <v>824488</v>
      </c>
      <c r="D35" s="4" t="n">
        <v>824488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Common Stock</t>
        </is>
      </c>
      <c r="B36" s="4" t="n">
        <v>76</v>
      </c>
      <c r="C36" s="4" t="n">
        <v>77</v>
      </c>
      <c r="D36" s="4" t="n">
        <v>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Additional Paid-in Capital</t>
        </is>
      </c>
      <c r="B37" s="4" t="n">
        <v>280668</v>
      </c>
      <c r="C37" s="4" t="n">
        <v>276717</v>
      </c>
      <c r="D37" s="4" t="n">
        <v>297579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Accumulated Other Comprehensive Income (Loss)</t>
        </is>
      </c>
      <c r="B38" s="4" t="n">
        <v>-1881</v>
      </c>
      <c r="C38" s="4" t="n">
        <v>-701</v>
      </c>
      <c r="D38" s="4" t="n">
        <v>-3250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Retained Earnings (Accumulated Deficit)</t>
        </is>
      </c>
      <c r="B39" s="4" t="n">
        <v>-238772</v>
      </c>
      <c r="C39" s="4" t="n">
        <v>-12053</v>
      </c>
      <c r="D39" s="4" t="n">
        <v>105521</v>
      </c>
      <c r="E39" s="5" t="n"/>
      <c r="F39" s="5" t="n"/>
      <c r="G39" s="5" t="n"/>
      <c r="H39" s="5" t="n"/>
      <c r="I39" s="5" t="n"/>
      <c r="J39" s="5" t="n"/>
    </row>
    <row r="40">
      <c r="A40" s="3" t="inlineStr">
        <is>
          <t>Total Stockholders' Equity</t>
        </is>
      </c>
      <c r="B40" s="6">
        <f>SUM(B36:B39)</f>
        <v/>
      </c>
      <c r="C40" s="6">
        <f>SUM(C36:C39)</f>
        <v/>
      </c>
      <c r="D40" s="6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  <c r="H40" s="7">
        <f>SUM(H36:H39)</f>
        <v/>
      </c>
      <c r="I40" s="7">
        <f>SUM(I36:I39)</f>
        <v/>
      </c>
      <c r="J40" s="7">
        <f>SUM(J36:J39)</f>
        <v/>
      </c>
    </row>
    <row r="41">
      <c r="A41" s="3" t="inlineStr">
        <is>
          <t>Total Liabilities, Mezzanine &amp; Stockholders' Equity</t>
        </is>
      </c>
      <c r="B41" s="6">
        <f>B34+B35+B40</f>
        <v/>
      </c>
      <c r="C41" s="6">
        <f>C34+C35+C40</f>
        <v/>
      </c>
      <c r="D41" s="6">
        <f>D34+D35+D40</f>
        <v/>
      </c>
      <c r="E41" s="7">
        <f>E34+E35+E40</f>
        <v/>
      </c>
      <c r="F41" s="7">
        <f>F34+F35+F40</f>
        <v/>
      </c>
      <c r="G41" s="7">
        <f>G34+G35+G40</f>
        <v/>
      </c>
      <c r="H41" s="7">
        <f>H34+H35+H40</f>
        <v/>
      </c>
      <c r="I41" s="7">
        <f>I34+I35+I40</f>
        <v/>
      </c>
      <c r="J41" s="7">
        <f>J34+J35+J40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Other Operating Items</t>
        </is>
      </c>
      <c r="B13" s="4" t="n">
        <v>0</v>
      </c>
      <c r="C13" s="4" t="n">
        <v>0</v>
      </c>
      <c r="D13" s="4" t="n">
        <v>0</v>
      </c>
      <c r="E13" s="4" t="n">
        <v>-324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Accounts Receivable</t>
        </is>
      </c>
      <c r="B14" s="4" t="n">
        <v>-25249</v>
      </c>
      <c r="C14" s="4" t="n">
        <v>-26369</v>
      </c>
      <c r="D14" s="4" t="n">
        <v>-121558</v>
      </c>
      <c r="E14" s="4" t="n">
        <v>-89665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Note Receivable</t>
        </is>
      </c>
      <c r="B15" s="4" t="n">
        <v>0</v>
      </c>
      <c r="C15" s="4" t="n">
        <v>0</v>
      </c>
      <c r="D15" s="4" t="n">
        <v>0</v>
      </c>
      <c r="E15" s="4" t="n">
        <v>2318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Inventories</t>
        </is>
      </c>
      <c r="B16" s="4" t="n">
        <v>-175174</v>
      </c>
      <c r="C16" s="4" t="n">
        <v>11802</v>
      </c>
      <c r="D16" s="4" t="n">
        <v>-63299</v>
      </c>
      <c r="E16" s="4" t="n">
        <v>77190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Prepaid Expenses</t>
        </is>
      </c>
      <c r="B17" s="4" t="n">
        <v>1072</v>
      </c>
      <c r="C17" s="4" t="n">
        <v>2214</v>
      </c>
      <c r="D17" s="4" t="n">
        <v>-7980</v>
      </c>
      <c r="E17" s="4" t="n">
        <v>1074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Accounts Payable</t>
        </is>
      </c>
      <c r="B18" s="4" t="n">
        <v>23966</v>
      </c>
      <c r="C18" s="4" t="n">
        <v>428</v>
      </c>
      <c r="D18" s="4" t="n">
        <v>5249</v>
      </c>
      <c r="E18" s="4" t="n">
        <v>-1170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Accrued Expenses</t>
        </is>
      </c>
      <c r="B19" s="4" t="n">
        <v>26484</v>
      </c>
      <c r="C19" s="4" t="n">
        <v>34644</v>
      </c>
      <c r="D19" s="4" t="n">
        <v>-8025</v>
      </c>
      <c r="E19" s="4" t="n">
        <v>85398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Other Current Liabilities</t>
        </is>
      </c>
      <c r="B20" s="4" t="n">
        <v>1731</v>
      </c>
      <c r="C20" s="4" t="n">
        <v>2446</v>
      </c>
      <c r="D20" s="4" t="n">
        <v>55407</v>
      </c>
      <c r="E20" s="4" t="n">
        <v>-34616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Promotional Allowance</t>
        </is>
      </c>
      <c r="B21" s="4" t="n">
        <v>13379</v>
      </c>
      <c r="C21" s="4" t="n">
        <v>16940</v>
      </c>
      <c r="D21" s="4" t="n">
        <v>63810</v>
      </c>
      <c r="E21" s="4" t="n">
        <v>36161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Accrued Distributor Termination</t>
        </is>
      </c>
      <c r="B22" s="4" t="n">
        <v>0</v>
      </c>
      <c r="C22" s="4" t="n">
        <v>3986</v>
      </c>
      <c r="D22" s="4" t="n">
        <v>-3739</v>
      </c>
      <c r="E22" s="4" t="n">
        <v>-248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ROU &amp; Lease Liability, Net</t>
        </is>
      </c>
      <c r="B23" s="4" t="n">
        <v>29</v>
      </c>
      <c r="C23" s="4" t="n">
        <v>-183</v>
      </c>
      <c r="D23" s="4" t="n">
        <v>-102</v>
      </c>
      <c r="E23" s="4" t="n">
        <v>535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Deferred Revenue</t>
        </is>
      </c>
      <c r="B24" s="4" t="n">
        <v>0</v>
      </c>
      <c r="C24" s="4" t="n">
        <v>189463</v>
      </c>
      <c r="D24" s="4" t="n">
        <v>-12723</v>
      </c>
      <c r="E24" s="4" t="n">
        <v>-9513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Other Non-Current Assets</t>
        </is>
      </c>
      <c r="B25" s="4" t="n">
        <v>0</v>
      </c>
      <c r="C25" s="4" t="n">
        <v>37</v>
      </c>
      <c r="D25" s="4" t="n">
        <v>-28</v>
      </c>
      <c r="E25" s="4" t="n">
        <v>-4862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</row>
    <row r="27">
      <c r="A27" s="3" t="inlineStr">
        <is>
          <t>Collections from Note Receivable</t>
        </is>
      </c>
      <c r="B27" s="4" t="n">
        <v>1886</v>
      </c>
      <c r="C27" s="4" t="n">
        <v>2592</v>
      </c>
      <c r="D27" s="4" t="n">
        <v>3233</v>
      </c>
      <c r="E27" s="4" t="n">
        <v>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Purchase of PP&amp;E</t>
        </is>
      </c>
      <c r="B28" s="4" t="n">
        <v>-3150</v>
      </c>
      <c r="C28" s="4" t="n">
        <v>-8264</v>
      </c>
      <c r="D28" s="4" t="n">
        <v>-17433</v>
      </c>
      <c r="E28" s="4" t="n">
        <v>-23390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Purchase of Non-Marketable Equity Securities</t>
        </is>
      </c>
      <c r="B29" s="4" t="n">
        <v>0</v>
      </c>
      <c r="C29" s="4" t="n">
        <v>0</v>
      </c>
      <c r="D29" s="4" t="n">
        <v>0</v>
      </c>
      <c r="E29" s="4" t="n">
        <v>-3000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Acquisition of Big Beverages</t>
        </is>
      </c>
      <c r="B30" s="4" t="n">
        <v>0</v>
      </c>
      <c r="C30" s="4" t="n">
        <v>0</v>
      </c>
      <c r="D30" s="4" t="n">
        <v>0</v>
      </c>
      <c r="E30" s="4" t="n">
        <v>-75336</v>
      </c>
      <c r="F30" s="5" t="n"/>
      <c r="G30" s="5" t="n"/>
      <c r="H30" s="5" t="n"/>
      <c r="I30" s="5" t="n"/>
      <c r="J30" s="5" t="n"/>
      <c r="K30" s="5" t="n"/>
    </row>
    <row r="31">
      <c r="A31" s="3" t="inlineStr">
        <is>
          <t>Cash Flow from Investing</t>
        </is>
      </c>
      <c r="B31" s="6">
        <f>SUM(B27:B30)</f>
        <v/>
      </c>
      <c r="C31" s="6">
        <f>SUM(C27:C30)</f>
        <v/>
      </c>
      <c r="D31" s="6">
        <f>SUM(D27:D30)</f>
        <v/>
      </c>
      <c r="E31" s="6">
        <f>SUM(E27:E30)</f>
        <v/>
      </c>
      <c r="F31" s="7">
        <f>SUM(F27:F30)</f>
        <v/>
      </c>
      <c r="G31" s="7">
        <f>SUM(G27:G30)</f>
        <v/>
      </c>
      <c r="H31" s="7">
        <f>SUM(H27:H30)</f>
        <v/>
      </c>
      <c r="I31" s="7">
        <f>SUM(I27:I30)</f>
        <v/>
      </c>
      <c r="J31" s="7">
        <f>SUM(J27:J30)</f>
        <v/>
      </c>
      <c r="K31" s="7">
        <f>SUM(K27:K30)</f>
        <v/>
      </c>
    </row>
    <row r="32">
      <c r="A32" s="3" t="inlineStr">
        <is>
          <t>Finance Lease Payments</t>
        </is>
      </c>
      <c r="B32" s="4" t="n">
        <v>-94</v>
      </c>
      <c r="C32" s="4" t="n">
        <v>-63</v>
      </c>
      <c r="D32" s="4" t="n">
        <v>-44</v>
      </c>
      <c r="E32" s="4" t="n">
        <v>-61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Exercise of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Proceeds from Issuance of Preferred Stock</t>
        </is>
      </c>
      <c r="B34" s="4" t="n">
        <v>0</v>
      </c>
      <c r="C34" s="4" t="n">
        <v>542018</v>
      </c>
      <c r="D34" s="4" t="n">
        <v>0</v>
      </c>
      <c r="E34" s="4" t="n">
        <v>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Dividends</t>
        </is>
      </c>
      <c r="B35" s="4" t="n">
        <v>0</v>
      </c>
      <c r="C35" s="4" t="n">
        <v>-11526</v>
      </c>
      <c r="D35" s="4" t="n">
        <v>-27462</v>
      </c>
      <c r="E35" s="4" t="n">
        <v>-27500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Proceeds from Issuance of Common Stock</t>
        </is>
      </c>
      <c r="B36" s="4" t="n">
        <v>67769</v>
      </c>
      <c r="C36" s="4" t="n">
        <v>0</v>
      </c>
      <c r="D36" s="4" t="n">
        <v>0</v>
      </c>
      <c r="E36" s="4" t="n">
        <v>0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Share Repurchases</t>
        </is>
      </c>
      <c r="B37" s="4" t="n">
        <v>0</v>
      </c>
      <c r="C37" s="4" t="n">
        <v>0</v>
      </c>
      <c r="D37" s="4" t="n">
        <v>0</v>
      </c>
      <c r="E37" s="4" t="n">
        <v>-2261</v>
      </c>
      <c r="F37" s="5" t="n"/>
      <c r="G37" s="5" t="n"/>
      <c r="H37" s="5" t="n"/>
      <c r="I37" s="5" t="n"/>
      <c r="J37" s="5" t="n"/>
      <c r="K37" s="5" t="n"/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7">
        <f>SUM(F32:F37)</f>
        <v/>
      </c>
      <c r="G38" s="7">
        <f>SUM(G32:G37)</f>
        <v/>
      </c>
      <c r="H38" s="7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</row>
    <row r="39">
      <c r="A39" s="3" t="inlineStr">
        <is>
          <t>FX Effect on Cash</t>
        </is>
      </c>
      <c r="B39" s="4" t="n">
        <v>-538</v>
      </c>
      <c r="C39" s="4" t="n">
        <v>50</v>
      </c>
      <c r="D39" s="4" t="n">
        <v>1257</v>
      </c>
      <c r="E39" s="4" t="n">
        <v>-997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Net Change in Cash</t>
        </is>
      </c>
      <c r="B40" s="4" t="n">
        <v>-26993</v>
      </c>
      <c r="C40" s="4" t="n">
        <v>636672</v>
      </c>
      <c r="D40" s="4" t="n">
        <v>103054</v>
      </c>
      <c r="E40" s="4" t="n">
        <v>134209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Cash at Beginning of Period</t>
        </is>
      </c>
      <c r="B41" s="4" t="n">
        <v>43248</v>
      </c>
      <c r="C41" s="4" t="n">
        <v>16255</v>
      </c>
      <c r="D41" s="4" t="n">
        <v>652927</v>
      </c>
      <c r="E41" s="4" t="n">
        <v>755981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Cash at End of Period</t>
        </is>
      </c>
      <c r="B42" s="4" t="n">
        <v>16255</v>
      </c>
      <c r="C42" s="4" t="n">
        <v>652927</v>
      </c>
      <c r="D42" s="4" t="n">
        <v>755981</v>
      </c>
      <c r="E42" s="4" t="n">
        <v>890190</v>
      </c>
      <c r="F42" s="5" t="n"/>
      <c r="G42" s="5" t="n"/>
      <c r="H42" s="5" t="n"/>
      <c r="I42" s="5" t="n"/>
      <c r="J42" s="5" t="n"/>
      <c r="K42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Revenue Growth %</t>
        </is>
      </c>
      <c r="C2" s="8">
        <f>IFERROR(('ANNL P&amp;L'!C2-'ANNL P&amp;L'!B2)/'ANNL P&amp;L'!B2,0)</f>
        <v/>
      </c>
      <c r="D2" s="8">
        <f>IFERROR(('ANNL P&amp;L'!D2-'ANNL P&amp;L'!C2)/'ANNL P&amp;L'!C2,0)</f>
        <v/>
      </c>
      <c r="E2" s="8">
        <f>IFERROR(('ANNL P&amp;L'!E2-'ANNL P&amp;L'!D2)/'ANNL P&amp;L'!D2,0)</f>
        <v/>
      </c>
      <c r="F2" s="9" t="n"/>
      <c r="G2" s="9" t="n"/>
      <c r="H2" s="9" t="n"/>
      <c r="I2" s="9" t="n"/>
      <c r="J2" s="9" t="n"/>
      <c r="K2" s="9" t="n"/>
    </row>
    <row r="3">
      <c r="A3" s="3" t="inlineStr">
        <is>
          <t>COGS % of Revenue</t>
        </is>
      </c>
      <c r="B3" s="8">
        <f>IFERROR('ANNL P&amp;L'!B3/'ANNL P&amp;L'!B2,0)</f>
        <v/>
      </c>
      <c r="C3" s="8">
        <f>IFERROR('ANNL P&amp;L'!C3/'ANNL P&amp;L'!C2,0)</f>
        <v/>
      </c>
      <c r="D3" s="8">
        <f>IFERROR('ANNL P&amp;L'!D3/'ANNL P&amp;L'!D2,0)</f>
        <v/>
      </c>
      <c r="E3" s="8">
        <f>IFERROR('ANNL P&amp;L'!E3/'ANNL P&amp;L'!E2,0)</f>
        <v/>
      </c>
      <c r="F3" s="9" t="n"/>
      <c r="G3" s="9" t="n"/>
      <c r="H3" s="9" t="n"/>
      <c r="I3" s="9" t="n"/>
      <c r="J3" s="9" t="n"/>
      <c r="K3" s="9" t="n"/>
    </row>
    <row r="4">
      <c r="A4" s="3" t="inlineStr">
        <is>
          <t>SG&amp;A % of Revenue</t>
        </is>
      </c>
      <c r="B4" s="8">
        <f>IFERROR('ANNL P&amp;L'!B5/'ANNL P&amp;L'!B2,0)</f>
        <v/>
      </c>
      <c r="C4" s="8">
        <f>IFERROR('ANNL P&amp;L'!C5/'ANNL P&amp;L'!C2,0)</f>
        <v/>
      </c>
      <c r="D4" s="8">
        <f>IFERROR('ANNL P&amp;L'!D5/'ANNL P&amp;L'!D2,0)</f>
        <v/>
      </c>
      <c r="E4" s="8">
        <f>IFERROR('ANNL P&amp;L'!E5/'ANNL P&amp;L'!E2,0)</f>
        <v/>
      </c>
      <c r="F4" s="9" t="n"/>
      <c r="G4" s="9" t="n"/>
      <c r="H4" s="9" t="n"/>
      <c r="I4" s="9" t="n"/>
      <c r="J4" s="9" t="n"/>
      <c r="K4" s="9" t="n"/>
    </row>
    <row r="5">
      <c r="A5" s="3" t="inlineStr">
        <is>
          <t>Interest Income (Expense) $</t>
        </is>
      </c>
      <c r="B5" s="4">
        <f>'ANNL P&amp;L'!B7</f>
        <v/>
      </c>
      <c r="C5" s="4">
        <f>'ANNL P&amp;L'!C7</f>
        <v/>
      </c>
      <c r="D5" s="4">
        <f>'ANNL P&amp;L'!D7</f>
        <v/>
      </c>
      <c r="E5" s="4">
        <f>'ANNL P&amp;L'!E7</f>
        <v/>
      </c>
      <c r="F5" s="10" t="n"/>
      <c r="G5" s="10" t="n"/>
      <c r="H5" s="10" t="n"/>
      <c r="I5" s="10" t="n"/>
      <c r="J5" s="10" t="n"/>
      <c r="K5" s="10" t="n"/>
    </row>
    <row r="6">
      <c r="A6" s="3" t="inlineStr">
        <is>
          <t>FX / Other Income $</t>
        </is>
      </c>
      <c r="B6" s="4">
        <f>'ANNL P&amp;L'!B8+'ANNL P&amp;L'!B9</f>
        <v/>
      </c>
      <c r="C6" s="4">
        <f>'ANNL P&amp;L'!C8+'ANNL P&amp;L'!C9</f>
        <v/>
      </c>
      <c r="D6" s="4">
        <f>'ANNL P&amp;L'!D8+'ANNL P&amp;L'!D9</f>
        <v/>
      </c>
      <c r="E6" s="4">
        <f>'ANNL P&amp;L'!E8+'ANNL P&amp;L'!E9</f>
        <v/>
      </c>
      <c r="F6" s="10" t="n"/>
      <c r="G6" s="10" t="n"/>
      <c r="H6" s="10" t="n"/>
      <c r="I6" s="10" t="n"/>
      <c r="J6" s="10" t="n"/>
      <c r="K6" s="10" t="n"/>
    </row>
    <row r="7">
      <c r="A7" s="3" t="inlineStr">
        <is>
          <t>Effective Tax Rate %</t>
        </is>
      </c>
      <c r="B7" s="8">
        <f>IFERROR('ANNL P&amp;L'!B11/'ANNL P&amp;L'!B10,0)</f>
        <v/>
      </c>
      <c r="C7" s="8">
        <f>IFERROR('ANNL P&amp;L'!C11/'ANNL P&amp;L'!C10,0)</f>
        <v/>
      </c>
      <c r="D7" s="8">
        <f>IFERROR('ANNL P&amp;L'!D11/'ANNL P&amp;L'!D10,0)</f>
        <v/>
      </c>
      <c r="E7" s="8">
        <f>IFERROR('ANNL P&amp;L'!E11/'ANNL P&amp;L'!E10,0)</f>
        <v/>
      </c>
      <c r="F7" s="9" t="n"/>
      <c r="G7" s="9" t="n"/>
      <c r="H7" s="9" t="n"/>
      <c r="I7" s="9" t="n"/>
      <c r="J7" s="9" t="n"/>
      <c r="K7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11" t="inlineStr">
        <is>
          <t>Current Assets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</row>
    <row r="3">
      <c r="A3" s="3" t="inlineStr">
        <is>
          <t>DSO (days)</t>
        </is>
      </c>
      <c r="C3" s="13">
        <f>IFERROR('BALANCE SHEET'!B4/'ANNL P&amp;L'!C2*365,0)</f>
        <v/>
      </c>
      <c r="D3" s="13">
        <f>IFERROR('BALANCE SHEET'!C4/'ANNL P&amp;L'!D2*365,0)</f>
        <v/>
      </c>
      <c r="E3" s="13">
        <f>IFERROR('BALANCE SHEET'!D4/'ANNL P&amp;L'!E2*365,0)</f>
        <v/>
      </c>
      <c r="F3" s="14" t="n"/>
      <c r="G3" s="14" t="n"/>
      <c r="H3" s="14" t="n"/>
      <c r="I3" s="14" t="n"/>
      <c r="J3" s="14" t="n"/>
      <c r="K3" s="14" t="n"/>
    </row>
    <row r="4">
      <c r="A4" s="3" t="inlineStr">
        <is>
          <t>DIO (days)</t>
        </is>
      </c>
      <c r="C4" s="13">
        <f>IFERROR('BALANCE SHEET'!B6/'ANNL P&amp;L'!C3*365,0)</f>
        <v/>
      </c>
      <c r="D4" s="13">
        <f>IFERROR('BALANCE SHEET'!C6/'ANNL P&amp;L'!D3*365,0)</f>
        <v/>
      </c>
      <c r="E4" s="13">
        <f>IFERROR('BALANCE SHEET'!D6/'ANNL P&amp;L'!E3*365,0)</f>
        <v/>
      </c>
      <c r="F4" s="14" t="n"/>
      <c r="G4" s="14" t="n"/>
      <c r="H4" s="14" t="n"/>
      <c r="I4" s="14" t="n"/>
      <c r="J4" s="14" t="n"/>
      <c r="K4" s="14" t="n"/>
    </row>
    <row r="5">
      <c r="A5" s="3" t="inlineStr">
        <is>
          <t>Note Receivable - Current % of Rev</t>
        </is>
      </c>
      <c r="C5" s="8">
        <f>IFERROR('BALANCE SHEET'!B5/'ANNL P&amp;L'!C2,0)</f>
        <v/>
      </c>
      <c r="D5" s="8">
        <f>IFERROR('BALANCE SHEET'!C5/'ANNL P&amp;L'!D2,0)</f>
        <v/>
      </c>
      <c r="E5" s="8">
        <f>IFERROR('BALANCE SHEET'!D5/'ANNL P&amp;L'!E2,0)</f>
        <v/>
      </c>
      <c r="F5" s="9" t="n"/>
      <c r="G5" s="9" t="n"/>
      <c r="H5" s="9" t="n"/>
      <c r="I5" s="9" t="n"/>
      <c r="J5" s="9" t="n"/>
      <c r="K5" s="9" t="n"/>
    </row>
    <row r="6">
      <c r="A6" s="3" t="inlineStr">
        <is>
          <t>Deferred Other Costs - Current % of Rev</t>
        </is>
      </c>
      <c r="C6" s="8">
        <f>IFERROR('BALANCE SHEET'!B7/'ANNL P&amp;L'!C2,0)</f>
        <v/>
      </c>
      <c r="D6" s="8">
        <f>IFERROR('BALANCE SHEET'!C7/'ANNL P&amp;L'!D2,0)</f>
        <v/>
      </c>
      <c r="E6" s="8">
        <f>IFERROR('BALANCE SHEET'!D7/'ANNL P&amp;L'!E2,0)</f>
        <v/>
      </c>
      <c r="F6" s="9" t="n"/>
      <c r="G6" s="9" t="n"/>
      <c r="H6" s="9" t="n"/>
      <c r="I6" s="9" t="n"/>
      <c r="J6" s="9" t="n"/>
      <c r="K6" s="9" t="n"/>
    </row>
    <row r="7">
      <c r="A7" s="3" t="inlineStr">
        <is>
          <t>Prepaid Expenses % of Rev</t>
        </is>
      </c>
      <c r="C7" s="8">
        <f>IFERROR('BALANCE SHEET'!B8/'ANNL P&amp;L'!C2,0)</f>
        <v/>
      </c>
      <c r="D7" s="8">
        <f>IFERROR('BALANCE SHEET'!C8/'ANNL P&amp;L'!D2,0)</f>
        <v/>
      </c>
      <c r="E7" s="8">
        <f>IFERROR('BALANCE SHEET'!D8/'ANNL P&amp;L'!E2,0)</f>
        <v/>
      </c>
      <c r="F7" s="9" t="n"/>
      <c r="G7" s="9" t="n"/>
      <c r="H7" s="9" t="n"/>
      <c r="I7" s="9" t="n"/>
      <c r="J7" s="9" t="n"/>
      <c r="K7" s="9" t="n"/>
    </row>
    <row r="8">
      <c r="A8" s="11" t="inlineStr">
        <is>
          <t>Current Liabilities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</row>
    <row r="9">
      <c r="A9" s="3" t="inlineStr">
        <is>
          <t>DPO (days)</t>
        </is>
      </c>
      <c r="C9" s="13">
        <f>IFERROR('BALANCE SHEET'!B20/'ANNL P&amp;L'!C3*365,0)</f>
        <v/>
      </c>
      <c r="D9" s="13">
        <f>IFERROR('BALANCE SHEET'!C20/'ANNL P&amp;L'!D3*365,0)</f>
        <v/>
      </c>
      <c r="E9" s="13">
        <f>IFERROR('BALANCE SHEET'!D20/'ANNL P&amp;L'!E3*365,0)</f>
        <v/>
      </c>
      <c r="F9" s="14" t="n"/>
      <c r="G9" s="14" t="n"/>
      <c r="H9" s="14" t="n"/>
      <c r="I9" s="14" t="n"/>
      <c r="J9" s="14" t="n"/>
      <c r="K9" s="14" t="n"/>
    </row>
    <row r="10">
      <c r="A10" s="3" t="inlineStr">
        <is>
          <t>Accrued Expenses % of Rev</t>
        </is>
      </c>
      <c r="C10" s="8">
        <f>IFERROR('BALANCE SHEET'!B21/'ANNL P&amp;L'!C2,0)</f>
        <v/>
      </c>
      <c r="D10" s="8">
        <f>IFERROR('BALANCE SHEET'!C21/'ANNL P&amp;L'!D2,0)</f>
        <v/>
      </c>
      <c r="E10" s="8">
        <f>IFERROR('BALANCE SHEET'!D21/'ANNL P&amp;L'!E2,0)</f>
        <v/>
      </c>
      <c r="F10" s="9" t="n"/>
      <c r="G10" s="9" t="n"/>
      <c r="H10" s="9" t="n"/>
      <c r="I10" s="9" t="n"/>
      <c r="J10" s="9" t="n"/>
      <c r="K10" s="9" t="n"/>
    </row>
    <row r="11">
      <c r="A11" s="3" t="inlineStr">
        <is>
          <t>Income Taxes Payable % of Rev</t>
        </is>
      </c>
      <c r="C11" s="8">
        <f>IFERROR('BALANCE SHEET'!B22/'ANNL P&amp;L'!C2,0)</f>
        <v/>
      </c>
      <c r="D11" s="8">
        <f>IFERROR('BALANCE SHEET'!C22/'ANNL P&amp;L'!D2,0)</f>
        <v/>
      </c>
      <c r="E11" s="8">
        <f>IFERROR('BALANCE SHEET'!D22/'ANNL P&amp;L'!E2,0)</f>
        <v/>
      </c>
      <c r="F11" s="9" t="n"/>
      <c r="G11" s="9" t="n"/>
      <c r="H11" s="9" t="n"/>
      <c r="I11" s="9" t="n"/>
      <c r="J11" s="9" t="n"/>
      <c r="K11" s="9" t="n"/>
    </row>
    <row r="12">
      <c r="A12" s="3" t="inlineStr">
        <is>
          <t>Accrued Distributor Termination Fees % of Rev</t>
        </is>
      </c>
      <c r="C12" s="8">
        <f>IFERROR('BALANCE SHEET'!B23/'ANNL P&amp;L'!C2,0)</f>
        <v/>
      </c>
      <c r="D12" s="8">
        <f>IFERROR('BALANCE SHEET'!C23/'ANNL P&amp;L'!D2,0)</f>
        <v/>
      </c>
      <c r="E12" s="8">
        <f>IFERROR('BALANCE SHEET'!D23/'ANNL P&amp;L'!E2,0)</f>
        <v/>
      </c>
      <c r="F12" s="9" t="n"/>
      <c r="G12" s="9" t="n"/>
      <c r="H12" s="9" t="n"/>
      <c r="I12" s="9" t="n"/>
      <c r="J12" s="9" t="n"/>
      <c r="K12" s="9" t="n"/>
    </row>
    <row r="13">
      <c r="A13" s="3" t="inlineStr">
        <is>
          <t>Accrued Promotional Allowance % of Rev</t>
        </is>
      </c>
      <c r="C13" s="8">
        <f>IFERROR('BALANCE SHEET'!B24/'ANNL P&amp;L'!C2,0)</f>
        <v/>
      </c>
      <c r="D13" s="8">
        <f>IFERROR('BALANCE SHEET'!C24/'ANNL P&amp;L'!D2,0)</f>
        <v/>
      </c>
      <c r="E13" s="8">
        <f>IFERROR('BALANCE SHEET'!D24/'ANNL P&amp;L'!E2,0)</f>
        <v/>
      </c>
      <c r="F13" s="9" t="n"/>
      <c r="G13" s="9" t="n"/>
      <c r="H13" s="9" t="n"/>
      <c r="I13" s="9" t="n"/>
      <c r="J13" s="9" t="n"/>
      <c r="K13" s="9" t="n"/>
    </row>
    <row r="14">
      <c r="A14" s="3" t="inlineStr">
        <is>
          <t>Lease Liability - Operating - Current % of Rev</t>
        </is>
      </c>
      <c r="C14" s="8">
        <f>IFERROR('BALANCE SHEET'!B25/'ANNL P&amp;L'!C2,0)</f>
        <v/>
      </c>
      <c r="D14" s="8">
        <f>IFERROR('BALANCE SHEET'!C25/'ANNL P&amp;L'!D2,0)</f>
        <v/>
      </c>
      <c r="E14" s="8">
        <f>IFERROR('BALANCE SHEET'!D25/'ANNL P&amp;L'!E2,0)</f>
        <v/>
      </c>
      <c r="F14" s="9" t="n"/>
      <c r="G14" s="9" t="n"/>
      <c r="H14" s="9" t="n"/>
      <c r="I14" s="9" t="n"/>
      <c r="J14" s="9" t="n"/>
      <c r="K14" s="9" t="n"/>
    </row>
    <row r="15">
      <c r="A15" s="3" t="inlineStr">
        <is>
          <t>Lease Liability - Finance - Current % of Rev</t>
        </is>
      </c>
      <c r="C15" s="8">
        <f>IFERROR('BALANCE SHEET'!B26/'ANNL P&amp;L'!C2,0)</f>
        <v/>
      </c>
      <c r="D15" s="8">
        <f>IFERROR('BALANCE SHEET'!C26/'ANNL P&amp;L'!D2,0)</f>
        <v/>
      </c>
      <c r="E15" s="8">
        <f>IFERROR('BALANCE SHEET'!D26/'ANNL P&amp;L'!E2,0)</f>
        <v/>
      </c>
      <c r="F15" s="9" t="n"/>
      <c r="G15" s="9" t="n"/>
      <c r="H15" s="9" t="n"/>
      <c r="I15" s="9" t="n"/>
      <c r="J15" s="9" t="n"/>
      <c r="K15" s="9" t="n"/>
    </row>
    <row r="16">
      <c r="A16" s="3" t="inlineStr">
        <is>
          <t>Deferred Revenue - Current % of Rev</t>
        </is>
      </c>
      <c r="C16" s="8">
        <f>IFERROR('BALANCE SHEET'!B27/'ANNL P&amp;L'!C2,0)</f>
        <v/>
      </c>
      <c r="D16" s="8">
        <f>IFERROR('BALANCE SHEET'!C27/'ANNL P&amp;L'!D2,0)</f>
        <v/>
      </c>
      <c r="E16" s="8">
        <f>IFERROR('BALANCE SHEET'!D27/'ANNL P&amp;L'!E2,0)</f>
        <v/>
      </c>
      <c r="F16" s="9" t="n"/>
      <c r="G16" s="9" t="n"/>
      <c r="H16" s="9" t="n"/>
      <c r="I16" s="9" t="n"/>
      <c r="J16" s="9" t="n"/>
      <c r="K16" s="9" t="n"/>
    </row>
    <row r="17">
      <c r="A17" s="3" t="inlineStr">
        <is>
          <t>Other Current Liabilities % of Rev</t>
        </is>
      </c>
      <c r="C17" s="8">
        <f>IFERROR('BALANCE SHEET'!B28/'ANNL P&amp;L'!C2,0)</f>
        <v/>
      </c>
      <c r="D17" s="8">
        <f>IFERROR('BALANCE SHEET'!C28/'ANNL P&amp;L'!D2,0)</f>
        <v/>
      </c>
      <c r="E17" s="8">
        <f>IFERROR('BALANCE SHEET'!D28/'ANNL P&amp;L'!E2,0)</f>
        <v/>
      </c>
      <c r="F17" s="9" t="n"/>
      <c r="G17" s="9" t="n"/>
      <c r="H17" s="9" t="n"/>
      <c r="I17" s="9" t="n"/>
      <c r="J17" s="9" t="n"/>
      <c r="K17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D&amp;A $</t>
        </is>
      </c>
      <c r="B2" s="4">
        <f>'CASH FLOW'!B3</f>
        <v/>
      </c>
      <c r="C2" s="4">
        <f>'CASH FLOW'!C3</f>
        <v/>
      </c>
      <c r="D2" s="4">
        <f>'CASH FLOW'!D3</f>
        <v/>
      </c>
      <c r="E2" s="4">
        <f>'CASH FLOW'!E3</f>
        <v/>
      </c>
      <c r="F2" s="10" t="n"/>
      <c r="G2" s="10" t="n"/>
      <c r="H2" s="10" t="n"/>
      <c r="I2" s="10" t="n"/>
      <c r="J2" s="10" t="n"/>
      <c r="K2" s="10" t="n"/>
    </row>
    <row r="3">
      <c r="A3" s="3" t="inlineStr">
        <is>
          <t>SBC $</t>
        </is>
      </c>
      <c r="B3" s="4">
        <f>'CASH FLOW'!B9</f>
        <v/>
      </c>
      <c r="C3" s="4">
        <f>'CASH FLOW'!C9</f>
        <v/>
      </c>
      <c r="D3" s="4">
        <f>'CASH FLOW'!D9</f>
        <v/>
      </c>
      <c r="E3" s="4">
        <f>'CASH FLOW'!E9</f>
        <v/>
      </c>
      <c r="F3" s="10" t="n"/>
      <c r="G3" s="10" t="n"/>
      <c r="H3" s="10" t="n"/>
      <c r="I3" s="10" t="n"/>
      <c r="J3" s="10" t="n"/>
      <c r="K3" s="10" t="n"/>
    </row>
    <row r="4">
      <c r="A4" s="3" t="inlineStr">
        <is>
          <t>CapEx $</t>
        </is>
      </c>
      <c r="B4" s="4">
        <f>'CASH FLOW'!B28</f>
        <v/>
      </c>
      <c r="C4" s="4">
        <f>'CASH FLOW'!C28</f>
        <v/>
      </c>
      <c r="D4" s="4">
        <f>'CASH FLOW'!D28</f>
        <v/>
      </c>
      <c r="E4" s="4">
        <f>'CASH FLOW'!E28</f>
        <v/>
      </c>
      <c r="F4" s="10" t="n"/>
      <c r="G4" s="10" t="n"/>
      <c r="H4" s="10" t="n"/>
      <c r="I4" s="10" t="n"/>
      <c r="J4" s="10" t="n"/>
      <c r="K4" s="10" t="n"/>
    </row>
    <row r="5">
      <c r="A5" s="3" t="inlineStr">
        <is>
          <t>Dividends $</t>
        </is>
      </c>
      <c r="B5" s="4">
        <f>'CASH FLOW'!B35</f>
        <v/>
      </c>
      <c r="C5" s="4">
        <f>'CASH FLOW'!C35</f>
        <v/>
      </c>
      <c r="D5" s="4">
        <f>'CASH FLOW'!D35</f>
        <v/>
      </c>
      <c r="E5" s="4">
        <f>'CASH FLOW'!E35</f>
        <v/>
      </c>
      <c r="F5" s="10" t="n"/>
      <c r="G5" s="10" t="n"/>
      <c r="H5" s="10" t="n"/>
      <c r="I5" s="10" t="n"/>
      <c r="J5" s="10" t="n"/>
      <c r="K5" s="10" t="n"/>
    </row>
    <row r="6">
      <c r="A6" s="3" t="inlineStr">
        <is>
          <t>Share Repurchases $</t>
        </is>
      </c>
      <c r="B6" s="4">
        <f>'CASH FLOW'!B37</f>
        <v/>
      </c>
      <c r="C6" s="4">
        <f>'CASH FLOW'!C37</f>
        <v/>
      </c>
      <c r="D6" s="4">
        <f>'CASH FLOW'!D37</f>
        <v/>
      </c>
      <c r="E6" s="4">
        <f>'CASH FLOW'!E37</f>
        <v/>
      </c>
      <c r="F6" s="10" t="n"/>
      <c r="G6" s="10" t="n"/>
      <c r="H6" s="10" t="n"/>
      <c r="I6" s="10" t="n"/>
      <c r="J6" s="10" t="n"/>
      <c r="K6" s="10" t="n"/>
    </row>
    <row r="7">
      <c r="A7" s="3" t="inlineStr">
        <is>
          <t>Net Debt $</t>
        </is>
      </c>
      <c r="C7" s="4">
        <f>('BALANCE SHEET'!B25+'BALANCE SHEET'!B26+'BALANCE SHEET'!B30+'BALANCE SHEET'!B31)-('BALANCE SHEET'!B2+'BALANCE SHEET'!B3)</f>
        <v/>
      </c>
      <c r="D7" s="4">
        <f>('BALANCE SHEET'!C25+'BALANCE SHEET'!C26+'BALANCE SHEET'!C30+'BALANCE SHEET'!C31)-('BALANCE SHEET'!C2+'BALANCE SHEET'!C3)</f>
        <v/>
      </c>
      <c r="E7" s="4">
        <f>('BALANCE SHEET'!D25+'BALANCE SHEET'!D26+'BALANCE SHEET'!D30+'BALANCE SHEET'!D31)-('BALANCE SHEET'!D2+'BALANCE SHEET'!D3)</f>
        <v/>
      </c>
      <c r="F7" s="10" t="n"/>
      <c r="G7" s="10" t="n"/>
      <c r="H7" s="10" t="n"/>
      <c r="I7" s="10" t="n"/>
      <c r="J7" s="10" t="n"/>
      <c r="K7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2026-04-23T23:05:06Z</dcterms:created>
  <dcterms:modified xsi:type="dcterms:W3CDTF">2026-04-23T23:05:07Z</dcterms:modified>
</cp:coreProperties>
</file>