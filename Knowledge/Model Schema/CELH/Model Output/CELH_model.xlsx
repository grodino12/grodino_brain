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2" fillId="0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(Revenue)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Selling and Marketing Expenses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Operating Profit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</t>
        </is>
      </c>
      <c r="B7" s="4" t="n">
        <v>307</v>
      </c>
      <c r="C7" s="4" t="n">
        <v>10821</v>
      </c>
      <c r="D7" s="4" t="n">
        <v>53130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exchange gain (loss)</t>
        </is>
      </c>
      <c r="B8" s="4" t="n">
        <v>-276</v>
      </c>
      <c r="C8" s="4" t="n">
        <v>-392</v>
      </c>
      <c r="D8" s="4" t="n">
        <v>-1246</v>
      </c>
      <c r="E8" s="4" t="n">
        <v>-1734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</t>
        </is>
      </c>
      <c r="B10" s="6">
        <f>B6+SUM(B7:B9)</f>
        <v/>
      </c>
      <c r="C10" s="6">
        <f>C6+SUM(C7:C9)</f>
        <v/>
      </c>
      <c r="D10" s="6">
        <f>D6+SUM(D7:D9)</f>
        <v/>
      </c>
      <c r="E10" s="6">
        <f>E6+SUM(E7:E9)</f>
        <v/>
      </c>
      <c r="F10" s="7">
        <f>F6+SUM(F7:F9)</f>
        <v/>
      </c>
      <c r="G10" s="7">
        <f>G6+SUM(G7:G9)</f>
        <v/>
      </c>
      <c r="H10" s="7">
        <f>H6+SUM(H7:H9)</f>
        <v/>
      </c>
      <c r="I10" s="7">
        <f>I6+SUM(I7:I9)</f>
        <v/>
      </c>
      <c r="J10" s="7">
        <f>J6+SUM(J7:J9)</f>
        <v/>
      </c>
      <c r="K10" s="7">
        <f>K6+SUM(K7:K9)</f>
        <v/>
      </c>
    </row>
    <row r="11">
      <c r="A11" s="3" t="inlineStr">
        <is>
          <t>Income Taxes</t>
        </is>
      </c>
      <c r="B11" s="4" t="n">
        <v>7996</v>
      </c>
      <c r="C11" s="4" t="n">
        <v>-69236</v>
      </c>
      <c r="D11" s="4" t="n">
        <v>-129896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7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</row>
    <row r="13">
      <c r="A13" s="3" t="inlineStr">
        <is>
          <t>Dividends on Series A Pref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Net Income to Common Shareholders</t>
        </is>
      </c>
      <c r="B14" s="4" t="n">
        <v>3937</v>
      </c>
      <c r="C14" s="4" t="n">
        <v>-198808</v>
      </c>
      <c r="D14" s="4" t="n">
        <v>181991</v>
      </c>
      <c r="E14" s="4" t="n">
        <v>107457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Income Allocated to Participating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GAAP EPS (Basic)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Weighted Avg Shares Outstanding (Basic)</t>
        </is>
      </c>
      <c r="B17" s="4" t="n">
        <v>221343</v>
      </c>
      <c r="C17" s="4" t="n">
        <v>226947</v>
      </c>
      <c r="D17" s="4" t="n">
        <v>230784</v>
      </c>
      <c r="E17" s="4" t="n">
        <v>233667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GAAP EPS (Diluted)</t>
        </is>
      </c>
      <c r="B18" s="4" t="n">
        <v>0.02</v>
      </c>
      <c r="C18" s="4" t="n">
        <v>-0.88</v>
      </c>
      <c r="D18" s="4" t="n">
        <v>0.77</v>
      </c>
      <c r="E18" s="4" t="n">
        <v>0.45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Avg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</t>
        </is>
      </c>
      <c r="B5" s="4" t="n">
        <v>6553</v>
      </c>
      <c r="C5" s="4" t="n">
        <v>4636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(Current)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Deferred Tax Assets</t>
        </is>
      </c>
      <c r="B11" s="4" t="n">
        <v>501</v>
      </c>
      <c r="C11" s="4" t="n">
        <v>29518</v>
      </c>
      <c r="D11" s="4" t="n">
        <v>38699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Deferred Other Costs (NC)</t>
        </is>
      </c>
      <c r="B14" s="4" t="n">
        <v>262462</v>
      </c>
      <c r="C14" s="4" t="n">
        <v>248338</v>
      </c>
      <c r="D14" s="4" t="n">
        <v>234215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Intangibles</t>
        </is>
      </c>
      <c r="B15" s="4" t="n">
        <v>12254</v>
      </c>
      <c r="C15" s="4" t="n">
        <v>12139</v>
      </c>
      <c r="D15" s="4" t="n">
        <v>12213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Goodwill</t>
        </is>
      </c>
      <c r="B16" s="4" t="n">
        <v>13679</v>
      </c>
      <c r="C16" s="4" t="n">
        <v>14173</v>
      </c>
      <c r="D16" s="4" t="n">
        <v>71582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Long-Term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Promotional Allowance</t>
        </is>
      </c>
      <c r="B21" s="4" t="n">
        <v>35977</v>
      </c>
      <c r="C21" s="4" t="n">
        <v>99787</v>
      </c>
      <c r="D21" s="4" t="n">
        <v>135948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Lease Liability - Operating Current</t>
        </is>
      </c>
      <c r="B22" s="4" t="n">
        <v>661</v>
      </c>
      <c r="C22" s="4" t="n">
        <v>1960</v>
      </c>
      <c r="D22" s="4" t="n">
        <v>3265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Finance Current</t>
        </is>
      </c>
      <c r="B23" s="4" t="n">
        <v>70</v>
      </c>
      <c r="C23" s="4" t="n">
        <v>118</v>
      </c>
      <c r="D23" s="4" t="n">
        <v>100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Deferred Revenue (Current)</t>
        </is>
      </c>
      <c r="B24" s="4" t="n">
        <v>9675</v>
      </c>
      <c r="C24" s="4" t="n">
        <v>19026</v>
      </c>
      <c r="D24" s="4" t="n">
        <v>9513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Other Current Liabilities</t>
        </is>
      </c>
      <c r="B25" s="4" t="n">
        <v>3586</v>
      </c>
      <c r="C25" s="4" t="n">
        <v>10890</v>
      </c>
      <c r="D25" s="4" t="n">
        <v>15808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Income Taxes Payable</t>
        </is>
      </c>
      <c r="B26" s="4" t="n">
        <v>1193</v>
      </c>
      <c r="C26" s="4" t="n">
        <v>50424</v>
      </c>
      <c r="D26" s="4" t="n">
        <v>10834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NC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NC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(NC)</t>
        </is>
      </c>
      <c r="B32" s="4" t="n">
        <v>179788</v>
      </c>
      <c r="C32" s="4" t="n">
        <v>334454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Loss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0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Obsolescence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Stock-Based Compensation</t>
        </is>
      </c>
      <c r="B8" s="4" t="n">
        <v>36475</v>
      </c>
      <c r="C8" s="4" t="n">
        <v>20665</v>
      </c>
      <c r="D8" s="4" t="n">
        <v>21226</v>
      </c>
      <c r="E8" s="4" t="n">
        <v>19591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Loss on Disposal of PP&amp;E</t>
        </is>
      </c>
      <c r="B9" s="4" t="n">
        <v>0</v>
      </c>
      <c r="C9" s="4" t="n">
        <v>0</v>
      </c>
      <c r="D9" s="4" t="n">
        <v>198</v>
      </c>
      <c r="E9" s="4" t="n">
        <v>173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Income Taxes-Net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Exchange Loss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Items</t>
        </is>
      </c>
      <c r="B12" s="4" t="n">
        <v>0</v>
      </c>
      <c r="C12" s="4" t="n">
        <v>37</v>
      </c>
      <c r="D12" s="4" t="n">
        <v>-28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Receivables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Inventories</t>
        </is>
      </c>
      <c r="B14" s="4" t="n">
        <v>-175174</v>
      </c>
      <c r="C14" s="4" t="n">
        <v>23604</v>
      </c>
      <c r="D14" s="4" t="n">
        <v>-126598</v>
      </c>
      <c r="E14" s="4" t="n">
        <v>77190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Prepaids</t>
        </is>
      </c>
      <c r="B15" s="4" t="n">
        <v>1072</v>
      </c>
      <c r="C15" s="4" t="n">
        <v>2214</v>
      </c>
      <c r="D15" s="4" t="n">
        <v>-7980</v>
      </c>
      <c r="E15" s="4" t="n">
        <v>1074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Accounts Payable</t>
        </is>
      </c>
      <c r="B16" s="4" t="n">
        <v>23966</v>
      </c>
      <c r="C16" s="4" t="n">
        <v>428</v>
      </c>
      <c r="D16" s="4" t="n">
        <v>5249</v>
      </c>
      <c r="E16" s="4" t="n">
        <v>-1170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Accrued Expenses</t>
        </is>
      </c>
      <c r="B17" s="4" t="n">
        <v>26484</v>
      </c>
      <c r="C17" s="4" t="n">
        <v>34644</v>
      </c>
      <c r="D17" s="4" t="n">
        <v>-8025</v>
      </c>
      <c r="E17" s="4" t="n">
        <v>85398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Promo</t>
        </is>
      </c>
      <c r="B18" s="4" t="n">
        <v>13379</v>
      </c>
      <c r="C18" s="4" t="n">
        <v>16940</v>
      </c>
      <c r="D18" s="4" t="n">
        <v>63810</v>
      </c>
      <c r="E18" s="4" t="n">
        <v>36161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1731</v>
      </c>
      <c r="C19" s="4" t="n">
        <v>2446</v>
      </c>
      <c r="D19" s="4" t="n">
        <v>55407</v>
      </c>
      <c r="E19" s="4" t="n">
        <v>-34616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ROU/Lease</t>
        </is>
      </c>
      <c r="B20" s="4" t="n">
        <v>29</v>
      </c>
      <c r="C20" s="4" t="n">
        <v>-366</v>
      </c>
      <c r="D20" s="4" t="n">
        <v>-204</v>
      </c>
      <c r="E20" s="4" t="n">
        <v>535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Deferred Revenue</t>
        </is>
      </c>
      <c r="B21" s="4" t="n">
        <v>0</v>
      </c>
      <c r="C21" s="4" t="n">
        <v>189463</v>
      </c>
      <c r="D21" s="4" t="n">
        <v>-12723</v>
      </c>
      <c r="E21" s="4" t="n">
        <v>-9513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Other Long-Term Assets</t>
        </is>
      </c>
      <c r="B22" s="4" t="n">
        <v>0</v>
      </c>
      <c r="C22" s="4" t="n">
        <v>37</v>
      </c>
      <c r="D22" s="4" t="n">
        <v>-28</v>
      </c>
      <c r="E22" s="4" t="n">
        <v>-4862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Note Receivable</t>
        </is>
      </c>
      <c r="B23" s="4" t="n">
        <v>0</v>
      </c>
      <c r="C23" s="4" t="n">
        <v>0</v>
      </c>
      <c r="D23" s="4" t="n">
        <v>0</v>
      </c>
      <c r="E23" s="4" t="n">
        <v>2318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Distributor Termination</t>
        </is>
      </c>
      <c r="B24" s="4" t="n">
        <v>0</v>
      </c>
      <c r="C24" s="4" t="n">
        <v>3986</v>
      </c>
      <c r="D24" s="4" t="n">
        <v>-3739</v>
      </c>
      <c r="E24" s="4" t="n">
        <v>-248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Non-Marketable Equity Securities</t>
        </is>
      </c>
      <c r="B27" s="4" t="n">
        <v>0</v>
      </c>
      <c r="C27" s="4" t="n">
        <v>0</v>
      </c>
      <c r="D27" s="4" t="n">
        <v>0</v>
      </c>
      <c r="E27" s="4" t="n">
        <v>-3000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Acquisition of Big Beverages</t>
        </is>
      </c>
      <c r="B28" s="4" t="n">
        <v>0</v>
      </c>
      <c r="C28" s="4" t="n">
        <v>0</v>
      </c>
      <c r="D28" s="4" t="n">
        <v>0</v>
      </c>
      <c r="E28" s="4" t="n">
        <v>-75336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PP&amp;E</t>
        </is>
      </c>
      <c r="B29" s="4" t="n">
        <v>-3150</v>
      </c>
      <c r="C29" s="4" t="n">
        <v>-8264</v>
      </c>
      <c r="D29" s="4" t="n">
        <v>-17433</v>
      </c>
      <c r="E29" s="4" t="n">
        <v>-23390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Repurchase of Common Stock (Tax Withholdings)</t>
        </is>
      </c>
      <c r="B32" s="4" t="n">
        <v>0</v>
      </c>
      <c r="C32" s="4" t="n">
        <v>0</v>
      </c>
      <c r="D32" s="4" t="n">
        <v>0</v>
      </c>
      <c r="E32" s="4" t="n">
        <v>-2261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Common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Proceeds from Preferred</t>
        </is>
      </c>
      <c r="B35" s="4" t="n">
        <v>0</v>
      </c>
      <c r="C35" s="4" t="n">
        <v>542018</v>
      </c>
      <c r="D35" s="4" t="n">
        <v>0</v>
      </c>
      <c r="E35" s="4" t="n">
        <v>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Dividends Paid on Preferred</t>
        </is>
      </c>
      <c r="B36" s="4" t="n">
        <v>0</v>
      </c>
      <c r="C36" s="4" t="n">
        <v>-23052</v>
      </c>
      <c r="D36" s="4" t="n">
        <v>-54924</v>
      </c>
      <c r="E36" s="4" t="n">
        <v>-27500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Cash Flow from Financing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7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</row>
    <row r="38">
      <c r="A38" s="3" t="inlineStr">
        <is>
          <t>FX Effect on Cash</t>
        </is>
      </c>
      <c r="B38" s="4" t="n">
        <v>-538</v>
      </c>
      <c r="C38" s="4" t="n">
        <v>50</v>
      </c>
      <c r="D38" s="4" t="n">
        <v>1257</v>
      </c>
      <c r="E38" s="4" t="n">
        <v>-997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Net Change in Cash</t>
        </is>
      </c>
      <c r="B39" s="4" t="n">
        <v>-26993</v>
      </c>
      <c r="C39" s="4" t="n">
        <v>1273344</v>
      </c>
      <c r="D39" s="4" t="n">
        <v>206108</v>
      </c>
      <c r="E39" s="4" t="n">
        <v>134209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Beginning</t>
        </is>
      </c>
      <c r="B40" s="4" t="n">
        <v>43248</v>
      </c>
      <c r="C40" s="4" t="n">
        <v>32510</v>
      </c>
      <c r="D40" s="4" t="n">
        <v>1305854</v>
      </c>
      <c r="E40" s="4" t="n">
        <v>755981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End</t>
        </is>
      </c>
      <c r="B41" s="4" t="n">
        <v>16255</v>
      </c>
      <c r="C41" s="4" t="n">
        <v>1305854</v>
      </c>
      <c r="D41" s="4" t="n">
        <v>1511962</v>
      </c>
      <c r="E41" s="4" t="n">
        <v>890190</v>
      </c>
      <c r="F41" s="5" t="n"/>
      <c r="G41" s="5" t="n"/>
      <c r="H41" s="5" t="n"/>
      <c r="I41" s="5" t="n"/>
      <c r="J41" s="5" t="n"/>
      <c r="K4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2026-04-23T16:15:55Z</dcterms:created>
  <dcterms:modified xsi:type="dcterms:W3CDTF">2026-04-23T16:15:55Z</dcterms:modified>
</cp:coreProperties>
</file>