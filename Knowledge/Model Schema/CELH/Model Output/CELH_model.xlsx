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>
        <f>E2*(1+'IS DRIVERS'!F2)</f>
        <v/>
      </c>
      <c r="G2" s="5">
        <f>F2*(1+'IS DRIVERS'!G2)</f>
        <v/>
      </c>
      <c r="H2" s="5">
        <f>G2*(1+'IS DRIVERS'!H2)</f>
        <v/>
      </c>
      <c r="I2" s="5">
        <f>H2*(1+'IS DRIVERS'!I2)</f>
        <v/>
      </c>
      <c r="J2" s="5">
        <f>I2*(1+'IS DRIVERS'!J2)</f>
        <v/>
      </c>
      <c r="K2" s="5">
        <f>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>
        <f>'IS DRIVERS'!F3*'ANNL P&amp;L'!F2</f>
        <v/>
      </c>
      <c r="G3" s="5">
        <f>'IS DRIVERS'!G3*'ANNL P&amp;L'!G2</f>
        <v/>
      </c>
      <c r="H3" s="5">
        <f>'IS DRIVERS'!H3*'ANNL P&amp;L'!H2</f>
        <v/>
      </c>
      <c r="I3" s="5">
        <f>'IS DRIVERS'!I3*'ANNL P&amp;L'!I2</f>
        <v/>
      </c>
      <c r="J3" s="5">
        <f>'IS DRIVERS'!J3*'ANNL P&amp;L'!J2</f>
        <v/>
      </c>
      <c r="K3" s="5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>
        <f>'IS DRIVERS'!F4*'ANNL P&amp;L'!F2</f>
        <v/>
      </c>
      <c r="G5" s="5">
        <f>'IS DRIVERS'!G4*'ANNL P&amp;L'!G2</f>
        <v/>
      </c>
      <c r="H5" s="5">
        <f>'IS DRIVERS'!H4*'ANNL P&amp;L'!H2</f>
        <v/>
      </c>
      <c r="I5" s="5">
        <f>'IS DRIVERS'!I4*'ANNL P&amp;L'!I2</f>
        <v/>
      </c>
      <c r="J5" s="5">
        <f>'IS DRIVERS'!J4*'ANNL P&amp;L'!J2</f>
        <v/>
      </c>
      <c r="K5" s="5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>
        <f>'IS DRIVERS'!F5</f>
        <v/>
      </c>
      <c r="G7" s="5">
        <f>'IS DRIVERS'!G5</f>
        <v/>
      </c>
      <c r="H7" s="5">
        <f>'IS DRIVERS'!H5</f>
        <v/>
      </c>
      <c r="I7" s="5">
        <f>'IS DRIVERS'!I5</f>
        <v/>
      </c>
      <c r="J7" s="5">
        <f>'IS DRIVERS'!J5</f>
        <v/>
      </c>
      <c r="K7" s="5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>
        <f>'IS DRIVERS'!F6</f>
        <v/>
      </c>
      <c r="G8" s="5">
        <f>'IS DRIVERS'!G6</f>
        <v/>
      </c>
      <c r="H8" s="5">
        <f>'IS DRIVERS'!H6</f>
        <v/>
      </c>
      <c r="I8" s="5">
        <f>'IS DRIVERS'!I6</f>
        <v/>
      </c>
      <c r="J8" s="5">
        <f>'IS DRIVERS'!J6</f>
        <v/>
      </c>
      <c r="K8" s="5">
        <f>'IS DRIVERS'!K6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>
        <f>'IS DRIVERS'!F7</f>
        <v/>
      </c>
      <c r="G9" s="5">
        <f>'IS DRIVERS'!G7</f>
        <v/>
      </c>
      <c r="H9" s="5">
        <f>'IS DRIVERS'!H7</f>
        <v/>
      </c>
      <c r="I9" s="5">
        <f>'IS DRIVERS'!I7</f>
        <v/>
      </c>
      <c r="J9" s="5">
        <f>'IS DRIVERS'!J7</f>
        <v/>
      </c>
      <c r="K9" s="5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>
        <f>'ANNL P&amp;L'!F10*'IS DRIVERS'!F8</f>
        <v/>
      </c>
      <c r="G11" s="5">
        <f>'ANNL P&amp;L'!G10*'IS DRIVERS'!G8</f>
        <v/>
      </c>
      <c r="H11" s="5">
        <f>'ANNL P&amp;L'!H10*'IS DRIVERS'!H8</f>
        <v/>
      </c>
      <c r="I11" s="5">
        <f>'ANNL P&amp;L'!I10*'IS DRIVERS'!I8</f>
        <v/>
      </c>
      <c r="J11" s="5">
        <f>'ANNL P&amp;L'!J10*'IS DRIVERS'!J8</f>
        <v/>
      </c>
      <c r="K11" s="5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>
        <f>'CASH FLOW'!F35</f>
        <v/>
      </c>
      <c r="G13" s="5">
        <f>'CASH FLOW'!G35</f>
        <v/>
      </c>
      <c r="H13" s="5">
        <f>'CASH FLOW'!H35</f>
        <v/>
      </c>
      <c r="I13" s="5">
        <f>'CASH FLOW'!I35</f>
        <v/>
      </c>
      <c r="J13" s="5">
        <f>'CASH FLOW'!J35</f>
        <v/>
      </c>
      <c r="K13" s="5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  <c r="K14" s="5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>
        <f>'ANNL P&amp;L'!F12+'ANNL P&amp;L'!F13+'ANNL P&amp;L'!F14</f>
        <v/>
      </c>
      <c r="G15" s="5">
        <f>'ANNL P&amp;L'!G12+'ANNL P&amp;L'!G13+'ANNL P&amp;L'!G14</f>
        <v/>
      </c>
      <c r="H15" s="5">
        <f>'ANNL P&amp;L'!H12+'ANNL P&amp;L'!H13+'ANNL P&amp;L'!H14</f>
        <v/>
      </c>
      <c r="I15" s="5">
        <f>'ANNL P&amp;L'!I12+'ANNL P&amp;L'!I13+'ANNL P&amp;L'!I14</f>
        <v/>
      </c>
      <c r="J15" s="5">
        <f>'ANNL P&amp;L'!J12+'ANNL P&amp;L'!J13+'ANNL P&amp;L'!J14</f>
        <v/>
      </c>
      <c r="K15" s="5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>
        <f>E18</f>
        <v/>
      </c>
      <c r="G18" s="5">
        <f>F18</f>
        <v/>
      </c>
      <c r="H18" s="5">
        <f>G18</f>
        <v/>
      </c>
      <c r="I18" s="5">
        <f>H18</f>
        <v/>
      </c>
      <c r="J18" s="5">
        <f>I18</f>
        <v/>
      </c>
      <c r="K18" s="5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>
        <f>E19</f>
        <v/>
      </c>
      <c r="G19" s="5">
        <f>F19</f>
        <v/>
      </c>
      <c r="H19" s="5">
        <f>G19</f>
        <v/>
      </c>
      <c r="I19" s="5">
        <f>H19</f>
        <v/>
      </c>
      <c r="J19" s="5">
        <f>I19</f>
        <v/>
      </c>
      <c r="K19" s="5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>
        <f>D2+'CASH FLOW'!E40</f>
        <v/>
      </c>
      <c r="F2" s="5">
        <f>E2+'CASH FLOW'!F40</f>
        <v/>
      </c>
      <c r="G2" s="5">
        <f>F2+'CASH FLOW'!G40</f>
        <v/>
      </c>
      <c r="H2" s="5">
        <f>G2+'CASH FLOW'!H40</f>
        <v/>
      </c>
      <c r="I2" s="5">
        <f>H2+'CASH FLOW'!I40</f>
        <v/>
      </c>
      <c r="J2" s="5">
        <f>I2+'CASH FLOW'!J40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>
        <f>D3</f>
        <v/>
      </c>
      <c r="F3" s="5">
        <f>E3</f>
        <v/>
      </c>
      <c r="G3" s="5">
        <f>F3</f>
        <v/>
      </c>
      <c r="H3" s="5">
        <f>G3</f>
        <v/>
      </c>
      <c r="I3" s="5">
        <f>H3</f>
        <v/>
      </c>
      <c r="J3" s="5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>
        <f>'BS DRIVERS'!E3*'ANNL P&amp;L'!E2/ASSUMPTIONS!$B$2</f>
        <v/>
      </c>
      <c r="F4" s="5">
        <f>'BS DRIVERS'!F3*'ANNL P&amp;L'!F2/ASSUMPTIONS!$B$2</f>
        <v/>
      </c>
      <c r="G4" s="5">
        <f>'BS DRIVERS'!G3*'ANNL P&amp;L'!G2/ASSUMPTIONS!$B$2</f>
        <v/>
      </c>
      <c r="H4" s="5">
        <f>'BS DRIVERS'!H3*'ANNL P&amp;L'!H2/ASSUMPTIONS!$B$2</f>
        <v/>
      </c>
      <c r="I4" s="5">
        <f>'BS DRIVERS'!I3*'ANNL P&amp;L'!I2/ASSUMPTIONS!$B$2</f>
        <v/>
      </c>
      <c r="J4" s="5">
        <f>'BS DRIVERS'!J3*'ANNL P&amp;L'!J2/ASSUMPTIONS!$B$2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>
        <f>'BS DRIVERS'!E5*'ANNL P&amp;L'!E2</f>
        <v/>
      </c>
      <c r="F5" s="5">
        <f>'BS DRIVERS'!F5*'ANNL P&amp;L'!F2</f>
        <v/>
      </c>
      <c r="G5" s="5">
        <f>'BS DRIVERS'!G5*'ANNL P&amp;L'!G2</f>
        <v/>
      </c>
      <c r="H5" s="5">
        <f>'BS DRIVERS'!H5*'ANNL P&amp;L'!H2</f>
        <v/>
      </c>
      <c r="I5" s="5">
        <f>'BS DRIVERS'!I5*'ANNL P&amp;L'!I2</f>
        <v/>
      </c>
      <c r="J5" s="5">
        <f>'BS DRIVERS'!J5*'ANNL P&amp;L'!J2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>
        <f>'BS DRIVERS'!E4*'ANNL P&amp;L'!E3/ASSUMPTIONS!$B$2</f>
        <v/>
      </c>
      <c r="F6" s="5">
        <f>'BS DRIVERS'!F4*'ANNL P&amp;L'!F3/ASSUMPTIONS!$B$2</f>
        <v/>
      </c>
      <c r="G6" s="5">
        <f>'BS DRIVERS'!G4*'ANNL P&amp;L'!G3/ASSUMPTIONS!$B$2</f>
        <v/>
      </c>
      <c r="H6" s="5">
        <f>'BS DRIVERS'!H4*'ANNL P&amp;L'!H3/ASSUMPTIONS!$B$2</f>
        <v/>
      </c>
      <c r="I6" s="5">
        <f>'BS DRIVERS'!I4*'ANNL P&amp;L'!I3/ASSUMPTIONS!$B$2</f>
        <v/>
      </c>
      <c r="J6" s="5">
        <f>'BS DRIVERS'!J4*'ANNL P&amp;L'!J3/ASSUMPTIONS!$B$2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>
        <f>'BS DRIVERS'!E6*'ANNL P&amp;L'!E2</f>
        <v/>
      </c>
      <c r="F7" s="5">
        <f>'BS DRIVERS'!F6*'ANNL P&amp;L'!F2</f>
        <v/>
      </c>
      <c r="G7" s="5">
        <f>'BS DRIVERS'!G6*'ANNL P&amp;L'!G2</f>
        <v/>
      </c>
      <c r="H7" s="5">
        <f>'BS DRIVERS'!H6*'ANNL P&amp;L'!H2</f>
        <v/>
      </c>
      <c r="I7" s="5">
        <f>'BS DRIVERS'!I6*'ANNL P&amp;L'!I2</f>
        <v/>
      </c>
      <c r="J7" s="5">
        <f>'BS DRIVERS'!J6*'ANNL P&amp;L'!J2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>
        <f>'BS DRIVERS'!E7*'ANNL P&amp;L'!E2</f>
        <v/>
      </c>
      <c r="F8" s="5">
        <f>'BS DRIVERS'!F7*'ANNL P&amp;L'!F2</f>
        <v/>
      </c>
      <c r="G8" s="5">
        <f>'BS DRIVERS'!G7*'ANNL P&amp;L'!G2</f>
        <v/>
      </c>
      <c r="H8" s="5">
        <f>'BS DRIVERS'!H7*'ANNL P&amp;L'!H2</f>
        <v/>
      </c>
      <c r="I8" s="5">
        <f>'BS DRIVERS'!I7*'ANNL P&amp;L'!I2</f>
        <v/>
      </c>
      <c r="J8" s="5">
        <f>'BS DRIVERS'!J7*'ANNL P&amp;L'!J2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>
        <f>D10</f>
        <v/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>
        <f>D11-'CASH FLOW'!E28-'CASH FLOW'!E3</f>
        <v/>
      </c>
      <c r="F11" s="5">
        <f>E11-'CASH FLOW'!F28-'CASH FLOW'!F3</f>
        <v/>
      </c>
      <c r="G11" s="5">
        <f>F11-'CASH FLOW'!G28-'CASH FLOW'!G3</f>
        <v/>
      </c>
      <c r="H11" s="5">
        <f>G11-'CASH FLOW'!H28-'CASH FLOW'!H3</f>
        <v/>
      </c>
      <c r="I11" s="5">
        <f>H11-'CASH FLOW'!I28-'CASH FLOW'!I3</f>
        <v/>
      </c>
      <c r="J11" s="5">
        <f>I11-'CASH FLOW'!J28-'CASH FLOW'!J3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>
        <f>D12</f>
        <v/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>
        <f>D13</f>
        <v/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>
        <f>D14</f>
        <v/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>
        <f>D15</f>
        <v/>
      </c>
      <c r="F15" s="5">
        <f>E15</f>
        <v/>
      </c>
      <c r="G15" s="5">
        <f>F15</f>
        <v/>
      </c>
      <c r="H15" s="5">
        <f>G15</f>
        <v/>
      </c>
      <c r="I15" s="5">
        <f>H15</f>
        <v/>
      </c>
      <c r="J15" s="5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>
        <f>D16-'CASH FLOW'!E6</f>
        <v/>
      </c>
      <c r="F16" s="5">
        <f>E16-'CASH FLOW'!F6</f>
        <v/>
      </c>
      <c r="G16" s="5">
        <f>F16-'CASH FLOW'!G6</f>
        <v/>
      </c>
      <c r="H16" s="5">
        <f>G16-'CASH FLOW'!H6</f>
        <v/>
      </c>
      <c r="I16" s="5">
        <f>H16-'CASH FLOW'!I6</f>
        <v/>
      </c>
      <c r="J16" s="5">
        <f>I16-'CASH FLOW'!J6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>
        <f>D17</f>
        <v/>
      </c>
      <c r="F17" s="5">
        <f>E17</f>
        <v/>
      </c>
      <c r="G17" s="5">
        <f>F17</f>
        <v/>
      </c>
      <c r="H17" s="5">
        <f>G17</f>
        <v/>
      </c>
      <c r="I17" s="5">
        <f>H17</f>
        <v/>
      </c>
      <c r="J17" s="5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>
        <f>'BS DRIVERS'!E9*'ANNL P&amp;L'!E2</f>
        <v/>
      </c>
      <c r="F18" s="5">
        <f>'BS DRIVERS'!F9*'ANNL P&amp;L'!F2</f>
        <v/>
      </c>
      <c r="G18" s="5">
        <f>'BS DRIVERS'!G9*'ANNL P&amp;L'!G2</f>
        <v/>
      </c>
      <c r="H18" s="5">
        <f>'BS DRIVERS'!H9*'ANNL P&amp;L'!H2</f>
        <v/>
      </c>
      <c r="I18" s="5">
        <f>'BS DRIVERS'!I9*'ANNL P&amp;L'!I2</f>
        <v/>
      </c>
      <c r="J18" s="5">
        <f>'BS DRIVERS'!J9*'ANNL P&amp;L'!J2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>
        <f>'BS DRIVERS'!E11*'ANNL P&amp;L'!E3/ASSUMPTIONS!$B$2</f>
        <v/>
      </c>
      <c r="F20" s="5">
        <f>'BS DRIVERS'!F11*'ANNL P&amp;L'!F3/ASSUMPTIONS!$B$2</f>
        <v/>
      </c>
      <c r="G20" s="5">
        <f>'BS DRIVERS'!G11*'ANNL P&amp;L'!G3/ASSUMPTIONS!$B$2</f>
        <v/>
      </c>
      <c r="H20" s="5">
        <f>'BS DRIVERS'!H11*'ANNL P&amp;L'!H3/ASSUMPTIONS!$B$2</f>
        <v/>
      </c>
      <c r="I20" s="5">
        <f>'BS DRIVERS'!I11*'ANNL P&amp;L'!I3/ASSUMPTIONS!$B$2</f>
        <v/>
      </c>
      <c r="J20" s="5">
        <f>'BS DRIVERS'!J11*'ANNL P&amp;L'!J3/ASSUMPTIONS!$B$2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>
        <f>'BS DRIVERS'!E12*'ANNL P&amp;L'!E2</f>
        <v/>
      </c>
      <c r="F21" s="5">
        <f>'BS DRIVERS'!F12*'ANNL P&amp;L'!F2</f>
        <v/>
      </c>
      <c r="G21" s="5">
        <f>'BS DRIVERS'!G12*'ANNL P&amp;L'!G2</f>
        <v/>
      </c>
      <c r="H21" s="5">
        <f>'BS DRIVERS'!H12*'ANNL P&amp;L'!H2</f>
        <v/>
      </c>
      <c r="I21" s="5">
        <f>'BS DRIVERS'!I12*'ANNL P&amp;L'!I2</f>
        <v/>
      </c>
      <c r="J21" s="5">
        <f>'BS DRIVERS'!J12*'ANNL P&amp;L'!J2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>
        <f>'BS DRIVERS'!E13*'ANNL P&amp;L'!E2</f>
        <v/>
      </c>
      <c r="F22" s="5">
        <f>'BS DRIVERS'!F13*'ANNL P&amp;L'!F2</f>
        <v/>
      </c>
      <c r="G22" s="5">
        <f>'BS DRIVERS'!G13*'ANNL P&amp;L'!G2</f>
        <v/>
      </c>
      <c r="H22" s="5">
        <f>'BS DRIVERS'!H13*'ANNL P&amp;L'!H2</f>
        <v/>
      </c>
      <c r="I22" s="5">
        <f>'BS DRIVERS'!I13*'ANNL P&amp;L'!I2</f>
        <v/>
      </c>
      <c r="J22" s="5">
        <f>'BS DRIVERS'!J13*'ANNL P&amp;L'!J2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>
        <f>'BS DRIVERS'!E14*'ANNL P&amp;L'!E2</f>
        <v/>
      </c>
      <c r="F23" s="5">
        <f>'BS DRIVERS'!F14*'ANNL P&amp;L'!F2</f>
        <v/>
      </c>
      <c r="G23" s="5">
        <f>'BS DRIVERS'!G14*'ANNL P&amp;L'!G2</f>
        <v/>
      </c>
      <c r="H23" s="5">
        <f>'BS DRIVERS'!H14*'ANNL P&amp;L'!H2</f>
        <v/>
      </c>
      <c r="I23" s="5">
        <f>'BS DRIVERS'!I14*'ANNL P&amp;L'!I2</f>
        <v/>
      </c>
      <c r="J23" s="5">
        <f>'BS DRIVERS'!J14*'ANNL P&amp;L'!J2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>
        <f>'BS DRIVERS'!E15*'ANNL P&amp;L'!E2</f>
        <v/>
      </c>
      <c r="F24" s="5">
        <f>'BS DRIVERS'!F15*'ANNL P&amp;L'!F2</f>
        <v/>
      </c>
      <c r="G24" s="5">
        <f>'BS DRIVERS'!G15*'ANNL P&amp;L'!G2</f>
        <v/>
      </c>
      <c r="H24" s="5">
        <f>'BS DRIVERS'!H15*'ANNL P&amp;L'!H2</f>
        <v/>
      </c>
      <c r="I24" s="5">
        <f>'BS DRIVERS'!I15*'ANNL P&amp;L'!I2</f>
        <v/>
      </c>
      <c r="J24" s="5">
        <f>'BS DRIVERS'!J15*'ANNL P&amp;L'!J2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>
        <f>'BS DRIVERS'!E16*'ANNL P&amp;L'!E2</f>
        <v/>
      </c>
      <c r="F25" s="5">
        <f>'BS DRIVERS'!F16*'ANNL P&amp;L'!F2</f>
        <v/>
      </c>
      <c r="G25" s="5">
        <f>'BS DRIVERS'!G16*'ANNL P&amp;L'!G2</f>
        <v/>
      </c>
      <c r="H25" s="5">
        <f>'BS DRIVERS'!H16*'ANNL P&amp;L'!H2</f>
        <v/>
      </c>
      <c r="I25" s="5">
        <f>'BS DRIVERS'!I16*'ANNL P&amp;L'!I2</f>
        <v/>
      </c>
      <c r="J25" s="5">
        <f>'BS DRIVERS'!J16*'ANNL P&amp;L'!J2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>
        <f>'BS DRIVERS'!E17*'ANNL P&amp;L'!E2</f>
        <v/>
      </c>
      <c r="F26" s="5">
        <f>'BS DRIVERS'!F17*'ANNL P&amp;L'!F2</f>
        <v/>
      </c>
      <c r="G26" s="5">
        <f>'BS DRIVERS'!G17*'ANNL P&amp;L'!G2</f>
        <v/>
      </c>
      <c r="H26" s="5">
        <f>'BS DRIVERS'!H17*'ANNL P&amp;L'!H2</f>
        <v/>
      </c>
      <c r="I26" s="5">
        <f>'BS DRIVERS'!I17*'ANNL P&amp;L'!I2</f>
        <v/>
      </c>
      <c r="J26" s="5">
        <f>'BS DRIVERS'!J17*'ANNL P&amp;L'!J2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>
        <f>'BS DRIVERS'!E18*'ANNL P&amp;L'!E2</f>
        <v/>
      </c>
      <c r="F27" s="5">
        <f>'BS DRIVERS'!F18*'ANNL P&amp;L'!F2</f>
        <v/>
      </c>
      <c r="G27" s="5">
        <f>'BS DRIVERS'!G18*'ANNL P&amp;L'!G2</f>
        <v/>
      </c>
      <c r="H27" s="5">
        <f>'BS DRIVERS'!H18*'ANNL P&amp;L'!H2</f>
        <v/>
      </c>
      <c r="I27" s="5">
        <f>'BS DRIVERS'!I18*'ANNL P&amp;L'!I2</f>
        <v/>
      </c>
      <c r="J27" s="5">
        <f>'BS DRIVERS'!J18*'ANNL P&amp;L'!J2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>
        <f>'BS DRIVERS'!E19*'ANNL P&amp;L'!E2</f>
        <v/>
      </c>
      <c r="F28" s="5">
        <f>'BS DRIVERS'!F19*'ANNL P&amp;L'!F2</f>
        <v/>
      </c>
      <c r="G28" s="5">
        <f>'BS DRIVERS'!G19*'ANNL P&amp;L'!G2</f>
        <v/>
      </c>
      <c r="H28" s="5">
        <f>'BS DRIVERS'!H19*'ANNL P&amp;L'!H2</f>
        <v/>
      </c>
      <c r="I28" s="5">
        <f>'BS DRIVERS'!I19*'ANNL P&amp;L'!I2</f>
        <v/>
      </c>
      <c r="J28" s="5">
        <f>'BS DRIVERS'!J19*'ANNL P&amp;L'!J2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>
        <f>D30</f>
        <v/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>
        <f>D31</f>
        <v/>
      </c>
      <c r="F31" s="5">
        <f>E31</f>
        <v/>
      </c>
      <c r="G31" s="5">
        <f>F31</f>
        <v/>
      </c>
      <c r="H31" s="5">
        <f>G31</f>
        <v/>
      </c>
      <c r="I31" s="5">
        <f>H31</f>
        <v/>
      </c>
      <c r="J31" s="5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>
        <f>D32</f>
        <v/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>
        <f>D33</f>
        <v/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>
        <f>D36</f>
        <v/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>
        <f>D37+'CASH FLOW'!E9</f>
        <v/>
      </c>
      <c r="F37" s="5">
        <f>E37+'CASH FLOW'!F9</f>
        <v/>
      </c>
      <c r="G37" s="5">
        <f>F37+'CASH FLOW'!G9</f>
        <v/>
      </c>
      <c r="H37" s="5">
        <f>G37+'CASH FLOW'!H9</f>
        <v/>
      </c>
      <c r="I37" s="5">
        <f>H37+'CASH FLOW'!I9</f>
        <v/>
      </c>
      <c r="J37" s="5">
        <f>I37+'CASH FLOW'!J9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>
        <f>D38</f>
        <v/>
      </c>
      <c r="F38" s="5">
        <f>E38</f>
        <v/>
      </c>
      <c r="G38" s="5">
        <f>F38</f>
        <v/>
      </c>
      <c r="H38" s="5">
        <f>G38</f>
        <v/>
      </c>
      <c r="I38" s="5">
        <f>H38</f>
        <v/>
      </c>
      <c r="J38" s="5">
        <f>I38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>
        <f>D39+'ANNL P&amp;L'!E12+'CASH FLOW'!E35</f>
        <v/>
      </c>
      <c r="F39" s="5">
        <f>E39+'ANNL P&amp;L'!F12+'CASH FLOW'!F35</f>
        <v/>
      </c>
      <c r="G39" s="5">
        <f>F39+'ANNL P&amp;L'!G12+'CASH FLOW'!G35</f>
        <v/>
      </c>
      <c r="H39" s="5">
        <f>G39+'ANNL P&amp;L'!H12+'CASH FLOW'!H35</f>
        <v/>
      </c>
      <c r="I39" s="5">
        <f>H39+'ANNL P&amp;L'!I12+'CASH FLOW'!I35</f>
        <v/>
      </c>
      <c r="J39" s="5">
        <f>I39+'ANNL P&amp;L'!J12+'CASH FLOW'!J35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>
        <f>'ANNL P&amp;L'!F12</f>
        <v/>
      </c>
      <c r="G2" s="5">
        <f>'ANNL P&amp;L'!G12</f>
        <v/>
      </c>
      <c r="H2" s="5">
        <f>'ANNL P&amp;L'!H12</f>
        <v/>
      </c>
      <c r="I2" s="5">
        <f>'ANNL P&amp;L'!I12</f>
        <v/>
      </c>
      <c r="J2" s="5">
        <f>'ANNL P&amp;L'!J12</f>
        <v/>
      </c>
      <c r="K2" s="5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>
        <f>'CF DRIVERS'!F2*'BALANCE SHEET'!D11</f>
        <v/>
      </c>
      <c r="G3" s="5">
        <f>'CF DRIVERS'!G2*'BALANCE SHEET'!E11</f>
        <v/>
      </c>
      <c r="H3" s="5">
        <f>'CF DRIVERS'!H2*'BALANCE SHEET'!F11</f>
        <v/>
      </c>
      <c r="I3" s="5">
        <f>'CF DRIVERS'!I2*'BALANCE SHEET'!G11</f>
        <v/>
      </c>
      <c r="J3" s="5">
        <f>'CF DRIVERS'!J2*'BALANCE SHEET'!H11</f>
        <v/>
      </c>
      <c r="K3" s="5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>
        <f>E4</f>
        <v/>
      </c>
      <c r="G4" s="5">
        <f>F4</f>
        <v/>
      </c>
      <c r="H4" s="5">
        <f>G4</f>
        <v/>
      </c>
      <c r="I4" s="5">
        <f>H4</f>
        <v/>
      </c>
      <c r="J4" s="5">
        <f>I4</f>
        <v/>
      </c>
      <c r="K4" s="5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>
        <f>E5</f>
        <v/>
      </c>
      <c r="G5" s="5">
        <f>F5</f>
        <v/>
      </c>
      <c r="H5" s="5">
        <f>G5</f>
        <v/>
      </c>
      <c r="I5" s="5">
        <f>H5</f>
        <v/>
      </c>
      <c r="J5" s="5">
        <f>I5</f>
        <v/>
      </c>
      <c r="K5" s="5">
        <f>J5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>
        <f>E6</f>
        <v/>
      </c>
      <c r="G6" s="5">
        <f>F6</f>
        <v/>
      </c>
      <c r="H6" s="5">
        <f>G6</f>
        <v/>
      </c>
      <c r="I6" s="5">
        <f>H6</f>
        <v/>
      </c>
      <c r="J6" s="5">
        <f>I6</f>
        <v/>
      </c>
      <c r="K6" s="5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>
        <f>E7</f>
        <v/>
      </c>
      <c r="G7" s="5">
        <f>F7</f>
        <v/>
      </c>
      <c r="H7" s="5">
        <f>G7</f>
        <v/>
      </c>
      <c r="I7" s="5">
        <f>H7</f>
        <v/>
      </c>
      <c r="J7" s="5">
        <f>I7</f>
        <v/>
      </c>
      <c r="K7" s="5">
        <f>J7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>
        <f>E8</f>
        <v/>
      </c>
      <c r="G8" s="5">
        <f>F8</f>
        <v/>
      </c>
      <c r="H8" s="5">
        <f>G8</f>
        <v/>
      </c>
      <c r="I8" s="5">
        <f>H8</f>
        <v/>
      </c>
      <c r="J8" s="5">
        <f>I8</f>
        <v/>
      </c>
      <c r="K8" s="5">
        <f>J8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>
        <f>'CF DRIVERS'!F3</f>
        <v/>
      </c>
      <c r="G9" s="5">
        <f>'CF DRIVERS'!G3</f>
        <v/>
      </c>
      <c r="H9" s="5">
        <f>'CF DRIVERS'!H3</f>
        <v/>
      </c>
      <c r="I9" s="5">
        <f>'CF DRIVERS'!I3</f>
        <v/>
      </c>
      <c r="J9" s="5">
        <f>'CF DRIVERS'!J3</f>
        <v/>
      </c>
      <c r="K9" s="5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  <c r="K10" s="5">
        <f>J10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>
        <f>E11</f>
        <v/>
      </c>
      <c r="G11" s="5">
        <f>F11</f>
        <v/>
      </c>
      <c r="H11" s="5">
        <f>G11</f>
        <v/>
      </c>
      <c r="I11" s="5">
        <f>H11</f>
        <v/>
      </c>
      <c r="J11" s="5">
        <f>I11</f>
        <v/>
      </c>
      <c r="K11" s="5">
        <f>J11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  <c r="K12" s="5">
        <f>J12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  <c r="K13" s="5">
        <f>J13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>
        <f>-('BALANCE SHEET'!E4-'BALANCE SHEET'!D4)</f>
        <v/>
      </c>
      <c r="G14" s="5">
        <f>-('BALANCE SHEET'!F4-'BALANCE SHEET'!E4)</f>
        <v/>
      </c>
      <c r="H14" s="5">
        <f>-('BALANCE SHEET'!G4-'BALANCE SHEET'!F4)</f>
        <v/>
      </c>
      <c r="I14" s="5">
        <f>-('BALANCE SHEET'!H4-'BALANCE SHEET'!G4)</f>
        <v/>
      </c>
      <c r="J14" s="5">
        <f>-('BALANCE SHEET'!I4-'BALANCE SHEET'!H4)</f>
        <v/>
      </c>
      <c r="K14" s="5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>
        <f>-('BALANCE SHEET'!E5-'BALANCE SHEET'!D5)</f>
        <v/>
      </c>
      <c r="G15" s="5">
        <f>-('BALANCE SHEET'!F5-'BALANCE SHEET'!E5)</f>
        <v/>
      </c>
      <c r="H15" s="5">
        <f>-('BALANCE SHEET'!G5-'BALANCE SHEET'!F5)</f>
        <v/>
      </c>
      <c r="I15" s="5">
        <f>-('BALANCE SHEET'!H5-'BALANCE SHEET'!G5)</f>
        <v/>
      </c>
      <c r="J15" s="5">
        <f>-('BALANCE SHEET'!I5-'BALANCE SHEET'!H5)</f>
        <v/>
      </c>
      <c r="K15" s="5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>
        <f>-('BALANCE SHEET'!E6-'BALANCE SHEET'!D6)</f>
        <v/>
      </c>
      <c r="G16" s="5">
        <f>-('BALANCE SHEET'!F6-'BALANCE SHEET'!E6)</f>
        <v/>
      </c>
      <c r="H16" s="5">
        <f>-('BALANCE SHEET'!G6-'BALANCE SHEET'!F6)</f>
        <v/>
      </c>
      <c r="I16" s="5">
        <f>-('BALANCE SHEET'!H6-'BALANCE SHEET'!G6)</f>
        <v/>
      </c>
      <c r="J16" s="5">
        <f>-('BALANCE SHEET'!I6-'BALANCE SHEET'!H6)</f>
        <v/>
      </c>
      <c r="K16" s="5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>
        <f>-('BALANCE SHEET'!E8-'BALANCE SHEET'!D8)</f>
        <v/>
      </c>
      <c r="G17" s="5">
        <f>-('BALANCE SHEET'!F8-'BALANCE SHEET'!E8)</f>
        <v/>
      </c>
      <c r="H17" s="5">
        <f>-('BALANCE SHEET'!G8-'BALANCE SHEET'!F8)</f>
        <v/>
      </c>
      <c r="I17" s="5">
        <f>-('BALANCE SHEET'!H8-'BALANCE SHEET'!G8)</f>
        <v/>
      </c>
      <c r="J17" s="5">
        <f>-('BALANCE SHEET'!I8-'BALANCE SHEET'!H8)</f>
        <v/>
      </c>
      <c r="K17" s="5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>
        <f>('BALANCE SHEET'!E20-'BALANCE SHEET'!D20)</f>
        <v/>
      </c>
      <c r="G18" s="5">
        <f>('BALANCE SHEET'!F20-'BALANCE SHEET'!E20)</f>
        <v/>
      </c>
      <c r="H18" s="5">
        <f>('BALANCE SHEET'!G20-'BALANCE SHEET'!F20)</f>
        <v/>
      </c>
      <c r="I18" s="5">
        <f>('BALANCE SHEET'!H20-'BALANCE SHEET'!G20)</f>
        <v/>
      </c>
      <c r="J18" s="5">
        <f>('BALANCE SHEET'!I20-'BALANCE SHEET'!H20)</f>
        <v/>
      </c>
      <c r="K18" s="5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>
        <f>('BALANCE SHEET'!E21-'BALANCE SHEET'!D21)</f>
        <v/>
      </c>
      <c r="G19" s="5">
        <f>('BALANCE SHEET'!F21-'BALANCE SHEET'!E21)</f>
        <v/>
      </c>
      <c r="H19" s="5">
        <f>('BALANCE SHEET'!G21-'BALANCE SHEET'!F21)</f>
        <v/>
      </c>
      <c r="I19" s="5">
        <f>('BALANCE SHEET'!H21-'BALANCE SHEET'!G21)</f>
        <v/>
      </c>
      <c r="J19" s="5">
        <f>('BALANCE SHEET'!I21-'BALANCE SHEET'!H21)</f>
        <v/>
      </c>
      <c r="K19" s="5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>
        <f>('BALANCE SHEET'!E28-'BALANCE SHEET'!D28)</f>
        <v/>
      </c>
      <c r="G20" s="5">
        <f>('BALANCE SHEET'!F28-'BALANCE SHEET'!E28)</f>
        <v/>
      </c>
      <c r="H20" s="5">
        <f>('BALANCE SHEET'!G28-'BALANCE SHEET'!F28)</f>
        <v/>
      </c>
      <c r="I20" s="5">
        <f>('BALANCE SHEET'!H28-'BALANCE SHEET'!G28)</f>
        <v/>
      </c>
      <c r="J20" s="5">
        <f>('BALANCE SHEET'!I28-'BALANCE SHEET'!H28)</f>
        <v/>
      </c>
      <c r="K20" s="5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>
        <f>('BALANCE SHEET'!E24-'BALANCE SHEET'!D24)</f>
        <v/>
      </c>
      <c r="G21" s="5">
        <f>('BALANCE SHEET'!F24-'BALANCE SHEET'!E24)</f>
        <v/>
      </c>
      <c r="H21" s="5">
        <f>('BALANCE SHEET'!G24-'BALANCE SHEET'!F24)</f>
        <v/>
      </c>
      <c r="I21" s="5">
        <f>('BALANCE SHEET'!H24-'BALANCE SHEET'!G24)</f>
        <v/>
      </c>
      <c r="J21" s="5">
        <f>('BALANCE SHEET'!I24-'BALANCE SHEET'!H24)</f>
        <v/>
      </c>
      <c r="K21" s="5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>
        <f>('BALANCE SHEET'!E23-'BALANCE SHEET'!D23)</f>
        <v/>
      </c>
      <c r="G22" s="5">
        <f>('BALANCE SHEET'!F23-'BALANCE SHEET'!E23)</f>
        <v/>
      </c>
      <c r="H22" s="5">
        <f>('BALANCE SHEET'!G23-'BALANCE SHEET'!F23)</f>
        <v/>
      </c>
      <c r="I22" s="5">
        <f>('BALANCE SHEET'!H23-'BALANCE SHEET'!G23)</f>
        <v/>
      </c>
      <c r="J22" s="5">
        <f>('BALANCE SHEET'!I23-'BALANCE SHEET'!H23)</f>
        <v/>
      </c>
      <c r="K22" s="5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>
        <f>E23</f>
        <v/>
      </c>
      <c r="G23" s="5">
        <f>F23</f>
        <v/>
      </c>
      <c r="H23" s="5">
        <f>G23</f>
        <v/>
      </c>
      <c r="I23" s="5">
        <f>H23</f>
        <v/>
      </c>
      <c r="J23" s="5">
        <f>I23</f>
        <v/>
      </c>
      <c r="K23" s="5">
        <f>J23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>
        <f>(('BALANCE SHEET'!E27+'BALANCE SHEET'!E33)-('BALANCE SHEET'!D27+'BALANCE SHEET'!D33))</f>
        <v/>
      </c>
      <c r="G24" s="5">
        <f>(('BALANCE SHEET'!F27+'BALANCE SHEET'!F33)-('BALANCE SHEET'!E27+'BALANCE SHEET'!E33))</f>
        <v/>
      </c>
      <c r="H24" s="5">
        <f>(('BALANCE SHEET'!G27+'BALANCE SHEET'!G33)-('BALANCE SHEET'!F27+'BALANCE SHEET'!F33))</f>
        <v/>
      </c>
      <c r="I24" s="5">
        <f>(('BALANCE SHEET'!H27+'BALANCE SHEET'!H33)-('BALANCE SHEET'!G27+'BALANCE SHEET'!G33))</f>
        <v/>
      </c>
      <c r="J24" s="5">
        <f>(('BALANCE SHEET'!I27+'BALANCE SHEET'!I33)-('BALANCE SHEET'!H27+'BALANCE SHEET'!H33))</f>
        <v/>
      </c>
      <c r="K24" s="5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>
        <f>-('BALANCE SHEET'!E18-'BALANCE SHEET'!D18)</f>
        <v/>
      </c>
      <c r="G25" s="5">
        <f>-('BALANCE SHEET'!F18-'BALANCE SHEET'!E18)</f>
        <v/>
      </c>
      <c r="H25" s="5">
        <f>-('BALANCE SHEET'!G18-'BALANCE SHEET'!F18)</f>
        <v/>
      </c>
      <c r="I25" s="5">
        <f>-('BALANCE SHEET'!H18-'BALANCE SHEET'!G18)</f>
        <v/>
      </c>
      <c r="J25" s="5">
        <f>-('BALANCE SHEET'!I18-'BALANCE SHEET'!H18)</f>
        <v/>
      </c>
      <c r="K25" s="5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>
        <f>E27</f>
        <v/>
      </c>
      <c r="G27" s="5">
        <f>F27</f>
        <v/>
      </c>
      <c r="H27" s="5">
        <f>G27</f>
        <v/>
      </c>
      <c r="I27" s="5">
        <f>H27</f>
        <v/>
      </c>
      <c r="J27" s="5">
        <f>I27</f>
        <v/>
      </c>
      <c r="K27" s="5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>
        <f>'CF DRIVERS'!F4*'BALANCE SHEET'!D11</f>
        <v/>
      </c>
      <c r="G28" s="5">
        <f>'CF DRIVERS'!G4*'BALANCE SHEET'!E11</f>
        <v/>
      </c>
      <c r="H28" s="5">
        <f>'CF DRIVERS'!H4*'BALANCE SHEET'!F11</f>
        <v/>
      </c>
      <c r="I28" s="5">
        <f>'CF DRIVERS'!I4*'BALANCE SHEET'!G11</f>
        <v/>
      </c>
      <c r="J28" s="5">
        <f>'CF DRIVERS'!J4*'BALANCE SHEET'!H11</f>
        <v/>
      </c>
      <c r="K28" s="5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  <c r="K32" s="5">
        <f>J32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  <c r="K33" s="5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>
        <f>E34</f>
        <v/>
      </c>
      <c r="G34" s="5">
        <f>F34</f>
        <v/>
      </c>
      <c r="H34" s="5">
        <f>G34</f>
        <v/>
      </c>
      <c r="I34" s="5">
        <f>H34</f>
        <v/>
      </c>
      <c r="J34" s="5">
        <f>I34</f>
        <v/>
      </c>
      <c r="K34" s="5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>
        <f>'CF DRIVERS'!F5*'BALANCE SHEET'!E35</f>
        <v/>
      </c>
      <c r="G35" s="5">
        <f>'CF DRIVERS'!G5*'BALANCE SHEET'!F35</f>
        <v/>
      </c>
      <c r="H35" s="5">
        <f>'CF DRIVERS'!H5*'BALANCE SHEET'!G35</f>
        <v/>
      </c>
      <c r="I35" s="5">
        <f>'CF DRIVERS'!I5*'BALANCE SHEET'!H35</f>
        <v/>
      </c>
      <c r="J35" s="5">
        <f>'CF DRIVERS'!J5*'BALANCE SHEET'!I35</f>
        <v/>
      </c>
      <c r="K35" s="5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  <c r="K36" s="5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>
        <f>'CF DRIVERS'!F7</f>
        <v/>
      </c>
      <c r="G37" s="5">
        <f>'CF DRIVERS'!G7</f>
        <v/>
      </c>
      <c r="H37" s="5">
        <f>'CF DRIVERS'!H7</f>
        <v/>
      </c>
      <c r="I37" s="5">
        <f>'CF DRIVERS'!I7</f>
        <v/>
      </c>
      <c r="J37" s="5">
        <f>'CF DRIVERS'!J7</f>
        <v/>
      </c>
      <c r="K37" s="5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>
        <f>E39</f>
        <v/>
      </c>
      <c r="G39" s="5">
        <f>F39</f>
        <v/>
      </c>
      <c r="H39" s="5">
        <f>G39</f>
        <v/>
      </c>
      <c r="I39" s="5">
        <f>H39</f>
        <v/>
      </c>
      <c r="J39" s="5">
        <f>I39</f>
        <v/>
      </c>
      <c r="K39" s="5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>
        <f>'CASH FLOW'!F26+'CASH FLOW'!F31+'CASH FLOW'!F38+'CASH FLOW'!F39</f>
        <v/>
      </c>
      <c r="G40" s="5">
        <f>'CASH FLOW'!G26+'CASH FLOW'!G31+'CASH FLOW'!G38+'CASH FLOW'!G39</f>
        <v/>
      </c>
      <c r="H40" s="5">
        <f>'CASH FLOW'!H26+'CASH FLOW'!H31+'CASH FLOW'!H38+'CASH FLOW'!H39</f>
        <v/>
      </c>
      <c r="I40" s="5">
        <f>'CASH FLOW'!I26+'CASH FLOW'!I31+'CASH FLOW'!I38+'CASH FLOW'!I39</f>
        <v/>
      </c>
      <c r="J40" s="5">
        <f>'CASH FLOW'!J26+'CASH FLOW'!J31+'CASH FLOW'!J38+'CASH FLOW'!J39</f>
        <v/>
      </c>
      <c r="K40" s="5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>
        <f>'CASH FLOW'!E42</f>
        <v/>
      </c>
      <c r="G41" s="5">
        <f>'CASH FLOW'!F42</f>
        <v/>
      </c>
      <c r="H41" s="5">
        <f>'CASH FLOW'!G42</f>
        <v/>
      </c>
      <c r="I41" s="5">
        <f>'CASH FLOW'!H42</f>
        <v/>
      </c>
      <c r="J41" s="5">
        <f>'CASH FLOW'!I42</f>
        <v/>
      </c>
      <c r="K41" s="5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>
        <f>'CASH FLOW'!F41+'CASH FLOW'!F40</f>
        <v/>
      </c>
      <c r="G42" s="5">
        <f>'CASH FLOW'!G41+'CASH FLOW'!G40</f>
        <v/>
      </c>
      <c r="H42" s="5">
        <f>'CASH FLOW'!H41+'CASH FLOW'!H40</f>
        <v/>
      </c>
      <c r="I42" s="5">
        <f>'CASH FLOW'!I41+'CASH FLOW'!I40</f>
        <v/>
      </c>
      <c r="J42" s="5">
        <f>'CASH FLOW'!J41+'CASH FLOW'!J40</f>
        <v/>
      </c>
      <c r="K42" s="5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2026-04-23T23:46:04Z</dcterms:created>
  <dcterms:modified xsi:type="dcterms:W3CDTF">2026-04-23T23:46:04Z</dcterms:modified>
</cp:coreProperties>
</file>