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-&quot;"/>
    <numFmt numFmtId="165" formatCode="$#,##0_);($#,##0);&quot;$--&quot;_)"/>
    <numFmt numFmtId="166" formatCode="$#,##0.00_);($#,##0.0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(Revenue)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Selling and Marketing Expenses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Operating Profit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</t>
        </is>
      </c>
      <c r="B7" s="4" t="n">
        <v>307</v>
      </c>
      <c r="C7" s="4" t="n">
        <v>5529</v>
      </c>
      <c r="D7" s="4" t="n">
        <v>26629</v>
      </c>
      <c r="E7" s="4" t="n">
        <v>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exchange gain (loss)</t>
        </is>
      </c>
      <c r="B8" s="4" t="n">
        <v>-276</v>
      </c>
      <c r="C8" s="4" t="n">
        <v>-392</v>
      </c>
      <c r="D8" s="4" t="n">
        <v>-1246</v>
      </c>
      <c r="E8" s="4" t="n">
        <v>-1734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</t>
        </is>
      </c>
      <c r="B9" s="4" t="n">
        <v>0</v>
      </c>
      <c r="C9" s="4" t="n">
        <v>0</v>
      </c>
      <c r="D9" s="4" t="n">
        <v>0</v>
      </c>
      <c r="E9" s="4" t="n">
        <v>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</t>
        </is>
      </c>
      <c r="B10" s="6">
        <f>B6+SUM(B7:B9)</f>
        <v/>
      </c>
      <c r="C10" s="6">
        <f>C6+SUM(C7:C9)</f>
        <v/>
      </c>
      <c r="D10" s="6">
        <f>D6+SUM(D7:D9)</f>
        <v/>
      </c>
      <c r="E10" s="6">
        <f>E6+SUM(E7:E9)</f>
        <v/>
      </c>
      <c r="F10" s="7">
        <f>F6+SUM(F7:F9)</f>
        <v/>
      </c>
      <c r="G10" s="7">
        <f>G6+SUM(G7:G9)</f>
        <v/>
      </c>
      <c r="H10" s="7">
        <f>H6+SUM(H7:H9)</f>
        <v/>
      </c>
      <c r="I10" s="7">
        <f>I6+SUM(I7:I9)</f>
        <v/>
      </c>
      <c r="J10" s="7">
        <f>J6+SUM(J7:J9)</f>
        <v/>
      </c>
      <c r="K10" s="7">
        <f>K6+SUM(K7:K9)</f>
        <v/>
      </c>
    </row>
    <row r="11">
      <c r="A11" s="3" t="inlineStr">
        <is>
          <t>Income Taxes</t>
        </is>
      </c>
      <c r="B11" s="4" t="n">
        <v>7996</v>
      </c>
      <c r="C11" s="4" t="n">
        <v>-34618</v>
      </c>
      <c r="D11" s="4" t="n">
        <v>-64948</v>
      </c>
      <c r="E11" s="4" t="n">
        <v>-49976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7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</row>
    <row r="13">
      <c r="A13" s="3" t="inlineStr">
        <is>
          <t>Dividends on Series A Pref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Net Income to Common Shareholders</t>
        </is>
      </c>
      <c r="B14" s="4" t="n">
        <v>3937</v>
      </c>
      <c r="C14" s="4" t="n">
        <v>-198808</v>
      </c>
      <c r="D14" s="4" t="n">
        <v>181991</v>
      </c>
      <c r="E14" s="4" t="n">
        <v>107457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Income Allocated to Participating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GAAP EPS (Basic)</t>
        </is>
      </c>
      <c r="B16" s="8" t="n">
        <v>0.02</v>
      </c>
      <c r="C16" s="8" t="n">
        <v>-0.88</v>
      </c>
      <c r="D16" s="8" t="n">
        <v>0.79</v>
      </c>
      <c r="E16" s="8" t="n">
        <v>0.46</v>
      </c>
      <c r="F16" s="9" t="n"/>
      <c r="G16" s="9" t="n"/>
      <c r="H16" s="9" t="n"/>
      <c r="I16" s="9" t="n"/>
      <c r="J16" s="9" t="n"/>
      <c r="K16" s="9" t="n"/>
    </row>
    <row r="17">
      <c r="A17" s="3" t="inlineStr">
        <is>
          <t>Weighted Avg Shares Outstanding (Basic)</t>
        </is>
      </c>
      <c r="B17" s="4" t="n">
        <v>221343</v>
      </c>
      <c r="C17" s="4" t="n">
        <v>226947</v>
      </c>
      <c r="D17" s="4" t="n">
        <v>230784</v>
      </c>
      <c r="E17" s="4" t="n">
        <v>233667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GAAP EPS (Diluted)</t>
        </is>
      </c>
      <c r="B18" s="8" t="n">
        <v>0.02</v>
      </c>
      <c r="C18" s="8" t="n">
        <v>-0.88</v>
      </c>
      <c r="D18" s="8" t="n">
        <v>0.77</v>
      </c>
      <c r="E18" s="8" t="n">
        <v>0.45</v>
      </c>
      <c r="F18" s="9" t="n"/>
      <c r="G18" s="9" t="n"/>
      <c r="H18" s="9" t="n"/>
      <c r="I18" s="9" t="n"/>
      <c r="J18" s="9" t="n"/>
      <c r="K18" s="9" t="n"/>
    </row>
    <row r="19">
      <c r="A19" s="3" t="inlineStr">
        <is>
          <t>Weighted Avg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</t>
        </is>
      </c>
      <c r="B5" s="4" t="n">
        <v>6553</v>
      </c>
      <c r="C5" s="4" t="n">
        <v>2318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(Current)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Net PP&amp;E</t>
        </is>
      </c>
      <c r="B10" s="4" t="n">
        <v>10185</v>
      </c>
      <c r="C10" s="4" t="n">
        <v>24868</v>
      </c>
      <c r="D10" s="4" t="n">
        <v>55602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Deferred Tax Assets</t>
        </is>
      </c>
      <c r="B11" s="4" t="n">
        <v>501</v>
      </c>
      <c r="C11" s="4" t="n">
        <v>29518</v>
      </c>
      <c r="D11" s="4" t="n">
        <v>38699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Operating</t>
        </is>
      </c>
      <c r="B12" s="4" t="n">
        <v>972</v>
      </c>
      <c r="C12" s="4" t="n">
        <v>1957</v>
      </c>
      <c r="D12" s="4" t="n">
        <v>21606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ROU Assets - Finance</t>
        </is>
      </c>
      <c r="B13" s="4" t="n">
        <v>208</v>
      </c>
      <c r="C13" s="4" t="n">
        <v>208</v>
      </c>
      <c r="D13" s="4" t="n">
        <v>230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Deferred Other Costs (NC)</t>
        </is>
      </c>
      <c r="B14" s="4" t="n">
        <v>262462</v>
      </c>
      <c r="C14" s="4" t="n">
        <v>248338</v>
      </c>
      <c r="D14" s="4" t="n">
        <v>234215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Intangibles</t>
        </is>
      </c>
      <c r="B15" s="4" t="n">
        <v>12254</v>
      </c>
      <c r="C15" s="4" t="n">
        <v>12139</v>
      </c>
      <c r="D15" s="4" t="n">
        <v>12213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Goodwill</t>
        </is>
      </c>
      <c r="B16" s="4" t="n">
        <v>13679</v>
      </c>
      <c r="C16" s="4" t="n">
        <v>14173</v>
      </c>
      <c r="D16" s="4" t="n">
        <v>71582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Other Long-Term Assets</t>
        </is>
      </c>
      <c r="B17" s="4" t="n">
        <v>263</v>
      </c>
      <c r="C17" s="4" t="n">
        <v>291</v>
      </c>
      <c r="D17" s="4" t="n">
        <v>8154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Total Assets</t>
        </is>
      </c>
      <c r="B18" s="6">
        <f>B9+SUM(B10:B17)</f>
        <v/>
      </c>
      <c r="C18" s="6">
        <f>C9+SUM(C10:C17)</f>
        <v/>
      </c>
      <c r="D18" s="6">
        <f>D9+SUM(D10:D17)</f>
        <v/>
      </c>
      <c r="E18" s="7">
        <f>E9+SUM(E10:E17)</f>
        <v/>
      </c>
      <c r="F18" s="7">
        <f>F9+SUM(F10:F17)</f>
        <v/>
      </c>
      <c r="G18" s="7">
        <f>G9+SUM(G10:G17)</f>
        <v/>
      </c>
      <c r="H18" s="7">
        <f>H9+SUM(H10:H17)</f>
        <v/>
      </c>
      <c r="I18" s="7">
        <f>I9+SUM(I10:I17)</f>
        <v/>
      </c>
      <c r="J18" s="7">
        <f>J9+SUM(J10:J17)</f>
        <v/>
      </c>
    </row>
    <row r="19">
      <c r="A19" s="3" t="inlineStr">
        <is>
          <t>Accounts Payable</t>
        </is>
      </c>
      <c r="B19" s="4" t="n">
        <v>36248</v>
      </c>
      <c r="C19" s="4" t="n">
        <v>42840</v>
      </c>
      <c r="D19" s="4" t="n">
        <v>41287</v>
      </c>
      <c r="E19" s="5" t="n"/>
      <c r="F19" s="5" t="n"/>
      <c r="G19" s="5" t="n"/>
      <c r="H19" s="5" t="n"/>
      <c r="I19" s="5" t="n"/>
      <c r="J19" s="5" t="n"/>
    </row>
    <row r="20">
      <c r="A20" s="3" t="inlineStr">
        <is>
          <t>Accrued Expenses</t>
        </is>
      </c>
      <c r="B20" s="4" t="n">
        <v>69899</v>
      </c>
      <c r="C20" s="4" t="n">
        <v>62120</v>
      </c>
      <c r="D20" s="4" t="n">
        <v>148780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Accrued Promotional Allowance</t>
        </is>
      </c>
      <c r="B21" s="4" t="n">
        <v>35977</v>
      </c>
      <c r="C21" s="4" t="n">
        <v>99787</v>
      </c>
      <c r="D21" s="4" t="n">
        <v>135948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Lease Liability - Operating Current</t>
        </is>
      </c>
      <c r="B22" s="4" t="n">
        <v>987</v>
      </c>
      <c r="C22" s="4" t="n">
        <v>980</v>
      </c>
      <c r="D22" s="4" t="n">
        <v>3265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Lease Liability - Finance Current</t>
        </is>
      </c>
      <c r="B23" s="4" t="n">
        <v>232</v>
      </c>
      <c r="C23" s="4" t="n">
        <v>59</v>
      </c>
      <c r="D23" s="4" t="n">
        <v>100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Deferred Revenue (Current)</t>
        </is>
      </c>
      <c r="B24" s="4" t="n">
        <v>9675</v>
      </c>
      <c r="C24" s="4" t="n">
        <v>9513</v>
      </c>
      <c r="D24" s="4" t="n">
        <v>9513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Other Current Liabilities</t>
        </is>
      </c>
      <c r="B25" s="4" t="n">
        <v>3586</v>
      </c>
      <c r="C25" s="4" t="n">
        <v>10890</v>
      </c>
      <c r="D25" s="4" t="n">
        <v>15808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Income Taxes Payable</t>
        </is>
      </c>
      <c r="B26" s="4" t="n">
        <v>1193</v>
      </c>
      <c r="C26" s="4" t="n">
        <v>50424</v>
      </c>
      <c r="D26" s="4" t="n">
        <v>10834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Accrued Distributor Termination Fees</t>
        </is>
      </c>
      <c r="B27" s="4" t="n">
        <v>3986</v>
      </c>
      <c r="C27" s="4" t="n">
        <v>0</v>
      </c>
      <c r="D27" s="4" t="n">
        <v>0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Total Current Liabilities</t>
        </is>
      </c>
      <c r="B28" s="6">
        <f>SUM(B19:B27)</f>
        <v/>
      </c>
      <c r="C28" s="6">
        <f>SUM(C19:C27)</f>
        <v/>
      </c>
      <c r="D28" s="6">
        <f>SUM(D19:D27)</f>
        <v/>
      </c>
      <c r="E28" s="7">
        <f>SUM(E19:E27)</f>
        <v/>
      </c>
      <c r="F28" s="7">
        <f>SUM(F19:F27)</f>
        <v/>
      </c>
      <c r="G28" s="7">
        <f>SUM(G19:G27)</f>
        <v/>
      </c>
      <c r="H28" s="7">
        <f>SUM(H19:H27)</f>
        <v/>
      </c>
      <c r="I28" s="7">
        <f>SUM(I19:I27)</f>
        <v/>
      </c>
      <c r="J28" s="7">
        <f>SUM(J19:J27)</f>
        <v/>
      </c>
    </row>
    <row r="29">
      <c r="A29" s="3" t="inlineStr">
        <is>
          <t>Lease Liability - Operating NC</t>
        </is>
      </c>
      <c r="B29" s="4" t="n">
        <v>0</v>
      </c>
      <c r="C29" s="4" t="n">
        <v>955</v>
      </c>
      <c r="D29" s="4" t="n">
        <v>16674</v>
      </c>
      <c r="E29" s="5" t="n"/>
      <c r="F29" s="5" t="n"/>
      <c r="G29" s="5" t="n"/>
      <c r="H29" s="5" t="n"/>
      <c r="I29" s="5" t="n"/>
      <c r="J29" s="5" t="n"/>
    </row>
    <row r="30">
      <c r="A30" s="3" t="inlineStr">
        <is>
          <t>Lease Liability - Finance NC</t>
        </is>
      </c>
      <c r="B30" s="4" t="n">
        <v>0</v>
      </c>
      <c r="C30" s="4" t="n">
        <v>193</v>
      </c>
      <c r="D30" s="4" t="n">
        <v>211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Deferred Tax Liability</t>
        </is>
      </c>
      <c r="B31" s="4" t="n">
        <v>15919</v>
      </c>
      <c r="C31" s="4" t="n">
        <v>2880</v>
      </c>
      <c r="D31" s="4" t="n">
        <v>2330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Revenue (NC)</t>
        </is>
      </c>
      <c r="B32" s="4" t="n">
        <v>179788</v>
      </c>
      <c r="C32" s="4" t="n">
        <v>167227</v>
      </c>
      <c r="D32" s="4" t="n">
        <v>157714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Total Liabilities</t>
        </is>
      </c>
      <c r="B33" s="6">
        <f>B28+SUM(B29:B32)</f>
        <v/>
      </c>
      <c r="C33" s="6">
        <f>C28+SUM(C29:C32)</f>
        <v/>
      </c>
      <c r="D33" s="6">
        <f>D28+SUM(D29:D32)</f>
        <v/>
      </c>
      <c r="E33" s="7">
        <f>E28+SUM(E29:E32)</f>
        <v/>
      </c>
      <c r="F33" s="7">
        <f>F28+SUM(F29:F32)</f>
        <v/>
      </c>
      <c r="G33" s="7">
        <f>G28+SUM(G29:G32)</f>
        <v/>
      </c>
      <c r="H33" s="7">
        <f>H28+SUM(H29:H32)</f>
        <v/>
      </c>
      <c r="I33" s="7">
        <f>I28+SUM(I29:I32)</f>
        <v/>
      </c>
      <c r="J33" s="7">
        <f>J28+SUM(J29:J32)</f>
        <v/>
      </c>
    </row>
    <row r="34">
      <c r="A34" s="3" t="inlineStr">
        <is>
          <t>Convertible Preferred Stock</t>
        </is>
      </c>
      <c r="B34" s="4" t="n">
        <v>824488</v>
      </c>
      <c r="C34" s="4" t="n">
        <v>824488</v>
      </c>
      <c r="D34" s="4" t="n">
        <v>824488</v>
      </c>
      <c r="E34" s="5" t="n"/>
      <c r="F34" s="5" t="n"/>
      <c r="G34" s="5" t="n"/>
      <c r="H34" s="5" t="n"/>
      <c r="I34" s="5" t="n"/>
      <c r="J34" s="5" t="n"/>
    </row>
    <row r="35">
      <c r="A35" s="3" t="inlineStr">
        <is>
          <t>Common Stock</t>
        </is>
      </c>
      <c r="B35" s="4" t="n">
        <v>76</v>
      </c>
      <c r="C35" s="4" t="n">
        <v>77</v>
      </c>
      <c r="D35" s="4" t="n">
        <v>79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Additional Paid-in Capital</t>
        </is>
      </c>
      <c r="B36" s="4" t="n">
        <v>280668</v>
      </c>
      <c r="C36" s="4" t="n">
        <v>276717</v>
      </c>
      <c r="D36" s="4" t="n">
        <v>297579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Accumulated Other Comprehensive Loss</t>
        </is>
      </c>
      <c r="B37" s="4" t="n">
        <v>-1881</v>
      </c>
      <c r="C37" s="4" t="n">
        <v>-701</v>
      </c>
      <c r="D37" s="4" t="n">
        <v>-3250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Retained Earnings (Accumulated Deficit)</t>
        </is>
      </c>
      <c r="B38" s="4" t="n">
        <v>0</v>
      </c>
      <c r="C38" s="4" t="n">
        <v>-12053</v>
      </c>
      <c r="D38" s="4" t="n">
        <v>105521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Total Stockholders' Equity</t>
        </is>
      </c>
      <c r="B39" s="6">
        <f>SUM(B35:B38)</f>
        <v/>
      </c>
      <c r="C39" s="6">
        <f>SUM(C35:C38)</f>
        <v/>
      </c>
      <c r="D39" s="6">
        <f>SUM(D35:D38)</f>
        <v/>
      </c>
      <c r="E39" s="7">
        <f>SUM(E35:E38)</f>
        <v/>
      </c>
      <c r="F39" s="7">
        <f>SUM(F35:F38)</f>
        <v/>
      </c>
      <c r="G39" s="7">
        <f>SUM(G35:G38)</f>
        <v/>
      </c>
      <c r="H39" s="7">
        <f>SUM(H35:H38)</f>
        <v/>
      </c>
      <c r="I39" s="7">
        <f>SUM(I35:I38)</f>
        <v/>
      </c>
      <c r="J39" s="7">
        <f>SUM(J35:J38)</f>
        <v/>
      </c>
    </row>
    <row r="40">
      <c r="A40" s="3" t="inlineStr">
        <is>
          <t>Total Liabilities, Mezzanine &amp; Stockholders' Equity</t>
        </is>
      </c>
      <c r="B40" s="6">
        <f>B33+B34+B39</f>
        <v/>
      </c>
      <c r="C40" s="6">
        <f>C33+C34+C39</f>
        <v/>
      </c>
      <c r="D40" s="6">
        <f>D33+D34+D39</f>
        <v/>
      </c>
      <c r="E40" s="7">
        <f>E33+E34+E39</f>
        <v/>
      </c>
      <c r="F40" s="7">
        <f>F33+F34+F39</f>
        <v/>
      </c>
      <c r="G40" s="7">
        <f>G33+G34+G39</f>
        <v/>
      </c>
      <c r="H40" s="7">
        <f>H33+H34+H39</f>
        <v/>
      </c>
      <c r="I40" s="7">
        <f>I33+I34+I39</f>
        <v/>
      </c>
      <c r="J40" s="7">
        <f>J33+J34+J39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Obsolescence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Stock-Based Compensation</t>
        </is>
      </c>
      <c r="B8" s="4" t="n">
        <v>36475</v>
      </c>
      <c r="C8" s="4" t="n">
        <v>20665</v>
      </c>
      <c r="D8" s="4" t="n">
        <v>21226</v>
      </c>
      <c r="E8" s="4" t="n">
        <v>19591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Loss on Disposal of PP&amp;E</t>
        </is>
      </c>
      <c r="B9" s="4" t="n">
        <v>0</v>
      </c>
      <c r="C9" s="4" t="n">
        <v>0</v>
      </c>
      <c r="D9" s="4" t="n">
        <v>198</v>
      </c>
      <c r="E9" s="4" t="n">
        <v>173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Deferred Income Taxes-Net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Exchange Loss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Other Items</t>
        </is>
      </c>
      <c r="B12" s="4" t="n">
        <v>0</v>
      </c>
      <c r="C12" s="4" t="n">
        <v>0</v>
      </c>
      <c r="D12" s="4" t="n">
        <v>0</v>
      </c>
      <c r="E12" s="4" t="n">
        <v>-324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Receivables</t>
        </is>
      </c>
      <c r="B13" s="4" t="n">
        <v>-25249</v>
      </c>
      <c r="C13" s="4" t="n">
        <v>-26369</v>
      </c>
      <c r="D13" s="4" t="n">
        <v>-121558</v>
      </c>
      <c r="E13" s="4" t="n">
        <v>-89665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Inventories</t>
        </is>
      </c>
      <c r="B14" s="4" t="n">
        <v>-175174</v>
      </c>
      <c r="C14" s="4" t="n">
        <v>11802</v>
      </c>
      <c r="D14" s="4" t="n">
        <v>-63299</v>
      </c>
      <c r="E14" s="4" t="n">
        <v>77190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Prepaids</t>
        </is>
      </c>
      <c r="B15" s="4" t="n">
        <v>1072</v>
      </c>
      <c r="C15" s="4" t="n">
        <v>2214</v>
      </c>
      <c r="D15" s="4" t="n">
        <v>-7980</v>
      </c>
      <c r="E15" s="4" t="n">
        <v>1074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Accounts Payable</t>
        </is>
      </c>
      <c r="B16" s="4" t="n">
        <v>23966</v>
      </c>
      <c r="C16" s="4" t="n">
        <v>428</v>
      </c>
      <c r="D16" s="4" t="n">
        <v>5249</v>
      </c>
      <c r="E16" s="4" t="n">
        <v>-1170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Accrued Expenses</t>
        </is>
      </c>
      <c r="B17" s="4" t="n">
        <v>26484</v>
      </c>
      <c r="C17" s="4" t="n">
        <v>34644</v>
      </c>
      <c r="D17" s="4" t="n">
        <v>-8025</v>
      </c>
      <c r="E17" s="4" t="n">
        <v>85398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Accrued Promo</t>
        </is>
      </c>
      <c r="B18" s="4" t="n">
        <v>13379</v>
      </c>
      <c r="C18" s="4" t="n">
        <v>16940</v>
      </c>
      <c r="D18" s="4" t="n">
        <v>63810</v>
      </c>
      <c r="E18" s="4" t="n">
        <v>36161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Other Current Liabilities</t>
        </is>
      </c>
      <c r="B19" s="4" t="n">
        <v>1731</v>
      </c>
      <c r="C19" s="4" t="n">
        <v>2446</v>
      </c>
      <c r="D19" s="4" t="n">
        <v>55407</v>
      </c>
      <c r="E19" s="4" t="n">
        <v>-34616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ROU/Lease</t>
        </is>
      </c>
      <c r="B20" s="4" t="n">
        <v>29</v>
      </c>
      <c r="C20" s="4" t="n">
        <v>-183</v>
      </c>
      <c r="D20" s="4" t="n">
        <v>-102</v>
      </c>
      <c r="E20" s="4" t="n">
        <v>535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Deferred Revenue</t>
        </is>
      </c>
      <c r="B21" s="4" t="n">
        <v>0</v>
      </c>
      <c r="C21" s="4" t="n">
        <v>189463</v>
      </c>
      <c r="D21" s="4" t="n">
        <v>-12723</v>
      </c>
      <c r="E21" s="4" t="n">
        <v>-9513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Other Long-Term Assets</t>
        </is>
      </c>
      <c r="B22" s="4" t="n">
        <v>0</v>
      </c>
      <c r="C22" s="4" t="n">
        <v>37</v>
      </c>
      <c r="D22" s="4" t="n">
        <v>-28</v>
      </c>
      <c r="E22" s="4" t="n">
        <v>-4862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Note Receivable</t>
        </is>
      </c>
      <c r="B23" s="4" t="n">
        <v>0</v>
      </c>
      <c r="C23" s="4" t="n">
        <v>0</v>
      </c>
      <c r="D23" s="4" t="n">
        <v>0</v>
      </c>
      <c r="E23" s="4" t="n">
        <v>2318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Distributor Termination</t>
        </is>
      </c>
      <c r="B24" s="4" t="n">
        <v>0</v>
      </c>
      <c r="C24" s="4" t="n">
        <v>3986</v>
      </c>
      <c r="D24" s="4" t="n">
        <v>-3739</v>
      </c>
      <c r="E24" s="4" t="n">
        <v>-248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7">
        <f>SUM(F2:F24)</f>
        <v/>
      </c>
      <c r="G25" s="7">
        <f>SUM(G2:G24)</f>
        <v/>
      </c>
      <c r="H25" s="7">
        <f>SUM(H2:H24)</f>
        <v/>
      </c>
      <c r="I25" s="7">
        <f>SUM(I2:I24)</f>
        <v/>
      </c>
      <c r="J25" s="7">
        <f>SUM(J2:J24)</f>
        <v/>
      </c>
      <c r="K25" s="7">
        <f>SUM(K2:K24)</f>
        <v/>
      </c>
    </row>
    <row r="26">
      <c r="A26" s="3" t="inlineStr">
        <is>
          <t>Collections from Note Receivable</t>
        </is>
      </c>
      <c r="B26" s="4" t="n">
        <v>1886</v>
      </c>
      <c r="C26" s="4" t="n">
        <v>2592</v>
      </c>
      <c r="D26" s="4" t="n">
        <v>3233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Purchase of Non-Marketable Equity Securities</t>
        </is>
      </c>
      <c r="B27" s="4" t="n">
        <v>0</v>
      </c>
      <c r="C27" s="4" t="n">
        <v>0</v>
      </c>
      <c r="D27" s="4" t="n">
        <v>0</v>
      </c>
      <c r="E27" s="4" t="n">
        <v>-3000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Acquisition of Big Beverages</t>
        </is>
      </c>
      <c r="B28" s="4" t="n">
        <v>0</v>
      </c>
      <c r="C28" s="4" t="n">
        <v>0</v>
      </c>
      <c r="D28" s="4" t="n">
        <v>0</v>
      </c>
      <c r="E28" s="4" t="n">
        <v>-75336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Purchase of PP&amp;E</t>
        </is>
      </c>
      <c r="B29" s="4" t="n">
        <v>-3150</v>
      </c>
      <c r="C29" s="4" t="n">
        <v>-8264</v>
      </c>
      <c r="D29" s="4" t="n">
        <v>-17433</v>
      </c>
      <c r="E29" s="4" t="n">
        <v>-23390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Cash Flow from Investing</t>
        </is>
      </c>
      <c r="B30" s="6">
        <f>SUM(B26:B29)</f>
        <v/>
      </c>
      <c r="C30" s="6">
        <f>SUM(C26:C29)</f>
        <v/>
      </c>
      <c r="D30" s="6">
        <f>SUM(D26:D29)</f>
        <v/>
      </c>
      <c r="E30" s="6">
        <f>SUM(E26:E29)</f>
        <v/>
      </c>
      <c r="F30" s="7">
        <f>SUM(F26:F29)</f>
        <v/>
      </c>
      <c r="G30" s="7">
        <f>SUM(G26:G29)</f>
        <v/>
      </c>
      <c r="H30" s="7">
        <f>SUM(H26:H29)</f>
        <v/>
      </c>
      <c r="I30" s="7">
        <f>SUM(I26:I29)</f>
        <v/>
      </c>
      <c r="J30" s="7">
        <f>SUM(J26:J29)</f>
        <v/>
      </c>
      <c r="K30" s="7">
        <f>SUM(K26:K29)</f>
        <v/>
      </c>
    </row>
    <row r="31">
      <c r="A31" s="3" t="inlineStr">
        <is>
          <t>Finance Lease Payments</t>
        </is>
      </c>
      <c r="B31" s="4" t="n">
        <v>-94</v>
      </c>
      <c r="C31" s="4" t="n">
        <v>-63</v>
      </c>
      <c r="D31" s="4" t="n">
        <v>-44</v>
      </c>
      <c r="E31" s="4" t="n">
        <v>-61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Repurchase of Common Stock (Tax Withholdings)</t>
        </is>
      </c>
      <c r="B32" s="4" t="n">
        <v>0</v>
      </c>
      <c r="C32" s="4" t="n">
        <v>0</v>
      </c>
      <c r="D32" s="4" t="n">
        <v>0</v>
      </c>
      <c r="E32" s="4" t="n">
        <v>-2261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Common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Proceeds from Preferred</t>
        </is>
      </c>
      <c r="B35" s="4" t="n">
        <v>0</v>
      </c>
      <c r="C35" s="4" t="n">
        <v>542018</v>
      </c>
      <c r="D35" s="4" t="n">
        <v>0</v>
      </c>
      <c r="E35" s="4" t="n">
        <v>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Dividends Paid on Preferred</t>
        </is>
      </c>
      <c r="B36" s="4" t="n">
        <v>0</v>
      </c>
      <c r="C36" s="4" t="n">
        <v>-11526</v>
      </c>
      <c r="D36" s="4" t="n">
        <v>-27462</v>
      </c>
      <c r="E36" s="4" t="n">
        <v>-27500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Cash Flow from Financing</t>
        </is>
      </c>
      <c r="B37" s="6">
        <f>SUM(B31:B36)</f>
        <v/>
      </c>
      <c r="C37" s="6">
        <f>SUM(C31:C36)</f>
        <v/>
      </c>
      <c r="D37" s="6">
        <f>SUM(D31:D36)</f>
        <v/>
      </c>
      <c r="E37" s="6">
        <f>SUM(E31:E36)</f>
        <v/>
      </c>
      <c r="F37" s="7">
        <f>SUM(F31:F36)</f>
        <v/>
      </c>
      <c r="G37" s="7">
        <f>SUM(G31:G36)</f>
        <v/>
      </c>
      <c r="H37" s="7">
        <f>SUM(H31:H36)</f>
        <v/>
      </c>
      <c r="I37" s="7">
        <f>SUM(I31:I36)</f>
        <v/>
      </c>
      <c r="J37" s="7">
        <f>SUM(J31:J36)</f>
        <v/>
      </c>
      <c r="K37" s="7">
        <f>SUM(K31:K36)</f>
        <v/>
      </c>
    </row>
    <row r="38">
      <c r="A38" s="3" t="inlineStr">
        <is>
          <t>FX Effect on Cash</t>
        </is>
      </c>
      <c r="B38" s="4" t="n">
        <v>-538</v>
      </c>
      <c r="C38" s="4" t="n">
        <v>50</v>
      </c>
      <c r="D38" s="4" t="n">
        <v>1257</v>
      </c>
      <c r="E38" s="4" t="n">
        <v>-997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Net Change in Cash</t>
        </is>
      </c>
      <c r="B39" s="4" t="n">
        <v>-26993</v>
      </c>
      <c r="C39" s="4" t="n">
        <v>636672</v>
      </c>
      <c r="D39" s="4" t="n">
        <v>103054</v>
      </c>
      <c r="E39" s="4" t="n">
        <v>134209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Cash at Beginning</t>
        </is>
      </c>
      <c r="B40" s="4" t="n">
        <v>43248</v>
      </c>
      <c r="C40" s="4" t="n">
        <v>16255</v>
      </c>
      <c r="D40" s="4" t="n">
        <v>652927</v>
      </c>
      <c r="E40" s="4" t="n">
        <v>755981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End</t>
        </is>
      </c>
      <c r="B41" s="4" t="n">
        <v>16255</v>
      </c>
      <c r="C41" s="4" t="n">
        <v>652927</v>
      </c>
      <c r="D41" s="4" t="n">
        <v>755981</v>
      </c>
      <c r="E41" s="4" t="n">
        <v>890190</v>
      </c>
      <c r="F41" s="5" t="n"/>
      <c r="G41" s="5" t="n"/>
      <c r="H41" s="5" t="n"/>
      <c r="I41" s="5" t="n"/>
      <c r="J41" s="5" t="n"/>
      <c r="K4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2026-04-23T16:28:17Z</dcterms:created>
  <dcterms:modified xsi:type="dcterms:W3CDTF">2026-04-23T16:28:17Z</dcterms:modified>
</cp:coreProperties>
</file>