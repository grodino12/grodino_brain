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L P&amp;L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2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Net Sales (Revenue)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COGS</t>
        </is>
      </c>
      <c r="B3" s="4" t="n">
        <v>186103</v>
      </c>
      <c r="C3" s="4" t="n">
        <v>382735</v>
      </c>
      <c r="D3" s="4" t="n">
        <v>684875</v>
      </c>
      <c r="E3" s="4" t="n">
        <v>675423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Gross Profit</t>
        </is>
      </c>
      <c r="B4" s="4" t="n">
        <v>128169</v>
      </c>
      <c r="C4" s="4" t="n">
        <v>270869</v>
      </c>
      <c r="D4" s="4" t="n">
        <v>633139</v>
      </c>
      <c r="E4" s="4" t="n">
        <v>680207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Selling and Marketing Expenses</t>
        </is>
      </c>
      <c r="B5" s="4" t="n">
        <v>132259</v>
      </c>
      <c r="C5" s="4" t="n">
        <v>428670</v>
      </c>
      <c r="D5" s="4" t="n">
        <v>366773</v>
      </c>
      <c r="E5" s="4" t="n">
        <v>524479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Operating Profit</t>
        </is>
      </c>
      <c r="B6" s="4" t="n">
        <v>-4090</v>
      </c>
      <c r="C6" s="4" t="n">
        <v>-157801</v>
      </c>
      <c r="D6" s="4" t="n">
        <v>266366</v>
      </c>
      <c r="E6" s="4" t="n">
        <v>155728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Interest Income</t>
        </is>
      </c>
      <c r="B7" s="4" t="n">
        <v>315</v>
      </c>
      <c r="C7" s="4" t="n">
        <v>5292</v>
      </c>
      <c r="D7" s="4" t="n">
        <v>26501</v>
      </c>
      <c r="E7" s="4" t="n">
        <v>39263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Foreign exchange gain (loss)</t>
        </is>
      </c>
      <c r="B8" s="4" t="n">
        <v>817</v>
      </c>
      <c r="C8" s="4" t="n">
        <v>-2495</v>
      </c>
      <c r="D8" s="4" t="n">
        <v>1180</v>
      </c>
      <c r="E8" s="4" t="n">
        <v>-2549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Other Income</t>
        </is>
      </c>
      <c r="B9" s="4" t="n">
        <v>0</v>
      </c>
      <c r="C9" s="4" t="n">
        <v>0</v>
      </c>
      <c r="D9" s="4" t="n">
        <v>0</v>
      </c>
      <c r="E9" s="4" t="n">
        <v>1793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Pre-Tax Income</t>
        </is>
      </c>
      <c r="B10" s="4" t="n">
        <v>-4059</v>
      </c>
      <c r="C10" s="4" t="n">
        <v>-152664</v>
      </c>
      <c r="D10" s="4" t="n">
        <v>291749</v>
      </c>
      <c r="E10" s="4" t="n">
        <v>195050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Income Taxes</t>
        </is>
      </c>
      <c r="B11" s="4" t="n">
        <v>7996</v>
      </c>
      <c r="C11" s="4" t="n">
        <v>-34618</v>
      </c>
      <c r="D11" s="4" t="n">
        <v>-64948</v>
      </c>
      <c r="E11" s="4" t="n">
        <v>-49976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Net Income</t>
        </is>
      </c>
      <c r="B12" s="4" t="n">
        <v>3937</v>
      </c>
      <c r="C12" s="4" t="n">
        <v>-187282</v>
      </c>
      <c r="D12" s="4" t="n">
        <v>226801</v>
      </c>
      <c r="E12" s="4" t="n">
        <v>145074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Dividends on Series A Pref</t>
        </is>
      </c>
      <c r="B13" s="4" t="n">
        <v>0</v>
      </c>
      <c r="C13" s="4" t="n">
        <v>-11526</v>
      </c>
      <c r="D13" s="4" t="n">
        <v>-27462</v>
      </c>
      <c r="E13" s="4" t="n">
        <v>-27500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Net Income to Common Shareholders</t>
        </is>
      </c>
      <c r="B14" s="4" t="n">
        <v>3937</v>
      </c>
      <c r="C14" s="4" t="n">
        <v>-198808</v>
      </c>
      <c r="D14" s="4" t="n">
        <v>181991</v>
      </c>
      <c r="E14" s="4" t="n">
        <v>107457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Income Allocated to Participating</t>
        </is>
      </c>
      <c r="B15" s="4" t="n">
        <v>0</v>
      </c>
      <c r="C15" s="4" t="n">
        <v>0</v>
      </c>
      <c r="D15" s="4" t="n">
        <v>-17348</v>
      </c>
      <c r="E15" s="4" t="n">
        <v>-10117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GAAP EPS (Basic)</t>
        </is>
      </c>
      <c r="B16" s="4" t="n">
        <v>0.02</v>
      </c>
      <c r="C16" s="4" t="n">
        <v>-0.88</v>
      </c>
      <c r="D16" s="4" t="n">
        <v>0.79</v>
      </c>
      <c r="E16" s="4" t="n">
        <v>0.46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Weighted Avg Shares Outstanding (Basic)</t>
        </is>
      </c>
      <c r="B17" s="4" t="n">
        <v>221343</v>
      </c>
      <c r="C17" s="4" t="n">
        <v>226947</v>
      </c>
      <c r="D17" s="4" t="n">
        <v>230784</v>
      </c>
      <c r="E17" s="4" t="n">
        <v>233667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GAAP EPS (Diluted)</t>
        </is>
      </c>
      <c r="B18" s="4" t="n">
        <v>0.02</v>
      </c>
      <c r="C18" s="4" t="n">
        <v>-0.88</v>
      </c>
      <c r="D18" s="4" t="n">
        <v>0.77</v>
      </c>
      <c r="E18" s="4" t="n">
        <v>0.45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Weighted Avg Shares Outstanding (Diluted)</t>
        </is>
      </c>
      <c r="B19" s="4" t="n">
        <v>233067</v>
      </c>
      <c r="C19" s="4" t="n">
        <v>226947</v>
      </c>
      <c r="D19" s="4" t="n">
        <v>236964</v>
      </c>
      <c r="E19" s="4" t="n">
        <v>237404</v>
      </c>
      <c r="F19" s="5" t="n"/>
      <c r="G19" s="5" t="n"/>
      <c r="H19" s="5" t="n"/>
      <c r="I19" s="5" t="n"/>
      <c r="J19" s="5" t="n"/>
      <c r="K1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FY2025E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5" t="n"/>
      <c r="F2" s="5" t="n"/>
      <c r="G2" s="5" t="n"/>
      <c r="H2" s="5" t="n"/>
      <c r="I2" s="5" t="n"/>
      <c r="J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5" t="n"/>
      <c r="F3" s="5" t="n"/>
      <c r="G3" s="5" t="n"/>
      <c r="H3" s="5" t="n"/>
      <c r="I3" s="5" t="n"/>
      <c r="J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5" t="n"/>
      <c r="F4" s="5" t="n"/>
      <c r="G4" s="5" t="n"/>
      <c r="H4" s="5" t="n"/>
      <c r="I4" s="5" t="n"/>
      <c r="J4" s="5" t="n"/>
    </row>
    <row r="5">
      <c r="A5" s="3" t="inlineStr">
        <is>
          <t>Note Receivable</t>
        </is>
      </c>
      <c r="B5" s="4" t="n">
        <v>3574</v>
      </c>
      <c r="C5" s="4" t="n">
        <v>2318</v>
      </c>
      <c r="D5" s="4" t="n">
        <v>0</v>
      </c>
      <c r="E5" s="5" t="n"/>
      <c r="F5" s="5" t="n"/>
      <c r="G5" s="5" t="n"/>
      <c r="H5" s="5" t="n"/>
      <c r="I5" s="5" t="n"/>
      <c r="J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5" t="n"/>
      <c r="F6" s="5" t="n"/>
      <c r="G6" s="5" t="n"/>
      <c r="H6" s="5" t="n"/>
      <c r="I6" s="5" t="n"/>
      <c r="J6" s="5" t="n"/>
    </row>
    <row r="7">
      <c r="A7" s="3" t="inlineStr">
        <is>
          <t>Deferred Other Costs (Current)</t>
        </is>
      </c>
      <c r="B7" s="4" t="n">
        <v>14124</v>
      </c>
      <c r="C7" s="4" t="n">
        <v>14124</v>
      </c>
      <c r="D7" s="4" t="n">
        <v>14124</v>
      </c>
      <c r="E7" s="5" t="n"/>
      <c r="F7" s="5" t="n"/>
      <c r="G7" s="5" t="n"/>
      <c r="H7" s="5" t="n"/>
      <c r="I7" s="5" t="n"/>
      <c r="J7" s="5" t="n"/>
    </row>
    <row r="8">
      <c r="A8" s="3" t="inlineStr">
        <is>
          <t>Prepaid Expenses</t>
        </is>
      </c>
      <c r="B8" s="4" t="n">
        <v>11341</v>
      </c>
      <c r="C8" s="4" t="n">
        <v>19503</v>
      </c>
      <c r="D8" s="4" t="n">
        <v>18759</v>
      </c>
      <c r="E8" s="5" t="n"/>
      <c r="F8" s="5" t="n"/>
      <c r="G8" s="5" t="n"/>
      <c r="H8" s="5" t="n"/>
      <c r="I8" s="5" t="n"/>
      <c r="J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7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</row>
    <row r="10">
      <c r="A10" s="3" t="inlineStr">
        <is>
          <t>Net PP&amp;E</t>
        </is>
      </c>
      <c r="B10" s="4" t="n">
        <v>10185</v>
      </c>
      <c r="C10" s="4" t="n">
        <v>24868</v>
      </c>
      <c r="D10" s="4" t="n">
        <v>55602</v>
      </c>
      <c r="E10" s="5" t="n"/>
      <c r="F10" s="5" t="n"/>
      <c r="G10" s="5" t="n"/>
      <c r="H10" s="5" t="n"/>
      <c r="I10" s="5" t="n"/>
      <c r="J10" s="5" t="n"/>
    </row>
    <row r="11">
      <c r="A11" s="3" t="inlineStr">
        <is>
          <t>Deferred Tax Assets</t>
        </is>
      </c>
      <c r="B11" s="4" t="n">
        <v>501</v>
      </c>
      <c r="C11" s="4" t="n">
        <v>29518</v>
      </c>
      <c r="D11" s="4" t="n">
        <v>38699</v>
      </c>
      <c r="E11" s="5" t="n"/>
      <c r="F11" s="5" t="n"/>
      <c r="G11" s="5" t="n"/>
      <c r="H11" s="5" t="n"/>
      <c r="I11" s="5" t="n"/>
      <c r="J11" s="5" t="n"/>
    </row>
    <row r="12">
      <c r="A12" s="3" t="inlineStr">
        <is>
          <t>ROU Assets - Operating</t>
        </is>
      </c>
      <c r="B12" s="4" t="n">
        <v>972</v>
      </c>
      <c r="C12" s="4" t="n">
        <v>1957</v>
      </c>
      <c r="D12" s="4" t="n">
        <v>21606</v>
      </c>
      <c r="E12" s="5" t="n"/>
      <c r="F12" s="5" t="n"/>
      <c r="G12" s="5" t="n"/>
      <c r="H12" s="5" t="n"/>
      <c r="I12" s="5" t="n"/>
      <c r="J12" s="5" t="n"/>
    </row>
    <row r="13">
      <c r="A13" s="3" t="inlineStr">
        <is>
          <t>ROU Assets - Finance</t>
        </is>
      </c>
      <c r="B13" s="4" t="n">
        <v>208</v>
      </c>
      <c r="C13" s="4" t="n">
        <v>208</v>
      </c>
      <c r="D13" s="4" t="n">
        <v>230</v>
      </c>
      <c r="E13" s="5" t="n"/>
      <c r="F13" s="5" t="n"/>
      <c r="G13" s="5" t="n"/>
      <c r="H13" s="5" t="n"/>
      <c r="I13" s="5" t="n"/>
      <c r="J13" s="5" t="n"/>
    </row>
    <row r="14">
      <c r="A14" s="3" t="inlineStr">
        <is>
          <t>Deferred Other Costs (NC)</t>
        </is>
      </c>
      <c r="B14" s="4" t="n">
        <v>262462</v>
      </c>
      <c r="C14" s="4" t="n">
        <v>248338</v>
      </c>
      <c r="D14" s="4" t="n">
        <v>234215</v>
      </c>
      <c r="E14" s="5" t="n"/>
      <c r="F14" s="5" t="n"/>
      <c r="G14" s="5" t="n"/>
      <c r="H14" s="5" t="n"/>
      <c r="I14" s="5" t="n"/>
      <c r="J14" s="5" t="n"/>
    </row>
    <row r="15">
      <c r="A15" s="3" t="inlineStr">
        <is>
          <t>Intangibles</t>
        </is>
      </c>
      <c r="B15" s="4" t="n">
        <v>12254</v>
      </c>
      <c r="C15" s="4" t="n">
        <v>12139</v>
      </c>
      <c r="D15" s="4" t="n">
        <v>12213</v>
      </c>
      <c r="E15" s="5" t="n"/>
      <c r="F15" s="5" t="n"/>
      <c r="G15" s="5" t="n"/>
      <c r="H15" s="5" t="n"/>
      <c r="I15" s="5" t="n"/>
      <c r="J15" s="5" t="n"/>
    </row>
    <row r="16">
      <c r="A16" s="3" t="inlineStr">
        <is>
          <t>Goodwill</t>
        </is>
      </c>
      <c r="B16" s="4" t="n">
        <v>13679</v>
      </c>
      <c r="C16" s="4" t="n">
        <v>14173</v>
      </c>
      <c r="D16" s="4" t="n">
        <v>71582</v>
      </c>
      <c r="E16" s="5" t="n"/>
      <c r="F16" s="5" t="n"/>
      <c r="G16" s="5" t="n"/>
      <c r="H16" s="5" t="n"/>
      <c r="I16" s="5" t="n"/>
      <c r="J16" s="5" t="n"/>
    </row>
    <row r="17">
      <c r="A17" s="3" t="inlineStr">
        <is>
          <t>Other Long-Term Assets</t>
        </is>
      </c>
      <c r="B17" s="4" t="n">
        <v>263</v>
      </c>
      <c r="C17" s="4" t="n">
        <v>291</v>
      </c>
      <c r="D17" s="4" t="n">
        <v>8154</v>
      </c>
      <c r="E17" s="5" t="n"/>
      <c r="F17" s="5" t="n"/>
      <c r="G17" s="5" t="n"/>
      <c r="H17" s="5" t="n"/>
      <c r="I17" s="5" t="n"/>
      <c r="J17" s="5" t="n"/>
    </row>
    <row r="18">
      <c r="A18" s="3" t="inlineStr">
        <is>
          <t>Total Assets</t>
        </is>
      </c>
      <c r="B18" s="6">
        <f>B9+SUM(B10:B17)</f>
        <v/>
      </c>
      <c r="C18" s="6">
        <f>C9+SUM(C10:C17)</f>
        <v/>
      </c>
      <c r="D18" s="6">
        <f>D9+SUM(D10:D17)</f>
        <v/>
      </c>
      <c r="E18" s="7">
        <f>E9+SUM(E10:E17)</f>
        <v/>
      </c>
      <c r="F18" s="7">
        <f>F9+SUM(F10:F17)</f>
        <v/>
      </c>
      <c r="G18" s="7">
        <f>G9+SUM(G10:G17)</f>
        <v/>
      </c>
      <c r="H18" s="7">
        <f>H9+SUM(H10:H17)</f>
        <v/>
      </c>
      <c r="I18" s="7">
        <f>I9+SUM(I10:I17)</f>
        <v/>
      </c>
      <c r="J18" s="7">
        <f>J9+SUM(J10:J17)</f>
        <v/>
      </c>
    </row>
    <row r="19">
      <c r="A19" s="3" t="inlineStr">
        <is>
          <t>Accounts Payable</t>
        </is>
      </c>
      <c r="B19" s="4" t="n">
        <v>36248</v>
      </c>
      <c r="C19" s="4" t="n">
        <v>42840</v>
      </c>
      <c r="D19" s="4" t="n">
        <v>41287</v>
      </c>
      <c r="E19" s="5" t="n"/>
      <c r="F19" s="5" t="n"/>
      <c r="G19" s="5" t="n"/>
      <c r="H19" s="5" t="n"/>
      <c r="I19" s="5" t="n"/>
      <c r="J19" s="5" t="n"/>
    </row>
    <row r="20">
      <c r="A20" s="3" t="inlineStr">
        <is>
          <t>Accrued Expenses</t>
        </is>
      </c>
      <c r="B20" s="4" t="n">
        <v>69899</v>
      </c>
      <c r="C20" s="4" t="n">
        <v>62120</v>
      </c>
      <c r="D20" s="4" t="n">
        <v>148780</v>
      </c>
      <c r="E20" s="5" t="n"/>
      <c r="F20" s="5" t="n"/>
      <c r="G20" s="5" t="n"/>
      <c r="H20" s="5" t="n"/>
      <c r="I20" s="5" t="n"/>
      <c r="J20" s="5" t="n"/>
    </row>
    <row r="21">
      <c r="A21" s="3" t="inlineStr">
        <is>
          <t>Accrued Promotional Allowance</t>
        </is>
      </c>
      <c r="B21" s="4" t="n">
        <v>35977</v>
      </c>
      <c r="C21" s="4" t="n">
        <v>99787</v>
      </c>
      <c r="D21" s="4" t="n">
        <v>135948</v>
      </c>
      <c r="E21" s="5" t="n"/>
      <c r="F21" s="5" t="n"/>
      <c r="G21" s="5" t="n"/>
      <c r="H21" s="5" t="n"/>
      <c r="I21" s="5" t="n"/>
      <c r="J21" s="5" t="n"/>
    </row>
    <row r="22">
      <c r="A22" s="3" t="inlineStr">
        <is>
          <t>Lease Liability - Finance Current</t>
        </is>
      </c>
      <c r="B22" s="4" t="n">
        <v>70</v>
      </c>
      <c r="C22" s="4" t="n">
        <v>59</v>
      </c>
      <c r="D22" s="4" t="n">
        <v>100</v>
      </c>
      <c r="E22" s="5" t="n"/>
      <c r="F22" s="5" t="n"/>
      <c r="G22" s="5" t="n"/>
      <c r="H22" s="5" t="n"/>
      <c r="I22" s="5" t="n"/>
      <c r="J22" s="5" t="n"/>
    </row>
    <row r="23">
      <c r="A23" s="3" t="inlineStr">
        <is>
          <t>Deferred Revenue (Current)</t>
        </is>
      </c>
      <c r="B23" s="4" t="n">
        <v>9675</v>
      </c>
      <c r="C23" s="4" t="n">
        <v>9513</v>
      </c>
      <c r="D23" s="4" t="n">
        <v>9513</v>
      </c>
      <c r="E23" s="5" t="n"/>
      <c r="F23" s="5" t="n"/>
      <c r="G23" s="5" t="n"/>
      <c r="H23" s="5" t="n"/>
      <c r="I23" s="5" t="n"/>
      <c r="J23" s="5" t="n"/>
    </row>
    <row r="24">
      <c r="A24" s="3" t="inlineStr">
        <is>
          <t>Other Current Liabilities</t>
        </is>
      </c>
      <c r="B24" s="4" t="n">
        <v>3586</v>
      </c>
      <c r="C24" s="4" t="n">
        <v>10890</v>
      </c>
      <c r="D24" s="4" t="n">
        <v>15808</v>
      </c>
      <c r="E24" s="5" t="n"/>
      <c r="F24" s="5" t="n"/>
      <c r="G24" s="5" t="n"/>
      <c r="H24" s="5" t="n"/>
      <c r="I24" s="5" t="n"/>
      <c r="J24" s="5" t="n"/>
    </row>
    <row r="25">
      <c r="A25" s="3" t="inlineStr">
        <is>
          <t>Income Taxes Payable</t>
        </is>
      </c>
      <c r="B25" s="4" t="n">
        <v>1193</v>
      </c>
      <c r="C25" s="4" t="n">
        <v>50424</v>
      </c>
      <c r="D25" s="4" t="n">
        <v>10834</v>
      </c>
      <c r="E25" s="5" t="n"/>
      <c r="F25" s="5" t="n"/>
      <c r="G25" s="5" t="n"/>
      <c r="H25" s="5" t="n"/>
      <c r="I25" s="5" t="n"/>
      <c r="J25" s="5" t="n"/>
    </row>
    <row r="26">
      <c r="A26" s="3" t="inlineStr">
        <is>
          <t>Accrued Distributor Termination Fees</t>
        </is>
      </c>
      <c r="B26" s="4" t="n">
        <v>3986</v>
      </c>
      <c r="C26" s="4" t="n">
        <v>0</v>
      </c>
      <c r="D26" s="4" t="n">
        <v>0</v>
      </c>
      <c r="E26" s="5" t="n"/>
      <c r="F26" s="5" t="n"/>
      <c r="G26" s="5" t="n"/>
      <c r="H26" s="5" t="n"/>
      <c r="I26" s="5" t="n"/>
      <c r="J26" s="5" t="n"/>
    </row>
    <row r="27">
      <c r="A27" s="3" t="inlineStr">
        <is>
          <t>Total Current Liabilities</t>
        </is>
      </c>
      <c r="B27" s="6">
        <f>SUM(B19:B26)</f>
        <v/>
      </c>
      <c r="C27" s="6">
        <f>SUM(C19:C26)</f>
        <v/>
      </c>
      <c r="D27" s="6">
        <f>SUM(D19:D26)</f>
        <v/>
      </c>
      <c r="E27" s="7">
        <f>SUM(E19:E26)</f>
        <v/>
      </c>
      <c r="F27" s="7">
        <f>SUM(F19:F26)</f>
        <v/>
      </c>
      <c r="G27" s="7">
        <f>SUM(G19:G26)</f>
        <v/>
      </c>
      <c r="H27" s="7">
        <f>SUM(H19:H26)</f>
        <v/>
      </c>
      <c r="I27" s="7">
        <f>SUM(I19:I26)</f>
        <v/>
      </c>
      <c r="J27" s="7">
        <f>SUM(J19:J26)</f>
        <v/>
      </c>
    </row>
    <row r="28">
      <c r="A28" s="3" t="inlineStr">
        <is>
          <t>Lease Liability - Operating Current</t>
        </is>
      </c>
      <c r="B28" s="4" t="n">
        <v>661</v>
      </c>
      <c r="C28" s="4" t="n">
        <v>980</v>
      </c>
      <c r="D28" s="4" t="n">
        <v>3265</v>
      </c>
      <c r="E28" s="5" t="n"/>
      <c r="F28" s="5" t="n"/>
      <c r="G28" s="5" t="n"/>
      <c r="H28" s="5" t="n"/>
      <c r="I28" s="5" t="n"/>
      <c r="J28" s="5" t="n"/>
    </row>
    <row r="29">
      <c r="A29" s="3" t="inlineStr">
        <is>
          <t>Lease Liability - Finance NC</t>
        </is>
      </c>
      <c r="B29" s="4" t="n">
        <v>0</v>
      </c>
      <c r="C29" s="4" t="n">
        <v>193</v>
      </c>
      <c r="D29" s="4" t="n">
        <v>211</v>
      </c>
      <c r="E29" s="5" t="n"/>
      <c r="F29" s="5" t="n"/>
      <c r="G29" s="5" t="n"/>
      <c r="H29" s="5" t="n"/>
      <c r="I29" s="5" t="n"/>
      <c r="J29" s="5" t="n"/>
    </row>
    <row r="30">
      <c r="A30" s="3" t="inlineStr">
        <is>
          <t>Deferred Tax Liability</t>
        </is>
      </c>
      <c r="B30" s="4" t="n">
        <v>15919</v>
      </c>
      <c r="C30" s="4" t="n">
        <v>2880</v>
      </c>
      <c r="D30" s="4" t="n">
        <v>2330</v>
      </c>
      <c r="E30" s="5" t="n"/>
      <c r="F30" s="5" t="n"/>
      <c r="G30" s="5" t="n"/>
      <c r="H30" s="5" t="n"/>
      <c r="I30" s="5" t="n"/>
      <c r="J30" s="5" t="n"/>
    </row>
    <row r="31">
      <c r="A31" s="3" t="inlineStr">
        <is>
          <t>Deferred Revenue (NC)</t>
        </is>
      </c>
      <c r="B31" s="4" t="n">
        <v>179788</v>
      </c>
      <c r="C31" s="4" t="n">
        <v>167227</v>
      </c>
      <c r="D31" s="4" t="n">
        <v>157714</v>
      </c>
      <c r="E31" s="5" t="n"/>
      <c r="F31" s="5" t="n"/>
      <c r="G31" s="5" t="n"/>
      <c r="H31" s="5" t="n"/>
      <c r="I31" s="5" t="n"/>
      <c r="J31" s="5" t="n"/>
    </row>
    <row r="32">
      <c r="A32" s="3" t="inlineStr">
        <is>
          <t>Total Liabilities</t>
        </is>
      </c>
      <c r="B32" s="6">
        <f>B27+SUM(B28:B31)</f>
        <v/>
      </c>
      <c r="C32" s="6">
        <f>C27+SUM(C28:C31)</f>
        <v/>
      </c>
      <c r="D32" s="6">
        <f>D27+SUM(D28:D31)</f>
        <v/>
      </c>
      <c r="E32" s="7">
        <f>E27+SUM(E28:E31)</f>
        <v/>
      </c>
      <c r="F32" s="7">
        <f>F27+SUM(F28:F31)</f>
        <v/>
      </c>
      <c r="G32" s="7">
        <f>G27+SUM(G28:G31)</f>
        <v/>
      </c>
      <c r="H32" s="7">
        <f>H27+SUM(H28:H31)</f>
        <v/>
      </c>
      <c r="I32" s="7">
        <f>I27+SUM(I28:I31)</f>
        <v/>
      </c>
      <c r="J32" s="7">
        <f>J27+SUM(J28:J31)</f>
        <v/>
      </c>
    </row>
    <row r="33">
      <c r="A33" s="3" t="inlineStr">
        <is>
          <t>Convertible Preferred Stock</t>
        </is>
      </c>
      <c r="B33" s="4" t="n">
        <v>824488</v>
      </c>
      <c r="C33" s="4" t="n">
        <v>824488</v>
      </c>
      <c r="D33" s="4" t="n">
        <v>824488</v>
      </c>
      <c r="E33" s="5" t="n"/>
      <c r="F33" s="5" t="n"/>
      <c r="G33" s="5" t="n"/>
      <c r="H33" s="5" t="n"/>
      <c r="I33" s="5" t="n"/>
      <c r="J33" s="5" t="n"/>
    </row>
    <row r="34">
      <c r="A34" s="3" t="inlineStr">
        <is>
          <t>Common Stock</t>
        </is>
      </c>
      <c r="B34" s="4" t="n">
        <v>76</v>
      </c>
      <c r="C34" s="4" t="n">
        <v>77</v>
      </c>
      <c r="D34" s="4" t="n">
        <v>79</v>
      </c>
      <c r="E34" s="5" t="n"/>
      <c r="F34" s="5" t="n"/>
      <c r="G34" s="5" t="n"/>
      <c r="H34" s="5" t="n"/>
      <c r="I34" s="5" t="n"/>
      <c r="J34" s="5" t="n"/>
    </row>
    <row r="35">
      <c r="A35" s="3" t="inlineStr">
        <is>
          <t>Additional Paid-in Capital</t>
        </is>
      </c>
      <c r="B35" s="4" t="n">
        <v>280668</v>
      </c>
      <c r="C35" s="4" t="n">
        <v>276717</v>
      </c>
      <c r="D35" s="4" t="n">
        <v>297579</v>
      </c>
      <c r="E35" s="5" t="n"/>
      <c r="F35" s="5" t="n"/>
      <c r="G35" s="5" t="n"/>
      <c r="H35" s="5" t="n"/>
      <c r="I35" s="5" t="n"/>
      <c r="J35" s="5" t="n"/>
    </row>
    <row r="36">
      <c r="A36" s="3" t="inlineStr">
        <is>
          <t>Accumulated Other Comprehensive Loss</t>
        </is>
      </c>
      <c r="B36" s="4" t="n">
        <v>-1881</v>
      </c>
      <c r="C36" s="4" t="n">
        <v>-701</v>
      </c>
      <c r="D36" s="4" t="n">
        <v>-3250</v>
      </c>
      <c r="E36" s="5" t="n"/>
      <c r="F36" s="5" t="n"/>
      <c r="G36" s="5" t="n"/>
      <c r="H36" s="5" t="n"/>
      <c r="I36" s="5" t="n"/>
      <c r="J36" s="5" t="n"/>
    </row>
    <row r="37">
      <c r="A37" s="3" t="inlineStr">
        <is>
          <t>Retained Earnings (Accumulated Deficit)</t>
        </is>
      </c>
      <c r="B37" s="4" t="n">
        <v>0</v>
      </c>
      <c r="C37" s="4" t="n">
        <v>-12053</v>
      </c>
      <c r="D37" s="4" t="n">
        <v>105521</v>
      </c>
      <c r="E37" s="5" t="n"/>
      <c r="F37" s="5" t="n"/>
      <c r="G37" s="5" t="n"/>
      <c r="H37" s="5" t="n"/>
      <c r="I37" s="5" t="n"/>
      <c r="J37" s="5" t="n"/>
    </row>
    <row r="38">
      <c r="A38" s="3" t="inlineStr">
        <is>
          <t>Total Stockholders' Equity</t>
        </is>
      </c>
      <c r="B38" s="6">
        <f>SUM(B34:B37)</f>
        <v/>
      </c>
      <c r="C38" s="6">
        <f>SUM(C34:C37)</f>
        <v/>
      </c>
      <c r="D38" s="6">
        <f>SUM(D34:D37)</f>
        <v/>
      </c>
      <c r="E38" s="7">
        <f>SUM(E34:E37)</f>
        <v/>
      </c>
      <c r="F38" s="7">
        <f>SUM(F34:F37)</f>
        <v/>
      </c>
      <c r="G38" s="7">
        <f>SUM(G34:G37)</f>
        <v/>
      </c>
      <c r="H38" s="7">
        <f>SUM(H34:H37)</f>
        <v/>
      </c>
      <c r="I38" s="7">
        <f>SUM(I34:I37)</f>
        <v/>
      </c>
      <c r="J38" s="7">
        <f>SUM(J34:J37)</f>
        <v/>
      </c>
    </row>
    <row r="39">
      <c r="A39" s="3" t="inlineStr">
        <is>
          <t>Total Liabilities, Mezzanine &amp; Stockholders' Equity</t>
        </is>
      </c>
      <c r="B39" s="6">
        <f>B32+B33+B38</f>
        <v/>
      </c>
      <c r="C39" s="6">
        <f>C32+C33+C38</f>
        <v/>
      </c>
      <c r="D39" s="6">
        <f>D32+D33+D38</f>
        <v/>
      </c>
      <c r="E39" s="7">
        <f>E32+E33+E38</f>
        <v/>
      </c>
      <c r="F39" s="7">
        <f>F32+F33+F38</f>
        <v/>
      </c>
      <c r="G39" s="7">
        <f>G32+G33+G38</f>
        <v/>
      </c>
      <c r="H39" s="7">
        <f>H32+H33+H38</f>
        <v/>
      </c>
      <c r="I39" s="7">
        <f>I32+I33+I38</f>
        <v/>
      </c>
      <c r="J39" s="7">
        <f>J32+J33+J38</f>
        <v/>
      </c>
    </row>
    <row r="40">
      <c r="A40" s="3" t="inlineStr">
        <is>
          <t>Lease Liability - Operating NC</t>
        </is>
      </c>
      <c r="B40" s="4" t="n">
        <v>0</v>
      </c>
      <c r="C40" s="4" t="n">
        <v>0</v>
      </c>
      <c r="D40" s="4" t="n">
        <v>0</v>
      </c>
      <c r="E40" s="5" t="n"/>
      <c r="F40" s="5" t="n"/>
      <c r="G40" s="5" t="n"/>
      <c r="H40" s="5" t="n"/>
      <c r="I40" s="5" t="n"/>
      <c r="J4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Net Income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Inventory Obsolescence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Stock-Based Compensation</t>
        </is>
      </c>
      <c r="B8" s="4" t="n">
        <v>36475</v>
      </c>
      <c r="C8" s="4" t="n">
        <v>20665</v>
      </c>
      <c r="D8" s="4" t="n">
        <v>21226</v>
      </c>
      <c r="E8" s="4" t="n">
        <v>19591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Loss on Disposal of PP&amp;E</t>
        </is>
      </c>
      <c r="B9" s="4" t="n">
        <v>0</v>
      </c>
      <c r="C9" s="4" t="n">
        <v>0</v>
      </c>
      <c r="D9" s="4" t="n">
        <v>198</v>
      </c>
      <c r="E9" s="4" t="n">
        <v>173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Deferred Income Taxes-Net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Foreign Exchange Loss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Other Items</t>
        </is>
      </c>
      <c r="B12" s="4" t="n">
        <v>0</v>
      </c>
      <c r="C12" s="4" t="n">
        <v>0</v>
      </c>
      <c r="D12" s="4" t="n">
        <v>0</v>
      </c>
      <c r="E12" s="4" t="n">
        <v>-324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Receivables</t>
        </is>
      </c>
      <c r="B13" s="4" t="n">
        <v>-25249</v>
      </c>
      <c r="C13" s="4" t="n">
        <v>-26369</v>
      </c>
      <c r="D13" s="4" t="n">
        <v>-121558</v>
      </c>
      <c r="E13" s="4" t="n">
        <v>-89665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Inventories</t>
        </is>
      </c>
      <c r="B14" s="4" t="n">
        <v>-175174</v>
      </c>
      <c r="C14" s="4" t="n">
        <v>11802</v>
      </c>
      <c r="D14" s="4" t="n">
        <v>-63299</v>
      </c>
      <c r="E14" s="4" t="n">
        <v>77190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Prepaids</t>
        </is>
      </c>
      <c r="B15" s="4" t="n">
        <v>1072</v>
      </c>
      <c r="C15" s="4" t="n">
        <v>2214</v>
      </c>
      <c r="D15" s="4" t="n">
        <v>-7980</v>
      </c>
      <c r="E15" s="4" t="n">
        <v>1074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Accounts Payable</t>
        </is>
      </c>
      <c r="B16" s="4" t="n">
        <v>23966</v>
      </c>
      <c r="C16" s="4" t="n">
        <v>428</v>
      </c>
      <c r="D16" s="4" t="n">
        <v>5249</v>
      </c>
      <c r="E16" s="4" t="n">
        <v>-1170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Accrued Expenses</t>
        </is>
      </c>
      <c r="B17" s="4" t="n">
        <v>26484</v>
      </c>
      <c r="C17" s="4" t="n">
        <v>34644</v>
      </c>
      <c r="D17" s="4" t="n">
        <v>-8025</v>
      </c>
      <c r="E17" s="4" t="n">
        <v>85398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Accrued Promo</t>
        </is>
      </c>
      <c r="B18" s="4" t="n">
        <v>13379</v>
      </c>
      <c r="C18" s="4" t="n">
        <v>16940</v>
      </c>
      <c r="D18" s="4" t="n">
        <v>63810</v>
      </c>
      <c r="E18" s="4" t="n">
        <v>36161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Other Current Liabilities</t>
        </is>
      </c>
      <c r="B19" s="4" t="n">
        <v>374</v>
      </c>
      <c r="C19" s="4" t="n">
        <v>2610</v>
      </c>
      <c r="D19" s="4" t="n">
        <v>7305</v>
      </c>
      <c r="E19" s="4" t="n">
        <v>4920</v>
      </c>
      <c r="F19" s="5" t="n"/>
      <c r="G19" s="5" t="n"/>
      <c r="H19" s="5" t="n"/>
      <c r="I19" s="5" t="n"/>
      <c r="J19" s="5" t="n"/>
      <c r="K19" s="5" t="n"/>
    </row>
    <row r="20">
      <c r="A20" s="3" t="inlineStr">
        <is>
          <t>ROU/Lease</t>
        </is>
      </c>
      <c r="B20" s="4" t="n">
        <v>29</v>
      </c>
      <c r="C20" s="4" t="n">
        <v>-183</v>
      </c>
      <c r="D20" s="4" t="n">
        <v>-102</v>
      </c>
      <c r="E20" s="4" t="n">
        <v>535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Deferred Revenue</t>
        </is>
      </c>
      <c r="B21" s="4" t="n">
        <v>0</v>
      </c>
      <c r="C21" s="4" t="n">
        <v>189463</v>
      </c>
      <c r="D21" s="4" t="n">
        <v>-12723</v>
      </c>
      <c r="E21" s="4" t="n">
        <v>-9513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Other Long-Term Assets</t>
        </is>
      </c>
      <c r="B22" s="4" t="n">
        <v>0</v>
      </c>
      <c r="C22" s="4" t="n">
        <v>37</v>
      </c>
      <c r="D22" s="4" t="n">
        <v>-28</v>
      </c>
      <c r="E22" s="4" t="n">
        <v>-4862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Note Receivable</t>
        </is>
      </c>
      <c r="B23" s="4" t="n">
        <v>0</v>
      </c>
      <c r="C23" s="4" t="n">
        <v>0</v>
      </c>
      <c r="D23" s="4" t="n">
        <v>0</v>
      </c>
      <c r="E23" s="4" t="n">
        <v>2318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Distributor Termination</t>
        </is>
      </c>
      <c r="B24" s="4" t="n">
        <v>0</v>
      </c>
      <c r="C24" s="4" t="n">
        <v>3986</v>
      </c>
      <c r="D24" s="4" t="n">
        <v>-3739</v>
      </c>
      <c r="E24" s="4" t="n">
        <v>-248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7">
        <f>SUM(F2:F24)</f>
        <v/>
      </c>
      <c r="G25" s="7">
        <f>SUM(G2:G24)</f>
        <v/>
      </c>
      <c r="H25" s="7">
        <f>SUM(H2:H24)</f>
        <v/>
      </c>
      <c r="I25" s="7">
        <f>SUM(I2:I24)</f>
        <v/>
      </c>
      <c r="J25" s="7">
        <f>SUM(J2:J24)</f>
        <v/>
      </c>
      <c r="K25" s="7">
        <f>SUM(K2:K24)</f>
        <v/>
      </c>
    </row>
    <row r="26">
      <c r="A26" s="3" t="inlineStr">
        <is>
          <t>Collections from Note Receivable</t>
        </is>
      </c>
      <c r="B26" s="4" t="n">
        <v>1886</v>
      </c>
      <c r="C26" s="4" t="n">
        <v>2592</v>
      </c>
      <c r="D26" s="4" t="n">
        <v>3233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Purchase of Non-Marketable Equity Securities</t>
        </is>
      </c>
      <c r="B27" s="4" t="n">
        <v>0</v>
      </c>
      <c r="C27" s="4" t="n">
        <v>0</v>
      </c>
      <c r="D27" s="4" t="n">
        <v>0</v>
      </c>
      <c r="E27" s="4" t="n">
        <v>-3000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Acquisition of Big Beverages</t>
        </is>
      </c>
      <c r="B28" s="4" t="n">
        <v>0</v>
      </c>
      <c r="C28" s="4" t="n">
        <v>0</v>
      </c>
      <c r="D28" s="4" t="n">
        <v>0</v>
      </c>
      <c r="E28" s="4" t="n">
        <v>-75336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Purchase of PP&amp;E</t>
        </is>
      </c>
      <c r="B29" s="4" t="n">
        <v>-3150</v>
      </c>
      <c r="C29" s="4" t="n">
        <v>-8264</v>
      </c>
      <c r="D29" s="4" t="n">
        <v>-17433</v>
      </c>
      <c r="E29" s="4" t="n">
        <v>-23390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Cash Flow from Investing</t>
        </is>
      </c>
      <c r="B30" s="6">
        <f>SUM(B26:B29)</f>
        <v/>
      </c>
      <c r="C30" s="6">
        <f>SUM(C26:C29)</f>
        <v/>
      </c>
      <c r="D30" s="6">
        <f>SUM(D26:D29)</f>
        <v/>
      </c>
      <c r="E30" s="6">
        <f>SUM(E26:E29)</f>
        <v/>
      </c>
      <c r="F30" s="7">
        <f>SUM(F26:F29)</f>
        <v/>
      </c>
      <c r="G30" s="7">
        <f>SUM(G26:G29)</f>
        <v/>
      </c>
      <c r="H30" s="7">
        <f>SUM(H26:H29)</f>
        <v/>
      </c>
      <c r="I30" s="7">
        <f>SUM(I26:I29)</f>
        <v/>
      </c>
      <c r="J30" s="7">
        <f>SUM(J26:J29)</f>
        <v/>
      </c>
      <c r="K30" s="7">
        <f>SUM(K26:K29)</f>
        <v/>
      </c>
    </row>
    <row r="31">
      <c r="A31" s="3" t="inlineStr">
        <is>
          <t>Finance Lease Payments</t>
        </is>
      </c>
      <c r="B31" s="4" t="n">
        <v>-94</v>
      </c>
      <c r="C31" s="4" t="n">
        <v>-63</v>
      </c>
      <c r="D31" s="4" t="n">
        <v>-44</v>
      </c>
      <c r="E31" s="4" t="n">
        <v>-61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Repurchase of Common Stock (Tax Withholdings)</t>
        </is>
      </c>
      <c r="B32" s="4" t="n">
        <v>0</v>
      </c>
      <c r="C32" s="4" t="n">
        <v>0</v>
      </c>
      <c r="D32" s="4" t="n">
        <v>0</v>
      </c>
      <c r="E32" s="4" t="n">
        <v>-2261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Proceeds from Stock Options</t>
        </is>
      </c>
      <c r="B33" s="4" t="n">
        <v>3720</v>
      </c>
      <c r="C33" s="4" t="n">
        <v>3683</v>
      </c>
      <c r="D33" s="4" t="n">
        <v>2285</v>
      </c>
      <c r="E33" s="4" t="n">
        <v>3856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Proceeds from Common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Proceeds from Preferred</t>
        </is>
      </c>
      <c r="B35" s="4" t="n">
        <v>0</v>
      </c>
      <c r="C35" s="4" t="n">
        <v>542018</v>
      </c>
      <c r="D35" s="4" t="n">
        <v>0</v>
      </c>
      <c r="E35" s="4" t="n">
        <v>0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Dividends Paid on Preferred</t>
        </is>
      </c>
      <c r="B36" s="4" t="n">
        <v>0</v>
      </c>
      <c r="C36" s="4" t="n">
        <v>-11526</v>
      </c>
      <c r="D36" s="4" t="n">
        <v>-27462</v>
      </c>
      <c r="E36" s="4" t="n">
        <v>-27500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Cash Flow from Financing</t>
        </is>
      </c>
      <c r="B37" s="6">
        <f>SUM(B31:B36)</f>
        <v/>
      </c>
      <c r="C37" s="6">
        <f>SUM(C31:C36)</f>
        <v/>
      </c>
      <c r="D37" s="6">
        <f>SUM(D31:D36)</f>
        <v/>
      </c>
      <c r="E37" s="6">
        <f>SUM(E31:E36)</f>
        <v/>
      </c>
      <c r="F37" s="7">
        <f>SUM(F31:F36)</f>
        <v/>
      </c>
      <c r="G37" s="7">
        <f>SUM(G31:G36)</f>
        <v/>
      </c>
      <c r="H37" s="7">
        <f>SUM(H31:H36)</f>
        <v/>
      </c>
      <c r="I37" s="7">
        <f>SUM(I31:I36)</f>
        <v/>
      </c>
      <c r="J37" s="7">
        <f>SUM(J31:J36)</f>
        <v/>
      </c>
      <c r="K37" s="7">
        <f>SUM(K31:K36)</f>
        <v/>
      </c>
    </row>
    <row r="38">
      <c r="A38" s="3" t="inlineStr">
        <is>
          <t>FX Effect on Cash</t>
        </is>
      </c>
      <c r="B38" s="4" t="n">
        <v>-538</v>
      </c>
      <c r="C38" s="4" t="n">
        <v>50</v>
      </c>
      <c r="D38" s="4" t="n">
        <v>1257</v>
      </c>
      <c r="E38" s="4" t="n">
        <v>-997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Net Change in Cash</t>
        </is>
      </c>
      <c r="B39" s="4" t="n">
        <v>-26993</v>
      </c>
      <c r="C39" s="4" t="n">
        <v>636672</v>
      </c>
      <c r="D39" s="4" t="n">
        <v>103054</v>
      </c>
      <c r="E39" s="4" t="n">
        <v>134209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Cash at Beginning</t>
        </is>
      </c>
      <c r="B40" s="4" t="n">
        <v>43248</v>
      </c>
      <c r="C40" s="4" t="n">
        <v>16255</v>
      </c>
      <c r="D40" s="4" t="n">
        <v>652927</v>
      </c>
      <c r="E40" s="4" t="n">
        <v>755981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Cash at End</t>
        </is>
      </c>
      <c r="B41" s="4" t="n">
        <v>16255</v>
      </c>
      <c r="C41" s="4" t="n">
        <v>652927</v>
      </c>
      <c r="D41" s="4" t="n">
        <v>755981</v>
      </c>
      <c r="E41" s="4" t="n">
        <v>890190</v>
      </c>
      <c r="F41" s="5" t="n"/>
      <c r="G41" s="5" t="n"/>
      <c r="H41" s="5" t="n"/>
      <c r="I41" s="5" t="n"/>
      <c r="J41" s="5" t="n"/>
      <c r="K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2026-04-23T04:56:11Z</dcterms:created>
  <dcterms:modified xsi:type="dcterms:W3CDTF">2026-04-23T04:56:11Z</dcterms:modified>
</cp:coreProperties>
</file>