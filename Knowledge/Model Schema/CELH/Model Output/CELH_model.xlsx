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ASSUMPTIONS" sheetId="1" state="visible" r:id="rId1"/>
    <sheet name="ANNL P&amp;L" sheetId="2" state="visible" r:id="rId2"/>
    <sheet name="BALANCE SHEET" sheetId="3" state="visible" r:id="rId3"/>
    <sheet name="CASH FLOW" sheetId="4" state="visible" r:id="rId4"/>
    <sheet name="IS DRIVERS" sheetId="5" state="visible" r:id="rId5"/>
    <sheet name="BS DRIVERS" sheetId="6" state="visible" r:id="rId6"/>
    <sheet name="CF DRIVER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#,##0;(#,##0);&quot;--&quot;"/>
    <numFmt numFmtId="165" formatCode="$#,##0_);($#,##0);&quot;$--&quot;_)"/>
    <numFmt numFmtId="166" formatCode="0.0%;(0.0%);&quot;--&quot;"/>
    <numFmt numFmtId="167" formatCode="0.0;(0.0);&quot;--&quot;"/>
  </numFmts>
  <fonts count="4">
    <font>
      <name val="Calibri"/>
      <family val="2"/>
      <color theme="1"/>
      <sz val="11"/>
      <scheme val="minor"/>
    </font>
    <font>
      <b val="1"/>
      <color rgb="00FFFFFF"/>
    </font>
    <font>
      <b val="1"/>
    </font>
    <font>
      <b val="1"/>
      <i val="1"/>
      <color rgb="00595959"/>
    </font>
  </fonts>
  <fills count="6">
    <fill>
      <patternFill/>
    </fill>
    <fill>
      <patternFill patternType="gray125"/>
    </fill>
    <fill>
      <patternFill patternType="solid">
        <fgColor rgb="00203864"/>
        <bgColor rgb="00203864"/>
      </patternFill>
    </fill>
    <fill>
      <patternFill patternType="solid">
        <fgColor rgb="00F2F2F2"/>
        <bgColor rgb="00F2F2F2"/>
      </patternFill>
    </fill>
    <fill>
      <patternFill patternType="solid">
        <fgColor rgb="00FFF2CC"/>
        <bgColor rgb="00FFF2CC"/>
      </patternFill>
    </fill>
    <fill>
      <patternFill patternType="solid">
        <fgColor rgb="00EAEAEA"/>
        <bgColor rgb="00EAEAEA"/>
      </patternFill>
    </fill>
  </fills>
  <borders count="2">
    <border>
      <left/>
      <right/>
      <top/>
      <bottom/>
      <diagonal/>
    </border>
    <border>
      <top style="thin">
        <color rgb="00000000"/>
      </top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2" borderId="0" pivotButton="0" quotePrefix="0" xfId="0"/>
    <xf numFmtId="0" fontId="1" fillId="2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0" fontId="0" fillId="3" borderId="0" pivotButton="0" quotePrefix="0" xfId="0"/>
    <xf numFmtId="165" fontId="2" fillId="0" borderId="1" pivotButton="0" quotePrefix="0" xfId="0"/>
    <xf numFmtId="165" fontId="2" fillId="3" borderId="1" pivotButton="0" quotePrefix="0" xfId="0"/>
    <xf numFmtId="0" fontId="0" fillId="4" borderId="0" pivotButton="0" quotePrefix="0" xfId="0"/>
    <xf numFmtId="164" fontId="0" fillId="4" borderId="0" pivotButton="0" quotePrefix="0" xfId="0"/>
    <xf numFmtId="166" fontId="0" fillId="0" borderId="0" pivotButton="0" quotePrefix="0" xfId="0"/>
    <xf numFmtId="166" fontId="0" fillId="4" borderId="0" pivotButton="0" quotePrefix="0" xfId="0"/>
    <xf numFmtId="166" fontId="0" fillId="3" borderId="0" pivotButton="0" quotePrefix="0" xfId="0"/>
    <xf numFmtId="164" fontId="0" fillId="3" borderId="0" pivotButton="0" quotePrefix="0" xfId="0"/>
    <xf numFmtId="0" fontId="3" fillId="5" borderId="0" pivotButton="0" quotePrefix="0" xfId="0"/>
    <xf numFmtId="0" fontId="0" fillId="5" borderId="0" pivotButton="0" quotePrefix="0" xfId="0"/>
    <xf numFmtId="167" fontId="0" fillId="0" borderId="0" pivotButton="0" quotePrefix="0" xfId="0"/>
    <xf numFmtId="167" fontId="0" fillId="3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2" customWidth="1" min="1" max="1"/>
    <col width="14" customWidth="1" min="2" max="2"/>
    <col width="60" customWidth="1" min="3" max="3"/>
  </cols>
  <sheetData>
    <row r="1">
      <c r="A1" s="2" t="inlineStr">
        <is>
          <t>Assumption</t>
        </is>
      </c>
      <c r="B1" s="2" t="inlineStr">
        <is>
          <t>Value</t>
        </is>
      </c>
      <c r="C1" s="2" t="inlineStr">
        <is>
          <t>Note</t>
        </is>
      </c>
    </row>
    <row r="2">
      <c r="A2" s="3" t="inlineStr">
        <is>
          <t>Days in Year</t>
        </is>
      </c>
      <c r="B2" s="8" t="n">
        <v>365</v>
      </c>
      <c r="C2" t="inlineStr">
        <is>
          <t>Used in DSO, DIO, DPO formulas</t>
        </is>
      </c>
    </row>
    <row r="3">
      <c r="A3" s="3" t="inlineStr">
        <is>
          <t>Share Repurchases $</t>
        </is>
      </c>
      <c r="B3" s="9" t="n">
        <v>0</v>
      </c>
      <c r="C3" t="inlineStr">
        <is>
          <t>Per-period repurchase assumption for projection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4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</cols>
  <sheetData>
    <row r="1">
      <c r="A1" s="1" t="inlineStr"/>
      <c r="B1" s="2" t="inlineStr">
        <is>
          <t>FY2021</t>
        </is>
      </c>
      <c r="C1" s="2" t="inlineStr">
        <is>
          <t>FY2022</t>
        </is>
      </c>
      <c r="D1" s="2" t="inlineStr">
        <is>
          <t>FY2023</t>
        </is>
      </c>
      <c r="E1" s="2" t="inlineStr">
        <is>
          <t>FY2024</t>
        </is>
      </c>
      <c r="F1" s="2" t="inlineStr">
        <is>
          <t>FY2025E</t>
        </is>
      </c>
      <c r="G1" s="2" t="inlineStr">
        <is>
          <t>FY2026E</t>
        </is>
      </c>
      <c r="H1" s="2" t="inlineStr">
        <is>
          <t>FY2027E</t>
        </is>
      </c>
      <c r="I1" s="2" t="inlineStr">
        <is>
          <t>FY2028E</t>
        </is>
      </c>
      <c r="J1" s="2" t="inlineStr">
        <is>
          <t>FY2029E</t>
        </is>
      </c>
      <c r="K1" s="2" t="inlineStr">
        <is>
          <t>FY2030E</t>
        </is>
      </c>
    </row>
    <row r="2">
      <c r="A2" s="3" t="inlineStr">
        <is>
          <t>Net Sales / Revenue</t>
        </is>
      </c>
      <c r="B2" s="4" t="n">
        <v>314272</v>
      </c>
      <c r="C2" s="4" t="n">
        <v>653604</v>
      </c>
      <c r="D2" s="4" t="n">
        <v>1318014</v>
      </c>
      <c r="E2" s="4" t="n">
        <v>1355630</v>
      </c>
      <c r="F2" s="5" t="n"/>
      <c r="G2" s="5" t="n"/>
      <c r="H2" s="5" t="n"/>
      <c r="I2" s="5" t="n"/>
      <c r="J2" s="5" t="n"/>
      <c r="K2" s="5" t="n"/>
    </row>
    <row r="3">
      <c r="A3" s="3" t="inlineStr">
        <is>
          <t>COGS</t>
        </is>
      </c>
      <c r="B3" s="4" t="n">
        <v>186103</v>
      </c>
      <c r="C3" s="4" t="n">
        <v>382735</v>
      </c>
      <c r="D3" s="4" t="n">
        <v>684875</v>
      </c>
      <c r="E3" s="4" t="n">
        <v>675423</v>
      </c>
      <c r="F3" s="5" t="n"/>
      <c r="G3" s="5" t="n"/>
      <c r="H3" s="5" t="n"/>
      <c r="I3" s="5" t="n"/>
      <c r="J3" s="5" t="n"/>
      <c r="K3" s="5" t="n"/>
    </row>
    <row r="4">
      <c r="A4" s="3" t="inlineStr">
        <is>
          <t>Gross Profit (Loss)</t>
        </is>
      </c>
      <c r="B4" s="6">
        <f>B2-B3</f>
        <v/>
      </c>
      <c r="C4" s="6">
        <f>C2-C3</f>
        <v/>
      </c>
      <c r="D4" s="6">
        <f>D2-D3</f>
        <v/>
      </c>
      <c r="E4" s="6">
        <f>E2-E3</f>
        <v/>
      </c>
      <c r="F4" s="7">
        <f>F2-F3</f>
        <v/>
      </c>
      <c r="G4" s="7">
        <f>G2-G3</f>
        <v/>
      </c>
      <c r="H4" s="7">
        <f>H2-H3</f>
        <v/>
      </c>
      <c r="I4" s="7">
        <f>I2-I3</f>
        <v/>
      </c>
      <c r="J4" s="7">
        <f>J2-J3</f>
        <v/>
      </c>
      <c r="K4" s="7">
        <f>K2-K3</f>
        <v/>
      </c>
    </row>
    <row r="5">
      <c r="A5" s="3" t="inlineStr">
        <is>
          <t>SG&amp;A</t>
        </is>
      </c>
      <c r="B5" s="4" t="n">
        <v>132259</v>
      </c>
      <c r="C5" s="4" t="n">
        <v>428670</v>
      </c>
      <c r="D5" s="4" t="n">
        <v>366773</v>
      </c>
      <c r="E5" s="4" t="n">
        <v>524479</v>
      </c>
      <c r="F5" s="5" t="n"/>
      <c r="G5" s="5" t="n"/>
      <c r="H5" s="5" t="n"/>
      <c r="I5" s="5" t="n"/>
      <c r="J5" s="5" t="n"/>
      <c r="K5" s="5" t="n"/>
    </row>
    <row r="6">
      <c r="A6" s="3" t="inlineStr">
        <is>
          <t>Income (Loss) from Operations</t>
        </is>
      </c>
      <c r="B6" s="6">
        <f>B4-B5</f>
        <v/>
      </c>
      <c r="C6" s="6">
        <f>C4-C5</f>
        <v/>
      </c>
      <c r="D6" s="6">
        <f>D4-D5</f>
        <v/>
      </c>
      <c r="E6" s="6">
        <f>E4-E5</f>
        <v/>
      </c>
      <c r="F6" s="7">
        <f>F4-F5</f>
        <v/>
      </c>
      <c r="G6" s="7">
        <f>G4-G5</f>
        <v/>
      </c>
      <c r="H6" s="7">
        <f>H4-H5</f>
        <v/>
      </c>
      <c r="I6" s="7">
        <f>I4-I5</f>
        <v/>
      </c>
      <c r="J6" s="7">
        <f>J4-J5</f>
        <v/>
      </c>
      <c r="K6" s="7">
        <f>K4-K5</f>
        <v/>
      </c>
    </row>
    <row r="7">
      <c r="A7" s="3" t="inlineStr">
        <is>
          <t>Interest Income (Expense)</t>
        </is>
      </c>
      <c r="B7" s="4" t="n">
        <v>-307</v>
      </c>
      <c r="C7" s="4" t="n">
        <v>-5529</v>
      </c>
      <c r="D7" s="4" t="n">
        <v>-26629</v>
      </c>
      <c r="E7" s="4" t="n">
        <v>-39263</v>
      </c>
      <c r="F7" s="5" t="n"/>
      <c r="G7" s="5" t="n"/>
      <c r="H7" s="5" t="n"/>
      <c r="I7" s="5" t="n"/>
      <c r="J7" s="5" t="n"/>
      <c r="K7" s="5" t="n"/>
    </row>
    <row r="8">
      <c r="A8" s="3" t="inlineStr">
        <is>
          <t>Foreign Currency Gain (Loss)</t>
        </is>
      </c>
      <c r="B8" s="4" t="n">
        <v>276</v>
      </c>
      <c r="C8" s="4" t="n">
        <v>392</v>
      </c>
      <c r="D8" s="4" t="n">
        <v>1246</v>
      </c>
      <c r="E8" s="4" t="n">
        <v>1734</v>
      </c>
      <c r="F8" s="5" t="n"/>
      <c r="G8" s="5" t="n"/>
      <c r="H8" s="5" t="n"/>
      <c r="I8" s="5" t="n"/>
      <c r="J8" s="5" t="n"/>
      <c r="K8" s="5" t="n"/>
    </row>
    <row r="9">
      <c r="A9" s="3" t="inlineStr">
        <is>
          <t>Other Income (Expense)</t>
        </is>
      </c>
      <c r="B9" s="4" t="n">
        <v>0</v>
      </c>
      <c r="C9" s="4" t="n">
        <v>0</v>
      </c>
      <c r="D9" s="4" t="n">
        <v>0</v>
      </c>
      <c r="E9" s="4" t="n">
        <v>-1793</v>
      </c>
      <c r="F9" s="5" t="n"/>
      <c r="G9" s="5" t="n"/>
      <c r="H9" s="5" t="n"/>
      <c r="I9" s="5" t="n"/>
      <c r="J9" s="5" t="n"/>
      <c r="K9" s="5" t="n"/>
    </row>
    <row r="10">
      <c r="A10" s="3" t="inlineStr">
        <is>
          <t>Pre-Tax Income (Loss)</t>
        </is>
      </c>
      <c r="B10" s="6">
        <f>B6-SUM(B7:B9)</f>
        <v/>
      </c>
      <c r="C10" s="6">
        <f>C6-SUM(C7:C9)</f>
        <v/>
      </c>
      <c r="D10" s="6">
        <f>D6-SUM(D7:D9)</f>
        <v/>
      </c>
      <c r="E10" s="6">
        <f>E6-SUM(E7:E9)</f>
        <v/>
      </c>
      <c r="F10" s="7">
        <f>F6-SUM(F7:F9)</f>
        <v/>
      </c>
      <c r="G10" s="7">
        <f>G6-SUM(G7:G9)</f>
        <v/>
      </c>
      <c r="H10" s="7">
        <f>H6-SUM(H7:H9)</f>
        <v/>
      </c>
      <c r="I10" s="7">
        <f>I6-SUM(I7:I9)</f>
        <v/>
      </c>
      <c r="J10" s="7">
        <f>J6-SUM(J7:J9)</f>
        <v/>
      </c>
      <c r="K10" s="7">
        <f>K6-SUM(K7:K9)</f>
        <v/>
      </c>
    </row>
    <row r="11">
      <c r="A11" s="3" t="inlineStr">
        <is>
          <t>Income Tax (Benefit) Expense</t>
        </is>
      </c>
      <c r="B11" s="4" t="n">
        <v>-7996</v>
      </c>
      <c r="C11" s="4" t="n">
        <v>34618</v>
      </c>
      <c r="D11" s="4" t="n">
        <v>64948</v>
      </c>
      <c r="E11" s="4" t="n">
        <v>49976</v>
      </c>
      <c r="F11" s="5" t="n"/>
      <c r="G11" s="5" t="n"/>
      <c r="H11" s="5" t="n"/>
      <c r="I11" s="5" t="n"/>
      <c r="J11" s="5" t="n"/>
      <c r="K11" s="5" t="n"/>
    </row>
    <row r="12">
      <c r="A12" s="3" t="inlineStr">
        <is>
          <t>Net Income (Loss)</t>
        </is>
      </c>
      <c r="B12" s="6">
        <f>B10-B11</f>
        <v/>
      </c>
      <c r="C12" s="6">
        <f>C10-C11</f>
        <v/>
      </c>
      <c r="D12" s="6">
        <f>D10-D11</f>
        <v/>
      </c>
      <c r="E12" s="6">
        <f>E10-E11</f>
        <v/>
      </c>
      <c r="F12" s="7">
        <f>F10-F11</f>
        <v/>
      </c>
      <c r="G12" s="7">
        <f>G10-G11</f>
        <v/>
      </c>
      <c r="H12" s="7">
        <f>H10-H11</f>
        <v/>
      </c>
      <c r="I12" s="7">
        <f>I10-I11</f>
        <v/>
      </c>
      <c r="J12" s="7">
        <f>J10-J11</f>
        <v/>
      </c>
      <c r="K12" s="7">
        <f>K10-K11</f>
        <v/>
      </c>
    </row>
    <row r="13">
      <c r="A13" s="3" t="inlineStr">
        <is>
          <t>Preferred Dividends</t>
        </is>
      </c>
      <c r="B13" s="4" t="n">
        <v>0</v>
      </c>
      <c r="C13" s="4" t="n">
        <v>-11526</v>
      </c>
      <c r="D13" s="4" t="n">
        <v>-27462</v>
      </c>
      <c r="E13" s="4" t="n">
        <v>-27500</v>
      </c>
      <c r="F13" s="5" t="n"/>
      <c r="G13" s="5" t="n"/>
      <c r="H13" s="5" t="n"/>
      <c r="I13" s="5" t="n"/>
      <c r="J13" s="5" t="n"/>
      <c r="K13" s="5" t="n"/>
    </row>
    <row r="14">
      <c r="A14" s="3" t="inlineStr">
        <is>
          <t>Income Allocated to Participating Preferred</t>
        </is>
      </c>
      <c r="B14" s="4" t="n">
        <v>0</v>
      </c>
      <c r="C14" s="4" t="n">
        <v>0</v>
      </c>
      <c r="D14" s="4" t="n">
        <v>-17348</v>
      </c>
      <c r="E14" s="4" t="n">
        <v>-10117</v>
      </c>
      <c r="F14" s="5" t="n"/>
      <c r="G14" s="5" t="n"/>
      <c r="H14" s="5" t="n"/>
      <c r="I14" s="5" t="n"/>
      <c r="J14" s="5" t="n"/>
      <c r="K14" s="5" t="n"/>
    </row>
    <row r="15">
      <c r="A15" s="3" t="inlineStr">
        <is>
          <t>Net Income (Loss) Attributable to Common Shareholders</t>
        </is>
      </c>
      <c r="B15" s="4" t="n">
        <v>3937</v>
      </c>
      <c r="C15" s="4" t="n">
        <v>-198808</v>
      </c>
      <c r="D15" s="4" t="n">
        <v>181991</v>
      </c>
      <c r="E15" s="4" t="n">
        <v>107457</v>
      </c>
      <c r="F15" s="5" t="n"/>
      <c r="G15" s="5" t="n"/>
      <c r="H15" s="5" t="n"/>
      <c r="I15" s="5" t="n"/>
      <c r="J15" s="5" t="n"/>
      <c r="K15" s="5" t="n"/>
    </row>
    <row r="16">
      <c r="A16" s="3" t="inlineStr">
        <is>
          <t>Basic Earnings (Loss) per Share</t>
        </is>
      </c>
      <c r="B16" s="4" t="n">
        <v>0.02</v>
      </c>
      <c r="C16" s="4" t="n">
        <v>-0.88</v>
      </c>
      <c r="D16" s="4" t="n">
        <v>0.79</v>
      </c>
      <c r="E16" s="4" t="n">
        <v>0.46</v>
      </c>
      <c r="F16" s="5" t="n"/>
      <c r="G16" s="5" t="n"/>
      <c r="H16" s="5" t="n"/>
      <c r="I16" s="5" t="n"/>
      <c r="J16" s="5" t="n"/>
      <c r="K16" s="5" t="n"/>
    </row>
    <row r="17">
      <c r="A17" s="3" t="inlineStr">
        <is>
          <t>Diluted Earnings (Loss) per Share</t>
        </is>
      </c>
      <c r="B17" s="4" t="n">
        <v>0.02</v>
      </c>
      <c r="C17" s="4" t="n">
        <v>-0.88</v>
      </c>
      <c r="D17" s="4" t="n">
        <v>0.77</v>
      </c>
      <c r="E17" s="4" t="n">
        <v>0.45</v>
      </c>
      <c r="F17" s="5" t="n"/>
      <c r="G17" s="5" t="n"/>
      <c r="H17" s="5" t="n"/>
      <c r="I17" s="5" t="n"/>
      <c r="J17" s="5" t="n"/>
      <c r="K17" s="5" t="n"/>
    </row>
    <row r="18">
      <c r="A18" s="3" t="inlineStr">
        <is>
          <t>Weighted Average Shares Outstanding (Basic)</t>
        </is>
      </c>
      <c r="B18" s="4" t="n">
        <v>221343</v>
      </c>
      <c r="C18" s="4" t="n">
        <v>226947</v>
      </c>
      <c r="D18" s="4" t="n">
        <v>230784</v>
      </c>
      <c r="E18" s="4" t="n">
        <v>233667</v>
      </c>
      <c r="F18" s="5" t="n"/>
      <c r="G18" s="5" t="n"/>
      <c r="H18" s="5" t="n"/>
      <c r="I18" s="5" t="n"/>
      <c r="J18" s="5" t="n"/>
      <c r="K18" s="5" t="n"/>
    </row>
    <row r="19">
      <c r="A19" s="3" t="inlineStr">
        <is>
          <t>Weighted Average Shares Outstanding (Diluted)</t>
        </is>
      </c>
      <c r="B19" s="4" t="n">
        <v>233067</v>
      </c>
      <c r="C19" s="4" t="n">
        <v>226947</v>
      </c>
      <c r="D19" s="4" t="n">
        <v>236964</v>
      </c>
      <c r="E19" s="4" t="n">
        <v>237404</v>
      </c>
      <c r="F19" s="5" t="n"/>
      <c r="G19" s="5" t="n"/>
      <c r="H19" s="5" t="n"/>
      <c r="I19" s="5" t="n"/>
      <c r="J19" s="5" t="n"/>
      <c r="K19" s="5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41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4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>
      <c r="A1" s="1" t="inlineStr"/>
      <c r="B1" s="2" t="inlineStr">
        <is>
          <t>FY2022</t>
        </is>
      </c>
      <c r="C1" s="2" t="inlineStr">
        <is>
          <t>FY2023</t>
        </is>
      </c>
      <c r="D1" s="2" t="inlineStr">
        <is>
          <t>FY2024</t>
        </is>
      </c>
      <c r="E1" s="2" t="inlineStr">
        <is>
          <t>FY2025E</t>
        </is>
      </c>
      <c r="F1" s="2" t="inlineStr">
        <is>
          <t>FY2026E</t>
        </is>
      </c>
      <c r="G1" s="2" t="inlineStr">
        <is>
          <t>FY2027E</t>
        </is>
      </c>
      <c r="H1" s="2" t="inlineStr">
        <is>
          <t>FY2028E</t>
        </is>
      </c>
      <c r="I1" s="2" t="inlineStr">
        <is>
          <t>FY2029E</t>
        </is>
      </c>
      <c r="J1" s="2" t="inlineStr">
        <is>
          <t>FY2030E</t>
        </is>
      </c>
    </row>
    <row r="2">
      <c r="A2" s="3" t="inlineStr">
        <is>
          <t>Cash &amp; Cash Equivalents</t>
        </is>
      </c>
      <c r="B2" s="4" t="n">
        <v>614159</v>
      </c>
      <c r="C2" s="4" t="n">
        <v>755981</v>
      </c>
      <c r="D2" s="4" t="n">
        <v>890190</v>
      </c>
      <c r="E2" s="5" t="n"/>
      <c r="F2" s="5" t="n"/>
      <c r="G2" s="5" t="n"/>
      <c r="H2" s="5" t="n"/>
      <c r="I2" s="5" t="n"/>
      <c r="J2" s="5" t="n"/>
    </row>
    <row r="3">
      <c r="A3" s="3" t="inlineStr">
        <is>
          <t>Restricted Cash</t>
        </is>
      </c>
      <c r="B3" s="4" t="n">
        <v>38768</v>
      </c>
      <c r="C3" s="4" t="n">
        <v>0</v>
      </c>
      <c r="D3" s="4" t="n">
        <v>0</v>
      </c>
      <c r="E3" s="5" t="n"/>
      <c r="F3" s="5" t="n"/>
      <c r="G3" s="5" t="n"/>
      <c r="H3" s="5" t="n"/>
      <c r="I3" s="5" t="n"/>
      <c r="J3" s="5" t="n"/>
    </row>
    <row r="4">
      <c r="A4" s="3" t="inlineStr">
        <is>
          <t>Accounts Receivable</t>
        </is>
      </c>
      <c r="B4" s="4" t="n">
        <v>63311</v>
      </c>
      <c r="C4" s="4" t="n">
        <v>183703</v>
      </c>
      <c r="D4" s="4" t="n">
        <v>270342</v>
      </c>
      <c r="E4" s="5" t="n"/>
      <c r="F4" s="5" t="n"/>
      <c r="G4" s="5" t="n"/>
      <c r="H4" s="5" t="n"/>
      <c r="I4" s="5" t="n"/>
      <c r="J4" s="5" t="n"/>
    </row>
    <row r="5">
      <c r="A5" s="3" t="inlineStr">
        <is>
          <t>Note Receivable - Current</t>
        </is>
      </c>
      <c r="B5" s="4" t="n">
        <v>2979</v>
      </c>
      <c r="C5" s="4" t="n">
        <v>2318</v>
      </c>
      <c r="D5" s="4" t="n">
        <v>0</v>
      </c>
      <c r="E5" s="5" t="n"/>
      <c r="F5" s="5" t="n"/>
      <c r="G5" s="5" t="n"/>
      <c r="H5" s="5" t="n"/>
      <c r="I5" s="5" t="n"/>
      <c r="J5" s="5" t="n"/>
    </row>
    <row r="6">
      <c r="A6" s="3" t="inlineStr">
        <is>
          <t>Inventories</t>
        </is>
      </c>
      <c r="B6" s="4" t="n">
        <v>173289</v>
      </c>
      <c r="C6" s="4" t="n">
        <v>229275</v>
      </c>
      <c r="D6" s="4" t="n">
        <v>131165</v>
      </c>
      <c r="E6" s="5" t="n"/>
      <c r="F6" s="5" t="n"/>
      <c r="G6" s="5" t="n"/>
      <c r="H6" s="5" t="n"/>
      <c r="I6" s="5" t="n"/>
      <c r="J6" s="5" t="n"/>
    </row>
    <row r="7">
      <c r="A7" s="3" t="inlineStr">
        <is>
          <t>Deferred Other Costs - Current</t>
        </is>
      </c>
      <c r="B7" s="4" t="n">
        <v>14124</v>
      </c>
      <c r="C7" s="4" t="n">
        <v>14124</v>
      </c>
      <c r="D7" s="4" t="n">
        <v>14124</v>
      </c>
      <c r="E7" s="5" t="n"/>
      <c r="F7" s="5" t="n"/>
      <c r="G7" s="5" t="n"/>
      <c r="H7" s="5" t="n"/>
      <c r="I7" s="5" t="n"/>
      <c r="J7" s="5" t="n"/>
    </row>
    <row r="8">
      <c r="A8" s="3" t="inlineStr">
        <is>
          <t>Prepaid Expenses</t>
        </is>
      </c>
      <c r="B8" s="4" t="n">
        <v>11341</v>
      </c>
      <c r="C8" s="4" t="n">
        <v>19503</v>
      </c>
      <c r="D8" s="4" t="n">
        <v>18759</v>
      </c>
      <c r="E8" s="5" t="n"/>
      <c r="F8" s="5" t="n"/>
      <c r="G8" s="5" t="n"/>
      <c r="H8" s="5" t="n"/>
      <c r="I8" s="5" t="n"/>
      <c r="J8" s="5" t="n"/>
    </row>
    <row r="9">
      <c r="A9" s="3" t="inlineStr">
        <is>
          <t>Total Current Assets</t>
        </is>
      </c>
      <c r="B9" s="6">
        <f>SUM(B2:B8)</f>
        <v/>
      </c>
      <c r="C9" s="6">
        <f>SUM(C2:C8)</f>
        <v/>
      </c>
      <c r="D9" s="6">
        <f>SUM(D2:D8)</f>
        <v/>
      </c>
      <c r="E9" s="7">
        <f>SUM(E2:E8)</f>
        <v/>
      </c>
      <c r="F9" s="7">
        <f>SUM(F2:F8)</f>
        <v/>
      </c>
      <c r="G9" s="7">
        <f>SUM(G2:G8)</f>
        <v/>
      </c>
      <c r="H9" s="7">
        <f>SUM(H2:H8)</f>
        <v/>
      </c>
      <c r="I9" s="7">
        <f>SUM(I2:I8)</f>
        <v/>
      </c>
      <c r="J9" s="7">
        <f>SUM(J2:J8)</f>
        <v/>
      </c>
    </row>
    <row r="10">
      <c r="A10" s="3" t="inlineStr">
        <is>
          <t>Note Receivable - Non-Current</t>
        </is>
      </c>
      <c r="B10" s="4" t="n">
        <v>3574</v>
      </c>
      <c r="C10" s="4" t="n">
        <v>0</v>
      </c>
      <c r="D10" s="4" t="n">
        <v>0</v>
      </c>
      <c r="E10" s="5" t="n"/>
      <c r="F10" s="5" t="n"/>
      <c r="G10" s="5" t="n"/>
      <c r="H10" s="5" t="n"/>
      <c r="I10" s="5" t="n"/>
      <c r="J10" s="5" t="n"/>
    </row>
    <row r="11">
      <c r="A11" s="3" t="inlineStr">
        <is>
          <t>Net PP&amp;E</t>
        </is>
      </c>
      <c r="B11" s="4" t="n">
        <v>10185</v>
      </c>
      <c r="C11" s="4" t="n">
        <v>24868</v>
      </c>
      <c r="D11" s="4" t="n">
        <v>55602</v>
      </c>
      <c r="E11" s="5" t="n"/>
      <c r="F11" s="5" t="n"/>
      <c r="G11" s="5" t="n"/>
      <c r="H11" s="5" t="n"/>
      <c r="I11" s="5" t="n"/>
      <c r="J11" s="5" t="n"/>
    </row>
    <row r="12">
      <c r="A12" s="3" t="inlineStr">
        <is>
          <t>ROU Assets - Operating - Non-Current</t>
        </is>
      </c>
      <c r="B12" s="4" t="n">
        <v>972</v>
      </c>
      <c r="C12" s="4" t="n">
        <v>1957</v>
      </c>
      <c r="D12" s="4" t="n">
        <v>21606</v>
      </c>
      <c r="E12" s="5" t="n"/>
      <c r="F12" s="5" t="n"/>
      <c r="G12" s="5" t="n"/>
      <c r="H12" s="5" t="n"/>
      <c r="I12" s="5" t="n"/>
      <c r="J12" s="5" t="n"/>
    </row>
    <row r="13">
      <c r="A13" s="3" t="inlineStr">
        <is>
          <t>ROU Assets - Finance - Non-Current</t>
        </is>
      </c>
      <c r="B13" s="4" t="n">
        <v>208</v>
      </c>
      <c r="C13" s="4" t="n">
        <v>208</v>
      </c>
      <c r="D13" s="4" t="n">
        <v>230</v>
      </c>
      <c r="E13" s="5" t="n"/>
      <c r="F13" s="5" t="n"/>
      <c r="G13" s="5" t="n"/>
      <c r="H13" s="5" t="n"/>
      <c r="I13" s="5" t="n"/>
      <c r="J13" s="5" t="n"/>
    </row>
    <row r="14">
      <c r="A14" s="3" t="inlineStr">
        <is>
          <t>Intangible Assets</t>
        </is>
      </c>
      <c r="B14" s="4" t="n">
        <v>12254</v>
      </c>
      <c r="C14" s="4" t="n">
        <v>12139</v>
      </c>
      <c r="D14" s="4" t="n">
        <v>12213</v>
      </c>
      <c r="E14" s="5" t="n"/>
      <c r="F14" s="5" t="n"/>
      <c r="G14" s="5" t="n"/>
      <c r="H14" s="5" t="n"/>
      <c r="I14" s="5" t="n"/>
      <c r="J14" s="5" t="n"/>
    </row>
    <row r="15">
      <c r="A15" s="3" t="inlineStr">
        <is>
          <t>Goodwill</t>
        </is>
      </c>
      <c r="B15" s="4" t="n">
        <v>13679</v>
      </c>
      <c r="C15" s="4" t="n">
        <v>14173</v>
      </c>
      <c r="D15" s="4" t="n">
        <v>71582</v>
      </c>
      <c r="E15" s="5" t="n"/>
      <c r="F15" s="5" t="n"/>
      <c r="G15" s="5" t="n"/>
      <c r="H15" s="5" t="n"/>
      <c r="I15" s="5" t="n"/>
      <c r="J15" s="5" t="n"/>
    </row>
    <row r="16">
      <c r="A16" s="3" t="inlineStr">
        <is>
          <t>Deferred Other Costs - Non-Current</t>
        </is>
      </c>
      <c r="B16" s="4" t="n">
        <v>262462</v>
      </c>
      <c r="C16" s="4" t="n">
        <v>248338</v>
      </c>
      <c r="D16" s="4" t="n">
        <v>234215</v>
      </c>
      <c r="E16" s="5" t="n"/>
      <c r="F16" s="5" t="n"/>
      <c r="G16" s="5" t="n"/>
      <c r="H16" s="5" t="n"/>
      <c r="I16" s="5" t="n"/>
      <c r="J16" s="5" t="n"/>
    </row>
    <row r="17">
      <c r="A17" s="3" t="inlineStr">
        <is>
          <t>Deferred Tax Assets</t>
        </is>
      </c>
      <c r="B17" s="4" t="n">
        <v>501</v>
      </c>
      <c r="C17" s="4" t="n">
        <v>29518</v>
      </c>
      <c r="D17" s="4" t="n">
        <v>38699</v>
      </c>
      <c r="E17" s="5" t="n"/>
      <c r="F17" s="5" t="n"/>
      <c r="G17" s="5" t="n"/>
      <c r="H17" s="5" t="n"/>
      <c r="I17" s="5" t="n"/>
      <c r="J17" s="5" t="n"/>
    </row>
    <row r="18">
      <c r="A18" s="3" t="inlineStr">
        <is>
          <t>Other Non-Current Assets</t>
        </is>
      </c>
      <c r="B18" s="4" t="n">
        <v>263</v>
      </c>
      <c r="C18" s="4" t="n">
        <v>291</v>
      </c>
      <c r="D18" s="4" t="n">
        <v>8154</v>
      </c>
      <c r="E18" s="5" t="n"/>
      <c r="F18" s="5" t="n"/>
      <c r="G18" s="5" t="n"/>
      <c r="H18" s="5" t="n"/>
      <c r="I18" s="5" t="n"/>
      <c r="J18" s="5" t="n"/>
    </row>
    <row r="19">
      <c r="A19" s="3" t="inlineStr">
        <is>
          <t>Total Assets</t>
        </is>
      </c>
      <c r="B19" s="6">
        <f>B9+SUM(B10:B18)</f>
        <v/>
      </c>
      <c r="C19" s="6">
        <f>C9+SUM(C10:C18)</f>
        <v/>
      </c>
      <c r="D19" s="6">
        <f>D9+SUM(D10:D18)</f>
        <v/>
      </c>
      <c r="E19" s="7">
        <f>E9+SUM(E10:E18)</f>
        <v/>
      </c>
      <c r="F19" s="7">
        <f>F9+SUM(F10:F18)</f>
        <v/>
      </c>
      <c r="G19" s="7">
        <f>G9+SUM(G10:G18)</f>
        <v/>
      </c>
      <c r="H19" s="7">
        <f>H9+SUM(H10:H18)</f>
        <v/>
      </c>
      <c r="I19" s="7">
        <f>I9+SUM(I10:I18)</f>
        <v/>
      </c>
      <c r="J19" s="7">
        <f>J9+SUM(J10:J18)</f>
        <v/>
      </c>
    </row>
    <row r="20">
      <c r="A20" s="3" t="inlineStr">
        <is>
          <t>Accounts Payable</t>
        </is>
      </c>
      <c r="B20" s="4" t="n">
        <v>36248</v>
      </c>
      <c r="C20" s="4" t="n">
        <v>42840</v>
      </c>
      <c r="D20" s="4" t="n">
        <v>41287</v>
      </c>
      <c r="E20" s="5" t="n"/>
      <c r="F20" s="5" t="n"/>
      <c r="G20" s="5" t="n"/>
      <c r="H20" s="5" t="n"/>
      <c r="I20" s="5" t="n"/>
      <c r="J20" s="5" t="n"/>
    </row>
    <row r="21">
      <c r="A21" s="3" t="inlineStr">
        <is>
          <t>Accrued Expenses</t>
        </is>
      </c>
      <c r="B21" s="4" t="n">
        <v>69899</v>
      </c>
      <c r="C21" s="4" t="n">
        <v>62120</v>
      </c>
      <c r="D21" s="4" t="n">
        <v>148780</v>
      </c>
      <c r="E21" s="5" t="n"/>
      <c r="F21" s="5" t="n"/>
      <c r="G21" s="5" t="n"/>
      <c r="H21" s="5" t="n"/>
      <c r="I21" s="5" t="n"/>
      <c r="J21" s="5" t="n"/>
    </row>
    <row r="22">
      <c r="A22" s="3" t="inlineStr">
        <is>
          <t>Income Taxes Payable</t>
        </is>
      </c>
      <c r="B22" s="4" t="n">
        <v>1193</v>
      </c>
      <c r="C22" s="4" t="n">
        <v>50424</v>
      </c>
      <c r="D22" s="4" t="n">
        <v>10834</v>
      </c>
      <c r="E22" s="5" t="n"/>
      <c r="F22" s="5" t="n"/>
      <c r="G22" s="5" t="n"/>
      <c r="H22" s="5" t="n"/>
      <c r="I22" s="5" t="n"/>
      <c r="J22" s="5" t="n"/>
    </row>
    <row r="23">
      <c r="A23" s="3" t="inlineStr">
        <is>
          <t>Accrued Distributor Termination Fees</t>
        </is>
      </c>
      <c r="B23" s="4" t="n">
        <v>3986</v>
      </c>
      <c r="C23" s="4" t="n">
        <v>0</v>
      </c>
      <c r="D23" s="4" t="n">
        <v>0</v>
      </c>
      <c r="E23" s="5" t="n"/>
      <c r="F23" s="5" t="n"/>
      <c r="G23" s="5" t="n"/>
      <c r="H23" s="5" t="n"/>
      <c r="I23" s="5" t="n"/>
      <c r="J23" s="5" t="n"/>
    </row>
    <row r="24">
      <c r="A24" s="3" t="inlineStr">
        <is>
          <t>Accrued Promotional Allowance</t>
        </is>
      </c>
      <c r="B24" s="4" t="n">
        <v>35977</v>
      </c>
      <c r="C24" s="4" t="n">
        <v>99787</v>
      </c>
      <c r="D24" s="4" t="n">
        <v>135948</v>
      </c>
      <c r="E24" s="5" t="n"/>
      <c r="F24" s="5" t="n"/>
      <c r="G24" s="5" t="n"/>
      <c r="H24" s="5" t="n"/>
      <c r="I24" s="5" t="n"/>
      <c r="J24" s="5" t="n"/>
    </row>
    <row r="25">
      <c r="A25" s="3" t="inlineStr">
        <is>
          <t>Lease Liability - Operating - Current</t>
        </is>
      </c>
      <c r="B25" s="4" t="n">
        <v>661</v>
      </c>
      <c r="C25" s="4" t="n">
        <v>980</v>
      </c>
      <c r="D25" s="4" t="n">
        <v>3265</v>
      </c>
      <c r="E25" s="5" t="n"/>
      <c r="F25" s="5" t="n"/>
      <c r="G25" s="5" t="n"/>
      <c r="H25" s="5" t="n"/>
      <c r="I25" s="5" t="n"/>
      <c r="J25" s="5" t="n"/>
    </row>
    <row r="26">
      <c r="A26" s="3" t="inlineStr">
        <is>
          <t>Lease Liability - Finance - Current</t>
        </is>
      </c>
      <c r="B26" s="4" t="n">
        <v>70</v>
      </c>
      <c r="C26" s="4" t="n">
        <v>59</v>
      </c>
      <c r="D26" s="4" t="n">
        <v>100</v>
      </c>
      <c r="E26" s="5" t="n"/>
      <c r="F26" s="5" t="n"/>
      <c r="G26" s="5" t="n"/>
      <c r="H26" s="5" t="n"/>
      <c r="I26" s="5" t="n"/>
      <c r="J26" s="5" t="n"/>
    </row>
    <row r="27">
      <c r="A27" s="3" t="inlineStr">
        <is>
          <t>Deferred Revenue - Current</t>
        </is>
      </c>
      <c r="B27" s="4" t="n">
        <v>9675</v>
      </c>
      <c r="C27" s="4" t="n">
        <v>9513</v>
      </c>
      <c r="D27" s="4" t="n">
        <v>9513</v>
      </c>
      <c r="E27" s="5" t="n"/>
      <c r="F27" s="5" t="n"/>
      <c r="G27" s="5" t="n"/>
      <c r="H27" s="5" t="n"/>
      <c r="I27" s="5" t="n"/>
      <c r="J27" s="5" t="n"/>
    </row>
    <row r="28">
      <c r="A28" s="3" t="inlineStr">
        <is>
          <t>Other Current Liabilities</t>
        </is>
      </c>
      <c r="B28" s="4" t="n">
        <v>3586</v>
      </c>
      <c r="C28" s="4" t="n">
        <v>10890</v>
      </c>
      <c r="D28" s="4" t="n">
        <v>15808</v>
      </c>
      <c r="E28" s="5" t="n"/>
      <c r="F28" s="5" t="n"/>
      <c r="G28" s="5" t="n"/>
      <c r="H28" s="5" t="n"/>
      <c r="I28" s="5" t="n"/>
      <c r="J28" s="5" t="n"/>
    </row>
    <row r="29">
      <c r="A29" s="3" t="inlineStr">
        <is>
          <t>Total Current Liabilities</t>
        </is>
      </c>
      <c r="B29" s="6">
        <f>SUM(B20:B28)</f>
        <v/>
      </c>
      <c r="C29" s="6">
        <f>SUM(C20:C28)</f>
        <v/>
      </c>
      <c r="D29" s="6">
        <f>SUM(D20:D28)</f>
        <v/>
      </c>
      <c r="E29" s="7">
        <f>SUM(E20:E28)</f>
        <v/>
      </c>
      <c r="F29" s="7">
        <f>SUM(F20:F28)</f>
        <v/>
      </c>
      <c r="G29" s="7">
        <f>SUM(G20:G28)</f>
        <v/>
      </c>
      <c r="H29" s="7">
        <f>SUM(H20:H28)</f>
        <v/>
      </c>
      <c r="I29" s="7">
        <f>SUM(I20:I28)</f>
        <v/>
      </c>
      <c r="J29" s="7">
        <f>SUM(J20:J28)</f>
        <v/>
      </c>
    </row>
    <row r="30">
      <c r="A30" s="3" t="inlineStr">
        <is>
          <t>Lease Liability - Operating - Non-Current</t>
        </is>
      </c>
      <c r="B30" s="4" t="n">
        <v>326</v>
      </c>
      <c r="C30" s="4" t="n">
        <v>955</v>
      </c>
      <c r="D30" s="4" t="n">
        <v>16674</v>
      </c>
      <c r="E30" s="5" t="n"/>
      <c r="F30" s="5" t="n"/>
      <c r="G30" s="5" t="n"/>
      <c r="H30" s="5" t="n"/>
      <c r="I30" s="5" t="n"/>
      <c r="J30" s="5" t="n"/>
    </row>
    <row r="31">
      <c r="A31" s="3" t="inlineStr">
        <is>
          <t>Lease Liability - Finance - Non-Current</t>
        </is>
      </c>
      <c r="B31" s="4" t="n">
        <v>162</v>
      </c>
      <c r="C31" s="4" t="n">
        <v>193</v>
      </c>
      <c r="D31" s="4" t="n">
        <v>211</v>
      </c>
      <c r="E31" s="5" t="n"/>
      <c r="F31" s="5" t="n"/>
      <c r="G31" s="5" t="n"/>
      <c r="H31" s="5" t="n"/>
      <c r="I31" s="5" t="n"/>
      <c r="J31" s="5" t="n"/>
    </row>
    <row r="32">
      <c r="A32" s="3" t="inlineStr">
        <is>
          <t>Deferred Tax Liability</t>
        </is>
      </c>
      <c r="B32" s="4" t="n">
        <v>15919</v>
      </c>
      <c r="C32" s="4" t="n">
        <v>2880</v>
      </c>
      <c r="D32" s="4" t="n">
        <v>2330</v>
      </c>
      <c r="E32" s="5" t="n"/>
      <c r="F32" s="5" t="n"/>
      <c r="G32" s="5" t="n"/>
      <c r="H32" s="5" t="n"/>
      <c r="I32" s="5" t="n"/>
      <c r="J32" s="5" t="n"/>
    </row>
    <row r="33">
      <c r="A33" s="3" t="inlineStr">
        <is>
          <t>Deferred Revenue - Non-Current</t>
        </is>
      </c>
      <c r="B33" s="4" t="n">
        <v>179788</v>
      </c>
      <c r="C33" s="4" t="n">
        <v>167227</v>
      </c>
      <c r="D33" s="4" t="n">
        <v>157714</v>
      </c>
      <c r="E33" s="5" t="n"/>
      <c r="F33" s="5" t="n"/>
      <c r="G33" s="5" t="n"/>
      <c r="H33" s="5" t="n"/>
      <c r="I33" s="5" t="n"/>
      <c r="J33" s="5" t="n"/>
    </row>
    <row r="34">
      <c r="A34" s="3" t="inlineStr">
        <is>
          <t>Total Liabilities</t>
        </is>
      </c>
      <c r="B34" s="6">
        <f>B29+SUM(B30:B33)</f>
        <v/>
      </c>
      <c r="C34" s="6">
        <f>C29+SUM(C30:C33)</f>
        <v/>
      </c>
      <c r="D34" s="6">
        <f>D29+SUM(D30:D33)</f>
        <v/>
      </c>
      <c r="E34" s="7">
        <f>E29+SUM(E30:E33)</f>
        <v/>
      </c>
      <c r="F34" s="7">
        <f>F29+SUM(F30:F33)</f>
        <v/>
      </c>
      <c r="G34" s="7">
        <f>G29+SUM(G30:G33)</f>
        <v/>
      </c>
      <c r="H34" s="7">
        <f>H29+SUM(H30:H33)</f>
        <v/>
      </c>
      <c r="I34" s="7">
        <f>I29+SUM(I30:I33)</f>
        <v/>
      </c>
      <c r="J34" s="7">
        <f>J29+SUM(J30:J33)</f>
        <v/>
      </c>
    </row>
    <row r="35">
      <c r="A35" s="3" t="inlineStr">
        <is>
          <t>Convertible Preferred Stock</t>
        </is>
      </c>
      <c r="B35" s="4" t="n">
        <v>824488</v>
      </c>
      <c r="C35" s="4" t="n">
        <v>824488</v>
      </c>
      <c r="D35" s="4" t="n">
        <v>824488</v>
      </c>
      <c r="E35" s="5" t="n"/>
      <c r="F35" s="5" t="n"/>
      <c r="G35" s="5" t="n"/>
      <c r="H35" s="5" t="n"/>
      <c r="I35" s="5" t="n"/>
      <c r="J35" s="5" t="n"/>
    </row>
    <row r="36">
      <c r="A36" s="3" t="inlineStr">
        <is>
          <t>Common Stock</t>
        </is>
      </c>
      <c r="B36" s="4" t="n">
        <v>76</v>
      </c>
      <c r="C36" s="4" t="n">
        <v>77</v>
      </c>
      <c r="D36" s="4" t="n">
        <v>79</v>
      </c>
      <c r="E36" s="5" t="n"/>
      <c r="F36" s="5" t="n"/>
      <c r="G36" s="5" t="n"/>
      <c r="H36" s="5" t="n"/>
      <c r="I36" s="5" t="n"/>
      <c r="J36" s="5" t="n"/>
    </row>
    <row r="37">
      <c r="A37" s="3" t="inlineStr">
        <is>
          <t>Additional Paid-in Capital</t>
        </is>
      </c>
      <c r="B37" s="4" t="n">
        <v>280668</v>
      </c>
      <c r="C37" s="4" t="n">
        <v>276717</v>
      </c>
      <c r="D37" s="4" t="n">
        <v>297579</v>
      </c>
      <c r="E37" s="5" t="n"/>
      <c r="F37" s="5" t="n"/>
      <c r="G37" s="5" t="n"/>
      <c r="H37" s="5" t="n"/>
      <c r="I37" s="5" t="n"/>
      <c r="J37" s="5" t="n"/>
    </row>
    <row r="38">
      <c r="A38" s="3" t="inlineStr">
        <is>
          <t>Accumulated Other Comprehensive Income (Loss)</t>
        </is>
      </c>
      <c r="B38" s="4" t="n">
        <v>-1881</v>
      </c>
      <c r="C38" s="4" t="n">
        <v>-701</v>
      </c>
      <c r="D38" s="4" t="n">
        <v>-3250</v>
      </c>
      <c r="E38" s="5" t="n"/>
      <c r="F38" s="5" t="n"/>
      <c r="G38" s="5" t="n"/>
      <c r="H38" s="5" t="n"/>
      <c r="I38" s="5" t="n"/>
      <c r="J38" s="5" t="n"/>
    </row>
    <row r="39">
      <c r="A39" s="3" t="inlineStr">
        <is>
          <t>Retained Earnings (Accumulated Deficit)</t>
        </is>
      </c>
      <c r="B39" s="4" t="n">
        <v>-238772</v>
      </c>
      <c r="C39" s="4" t="n">
        <v>-12053</v>
      </c>
      <c r="D39" s="4" t="n">
        <v>105521</v>
      </c>
      <c r="E39" s="5" t="n"/>
      <c r="F39" s="5" t="n"/>
      <c r="G39" s="5" t="n"/>
      <c r="H39" s="5" t="n"/>
      <c r="I39" s="5" t="n"/>
      <c r="J39" s="5" t="n"/>
    </row>
    <row r="40">
      <c r="A40" s="3" t="inlineStr">
        <is>
          <t>Total Stockholders' Equity</t>
        </is>
      </c>
      <c r="B40" s="6">
        <f>SUM(B36:B39)</f>
        <v/>
      </c>
      <c r="C40" s="6">
        <f>SUM(C36:C39)</f>
        <v/>
      </c>
      <c r="D40" s="6">
        <f>SUM(D36:D39)</f>
        <v/>
      </c>
      <c r="E40" s="7">
        <f>SUM(E36:E39)</f>
        <v/>
      </c>
      <c r="F40" s="7">
        <f>SUM(F36:F39)</f>
        <v/>
      </c>
      <c r="G40" s="7">
        <f>SUM(G36:G39)</f>
        <v/>
      </c>
      <c r="H40" s="7">
        <f>SUM(H36:H39)</f>
        <v/>
      </c>
      <c r="I40" s="7">
        <f>SUM(I36:I39)</f>
        <v/>
      </c>
      <c r="J40" s="7">
        <f>SUM(J36:J39)</f>
        <v/>
      </c>
    </row>
    <row r="41">
      <c r="A41" s="3" t="inlineStr">
        <is>
          <t>Total Liabilities, Mezzanine &amp; Stockholders' Equity</t>
        </is>
      </c>
      <c r="B41" s="6">
        <f>B34+B35+B40</f>
        <v/>
      </c>
      <c r="C41" s="6">
        <f>C34+C35+C40</f>
        <v/>
      </c>
      <c r="D41" s="6">
        <f>D34+D35+D40</f>
        <v/>
      </c>
      <c r="E41" s="7">
        <f>E34+E35+E40</f>
        <v/>
      </c>
      <c r="F41" s="7">
        <f>F34+F35+F40</f>
        <v/>
      </c>
      <c r="G41" s="7">
        <f>G34+G35+G40</f>
        <v/>
      </c>
      <c r="H41" s="7">
        <f>H34+H35+H40</f>
        <v/>
      </c>
      <c r="I41" s="7">
        <f>I34+I35+I40</f>
        <v/>
      </c>
      <c r="J41" s="7">
        <f>J34+J35+J40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42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4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</cols>
  <sheetData>
    <row r="1">
      <c r="A1" s="1" t="inlineStr"/>
      <c r="B1" s="2" t="inlineStr">
        <is>
          <t>FY2021</t>
        </is>
      </c>
      <c r="C1" s="2" t="inlineStr">
        <is>
          <t>FY2022</t>
        </is>
      </c>
      <c r="D1" s="2" t="inlineStr">
        <is>
          <t>FY2023</t>
        </is>
      </c>
      <c r="E1" s="2" t="inlineStr">
        <is>
          <t>FY2024</t>
        </is>
      </c>
      <c r="F1" s="2" t="inlineStr">
        <is>
          <t>FY2025E</t>
        </is>
      </c>
      <c r="G1" s="2" t="inlineStr">
        <is>
          <t>FY2026E</t>
        </is>
      </c>
      <c r="H1" s="2" t="inlineStr">
        <is>
          <t>FY2027E</t>
        </is>
      </c>
      <c r="I1" s="2" t="inlineStr">
        <is>
          <t>FY2028E</t>
        </is>
      </c>
      <c r="J1" s="2" t="inlineStr">
        <is>
          <t>FY2029E</t>
        </is>
      </c>
      <c r="K1" s="2" t="inlineStr">
        <is>
          <t>FY2030E</t>
        </is>
      </c>
    </row>
    <row r="2">
      <c r="A2" s="3" t="inlineStr">
        <is>
          <t>Net Income (Loss)</t>
        </is>
      </c>
      <c r="B2" s="4" t="n">
        <v>3937</v>
      </c>
      <c r="C2" s="4" t="n">
        <v>-187282</v>
      </c>
      <c r="D2" s="4" t="n">
        <v>226801</v>
      </c>
      <c r="E2" s="4" t="n">
        <v>145074</v>
      </c>
      <c r="F2" s="5" t="n"/>
      <c r="G2" s="5" t="n"/>
      <c r="H2" s="5" t="n"/>
      <c r="I2" s="5" t="n"/>
      <c r="J2" s="5" t="n"/>
      <c r="K2" s="5" t="n"/>
    </row>
    <row r="3">
      <c r="A3" s="3" t="inlineStr">
        <is>
          <t>Depreciation &amp; Amortization</t>
        </is>
      </c>
      <c r="B3" s="4" t="n">
        <v>1264</v>
      </c>
      <c r="C3" s="4" t="n">
        <v>1917</v>
      </c>
      <c r="D3" s="4" t="n">
        <v>3226</v>
      </c>
      <c r="E3" s="4" t="n">
        <v>7274</v>
      </c>
      <c r="F3" s="5" t="n"/>
      <c r="G3" s="5" t="n"/>
      <c r="H3" s="5" t="n"/>
      <c r="I3" s="5" t="n"/>
      <c r="J3" s="5" t="n"/>
      <c r="K3" s="5" t="n"/>
    </row>
    <row r="4">
      <c r="A4" s="3" t="inlineStr">
        <is>
          <t>Impairment of Intangibles</t>
        </is>
      </c>
      <c r="B4" s="4" t="n">
        <v>0</v>
      </c>
      <c r="C4" s="4" t="n">
        <v>2379</v>
      </c>
      <c r="D4" s="4" t="n">
        <v>0</v>
      </c>
      <c r="E4" s="4" t="n">
        <v>0</v>
      </c>
      <c r="F4" s="5" t="n"/>
      <c r="G4" s="5" t="n"/>
      <c r="H4" s="5" t="n"/>
      <c r="I4" s="5" t="n"/>
      <c r="J4" s="5" t="n"/>
      <c r="K4" s="5" t="n"/>
    </row>
    <row r="5">
      <c r="A5" s="3" t="inlineStr">
        <is>
          <t>Allowance for Credit Losses</t>
        </is>
      </c>
      <c r="B5" s="4" t="n">
        <v>1494</v>
      </c>
      <c r="C5" s="4" t="n">
        <v>2352</v>
      </c>
      <c r="D5" s="4" t="n">
        <v>2128</v>
      </c>
      <c r="E5" s="4" t="n">
        <v>3294</v>
      </c>
      <c r="F5" s="5" t="n"/>
      <c r="G5" s="5" t="n"/>
      <c r="H5" s="5" t="n"/>
      <c r="I5" s="5" t="n"/>
      <c r="J5" s="5" t="n"/>
      <c r="K5" s="5" t="n"/>
    </row>
    <row r="6">
      <c r="A6" s="3" t="inlineStr">
        <is>
          <t>Amortization of Deferred Other Costs</t>
        </is>
      </c>
      <c r="B6" s="4" t="n">
        <v>0</v>
      </c>
      <c r="C6" s="4" t="n">
        <v>5885</v>
      </c>
      <c r="D6" s="4" t="n">
        <v>14124</v>
      </c>
      <c r="E6" s="4" t="n">
        <v>14124</v>
      </c>
      <c r="F6" s="5" t="n"/>
      <c r="G6" s="5" t="n"/>
      <c r="H6" s="5" t="n"/>
      <c r="I6" s="5" t="n"/>
      <c r="J6" s="5" t="n"/>
      <c r="K6" s="5" t="n"/>
    </row>
    <row r="7">
      <c r="A7" s="3" t="inlineStr">
        <is>
          <t>Inventory Write-Down</t>
        </is>
      </c>
      <c r="B7" s="4" t="n">
        <v>2355</v>
      </c>
      <c r="C7" s="4" t="n">
        <v>6131</v>
      </c>
      <c r="D7" s="4" t="n">
        <v>7312</v>
      </c>
      <c r="E7" s="4" t="n">
        <v>19086</v>
      </c>
      <c r="F7" s="5" t="n"/>
      <c r="G7" s="5" t="n"/>
      <c r="H7" s="5" t="n"/>
      <c r="I7" s="5" t="n"/>
      <c r="J7" s="5" t="n"/>
      <c r="K7" s="5" t="n"/>
    </row>
    <row r="8">
      <c r="A8" s="3" t="inlineStr">
        <is>
          <t>Gain (Loss) on Disposal of PP&amp;E</t>
        </is>
      </c>
      <c r="B8" s="4" t="n">
        <v>0</v>
      </c>
      <c r="C8" s="4" t="n">
        <v>0</v>
      </c>
      <c r="D8" s="4" t="n">
        <v>198</v>
      </c>
      <c r="E8" s="4" t="n">
        <v>173</v>
      </c>
      <c r="F8" s="5" t="n"/>
      <c r="G8" s="5" t="n"/>
      <c r="H8" s="5" t="n"/>
      <c r="I8" s="5" t="n"/>
      <c r="J8" s="5" t="n"/>
      <c r="K8" s="5" t="n"/>
    </row>
    <row r="9">
      <c r="A9" s="3" t="inlineStr">
        <is>
          <t>Stock-Based Compensation</t>
        </is>
      </c>
      <c r="B9" s="4" t="n">
        <v>36475</v>
      </c>
      <c r="C9" s="4" t="n">
        <v>20665</v>
      </c>
      <c r="D9" s="4" t="n">
        <v>21226</v>
      </c>
      <c r="E9" s="4" t="n">
        <v>19591</v>
      </c>
      <c r="F9" s="5" t="n"/>
      <c r="G9" s="5" t="n"/>
      <c r="H9" s="5" t="n"/>
      <c r="I9" s="5" t="n"/>
      <c r="J9" s="5" t="n"/>
      <c r="K9" s="5" t="n"/>
    </row>
    <row r="10">
      <c r="A10" s="3" t="inlineStr">
        <is>
          <t>(Benefit) Provision for Deferred Income Taxes</t>
        </is>
      </c>
      <c r="B10" s="4" t="n">
        <v>-9201</v>
      </c>
      <c r="C10" s="4" t="n">
        <v>20244</v>
      </c>
      <c r="D10" s="4" t="n">
        <v>-42055</v>
      </c>
      <c r="E10" s="4" t="n">
        <v>-9730</v>
      </c>
      <c r="F10" s="5" t="n"/>
      <c r="G10" s="5" t="n"/>
      <c r="H10" s="5" t="n"/>
      <c r="I10" s="5" t="n"/>
      <c r="J10" s="5" t="n"/>
      <c r="K10" s="5" t="n"/>
    </row>
    <row r="11">
      <c r="A11" s="3" t="inlineStr">
        <is>
          <t>Foreign Currency Gain (Loss)</t>
        </is>
      </c>
      <c r="B11" s="4" t="n">
        <v>880</v>
      </c>
      <c r="C11" s="4" t="n">
        <v>483</v>
      </c>
      <c r="D11" s="4" t="n">
        <v>1246</v>
      </c>
      <c r="E11" s="4" t="n">
        <v>1734</v>
      </c>
      <c r="F11" s="5" t="n"/>
      <c r="G11" s="5" t="n"/>
      <c r="H11" s="5" t="n"/>
      <c r="I11" s="5" t="n"/>
      <c r="J11" s="5" t="n"/>
      <c r="K11" s="5" t="n"/>
    </row>
    <row r="12">
      <c r="A12" s="3" t="inlineStr">
        <is>
          <t>Gain (Loss) on Lease Cancellations</t>
        </is>
      </c>
      <c r="B12" s="4" t="n">
        <v>-28</v>
      </c>
      <c r="C12" s="4" t="n">
        <v>0</v>
      </c>
      <c r="D12" s="4" t="n">
        <v>0</v>
      </c>
      <c r="E12" s="4" t="n">
        <v>0</v>
      </c>
      <c r="F12" s="5" t="n"/>
      <c r="G12" s="5" t="n"/>
      <c r="H12" s="5" t="n"/>
      <c r="I12" s="5" t="n"/>
      <c r="J12" s="5" t="n"/>
      <c r="K12" s="5" t="n"/>
    </row>
    <row r="13">
      <c r="A13" s="3" t="inlineStr">
        <is>
          <t>Other Operating Items</t>
        </is>
      </c>
      <c r="B13" s="4" t="n">
        <v>0</v>
      </c>
      <c r="C13" s="4" t="n">
        <v>0</v>
      </c>
      <c r="D13" s="4" t="n">
        <v>0</v>
      </c>
      <c r="E13" s="4" t="n">
        <v>-324</v>
      </c>
      <c r="F13" s="5" t="n"/>
      <c r="G13" s="5" t="n"/>
      <c r="H13" s="5" t="n"/>
      <c r="I13" s="5" t="n"/>
      <c r="J13" s="5" t="n"/>
      <c r="K13" s="5" t="n"/>
    </row>
    <row r="14">
      <c r="A14" s="3" t="inlineStr">
        <is>
          <t>Accounts Receivable</t>
        </is>
      </c>
      <c r="B14" s="4" t="n">
        <v>-25249</v>
      </c>
      <c r="C14" s="4" t="n">
        <v>-26369</v>
      </c>
      <c r="D14" s="4" t="n">
        <v>-121558</v>
      </c>
      <c r="E14" s="4" t="n">
        <v>-89665</v>
      </c>
      <c r="F14" s="5" t="n"/>
      <c r="G14" s="5" t="n"/>
      <c r="H14" s="5" t="n"/>
      <c r="I14" s="5" t="n"/>
      <c r="J14" s="5" t="n"/>
      <c r="K14" s="5" t="n"/>
    </row>
    <row r="15">
      <c r="A15" s="3" t="inlineStr">
        <is>
          <t>Note Receivable</t>
        </is>
      </c>
      <c r="B15" s="4" t="n">
        <v>0</v>
      </c>
      <c r="C15" s="4" t="n">
        <v>0</v>
      </c>
      <c r="D15" s="4" t="n">
        <v>0</v>
      </c>
      <c r="E15" s="4" t="n">
        <v>2318</v>
      </c>
      <c r="F15" s="5" t="n"/>
      <c r="G15" s="5" t="n"/>
      <c r="H15" s="5" t="n"/>
      <c r="I15" s="5" t="n"/>
      <c r="J15" s="5" t="n"/>
      <c r="K15" s="5" t="n"/>
    </row>
    <row r="16">
      <c r="A16" s="3" t="inlineStr">
        <is>
          <t>Inventories</t>
        </is>
      </c>
      <c r="B16" s="4" t="n">
        <v>-175174</v>
      </c>
      <c r="C16" s="4" t="n">
        <v>11802</v>
      </c>
      <c r="D16" s="4" t="n">
        <v>-63299</v>
      </c>
      <c r="E16" s="4" t="n">
        <v>77190</v>
      </c>
      <c r="F16" s="5" t="n"/>
      <c r="G16" s="5" t="n"/>
      <c r="H16" s="5" t="n"/>
      <c r="I16" s="5" t="n"/>
      <c r="J16" s="5" t="n"/>
      <c r="K16" s="5" t="n"/>
    </row>
    <row r="17">
      <c r="A17" s="3" t="inlineStr">
        <is>
          <t>Prepaid Expenses</t>
        </is>
      </c>
      <c r="B17" s="4" t="n">
        <v>1072</v>
      </c>
      <c r="C17" s="4" t="n">
        <v>2214</v>
      </c>
      <c r="D17" s="4" t="n">
        <v>-7980</v>
      </c>
      <c r="E17" s="4" t="n">
        <v>1074</v>
      </c>
      <c r="F17" s="5" t="n"/>
      <c r="G17" s="5" t="n"/>
      <c r="H17" s="5" t="n"/>
      <c r="I17" s="5" t="n"/>
      <c r="J17" s="5" t="n"/>
      <c r="K17" s="5" t="n"/>
    </row>
    <row r="18">
      <c r="A18" s="3" t="inlineStr">
        <is>
          <t>Accounts Payable</t>
        </is>
      </c>
      <c r="B18" s="4" t="n">
        <v>23966</v>
      </c>
      <c r="C18" s="4" t="n">
        <v>428</v>
      </c>
      <c r="D18" s="4" t="n">
        <v>5249</v>
      </c>
      <c r="E18" s="4" t="n">
        <v>-1170</v>
      </c>
      <c r="F18" s="5" t="n"/>
      <c r="G18" s="5" t="n"/>
      <c r="H18" s="5" t="n"/>
      <c r="I18" s="5" t="n"/>
      <c r="J18" s="5" t="n"/>
      <c r="K18" s="5" t="n"/>
    </row>
    <row r="19">
      <c r="A19" s="3" t="inlineStr">
        <is>
          <t>Accrued Expenses</t>
        </is>
      </c>
      <c r="B19" s="4" t="n">
        <v>26484</v>
      </c>
      <c r="C19" s="4" t="n">
        <v>34644</v>
      </c>
      <c r="D19" s="4" t="n">
        <v>-8025</v>
      </c>
      <c r="E19" s="4" t="n">
        <v>85398</v>
      </c>
      <c r="F19" s="5" t="n"/>
      <c r="G19" s="5" t="n"/>
      <c r="H19" s="5" t="n"/>
      <c r="I19" s="5" t="n"/>
      <c r="J19" s="5" t="n"/>
      <c r="K19" s="5" t="n"/>
    </row>
    <row r="20">
      <c r="A20" s="3" t="inlineStr">
        <is>
          <t>Other Current Liabilities</t>
        </is>
      </c>
      <c r="B20" s="4" t="n">
        <v>1731</v>
      </c>
      <c r="C20" s="4" t="n">
        <v>2446</v>
      </c>
      <c r="D20" s="4" t="n">
        <v>55407</v>
      </c>
      <c r="E20" s="4" t="n">
        <v>-34616</v>
      </c>
      <c r="F20" s="5" t="n"/>
      <c r="G20" s="5" t="n"/>
      <c r="H20" s="5" t="n"/>
      <c r="I20" s="5" t="n"/>
      <c r="J20" s="5" t="n"/>
      <c r="K20" s="5" t="n"/>
    </row>
    <row r="21">
      <c r="A21" s="3" t="inlineStr">
        <is>
          <t>Accrued Promotional Allowance</t>
        </is>
      </c>
      <c r="B21" s="4" t="n">
        <v>13379</v>
      </c>
      <c r="C21" s="4" t="n">
        <v>16940</v>
      </c>
      <c r="D21" s="4" t="n">
        <v>63810</v>
      </c>
      <c r="E21" s="4" t="n">
        <v>36161</v>
      </c>
      <c r="F21" s="5" t="n"/>
      <c r="G21" s="5" t="n"/>
      <c r="H21" s="5" t="n"/>
      <c r="I21" s="5" t="n"/>
      <c r="J21" s="5" t="n"/>
      <c r="K21" s="5" t="n"/>
    </row>
    <row r="22">
      <c r="A22" s="3" t="inlineStr">
        <is>
          <t>Accrued Distributor Termination</t>
        </is>
      </c>
      <c r="B22" s="4" t="n">
        <v>0</v>
      </c>
      <c r="C22" s="4" t="n">
        <v>3986</v>
      </c>
      <c r="D22" s="4" t="n">
        <v>-3739</v>
      </c>
      <c r="E22" s="4" t="n">
        <v>-248</v>
      </c>
      <c r="F22" s="5" t="n"/>
      <c r="G22" s="5" t="n"/>
      <c r="H22" s="5" t="n"/>
      <c r="I22" s="5" t="n"/>
      <c r="J22" s="5" t="n"/>
      <c r="K22" s="5" t="n"/>
    </row>
    <row r="23">
      <c r="A23" s="3" t="inlineStr">
        <is>
          <t>ROU &amp; Lease Liability, Net</t>
        </is>
      </c>
      <c r="B23" s="4" t="n">
        <v>29</v>
      </c>
      <c r="C23" s="4" t="n">
        <v>-183</v>
      </c>
      <c r="D23" s="4" t="n">
        <v>-102</v>
      </c>
      <c r="E23" s="4" t="n">
        <v>535</v>
      </c>
      <c r="F23" s="5" t="n"/>
      <c r="G23" s="5" t="n"/>
      <c r="H23" s="5" t="n"/>
      <c r="I23" s="5" t="n"/>
      <c r="J23" s="5" t="n"/>
      <c r="K23" s="5" t="n"/>
    </row>
    <row r="24">
      <c r="A24" s="3" t="inlineStr">
        <is>
          <t>Deferred Revenue</t>
        </is>
      </c>
      <c r="B24" s="4" t="n">
        <v>0</v>
      </c>
      <c r="C24" s="4" t="n">
        <v>189463</v>
      </c>
      <c r="D24" s="4" t="n">
        <v>-12723</v>
      </c>
      <c r="E24" s="4" t="n">
        <v>-9513</v>
      </c>
      <c r="F24" s="5" t="n"/>
      <c r="G24" s="5" t="n"/>
      <c r="H24" s="5" t="n"/>
      <c r="I24" s="5" t="n"/>
      <c r="J24" s="5" t="n"/>
      <c r="K24" s="5" t="n"/>
    </row>
    <row r="25">
      <c r="A25" s="3" t="inlineStr">
        <is>
          <t>Other Non-Current Assets</t>
        </is>
      </c>
      <c r="B25" s="4" t="n">
        <v>0</v>
      </c>
      <c r="C25" s="4" t="n">
        <v>37</v>
      </c>
      <c r="D25" s="4" t="n">
        <v>-28</v>
      </c>
      <c r="E25" s="4" t="n">
        <v>-4862</v>
      </c>
      <c r="F25" s="5" t="n"/>
      <c r="G25" s="5" t="n"/>
      <c r="H25" s="5" t="n"/>
      <c r="I25" s="5" t="n"/>
      <c r="J25" s="5" t="n"/>
      <c r="K25" s="5" t="n"/>
    </row>
    <row r="26">
      <c r="A26" s="3" t="inlineStr">
        <is>
          <t>Cash Flow from Operations</t>
        </is>
      </c>
      <c r="B26" s="6">
        <f>SUM(B2:B25)</f>
        <v/>
      </c>
      <c r="C26" s="6">
        <f>SUM(C2:C25)</f>
        <v/>
      </c>
      <c r="D26" s="6">
        <f>SUM(D2:D25)</f>
        <v/>
      </c>
      <c r="E26" s="6">
        <f>SUM(E2:E25)</f>
        <v/>
      </c>
      <c r="F26" s="7">
        <f>SUM(F2:F25)</f>
        <v/>
      </c>
      <c r="G26" s="7">
        <f>SUM(G2:G25)</f>
        <v/>
      </c>
      <c r="H26" s="7">
        <f>SUM(H2:H25)</f>
        <v/>
      </c>
      <c r="I26" s="7">
        <f>SUM(I2:I25)</f>
        <v/>
      </c>
      <c r="J26" s="7">
        <f>SUM(J2:J25)</f>
        <v/>
      </c>
      <c r="K26" s="7">
        <f>SUM(K2:K25)</f>
        <v/>
      </c>
    </row>
    <row r="27">
      <c r="A27" s="3" t="inlineStr">
        <is>
          <t>Collections from Note Receivable</t>
        </is>
      </c>
      <c r="B27" s="4" t="n">
        <v>1886</v>
      </c>
      <c r="C27" s="4" t="n">
        <v>2592</v>
      </c>
      <c r="D27" s="4" t="n">
        <v>3233</v>
      </c>
      <c r="E27" s="4" t="n">
        <v>0</v>
      </c>
      <c r="F27" s="5" t="n"/>
      <c r="G27" s="5" t="n"/>
      <c r="H27" s="5" t="n"/>
      <c r="I27" s="5" t="n"/>
      <c r="J27" s="5" t="n"/>
      <c r="K27" s="5" t="n"/>
    </row>
    <row r="28">
      <c r="A28" s="3" t="inlineStr">
        <is>
          <t>Purchase of PP&amp;E</t>
        </is>
      </c>
      <c r="B28" s="4" t="n">
        <v>-3150</v>
      </c>
      <c r="C28" s="4" t="n">
        <v>-8264</v>
      </c>
      <c r="D28" s="4" t="n">
        <v>-17433</v>
      </c>
      <c r="E28" s="4" t="n">
        <v>-23390</v>
      </c>
      <c r="F28" s="5" t="n"/>
      <c r="G28" s="5" t="n"/>
      <c r="H28" s="5" t="n"/>
      <c r="I28" s="5" t="n"/>
      <c r="J28" s="5" t="n"/>
      <c r="K28" s="5" t="n"/>
    </row>
    <row r="29">
      <c r="A29" s="3" t="inlineStr">
        <is>
          <t>Purchase of Non-Marketable Equity Securities</t>
        </is>
      </c>
      <c r="B29" s="4" t="n">
        <v>0</v>
      </c>
      <c r="C29" s="4" t="n">
        <v>0</v>
      </c>
      <c r="D29" s="4" t="n">
        <v>0</v>
      </c>
      <c r="E29" s="4" t="n">
        <v>-3000</v>
      </c>
      <c r="F29" s="5" t="n"/>
      <c r="G29" s="5" t="n"/>
      <c r="H29" s="5" t="n"/>
      <c r="I29" s="5" t="n"/>
      <c r="J29" s="5" t="n"/>
      <c r="K29" s="5" t="n"/>
    </row>
    <row r="30">
      <c r="A30" s="3" t="inlineStr">
        <is>
          <t>Acquisition of Big Beverages</t>
        </is>
      </c>
      <c r="B30" s="4" t="n">
        <v>0</v>
      </c>
      <c r="C30" s="4" t="n">
        <v>0</v>
      </c>
      <c r="D30" s="4" t="n">
        <v>0</v>
      </c>
      <c r="E30" s="4" t="n">
        <v>-75336</v>
      </c>
      <c r="F30" s="5" t="n"/>
      <c r="G30" s="5" t="n"/>
      <c r="H30" s="5" t="n"/>
      <c r="I30" s="5" t="n"/>
      <c r="J30" s="5" t="n"/>
      <c r="K30" s="5" t="n"/>
    </row>
    <row r="31">
      <c r="A31" s="3" t="inlineStr">
        <is>
          <t>Cash Flow from Investing</t>
        </is>
      </c>
      <c r="B31" s="6">
        <f>SUM(B27:B30)</f>
        <v/>
      </c>
      <c r="C31" s="6">
        <f>SUM(C27:C30)</f>
        <v/>
      </c>
      <c r="D31" s="6">
        <f>SUM(D27:D30)</f>
        <v/>
      </c>
      <c r="E31" s="6">
        <f>SUM(E27:E30)</f>
        <v/>
      </c>
      <c r="F31" s="7">
        <f>SUM(F27:F30)</f>
        <v/>
      </c>
      <c r="G31" s="7">
        <f>SUM(G27:G30)</f>
        <v/>
      </c>
      <c r="H31" s="7">
        <f>SUM(H27:H30)</f>
        <v/>
      </c>
      <c r="I31" s="7">
        <f>SUM(I27:I30)</f>
        <v/>
      </c>
      <c r="J31" s="7">
        <f>SUM(J27:J30)</f>
        <v/>
      </c>
      <c r="K31" s="7">
        <f>SUM(K27:K30)</f>
        <v/>
      </c>
    </row>
    <row r="32">
      <c r="A32" s="3" t="inlineStr">
        <is>
          <t>Finance Lease Payments</t>
        </is>
      </c>
      <c r="B32" s="4" t="n">
        <v>-94</v>
      </c>
      <c r="C32" s="4" t="n">
        <v>-63</v>
      </c>
      <c r="D32" s="4" t="n">
        <v>-44</v>
      </c>
      <c r="E32" s="4" t="n">
        <v>-61</v>
      </c>
      <c r="F32" s="5" t="n"/>
      <c r="G32" s="5" t="n"/>
      <c r="H32" s="5" t="n"/>
      <c r="I32" s="5" t="n"/>
      <c r="J32" s="5" t="n"/>
      <c r="K32" s="5" t="n"/>
    </row>
    <row r="33">
      <c r="A33" s="3" t="inlineStr">
        <is>
          <t>Proceeds from Exercise of Stock Options</t>
        </is>
      </c>
      <c r="B33" s="4" t="n">
        <v>3720</v>
      </c>
      <c r="C33" s="4" t="n">
        <v>3683</v>
      </c>
      <c r="D33" s="4" t="n">
        <v>2285</v>
      </c>
      <c r="E33" s="4" t="n">
        <v>3856</v>
      </c>
      <c r="F33" s="5" t="n"/>
      <c r="G33" s="5" t="n"/>
      <c r="H33" s="5" t="n"/>
      <c r="I33" s="5" t="n"/>
      <c r="J33" s="5" t="n"/>
      <c r="K33" s="5" t="n"/>
    </row>
    <row r="34">
      <c r="A34" s="3" t="inlineStr">
        <is>
          <t>Proceeds from Issuance of Preferred Stock</t>
        </is>
      </c>
      <c r="B34" s="4" t="n">
        <v>0</v>
      </c>
      <c r="C34" s="4" t="n">
        <v>542018</v>
      </c>
      <c r="D34" s="4" t="n">
        <v>0</v>
      </c>
      <c r="E34" s="4" t="n">
        <v>0</v>
      </c>
      <c r="F34" s="5" t="n"/>
      <c r="G34" s="5" t="n"/>
      <c r="H34" s="5" t="n"/>
      <c r="I34" s="5" t="n"/>
      <c r="J34" s="5" t="n"/>
      <c r="K34" s="5" t="n"/>
    </row>
    <row r="35">
      <c r="A35" s="3" t="inlineStr">
        <is>
          <t>Preferred Dividends</t>
        </is>
      </c>
      <c r="B35" s="4" t="n">
        <v>0</v>
      </c>
      <c r="C35" s="4" t="n">
        <v>-11526</v>
      </c>
      <c r="D35" s="4" t="n">
        <v>-27462</v>
      </c>
      <c r="E35" s="4" t="n">
        <v>-27500</v>
      </c>
      <c r="F35" s="5" t="n"/>
      <c r="G35" s="5" t="n"/>
      <c r="H35" s="5" t="n"/>
      <c r="I35" s="5" t="n"/>
      <c r="J35" s="5" t="n"/>
      <c r="K35" s="5" t="n"/>
    </row>
    <row r="36">
      <c r="A36" s="3" t="inlineStr">
        <is>
          <t>Proceeds from Issuance of Common Stock</t>
        </is>
      </c>
      <c r="B36" s="4" t="n">
        <v>67769</v>
      </c>
      <c r="C36" s="4" t="n">
        <v>0</v>
      </c>
      <c r="D36" s="4" t="n">
        <v>0</v>
      </c>
      <c r="E36" s="4" t="n">
        <v>0</v>
      </c>
      <c r="F36" s="5" t="n"/>
      <c r="G36" s="5" t="n"/>
      <c r="H36" s="5" t="n"/>
      <c r="I36" s="5" t="n"/>
      <c r="J36" s="5" t="n"/>
      <c r="K36" s="5" t="n"/>
    </row>
    <row r="37">
      <c r="A37" s="3" t="inlineStr">
        <is>
          <t>Share Repurchases</t>
        </is>
      </c>
      <c r="B37" s="4" t="n">
        <v>0</v>
      </c>
      <c r="C37" s="4" t="n">
        <v>0</v>
      </c>
      <c r="D37" s="4" t="n">
        <v>0</v>
      </c>
      <c r="E37" s="4" t="n">
        <v>-2261</v>
      </c>
      <c r="F37" s="5" t="n"/>
      <c r="G37" s="5" t="n"/>
      <c r="H37" s="5" t="n"/>
      <c r="I37" s="5" t="n"/>
      <c r="J37" s="5" t="n"/>
      <c r="K37" s="5" t="n"/>
    </row>
    <row r="38">
      <c r="A38" s="3" t="inlineStr">
        <is>
          <t>Cash Flow from Financing</t>
        </is>
      </c>
      <c r="B38" s="6">
        <f>SUM(B32:B37)</f>
        <v/>
      </c>
      <c r="C38" s="6">
        <f>SUM(C32:C37)</f>
        <v/>
      </c>
      <c r="D38" s="6">
        <f>SUM(D32:D37)</f>
        <v/>
      </c>
      <c r="E38" s="6">
        <f>SUM(E32:E37)</f>
        <v/>
      </c>
      <c r="F38" s="7">
        <f>SUM(F32:F37)</f>
        <v/>
      </c>
      <c r="G38" s="7">
        <f>SUM(G32:G37)</f>
        <v/>
      </c>
      <c r="H38" s="7">
        <f>SUM(H32:H37)</f>
        <v/>
      </c>
      <c r="I38" s="7">
        <f>SUM(I32:I37)</f>
        <v/>
      </c>
      <c r="J38" s="7">
        <f>SUM(J32:J37)</f>
        <v/>
      </c>
      <c r="K38" s="7">
        <f>SUM(K32:K37)</f>
        <v/>
      </c>
    </row>
    <row r="39">
      <c r="A39" s="3" t="inlineStr">
        <is>
          <t>FX Effect on Cash</t>
        </is>
      </c>
      <c r="B39" s="4" t="n">
        <v>-538</v>
      </c>
      <c r="C39" s="4" t="n">
        <v>50</v>
      </c>
      <c r="D39" s="4" t="n">
        <v>1257</v>
      </c>
      <c r="E39" s="4" t="n">
        <v>-997</v>
      </c>
      <c r="F39" s="5" t="n"/>
      <c r="G39" s="5" t="n"/>
      <c r="H39" s="5" t="n"/>
      <c r="I39" s="5" t="n"/>
      <c r="J39" s="5" t="n"/>
      <c r="K39" s="5" t="n"/>
    </row>
    <row r="40">
      <c r="A40" s="3" t="inlineStr">
        <is>
          <t>Net Change in Cash</t>
        </is>
      </c>
      <c r="B40" s="4" t="n">
        <v>-26993</v>
      </c>
      <c r="C40" s="4" t="n">
        <v>636672</v>
      </c>
      <c r="D40" s="4" t="n">
        <v>103054</v>
      </c>
      <c r="E40" s="4" t="n">
        <v>134209</v>
      </c>
      <c r="F40" s="5" t="n"/>
      <c r="G40" s="5" t="n"/>
      <c r="H40" s="5" t="n"/>
      <c r="I40" s="5" t="n"/>
      <c r="J40" s="5" t="n"/>
      <c r="K40" s="5" t="n"/>
    </row>
    <row r="41">
      <c r="A41" s="3" t="inlineStr">
        <is>
          <t>Cash at Beginning of Period</t>
        </is>
      </c>
      <c r="B41" s="4" t="n">
        <v>43248</v>
      </c>
      <c r="C41" s="4" t="n">
        <v>16255</v>
      </c>
      <c r="D41" s="4" t="n">
        <v>652927</v>
      </c>
      <c r="E41" s="4" t="n">
        <v>755981</v>
      </c>
      <c r="F41" s="5" t="n"/>
      <c r="G41" s="5" t="n"/>
      <c r="H41" s="5" t="n"/>
      <c r="I41" s="5" t="n"/>
      <c r="J41" s="5" t="n"/>
      <c r="K41" s="5" t="n"/>
    </row>
    <row r="42">
      <c r="A42" s="3" t="inlineStr">
        <is>
          <t>Cash at End of Period</t>
        </is>
      </c>
      <c r="B42" s="4" t="n">
        <v>16255</v>
      </c>
      <c r="C42" s="4" t="n">
        <v>652927</v>
      </c>
      <c r="D42" s="4" t="n">
        <v>755981</v>
      </c>
      <c r="E42" s="4" t="n">
        <v>890190</v>
      </c>
      <c r="F42" s="5" t="n"/>
      <c r="G42" s="5" t="n"/>
      <c r="H42" s="5" t="n"/>
      <c r="I42" s="5" t="n"/>
      <c r="J42" s="5" t="n"/>
      <c r="K42" s="5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8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</cols>
  <sheetData>
    <row r="1">
      <c r="A1" s="1" t="inlineStr"/>
      <c r="B1" s="2" t="inlineStr">
        <is>
          <t>FY2021</t>
        </is>
      </c>
      <c r="C1" s="2" t="inlineStr">
        <is>
          <t>FY2022</t>
        </is>
      </c>
      <c r="D1" s="2" t="inlineStr">
        <is>
          <t>FY2023</t>
        </is>
      </c>
      <c r="E1" s="2" t="inlineStr">
        <is>
          <t>FY2024</t>
        </is>
      </c>
      <c r="F1" s="2" t="inlineStr">
        <is>
          <t>FY2025E</t>
        </is>
      </c>
      <c r="G1" s="2" t="inlineStr">
        <is>
          <t>FY2026E</t>
        </is>
      </c>
      <c r="H1" s="2" t="inlineStr">
        <is>
          <t>FY2027E</t>
        </is>
      </c>
      <c r="I1" s="2" t="inlineStr">
        <is>
          <t>FY2028E</t>
        </is>
      </c>
      <c r="J1" s="2" t="inlineStr">
        <is>
          <t>FY2029E</t>
        </is>
      </c>
      <c r="K1" s="2" t="inlineStr">
        <is>
          <t>FY2030E</t>
        </is>
      </c>
    </row>
    <row r="2">
      <c r="A2" s="3" t="inlineStr">
        <is>
          <t>Revenue Growth %</t>
        </is>
      </c>
      <c r="C2" s="10">
        <f>IFERROR(('ANNL P&amp;L'!C2-'ANNL P&amp;L'!B2)/'ANNL P&amp;L'!B2,0)</f>
        <v/>
      </c>
      <c r="D2" s="10">
        <f>IFERROR(('ANNL P&amp;L'!D2-'ANNL P&amp;L'!C2)/'ANNL P&amp;L'!C2,0)</f>
        <v/>
      </c>
      <c r="E2" s="10">
        <f>IFERROR(('ANNL P&amp;L'!E2-'ANNL P&amp;L'!D2)/'ANNL P&amp;L'!D2,0)</f>
        <v/>
      </c>
      <c r="F2" s="11" t="n"/>
      <c r="G2" s="11" t="n"/>
      <c r="H2" s="11" t="n"/>
      <c r="I2" s="11" t="n"/>
      <c r="J2" s="11" t="n"/>
      <c r="K2" s="11" t="n"/>
    </row>
    <row r="3">
      <c r="A3" s="3" t="inlineStr">
        <is>
          <t>COGS % of Revenue</t>
        </is>
      </c>
      <c r="B3" s="10">
        <f>IFERROR('ANNL P&amp;L'!B3/'ANNL P&amp;L'!B2,0)</f>
        <v/>
      </c>
      <c r="C3" s="10">
        <f>IFERROR('ANNL P&amp;L'!C3/'ANNL P&amp;L'!C2,0)</f>
        <v/>
      </c>
      <c r="D3" s="10">
        <f>IFERROR('ANNL P&amp;L'!D3/'ANNL P&amp;L'!D2,0)</f>
        <v/>
      </c>
      <c r="E3" s="10">
        <f>IFERROR('ANNL P&amp;L'!E3/'ANNL P&amp;L'!E2,0)</f>
        <v/>
      </c>
      <c r="F3" s="12">
        <f>E3</f>
        <v/>
      </c>
      <c r="G3" s="12">
        <f>F3</f>
        <v/>
      </c>
      <c r="H3" s="12">
        <f>G3</f>
        <v/>
      </c>
      <c r="I3" s="12">
        <f>H3</f>
        <v/>
      </c>
      <c r="J3" s="12">
        <f>I3</f>
        <v/>
      </c>
      <c r="K3" s="12">
        <f>J3</f>
        <v/>
      </c>
    </row>
    <row r="4">
      <c r="A4" s="3" t="inlineStr">
        <is>
          <t>SG&amp;A % of Revenue</t>
        </is>
      </c>
      <c r="B4" s="10">
        <f>IFERROR('ANNL P&amp;L'!B5/'ANNL P&amp;L'!B2,0)</f>
        <v/>
      </c>
      <c r="C4" s="10">
        <f>IFERROR('ANNL P&amp;L'!C5/'ANNL P&amp;L'!C2,0)</f>
        <v/>
      </c>
      <c r="D4" s="10">
        <f>IFERROR('ANNL P&amp;L'!D5/'ANNL P&amp;L'!D2,0)</f>
        <v/>
      </c>
      <c r="E4" s="10">
        <f>IFERROR('ANNL P&amp;L'!E5/'ANNL P&amp;L'!E2,0)</f>
        <v/>
      </c>
      <c r="F4" s="12">
        <f>E4</f>
        <v/>
      </c>
      <c r="G4" s="12">
        <f>F4</f>
        <v/>
      </c>
      <c r="H4" s="12">
        <f>G4</f>
        <v/>
      </c>
      <c r="I4" s="12">
        <f>H4</f>
        <v/>
      </c>
      <c r="J4" s="12">
        <f>I4</f>
        <v/>
      </c>
      <c r="K4" s="12">
        <f>J4</f>
        <v/>
      </c>
    </row>
    <row r="5">
      <c r="A5" s="3" t="inlineStr">
        <is>
          <t>Interest Income (Expense) $</t>
        </is>
      </c>
      <c r="B5" s="4">
        <f>'ANNL P&amp;L'!B7</f>
        <v/>
      </c>
      <c r="C5" s="4">
        <f>'ANNL P&amp;L'!C7</f>
        <v/>
      </c>
      <c r="D5" s="4">
        <f>'ANNL P&amp;L'!D7</f>
        <v/>
      </c>
      <c r="E5" s="4">
        <f>'ANNL P&amp;L'!E7</f>
        <v/>
      </c>
      <c r="F5" s="13">
        <f>E5</f>
        <v/>
      </c>
      <c r="G5" s="13">
        <f>F5</f>
        <v/>
      </c>
      <c r="H5" s="13">
        <f>G5</f>
        <v/>
      </c>
      <c r="I5" s="13">
        <f>H5</f>
        <v/>
      </c>
      <c r="J5" s="13">
        <f>I5</f>
        <v/>
      </c>
      <c r="K5" s="13">
        <f>J5</f>
        <v/>
      </c>
    </row>
    <row r="6">
      <c r="A6" s="3" t="inlineStr">
        <is>
          <t>Foreign Currency Gain (Loss) $</t>
        </is>
      </c>
      <c r="B6" s="4">
        <f>'ANNL P&amp;L'!B8</f>
        <v/>
      </c>
      <c r="C6" s="4">
        <f>'ANNL P&amp;L'!C8</f>
        <v/>
      </c>
      <c r="D6" s="4">
        <f>'ANNL P&amp;L'!D8</f>
        <v/>
      </c>
      <c r="E6" s="4">
        <f>'ANNL P&amp;L'!E8</f>
        <v/>
      </c>
      <c r="F6" s="13">
        <f>E6</f>
        <v/>
      </c>
      <c r="G6" s="13">
        <f>F6</f>
        <v/>
      </c>
      <c r="H6" s="13">
        <f>G6</f>
        <v/>
      </c>
      <c r="I6" s="13">
        <f>H6</f>
        <v/>
      </c>
      <c r="J6" s="13">
        <f>I6</f>
        <v/>
      </c>
      <c r="K6" s="13">
        <f>J6</f>
        <v/>
      </c>
    </row>
    <row r="7">
      <c r="A7" s="3" t="inlineStr">
        <is>
          <t>Other Income (Expense) $</t>
        </is>
      </c>
      <c r="B7" s="4">
        <f>'ANNL P&amp;L'!B9</f>
        <v/>
      </c>
      <c r="C7" s="4">
        <f>'ANNL P&amp;L'!C9</f>
        <v/>
      </c>
      <c r="D7" s="4">
        <f>'ANNL P&amp;L'!D9</f>
        <v/>
      </c>
      <c r="E7" s="4">
        <f>'ANNL P&amp;L'!E9</f>
        <v/>
      </c>
      <c r="F7" s="13">
        <f>E7</f>
        <v/>
      </c>
      <c r="G7" s="13">
        <f>F7</f>
        <v/>
      </c>
      <c r="H7" s="13">
        <f>G7</f>
        <v/>
      </c>
      <c r="I7" s="13">
        <f>H7</f>
        <v/>
      </c>
      <c r="J7" s="13">
        <f>I7</f>
        <v/>
      </c>
      <c r="K7" s="13">
        <f>J7</f>
        <v/>
      </c>
    </row>
    <row r="8">
      <c r="A8" s="3" t="inlineStr">
        <is>
          <t>Effective Tax Rate %</t>
        </is>
      </c>
      <c r="B8" s="10">
        <f>IFERROR('ANNL P&amp;L'!B11/'ANNL P&amp;L'!B10,0)</f>
        <v/>
      </c>
      <c r="C8" s="10">
        <f>IFERROR('ANNL P&amp;L'!C11/'ANNL P&amp;L'!C10,0)</f>
        <v/>
      </c>
      <c r="D8" s="10">
        <f>IFERROR('ANNL P&amp;L'!D11/'ANNL P&amp;L'!D10,0)</f>
        <v/>
      </c>
      <c r="E8" s="10">
        <f>IFERROR('ANNL P&amp;L'!E11/'ANNL P&amp;L'!E10,0)</f>
        <v/>
      </c>
      <c r="F8" s="12">
        <f>E8</f>
        <v/>
      </c>
      <c r="G8" s="12">
        <f>F8</f>
        <v/>
      </c>
      <c r="H8" s="12">
        <f>G8</f>
        <v/>
      </c>
      <c r="I8" s="12">
        <f>H8</f>
        <v/>
      </c>
      <c r="J8" s="12">
        <f>I8</f>
        <v/>
      </c>
      <c r="K8" s="12">
        <f>J8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8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</cols>
  <sheetData>
    <row r="1">
      <c r="A1" s="1" t="inlineStr"/>
      <c r="B1" s="2" t="inlineStr">
        <is>
          <t>FY2021</t>
        </is>
      </c>
      <c r="C1" s="2" t="inlineStr">
        <is>
          <t>FY2022</t>
        </is>
      </c>
      <c r="D1" s="2" t="inlineStr">
        <is>
          <t>FY2023</t>
        </is>
      </c>
      <c r="E1" s="2" t="inlineStr">
        <is>
          <t>FY2024</t>
        </is>
      </c>
      <c r="F1" s="2" t="inlineStr">
        <is>
          <t>FY2025E</t>
        </is>
      </c>
      <c r="G1" s="2" t="inlineStr">
        <is>
          <t>FY2026E</t>
        </is>
      </c>
      <c r="H1" s="2" t="inlineStr">
        <is>
          <t>FY2027E</t>
        </is>
      </c>
      <c r="I1" s="2" t="inlineStr">
        <is>
          <t>FY2028E</t>
        </is>
      </c>
      <c r="J1" s="2" t="inlineStr">
        <is>
          <t>FY2029E</t>
        </is>
      </c>
      <c r="K1" s="2" t="inlineStr">
        <is>
          <t>FY2030E</t>
        </is>
      </c>
    </row>
    <row r="2">
      <c r="A2" s="14" t="inlineStr">
        <is>
          <t>Current Assets</t>
        </is>
      </c>
      <c r="B2" s="15" t="n"/>
      <c r="C2" s="15" t="n"/>
      <c r="D2" s="15" t="n"/>
      <c r="E2" s="15" t="n"/>
      <c r="F2" s="15" t="n"/>
      <c r="G2" s="15" t="n"/>
      <c r="H2" s="15" t="n"/>
      <c r="I2" s="15" t="n"/>
      <c r="J2" s="15" t="n"/>
      <c r="K2" s="15" t="n"/>
    </row>
    <row r="3">
      <c r="A3" s="3" t="inlineStr">
        <is>
          <t>DSO (days)</t>
        </is>
      </c>
      <c r="C3" s="16">
        <f>IFERROR('BALANCE SHEET'!B4/'ANNL P&amp;L'!C2*ASSUMPTIONS!$B$2,0)</f>
        <v/>
      </c>
      <c r="D3" s="16">
        <f>IFERROR('BALANCE SHEET'!C4/'ANNL P&amp;L'!D2*ASSUMPTIONS!$B$2,0)</f>
        <v/>
      </c>
      <c r="E3" s="16">
        <f>IFERROR('BALANCE SHEET'!D4/'ANNL P&amp;L'!E2*ASSUMPTIONS!$B$2,0)</f>
        <v/>
      </c>
      <c r="F3" s="17">
        <f>E3</f>
        <v/>
      </c>
      <c r="G3" s="17">
        <f>F3</f>
        <v/>
      </c>
      <c r="H3" s="17">
        <f>G3</f>
        <v/>
      </c>
      <c r="I3" s="17">
        <f>H3</f>
        <v/>
      </c>
      <c r="J3" s="17">
        <f>I3</f>
        <v/>
      </c>
      <c r="K3" s="17">
        <f>J3</f>
        <v/>
      </c>
    </row>
    <row r="4">
      <c r="A4" s="3" t="inlineStr">
        <is>
          <t>DIO (days)</t>
        </is>
      </c>
      <c r="C4" s="16">
        <f>IFERROR('BALANCE SHEET'!B6/'ANNL P&amp;L'!C3*ASSUMPTIONS!$B$2,0)</f>
        <v/>
      </c>
      <c r="D4" s="16">
        <f>IFERROR('BALANCE SHEET'!C6/'ANNL P&amp;L'!D3*ASSUMPTIONS!$B$2,0)</f>
        <v/>
      </c>
      <c r="E4" s="16">
        <f>IFERROR('BALANCE SHEET'!D6/'ANNL P&amp;L'!E3*ASSUMPTIONS!$B$2,0)</f>
        <v/>
      </c>
      <c r="F4" s="17">
        <f>E4</f>
        <v/>
      </c>
      <c r="G4" s="17">
        <f>F4</f>
        <v/>
      </c>
      <c r="H4" s="17">
        <f>G4</f>
        <v/>
      </c>
      <c r="I4" s="17">
        <f>H4</f>
        <v/>
      </c>
      <c r="J4" s="17">
        <f>I4</f>
        <v/>
      </c>
      <c r="K4" s="17">
        <f>J4</f>
        <v/>
      </c>
    </row>
    <row r="5">
      <c r="A5" s="3" t="inlineStr">
        <is>
          <t>Note Receivable - Current % of Rev</t>
        </is>
      </c>
      <c r="C5" s="10">
        <f>IFERROR('BALANCE SHEET'!B5/'ANNL P&amp;L'!C2,0)</f>
        <v/>
      </c>
      <c r="D5" s="10">
        <f>IFERROR('BALANCE SHEET'!C5/'ANNL P&amp;L'!D2,0)</f>
        <v/>
      </c>
      <c r="E5" s="10">
        <f>IFERROR('BALANCE SHEET'!D5/'ANNL P&amp;L'!E2,0)</f>
        <v/>
      </c>
      <c r="F5" s="12">
        <f>E5</f>
        <v/>
      </c>
      <c r="G5" s="12">
        <f>F5</f>
        <v/>
      </c>
      <c r="H5" s="12">
        <f>G5</f>
        <v/>
      </c>
      <c r="I5" s="12">
        <f>H5</f>
        <v/>
      </c>
      <c r="J5" s="12">
        <f>I5</f>
        <v/>
      </c>
      <c r="K5" s="12">
        <f>J5</f>
        <v/>
      </c>
    </row>
    <row r="6">
      <c r="A6" s="3" t="inlineStr">
        <is>
          <t>Deferred Other Costs - Current % of Rev</t>
        </is>
      </c>
      <c r="C6" s="10">
        <f>IFERROR('BALANCE SHEET'!B7/'ANNL P&amp;L'!C2,0)</f>
        <v/>
      </c>
      <c r="D6" s="10">
        <f>IFERROR('BALANCE SHEET'!C7/'ANNL P&amp;L'!D2,0)</f>
        <v/>
      </c>
      <c r="E6" s="10">
        <f>IFERROR('BALANCE SHEET'!D7/'ANNL P&amp;L'!E2,0)</f>
        <v/>
      </c>
      <c r="F6" s="12">
        <f>E6</f>
        <v/>
      </c>
      <c r="G6" s="12">
        <f>F6</f>
        <v/>
      </c>
      <c r="H6" s="12">
        <f>G6</f>
        <v/>
      </c>
      <c r="I6" s="12">
        <f>H6</f>
        <v/>
      </c>
      <c r="J6" s="12">
        <f>I6</f>
        <v/>
      </c>
      <c r="K6" s="12">
        <f>J6</f>
        <v/>
      </c>
    </row>
    <row r="7">
      <c r="A7" s="3" t="inlineStr">
        <is>
          <t>Prepaid Expenses % of Rev</t>
        </is>
      </c>
      <c r="C7" s="10">
        <f>IFERROR('BALANCE SHEET'!B8/'ANNL P&amp;L'!C2,0)</f>
        <v/>
      </c>
      <c r="D7" s="10">
        <f>IFERROR('BALANCE SHEET'!C8/'ANNL P&amp;L'!D2,0)</f>
        <v/>
      </c>
      <c r="E7" s="10">
        <f>IFERROR('BALANCE SHEET'!D8/'ANNL P&amp;L'!E2,0)</f>
        <v/>
      </c>
      <c r="F7" s="12">
        <f>E7</f>
        <v/>
      </c>
      <c r="G7" s="12">
        <f>F7</f>
        <v/>
      </c>
      <c r="H7" s="12">
        <f>G7</f>
        <v/>
      </c>
      <c r="I7" s="12">
        <f>H7</f>
        <v/>
      </c>
      <c r="J7" s="12">
        <f>I7</f>
        <v/>
      </c>
      <c r="K7" s="12">
        <f>J7</f>
        <v/>
      </c>
    </row>
    <row r="8">
      <c r="A8" s="14" t="inlineStr">
        <is>
          <t>Non-Current Assets</t>
        </is>
      </c>
      <c r="B8" s="15" t="n"/>
      <c r="C8" s="15" t="n"/>
      <c r="D8" s="15" t="n"/>
      <c r="E8" s="15" t="n"/>
      <c r="F8" s="15" t="n"/>
      <c r="G8" s="15" t="n"/>
      <c r="H8" s="15" t="n"/>
      <c r="I8" s="15" t="n"/>
      <c r="J8" s="15" t="n"/>
      <c r="K8" s="15" t="n"/>
    </row>
    <row r="9">
      <c r="A9" s="3" t="inlineStr">
        <is>
          <t>Other Non-Current Assets % of Rev</t>
        </is>
      </c>
      <c r="C9" s="10">
        <f>IFERROR('BALANCE SHEET'!B18/'ANNL P&amp;L'!C2,0)</f>
        <v/>
      </c>
      <c r="D9" s="10">
        <f>IFERROR('BALANCE SHEET'!C18/'ANNL P&amp;L'!D2,0)</f>
        <v/>
      </c>
      <c r="E9" s="10">
        <f>IFERROR('BALANCE SHEET'!D18/'ANNL P&amp;L'!E2,0)</f>
        <v/>
      </c>
      <c r="F9" s="12">
        <f>E9</f>
        <v/>
      </c>
      <c r="G9" s="12">
        <f>F9</f>
        <v/>
      </c>
      <c r="H9" s="12">
        <f>G9</f>
        <v/>
      </c>
      <c r="I9" s="12">
        <f>H9</f>
        <v/>
      </c>
      <c r="J9" s="12">
        <f>I9</f>
        <v/>
      </c>
      <c r="K9" s="12">
        <f>J9</f>
        <v/>
      </c>
    </row>
    <row r="10">
      <c r="A10" s="14" t="inlineStr">
        <is>
          <t>Current Liabilities</t>
        </is>
      </c>
      <c r="B10" s="15" t="n"/>
      <c r="C10" s="15" t="n"/>
      <c r="D10" s="15" t="n"/>
      <c r="E10" s="15" t="n"/>
      <c r="F10" s="15" t="n"/>
      <c r="G10" s="15" t="n"/>
      <c r="H10" s="15" t="n"/>
      <c r="I10" s="15" t="n"/>
      <c r="J10" s="15" t="n"/>
      <c r="K10" s="15" t="n"/>
    </row>
    <row r="11">
      <c r="A11" s="3" t="inlineStr">
        <is>
          <t>DPO (days)</t>
        </is>
      </c>
      <c r="C11" s="16">
        <f>IFERROR('BALANCE SHEET'!B20/'ANNL P&amp;L'!C3*ASSUMPTIONS!$B$2,0)</f>
        <v/>
      </c>
      <c r="D11" s="16">
        <f>IFERROR('BALANCE SHEET'!C20/'ANNL P&amp;L'!D3*ASSUMPTIONS!$B$2,0)</f>
        <v/>
      </c>
      <c r="E11" s="16">
        <f>IFERROR('BALANCE SHEET'!D20/'ANNL P&amp;L'!E3*ASSUMPTIONS!$B$2,0)</f>
        <v/>
      </c>
      <c r="F11" s="17">
        <f>E11</f>
        <v/>
      </c>
      <c r="G11" s="17">
        <f>F11</f>
        <v/>
      </c>
      <c r="H11" s="17">
        <f>G11</f>
        <v/>
      </c>
      <c r="I11" s="17">
        <f>H11</f>
        <v/>
      </c>
      <c r="J11" s="17">
        <f>I11</f>
        <v/>
      </c>
      <c r="K11" s="17">
        <f>J11</f>
        <v/>
      </c>
    </row>
    <row r="12">
      <c r="A12" s="3" t="inlineStr">
        <is>
          <t>Accrued Expenses % of Rev</t>
        </is>
      </c>
      <c r="C12" s="10">
        <f>IFERROR('BALANCE SHEET'!B21/'ANNL P&amp;L'!C2,0)</f>
        <v/>
      </c>
      <c r="D12" s="10">
        <f>IFERROR('BALANCE SHEET'!C21/'ANNL P&amp;L'!D2,0)</f>
        <v/>
      </c>
      <c r="E12" s="10">
        <f>IFERROR('BALANCE SHEET'!D21/'ANNL P&amp;L'!E2,0)</f>
        <v/>
      </c>
      <c r="F12" s="12">
        <f>E12</f>
        <v/>
      </c>
      <c r="G12" s="12">
        <f>F12</f>
        <v/>
      </c>
      <c r="H12" s="12">
        <f>G12</f>
        <v/>
      </c>
      <c r="I12" s="12">
        <f>H12</f>
        <v/>
      </c>
      <c r="J12" s="12">
        <f>I12</f>
        <v/>
      </c>
      <c r="K12" s="12">
        <f>J12</f>
        <v/>
      </c>
    </row>
    <row r="13">
      <c r="A13" s="3" t="inlineStr">
        <is>
          <t>Income Taxes Payable % of Rev</t>
        </is>
      </c>
      <c r="C13" s="10">
        <f>IFERROR('BALANCE SHEET'!B22/'ANNL P&amp;L'!C2,0)</f>
        <v/>
      </c>
      <c r="D13" s="10">
        <f>IFERROR('BALANCE SHEET'!C22/'ANNL P&amp;L'!D2,0)</f>
        <v/>
      </c>
      <c r="E13" s="10">
        <f>IFERROR('BALANCE SHEET'!D22/'ANNL P&amp;L'!E2,0)</f>
        <v/>
      </c>
      <c r="F13" s="12">
        <f>E13</f>
        <v/>
      </c>
      <c r="G13" s="12">
        <f>F13</f>
        <v/>
      </c>
      <c r="H13" s="12">
        <f>G13</f>
        <v/>
      </c>
      <c r="I13" s="12">
        <f>H13</f>
        <v/>
      </c>
      <c r="J13" s="12">
        <f>I13</f>
        <v/>
      </c>
      <c r="K13" s="12">
        <f>J13</f>
        <v/>
      </c>
    </row>
    <row r="14">
      <c r="A14" s="3" t="inlineStr">
        <is>
          <t>Accrued Distributor Termination Fees % of Rev</t>
        </is>
      </c>
      <c r="C14" s="10">
        <f>IFERROR('BALANCE SHEET'!B23/'ANNL P&amp;L'!C2,0)</f>
        <v/>
      </c>
      <c r="D14" s="10">
        <f>IFERROR('BALANCE SHEET'!C23/'ANNL P&amp;L'!D2,0)</f>
        <v/>
      </c>
      <c r="E14" s="10">
        <f>IFERROR('BALANCE SHEET'!D23/'ANNL P&amp;L'!E2,0)</f>
        <v/>
      </c>
      <c r="F14" s="12">
        <f>E14</f>
        <v/>
      </c>
      <c r="G14" s="12">
        <f>F14</f>
        <v/>
      </c>
      <c r="H14" s="12">
        <f>G14</f>
        <v/>
      </c>
      <c r="I14" s="12">
        <f>H14</f>
        <v/>
      </c>
      <c r="J14" s="12">
        <f>I14</f>
        <v/>
      </c>
      <c r="K14" s="12">
        <f>J14</f>
        <v/>
      </c>
    </row>
    <row r="15">
      <c r="A15" s="3" t="inlineStr">
        <is>
          <t>Accrued Promotional Allowance % of Rev</t>
        </is>
      </c>
      <c r="C15" s="10">
        <f>IFERROR('BALANCE SHEET'!B24/'ANNL P&amp;L'!C2,0)</f>
        <v/>
      </c>
      <c r="D15" s="10">
        <f>IFERROR('BALANCE SHEET'!C24/'ANNL P&amp;L'!D2,0)</f>
        <v/>
      </c>
      <c r="E15" s="10">
        <f>IFERROR('BALANCE SHEET'!D24/'ANNL P&amp;L'!E2,0)</f>
        <v/>
      </c>
      <c r="F15" s="12">
        <f>E15</f>
        <v/>
      </c>
      <c r="G15" s="12">
        <f>F15</f>
        <v/>
      </c>
      <c r="H15" s="12">
        <f>G15</f>
        <v/>
      </c>
      <c r="I15" s="12">
        <f>H15</f>
        <v/>
      </c>
      <c r="J15" s="12">
        <f>I15</f>
        <v/>
      </c>
      <c r="K15" s="12">
        <f>J15</f>
        <v/>
      </c>
    </row>
    <row r="16">
      <c r="A16" s="3" t="inlineStr">
        <is>
          <t>Lease Liability - Operating - Current % of Rev</t>
        </is>
      </c>
      <c r="C16" s="10">
        <f>IFERROR('BALANCE SHEET'!B25/'ANNL P&amp;L'!C2,0)</f>
        <v/>
      </c>
      <c r="D16" s="10">
        <f>IFERROR('BALANCE SHEET'!C25/'ANNL P&amp;L'!D2,0)</f>
        <v/>
      </c>
      <c r="E16" s="10">
        <f>IFERROR('BALANCE SHEET'!D25/'ANNL P&amp;L'!E2,0)</f>
        <v/>
      </c>
      <c r="F16" s="12">
        <f>E16</f>
        <v/>
      </c>
      <c r="G16" s="12">
        <f>F16</f>
        <v/>
      </c>
      <c r="H16" s="12">
        <f>G16</f>
        <v/>
      </c>
      <c r="I16" s="12">
        <f>H16</f>
        <v/>
      </c>
      <c r="J16" s="12">
        <f>I16</f>
        <v/>
      </c>
      <c r="K16" s="12">
        <f>J16</f>
        <v/>
      </c>
    </row>
    <row r="17">
      <c r="A17" s="3" t="inlineStr">
        <is>
          <t>Lease Liability - Finance - Current % of Rev</t>
        </is>
      </c>
      <c r="C17" s="10">
        <f>IFERROR('BALANCE SHEET'!B26/'ANNL P&amp;L'!C2,0)</f>
        <v/>
      </c>
      <c r="D17" s="10">
        <f>IFERROR('BALANCE SHEET'!C26/'ANNL P&amp;L'!D2,0)</f>
        <v/>
      </c>
      <c r="E17" s="10">
        <f>IFERROR('BALANCE SHEET'!D26/'ANNL P&amp;L'!E2,0)</f>
        <v/>
      </c>
      <c r="F17" s="12">
        <f>E17</f>
        <v/>
      </c>
      <c r="G17" s="12">
        <f>F17</f>
        <v/>
      </c>
      <c r="H17" s="12">
        <f>G17</f>
        <v/>
      </c>
      <c r="I17" s="12">
        <f>H17</f>
        <v/>
      </c>
      <c r="J17" s="12">
        <f>I17</f>
        <v/>
      </c>
      <c r="K17" s="12">
        <f>J17</f>
        <v/>
      </c>
    </row>
    <row r="18">
      <c r="A18" s="3" t="inlineStr">
        <is>
          <t>Deferred Revenue - Current % of Rev</t>
        </is>
      </c>
      <c r="C18" s="10">
        <f>IFERROR('BALANCE SHEET'!B27/'ANNL P&amp;L'!C2,0)</f>
        <v/>
      </c>
      <c r="D18" s="10">
        <f>IFERROR('BALANCE SHEET'!C27/'ANNL P&amp;L'!D2,0)</f>
        <v/>
      </c>
      <c r="E18" s="10">
        <f>IFERROR('BALANCE SHEET'!D27/'ANNL P&amp;L'!E2,0)</f>
        <v/>
      </c>
      <c r="F18" s="12">
        <f>E18</f>
        <v/>
      </c>
      <c r="G18" s="12">
        <f>F18</f>
        <v/>
      </c>
      <c r="H18" s="12">
        <f>G18</f>
        <v/>
      </c>
      <c r="I18" s="12">
        <f>H18</f>
        <v/>
      </c>
      <c r="J18" s="12">
        <f>I18</f>
        <v/>
      </c>
      <c r="K18" s="12">
        <f>J18</f>
        <v/>
      </c>
    </row>
    <row r="19">
      <c r="A19" s="3" t="inlineStr">
        <is>
          <t>Other Current Liabilities % of Rev</t>
        </is>
      </c>
      <c r="C19" s="10">
        <f>IFERROR('BALANCE SHEET'!B28/'ANNL P&amp;L'!C2,0)</f>
        <v/>
      </c>
      <c r="D19" s="10">
        <f>IFERROR('BALANCE SHEET'!C28/'ANNL P&amp;L'!D2,0)</f>
        <v/>
      </c>
      <c r="E19" s="10">
        <f>IFERROR('BALANCE SHEET'!D28/'ANNL P&amp;L'!E2,0)</f>
        <v/>
      </c>
      <c r="F19" s="12">
        <f>E19</f>
        <v/>
      </c>
      <c r="G19" s="12">
        <f>F19</f>
        <v/>
      </c>
      <c r="H19" s="12">
        <f>G19</f>
        <v/>
      </c>
      <c r="I19" s="12">
        <f>H19</f>
        <v/>
      </c>
      <c r="J19" s="12">
        <f>I19</f>
        <v/>
      </c>
      <c r="K19" s="12">
        <f>J19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8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</cols>
  <sheetData>
    <row r="1">
      <c r="A1" s="1" t="inlineStr"/>
      <c r="B1" s="2" t="inlineStr">
        <is>
          <t>FY2021</t>
        </is>
      </c>
      <c r="C1" s="2" t="inlineStr">
        <is>
          <t>FY2022</t>
        </is>
      </c>
      <c r="D1" s="2" t="inlineStr">
        <is>
          <t>FY2023</t>
        </is>
      </c>
      <c r="E1" s="2" t="inlineStr">
        <is>
          <t>FY2024</t>
        </is>
      </c>
      <c r="F1" s="2" t="inlineStr">
        <is>
          <t>FY2025E</t>
        </is>
      </c>
      <c r="G1" s="2" t="inlineStr">
        <is>
          <t>FY2026E</t>
        </is>
      </c>
      <c r="H1" s="2" t="inlineStr">
        <is>
          <t>FY2027E</t>
        </is>
      </c>
      <c r="I1" s="2" t="inlineStr">
        <is>
          <t>FY2028E</t>
        </is>
      </c>
      <c r="J1" s="2" t="inlineStr">
        <is>
          <t>FY2029E</t>
        </is>
      </c>
      <c r="K1" s="2" t="inlineStr">
        <is>
          <t>FY2030E</t>
        </is>
      </c>
    </row>
    <row r="2">
      <c r="A2" s="3" t="inlineStr">
        <is>
          <t>D&amp;A % of PP&amp;E</t>
        </is>
      </c>
      <c r="D2" s="10">
        <f>IFERROR('CASH FLOW'!D3/'BALANCE SHEET'!B11,0)</f>
        <v/>
      </c>
      <c r="E2" s="10">
        <f>IFERROR('CASH FLOW'!E3/'BALANCE SHEET'!C11,0)</f>
        <v/>
      </c>
      <c r="F2" s="12">
        <f>E2</f>
        <v/>
      </c>
      <c r="G2" s="12">
        <f>F2</f>
        <v/>
      </c>
      <c r="H2" s="12">
        <f>G2</f>
        <v/>
      </c>
      <c r="I2" s="12">
        <f>H2</f>
        <v/>
      </c>
      <c r="J2" s="12">
        <f>I2</f>
        <v/>
      </c>
      <c r="K2" s="12">
        <f>J2</f>
        <v/>
      </c>
    </row>
    <row r="3">
      <c r="A3" s="3" t="inlineStr">
        <is>
          <t>SBC $</t>
        </is>
      </c>
      <c r="B3" s="4">
        <f>'CASH FLOW'!B9</f>
        <v/>
      </c>
      <c r="C3" s="4">
        <f>'CASH FLOW'!C9</f>
        <v/>
      </c>
      <c r="D3" s="4">
        <f>'CASH FLOW'!D9</f>
        <v/>
      </c>
      <c r="E3" s="4">
        <f>'CASH FLOW'!E9</f>
        <v/>
      </c>
      <c r="F3" s="13">
        <f>E3</f>
        <v/>
      </c>
      <c r="G3" s="13">
        <f>F3</f>
        <v/>
      </c>
      <c r="H3" s="13">
        <f>G3</f>
        <v/>
      </c>
      <c r="I3" s="13">
        <f>H3</f>
        <v/>
      </c>
      <c r="J3" s="13">
        <f>I3</f>
        <v/>
      </c>
      <c r="K3" s="13">
        <f>J3</f>
        <v/>
      </c>
    </row>
    <row r="4">
      <c r="A4" s="3" t="inlineStr">
        <is>
          <t>CapEx % of PP&amp;E</t>
        </is>
      </c>
      <c r="D4" s="10">
        <f>IFERROR('CASH FLOW'!D28/'BALANCE SHEET'!B11,0)</f>
        <v/>
      </c>
      <c r="E4" s="10">
        <f>IFERROR('CASH FLOW'!E28/'BALANCE SHEET'!C11,0)</f>
        <v/>
      </c>
      <c r="F4" s="12">
        <f>E4</f>
        <v/>
      </c>
      <c r="G4" s="12">
        <f>F4</f>
        <v/>
      </c>
      <c r="H4" s="12">
        <f>G4</f>
        <v/>
      </c>
      <c r="I4" s="12">
        <f>H4</f>
        <v/>
      </c>
      <c r="J4" s="12">
        <f>I4</f>
        <v/>
      </c>
      <c r="K4" s="12">
        <f>J4</f>
        <v/>
      </c>
    </row>
    <row r="5">
      <c r="A5" s="3" t="inlineStr">
        <is>
          <t>Preferred Dividends % of Preferred Balance</t>
        </is>
      </c>
      <c r="C5" s="10">
        <f>IFERROR('CASH FLOW'!C35/'BALANCE SHEET'!B35,0)</f>
        <v/>
      </c>
      <c r="D5" s="10">
        <f>IFERROR('CASH FLOW'!D35/'BALANCE SHEET'!C35,0)</f>
        <v/>
      </c>
      <c r="E5" s="10">
        <f>IFERROR('CASH FLOW'!E35/'BALANCE SHEET'!D35,0)</f>
        <v/>
      </c>
      <c r="F5" s="12">
        <f>E5</f>
        <v/>
      </c>
      <c r="G5" s="12">
        <f>F5</f>
        <v/>
      </c>
      <c r="H5" s="12">
        <f>G5</f>
        <v/>
      </c>
      <c r="I5" s="12">
        <f>H5</f>
        <v/>
      </c>
      <c r="J5" s="12">
        <f>I5</f>
        <v/>
      </c>
      <c r="K5" s="12">
        <f>J5</f>
        <v/>
      </c>
    </row>
    <row r="6">
      <c r="A6" s="3" t="inlineStr">
        <is>
          <t>Common Dividends % of Net Income</t>
        </is>
      </c>
      <c r="F6" s="12">
        <f>E6</f>
        <v/>
      </c>
      <c r="G6" s="12">
        <f>F6</f>
        <v/>
      </c>
      <c r="H6" s="12">
        <f>G6</f>
        <v/>
      </c>
      <c r="I6" s="12">
        <f>H6</f>
        <v/>
      </c>
      <c r="J6" s="12">
        <f>I6</f>
        <v/>
      </c>
      <c r="K6" s="12">
        <f>J6</f>
        <v/>
      </c>
    </row>
    <row r="7">
      <c r="A7" s="3" t="inlineStr">
        <is>
          <t>Share Repurchases $</t>
        </is>
      </c>
      <c r="B7" s="4">
        <f>'CASH FLOW'!B37</f>
        <v/>
      </c>
      <c r="C7" s="4">
        <f>'CASH FLOW'!C37</f>
        <v/>
      </c>
      <c r="D7" s="4">
        <f>'CASH FLOW'!D37</f>
        <v/>
      </c>
      <c r="E7" s="4">
        <f>'CASH FLOW'!E37</f>
        <v/>
      </c>
      <c r="F7" s="13">
        <f>ASSUMPTIONS!$B$3</f>
        <v/>
      </c>
      <c r="G7" s="13">
        <f>ASSUMPTIONS!$B$3</f>
        <v/>
      </c>
      <c r="H7" s="13">
        <f>ASSUMPTIONS!$B$3</f>
        <v/>
      </c>
      <c r="I7" s="13">
        <f>ASSUMPTIONS!$B$3</f>
        <v/>
      </c>
      <c r="J7" s="13">
        <f>ASSUMPTIONS!$B$3</f>
        <v/>
      </c>
      <c r="K7" s="13">
        <f>ASSUMPTIONS!$B$3</f>
        <v/>
      </c>
    </row>
    <row r="8">
      <c r="A8" s="3" t="inlineStr">
        <is>
          <t>Net Debt $</t>
        </is>
      </c>
      <c r="C8" s="4">
        <f>('BALANCE SHEET'!B25+'BALANCE SHEET'!B26+'BALANCE SHEET'!B30+'BALANCE SHEET'!B31)-('BALANCE SHEET'!B2+'BALANCE SHEET'!B3)</f>
        <v/>
      </c>
      <c r="D8" s="4">
        <f>('BALANCE SHEET'!C25+'BALANCE SHEET'!C26+'BALANCE SHEET'!C30+'BALANCE SHEET'!C31)-('BALANCE SHEET'!C2+'BALANCE SHEET'!C3)</f>
        <v/>
      </c>
      <c r="E8" s="4">
        <f>('BALANCE SHEET'!D25+'BALANCE SHEET'!D26+'BALANCE SHEET'!D30+'BALANCE SHEET'!D31)-('BALANCE SHEET'!D2+'BALANCE SHEET'!D3)</f>
        <v/>
      </c>
      <c r="F8" s="13">
        <f>('BALANCE SHEET'!E25+'BALANCE SHEET'!E26+'BALANCE SHEET'!E30+'BALANCE SHEET'!E31)-('BALANCE SHEET'!E2+'BALANCE SHEET'!E3)</f>
        <v/>
      </c>
      <c r="G8" s="13">
        <f>('BALANCE SHEET'!F25+'BALANCE SHEET'!F26+'BALANCE SHEET'!F30+'BALANCE SHEET'!F31)-('BALANCE SHEET'!F2+'BALANCE SHEET'!F3)</f>
        <v/>
      </c>
      <c r="H8" s="13">
        <f>('BALANCE SHEET'!G25+'BALANCE SHEET'!G26+'BALANCE SHEET'!G30+'BALANCE SHEET'!G31)-('BALANCE SHEET'!G2+'BALANCE SHEET'!G3)</f>
        <v/>
      </c>
      <c r="I8" s="13">
        <f>('BALANCE SHEET'!H25+'BALANCE SHEET'!H26+'BALANCE SHEET'!H30+'BALANCE SHEET'!H31)-('BALANCE SHEET'!H2+'BALANCE SHEET'!H3)</f>
        <v/>
      </c>
      <c r="J8" s="13">
        <f>('BALANCE SHEET'!I25+'BALANCE SHEET'!I26+'BALANCE SHEET'!I30+'BALANCE SHEET'!I31)-('BALANCE SHEET'!I2+'BALANCE SHEET'!I3)</f>
        <v/>
      </c>
      <c r="K8" s="13">
        <f>('BALANCE SHEET'!J25+'BALANCE SHEET'!J26+'BALANCE SHEET'!J30+'BALANCE SHEET'!J31)-('BALANCE SHEET'!J2+'BALANCE SHEET'!J3)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2026-04-23T23:34:27Z</dcterms:created>
  <dcterms:modified xsi:type="dcterms:W3CDTF">2026-04-23T23:34:27Z</dcterms:modified>
</cp:coreProperties>
</file>