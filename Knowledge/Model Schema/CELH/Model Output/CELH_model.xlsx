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307</v>
      </c>
      <c r="C7" s="4" t="n">
        <v>5529</v>
      </c>
      <c r="D7" s="4" t="n">
        <v>26629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-276</v>
      </c>
      <c r="C8" s="4" t="n">
        <v>-392</v>
      </c>
      <c r="D8" s="4" t="n">
        <v>-1246</v>
      </c>
      <c r="E8" s="4" t="n">
        <v>-1734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 (Benefit) Expense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Accounts Receivable</t>
        </is>
      </c>
      <c r="B3" s="4" t="n">
        <v>63311</v>
      </c>
      <c r="C3" s="4" t="n">
        <v>183703</v>
      </c>
      <c r="D3" s="4" t="n">
        <v>270342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Note Receivable - Current</t>
        </is>
      </c>
      <c r="B4" s="4" t="n">
        <v>6553</v>
      </c>
      <c r="C4" s="4" t="n">
        <v>2318</v>
      </c>
      <c r="D4" s="4" t="n">
        <v>0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Inventories</t>
        </is>
      </c>
      <c r="B5" s="4" t="n">
        <v>173289</v>
      </c>
      <c r="C5" s="4" t="n">
        <v>229275</v>
      </c>
      <c r="D5" s="4" t="n">
        <v>131165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Deferred Other Costs - Current</t>
        </is>
      </c>
      <c r="B6" s="4" t="n">
        <v>14124</v>
      </c>
      <c r="C6" s="4" t="n">
        <v>14124</v>
      </c>
      <c r="D6" s="4" t="n">
        <v>14124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Restricted Cash</t>
        </is>
      </c>
      <c r="B8" s="4" t="n">
        <v>38768</v>
      </c>
      <c r="C8" s="4" t="n">
        <v>0</v>
      </c>
      <c r="D8" s="4" t="n">
        <v>0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ROU Assets - Operating - Non-Current</t>
        </is>
      </c>
      <c r="B11" s="4" t="n">
        <v>972</v>
      </c>
      <c r="C11" s="4" t="n">
        <v>1957</v>
      </c>
      <c r="D11" s="4" t="n">
        <v>21606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Finance - Non-Current</t>
        </is>
      </c>
      <c r="B12" s="4" t="n">
        <v>208</v>
      </c>
      <c r="C12" s="4" t="n">
        <v>208</v>
      </c>
      <c r="D12" s="4" t="n">
        <v>230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Intangible Assets</t>
        </is>
      </c>
      <c r="B13" s="4" t="n">
        <v>12254</v>
      </c>
      <c r="C13" s="4" t="n">
        <v>12139</v>
      </c>
      <c r="D13" s="4" t="n">
        <v>12213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Goodwill</t>
        </is>
      </c>
      <c r="B14" s="4" t="n">
        <v>13679</v>
      </c>
      <c r="C14" s="4" t="n">
        <v>14173</v>
      </c>
      <c r="D14" s="4" t="n">
        <v>71582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Deferred Other Costs - Non-Current</t>
        </is>
      </c>
      <c r="B15" s="4" t="n">
        <v>262462</v>
      </c>
      <c r="C15" s="4" t="n">
        <v>248338</v>
      </c>
      <c r="D15" s="4" t="n">
        <v>234215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Tax Assets</t>
        </is>
      </c>
      <c r="B16" s="4" t="n">
        <v>501</v>
      </c>
      <c r="C16" s="4" t="n">
        <v>29518</v>
      </c>
      <c r="D16" s="4" t="n">
        <v>38699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Non-Current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Income Taxes Payable</t>
        </is>
      </c>
      <c r="B21" s="4" t="n">
        <v>1193</v>
      </c>
      <c r="C21" s="4" t="n">
        <v>50424</v>
      </c>
      <c r="D21" s="4" t="n">
        <v>10834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Accrued Promotional Allowance</t>
        </is>
      </c>
      <c r="B22" s="4" t="n">
        <v>35977</v>
      </c>
      <c r="C22" s="4" t="n">
        <v>99787</v>
      </c>
      <c r="D22" s="4" t="n">
        <v>135948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Operating - Current</t>
        </is>
      </c>
      <c r="B23" s="4" t="n">
        <v>987</v>
      </c>
      <c r="C23" s="4" t="n">
        <v>980</v>
      </c>
      <c r="D23" s="4" t="n">
        <v>3265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Lease Liability - Finance - Current</t>
        </is>
      </c>
      <c r="B24" s="4" t="n">
        <v>232</v>
      </c>
      <c r="C24" s="4" t="n">
        <v>59</v>
      </c>
      <c r="D24" s="4" t="n">
        <v>100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Deferred Revenue - Current</t>
        </is>
      </c>
      <c r="B25" s="4" t="n">
        <v>9675</v>
      </c>
      <c r="C25" s="4" t="n">
        <v>9513</v>
      </c>
      <c r="D25" s="4" t="n">
        <v>9513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Other Current Liabilities</t>
        </is>
      </c>
      <c r="B26" s="4" t="n">
        <v>3586</v>
      </c>
      <c r="C26" s="4" t="n">
        <v>10890</v>
      </c>
      <c r="D26" s="4" t="n">
        <v>15808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- Non-Current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- Non-Current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- Non-Current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Income (Loss)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-238772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Operating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Accounts Receivable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Note Receivable</t>
        </is>
      </c>
      <c r="B14" s="4" t="n">
        <v>0</v>
      </c>
      <c r="C14" s="4" t="n">
        <v>0</v>
      </c>
      <c r="D14" s="4" t="n">
        <v>0</v>
      </c>
      <c r="E14" s="4" t="n">
        <v>2318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Inventories</t>
        </is>
      </c>
      <c r="B15" s="4" t="n">
        <v>-175174</v>
      </c>
      <c r="C15" s="4" t="n">
        <v>11802</v>
      </c>
      <c r="D15" s="4" t="n">
        <v>-63299</v>
      </c>
      <c r="E15" s="4" t="n">
        <v>77190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Prepaid Expenses</t>
        </is>
      </c>
      <c r="B16" s="4" t="n">
        <v>1072</v>
      </c>
      <c r="C16" s="4" t="n">
        <v>2214</v>
      </c>
      <c r="D16" s="4" t="n">
        <v>-7980</v>
      </c>
      <c r="E16" s="4" t="n">
        <v>1074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Accounts Payable</t>
        </is>
      </c>
      <c r="B17" s="4" t="n">
        <v>23966</v>
      </c>
      <c r="C17" s="4" t="n">
        <v>428</v>
      </c>
      <c r="D17" s="4" t="n">
        <v>5249</v>
      </c>
      <c r="E17" s="4" t="n">
        <v>-1170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Expenses</t>
        </is>
      </c>
      <c r="B18" s="4" t="n">
        <v>26484</v>
      </c>
      <c r="C18" s="4" t="n">
        <v>34644</v>
      </c>
      <c r="D18" s="4" t="n">
        <v>-8025</v>
      </c>
      <c r="E18" s="4" t="n">
        <v>85398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Accrued Promotional Allowance</t>
        </is>
      </c>
      <c r="B20" s="4" t="n">
        <v>13379</v>
      </c>
      <c r="C20" s="4" t="n">
        <v>16940</v>
      </c>
      <c r="D20" s="4" t="n">
        <v>63810</v>
      </c>
      <c r="E20" s="4" t="n">
        <v>36161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Distributor Termination</t>
        </is>
      </c>
      <c r="B21" s="4" t="n">
        <v>0</v>
      </c>
      <c r="C21" s="4" t="n">
        <v>3986</v>
      </c>
      <c r="D21" s="4" t="n">
        <v>-3739</v>
      </c>
      <c r="E21" s="4" t="n">
        <v>-248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ROU &amp; Lease Liability, Net</t>
        </is>
      </c>
      <c r="B22" s="4" t="n">
        <v>29</v>
      </c>
      <c r="C22" s="4" t="n">
        <v>-183</v>
      </c>
      <c r="D22" s="4" t="n">
        <v>-102</v>
      </c>
      <c r="E22" s="4" t="n">
        <v>535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Deferred Revenue</t>
        </is>
      </c>
      <c r="B23" s="4" t="n">
        <v>0</v>
      </c>
      <c r="C23" s="4" t="n">
        <v>189463</v>
      </c>
      <c r="D23" s="4" t="n">
        <v>-12723</v>
      </c>
      <c r="E23" s="4" t="n">
        <v>-9513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Other Non-Current Assets</t>
        </is>
      </c>
      <c r="B24" s="4" t="n">
        <v>0</v>
      </c>
      <c r="C24" s="4" t="n">
        <v>37</v>
      </c>
      <c r="D24" s="4" t="n">
        <v>-28</v>
      </c>
      <c r="E24" s="4" t="n">
        <v>-4862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PP&amp;E</t>
        </is>
      </c>
      <c r="B27" s="4" t="n">
        <v>-3150</v>
      </c>
      <c r="C27" s="4" t="n">
        <v>-8264</v>
      </c>
      <c r="D27" s="4" t="n">
        <v>-17433</v>
      </c>
      <c r="E27" s="4" t="n">
        <v>-23390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Non-Marketable Equity Securities</t>
        </is>
      </c>
      <c r="B28" s="4" t="n">
        <v>0</v>
      </c>
      <c r="C28" s="4" t="n">
        <v>0</v>
      </c>
      <c r="D28" s="4" t="n">
        <v>0</v>
      </c>
      <c r="E28" s="4" t="n">
        <v>-3000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Acquisition of Big Beverages</t>
        </is>
      </c>
      <c r="B29" s="4" t="n">
        <v>0</v>
      </c>
      <c r="C29" s="4" t="n">
        <v>0</v>
      </c>
      <c r="D29" s="4" t="n">
        <v>0</v>
      </c>
      <c r="E29" s="4" t="n">
        <v>-75336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Proceeds from Exercise of Stock Options</t>
        </is>
      </c>
      <c r="B32" s="4" t="n">
        <v>3720</v>
      </c>
      <c r="C32" s="4" t="n">
        <v>3683</v>
      </c>
      <c r="D32" s="4" t="n">
        <v>2285</v>
      </c>
      <c r="E32" s="4" t="n">
        <v>3856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Issuance of Preferred Stock</t>
        </is>
      </c>
      <c r="B33" s="4" t="n">
        <v>0</v>
      </c>
      <c r="C33" s="4" t="n">
        <v>542018</v>
      </c>
      <c r="D33" s="4" t="n">
        <v>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Dividends Paid</t>
        </is>
      </c>
      <c r="B34" s="4" t="n">
        <v>0</v>
      </c>
      <c r="C34" s="4" t="n">
        <v>-11526</v>
      </c>
      <c r="D34" s="4" t="n">
        <v>-27462</v>
      </c>
      <c r="E34" s="4" t="n">
        <v>-27500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Share Repurchases</t>
        </is>
      </c>
      <c r="B35" s="4" t="n">
        <v>0</v>
      </c>
      <c r="C35" s="4" t="n">
        <v>0</v>
      </c>
      <c r="D35" s="4" t="n">
        <v>0</v>
      </c>
      <c r="E35" s="4" t="n">
        <v>-2261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Cash Flow from Financing</t>
        </is>
      </c>
      <c r="B36" s="6">
        <f>SUM(B31:B35)</f>
        <v/>
      </c>
      <c r="C36" s="6">
        <f>SUM(C31:C35)</f>
        <v/>
      </c>
      <c r="D36" s="6">
        <f>SUM(D31:D35)</f>
        <v/>
      </c>
      <c r="E36" s="6">
        <f>SUM(E31:E35)</f>
        <v/>
      </c>
      <c r="F36" s="7">
        <f>SUM(F31:F35)</f>
        <v/>
      </c>
      <c r="G36" s="7">
        <f>SUM(G31:G35)</f>
        <v/>
      </c>
      <c r="H36" s="7">
        <f>SUM(H31:H35)</f>
        <v/>
      </c>
      <c r="I36" s="7">
        <f>SUM(I31:I35)</f>
        <v/>
      </c>
      <c r="J36" s="7">
        <f>SUM(J31:J35)</f>
        <v/>
      </c>
      <c r="K36" s="7">
        <f>SUM(K31:K35)</f>
        <v/>
      </c>
    </row>
    <row r="37">
      <c r="A37" s="3" t="inlineStr">
        <is>
          <t>FX Effect on Cash</t>
        </is>
      </c>
      <c r="B37" s="4" t="n">
        <v>-538</v>
      </c>
      <c r="C37" s="4" t="n">
        <v>50</v>
      </c>
      <c r="D37" s="4" t="n">
        <v>1257</v>
      </c>
      <c r="E37" s="4" t="n">
        <v>-997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Net Change in Cash</t>
        </is>
      </c>
      <c r="B38" s="4" t="n">
        <v>-26993</v>
      </c>
      <c r="C38" s="4" t="n">
        <v>636672</v>
      </c>
      <c r="D38" s="4" t="n">
        <v>103054</v>
      </c>
      <c r="E38" s="4" t="n">
        <v>134209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Cash at Beginning of Period</t>
        </is>
      </c>
      <c r="B39" s="4" t="n">
        <v>43248</v>
      </c>
      <c r="C39" s="4" t="n">
        <v>16255</v>
      </c>
      <c r="D39" s="4" t="n">
        <v>652927</v>
      </c>
      <c r="E39" s="4" t="n">
        <v>755981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End of Period</t>
        </is>
      </c>
      <c r="B40" s="4" t="n">
        <v>16255</v>
      </c>
      <c r="C40" s="4" t="n">
        <v>652927</v>
      </c>
      <c r="D40" s="4" t="n">
        <v>755981</v>
      </c>
      <c r="E40" s="4" t="n">
        <v>890190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Gain (Loss) on Lease Cancellations</t>
        </is>
      </c>
      <c r="B41" s="4" t="n">
        <v>-28</v>
      </c>
      <c r="C41" s="4" t="n">
        <v>0</v>
      </c>
      <c r="D41" s="4" t="n">
        <v>0</v>
      </c>
      <c r="E41" s="4" t="n">
        <v>0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Proceeds from Issuance of Common Stock</t>
        </is>
      </c>
      <c r="B42" s="4" t="n">
        <v>67769</v>
      </c>
      <c r="C42" s="4" t="n">
        <v>0</v>
      </c>
      <c r="D42" s="4" t="n">
        <v>0</v>
      </c>
      <c r="E42" s="4" t="n">
        <v>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2026-04-23T19:43:11Z</dcterms:created>
  <dcterms:modified xsi:type="dcterms:W3CDTF">2026-04-23T19:43:11Z</dcterms:modified>
</cp:coreProperties>
</file>