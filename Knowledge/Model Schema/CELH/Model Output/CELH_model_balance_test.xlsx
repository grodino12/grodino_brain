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>
        <f>'QTR P&amp;L'!N8+'QTR P&amp;L'!O8+'QTR P&amp;L'!P8+'QTR P&amp;L'!Q8</f>
        <v/>
      </c>
      <c r="H8" s="5">
        <f>'QTR P&amp;L'!R8+'QTR P&amp;L'!S8+'QTR P&amp;L'!T8+'QTR P&amp;L'!U8</f>
        <v/>
      </c>
      <c r="I8" s="5">
        <f>'QTR P&amp;L'!V8+'QTR P&amp;L'!W8+'QTR P&amp;L'!X8+'QTR P&amp;L'!Y8</f>
        <v/>
      </c>
      <c r="J8" s="5">
        <f>'QTR P&amp;L'!Z8+'QTR P&amp;L'!AA8+'QTR P&amp;L'!AB8+'QTR P&amp;L'!AC8</f>
        <v/>
      </c>
      <c r="K8" s="5">
        <f>'QTR P&amp;L'!AD8+'QTR P&amp;L'!AE8+'QTR P&amp;L'!AF8+'QTR P&amp;L'!AG8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5">
        <f>'QTR P&amp;L'!N15+'QTR P&amp;L'!O15+'QTR P&amp;L'!P15+'QTR P&amp;L'!Q15</f>
        <v/>
      </c>
      <c r="H15" s="5">
        <f>'QTR P&amp;L'!R15+'QTR P&amp;L'!S15+'QTR P&amp;L'!T15+'QTR P&amp;L'!U15</f>
        <v/>
      </c>
      <c r="I15" s="5">
        <f>'QTR P&amp;L'!V15+'QTR P&amp;L'!W15+'QTR P&amp;L'!X15+'QTR P&amp;L'!Y15</f>
        <v/>
      </c>
      <c r="J15" s="5">
        <f>'QTR P&amp;L'!Z15+'QTR P&amp;L'!AA15+'QTR P&amp;L'!AB15+'QTR P&amp;L'!AC15</f>
        <v/>
      </c>
      <c r="K15" s="5">
        <f>'QTR P&amp;L'!AD15+'QTR P&amp;L'!AE15+'QTR P&amp;L'!AF15+'QTR P&amp;L'!AG15</f>
        <v/>
      </c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5">
        <f>'QTR P&amp;L'!N16+'QTR P&amp;L'!O16+'QTR P&amp;L'!P16+'QTR P&amp;L'!Q16</f>
        <v/>
      </c>
      <c r="H16" s="5">
        <f>'QTR P&amp;L'!R16+'QTR P&amp;L'!S16+'QTR P&amp;L'!T16+'QTR P&amp;L'!U16</f>
        <v/>
      </c>
      <c r="I16" s="5">
        <f>'QTR P&amp;L'!V16+'QTR P&amp;L'!W16+'QTR P&amp;L'!X16+'QTR P&amp;L'!Y16</f>
        <v/>
      </c>
      <c r="J16" s="5">
        <f>'QTR P&amp;L'!Z16+'QTR P&amp;L'!AA16+'QTR P&amp;L'!AB16+'QTR P&amp;L'!AC16</f>
        <v/>
      </c>
      <c r="K16" s="5">
        <f>'QTR P&amp;L'!AD16+'QTR P&amp;L'!AE16+'QTR P&amp;L'!AF16+'QTR P&amp;L'!AG16</f>
        <v/>
      </c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>
        <f>'QTR BS'!N7</f>
        <v/>
      </c>
      <c r="G7" s="5">
        <f>'QTR BS'!R7</f>
        <v/>
      </c>
      <c r="H7" s="5">
        <f>'QTR BS'!V7</f>
        <v/>
      </c>
      <c r="I7" s="5">
        <f>'QTR BS'!Z7</f>
        <v/>
      </c>
      <c r="J7" s="5">
        <f>'QTR BS'!AD7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>
        <f>'QTR BS'!N17</f>
        <v/>
      </c>
      <c r="G13" s="5">
        <f>'QTR BS'!R17</f>
        <v/>
      </c>
      <c r="H13" s="5">
        <f>'QTR BS'!V17</f>
        <v/>
      </c>
      <c r="I13" s="5">
        <f>'QTR BS'!Z17</f>
        <v/>
      </c>
      <c r="J13" s="5">
        <f>'QTR BS'!AD17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>
        <f>'QTR BS'!N13</f>
        <v/>
      </c>
      <c r="G14" s="5">
        <f>'QTR BS'!R13</f>
        <v/>
      </c>
      <c r="H14" s="5">
        <f>'QTR BS'!V13</f>
        <v/>
      </c>
      <c r="I14" s="5">
        <f>'QTR BS'!Z13</f>
        <v/>
      </c>
      <c r="J14" s="5">
        <f>'QTR BS'!AD13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>
        <f>'QTR BS'!N14</f>
        <v/>
      </c>
      <c r="G15" s="5">
        <f>'QTR BS'!R14</f>
        <v/>
      </c>
      <c r="H15" s="5">
        <f>'QTR BS'!V14</f>
        <v/>
      </c>
      <c r="I15" s="5">
        <f>'QTR BS'!Z14</f>
        <v/>
      </c>
      <c r="J15" s="5">
        <f>'QTR BS'!AD14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>
        <f>'QTR BS'!N15</f>
        <v/>
      </c>
      <c r="G16" s="5">
        <f>'QTR BS'!R15</f>
        <v/>
      </c>
      <c r="H16" s="5">
        <f>'QTR BS'!V15</f>
        <v/>
      </c>
      <c r="I16" s="5">
        <f>'QTR BS'!Z15</f>
        <v/>
      </c>
      <c r="J16" s="5">
        <f>'QTR BS'!AD15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>
        <f>'QTR BS'!N16</f>
        <v/>
      </c>
      <c r="G17" s="5">
        <f>'QTR BS'!R16</f>
        <v/>
      </c>
      <c r="H17" s="5">
        <f>'QTR BS'!V16</f>
        <v/>
      </c>
      <c r="I17" s="5">
        <f>'QTR BS'!Z16</f>
        <v/>
      </c>
      <c r="J17" s="5">
        <f>'QTR BS'!AD16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>
        <f>'QTR BS'!N21</f>
        <v/>
      </c>
      <c r="G21" s="5">
        <f>'QTR BS'!R21</f>
        <v/>
      </c>
      <c r="H21" s="5">
        <f>'QTR BS'!V21</f>
        <v/>
      </c>
      <c r="I21" s="5">
        <f>'QTR BS'!Z21</f>
        <v/>
      </c>
      <c r="J21" s="5">
        <f>'QTR BS'!AD21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>
        <f>'QTR BS'!N28</f>
        <v/>
      </c>
      <c r="G28" s="5">
        <f>'QTR BS'!R28</f>
        <v/>
      </c>
      <c r="H28" s="5">
        <f>'QTR BS'!V28</f>
        <v/>
      </c>
      <c r="I28" s="5">
        <f>'QTR BS'!Z28</f>
        <v/>
      </c>
      <c r="J28" s="5">
        <f>'QTR BS'!AD28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>
        <f>'QTR BS'!N29</f>
        <v/>
      </c>
      <c r="G29" s="5">
        <f>'QTR BS'!R29</f>
        <v/>
      </c>
      <c r="H29" s="5">
        <f>'QTR BS'!V29</f>
        <v/>
      </c>
      <c r="I29" s="5">
        <f>'QTR BS'!Z29</f>
        <v/>
      </c>
      <c r="J29" s="5">
        <f>'QTR BS'!AD29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>
        <f>'QTR BS'!N31</f>
        <v/>
      </c>
      <c r="G31" s="5">
        <f>'QTR BS'!R31</f>
        <v/>
      </c>
      <c r="H31" s="5">
        <f>'QTR BS'!V31</f>
        <v/>
      </c>
      <c r="I31" s="5">
        <f>'QTR BS'!Z31</f>
        <v/>
      </c>
      <c r="J31" s="5">
        <f>'QTR BS'!AD31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>
        <f>'QTR BS'!N32</f>
        <v/>
      </c>
      <c r="G32" s="5">
        <f>'QTR BS'!R32</f>
        <v/>
      </c>
      <c r="H32" s="5">
        <f>'QTR BS'!V32</f>
        <v/>
      </c>
      <c r="I32" s="5">
        <f>'QTR BS'!Z32</f>
        <v/>
      </c>
      <c r="J32" s="5">
        <f>'QTR BS'!AD32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>
        <f>'QTR BS'!N33</f>
        <v/>
      </c>
      <c r="G33" s="5">
        <f>'QTR BS'!R33</f>
        <v/>
      </c>
      <c r="H33" s="5">
        <f>'QTR BS'!V33</f>
        <v/>
      </c>
      <c r="I33" s="5">
        <f>'QTR BS'!Z33</f>
        <v/>
      </c>
      <c r="J33" s="5">
        <f>'QTR BS'!AD33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>
        <f>'QTR BS'!N34</f>
        <v/>
      </c>
      <c r="G34" s="5">
        <f>'QTR BS'!R34</f>
        <v/>
      </c>
      <c r="H34" s="5">
        <f>'QTR BS'!V34</f>
        <v/>
      </c>
      <c r="I34" s="5">
        <f>'QTR BS'!Z34</f>
        <v/>
      </c>
      <c r="J34" s="5">
        <f>'QTR BS'!AD34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>
        <f>'QTR BS'!N35</f>
        <v/>
      </c>
      <c r="G35" s="5">
        <f>'QTR BS'!R35</f>
        <v/>
      </c>
      <c r="H35" s="5">
        <f>'QTR BS'!V35</f>
        <v/>
      </c>
      <c r="I35" s="5">
        <f>'QTR BS'!Z35</f>
        <v/>
      </c>
      <c r="J35" s="5">
        <f>'QTR BS'!AD35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>
        <f>'QTR BS'!N36</f>
        <v/>
      </c>
      <c r="G36" s="5">
        <f>'QTR BS'!R36</f>
        <v/>
      </c>
      <c r="H36" s="5">
        <f>'QTR BS'!V36</f>
        <v/>
      </c>
      <c r="I36" s="5">
        <f>'QTR BS'!Z36</f>
        <v/>
      </c>
      <c r="J36" s="5">
        <f>'QTR BS'!AD36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>
        <f>'QTR BS'!N38</f>
        <v/>
      </c>
      <c r="G38" s="5">
        <f>'QTR BS'!R38</f>
        <v/>
      </c>
      <c r="H38" s="5">
        <f>'QTR BS'!V38</f>
        <v/>
      </c>
      <c r="I38" s="5">
        <f>'QTR BS'!Z38</f>
        <v/>
      </c>
      <c r="J38" s="5">
        <f>'QTR BS'!AD38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>
        <f>'QTR BS'!N39</f>
        <v/>
      </c>
      <c r="G39" s="5">
        <f>'QTR BS'!R39</f>
        <v/>
      </c>
      <c r="H39" s="5">
        <f>'QTR BS'!V39</f>
        <v/>
      </c>
      <c r="I39" s="5">
        <f>'QTR BS'!Z39</f>
        <v/>
      </c>
      <c r="J39" s="5">
        <f>'QTR BS'!AD39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>
        <f>'QTR BS'!N40</f>
        <v/>
      </c>
      <c r="G41" s="5">
        <f>'QTR BS'!R40</f>
        <v/>
      </c>
      <c r="H41" s="5">
        <f>'QTR BS'!V40</f>
        <v/>
      </c>
      <c r="I41" s="5">
        <f>'QTR BS'!Z40</f>
        <v/>
      </c>
      <c r="J41" s="5">
        <f>'QTR BS'!AD40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>
        <f>'QTR BS'!N41</f>
        <v/>
      </c>
      <c r="G42" s="5">
        <f>'QTR BS'!R41</f>
        <v/>
      </c>
      <c r="H42" s="5">
        <f>'QTR BS'!V41</f>
        <v/>
      </c>
      <c r="I42" s="5">
        <f>'QTR BS'!Z41</f>
        <v/>
      </c>
      <c r="J42" s="5">
        <f>'QTR BS'!AD41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>
        <f>'QTR BS'!N42</f>
        <v/>
      </c>
      <c r="G43" s="5">
        <f>'QTR BS'!R42</f>
        <v/>
      </c>
      <c r="H43" s="5">
        <f>'QTR BS'!V42</f>
        <v/>
      </c>
      <c r="I43" s="5">
        <f>'QTR BS'!Z42</f>
        <v/>
      </c>
      <c r="J43" s="5">
        <f>'QTR BS'!AD42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>
        <f>'QTR CF'!N6+'QTR CF'!O6+'QTR CF'!P6+'QTR CF'!Q6</f>
        <v/>
      </c>
      <c r="H3" s="5">
        <f>'QTR CF'!R6+'QTR CF'!S6+'QTR CF'!T6+'QTR CF'!U6</f>
        <v/>
      </c>
      <c r="I3" s="5">
        <f>'QTR CF'!V6+'QTR CF'!W6+'QTR CF'!X6+'QTR CF'!Y6</f>
        <v/>
      </c>
      <c r="J3" s="5">
        <f>'QTR CF'!Z6+'QTR CF'!AA6+'QTR CF'!AB6+'QTR CF'!AC6</f>
        <v/>
      </c>
      <c r="K3" s="5">
        <f>'QTR CF'!AD6+'QTR CF'!AE6+'QTR CF'!AF6+'QTR CF'!AG6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>
        <f>'QTR CF'!N5+'QTR CF'!O5+'QTR CF'!P5+'QTR CF'!Q5</f>
        <v/>
      </c>
      <c r="H4" s="5">
        <f>'QTR CF'!R5+'QTR CF'!S5+'QTR CF'!T5+'QTR CF'!U5</f>
        <v/>
      </c>
      <c r="I4" s="5">
        <f>'QTR CF'!V5+'QTR CF'!W5+'QTR CF'!X5+'QTR CF'!Y5</f>
        <v/>
      </c>
      <c r="J4" s="5">
        <f>'QTR CF'!Z5+'QTR CF'!AA5+'QTR CF'!AB5+'QTR CF'!AC5</f>
        <v/>
      </c>
      <c r="K4" s="5">
        <f>'QTR CF'!AD5+'QTR CF'!AE5+'QTR CF'!AF5+'QTR CF'!AG5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>
        <f>'QTR CF'!N7+'QTR CF'!O7+'QTR CF'!P7+'QTR CF'!Q7</f>
        <v/>
      </c>
      <c r="H5" s="5">
        <f>'QTR CF'!R7+'QTR CF'!S7+'QTR CF'!T7+'QTR CF'!U7</f>
        <v/>
      </c>
      <c r="I5" s="5">
        <f>'QTR CF'!V7+'QTR CF'!W7+'QTR CF'!X7+'QTR CF'!Y7</f>
        <v/>
      </c>
      <c r="J5" s="5">
        <f>'QTR CF'!Z7+'QTR CF'!AA7+'QTR CF'!AB7+'QTR CF'!AC7</f>
        <v/>
      </c>
      <c r="K5" s="5">
        <f>'QTR CF'!AD7+'QTR CF'!AE7+'QTR CF'!AF7+'QTR CF'!AG7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>
        <f>'QTR CF'!N8+'QTR CF'!O8+'QTR CF'!P8+'QTR CF'!Q8</f>
        <v/>
      </c>
      <c r="H6" s="5">
        <f>'QTR CF'!R8+'QTR CF'!S8+'QTR CF'!T8+'QTR CF'!U8</f>
        <v/>
      </c>
      <c r="I6" s="5">
        <f>'QTR CF'!V8+'QTR CF'!W8+'QTR CF'!X8+'QTR CF'!Y8</f>
        <v/>
      </c>
      <c r="J6" s="5">
        <f>'QTR CF'!Z8+'QTR CF'!AA8+'QTR CF'!AB8+'QTR CF'!AC8</f>
        <v/>
      </c>
      <c r="K6" s="5">
        <f>'QTR CF'!AD8+'QTR CF'!AE8+'QTR CF'!AF8+'QTR CF'!AG8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>
        <f>'QTR CF'!N9+'QTR CF'!O9+'QTR CF'!P9+'QTR CF'!Q9</f>
        <v/>
      </c>
      <c r="H7" s="5">
        <f>'QTR CF'!R9+'QTR CF'!S9+'QTR CF'!T9+'QTR CF'!U9</f>
        <v/>
      </c>
      <c r="I7" s="5">
        <f>'QTR CF'!V9+'QTR CF'!W9+'QTR CF'!X9+'QTR CF'!Y9</f>
        <v/>
      </c>
      <c r="J7" s="5">
        <f>'QTR CF'!Z9+'QTR CF'!AA9+'QTR CF'!AB9+'QTR CF'!AC9</f>
        <v/>
      </c>
      <c r="K7" s="5">
        <f>'QTR CF'!AD9+'QTR CF'!AE9+'QTR CF'!AF9+'QTR CF'!AG9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>
        <f>'QTR CF'!N10+'QTR CF'!O10+'QTR CF'!P10+'QTR CF'!Q10</f>
        <v/>
      </c>
      <c r="H8" s="5">
        <f>'QTR CF'!R10+'QTR CF'!S10+'QTR CF'!T10+'QTR CF'!U10</f>
        <v/>
      </c>
      <c r="I8" s="5">
        <f>'QTR CF'!V10+'QTR CF'!W10+'QTR CF'!X10+'QTR CF'!Y10</f>
        <v/>
      </c>
      <c r="J8" s="5">
        <f>'QTR CF'!Z10+'QTR CF'!AA10+'QTR CF'!AB10+'QTR CF'!AC10</f>
        <v/>
      </c>
      <c r="K8" s="5">
        <f>'QTR CF'!AD10+'QTR CF'!AE10+'QTR CF'!AF10+'QTR CF'!AG10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>
        <f>'QTR CF'!N11+'QTR CF'!O11+'QTR CF'!P11+'QTR CF'!Q11</f>
        <v/>
      </c>
      <c r="H9" s="5">
        <f>'QTR CF'!R11+'QTR CF'!S11+'QTR CF'!T11+'QTR CF'!U11</f>
        <v/>
      </c>
      <c r="I9" s="5">
        <f>'QTR CF'!V11+'QTR CF'!W11+'QTR CF'!X11+'QTR CF'!Y11</f>
        <v/>
      </c>
      <c r="J9" s="5">
        <f>'QTR CF'!Z11+'QTR CF'!AA11+'QTR CF'!AB11+'QTR CF'!AC11</f>
        <v/>
      </c>
      <c r="K9" s="5">
        <f>'QTR CF'!AD11+'QTR CF'!AE11+'QTR CF'!AF11+'QTR CF'!AG11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>
        <f>'QTR CF'!N12+'QTR CF'!O12+'QTR CF'!P12+'QTR CF'!Q12</f>
        <v/>
      </c>
      <c r="H10" s="5">
        <f>'QTR CF'!R12+'QTR CF'!S12+'QTR CF'!T12+'QTR CF'!U12</f>
        <v/>
      </c>
      <c r="I10" s="5">
        <f>'QTR CF'!V12+'QTR CF'!W12+'QTR CF'!X12+'QTR CF'!Y12</f>
        <v/>
      </c>
      <c r="J10" s="5">
        <f>'QTR CF'!Z12+'QTR CF'!AA12+'QTR CF'!AB12+'QTR CF'!AC12</f>
        <v/>
      </c>
      <c r="K10" s="5">
        <f>'QTR CF'!AD12+'QTR CF'!AE12+'QTR CF'!AF12+'QTR CF'!AG12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>
        <f>'QTR CF'!N13+'QTR CF'!O13+'QTR CF'!P13+'QTR CF'!Q13</f>
        <v/>
      </c>
      <c r="H11" s="5">
        <f>'QTR CF'!R13+'QTR CF'!S13+'QTR CF'!T13+'QTR CF'!U13</f>
        <v/>
      </c>
      <c r="I11" s="5">
        <f>'QTR CF'!V13+'QTR CF'!W13+'QTR CF'!X13+'QTR CF'!Y13</f>
        <v/>
      </c>
      <c r="J11" s="5">
        <f>'QTR CF'!Z13+'QTR CF'!AA13+'QTR CF'!AB13+'QTR CF'!AC13</f>
        <v/>
      </c>
      <c r="K11" s="5">
        <f>'QTR CF'!AD13+'QTR CF'!AE13+'QTR CF'!AF13+'QTR CF'!AG13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>
        <f>'QTR CF'!N14+'QTR CF'!O14+'QTR CF'!P14+'QTR CF'!Q14</f>
        <v/>
      </c>
      <c r="H13" s="5">
        <f>'QTR CF'!R14+'QTR CF'!S14+'QTR CF'!T14+'QTR CF'!U14</f>
        <v/>
      </c>
      <c r="I13" s="5">
        <f>'QTR CF'!V14+'QTR CF'!W14+'QTR CF'!X14+'QTR CF'!Y14</f>
        <v/>
      </c>
      <c r="J13" s="5">
        <f>'QTR CF'!Z14+'QTR CF'!AA14+'QTR CF'!AB14+'QTR CF'!AC14</f>
        <v/>
      </c>
      <c r="K13" s="5">
        <f>'QTR CF'!AD14+'QTR CF'!AE14+'QTR CF'!AF14+'QTR CF'!AG14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>
        <f>'QTR CF'!N15+'QTR CF'!O15+'QTR CF'!P15+'QTR CF'!Q15</f>
        <v/>
      </c>
      <c r="H15" s="5">
        <f>'QTR CF'!R15+'QTR CF'!S15+'QTR CF'!T15+'QTR CF'!U15</f>
        <v/>
      </c>
      <c r="I15" s="5">
        <f>'QTR CF'!V15+'QTR CF'!W15+'QTR CF'!X15+'QTR CF'!Y15</f>
        <v/>
      </c>
      <c r="J15" s="5">
        <f>'QTR CF'!Z15+'QTR CF'!AA15+'QTR CF'!AB15+'QTR CF'!AC15</f>
        <v/>
      </c>
      <c r="K15" s="5">
        <f>'QTR CF'!AD15+'QTR CF'!AE15+'QTR CF'!AF15+'QTR CF'!AG15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>
        <f>'QTR CF'!N16+'QTR CF'!O16+'QTR CF'!P16+'QTR CF'!Q16</f>
        <v/>
      </c>
      <c r="H16" s="5">
        <f>'QTR CF'!R16+'QTR CF'!S16+'QTR CF'!T16+'QTR CF'!U16</f>
        <v/>
      </c>
      <c r="I16" s="5">
        <f>'QTR CF'!V16+'QTR CF'!W16+'QTR CF'!X16+'QTR CF'!Y16</f>
        <v/>
      </c>
      <c r="J16" s="5">
        <f>'QTR CF'!Z16+'QTR CF'!AA16+'QTR CF'!AB16+'QTR CF'!AC16</f>
        <v/>
      </c>
      <c r="K16" s="5">
        <f>'QTR CF'!AD16+'QTR CF'!AE16+'QTR CF'!AF16+'QTR CF'!AG16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5">
        <f>'QTR CF'!N20+'QTR CF'!O20+'QTR CF'!P20+'QTR CF'!Q20</f>
        <v/>
      </c>
      <c r="H20" s="5">
        <f>'QTR CF'!R20+'QTR CF'!S20+'QTR CF'!T20+'QTR CF'!U20</f>
        <v/>
      </c>
      <c r="I20" s="5">
        <f>'QTR CF'!V20+'QTR CF'!W20+'QTR CF'!X20+'QTR CF'!Y20</f>
        <v/>
      </c>
      <c r="J20" s="5">
        <f>'QTR CF'!Z20+'QTR CF'!AA20+'QTR CF'!AB20+'QTR CF'!AC20</f>
        <v/>
      </c>
      <c r="K20" s="5">
        <f>'QTR CF'!AD20+'QTR CF'!AE20+'QTR CF'!AF20+'QTR CF'!AG20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>
        <f>'QTR CF'!N21+'QTR CF'!O21+'QTR CF'!P21+'QTR CF'!Q21</f>
        <v/>
      </c>
      <c r="H21" s="5">
        <f>'QTR CF'!R21+'QTR CF'!S21+'QTR CF'!T21+'QTR CF'!U21</f>
        <v/>
      </c>
      <c r="I21" s="5">
        <f>'QTR CF'!V21+'QTR CF'!W21+'QTR CF'!X21+'QTR CF'!Y21</f>
        <v/>
      </c>
      <c r="J21" s="5">
        <f>'QTR CF'!Z21+'QTR CF'!AA21+'QTR CF'!AB21+'QTR CF'!AC21</f>
        <v/>
      </c>
      <c r="K21" s="5">
        <f>'QTR CF'!AD21+'QTR CF'!AE21+'QTR CF'!AF21+'QTR CF'!AG21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>
        <f>'QTR CF'!N22+'QTR CF'!O22+'QTR CF'!P22+'QTR CF'!Q22</f>
        <v/>
      </c>
      <c r="H22" s="5">
        <f>'QTR CF'!R22+'QTR CF'!S22+'QTR CF'!T22+'QTR CF'!U22</f>
        <v/>
      </c>
      <c r="I22" s="5">
        <f>'QTR CF'!V22+'QTR CF'!W22+'QTR CF'!X22+'QTR CF'!Y22</f>
        <v/>
      </c>
      <c r="J22" s="5">
        <f>'QTR CF'!Z22+'QTR CF'!AA22+'QTR CF'!AB22+'QTR CF'!AC22</f>
        <v/>
      </c>
      <c r="K22" s="5">
        <f>'QTR CF'!AD22+'QTR CF'!AE22+'QTR CF'!AF22+'QTR CF'!AG22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>
        <f>'QTR CF'!N23+'QTR CF'!O23+'QTR CF'!P23+'QTR CF'!Q23</f>
        <v/>
      </c>
      <c r="H23" s="5">
        <f>'QTR CF'!R23+'QTR CF'!S23+'QTR CF'!T23+'QTR CF'!U23</f>
        <v/>
      </c>
      <c r="I23" s="5">
        <f>'QTR CF'!V23+'QTR CF'!W23+'QTR CF'!X23+'QTR CF'!Y23</f>
        <v/>
      </c>
      <c r="J23" s="5">
        <f>'QTR CF'!Z23+'QTR CF'!AA23+'QTR CF'!AB23+'QTR CF'!AC23</f>
        <v/>
      </c>
      <c r="K23" s="5">
        <f>'QTR CF'!AD23+'QTR CF'!AE23+'QTR CF'!AF23+'QTR CF'!AG23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>
        <f>'QTR CF'!N24+'QTR CF'!O24+'QTR CF'!P24+'QTR CF'!Q24</f>
        <v/>
      </c>
      <c r="H24" s="5">
        <f>'QTR CF'!R24+'QTR CF'!S24+'QTR CF'!T24+'QTR CF'!U24</f>
        <v/>
      </c>
      <c r="I24" s="5">
        <f>'QTR CF'!V24+'QTR CF'!W24+'QTR CF'!X24+'QTR CF'!Y24</f>
        <v/>
      </c>
      <c r="J24" s="5">
        <f>'QTR CF'!Z24+'QTR CF'!AA24+'QTR CF'!AB24+'QTR CF'!AC24</f>
        <v/>
      </c>
      <c r="K24" s="5">
        <f>'QTR CF'!AD24+'QTR CF'!AE24+'QTR CF'!AF24+'QTR CF'!AG24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>
        <f>'QTR CF'!N25+'QTR CF'!O25+'QTR CF'!P25+'QTR CF'!Q25</f>
        <v/>
      </c>
      <c r="H25" s="5">
        <f>'QTR CF'!R25+'QTR CF'!S25+'QTR CF'!T25+'QTR CF'!U25</f>
        <v/>
      </c>
      <c r="I25" s="5">
        <f>'QTR CF'!V25+'QTR CF'!W25+'QTR CF'!X25+'QTR CF'!Y25</f>
        <v/>
      </c>
      <c r="J25" s="5">
        <f>'QTR CF'!Z25+'QTR CF'!AA25+'QTR CF'!AB25+'QTR CF'!AC25</f>
        <v/>
      </c>
      <c r="K25" s="5">
        <f>'QTR CF'!AD25+'QTR CF'!AE25+'QTR CF'!AF25+'QTR CF'!AG25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>
        <f>'QTR CF'!N26+'QTR CF'!O26+'QTR CF'!P26+'QTR CF'!Q26</f>
        <v/>
      </c>
      <c r="H26" s="5">
        <f>'QTR CF'!R26+'QTR CF'!S26+'QTR CF'!T26+'QTR CF'!U26</f>
        <v/>
      </c>
      <c r="I26" s="5">
        <f>'QTR CF'!V26+'QTR CF'!W26+'QTR CF'!X26+'QTR CF'!Y26</f>
        <v/>
      </c>
      <c r="J26" s="5">
        <f>'QTR CF'!Z26+'QTR CF'!AA26+'QTR CF'!AB26+'QTR CF'!AC26</f>
        <v/>
      </c>
      <c r="K26" s="5">
        <f>'QTR CF'!AD26+'QTR CF'!AE26+'QTR CF'!AF26+'QTR CF'!AG26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>
        <f>'QTR CF'!N27+'QTR CF'!O27+'QTR CF'!P27+'QTR CF'!Q27</f>
        <v/>
      </c>
      <c r="H27" s="5">
        <f>'QTR CF'!R27+'QTR CF'!S27+'QTR CF'!T27+'QTR CF'!U27</f>
        <v/>
      </c>
      <c r="I27" s="5">
        <f>'QTR CF'!V27+'QTR CF'!W27+'QTR CF'!X27+'QTR CF'!Y27</f>
        <v/>
      </c>
      <c r="J27" s="5">
        <f>'QTR CF'!Z27+'QTR CF'!AA27+'QTR CF'!AB27+'QTR CF'!AC27</f>
        <v/>
      </c>
      <c r="K27" s="5">
        <f>'QTR CF'!AD27+'QTR CF'!AE27+'QTR CF'!AF27+'QTR CF'!AG27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5">
        <f>'QTR CF'!N28+'QTR CF'!O28+'QTR CF'!P28+'QTR CF'!Q28</f>
        <v/>
      </c>
      <c r="H28" s="5">
        <f>'QTR CF'!R28+'QTR CF'!S28+'QTR CF'!T28+'QTR CF'!U28</f>
        <v/>
      </c>
      <c r="I28" s="5">
        <f>'QTR CF'!V28+'QTR CF'!W28+'QTR CF'!X28+'QTR CF'!Y28</f>
        <v/>
      </c>
      <c r="J28" s="5">
        <f>'QTR CF'!Z28+'QTR CF'!AA28+'QTR CF'!AB28+'QTR CF'!AC28</f>
        <v/>
      </c>
      <c r="K28" s="5">
        <f>'QTR CF'!AD28+'QTR CF'!AE28+'QTR CF'!AF28+'QTR CF'!AG28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5">
        <f>'QTR CF'!N30+'QTR CF'!O30+'QTR CF'!P30+'QTR CF'!Q30</f>
        <v/>
      </c>
      <c r="H30" s="5">
        <f>'QTR CF'!R30+'QTR CF'!S30+'QTR CF'!T30+'QTR CF'!U30</f>
        <v/>
      </c>
      <c r="I30" s="5">
        <f>'QTR CF'!V30+'QTR CF'!W30+'QTR CF'!X30+'QTR CF'!Y30</f>
        <v/>
      </c>
      <c r="J30" s="5">
        <f>'QTR CF'!Z30+'QTR CF'!AA30+'QTR CF'!AB30+'QTR CF'!AC30</f>
        <v/>
      </c>
      <c r="K30" s="5">
        <f>'QTR CF'!AD30+'QTR CF'!AE30+'QTR CF'!AF30+'QTR CF'!AG30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5">
        <f>'QTR CF'!N31+'QTR CF'!O31+'QTR CF'!P31+'QTR CF'!Q31</f>
        <v/>
      </c>
      <c r="H31" s="5">
        <f>'QTR CF'!R31+'QTR CF'!S31+'QTR CF'!T31+'QTR CF'!U31</f>
        <v/>
      </c>
      <c r="I31" s="5">
        <f>'QTR CF'!V31+'QTR CF'!W31+'QTR CF'!X31+'QTR CF'!Y31</f>
        <v/>
      </c>
      <c r="J31" s="5">
        <f>'QTR CF'!Z31+'QTR CF'!AA31+'QTR CF'!AB31+'QTR CF'!AC31</f>
        <v/>
      </c>
      <c r="K31" s="5">
        <f>'QTR CF'!AD31+'QTR CF'!AE31+'QTR CF'!AF31+'QTR CF'!AG31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5">
        <f>'QTR CF'!N32+'QTR CF'!O32+'QTR CF'!P32+'QTR CF'!Q32</f>
        <v/>
      </c>
      <c r="H32" s="5">
        <f>'QTR CF'!R32+'QTR CF'!S32+'QTR CF'!T32+'QTR CF'!U32</f>
        <v/>
      </c>
      <c r="I32" s="5">
        <f>'QTR CF'!V32+'QTR CF'!W32+'QTR CF'!X32+'QTR CF'!Y32</f>
        <v/>
      </c>
      <c r="J32" s="5">
        <f>'QTR CF'!Z32+'QTR CF'!AA32+'QTR CF'!AB32+'QTR CF'!AC32</f>
        <v/>
      </c>
      <c r="K32" s="5">
        <f>'QTR CF'!AD32+'QTR CF'!AE32+'QTR CF'!AF32+'QTR CF'!AG32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5">
        <f>'QTR CF'!N33+'QTR CF'!O33+'QTR CF'!P33+'QTR CF'!Q33</f>
        <v/>
      </c>
      <c r="H34" s="5">
        <f>'QTR CF'!R33+'QTR CF'!S33+'QTR CF'!T33+'QTR CF'!U33</f>
        <v/>
      </c>
      <c r="I34" s="5">
        <f>'QTR CF'!V33+'QTR CF'!W33+'QTR CF'!X33+'QTR CF'!Y33</f>
        <v/>
      </c>
      <c r="J34" s="5">
        <f>'QTR CF'!Z33+'QTR CF'!AA33+'QTR CF'!AB33+'QTR CF'!AC33</f>
        <v/>
      </c>
      <c r="K34" s="5">
        <f>'QTR CF'!AD33+'QTR CF'!AE33+'QTR CF'!AF33+'QTR CF'!AG33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5">
        <f>'QTR CF'!N38+'QTR CF'!O38+'QTR CF'!P38+'QTR CF'!Q38</f>
        <v/>
      </c>
      <c r="H40" s="5">
        <f>'QTR CF'!R38+'QTR CF'!S38+'QTR CF'!T38+'QTR CF'!U38</f>
        <v/>
      </c>
      <c r="I40" s="5">
        <f>'QTR CF'!V38+'QTR CF'!W38+'QTR CF'!X38+'QTR CF'!Y38</f>
        <v/>
      </c>
      <c r="J40" s="5">
        <f>'QTR CF'!Z38+'QTR CF'!AA38+'QTR CF'!AB38+'QTR CF'!AC38</f>
        <v/>
      </c>
      <c r="K40" s="5">
        <f>'QTR CF'!AD38+'QTR CF'!AE38+'QTR CF'!AF38+'QTR CF'!AG38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5">
        <f>'QTR CF'!N44+'QTR CF'!O44+'QTR CF'!P44+'QTR CF'!Q44</f>
        <v/>
      </c>
      <c r="H46" s="5">
        <f>'QTR CF'!R44+'QTR CF'!S44+'QTR CF'!T44+'QTR CF'!U44</f>
        <v/>
      </c>
      <c r="I46" s="5">
        <f>'QTR CF'!V44+'QTR CF'!W44+'QTR CF'!X44+'QTR CF'!Y44</f>
        <v/>
      </c>
      <c r="J46" s="5">
        <f>'QTR CF'!Z44+'QTR CF'!AA44+'QTR CF'!AB44+'QTR CF'!AC44</f>
        <v/>
      </c>
      <c r="K46" s="5">
        <f>'QTR CF'!AD44+'QTR CF'!AE44+'QTR CF'!AF44+'QTR CF'!AG44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5">
        <f>'QTR CF'!N46+'QTR CF'!O46+'QTR CF'!P46+'QTR CF'!Q46</f>
        <v/>
      </c>
      <c r="H48" s="5">
        <f>'QTR CF'!R46+'QTR CF'!S46+'QTR CF'!T46+'QTR CF'!U46</f>
        <v/>
      </c>
      <c r="I48" s="5">
        <f>'QTR CF'!V46+'QTR CF'!W46+'QTR CF'!X46+'QTR CF'!Y46</f>
        <v/>
      </c>
      <c r="J48" s="5">
        <f>'QTR CF'!Z46+'QTR CF'!AA46+'QTR CF'!AB46+'QTR CF'!AC46</f>
        <v/>
      </c>
      <c r="K48" s="5">
        <f>'QTR CF'!AD46+'QTR CF'!AE46+'QTR CF'!AF46+'QTR CF'!AG46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279872</v>
      </c>
      <c r="D40" s="4" t="n">
        <v>278980</v>
      </c>
      <c r="E40" s="4" t="n">
        <v>277980</v>
      </c>
      <c r="F40" s="4" t="n">
        <v>276717</v>
      </c>
      <c r="G40" s="4" t="n">
        <v>281247</v>
      </c>
      <c r="H40" s="4" t="n">
        <v>286173</v>
      </c>
      <c r="I40" s="4" t="n">
        <v>292576</v>
      </c>
      <c r="J40" s="4" t="n">
        <v>297579</v>
      </c>
      <c r="K40" s="4" t="n">
        <v>300877</v>
      </c>
      <c r="L40" s="4" t="n">
        <v>1028384</v>
      </c>
      <c r="M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-1287</v>
      </c>
      <c r="D41" s="4" t="n">
        <v>-1877</v>
      </c>
      <c r="E41" s="4" t="n">
        <v>-2541</v>
      </c>
      <c r="F41" s="4" t="n">
        <v>-701</v>
      </c>
      <c r="G41" s="4" t="n">
        <v>-2055</v>
      </c>
      <c r="H41" s="4" t="n">
        <v>-2363</v>
      </c>
      <c r="I41" s="4" t="n">
        <v>-338</v>
      </c>
      <c r="J41" s="4" t="n">
        <v>-3250</v>
      </c>
      <c r="K41" s="4" t="n">
        <v>-1001</v>
      </c>
      <c r="L41" s="4" t="n">
        <v>2178</v>
      </c>
      <c r="M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-197627</v>
      </c>
      <c r="D42" s="4" t="n">
        <v>-146118</v>
      </c>
      <c r="E42" s="4" t="n">
        <v>-62169</v>
      </c>
      <c r="F42" s="4" t="n">
        <v>-12053</v>
      </c>
      <c r="G42" s="4" t="n">
        <v>58921</v>
      </c>
      <c r="H42" s="4" t="n">
        <v>131866</v>
      </c>
      <c r="I42" s="4" t="n">
        <v>131309</v>
      </c>
      <c r="J42" s="4" t="n">
        <v>105521</v>
      </c>
      <c r="K42" s="4" t="n">
        <v>143159</v>
      </c>
      <c r="L42" s="4" t="n">
        <v>236163</v>
      </c>
      <c r="M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  <c r="M43" s="6">
        <f>SUM(M38:M42)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  <c r="M44" s="6">
        <f>M37+M43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13800</v>
      </c>
      <c r="M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0</v>
      </c>
      <c r="D15" s="4" t="n">
        <v>56</v>
      </c>
      <c r="E15" s="4" t="n">
        <v>-4</v>
      </c>
      <c r="F15" s="4" t="n">
        <v>8</v>
      </c>
      <c r="G15" s="4" t="n">
        <v>-2</v>
      </c>
      <c r="H15" s="4" t="n">
        <v>-7672</v>
      </c>
      <c r="I15" s="4" t="n">
        <v>0</v>
      </c>
      <c r="J15" s="4" t="n">
        <v>0</v>
      </c>
      <c r="K15" s="4" t="n">
        <v>-1014</v>
      </c>
      <c r="L15" s="4" t="n">
        <v>-257</v>
      </c>
      <c r="M15" s="4" t="n">
        <v>1964</v>
      </c>
    </row>
    <row r="16">
      <c r="A16" s="3" t="inlineStr">
        <is>
          <t>Accounts Receivable</t>
        </is>
      </c>
      <c r="B16" s="4" t="n">
        <v>-34420</v>
      </c>
      <c r="C16" s="4" t="n">
        <v>-27920</v>
      </c>
      <c r="D16" s="4" t="n">
        <v>-78967</v>
      </c>
      <c r="E16" s="4" t="n">
        <v>-109639</v>
      </c>
      <c r="F16" s="4" t="n">
        <v>-135600</v>
      </c>
      <c r="G16" s="4" t="n">
        <v>-153271</v>
      </c>
      <c r="H16" s="4" t="n">
        <v>-18664</v>
      </c>
      <c r="I16" s="4" t="n">
        <v>-82213</v>
      </c>
      <c r="J16" s="4" t="n">
        <v>-26529</v>
      </c>
      <c r="K16" s="4" t="n">
        <v>11841</v>
      </c>
      <c r="L16" s="4" t="n">
        <v>-143153</v>
      </c>
      <c r="M16" s="4" t="n">
        <v>-164133</v>
      </c>
    </row>
    <row r="17">
      <c r="A17" s="3" t="inlineStr">
        <is>
          <t>Inventories</t>
        </is>
      </c>
      <c r="B17" s="4" t="n">
        <v>4531</v>
      </c>
      <c r="C17" s="4" t="n">
        <v>28753</v>
      </c>
      <c r="D17" s="4" t="n">
        <v>36211</v>
      </c>
      <c r="E17" s="4" t="n">
        <v>17338</v>
      </c>
      <c r="F17" s="4" t="n">
        <v>24632</v>
      </c>
      <c r="G17" s="4" t="n">
        <v>-28092</v>
      </c>
      <c r="H17" s="4" t="n">
        <v>29386</v>
      </c>
      <c r="I17" s="4" t="n">
        <v>37052</v>
      </c>
      <c r="J17" s="4" t="n">
        <v>14585</v>
      </c>
      <c r="K17" s="4" t="n">
        <v>4794</v>
      </c>
      <c r="L17" s="4" t="n">
        <v>23039</v>
      </c>
      <c r="M17" s="4" t="n">
        <v>31132</v>
      </c>
    </row>
    <row r="18">
      <c r="A18" s="3" t="inlineStr">
        <is>
          <t>Prepaid Expenses</t>
        </is>
      </c>
      <c r="B18" s="4" t="n">
        <v>3513</v>
      </c>
      <c r="C18" s="4" t="n">
        <v>1257</v>
      </c>
      <c r="D18" s="4" t="n">
        <v>1459</v>
      </c>
      <c r="E18" s="4" t="n">
        <v>-4166</v>
      </c>
      <c r="F18" s="4" t="n">
        <v>-12058</v>
      </c>
      <c r="G18" s="4" t="n">
        <v>-12406</v>
      </c>
      <c r="H18" s="4" t="n">
        <v>-2076</v>
      </c>
      <c r="I18" s="4" t="n">
        <v>-3469</v>
      </c>
      <c r="J18" s="4" t="n">
        <v>-20261</v>
      </c>
      <c r="K18" s="4" t="n">
        <v>-3687</v>
      </c>
      <c r="L18" s="4" t="n">
        <v>-20645</v>
      </c>
      <c r="M18" s="4" t="n">
        <v>-142920</v>
      </c>
    </row>
    <row r="19">
      <c r="A19" s="3" t="inlineStr">
        <is>
          <t>Change in A/P and Accrued (legacy)</t>
        </is>
      </c>
      <c r="B19" s="4" t="n">
        <v>5552</v>
      </c>
      <c r="C19" s="4" t="n">
        <v>-7176</v>
      </c>
      <c r="D19" s="4" t="n">
        <v>-3050</v>
      </c>
      <c r="E19" s="4" t="n">
        <v>182</v>
      </c>
      <c r="F19" s="4" t="n">
        <v>-12491</v>
      </c>
      <c r="G19" s="4" t="n">
        <v>14652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-6362</v>
      </c>
      <c r="J20" s="4" t="n">
        <v>-5303</v>
      </c>
      <c r="K20" s="4" t="n">
        <v>-1700</v>
      </c>
      <c r="L20" s="4" t="n">
        <v>742</v>
      </c>
      <c r="M20" s="4" t="n">
        <v>1511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-3013</v>
      </c>
      <c r="I21" s="4" t="n">
        <v>3950</v>
      </c>
      <c r="J21" s="4" t="n">
        <v>-12259</v>
      </c>
      <c r="K21" s="4" t="n">
        <v>11679</v>
      </c>
      <c r="L21" s="4" t="n">
        <v>20789</v>
      </c>
      <c r="M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1998</v>
      </c>
      <c r="I22" s="4" t="n">
        <v>17760</v>
      </c>
      <c r="J22" s="4" t="n">
        <v>11151</v>
      </c>
      <c r="K22" s="4" t="n">
        <v>-8673</v>
      </c>
      <c r="L22" s="4" t="n">
        <v>-7013</v>
      </c>
      <c r="M22" s="4" t="n">
        <v>32961</v>
      </c>
    </row>
    <row r="23">
      <c r="A23" s="3" t="inlineStr">
        <is>
          <t>Other Current Liabilities</t>
        </is>
      </c>
      <c r="B23" s="4" t="n">
        <v>765</v>
      </c>
      <c r="C23" s="4" t="n">
        <v>1820</v>
      </c>
      <c r="D23" s="4" t="n">
        <v>32590</v>
      </c>
      <c r="E23" s="4" t="n">
        <v>1508</v>
      </c>
      <c r="F23" s="4" t="n">
        <v>61128</v>
      </c>
      <c r="G23" s="4" t="n">
        <v>62901</v>
      </c>
      <c r="H23" s="4" t="n">
        <v>10344</v>
      </c>
      <c r="I23" s="4" t="n">
        <v>-42094</v>
      </c>
      <c r="J23" s="4" t="n">
        <v>-45537</v>
      </c>
      <c r="K23" s="4" t="n">
        <v>13705</v>
      </c>
      <c r="L23" s="4" t="n">
        <v>12927</v>
      </c>
      <c r="M23" s="4" t="n">
        <v>42433</v>
      </c>
    </row>
    <row r="24">
      <c r="A24" s="3" t="inlineStr">
        <is>
          <t>Accrued Promotional Allowance</t>
        </is>
      </c>
      <c r="B24" s="4" t="n">
        <v>12190</v>
      </c>
      <c r="C24" s="4" t="n">
        <v>17512</v>
      </c>
      <c r="D24" s="4" t="n">
        <v>24213</v>
      </c>
      <c r="E24" s="4" t="n">
        <v>32248</v>
      </c>
      <c r="F24" s="4" t="n">
        <v>62995</v>
      </c>
      <c r="G24" s="4" t="n">
        <v>100580</v>
      </c>
      <c r="H24" s="4" t="n">
        <v>29414</v>
      </c>
      <c r="I24" s="4" t="n">
        <v>56692</v>
      </c>
      <c r="J24" s="4" t="n">
        <v>59023</v>
      </c>
      <c r="K24" s="4" t="n">
        <v>15379</v>
      </c>
      <c r="L24" s="4" t="n">
        <v>64221</v>
      </c>
      <c r="M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0</v>
      </c>
      <c r="D25" s="4" t="n">
        <v>115551</v>
      </c>
      <c r="E25" s="4" t="n">
        <v>-2923</v>
      </c>
      <c r="F25" s="4" t="n">
        <v>-3986</v>
      </c>
      <c r="G25" s="4" t="n">
        <v>-3986</v>
      </c>
      <c r="H25" s="4" t="n">
        <v>-248</v>
      </c>
      <c r="I25" s="4" t="n">
        <v>-248</v>
      </c>
      <c r="J25" s="4" t="n">
        <v>-248</v>
      </c>
      <c r="K25" s="4" t="n">
        <v>0</v>
      </c>
      <c r="L25" s="4" t="n">
        <v>0</v>
      </c>
      <c r="M25" s="4" t="n">
        <v>252953</v>
      </c>
    </row>
    <row r="26">
      <c r="A26" s="3" t="inlineStr">
        <is>
          <t>ROU &amp; Lease Liability, Net</t>
        </is>
      </c>
      <c r="B26" s="4" t="n">
        <v>-78</v>
      </c>
      <c r="C26" s="4" t="n">
        <v>-95</v>
      </c>
      <c r="D26" s="4" t="n">
        <v>-126</v>
      </c>
      <c r="E26" s="4" t="n">
        <v>-15</v>
      </c>
      <c r="F26" s="4" t="n">
        <v>-38</v>
      </c>
      <c r="G26" s="4" t="n">
        <v>-64</v>
      </c>
      <c r="H26" s="4" t="n">
        <v>-23</v>
      </c>
      <c r="I26" s="4" t="n">
        <v>-34</v>
      </c>
      <c r="J26" s="4" t="n">
        <v>17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0</v>
      </c>
      <c r="D27" s="4" t="n">
        <v>154103</v>
      </c>
      <c r="E27" s="4" t="n">
        <v>-4625</v>
      </c>
      <c r="F27" s="4" t="n">
        <v>-8219</v>
      </c>
      <c r="G27" s="4" t="n">
        <v>-10593</v>
      </c>
      <c r="H27" s="4" t="n">
        <v>-2378</v>
      </c>
      <c r="I27" s="4" t="n">
        <v>-4757</v>
      </c>
      <c r="J27" s="4" t="n">
        <v>-7135</v>
      </c>
      <c r="K27" s="4" t="n">
        <v>-2378</v>
      </c>
      <c r="L27" s="4" t="n">
        <v>-7320</v>
      </c>
      <c r="M27" s="4" t="n">
        <v>233463</v>
      </c>
    </row>
    <row r="28">
      <c r="A28" s="3" t="inlineStr">
        <is>
          <t>Net Change in Other Working Capital</t>
        </is>
      </c>
      <c r="B28" s="4" t="n">
        <v>0</v>
      </c>
      <c r="C28" s="4" t="n">
        <v>488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148</v>
      </c>
      <c r="L28" s="4" t="n">
        <v>-1210</v>
      </c>
      <c r="M28" s="4" t="n">
        <v>-1786</v>
      </c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6">
        <f>SUM(G2:G28)</f>
        <v/>
      </c>
      <c r="H29" s="6">
        <f>SUM(H2:H28)</f>
        <v/>
      </c>
      <c r="I29" s="6">
        <f>SUM(I2:I28)</f>
        <v/>
      </c>
      <c r="J29" s="6">
        <f>SUM(J2:J28)</f>
        <v/>
      </c>
      <c r="K29" s="6">
        <f>SUM(K2:K28)</f>
        <v/>
      </c>
      <c r="L29" s="6">
        <f>SUM(L2:L28)</f>
        <v/>
      </c>
      <c r="M29" s="6">
        <f>SUM(M2:M28)</f>
        <v/>
      </c>
    </row>
    <row r="30">
      <c r="A30" s="3" t="inlineStr">
        <is>
          <t>Collections from Note Receivable</t>
        </is>
      </c>
      <c r="B30" s="4" t="n">
        <v>0</v>
      </c>
      <c r="C30" s="4" t="n">
        <v>2592</v>
      </c>
      <c r="D30" s="4" t="n">
        <v>2592</v>
      </c>
      <c r="E30" s="4" t="n">
        <v>3233</v>
      </c>
      <c r="F30" s="4" t="n">
        <v>3233</v>
      </c>
      <c r="G30" s="4" t="n">
        <v>3233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inlineStr">
        <is>
          <t>Purchase of PP&amp;E</t>
        </is>
      </c>
      <c r="B31" s="4" t="n">
        <v>-742</v>
      </c>
      <c r="C31" s="4" t="n">
        <v>-2456</v>
      </c>
      <c r="D31" s="4" t="n">
        <v>-3477</v>
      </c>
      <c r="E31" s="4" t="n">
        <v>-2253</v>
      </c>
      <c r="F31" s="4" t="n">
        <v>-6810</v>
      </c>
      <c r="G31" s="4" t="n">
        <v>-12687</v>
      </c>
      <c r="H31" s="4" t="n">
        <v>-4525</v>
      </c>
      <c r="I31" s="4" t="n">
        <v>-13739</v>
      </c>
      <c r="J31" s="4" t="n">
        <v>-17983</v>
      </c>
      <c r="K31" s="4" t="n">
        <v>-6944</v>
      </c>
      <c r="L31" s="4" t="n">
        <v>-15194</v>
      </c>
      <c r="M31" s="4" t="n">
        <v>-25539</v>
      </c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-3000</v>
      </c>
      <c r="K32" s="4" t="n">
        <v>0</v>
      </c>
      <c r="L32" s="4" t="n">
        <v>-5000</v>
      </c>
      <c r="M32" s="4" t="n">
        <v>-5000</v>
      </c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-1256351</v>
      </c>
      <c r="M33" s="4" t="n">
        <v>-1278769</v>
      </c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30617</v>
      </c>
    </row>
    <row r="35">
      <c r="A35" s="3" t="inlineStr">
        <is>
          <t>Cash Flow from Investing</t>
        </is>
      </c>
      <c r="B35" s="6">
        <f>SUM(B30:B34)</f>
        <v/>
      </c>
      <c r="C35" s="6">
        <f>SUM(C30:C34)</f>
        <v/>
      </c>
      <c r="D35" s="6">
        <f>SUM(D30:D34)</f>
        <v/>
      </c>
      <c r="E35" s="6">
        <f>SUM(E30:E34)</f>
        <v/>
      </c>
      <c r="F35" s="6">
        <f>SUM(F30:F34)</f>
        <v/>
      </c>
      <c r="G35" s="6">
        <f>SUM(G30:G34)</f>
        <v/>
      </c>
      <c r="H35" s="6">
        <f>SUM(H30:H34)</f>
        <v/>
      </c>
      <c r="I35" s="6">
        <f>SUM(I30:I34)</f>
        <v/>
      </c>
      <c r="J35" s="6">
        <f>SUM(J30:J34)</f>
        <v/>
      </c>
      <c r="K35" s="6">
        <f>SUM(K30:K34)</f>
        <v/>
      </c>
      <c r="L35" s="6">
        <f>SUM(L30:L34)</f>
        <v/>
      </c>
      <c r="M35" s="6">
        <f>SUM(M30:M34)</f>
        <v/>
      </c>
    </row>
    <row r="36">
      <c r="A36" s="3" t="inlineStr">
        <is>
          <t>Finance Lease Payments</t>
        </is>
      </c>
      <c r="B36" s="4" t="n">
        <v>-20</v>
      </c>
      <c r="C36" s="4" t="n">
        <v>-37</v>
      </c>
      <c r="D36" s="4" t="n">
        <v>-49</v>
      </c>
      <c r="E36" s="4" t="n">
        <v>-11</v>
      </c>
      <c r="F36" s="4" t="n">
        <v>-22</v>
      </c>
      <c r="G36" s="4" t="n">
        <v>-33</v>
      </c>
      <c r="H36" s="4" t="n">
        <v>-15</v>
      </c>
      <c r="I36" s="4" t="n">
        <v>-30</v>
      </c>
      <c r="J36" s="4" t="n">
        <v>-46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Proceeds from Exercise of Stock Options</t>
        </is>
      </c>
      <c r="B37" s="4" t="n">
        <v>810</v>
      </c>
      <c r="C37" s="4" t="n">
        <v>1260</v>
      </c>
      <c r="D37" s="4" t="n">
        <v>3104</v>
      </c>
      <c r="E37" s="4" t="n">
        <v>478</v>
      </c>
      <c r="F37" s="4" t="n">
        <v>707</v>
      </c>
      <c r="G37" s="4" t="n">
        <v>1603</v>
      </c>
      <c r="H37" s="4" t="n">
        <v>967</v>
      </c>
      <c r="I37" s="4" t="n">
        <v>1147</v>
      </c>
      <c r="J37" s="4" t="n">
        <v>3832</v>
      </c>
      <c r="K37" s="4" t="n">
        <v>0</v>
      </c>
      <c r="L37" s="4" t="n">
        <v>0</v>
      </c>
      <c r="M37" s="4" t="n">
        <v>0</v>
      </c>
    </row>
    <row r="38">
      <c r="A38" s="3" t="inlineStr">
        <is>
          <t>Proceeds from Issuance of Preferred Stock</t>
        </is>
      </c>
      <c r="B38" s="4" t="n">
        <v>0</v>
      </c>
      <c r="C38" s="4" t="n">
        <v>0</v>
      </c>
      <c r="D38" s="4" t="n">
        <v>542018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</row>
    <row r="39">
      <c r="A39" s="3" t="inlineStr">
        <is>
          <t>Preferred Dividends</t>
        </is>
      </c>
      <c r="B39" s="4" t="n">
        <v>0</v>
      </c>
      <c r="C39" s="4" t="n">
        <v>0</v>
      </c>
      <c r="D39" s="4" t="n">
        <v>-4596</v>
      </c>
      <c r="E39" s="4" t="n">
        <v>-6781</v>
      </c>
      <c r="F39" s="4" t="n">
        <v>-13637</v>
      </c>
      <c r="G39" s="4" t="n">
        <v>-20512</v>
      </c>
      <c r="H39" s="4" t="n">
        <v>-6837</v>
      </c>
      <c r="I39" s="4" t="n">
        <v>-13675</v>
      </c>
      <c r="J39" s="4" t="n">
        <v>-20588</v>
      </c>
      <c r="K39" s="4" t="n">
        <v>-6781</v>
      </c>
      <c r="L39" s="4" t="n">
        <v>-13632</v>
      </c>
      <c r="M39" s="4" t="n">
        <v>-23301</v>
      </c>
    </row>
    <row r="40">
      <c r="A40" s="3" t="inlineStr">
        <is>
          <t>Share Repurchases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-1658</v>
      </c>
      <c r="K40" s="4" t="n">
        <v>-1932</v>
      </c>
      <c r="L40" s="4" t="n">
        <v>-2811</v>
      </c>
      <c r="M40" s="4" t="n">
        <v>-3259</v>
      </c>
    </row>
    <row r="41">
      <c r="A41" s="3" t="inlineStr">
        <is>
          <t>Proceeds from Issuance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900000</v>
      </c>
      <c r="M41" s="4" t="n">
        <v>900000</v>
      </c>
    </row>
    <row r="42">
      <c r="A42" s="3" t="inlineStr">
        <is>
          <t>Repayments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-2250</v>
      </c>
    </row>
    <row r="43">
      <c r="A43" s="3" t="inlineStr">
        <is>
          <t>Debt Issuance Fees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-2195</v>
      </c>
      <c r="L43" s="4" t="n">
        <v>-31581</v>
      </c>
      <c r="M43" s="4" t="n">
        <v>-31581</v>
      </c>
    </row>
    <row r="44">
      <c r="A44" s="3" t="inlineStr">
        <is>
          <t>Other Financing Activities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321</v>
      </c>
      <c r="L44" s="4" t="n">
        <v>319</v>
      </c>
      <c r="M44" s="4" t="n">
        <v>301</v>
      </c>
    </row>
    <row r="45">
      <c r="A45" s="3" t="inlineStr">
        <is>
          <t>Cash Flow from Financing</t>
        </is>
      </c>
      <c r="B45" s="6">
        <f>SUM(B36:B44)</f>
        <v/>
      </c>
      <c r="C45" s="6">
        <f>SUM(C36:C44)</f>
        <v/>
      </c>
      <c r="D45" s="6">
        <f>SUM(D36:D44)</f>
        <v/>
      </c>
      <c r="E45" s="6">
        <f>SUM(E36:E44)</f>
        <v/>
      </c>
      <c r="F45" s="6">
        <f>SUM(F36:F44)</f>
        <v/>
      </c>
      <c r="G45" s="6">
        <f>SUM(G36:G44)</f>
        <v/>
      </c>
      <c r="H45" s="6">
        <f>SUM(H36:H44)</f>
        <v/>
      </c>
      <c r="I45" s="6">
        <f>SUM(I36:I44)</f>
        <v/>
      </c>
      <c r="J45" s="6">
        <f>SUM(J36:J44)</f>
        <v/>
      </c>
      <c r="K45" s="6">
        <f>SUM(K36:K44)</f>
        <v/>
      </c>
      <c r="L45" s="6">
        <f>SUM(L36:L44)</f>
        <v/>
      </c>
      <c r="M45" s="6">
        <f>SUM(M36:M44)</f>
        <v/>
      </c>
    </row>
    <row r="46">
      <c r="A46" s="3" t="inlineStr">
        <is>
          <t>FX Effect on Cash</t>
        </is>
      </c>
      <c r="B46" s="4" t="n">
        <v>104</v>
      </c>
      <c r="C46" s="4" t="n">
        <v>121</v>
      </c>
      <c r="D46" s="4" t="n">
        <v>158</v>
      </c>
      <c r="E46" s="4" t="n">
        <v>-181</v>
      </c>
      <c r="F46" s="4" t="n">
        <v>-555</v>
      </c>
      <c r="G46" s="4" t="n">
        <v>-555</v>
      </c>
      <c r="H46" s="4" t="n">
        <v>-722</v>
      </c>
      <c r="I46" s="4" t="n">
        <v>-766</v>
      </c>
      <c r="J46" s="4" t="n">
        <v>-16</v>
      </c>
      <c r="K46" s="4" t="n">
        <v>1259</v>
      </c>
      <c r="L46" s="4" t="n">
        <v>2214</v>
      </c>
      <c r="M46" s="4" t="n">
        <v>2174</v>
      </c>
    </row>
    <row r="47">
      <c r="A47" s="3" t="inlineStr">
        <is>
          <t>Net Change in Cash</t>
        </is>
      </c>
      <c r="B47" s="6">
        <f>B29+B35+B45+B46</f>
        <v/>
      </c>
      <c r="C47" s="6">
        <f>C29+C35+C45+C46</f>
        <v/>
      </c>
      <c r="D47" s="6">
        <f>D29+D35+D45+D46</f>
        <v/>
      </c>
      <c r="E47" s="6">
        <f>E29+E35+E45+E46</f>
        <v/>
      </c>
      <c r="F47" s="6">
        <f>F29+F35+F45+F46</f>
        <v/>
      </c>
      <c r="G47" s="6">
        <f>G29+G35+G45+G46</f>
        <v/>
      </c>
      <c r="H47" s="6">
        <f>H29+H35+H45+H46</f>
        <v/>
      </c>
      <c r="I47" s="6">
        <f>I29+I35+I45+I46</f>
        <v/>
      </c>
      <c r="J47" s="6">
        <f>J29+J35+J45+J46</f>
        <v/>
      </c>
      <c r="K47" s="6">
        <f>K29+K35+K45+K46</f>
        <v/>
      </c>
      <c r="L47" s="6">
        <f>L29+L35+L45+L46</f>
        <v/>
      </c>
      <c r="M47" s="6">
        <f>M29+M35+M45+M46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'QTR P&amp;L'!N2*(1+'IS DRIVERS'!R2)</f>
        <v/>
      </c>
      <c r="S2" s="9">
        <f>'QTR P&amp;L'!O2*(1+'IS DRIVERS'!S2)</f>
        <v/>
      </c>
      <c r="T2" s="9">
        <f>'QTR P&amp;L'!P2*(1+'IS DRIVERS'!T2)</f>
        <v/>
      </c>
      <c r="U2" s="9">
        <f>'QTR P&amp;L'!Q2*(1+'IS DRIVERS'!U2)</f>
        <v/>
      </c>
      <c r="V2" s="9">
        <f>'QTR P&amp;L'!R2*(1+'IS DRIVERS'!V2)</f>
        <v/>
      </c>
      <c r="W2" s="9">
        <f>'QTR P&amp;L'!S2*(1+'IS DRIVERS'!W2)</f>
        <v/>
      </c>
      <c r="X2" s="9">
        <f>'QTR P&amp;L'!T2*(1+'IS DRIVERS'!X2)</f>
        <v/>
      </c>
      <c r="Y2" s="9">
        <f>'QTR P&amp;L'!U2*(1+'IS DRIVERS'!Y2)</f>
        <v/>
      </c>
      <c r="Z2" s="9">
        <f>'QTR P&amp;L'!V2*(1+'IS DRIVERS'!Z2)</f>
        <v/>
      </c>
      <c r="AA2" s="9">
        <f>'QTR P&amp;L'!W2*(1+'IS DRIVERS'!AA2)</f>
        <v/>
      </c>
      <c r="AB2" s="9">
        <f>'QTR P&amp;L'!X2*(1+'IS DRIVERS'!AB2)</f>
        <v/>
      </c>
      <c r="AC2" s="9">
        <f>'QTR P&amp;L'!Y2*(1+'IS DRIVERS'!AC2)</f>
        <v/>
      </c>
      <c r="AD2" s="9">
        <f>'QTR P&amp;L'!Z2*(1+'IS DRIVERS'!AD2)</f>
        <v/>
      </c>
      <c r="AE2" s="9">
        <f>'QTR P&amp;L'!AA2*(1+'IS DRIVERS'!AE2)</f>
        <v/>
      </c>
      <c r="AF2" s="9">
        <f>'QTR P&amp;L'!AB2*(1+'IS DRIVERS'!AF2)</f>
        <v/>
      </c>
      <c r="AG2" s="9">
        <f>'QTR P&amp;L'!AC2*(1+'IS DRIVERS'!AG2)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DRIVERS'!R3</f>
        <v/>
      </c>
      <c r="S3" s="9">
        <f>'QTR P&amp;L'!S2*'IS DRIVERS'!S3</f>
        <v/>
      </c>
      <c r="T3" s="9">
        <f>'QTR P&amp;L'!T2*'IS DRIVERS'!T3</f>
        <v/>
      </c>
      <c r="U3" s="9">
        <f>'QTR P&amp;L'!U2*'IS DRIVERS'!U3</f>
        <v/>
      </c>
      <c r="V3" s="9">
        <f>'QTR P&amp;L'!V2*'IS DRIVERS'!V3</f>
        <v/>
      </c>
      <c r="W3" s="9">
        <f>'QTR P&amp;L'!W2*'IS DRIVERS'!W3</f>
        <v/>
      </c>
      <c r="X3" s="9">
        <f>'QTR P&amp;L'!X2*'IS DRIVERS'!X3</f>
        <v/>
      </c>
      <c r="Y3" s="9">
        <f>'QTR P&amp;L'!Y2*'IS DRIVERS'!Y3</f>
        <v/>
      </c>
      <c r="Z3" s="9">
        <f>'QTR P&amp;L'!Z2*'IS DRIVERS'!Z3</f>
        <v/>
      </c>
      <c r="AA3" s="9">
        <f>'QTR P&amp;L'!AA2*'IS DRIVERS'!AA3</f>
        <v/>
      </c>
      <c r="AB3" s="9">
        <f>'QTR P&amp;L'!AB2*'IS DRIVERS'!AB3</f>
        <v/>
      </c>
      <c r="AC3" s="9">
        <f>'QTR P&amp;L'!AC2*'IS DRIVERS'!AC3</f>
        <v/>
      </c>
      <c r="AD3" s="9">
        <f>'QTR P&amp;L'!AD2*'IS DRIVERS'!AD3</f>
        <v/>
      </c>
      <c r="AE3" s="9">
        <f>'QTR P&amp;L'!AE2*'IS DRIVERS'!AE3</f>
        <v/>
      </c>
      <c r="AF3" s="9">
        <f>'QTR P&amp;L'!AF2*'IS DRIVERS'!AF3</f>
        <v/>
      </c>
      <c r="AG3" s="9">
        <f>'QTR P&amp;L'!AG2*'IS DRIVERS'!AG3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10">
        <f>R2+R3</f>
        <v/>
      </c>
      <c r="S4" s="10">
        <f>S2+S3</f>
        <v/>
      </c>
      <c r="T4" s="10">
        <f>T2+T3</f>
        <v/>
      </c>
      <c r="U4" s="10">
        <f>U2+U3</f>
        <v/>
      </c>
      <c r="V4" s="10">
        <f>V2+V3</f>
        <v/>
      </c>
      <c r="W4" s="10">
        <f>W2+W3</f>
        <v/>
      </c>
      <c r="X4" s="10">
        <f>X2+X3</f>
        <v/>
      </c>
      <c r="Y4" s="10">
        <f>Y2+Y3</f>
        <v/>
      </c>
      <c r="Z4" s="10">
        <f>Z2+Z3</f>
        <v/>
      </c>
      <c r="AA4" s="10">
        <f>AA2+AA3</f>
        <v/>
      </c>
      <c r="AB4" s="10">
        <f>AB2+AB3</f>
        <v/>
      </c>
      <c r="AC4" s="10">
        <f>AC2+AC3</f>
        <v/>
      </c>
      <c r="AD4" s="10">
        <f>AD2+AD3</f>
        <v/>
      </c>
      <c r="AE4" s="10">
        <f>AE2+AE3</f>
        <v/>
      </c>
      <c r="AF4" s="10">
        <f>AF2+AF3</f>
        <v/>
      </c>
      <c r="AG4" s="10">
        <f>AG2+AG3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DRIVERS'!R4</f>
        <v/>
      </c>
      <c r="S5" s="9">
        <f>'QTR P&amp;L'!S2*'IS DRIVERS'!S4</f>
        <v/>
      </c>
      <c r="T5" s="9">
        <f>'QTR P&amp;L'!T2*'IS DRIVERS'!T4</f>
        <v/>
      </c>
      <c r="U5" s="9">
        <f>'QTR P&amp;L'!U2*'IS DRIVERS'!U4</f>
        <v/>
      </c>
      <c r="V5" s="9">
        <f>'QTR P&amp;L'!V2*'IS DRIVERS'!V4</f>
        <v/>
      </c>
      <c r="W5" s="9">
        <f>'QTR P&amp;L'!W2*'IS DRIVERS'!W4</f>
        <v/>
      </c>
      <c r="X5" s="9">
        <f>'QTR P&amp;L'!X2*'IS DRIVERS'!X4</f>
        <v/>
      </c>
      <c r="Y5" s="9">
        <f>'QTR P&amp;L'!Y2*'IS DRIVERS'!Y4</f>
        <v/>
      </c>
      <c r="Z5" s="9">
        <f>'QTR P&amp;L'!Z2*'IS DRIVERS'!Z4</f>
        <v/>
      </c>
      <c r="AA5" s="9">
        <f>'QTR P&amp;L'!AA2*'IS DRIVERS'!AA4</f>
        <v/>
      </c>
      <c r="AB5" s="9">
        <f>'QTR P&amp;L'!AB2*'IS DRIVERS'!AB4</f>
        <v/>
      </c>
      <c r="AC5" s="9">
        <f>'QTR P&amp;L'!AC2*'IS DRIVERS'!AC4</f>
        <v/>
      </c>
      <c r="AD5" s="9">
        <f>'QTR P&amp;L'!AD2*'IS DRIVERS'!AD4</f>
        <v/>
      </c>
      <c r="AE5" s="9">
        <f>'QTR P&amp;L'!AE2*'IS DRIVERS'!AE4</f>
        <v/>
      </c>
      <c r="AF5" s="9">
        <f>'QTR P&amp;L'!AF2*'IS DRIVERS'!AF4</f>
        <v/>
      </c>
      <c r="AG5" s="9">
        <f>'QTR P&amp;L'!AG2*'IS DRIVERS'!AG4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DRIVERS'!R5</f>
        <v/>
      </c>
      <c r="S6" s="9">
        <f>'IS DRIVERS'!S5</f>
        <v/>
      </c>
      <c r="T6" s="9">
        <f>'IS DRIVERS'!T5</f>
        <v/>
      </c>
      <c r="U6" s="9">
        <f>'IS DRIVERS'!U5</f>
        <v/>
      </c>
      <c r="V6" s="9">
        <f>'IS DRIVERS'!V5</f>
        <v/>
      </c>
      <c r="W6" s="9">
        <f>'IS DRIVERS'!W5</f>
        <v/>
      </c>
      <c r="X6" s="9">
        <f>'IS DRIVERS'!X5</f>
        <v/>
      </c>
      <c r="Y6" s="9">
        <f>'IS DRIVERS'!Y5</f>
        <v/>
      </c>
      <c r="Z6" s="9">
        <f>'IS DRIVERS'!Z5</f>
        <v/>
      </c>
      <c r="AA6" s="9">
        <f>'IS DRIVERS'!AA5</f>
        <v/>
      </c>
      <c r="AB6" s="9">
        <f>'IS DRIVERS'!AB5</f>
        <v/>
      </c>
      <c r="AC6" s="9">
        <f>'IS DRIVERS'!AC5</f>
        <v/>
      </c>
      <c r="AD6" s="9">
        <f>'IS DRIVERS'!AD5</f>
        <v/>
      </c>
      <c r="AE6" s="9">
        <f>'IS DRIVERS'!AE5</f>
        <v/>
      </c>
      <c r="AF6" s="9">
        <f>'IS DRIVERS'!AF5</f>
        <v/>
      </c>
      <c r="AG6" s="9">
        <f>'IS DRIVERS'!AG5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10">
        <f>R4+SUM(R5:R6)</f>
        <v/>
      </c>
      <c r="S7" s="10">
        <f>S4+SUM(S5:S6)</f>
        <v/>
      </c>
      <c r="T7" s="10">
        <f>T4+SUM(T5:T6)</f>
        <v/>
      </c>
      <c r="U7" s="10">
        <f>U4+SUM(U5:U6)</f>
        <v/>
      </c>
      <c r="V7" s="10">
        <f>V4+SUM(V5:V6)</f>
        <v/>
      </c>
      <c r="W7" s="10">
        <f>W4+SUM(W5:W6)</f>
        <v/>
      </c>
      <c r="X7" s="10">
        <f>X4+SUM(X5:X6)</f>
        <v/>
      </c>
      <c r="Y7" s="10">
        <f>Y4+SUM(Y5:Y6)</f>
        <v/>
      </c>
      <c r="Z7" s="10">
        <f>Z4+SUM(Z5:Z6)</f>
        <v/>
      </c>
      <c r="AA7" s="10">
        <f>AA4+SUM(AA5:AA6)</f>
        <v/>
      </c>
      <c r="AB7" s="10">
        <f>AB4+SUM(AB5:AB6)</f>
        <v/>
      </c>
      <c r="AC7" s="10">
        <f>AC4+SUM(AC5:AC6)</f>
        <v/>
      </c>
      <c r="AD7" s="10">
        <f>AD4+SUM(AD5:AD6)</f>
        <v/>
      </c>
      <c r="AE7" s="10">
        <f>AE4+SUM(AE5:AE6)</f>
        <v/>
      </c>
      <c r="AF7" s="10">
        <f>AF4+SUM(AF5:AF6)</f>
        <v/>
      </c>
      <c r="AG7" s="10">
        <f>AG4+SUM(AG5:AG6)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DRIVERS'!R6</f>
        <v/>
      </c>
      <c r="S8" s="9">
        <f>'IS DRIVERS'!S6</f>
        <v/>
      </c>
      <c r="T8" s="9">
        <f>'IS DRIVERS'!T6</f>
        <v/>
      </c>
      <c r="U8" s="9">
        <f>'IS DRIVERS'!U6</f>
        <v/>
      </c>
      <c r="V8" s="9">
        <f>'IS DRIVERS'!V6</f>
        <v/>
      </c>
      <c r="W8" s="9">
        <f>'IS DRIVERS'!W6</f>
        <v/>
      </c>
      <c r="X8" s="9">
        <f>'IS DRIVERS'!X6</f>
        <v/>
      </c>
      <c r="Y8" s="9">
        <f>'IS DRIVERS'!Y6</f>
        <v/>
      </c>
      <c r="Z8" s="9">
        <f>'IS DRIVERS'!Z6</f>
        <v/>
      </c>
      <c r="AA8" s="9">
        <f>'IS DRIVERS'!AA6</f>
        <v/>
      </c>
      <c r="AB8" s="9">
        <f>'IS DRIVERS'!AB6</f>
        <v/>
      </c>
      <c r="AC8" s="9">
        <f>'IS DRIVERS'!AC6</f>
        <v/>
      </c>
      <c r="AD8" s="9">
        <f>'IS DRIVERS'!AD6</f>
        <v/>
      </c>
      <c r="AE8" s="9">
        <f>'IS DRIVERS'!AE6</f>
        <v/>
      </c>
      <c r="AF8" s="9">
        <f>'IS DRIVERS'!AF6</f>
        <v/>
      </c>
      <c r="AG8" s="9">
        <f>'IS DRIVERS'!AG6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DRIVERS'!R7</f>
        <v/>
      </c>
      <c r="S9" s="9">
        <f>'IS DRIVERS'!S7</f>
        <v/>
      </c>
      <c r="T9" s="9">
        <f>'IS DRIVERS'!T7</f>
        <v/>
      </c>
      <c r="U9" s="9">
        <f>'IS DRIVERS'!U7</f>
        <v/>
      </c>
      <c r="V9" s="9">
        <f>'IS DRIVERS'!V7</f>
        <v/>
      </c>
      <c r="W9" s="9">
        <f>'IS DRIVERS'!W7</f>
        <v/>
      </c>
      <c r="X9" s="9">
        <f>'IS DRIVERS'!X7</f>
        <v/>
      </c>
      <c r="Y9" s="9">
        <f>'IS DRIVERS'!Y7</f>
        <v/>
      </c>
      <c r="Z9" s="9">
        <f>'IS DRIVERS'!Z7</f>
        <v/>
      </c>
      <c r="AA9" s="9">
        <f>'IS DRIVERS'!AA7</f>
        <v/>
      </c>
      <c r="AB9" s="9">
        <f>'IS DRIVERS'!AB7</f>
        <v/>
      </c>
      <c r="AC9" s="9">
        <f>'IS DRIVERS'!AC7</f>
        <v/>
      </c>
      <c r="AD9" s="9">
        <f>'IS DRIVERS'!AD7</f>
        <v/>
      </c>
      <c r="AE9" s="9">
        <f>'IS DRIVERS'!AE7</f>
        <v/>
      </c>
      <c r="AF9" s="9">
        <f>'IS DRIVERS'!AF7</f>
        <v/>
      </c>
      <c r="AG9" s="9">
        <f>'IS DRIVERS'!AG7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DRIVERS'!R8</f>
        <v/>
      </c>
      <c r="S10" s="9">
        <f>'IS DRIVERS'!S8</f>
        <v/>
      </c>
      <c r="T10" s="9">
        <f>'IS DRIVERS'!T8</f>
        <v/>
      </c>
      <c r="U10" s="9">
        <f>'IS DRIVERS'!U8</f>
        <v/>
      </c>
      <c r="V10" s="9">
        <f>'IS DRIVERS'!V8</f>
        <v/>
      </c>
      <c r="W10" s="9">
        <f>'IS DRIVERS'!W8</f>
        <v/>
      </c>
      <c r="X10" s="9">
        <f>'IS DRIVERS'!X8</f>
        <v/>
      </c>
      <c r="Y10" s="9">
        <f>'IS DRIVERS'!Y8</f>
        <v/>
      </c>
      <c r="Z10" s="9">
        <f>'IS DRIVERS'!Z8</f>
        <v/>
      </c>
      <c r="AA10" s="9">
        <f>'IS DRIVERS'!AA8</f>
        <v/>
      </c>
      <c r="AB10" s="9">
        <f>'IS DRIVERS'!AB8</f>
        <v/>
      </c>
      <c r="AC10" s="9">
        <f>'IS DRIVERS'!AC8</f>
        <v/>
      </c>
      <c r="AD10" s="9">
        <f>'IS DRIVERS'!AD8</f>
        <v/>
      </c>
      <c r="AE10" s="9">
        <f>'IS DRIVERS'!AE8</f>
        <v/>
      </c>
      <c r="AF10" s="9">
        <f>'IS DRIVERS'!AF8</f>
        <v/>
      </c>
      <c r="AG10" s="9">
        <f>'IS DRIVERS'!AG8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10">
        <f>R7+SUM(R8:R10)</f>
        <v/>
      </c>
      <c r="S11" s="10">
        <f>S7+SUM(S8:S10)</f>
        <v/>
      </c>
      <c r="T11" s="10">
        <f>T7+SUM(T8:T10)</f>
        <v/>
      </c>
      <c r="U11" s="10">
        <f>U7+SUM(U8:U10)</f>
        <v/>
      </c>
      <c r="V11" s="10">
        <f>V7+SUM(V8:V10)</f>
        <v/>
      </c>
      <c r="W11" s="10">
        <f>W7+SUM(W8:W10)</f>
        <v/>
      </c>
      <c r="X11" s="10">
        <f>X7+SUM(X8:X10)</f>
        <v/>
      </c>
      <c r="Y11" s="10">
        <f>Y7+SUM(Y8:Y10)</f>
        <v/>
      </c>
      <c r="Z11" s="10">
        <f>Z7+SUM(Z8:Z10)</f>
        <v/>
      </c>
      <c r="AA11" s="10">
        <f>AA7+SUM(AA8:AA10)</f>
        <v/>
      </c>
      <c r="AB11" s="10">
        <f>AB7+SUM(AB8:AB10)</f>
        <v/>
      </c>
      <c r="AC11" s="10">
        <f>AC7+SUM(AC8:AC10)</f>
        <v/>
      </c>
      <c r="AD11" s="10">
        <f>AD7+SUM(AD8:AD10)</f>
        <v/>
      </c>
      <c r="AE11" s="10">
        <f>AE7+SUM(AE8:AE10)</f>
        <v/>
      </c>
      <c r="AF11" s="10">
        <f>AF7+SUM(AF8:AF10)</f>
        <v/>
      </c>
      <c r="AG11" s="10">
        <f>AG7+SUM(AG8:AG10)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DRIVERS'!R9</f>
        <v/>
      </c>
      <c r="S12" s="9">
        <f>'QTR P&amp;L'!S11*'IS DRIVERS'!S9</f>
        <v/>
      </c>
      <c r="T12" s="9">
        <f>'QTR P&amp;L'!T11*'IS DRIVERS'!T9</f>
        <v/>
      </c>
      <c r="U12" s="9">
        <f>'QTR P&amp;L'!U11*'IS DRIVERS'!U9</f>
        <v/>
      </c>
      <c r="V12" s="9">
        <f>'QTR P&amp;L'!V11*'IS DRIVERS'!V9</f>
        <v/>
      </c>
      <c r="W12" s="9">
        <f>'QTR P&amp;L'!W11*'IS DRIVERS'!W9</f>
        <v/>
      </c>
      <c r="X12" s="9">
        <f>'QTR P&amp;L'!X11*'IS DRIVERS'!X9</f>
        <v/>
      </c>
      <c r="Y12" s="9">
        <f>'QTR P&amp;L'!Y11*'IS DRIVERS'!Y9</f>
        <v/>
      </c>
      <c r="Z12" s="9">
        <f>'QTR P&amp;L'!Z11*'IS DRIVERS'!Z9</f>
        <v/>
      </c>
      <c r="AA12" s="9">
        <f>'QTR P&amp;L'!AA11*'IS DRIVERS'!AA9</f>
        <v/>
      </c>
      <c r="AB12" s="9">
        <f>'QTR P&amp;L'!AB11*'IS DRIVERS'!AB9</f>
        <v/>
      </c>
      <c r="AC12" s="9">
        <f>'QTR P&amp;L'!AC11*'IS DRIVERS'!AC9</f>
        <v/>
      </c>
      <c r="AD12" s="9">
        <f>'QTR P&amp;L'!AD11*'IS DRIVERS'!AD9</f>
        <v/>
      </c>
      <c r="AE12" s="9">
        <f>'QTR P&amp;L'!AE11*'IS DRIVERS'!AE9</f>
        <v/>
      </c>
      <c r="AF12" s="9">
        <f>'QTR P&amp;L'!AF11*'IS DRIVERS'!AF9</f>
        <v/>
      </c>
      <c r="AG12" s="9">
        <f>'QTR P&amp;L'!AG11*'IS DRIVERS'!AG9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10">
        <f>R11+R12</f>
        <v/>
      </c>
      <c r="S13" s="10">
        <f>S11+S12</f>
        <v/>
      </c>
      <c r="T13" s="10">
        <f>T11+T12</f>
        <v/>
      </c>
      <c r="U13" s="10">
        <f>U11+U12</f>
        <v/>
      </c>
      <c r="V13" s="10">
        <f>V11+V12</f>
        <v/>
      </c>
      <c r="W13" s="10">
        <f>W11+W12</f>
        <v/>
      </c>
      <c r="X13" s="10">
        <f>X11+X12</f>
        <v/>
      </c>
      <c r="Y13" s="10">
        <f>Y11+Y12</f>
        <v/>
      </c>
      <c r="Z13" s="10">
        <f>Z11+Z12</f>
        <v/>
      </c>
      <c r="AA13" s="10">
        <f>AA11+AA12</f>
        <v/>
      </c>
      <c r="AB13" s="10">
        <f>AB11+AB12</f>
        <v/>
      </c>
      <c r="AC13" s="10">
        <f>AC11+AC12</f>
        <v/>
      </c>
      <c r="AD13" s="10">
        <f>AD11+AD12</f>
        <v/>
      </c>
      <c r="AE13" s="10">
        <f>AE11+AE12</f>
        <v/>
      </c>
      <c r="AF13" s="10">
        <f>AF11+AF12</f>
        <v/>
      </c>
      <c r="AG13" s="10">
        <f>AG11+AG12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DRIVERS'!R10</f>
        <v/>
      </c>
      <c r="S16" s="9">
        <f>'QTR P&amp;L'!S2*'IS DRIVERS'!S10</f>
        <v/>
      </c>
      <c r="T16" s="9">
        <f>'QTR P&amp;L'!T2*'IS DRIVERS'!T10</f>
        <v/>
      </c>
      <c r="U16" s="9">
        <f>'QTR P&amp;L'!U2*'IS DRIVERS'!U10</f>
        <v/>
      </c>
      <c r="V16" s="9">
        <f>'QTR P&amp;L'!V2*'IS DRIVERS'!V10</f>
        <v/>
      </c>
      <c r="W16" s="9">
        <f>'QTR P&amp;L'!W2*'IS DRIVERS'!W10</f>
        <v/>
      </c>
      <c r="X16" s="9">
        <f>'QTR P&amp;L'!X2*'IS DRIVERS'!X10</f>
        <v/>
      </c>
      <c r="Y16" s="9">
        <f>'QTR P&amp;L'!Y2*'IS DRIVERS'!Y10</f>
        <v/>
      </c>
      <c r="Z16" s="9">
        <f>'QTR P&amp;L'!Z2*'IS DRIVERS'!Z10</f>
        <v/>
      </c>
      <c r="AA16" s="9">
        <f>'QTR P&amp;L'!AA2*'IS DRIVERS'!AA10</f>
        <v/>
      </c>
      <c r="AB16" s="9">
        <f>'QTR P&amp;L'!AB2*'IS DRIVERS'!AB10</f>
        <v/>
      </c>
      <c r="AC16" s="9">
        <f>'QTR P&amp;L'!AC2*'IS DRIVERS'!AC10</f>
        <v/>
      </c>
      <c r="AD16" s="9">
        <f>'QTR P&amp;L'!AD2*'IS DRIVERS'!AD10</f>
        <v/>
      </c>
      <c r="AE16" s="9">
        <f>'QTR P&amp;L'!AE2*'IS DRIVERS'!AE10</f>
        <v/>
      </c>
      <c r="AF16" s="9">
        <f>'QTR P&amp;L'!AF2*'IS DRIVERS'!AF10</f>
        <v/>
      </c>
      <c r="AG16" s="9">
        <f>'QTR P&amp;L'!AG2*'IS DRIVERS'!AG10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10">
        <f>SUM(O2:O8)</f>
        <v/>
      </c>
      <c r="P9" s="10">
        <f>SUM(P2:P8)</f>
        <v/>
      </c>
      <c r="Q9" s="10">
        <f>SUM(Q2:Q8)</f>
        <v/>
      </c>
      <c r="R9" s="10">
        <f>SUM(R2:R8)</f>
        <v/>
      </c>
      <c r="S9" s="10">
        <f>SUM(S2:S8)</f>
        <v/>
      </c>
      <c r="T9" s="10">
        <f>SUM(T2:T8)</f>
        <v/>
      </c>
      <c r="U9" s="10">
        <f>SUM(U2:U8)</f>
        <v/>
      </c>
      <c r="V9" s="10">
        <f>SUM(V2:V8)</f>
        <v/>
      </c>
      <c r="W9" s="10">
        <f>SUM(W2:W8)</f>
        <v/>
      </c>
      <c r="X9" s="10">
        <f>SUM(X2:X8)</f>
        <v/>
      </c>
      <c r="Y9" s="10">
        <f>SUM(Y2:Y8)</f>
        <v/>
      </c>
      <c r="Z9" s="10">
        <f>SUM(Z2:Z8)</f>
        <v/>
      </c>
      <c r="AA9" s="10">
        <f>SUM(AA2:AA8)</f>
        <v/>
      </c>
      <c r="AB9" s="10">
        <f>SUM(AB2:AB8)</f>
        <v/>
      </c>
      <c r="AC9" s="10">
        <f>SUM(AC2:AC8)</f>
        <v/>
      </c>
      <c r="AD9" s="10">
        <f>SUM(AD2:AD8)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10">
        <f>O9+SUM(O10:O18)</f>
        <v/>
      </c>
      <c r="P19" s="10">
        <f>P9+SUM(P10:P18)</f>
        <v/>
      </c>
      <c r="Q19" s="10">
        <f>Q9+SUM(Q10:Q18)</f>
        <v/>
      </c>
      <c r="R19" s="10">
        <f>R9+SUM(R10:R18)</f>
        <v/>
      </c>
      <c r="S19" s="10">
        <f>S9+SUM(S10:S18)</f>
        <v/>
      </c>
      <c r="T19" s="10">
        <f>T9+SUM(T10:T18)</f>
        <v/>
      </c>
      <c r="U19" s="10">
        <f>U9+SUM(U10:U18)</f>
        <v/>
      </c>
      <c r="V19" s="10">
        <f>V9+SUM(V10:V18)</f>
        <v/>
      </c>
      <c r="W19" s="10">
        <f>W9+SUM(W10:W18)</f>
        <v/>
      </c>
      <c r="X19" s="10">
        <f>X9+SUM(X10:X18)</f>
        <v/>
      </c>
      <c r="Y19" s="10">
        <f>Y9+SUM(Y10:Y18)</f>
        <v/>
      </c>
      <c r="Z19" s="10">
        <f>Z9+SUM(Z10:Z18)</f>
        <v/>
      </c>
      <c r="AA19" s="10">
        <f>AA9+SUM(AA10:AA18)</f>
        <v/>
      </c>
      <c r="AB19" s="10">
        <f>AB9+SUM(AB10:AB18)</f>
        <v/>
      </c>
      <c r="AC19" s="10">
        <f>AC9+SUM(AC10:AC18)</f>
        <v/>
      </c>
      <c r="AD19" s="10">
        <f>AD9+SUM(AD10:AD18)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10">
        <f>SUM(O20:O29)</f>
        <v/>
      </c>
      <c r="P30" s="10">
        <f>SUM(P20:P29)</f>
        <v/>
      </c>
      <c r="Q30" s="10">
        <f>SUM(Q20:Q29)</f>
        <v/>
      </c>
      <c r="R30" s="10">
        <f>SUM(R20:R29)</f>
        <v/>
      </c>
      <c r="S30" s="10">
        <f>SUM(S20:S29)</f>
        <v/>
      </c>
      <c r="T30" s="10">
        <f>SUM(T20:T29)</f>
        <v/>
      </c>
      <c r="U30" s="10">
        <f>SUM(U20:U29)</f>
        <v/>
      </c>
      <c r="V30" s="10">
        <f>SUM(V20:V29)</f>
        <v/>
      </c>
      <c r="W30" s="10">
        <f>SUM(W20:W29)</f>
        <v/>
      </c>
      <c r="X30" s="10">
        <f>SUM(X20:X29)</f>
        <v/>
      </c>
      <c r="Y30" s="10">
        <f>SUM(Y20:Y29)</f>
        <v/>
      </c>
      <c r="Z30" s="10">
        <f>SUM(Z20:Z29)</f>
        <v/>
      </c>
      <c r="AA30" s="10">
        <f>SUM(AA20:AA29)</f>
        <v/>
      </c>
      <c r="AB30" s="10">
        <f>SUM(AB20:AB29)</f>
        <v/>
      </c>
      <c r="AC30" s="10">
        <f>SUM(AC20:AC29)</f>
        <v/>
      </c>
      <c r="AD30" s="10">
        <f>SUM(AD20:AD29)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10">
        <f>O30+SUM(O31:O36)</f>
        <v/>
      </c>
      <c r="P37" s="10">
        <f>P30+SUM(P31:P36)</f>
        <v/>
      </c>
      <c r="Q37" s="10">
        <f>Q30+SUM(Q31:Q36)</f>
        <v/>
      </c>
      <c r="R37" s="10">
        <f>R30+SUM(R31:R36)</f>
        <v/>
      </c>
      <c r="S37" s="10">
        <f>S30+SUM(S31:S36)</f>
        <v/>
      </c>
      <c r="T37" s="10">
        <f>T30+SUM(T31:T36)</f>
        <v/>
      </c>
      <c r="U37" s="10">
        <f>U30+SUM(U31:U36)</f>
        <v/>
      </c>
      <c r="V37" s="10">
        <f>V30+SUM(V31:V36)</f>
        <v/>
      </c>
      <c r="W37" s="10">
        <f>W30+SUM(W31:W36)</f>
        <v/>
      </c>
      <c r="X37" s="10">
        <f>X30+SUM(X31:X36)</f>
        <v/>
      </c>
      <c r="Y37" s="10">
        <f>Y30+SUM(Y31:Y36)</f>
        <v/>
      </c>
      <c r="Z37" s="10">
        <f>Z30+SUM(Z31:Z36)</f>
        <v/>
      </c>
      <c r="AA37" s="10">
        <f>AA30+SUM(AA31:AA36)</f>
        <v/>
      </c>
      <c r="AB37" s="10">
        <f>AB30+SUM(AB31:AB36)</f>
        <v/>
      </c>
      <c r="AC37" s="10">
        <f>AC30+SUM(AC31:AC36)</f>
        <v/>
      </c>
      <c r="AD37" s="10">
        <f>AD30+SUM(AD31:AD36)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</row>
    <row r="40">
      <c r="A40" s="3" t="inlineStr">
        <is>
          <t>Additional Paid-in Capital</t>
        </is>
      </c>
      <c r="B40" s="4">
        <f>'BALANCE SHEET'!B41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SHEET'!C41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SHEET'!D41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SHEET'!E41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</row>
    <row r="41">
      <c r="A41" s="3" t="inlineStr">
        <is>
          <t>Accumulated Other Comprehensive Income (Loss)</t>
        </is>
      </c>
      <c r="B41" s="4">
        <f>'BALANCE SHEET'!B42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SHEET'!C42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SHEET'!D42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SHEET'!E42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</row>
    <row r="42">
      <c r="A42" s="3" t="inlineStr">
        <is>
          <t>Retained Earnings (Accumulated Deficit)</t>
        </is>
      </c>
      <c r="B42" s="4">
        <f>'BALANCE SHEET'!B43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SHEET'!C43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SHEET'!D43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SHEET'!E43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</row>
    <row r="43">
      <c r="A43" s="3" t="inlineStr">
        <is>
          <t>Total Stockholders' Equity</t>
        </is>
      </c>
      <c r="B43" s="6">
        <f>'BALANCE SHEET'!B44</f>
        <v/>
      </c>
      <c r="C43" s="6">
        <f>'YTD BS'!C43</f>
        <v/>
      </c>
      <c r="D43" s="6">
        <f>'YTD BS'!D43</f>
        <v/>
      </c>
      <c r="E43" s="6">
        <f>'YTD BS'!E43</f>
        <v/>
      </c>
      <c r="F43" s="6">
        <f>'BALANCE SHEET'!C44</f>
        <v/>
      </c>
      <c r="G43" s="6">
        <f>'YTD BS'!G43</f>
        <v/>
      </c>
      <c r="H43" s="6">
        <f>'YTD BS'!H43</f>
        <v/>
      </c>
      <c r="I43" s="6">
        <f>'YTD BS'!I43</f>
        <v/>
      </c>
      <c r="J43" s="6">
        <f>'BALANCE SHEET'!D44</f>
        <v/>
      </c>
      <c r="K43" s="6">
        <f>'YTD BS'!K43</f>
        <v/>
      </c>
      <c r="L43" s="6">
        <f>'YTD BS'!L43</f>
        <v/>
      </c>
      <c r="M43" s="6">
        <f>'YTD BS'!M43</f>
        <v/>
      </c>
      <c r="N43" s="6">
        <f>'BALANCE SHEET'!E44</f>
        <v/>
      </c>
      <c r="O43" s="10">
        <f>SUM(O38:O42)</f>
        <v/>
      </c>
      <c r="P43" s="10">
        <f>SUM(P38:P42)</f>
        <v/>
      </c>
      <c r="Q43" s="10">
        <f>SUM(Q38:Q42)</f>
        <v/>
      </c>
      <c r="R43" s="10">
        <f>SUM(R38:R42)</f>
        <v/>
      </c>
      <c r="S43" s="10">
        <f>SUM(S38:S42)</f>
        <v/>
      </c>
      <c r="T43" s="10">
        <f>SUM(T38:T42)</f>
        <v/>
      </c>
      <c r="U43" s="10">
        <f>SUM(U38:U42)</f>
        <v/>
      </c>
      <c r="V43" s="10">
        <f>SUM(V38:V42)</f>
        <v/>
      </c>
      <c r="W43" s="10">
        <f>SUM(W38:W42)</f>
        <v/>
      </c>
      <c r="X43" s="10">
        <f>SUM(X38:X42)</f>
        <v/>
      </c>
      <c r="Y43" s="10">
        <f>SUM(Y38:Y42)</f>
        <v/>
      </c>
      <c r="Z43" s="10">
        <f>SUM(Z38:Z42)</f>
        <v/>
      </c>
      <c r="AA43" s="10">
        <f>SUM(AA38:AA42)</f>
        <v/>
      </c>
      <c r="AB43" s="10">
        <f>SUM(AB38:AB42)</f>
        <v/>
      </c>
      <c r="AC43" s="10">
        <f>SUM(AC38:AC42)</f>
        <v/>
      </c>
      <c r="AD43" s="10">
        <f>SUM(AD38:AD42)</f>
        <v/>
      </c>
    </row>
    <row r="44">
      <c r="A44" s="3" t="inlineStr">
        <is>
          <t>Total Liabilities, Mezzanine &amp; Stockholders' Equity</t>
        </is>
      </c>
      <c r="B44" s="6">
        <f>'BALANCE SHEET'!B45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SHEET'!C45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SHEET'!D45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SHEET'!E45</f>
        <v/>
      </c>
      <c r="O44" s="10">
        <f>O37+O43</f>
        <v/>
      </c>
      <c r="P44" s="10">
        <f>P37+P43</f>
        <v/>
      </c>
      <c r="Q44" s="10">
        <f>Q37+Q43</f>
        <v/>
      </c>
      <c r="R44" s="10">
        <f>R37+R43</f>
        <v/>
      </c>
      <c r="S44" s="10">
        <f>S37+S43</f>
        <v/>
      </c>
      <c r="T44" s="10">
        <f>T37+T43</f>
        <v/>
      </c>
      <c r="U44" s="10">
        <f>U37+U43</f>
        <v/>
      </c>
      <c r="V44" s="10">
        <f>V37+V43</f>
        <v/>
      </c>
      <c r="W44" s="10">
        <f>W37+W43</f>
        <v/>
      </c>
      <c r="X44" s="10">
        <f>X37+X43</f>
        <v/>
      </c>
      <c r="Y44" s="10">
        <f>Y37+Y43</f>
        <v/>
      </c>
      <c r="Z44" s="10">
        <f>Z37+Z43</f>
        <v/>
      </c>
      <c r="AA44" s="10">
        <f>AA37+AA43</f>
        <v/>
      </c>
      <c r="AB44" s="10">
        <f>AB37+AB43</f>
        <v/>
      </c>
      <c r="AC44" s="10">
        <f>AC37+AC43</f>
        <v/>
      </c>
      <c r="AD44" s="10">
        <f>AD37+AD43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</row>
    <row r="14">
      <c r="A14" s="3" t="inlineStr">
        <is>
          <t>Change in Fair Value of Contingent Consideration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FLOW'!C13-'YTD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FLOW'!D13-'YTD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FLOW'!E13-'YTD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FLOW'!F13-'YTD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</row>
    <row r="15">
      <c r="A15" s="3" t="inlineStr">
        <is>
          <t>Other Operating Items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</row>
    <row r="16">
      <c r="A16" s="3" t="inlineStr">
        <is>
          <t>Accounts Receivable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</row>
    <row r="17">
      <c r="A17" s="3" t="inlineStr">
        <is>
          <t>Inventories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</row>
    <row r="18">
      <c r="A18" s="3" t="inlineStr">
        <is>
          <t>Prepaid Expenses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</row>
    <row r="19">
      <c r="A19" s="3" t="inlineStr">
        <is>
          <t>Change in A/P and Accrued (legacy)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</row>
    <row r="20">
      <c r="A20" s="3" t="inlineStr">
        <is>
          <t>Other Non-Current Assets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</row>
    <row r="21">
      <c r="A21" s="3" t="inlineStr">
        <is>
          <t>Accounts Payable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</row>
    <row r="22">
      <c r="A22" s="3" t="inlineStr">
        <is>
          <t>Accrued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</row>
    <row r="24">
      <c r="A24" s="3" t="inlineStr">
        <is>
          <t>Accrued Promotional Allowance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</row>
    <row r="25">
      <c r="A25" s="3" t="inlineStr">
        <is>
          <t>Accrued Distributor Termination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</row>
    <row r="26">
      <c r="A26" s="3" t="inlineStr">
        <is>
          <t>ROU &amp; Lease Liability, Net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FLOW'!C26-'YTD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FLOW'!D26-'YTD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FLOW'!E26-'YTD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FLOW'!F26-'YTD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</row>
    <row r="27">
      <c r="A27" s="3" t="inlineStr">
        <is>
          <t>Deferred Revenue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</row>
    <row r="28">
      <c r="A28" s="3" t="inlineStr">
        <is>
          <t>Net Change in Other Working Capital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</row>
    <row r="29">
      <c r="A29" s="3" t="inlineStr">
        <is>
          <t>Cash Flow from Operations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FLOW'!C29-'YTD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FLOW'!D29-'YTD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FLOW'!E29-'YTD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FLOW'!F29-'YTD CF'!M29</f>
        <v/>
      </c>
      <c r="R29" s="10">
        <f>SUM(R2:R28)</f>
        <v/>
      </c>
      <c r="S29" s="10">
        <f>SUM(S2:S28)</f>
        <v/>
      </c>
      <c r="T29" s="10">
        <f>SUM(T2:T28)</f>
        <v/>
      </c>
      <c r="U29" s="10">
        <f>SUM(U2:U28)</f>
        <v/>
      </c>
      <c r="V29" s="10">
        <f>SUM(V2:V28)</f>
        <v/>
      </c>
      <c r="W29" s="10">
        <f>SUM(W2:W28)</f>
        <v/>
      </c>
      <c r="X29" s="10">
        <f>SUM(X2:X28)</f>
        <v/>
      </c>
      <c r="Y29" s="10">
        <f>SUM(Y2:Y28)</f>
        <v/>
      </c>
      <c r="Z29" s="10">
        <f>SUM(Z2:Z28)</f>
        <v/>
      </c>
      <c r="AA29" s="10">
        <f>SUM(AA2:AA28)</f>
        <v/>
      </c>
      <c r="AB29" s="10">
        <f>SUM(AB2:AB28)</f>
        <v/>
      </c>
      <c r="AC29" s="10">
        <f>SUM(AC2:AC28)</f>
        <v/>
      </c>
      <c r="AD29" s="10">
        <f>SUM(AD2:AD28)</f>
        <v/>
      </c>
      <c r="AE29" s="10">
        <f>SUM(AE2:AE28)</f>
        <v/>
      </c>
      <c r="AF29" s="10">
        <f>SUM(AF2:AF28)</f>
        <v/>
      </c>
      <c r="AG29" s="10">
        <f>SUM(AG2:AG28)</f>
        <v/>
      </c>
    </row>
    <row r="30">
      <c r="A30" s="3" t="inlineStr">
        <is>
          <t>Collections from Note Receivable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9">
        <f>'CF DRIVERS'!R29</f>
        <v/>
      </c>
      <c r="S30" s="9">
        <f>'CF DRIVERS'!S29</f>
        <v/>
      </c>
      <c r="T30" s="9">
        <f>'CF DRIVERS'!T29</f>
        <v/>
      </c>
      <c r="U30" s="9">
        <f>'CF DRIVERS'!U29</f>
        <v/>
      </c>
      <c r="V30" s="9">
        <f>'CF DRIVERS'!V29</f>
        <v/>
      </c>
      <c r="W30" s="9">
        <f>'CF DRIVERS'!W29</f>
        <v/>
      </c>
      <c r="X30" s="9">
        <f>'CF DRIVERS'!X29</f>
        <v/>
      </c>
      <c r="Y30" s="9">
        <f>'CF DRIVERS'!Y29</f>
        <v/>
      </c>
      <c r="Z30" s="9">
        <f>'CF DRIVERS'!Z29</f>
        <v/>
      </c>
      <c r="AA30" s="9">
        <f>'CF DRIVERS'!AA29</f>
        <v/>
      </c>
      <c r="AB30" s="9">
        <f>'CF DRIVERS'!AB29</f>
        <v/>
      </c>
      <c r="AC30" s="9">
        <f>'CF DRIVERS'!AC29</f>
        <v/>
      </c>
      <c r="AD30" s="9">
        <f>'CF DRIVERS'!AD29</f>
        <v/>
      </c>
      <c r="AE30" s="9">
        <f>'CF DRIVERS'!AE29</f>
        <v/>
      </c>
      <c r="AF30" s="9">
        <f>'CF DRIVERS'!AF29</f>
        <v/>
      </c>
      <c r="AG30" s="9">
        <f>'CF DRIVERS'!AG29</f>
        <v/>
      </c>
    </row>
    <row r="31">
      <c r="A31" s="3" t="inlineStr">
        <is>
          <t>Purchase of PP&amp;E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9">
        <f>'QTR P&amp;L'!R2*'CF DRIVERS'!R30</f>
        <v/>
      </c>
      <c r="S31" s="9">
        <f>'QTR P&amp;L'!S2*'CF DRIVERS'!S30</f>
        <v/>
      </c>
      <c r="T31" s="9">
        <f>'QTR P&amp;L'!T2*'CF DRIVERS'!T30</f>
        <v/>
      </c>
      <c r="U31" s="9">
        <f>'QTR P&amp;L'!U2*'CF DRIVERS'!U30</f>
        <v/>
      </c>
      <c r="V31" s="9">
        <f>'QTR P&amp;L'!V2*'CF DRIVERS'!V30</f>
        <v/>
      </c>
      <c r="W31" s="9">
        <f>'QTR P&amp;L'!W2*'CF DRIVERS'!W30</f>
        <v/>
      </c>
      <c r="X31" s="9">
        <f>'QTR P&amp;L'!X2*'CF DRIVERS'!X30</f>
        <v/>
      </c>
      <c r="Y31" s="9">
        <f>'QTR P&amp;L'!Y2*'CF DRIVERS'!Y30</f>
        <v/>
      </c>
      <c r="Z31" s="9">
        <f>'QTR P&amp;L'!Z2*'CF DRIVERS'!Z30</f>
        <v/>
      </c>
      <c r="AA31" s="9">
        <f>'QTR P&amp;L'!AA2*'CF DRIVERS'!AA30</f>
        <v/>
      </c>
      <c r="AB31" s="9">
        <f>'QTR P&amp;L'!AB2*'CF DRIVERS'!AB30</f>
        <v/>
      </c>
      <c r="AC31" s="9">
        <f>'QTR P&amp;L'!AC2*'CF DRIVERS'!AC30</f>
        <v/>
      </c>
      <c r="AD31" s="9">
        <f>'QTR P&amp;L'!AD2*'CF DRIVERS'!AD30</f>
        <v/>
      </c>
      <c r="AE31" s="9">
        <f>'QTR P&amp;L'!AE2*'CF DRIVERS'!AE30</f>
        <v/>
      </c>
      <c r="AF31" s="9">
        <f>'QTR P&amp;L'!AF2*'CF DRIVERS'!AF30</f>
        <v/>
      </c>
      <c r="AG31" s="9">
        <f>'QTR P&amp;L'!AG2*'CF DRIVERS'!AG30</f>
        <v/>
      </c>
    </row>
    <row r="32">
      <c r="A32" s="3" t="inlineStr">
        <is>
          <t>Purchase of Non-Marketable Equity Securities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9">
        <f>'CF DRIVERS'!R31</f>
        <v/>
      </c>
      <c r="S32" s="9">
        <f>'CF DRIVERS'!S31</f>
        <v/>
      </c>
      <c r="T32" s="9">
        <f>'CF DRIVERS'!T31</f>
        <v/>
      </c>
      <c r="U32" s="9">
        <f>'CF DRIVERS'!U31</f>
        <v/>
      </c>
      <c r="V32" s="9">
        <f>'CF DRIVERS'!V31</f>
        <v/>
      </c>
      <c r="W32" s="9">
        <f>'CF DRIVERS'!W31</f>
        <v/>
      </c>
      <c r="X32" s="9">
        <f>'CF DRIVERS'!X31</f>
        <v/>
      </c>
      <c r="Y32" s="9">
        <f>'CF DRIVERS'!Y31</f>
        <v/>
      </c>
      <c r="Z32" s="9">
        <f>'CF DRIVERS'!Z31</f>
        <v/>
      </c>
      <c r="AA32" s="9">
        <f>'CF DRIVERS'!AA31</f>
        <v/>
      </c>
      <c r="AB32" s="9">
        <f>'CF DRIVERS'!AB31</f>
        <v/>
      </c>
      <c r="AC32" s="9">
        <f>'CF DRIVERS'!AC31</f>
        <v/>
      </c>
      <c r="AD32" s="9">
        <f>'CF DRIVERS'!AD31</f>
        <v/>
      </c>
      <c r="AE32" s="9">
        <f>'CF DRIVERS'!AE31</f>
        <v/>
      </c>
      <c r="AF32" s="9">
        <f>'CF DRIVERS'!AF31</f>
        <v/>
      </c>
      <c r="AG32" s="9">
        <f>'CF DRIVERS'!AG31</f>
        <v/>
      </c>
    </row>
    <row r="33">
      <c r="A33" s="3" t="inlineStr">
        <is>
          <t>Acquisitions, Net of Cash Acquired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FLOW'!C34-'YTD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FLOW'!D34-'YTD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FLOW'!E34-'YTD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FLOW'!F34-'YTD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</row>
    <row r="34">
      <c r="A34" s="3" t="inlineStr">
        <is>
          <t>Working Capital Estimate from Pepsi (Rockstar)</t>
        </is>
      </c>
      <c r="R34" s="9">
        <f>'CF DRIVERS'!R33</f>
        <v/>
      </c>
      <c r="S34" s="9">
        <f>'CF DRIVERS'!S33</f>
        <v/>
      </c>
      <c r="T34" s="9">
        <f>'CF DRIVERS'!T33</f>
        <v/>
      </c>
      <c r="U34" s="9">
        <f>'CF DRIVERS'!U33</f>
        <v/>
      </c>
      <c r="V34" s="9">
        <f>'CF DRIVERS'!V33</f>
        <v/>
      </c>
      <c r="W34" s="9">
        <f>'CF DRIVERS'!W33</f>
        <v/>
      </c>
      <c r="X34" s="9">
        <f>'CF DRIVERS'!X33</f>
        <v/>
      </c>
      <c r="Y34" s="9">
        <f>'CF DRIVERS'!Y33</f>
        <v/>
      </c>
      <c r="Z34" s="9">
        <f>'CF DRIVERS'!Z33</f>
        <v/>
      </c>
      <c r="AA34" s="9">
        <f>'CF DRIVERS'!AA33</f>
        <v/>
      </c>
      <c r="AB34" s="9">
        <f>'CF DRIVERS'!AB33</f>
        <v/>
      </c>
      <c r="AC34" s="9">
        <f>'CF DRIVERS'!AC33</f>
        <v/>
      </c>
      <c r="AD34" s="9">
        <f>'CF DRIVERS'!AD33</f>
        <v/>
      </c>
      <c r="AE34" s="9">
        <f>'CF DRIVERS'!AE33</f>
        <v/>
      </c>
      <c r="AF34" s="9">
        <f>'CF DRIVERS'!AF33</f>
        <v/>
      </c>
      <c r="AG34" s="9">
        <f>'CF DRIVERS'!AG33</f>
        <v/>
      </c>
    </row>
    <row r="35">
      <c r="A35" s="3" t="inlineStr">
        <is>
          <t>Cash Flow from Investing</t>
        </is>
      </c>
      <c r="B35" s="6">
        <f>'YTD CF'!B35</f>
        <v/>
      </c>
      <c r="C35" s="6">
        <f>'YTD CF'!C35-'YTD CF'!B35</f>
        <v/>
      </c>
      <c r="D35" s="6">
        <f>'YTD CF'!D35-'YTD CF'!C35</f>
        <v/>
      </c>
      <c r="E35" s="6">
        <f>'CASH FLOW'!C36-'YTD CF'!D35</f>
        <v/>
      </c>
      <c r="F35" s="6">
        <f>'YTD CF'!E35</f>
        <v/>
      </c>
      <c r="G35" s="6">
        <f>'YTD CF'!F35-'YTD CF'!E35</f>
        <v/>
      </c>
      <c r="H35" s="6">
        <f>'YTD CF'!G35-'YTD CF'!F35</f>
        <v/>
      </c>
      <c r="I35" s="6">
        <f>'CASH FLOW'!D36-'YTD CF'!G35</f>
        <v/>
      </c>
      <c r="J35" s="6">
        <f>'YTD CF'!H35</f>
        <v/>
      </c>
      <c r="K35" s="6">
        <f>'YTD CF'!I35-'YTD CF'!H35</f>
        <v/>
      </c>
      <c r="L35" s="6">
        <f>'YTD CF'!J35-'YTD CF'!I35</f>
        <v/>
      </c>
      <c r="M35" s="6">
        <f>'CASH FLOW'!E36-'YTD CF'!J35</f>
        <v/>
      </c>
      <c r="N35" s="6">
        <f>'YTD CF'!K35</f>
        <v/>
      </c>
      <c r="O35" s="6">
        <f>'YTD CF'!L35-'YTD CF'!K35</f>
        <v/>
      </c>
      <c r="P35" s="6">
        <f>'YTD CF'!M35-'YTD CF'!L35</f>
        <v/>
      </c>
      <c r="Q35" s="6">
        <f>'CASH FLOW'!F36-'YTD CF'!M35</f>
        <v/>
      </c>
      <c r="R35" s="10">
        <f>SUM(R30:R34)</f>
        <v/>
      </c>
      <c r="S35" s="10">
        <f>SUM(S30:S34)</f>
        <v/>
      </c>
      <c r="T35" s="10">
        <f>SUM(T30:T34)</f>
        <v/>
      </c>
      <c r="U35" s="10">
        <f>SUM(U30:U34)</f>
        <v/>
      </c>
      <c r="V35" s="10">
        <f>SUM(V30:V34)</f>
        <v/>
      </c>
      <c r="W35" s="10">
        <f>SUM(W30:W34)</f>
        <v/>
      </c>
      <c r="X35" s="10">
        <f>SUM(X30:X34)</f>
        <v/>
      </c>
      <c r="Y35" s="10">
        <f>SUM(Y30:Y34)</f>
        <v/>
      </c>
      <c r="Z35" s="10">
        <f>SUM(Z30:Z34)</f>
        <v/>
      </c>
      <c r="AA35" s="10">
        <f>SUM(AA30:AA34)</f>
        <v/>
      </c>
      <c r="AB35" s="10">
        <f>SUM(AB30:AB34)</f>
        <v/>
      </c>
      <c r="AC35" s="10">
        <f>SUM(AC30:AC34)</f>
        <v/>
      </c>
      <c r="AD35" s="10">
        <f>SUM(AD30:AD34)</f>
        <v/>
      </c>
      <c r="AE35" s="10">
        <f>SUM(AE30:AE34)</f>
        <v/>
      </c>
      <c r="AF35" s="10">
        <f>SUM(AF30:AF34)</f>
        <v/>
      </c>
      <c r="AG35" s="10">
        <f>SUM(AG30:AG34)</f>
        <v/>
      </c>
    </row>
    <row r="36">
      <c r="A36" s="3" t="inlineStr">
        <is>
          <t>Finance Lease Payments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9">
        <f>'CF DRIVERS'!R34</f>
        <v/>
      </c>
      <c r="S36" s="9">
        <f>'CF DRIVERS'!S34</f>
        <v/>
      </c>
      <c r="T36" s="9">
        <f>'CF DRIVERS'!T34</f>
        <v/>
      </c>
      <c r="U36" s="9">
        <f>'CF DRIVERS'!U34</f>
        <v/>
      </c>
      <c r="V36" s="9">
        <f>'CF DRIVERS'!V34</f>
        <v/>
      </c>
      <c r="W36" s="9">
        <f>'CF DRIVERS'!W34</f>
        <v/>
      </c>
      <c r="X36" s="9">
        <f>'CF DRIVERS'!X34</f>
        <v/>
      </c>
      <c r="Y36" s="9">
        <f>'CF DRIVERS'!Y34</f>
        <v/>
      </c>
      <c r="Z36" s="9">
        <f>'CF DRIVERS'!Z34</f>
        <v/>
      </c>
      <c r="AA36" s="9">
        <f>'CF DRIVERS'!AA34</f>
        <v/>
      </c>
      <c r="AB36" s="9">
        <f>'CF DRIVERS'!AB34</f>
        <v/>
      </c>
      <c r="AC36" s="9">
        <f>'CF DRIVERS'!AC34</f>
        <v/>
      </c>
      <c r="AD36" s="9">
        <f>'CF DRIVERS'!AD34</f>
        <v/>
      </c>
      <c r="AE36" s="9">
        <f>'CF DRIVERS'!AE34</f>
        <v/>
      </c>
      <c r="AF36" s="9">
        <f>'CF DRIVERS'!AF34</f>
        <v/>
      </c>
      <c r="AG36" s="9">
        <f>'CF DRIVERS'!AG34</f>
        <v/>
      </c>
    </row>
    <row r="37">
      <c r="A37" s="3" t="inlineStr">
        <is>
          <t>Proceeds from Exercise of Stock Options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9">
        <f>'CF DRIVERS'!R35</f>
        <v/>
      </c>
      <c r="S37" s="9">
        <f>'CF DRIVERS'!S35</f>
        <v/>
      </c>
      <c r="T37" s="9">
        <f>'CF DRIVERS'!T35</f>
        <v/>
      </c>
      <c r="U37" s="9">
        <f>'CF DRIVERS'!U35</f>
        <v/>
      </c>
      <c r="V37" s="9">
        <f>'CF DRIVERS'!V35</f>
        <v/>
      </c>
      <c r="W37" s="9">
        <f>'CF DRIVERS'!W35</f>
        <v/>
      </c>
      <c r="X37" s="9">
        <f>'CF DRIVERS'!X35</f>
        <v/>
      </c>
      <c r="Y37" s="9">
        <f>'CF DRIVERS'!Y35</f>
        <v/>
      </c>
      <c r="Z37" s="9">
        <f>'CF DRIVERS'!Z35</f>
        <v/>
      </c>
      <c r="AA37" s="9">
        <f>'CF DRIVERS'!AA35</f>
        <v/>
      </c>
      <c r="AB37" s="9">
        <f>'CF DRIVERS'!AB35</f>
        <v/>
      </c>
      <c r="AC37" s="9">
        <f>'CF DRIVERS'!AC35</f>
        <v/>
      </c>
      <c r="AD37" s="9">
        <f>'CF DRIVERS'!AD35</f>
        <v/>
      </c>
      <c r="AE37" s="9">
        <f>'CF DRIVERS'!AE35</f>
        <v/>
      </c>
      <c r="AF37" s="9">
        <f>'CF DRIVERS'!AF35</f>
        <v/>
      </c>
      <c r="AG37" s="9">
        <f>'CF DRIVERS'!AG35</f>
        <v/>
      </c>
    </row>
    <row r="38">
      <c r="A38" s="3" t="inlineStr">
        <is>
          <t>Proceeds from Issuance of Preferred Stock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FLOW'!C40-'YTD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FLOW'!D40-'YTD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FLOW'!E40-'YTD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FLOW'!F40-'YTD CF'!M38</f>
        <v/>
      </c>
      <c r="R38" s="9">
        <f>'CF DRIVERS'!R36</f>
        <v/>
      </c>
      <c r="S38" s="9">
        <f>'CF DRIVERS'!S36</f>
        <v/>
      </c>
      <c r="T38" s="9">
        <f>'CF DRIVERS'!T36</f>
        <v/>
      </c>
      <c r="U38" s="9">
        <f>'CF DRIVERS'!U36</f>
        <v/>
      </c>
      <c r="V38" s="9">
        <f>'CF DRIVERS'!V36</f>
        <v/>
      </c>
      <c r="W38" s="9">
        <f>'CF DRIVERS'!W36</f>
        <v/>
      </c>
      <c r="X38" s="9">
        <f>'CF DRIVERS'!X36</f>
        <v/>
      </c>
      <c r="Y38" s="9">
        <f>'CF DRIVERS'!Y36</f>
        <v/>
      </c>
      <c r="Z38" s="9">
        <f>'CF DRIVERS'!Z36</f>
        <v/>
      </c>
      <c r="AA38" s="9">
        <f>'CF DRIVERS'!AA36</f>
        <v/>
      </c>
      <c r="AB38" s="9">
        <f>'CF DRIVERS'!AB36</f>
        <v/>
      </c>
      <c r="AC38" s="9">
        <f>'CF DRIVERS'!AC36</f>
        <v/>
      </c>
      <c r="AD38" s="9">
        <f>'CF DRIVERS'!AD36</f>
        <v/>
      </c>
      <c r="AE38" s="9">
        <f>'CF DRIVERS'!AE36</f>
        <v/>
      </c>
      <c r="AF38" s="9">
        <f>'CF DRIVERS'!AF36</f>
        <v/>
      </c>
      <c r="AG38" s="9">
        <f>'CF DRIVERS'!AG36</f>
        <v/>
      </c>
    </row>
    <row r="39">
      <c r="A39" s="3" t="inlineStr">
        <is>
          <t>Preferred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9">
        <f>'CF DRIVERS'!R37</f>
        <v/>
      </c>
      <c r="S39" s="9">
        <f>'CF DRIVERS'!S37</f>
        <v/>
      </c>
      <c r="T39" s="9">
        <f>'CF DRIVERS'!T37</f>
        <v/>
      </c>
      <c r="U39" s="9">
        <f>'CF DRIVERS'!U37</f>
        <v/>
      </c>
      <c r="V39" s="9">
        <f>'CF DRIVERS'!V37</f>
        <v/>
      </c>
      <c r="W39" s="9">
        <f>'CF DRIVERS'!W37</f>
        <v/>
      </c>
      <c r="X39" s="9">
        <f>'CF DRIVERS'!X37</f>
        <v/>
      </c>
      <c r="Y39" s="9">
        <f>'CF DRIVERS'!Y37</f>
        <v/>
      </c>
      <c r="Z39" s="9">
        <f>'CF DRIVERS'!Z37</f>
        <v/>
      </c>
      <c r="AA39" s="9">
        <f>'CF DRIVERS'!AA37</f>
        <v/>
      </c>
      <c r="AB39" s="9">
        <f>'CF DRIVERS'!AB37</f>
        <v/>
      </c>
      <c r="AC39" s="9">
        <f>'CF DRIVERS'!AC37</f>
        <v/>
      </c>
      <c r="AD39" s="9">
        <f>'CF DRIVERS'!AD37</f>
        <v/>
      </c>
      <c r="AE39" s="9">
        <f>'CF DRIVERS'!AE37</f>
        <v/>
      </c>
      <c r="AF39" s="9">
        <f>'CF DRIVERS'!AF37</f>
        <v/>
      </c>
      <c r="AG39" s="9">
        <f>'CF DRIVERS'!AG37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</row>
    <row r="41">
      <c r="A41" s="3" t="inlineStr">
        <is>
          <t>Proceeds from Issuance of Long-Term Debt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</row>
    <row r="42">
      <c r="A42" s="3" t="inlineStr">
        <is>
          <t>Repayments of Long-Term Debt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</row>
    <row r="43">
      <c r="A43" s="3" t="inlineStr">
        <is>
          <t>Debt Issuance Fees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</row>
    <row r="44">
      <c r="A44" s="3" t="inlineStr">
        <is>
          <t>Other Financing Activities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FLOW'!C46-'YTD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FLOW'!D46-'YTD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FLOW'!E46-'YTD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FLOW'!F46-'YTD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</row>
    <row r="45">
      <c r="A45" s="3" t="inlineStr">
        <is>
          <t>Cash Flow from Financing</t>
        </is>
      </c>
      <c r="B45" s="6">
        <f>'YTD CF'!B45</f>
        <v/>
      </c>
      <c r="C45" s="6">
        <f>'YTD CF'!C45-'YTD CF'!B45</f>
        <v/>
      </c>
      <c r="D45" s="6">
        <f>'YTD CF'!D45-'YTD CF'!C45</f>
        <v/>
      </c>
      <c r="E45" s="6">
        <f>'CASH FLOW'!C47-'YTD CF'!D45</f>
        <v/>
      </c>
      <c r="F45" s="6">
        <f>'YTD CF'!E45</f>
        <v/>
      </c>
      <c r="G45" s="6">
        <f>'YTD CF'!F45-'YTD CF'!E45</f>
        <v/>
      </c>
      <c r="H45" s="6">
        <f>'YTD CF'!G45-'YTD CF'!F45</f>
        <v/>
      </c>
      <c r="I45" s="6">
        <f>'CASH FLOW'!D47-'YTD CF'!G45</f>
        <v/>
      </c>
      <c r="J45" s="6">
        <f>'YTD CF'!H45</f>
        <v/>
      </c>
      <c r="K45" s="6">
        <f>'YTD CF'!I45-'YTD CF'!H45</f>
        <v/>
      </c>
      <c r="L45" s="6">
        <f>'YTD CF'!J45-'YTD CF'!I45</f>
        <v/>
      </c>
      <c r="M45" s="6">
        <f>'CASH FLOW'!E47-'YTD CF'!J45</f>
        <v/>
      </c>
      <c r="N45" s="6">
        <f>'YTD CF'!K45</f>
        <v/>
      </c>
      <c r="O45" s="6">
        <f>'YTD CF'!L45-'YTD CF'!K45</f>
        <v/>
      </c>
      <c r="P45" s="6">
        <f>'YTD CF'!M45-'YTD CF'!L45</f>
        <v/>
      </c>
      <c r="Q45" s="6">
        <f>'CASH FLOW'!F47-'YTD CF'!M45</f>
        <v/>
      </c>
      <c r="R45" s="10">
        <f>SUM(R36:R44)</f>
        <v/>
      </c>
      <c r="S45" s="10">
        <f>SUM(S36:S44)</f>
        <v/>
      </c>
      <c r="T45" s="10">
        <f>SUM(T36:T44)</f>
        <v/>
      </c>
      <c r="U45" s="10">
        <f>SUM(U36:U44)</f>
        <v/>
      </c>
      <c r="V45" s="10">
        <f>SUM(V36:V44)</f>
        <v/>
      </c>
      <c r="W45" s="10">
        <f>SUM(W36:W44)</f>
        <v/>
      </c>
      <c r="X45" s="10">
        <f>SUM(X36:X44)</f>
        <v/>
      </c>
      <c r="Y45" s="10">
        <f>SUM(Y36:Y44)</f>
        <v/>
      </c>
      <c r="Z45" s="10">
        <f>SUM(Z36:Z44)</f>
        <v/>
      </c>
      <c r="AA45" s="10">
        <f>SUM(AA36:AA44)</f>
        <v/>
      </c>
      <c r="AB45" s="10">
        <f>SUM(AB36:AB44)</f>
        <v/>
      </c>
      <c r="AC45" s="10">
        <f>SUM(AC36:AC44)</f>
        <v/>
      </c>
      <c r="AD45" s="10">
        <f>SUM(AD36:AD44)</f>
        <v/>
      </c>
      <c r="AE45" s="10">
        <f>SUM(AE36:AE44)</f>
        <v/>
      </c>
      <c r="AF45" s="10">
        <f>SUM(AF36:AF44)</f>
        <v/>
      </c>
      <c r="AG45" s="10">
        <f>SUM(AG36:AG44)</f>
        <v/>
      </c>
    </row>
    <row r="46">
      <c r="A46" s="3" t="inlineStr">
        <is>
          <t>FX Effect on Cash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FLOW'!C48-'YTD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FLOW'!D48-'YTD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FLOW'!E48-'YTD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FLOW'!F48-'YTD CF'!M46</f>
        <v/>
      </c>
      <c r="R46" s="9">
        <f>'CF DRIVERS'!R43</f>
        <v/>
      </c>
      <c r="S46" s="9">
        <f>'CF DRIVERS'!S43</f>
        <v/>
      </c>
      <c r="T46" s="9">
        <f>'CF DRIVERS'!T43</f>
        <v/>
      </c>
      <c r="U46" s="9">
        <f>'CF DRIVERS'!U43</f>
        <v/>
      </c>
      <c r="V46" s="9">
        <f>'CF DRIVERS'!V43</f>
        <v/>
      </c>
      <c r="W46" s="9">
        <f>'CF DRIVERS'!W43</f>
        <v/>
      </c>
      <c r="X46" s="9">
        <f>'CF DRIVERS'!X43</f>
        <v/>
      </c>
      <c r="Y46" s="9">
        <f>'CF DRIVERS'!Y43</f>
        <v/>
      </c>
      <c r="Z46" s="9">
        <f>'CF DRIVERS'!Z43</f>
        <v/>
      </c>
      <c r="AA46" s="9">
        <f>'CF DRIVERS'!AA43</f>
        <v/>
      </c>
      <c r="AB46" s="9">
        <f>'CF DRIVERS'!AB43</f>
        <v/>
      </c>
      <c r="AC46" s="9">
        <f>'CF DRIVERS'!AC43</f>
        <v/>
      </c>
      <c r="AD46" s="9">
        <f>'CF DRIVERS'!AD43</f>
        <v/>
      </c>
      <c r="AE46" s="9">
        <f>'CF DRIVERS'!AE43</f>
        <v/>
      </c>
      <c r="AF46" s="9">
        <f>'CF DRIVERS'!AF43</f>
        <v/>
      </c>
      <c r="AG46" s="9">
        <f>'CF DRIVERS'!AG43</f>
        <v/>
      </c>
    </row>
    <row r="47">
      <c r="A47" s="3" t="inlineStr">
        <is>
          <t>Net Change in Cash</t>
        </is>
      </c>
      <c r="B47" s="6">
        <f>'YTD CF'!B47</f>
        <v/>
      </c>
      <c r="C47" s="6">
        <f>'YTD CF'!C47-'YTD CF'!B47</f>
        <v/>
      </c>
      <c r="D47" s="6">
        <f>'YTD CF'!D47-'YTD CF'!C47</f>
        <v/>
      </c>
      <c r="E47" s="6">
        <f>'CASH FLOW'!C49-'YTD CF'!D47</f>
        <v/>
      </c>
      <c r="F47" s="6">
        <f>'YTD CF'!E47</f>
        <v/>
      </c>
      <c r="G47" s="6">
        <f>'YTD CF'!F47-'YTD CF'!E47</f>
        <v/>
      </c>
      <c r="H47" s="6">
        <f>'YTD CF'!G47-'YTD CF'!F47</f>
        <v/>
      </c>
      <c r="I47" s="6">
        <f>'CASH FLOW'!D49-'YTD CF'!G47</f>
        <v/>
      </c>
      <c r="J47" s="6">
        <f>'YTD CF'!H47</f>
        <v/>
      </c>
      <c r="K47" s="6">
        <f>'YTD CF'!I47-'YTD CF'!H47</f>
        <v/>
      </c>
      <c r="L47" s="6">
        <f>'YTD CF'!J47-'YTD CF'!I47</f>
        <v/>
      </c>
      <c r="M47" s="6">
        <f>'CASH FLOW'!E49-'YTD CF'!J47</f>
        <v/>
      </c>
      <c r="N47" s="6">
        <f>'YTD CF'!K47</f>
        <v/>
      </c>
      <c r="O47" s="6">
        <f>'YTD CF'!L47-'YTD CF'!K47</f>
        <v/>
      </c>
      <c r="P47" s="6">
        <f>'YTD CF'!M47-'YTD CF'!L47</f>
        <v/>
      </c>
      <c r="Q47" s="6">
        <f>'CASH FLOW'!F49-'YTD CF'!M47</f>
        <v/>
      </c>
      <c r="R47" s="10">
        <f>R29+R35+R45+R46</f>
        <v/>
      </c>
      <c r="S47" s="10">
        <f>S29+S35+S45+S46</f>
        <v/>
      </c>
      <c r="T47" s="10">
        <f>T29+T35+T45+T46</f>
        <v/>
      </c>
      <c r="U47" s="10">
        <f>U29+U35+U45+U46</f>
        <v/>
      </c>
      <c r="V47" s="10">
        <f>V29+V35+V45+V46</f>
        <v/>
      </c>
      <c r="W47" s="10">
        <f>W29+W35+W45+W46</f>
        <v/>
      </c>
      <c r="X47" s="10">
        <f>X29+X35+X45+X46</f>
        <v/>
      </c>
      <c r="Y47" s="10">
        <f>Y29+Y35+Y45+Y46</f>
        <v/>
      </c>
      <c r="Z47" s="10">
        <f>Z29+Z35+Z45+Z46</f>
        <v/>
      </c>
      <c r="AA47" s="10">
        <f>AA29+AA35+AA45+AA46</f>
        <v/>
      </c>
      <c r="AB47" s="10">
        <f>AB29+AB35+AB45+AB46</f>
        <v/>
      </c>
      <c r="AC47" s="10">
        <f>AC29+AC35+AC45+AC46</f>
        <v/>
      </c>
      <c r="AD47" s="10">
        <f>AD29+AD35+AD45+AD46</f>
        <v/>
      </c>
      <c r="AE47" s="10">
        <f>AE29+AE35+AE45+AE46</f>
        <v/>
      </c>
      <c r="AF47" s="10">
        <f>AF29+AF35+AF45+AF46</f>
        <v/>
      </c>
      <c r="AG47" s="10">
        <f>AG29+AG35+AG45+AG46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 — Growth %</t>
        </is>
      </c>
      <c r="F2" s="11">
        <f>IFERROR('QTR P&amp;L'!F2/'QTR P&amp;L'!B2-1,"")</f>
        <v/>
      </c>
      <c r="G2" s="11">
        <f>IFERROR('QTR P&amp;L'!G2/'QTR P&amp;L'!C2-1,"")</f>
        <v/>
      </c>
      <c r="H2" s="11">
        <f>IFERROR('QTR P&amp;L'!H2/'QTR P&amp;L'!D2-1,"")</f>
        <v/>
      </c>
      <c r="I2" s="11">
        <f>IFERROR('QTR P&amp;L'!I2/'QTR P&amp;L'!E2-1,"")</f>
        <v/>
      </c>
      <c r="J2" s="11">
        <f>IFERROR('QTR P&amp;L'!J2/'QTR P&amp;L'!F2-1,"")</f>
        <v/>
      </c>
      <c r="K2" s="11">
        <f>IFERROR('QTR P&amp;L'!K2/'QTR P&amp;L'!G2-1,"")</f>
        <v/>
      </c>
      <c r="L2" s="11">
        <f>IFERROR('QTR P&amp;L'!L2/'QTR P&amp;L'!H2-1,"")</f>
        <v/>
      </c>
      <c r="M2" s="11">
        <f>IFERROR('QTR P&amp;L'!M2/'QTR P&amp;L'!I2-1,"")</f>
        <v/>
      </c>
      <c r="N2" s="11">
        <f>IFERROR('QTR P&amp;L'!N2/'QTR P&amp;L'!J2-1,"")</f>
        <v/>
      </c>
      <c r="O2" s="11">
        <f>IFERROR('QTR P&amp;L'!O2/'QTR P&amp;L'!K2-1,"")</f>
        <v/>
      </c>
      <c r="P2" s="11">
        <f>IFERROR('QTR P&amp;L'!P2/'QTR P&amp;L'!L2-1,"")</f>
        <v/>
      </c>
      <c r="Q2" s="11">
        <f>IFERROR('QTR P&amp;L'!Q2/'QTR P&amp;L'!M2-1,"")</f>
        <v/>
      </c>
      <c r="R2" s="12">
        <f>Q2</f>
        <v/>
      </c>
      <c r="S2" s="12">
        <f>Q2</f>
        <v/>
      </c>
      <c r="T2" s="12">
        <f>Q2</f>
        <v/>
      </c>
      <c r="U2" s="12">
        <f>Q2</f>
        <v/>
      </c>
      <c r="V2" s="12">
        <f>Q2</f>
        <v/>
      </c>
      <c r="W2" s="12">
        <f>Q2</f>
        <v/>
      </c>
      <c r="X2" s="12">
        <f>Q2</f>
        <v/>
      </c>
      <c r="Y2" s="12">
        <f>Q2</f>
        <v/>
      </c>
      <c r="Z2" s="12">
        <f>Q2</f>
        <v/>
      </c>
      <c r="AA2" s="12">
        <f>Q2</f>
        <v/>
      </c>
      <c r="AB2" s="12">
        <f>Q2</f>
        <v/>
      </c>
      <c r="AC2" s="12">
        <f>Q2</f>
        <v/>
      </c>
      <c r="AD2" s="12">
        <f>Q2</f>
        <v/>
      </c>
      <c r="AE2" s="12">
        <f>Q2</f>
        <v/>
      </c>
      <c r="AF2" s="12">
        <f>Q2</f>
        <v/>
      </c>
      <c r="AG2" s="12">
        <f>Q2</f>
        <v/>
      </c>
    </row>
    <row r="3">
      <c r="A3" s="3" t="inlineStr">
        <is>
          <t>COGS — % of Revenue</t>
        </is>
      </c>
      <c r="B3" s="11">
        <f>IFERROR('QTR P&amp;L'!B3/'QTR P&amp;L'!B2,"")</f>
        <v/>
      </c>
      <c r="C3" s="11">
        <f>IFERROR('QTR P&amp;L'!C3/'QTR P&amp;L'!C2,"")</f>
        <v/>
      </c>
      <c r="D3" s="11">
        <f>IFERROR('QTR P&amp;L'!D3/'QTR P&amp;L'!D2,"")</f>
        <v/>
      </c>
      <c r="E3" s="11">
        <f>IFERROR('QTR P&amp;L'!E3/'QTR P&amp;L'!E2,"")</f>
        <v/>
      </c>
      <c r="F3" s="11">
        <f>IFERROR('QTR P&amp;L'!F3/'QTR P&amp;L'!F2,"")</f>
        <v/>
      </c>
      <c r="G3" s="11">
        <f>IFERROR('QTR P&amp;L'!G3/'QTR P&amp;L'!G2,"")</f>
        <v/>
      </c>
      <c r="H3" s="11">
        <f>IFERROR('QTR P&amp;L'!H3/'QTR P&amp;L'!H2,"")</f>
        <v/>
      </c>
      <c r="I3" s="11">
        <f>IFERROR('QTR P&amp;L'!I3/'QTR P&amp;L'!I2,"")</f>
        <v/>
      </c>
      <c r="J3" s="11">
        <f>IFERROR('QTR P&amp;L'!J3/'QTR P&amp;L'!J2,"")</f>
        <v/>
      </c>
      <c r="K3" s="11">
        <f>IFERROR('QTR P&amp;L'!K3/'QTR P&amp;L'!K2,"")</f>
        <v/>
      </c>
      <c r="L3" s="11">
        <f>IFERROR('QTR P&amp;L'!L3/'QTR P&amp;L'!L2,"")</f>
        <v/>
      </c>
      <c r="M3" s="11">
        <f>IFERROR('QTR P&amp;L'!M3/'QTR P&amp;L'!M2,"")</f>
        <v/>
      </c>
      <c r="N3" s="11">
        <f>IFERROR('QTR P&amp;L'!N3/'QTR P&amp;L'!N2,"")</f>
        <v/>
      </c>
      <c r="O3" s="11">
        <f>IFERROR('QTR P&amp;L'!O3/'QTR P&amp;L'!O2,"")</f>
        <v/>
      </c>
      <c r="P3" s="11">
        <f>IFERROR('QTR P&amp;L'!P3/'QTR P&amp;L'!P2,"")</f>
        <v/>
      </c>
      <c r="Q3" s="11">
        <f>IFERROR('QTR P&amp;L'!Q3/'QTR P&amp;L'!Q2,"")</f>
        <v/>
      </c>
      <c r="R3" s="12">
        <f>Q3</f>
        <v/>
      </c>
      <c r="S3" s="12">
        <f>Q3</f>
        <v/>
      </c>
      <c r="T3" s="12">
        <f>Q3</f>
        <v/>
      </c>
      <c r="U3" s="12">
        <f>Q3</f>
        <v/>
      </c>
      <c r="V3" s="12">
        <f>Q3</f>
        <v/>
      </c>
      <c r="W3" s="12">
        <f>Q3</f>
        <v/>
      </c>
      <c r="X3" s="12">
        <f>Q3</f>
        <v/>
      </c>
      <c r="Y3" s="12">
        <f>Q3</f>
        <v/>
      </c>
      <c r="Z3" s="12">
        <f>Q3</f>
        <v/>
      </c>
      <c r="AA3" s="12">
        <f>Q3</f>
        <v/>
      </c>
      <c r="AB3" s="12">
        <f>Q3</f>
        <v/>
      </c>
      <c r="AC3" s="12">
        <f>Q3</f>
        <v/>
      </c>
      <c r="AD3" s="12">
        <f>Q3</f>
        <v/>
      </c>
      <c r="AE3" s="12">
        <f>Q3</f>
        <v/>
      </c>
      <c r="AF3" s="12">
        <f>Q3</f>
        <v/>
      </c>
      <c r="AG3" s="12">
        <f>Q3</f>
        <v/>
      </c>
    </row>
    <row r="4">
      <c r="A4" s="3" t="inlineStr">
        <is>
          <t>SG&amp;A — % of Revenue</t>
        </is>
      </c>
      <c r="B4" s="11">
        <f>IFERROR('QTR P&amp;L'!B5/'QTR P&amp;L'!B2,"")</f>
        <v/>
      </c>
      <c r="C4" s="11">
        <f>IFERROR('QTR P&amp;L'!C5/'QTR P&amp;L'!C2,"")</f>
        <v/>
      </c>
      <c r="D4" s="11">
        <f>IFERROR('QTR P&amp;L'!D5/'QTR P&amp;L'!D2,"")</f>
        <v/>
      </c>
      <c r="E4" s="11">
        <f>IFERROR('QTR P&amp;L'!E5/'QTR P&amp;L'!E2,"")</f>
        <v/>
      </c>
      <c r="F4" s="11">
        <f>IFERROR('QTR P&amp;L'!F5/'QTR P&amp;L'!F2,"")</f>
        <v/>
      </c>
      <c r="G4" s="11">
        <f>IFERROR('QTR P&amp;L'!G5/'QTR P&amp;L'!G2,"")</f>
        <v/>
      </c>
      <c r="H4" s="11">
        <f>IFERROR('QTR P&amp;L'!H5/'QTR P&amp;L'!H2,"")</f>
        <v/>
      </c>
      <c r="I4" s="11">
        <f>IFERROR('QTR P&amp;L'!I5/'QTR P&amp;L'!I2,"")</f>
        <v/>
      </c>
      <c r="J4" s="11">
        <f>IFERROR('QTR P&amp;L'!J5/'QTR P&amp;L'!J2,"")</f>
        <v/>
      </c>
      <c r="K4" s="11">
        <f>IFERROR('QTR P&amp;L'!K5/'QTR P&amp;L'!K2,"")</f>
        <v/>
      </c>
      <c r="L4" s="11">
        <f>IFERROR('QTR P&amp;L'!L5/'QTR P&amp;L'!L2,"")</f>
        <v/>
      </c>
      <c r="M4" s="11">
        <f>IFERROR('QTR P&amp;L'!M5/'QTR P&amp;L'!M2,"")</f>
        <v/>
      </c>
      <c r="N4" s="11">
        <f>IFERROR('QTR P&amp;L'!N5/'QTR P&amp;L'!N2,"")</f>
        <v/>
      </c>
      <c r="O4" s="11">
        <f>IFERROR('QTR P&amp;L'!O5/'QTR P&amp;L'!O2,"")</f>
        <v/>
      </c>
      <c r="P4" s="11">
        <f>IFERROR('QTR P&amp;L'!P5/'QTR P&amp;L'!P2,"")</f>
        <v/>
      </c>
      <c r="Q4" s="11">
        <f>IFERROR('QTR P&amp;L'!Q5/'QTR P&amp;L'!Q2,"")</f>
        <v/>
      </c>
      <c r="R4" s="12">
        <f>Q4</f>
        <v/>
      </c>
      <c r="S4" s="12">
        <f>Q4</f>
        <v/>
      </c>
      <c r="T4" s="12">
        <f>Q4</f>
        <v/>
      </c>
      <c r="U4" s="12">
        <f>Q4</f>
        <v/>
      </c>
      <c r="V4" s="12">
        <f>Q4</f>
        <v/>
      </c>
      <c r="W4" s="12">
        <f>Q4</f>
        <v/>
      </c>
      <c r="X4" s="12">
        <f>Q4</f>
        <v/>
      </c>
      <c r="Y4" s="12">
        <f>Q4</f>
        <v/>
      </c>
      <c r="Z4" s="12">
        <f>Q4</f>
        <v/>
      </c>
      <c r="AA4" s="12">
        <f>Q4</f>
        <v/>
      </c>
      <c r="AB4" s="12">
        <f>Q4</f>
        <v/>
      </c>
      <c r="AC4" s="12">
        <f>Q4</f>
        <v/>
      </c>
      <c r="AD4" s="12">
        <f>Q4</f>
        <v/>
      </c>
      <c r="AE4" s="12">
        <f>Q4</f>
        <v/>
      </c>
      <c r="AF4" s="12">
        <f>Q4</f>
        <v/>
      </c>
      <c r="AG4" s="12">
        <f>Q4</f>
        <v/>
      </c>
    </row>
    <row r="5">
      <c r="A5" s="3" t="inlineStr">
        <is>
          <t>Distributor Termination Fees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Interest Income (Expense)</t>
        </is>
      </c>
      <c r="B6" s="4">
        <f>'QTR P&amp;L'!B8</f>
        <v/>
      </c>
      <c r="C6" s="4">
        <f>'QTR P&amp;L'!C8</f>
        <v/>
      </c>
      <c r="D6" s="4">
        <f>'QTR P&amp;L'!D8</f>
        <v/>
      </c>
      <c r="E6" s="4">
        <f>'QTR P&amp;L'!E8</f>
        <v/>
      </c>
      <c r="F6" s="4">
        <f>'QTR P&amp;L'!F8</f>
        <v/>
      </c>
      <c r="G6" s="4">
        <f>'QTR P&amp;L'!G8</f>
        <v/>
      </c>
      <c r="H6" s="4">
        <f>'QTR P&amp;L'!H8</f>
        <v/>
      </c>
      <c r="I6" s="4">
        <f>'QTR P&amp;L'!I8</f>
        <v/>
      </c>
      <c r="J6" s="4">
        <f>'QTR P&amp;L'!J8</f>
        <v/>
      </c>
      <c r="K6" s="4">
        <f>'QTR P&amp;L'!K8</f>
        <v/>
      </c>
      <c r="L6" s="4">
        <f>'QTR P&amp;L'!L8</f>
        <v/>
      </c>
      <c r="M6" s="4">
        <f>'QTR P&amp;L'!M8</f>
        <v/>
      </c>
      <c r="N6" s="4">
        <f>'QTR P&amp;L'!N8</f>
        <v/>
      </c>
      <c r="O6" s="4">
        <f>'QTR P&amp;L'!O8</f>
        <v/>
      </c>
      <c r="P6" s="4">
        <f>'QTR P&amp;L'!P8</f>
        <v/>
      </c>
      <c r="Q6" s="4">
        <f>'QTR P&amp;L'!Q8</f>
        <v/>
      </c>
      <c r="R6" s="13">
        <f>Q6</f>
        <v/>
      </c>
      <c r="S6" s="13">
        <f>Q6</f>
        <v/>
      </c>
      <c r="T6" s="13">
        <f>Q6</f>
        <v/>
      </c>
      <c r="U6" s="13">
        <f>Q6</f>
        <v/>
      </c>
      <c r="V6" s="13">
        <f>Q6</f>
        <v/>
      </c>
      <c r="W6" s="13">
        <f>Q6</f>
        <v/>
      </c>
      <c r="X6" s="13">
        <f>Q6</f>
        <v/>
      </c>
      <c r="Y6" s="13">
        <f>Q6</f>
        <v/>
      </c>
      <c r="Z6" s="13">
        <f>Q6</f>
        <v/>
      </c>
      <c r="AA6" s="13">
        <f>Q6</f>
        <v/>
      </c>
      <c r="AB6" s="13">
        <f>Q6</f>
        <v/>
      </c>
      <c r="AC6" s="13">
        <f>Q6</f>
        <v/>
      </c>
      <c r="AD6" s="13">
        <f>Q6</f>
        <v/>
      </c>
      <c r="AE6" s="13">
        <f>Q6</f>
        <v/>
      </c>
      <c r="AF6" s="13">
        <f>Q6</f>
        <v/>
      </c>
      <c r="AG6" s="13">
        <f>Q6</f>
        <v/>
      </c>
    </row>
    <row r="7">
      <c r="A7" s="3" t="inlineStr">
        <is>
          <t>Foreign Currency Gain (Loss)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13">
        <f>Q7</f>
        <v/>
      </c>
      <c r="S7" s="13">
        <f>Q7</f>
        <v/>
      </c>
      <c r="T7" s="13">
        <f>Q7</f>
        <v/>
      </c>
      <c r="U7" s="13">
        <f>Q7</f>
        <v/>
      </c>
      <c r="V7" s="13">
        <f>Q7</f>
        <v/>
      </c>
      <c r="W7" s="13">
        <f>Q7</f>
        <v/>
      </c>
      <c r="X7" s="13">
        <f>Q7</f>
        <v/>
      </c>
      <c r="Y7" s="13">
        <f>Q7</f>
        <v/>
      </c>
      <c r="Z7" s="13">
        <f>Q7</f>
        <v/>
      </c>
      <c r="AA7" s="13">
        <f>Q7</f>
        <v/>
      </c>
      <c r="AB7" s="13">
        <f>Q7</f>
        <v/>
      </c>
      <c r="AC7" s="13">
        <f>Q7</f>
        <v/>
      </c>
      <c r="AD7" s="13">
        <f>Q7</f>
        <v/>
      </c>
      <c r="AE7" s="13">
        <f>Q7</f>
        <v/>
      </c>
      <c r="AF7" s="13">
        <f>Q7</f>
        <v/>
      </c>
      <c r="AG7" s="13">
        <f>Q7</f>
        <v/>
      </c>
    </row>
    <row r="8">
      <c r="A8" s="3" t="inlineStr">
        <is>
          <t>Other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13">
        <f>Q8</f>
        <v/>
      </c>
      <c r="S8" s="13">
        <f>Q8</f>
        <v/>
      </c>
      <c r="T8" s="13">
        <f>Q8</f>
        <v/>
      </c>
      <c r="U8" s="13">
        <f>Q8</f>
        <v/>
      </c>
      <c r="V8" s="13">
        <f>Q8</f>
        <v/>
      </c>
      <c r="W8" s="13">
        <f>Q8</f>
        <v/>
      </c>
      <c r="X8" s="13">
        <f>Q8</f>
        <v/>
      </c>
      <c r="Y8" s="13">
        <f>Q8</f>
        <v/>
      </c>
      <c r="Z8" s="13">
        <f>Q8</f>
        <v/>
      </c>
      <c r="AA8" s="13">
        <f>Q8</f>
        <v/>
      </c>
      <c r="AB8" s="13">
        <f>Q8</f>
        <v/>
      </c>
      <c r="AC8" s="13">
        <f>Q8</f>
        <v/>
      </c>
      <c r="AD8" s="13">
        <f>Q8</f>
        <v/>
      </c>
      <c r="AE8" s="13">
        <f>Q8</f>
        <v/>
      </c>
      <c r="AF8" s="13">
        <f>Q8</f>
        <v/>
      </c>
      <c r="AG8" s="13">
        <f>Q8</f>
        <v/>
      </c>
    </row>
    <row r="9">
      <c r="A9" s="3" t="inlineStr">
        <is>
          <t>Income Tax (Expense) Benefit — Effective Tax Rate %</t>
        </is>
      </c>
      <c r="B9" s="11">
        <f>IFERROR('QTR P&amp;L'!B12/'QTR P&amp;L'!B11,"")</f>
        <v/>
      </c>
      <c r="C9" s="11">
        <f>IFERROR('QTR P&amp;L'!C12/'QTR P&amp;L'!C11,"")</f>
        <v/>
      </c>
      <c r="D9" s="11">
        <f>IFERROR('QTR P&amp;L'!D12/'QTR P&amp;L'!D11,"")</f>
        <v/>
      </c>
      <c r="E9" s="11">
        <f>IFERROR('QTR P&amp;L'!E12/'QTR P&amp;L'!E11,"")</f>
        <v/>
      </c>
      <c r="F9" s="11">
        <f>IFERROR('QTR P&amp;L'!F12/'QTR P&amp;L'!F11,"")</f>
        <v/>
      </c>
      <c r="G9" s="11">
        <f>IFERROR('QTR P&amp;L'!G12/'QTR P&amp;L'!G11,"")</f>
        <v/>
      </c>
      <c r="H9" s="11">
        <f>IFERROR('QTR P&amp;L'!H12/'QTR P&amp;L'!H11,"")</f>
        <v/>
      </c>
      <c r="I9" s="11">
        <f>IFERROR('QTR P&amp;L'!I12/'QTR P&amp;L'!I11,"")</f>
        <v/>
      </c>
      <c r="J9" s="11">
        <f>IFERROR('QTR P&amp;L'!J12/'QTR P&amp;L'!J11,"")</f>
        <v/>
      </c>
      <c r="K9" s="11">
        <f>IFERROR('QTR P&amp;L'!K12/'QTR P&amp;L'!K11,"")</f>
        <v/>
      </c>
      <c r="L9" s="11">
        <f>IFERROR('QTR P&amp;L'!L12/'QTR P&amp;L'!L11,"")</f>
        <v/>
      </c>
      <c r="M9" s="11">
        <f>IFERROR('QTR P&amp;L'!M12/'QTR P&amp;L'!M11,"")</f>
        <v/>
      </c>
      <c r="N9" s="11">
        <f>IFERROR('QTR P&amp;L'!N12/'QTR P&amp;L'!N11,"")</f>
        <v/>
      </c>
      <c r="O9" s="11">
        <f>IFERROR('QTR P&amp;L'!O12/'QTR P&amp;L'!O11,"")</f>
        <v/>
      </c>
      <c r="P9" s="11">
        <f>IFERROR('QTR P&amp;L'!P12/'QTR P&amp;L'!P11,"")</f>
        <v/>
      </c>
      <c r="Q9" s="11">
        <f>IFERROR('QTR P&amp;L'!Q12/'QTR P&amp;L'!Q11,"")</f>
        <v/>
      </c>
      <c r="R9" s="12">
        <f>Q9</f>
        <v/>
      </c>
      <c r="S9" s="12">
        <f>Q9</f>
        <v/>
      </c>
      <c r="T9" s="12">
        <f>Q9</f>
        <v/>
      </c>
      <c r="U9" s="12">
        <f>Q9</f>
        <v/>
      </c>
      <c r="V9" s="12">
        <f>Q9</f>
        <v/>
      </c>
      <c r="W9" s="12">
        <f>Q9</f>
        <v/>
      </c>
      <c r="X9" s="12">
        <f>Q9</f>
        <v/>
      </c>
      <c r="Y9" s="12">
        <f>Q9</f>
        <v/>
      </c>
      <c r="Z9" s="12">
        <f>Q9</f>
        <v/>
      </c>
      <c r="AA9" s="12">
        <f>Q9</f>
        <v/>
      </c>
      <c r="AB9" s="12">
        <f>Q9</f>
        <v/>
      </c>
      <c r="AC9" s="12">
        <f>Q9</f>
        <v/>
      </c>
      <c r="AD9" s="12">
        <f>Q9</f>
        <v/>
      </c>
      <c r="AE9" s="12">
        <f>Q9</f>
        <v/>
      </c>
      <c r="AF9" s="12">
        <f>Q9</f>
        <v/>
      </c>
      <c r="AG9" s="12">
        <f>Q9</f>
        <v/>
      </c>
    </row>
    <row r="10">
      <c r="A10" s="3" t="inlineStr">
        <is>
          <t>Net Income (Loss) Attributable to Common Shareholders — % of Revenue</t>
        </is>
      </c>
      <c r="B10" s="11">
        <f>IFERROR('QTR P&amp;L'!B16/'QTR P&amp;L'!B2,"")</f>
        <v/>
      </c>
      <c r="C10" s="11">
        <f>IFERROR('QTR P&amp;L'!C16/'QTR P&amp;L'!C2,"")</f>
        <v/>
      </c>
      <c r="D10" s="11">
        <f>IFERROR('QTR P&amp;L'!D16/'QTR P&amp;L'!D2,"")</f>
        <v/>
      </c>
      <c r="E10" s="11">
        <f>IFERROR('QTR P&amp;L'!E16/'QTR P&amp;L'!E2,"")</f>
        <v/>
      </c>
      <c r="F10" s="11">
        <f>IFERROR('QTR P&amp;L'!F16/'QTR P&amp;L'!F2,"")</f>
        <v/>
      </c>
      <c r="G10" s="11">
        <f>IFERROR('QTR P&amp;L'!G16/'QTR P&amp;L'!G2,"")</f>
        <v/>
      </c>
      <c r="H10" s="11">
        <f>IFERROR('QTR P&amp;L'!H16/'QTR P&amp;L'!H2,"")</f>
        <v/>
      </c>
      <c r="I10" s="11">
        <f>IFERROR('QTR P&amp;L'!I16/'QTR P&amp;L'!I2,"")</f>
        <v/>
      </c>
      <c r="J10" s="11">
        <f>IFERROR('QTR P&amp;L'!J16/'QTR P&amp;L'!J2,"")</f>
        <v/>
      </c>
      <c r="K10" s="11">
        <f>IFERROR('QTR P&amp;L'!K16/'QTR P&amp;L'!K2,"")</f>
        <v/>
      </c>
      <c r="L10" s="11">
        <f>IFERROR('QTR P&amp;L'!L16/'QTR P&amp;L'!L2,"")</f>
        <v/>
      </c>
      <c r="M10" s="11">
        <f>IFERROR('QTR P&amp;L'!M16/'QTR P&amp;L'!M2,"")</f>
        <v/>
      </c>
      <c r="N10" s="11">
        <f>IFERROR('QTR P&amp;L'!N16/'QTR P&amp;L'!N2,"")</f>
        <v/>
      </c>
      <c r="O10" s="11">
        <f>IFERROR('QTR P&amp;L'!O16/'QTR P&amp;L'!O2,"")</f>
        <v/>
      </c>
      <c r="P10" s="11">
        <f>IFERROR('QTR P&amp;L'!P16/'QTR P&amp;L'!P2,"")</f>
        <v/>
      </c>
      <c r="Q10" s="11">
        <f>IFERROR('QTR P&amp;L'!Q16/'QTR P&amp;L'!Q2,"")</f>
        <v/>
      </c>
      <c r="R10" s="12">
        <f>Q10</f>
        <v/>
      </c>
      <c r="S10" s="12">
        <f>Q10</f>
        <v/>
      </c>
      <c r="T10" s="12">
        <f>Q10</f>
        <v/>
      </c>
      <c r="U10" s="12">
        <f>Q10</f>
        <v/>
      </c>
      <c r="V10" s="12">
        <f>Q10</f>
        <v/>
      </c>
      <c r="W10" s="12">
        <f>Q10</f>
        <v/>
      </c>
      <c r="X10" s="12">
        <f>Q10</f>
        <v/>
      </c>
      <c r="Y10" s="12">
        <f>Q10</f>
        <v/>
      </c>
      <c r="Z10" s="12">
        <f>Q10</f>
        <v/>
      </c>
      <c r="AA10" s="12">
        <f>Q10</f>
        <v/>
      </c>
      <c r="AB10" s="12">
        <f>Q10</f>
        <v/>
      </c>
      <c r="AC10" s="12">
        <f>Q10</f>
        <v/>
      </c>
      <c r="AD10" s="12">
        <f>Q10</f>
        <v/>
      </c>
      <c r="AE10" s="12">
        <f>Q10</f>
        <v/>
      </c>
      <c r="AF10" s="12">
        <f>Q10</f>
        <v/>
      </c>
      <c r="AG10" s="12">
        <f>Q10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CF'!R47</f>
        <v/>
      </c>
      <c r="P2" s="4">
        <f>O2+'QTR CF'!S47</f>
        <v/>
      </c>
      <c r="Q2" s="4">
        <f>P2+'QTR CF'!T47</f>
        <v/>
      </c>
      <c r="R2" s="4">
        <f>Q2+'QTR CF'!U47</f>
        <v/>
      </c>
      <c r="S2" s="4">
        <f>R2+'QTR CF'!V47</f>
        <v/>
      </c>
      <c r="T2" s="4">
        <f>S2+'QTR CF'!W47</f>
        <v/>
      </c>
      <c r="U2" s="4">
        <f>T2+'QTR CF'!X47</f>
        <v/>
      </c>
      <c r="V2" s="4">
        <f>U2+'QTR CF'!Y47</f>
        <v/>
      </c>
      <c r="W2" s="4">
        <f>V2+'QTR CF'!Z47</f>
        <v/>
      </c>
      <c r="X2" s="4">
        <f>W2+'QTR CF'!AA47</f>
        <v/>
      </c>
      <c r="Y2" s="4">
        <f>X2+'QTR CF'!AB47</f>
        <v/>
      </c>
      <c r="Z2" s="4">
        <f>Y2+'QTR CF'!AC47</f>
        <v/>
      </c>
      <c r="AA2" s="4">
        <f>Z2+'QTR CF'!AD47</f>
        <v/>
      </c>
      <c r="AB2" s="4">
        <f>AA2+'QTR CF'!AE47</f>
        <v/>
      </c>
      <c r="AC2" s="4">
        <f>AB2+'QTR CF'!AF47</f>
        <v/>
      </c>
      <c r="AD2" s="4">
        <f>AC2+'QTR CF'!AG47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</row>
    <row r="4">
      <c r="A4" s="3" t="inlineStr">
        <is>
          <t>Accounts Receivable — DSO (days)</t>
        </is>
      </c>
      <c r="B4" s="14">
        <f>IFERROR('QTR BS'!B4/'QTR P&amp;L'!B2*ASSUMPTIONS!$B$2,"")</f>
        <v/>
      </c>
      <c r="C4" s="14">
        <f>IFERROR('QTR BS'!C4/'QTR P&amp;L'!C2*ASSUMPTIONS!$B$2,"")</f>
        <v/>
      </c>
      <c r="D4" s="14">
        <f>IFERROR('QTR BS'!D4/'QTR P&amp;L'!D2*ASSUMPTIONS!$B$2,"")</f>
        <v/>
      </c>
      <c r="E4" s="14">
        <f>IFERROR('QTR BS'!E4/'QTR P&amp;L'!E2*ASSUMPTIONS!$B$2,"")</f>
        <v/>
      </c>
      <c r="F4" s="14">
        <f>IFERROR('QTR BS'!F4/'QTR P&amp;L'!F2*ASSUMPTIONS!$B$2,"")</f>
        <v/>
      </c>
      <c r="G4" s="14">
        <f>IFERROR('QTR BS'!G4/'QTR P&amp;L'!G2*ASSUMPTIONS!$B$2,"")</f>
        <v/>
      </c>
      <c r="H4" s="14">
        <f>IFERROR('QTR BS'!H4/'QTR P&amp;L'!H2*ASSUMPTIONS!$B$2,"")</f>
        <v/>
      </c>
      <c r="I4" s="14">
        <f>IFERROR('QTR BS'!I4/'QTR P&amp;L'!I2*ASSUMPTIONS!$B$2,"")</f>
        <v/>
      </c>
      <c r="J4" s="14">
        <f>IFERROR('QTR BS'!J4/'QTR P&amp;L'!J2*ASSUMPTIONS!$B$2,"")</f>
        <v/>
      </c>
      <c r="K4" s="14">
        <f>IFERROR('QTR BS'!K4/'QTR P&amp;L'!K2*ASSUMPTIONS!$B$2,"")</f>
        <v/>
      </c>
      <c r="L4" s="14">
        <f>IFERROR('QTR BS'!L4/'QTR P&amp;L'!L2*ASSUMPTIONS!$B$2,"")</f>
        <v/>
      </c>
      <c r="M4" s="14">
        <f>IFERROR('QTR BS'!M4/'QTR P&amp;L'!M2*ASSUMPTIONS!$B$2,"")</f>
        <v/>
      </c>
      <c r="N4" s="14">
        <f>IFERROR('QTR BS'!N4/'QTR P&amp;L'!N2*ASSUMPTIONS!$B$2,"")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P&amp;L'!B2*ASSUMPTIONS!$B$2,"")</f>
        <v/>
      </c>
      <c r="C5" s="14">
        <f>IFERROR('QTR BS'!C5/'QTR P&amp;L'!C2*ASSUMPTIONS!$B$2,"")</f>
        <v/>
      </c>
      <c r="D5" s="14">
        <f>IFERROR('QTR BS'!D5/'QTR P&amp;L'!D2*ASSUMPTIONS!$B$2,"")</f>
        <v/>
      </c>
      <c r="E5" s="14">
        <f>IFERROR('QTR BS'!E5/'QTR P&amp;L'!E2*ASSUMPTIONS!$B$2,"")</f>
        <v/>
      </c>
      <c r="F5" s="14">
        <f>IFERROR('QTR BS'!F5/'QTR P&amp;L'!F2*ASSUMPTIONS!$B$2,"")</f>
        <v/>
      </c>
      <c r="G5" s="14">
        <f>IFERROR('QTR BS'!G5/'QTR P&amp;L'!G2*ASSUMPTIONS!$B$2,"")</f>
        <v/>
      </c>
      <c r="H5" s="14">
        <f>IFERROR('QTR BS'!H5/'QTR P&amp;L'!H2*ASSUMPTIONS!$B$2,"")</f>
        <v/>
      </c>
      <c r="I5" s="14">
        <f>IFERROR('QTR BS'!I5/'QTR P&amp;L'!I2*ASSUMPTIONS!$B$2,"")</f>
        <v/>
      </c>
      <c r="J5" s="14">
        <f>IFERROR('QTR BS'!J5/'QTR P&amp;L'!J2*ASSUMPTIONS!$B$2,"")</f>
        <v/>
      </c>
      <c r="K5" s="14">
        <f>IFERROR('QTR BS'!K5/'QTR P&amp;L'!K2*ASSUMPTIONS!$B$2,"")</f>
        <v/>
      </c>
      <c r="L5" s="14">
        <f>IFERROR('QTR BS'!L5/'QTR P&amp;L'!L2*ASSUMPTIONS!$B$2,"")</f>
        <v/>
      </c>
      <c r="M5" s="14">
        <f>IFERROR('QTR BS'!M5/'QTR P&amp;L'!M2*ASSUMPTIONS!$B$2,"")</f>
        <v/>
      </c>
      <c r="N5" s="14">
        <f>IFERROR('QTR BS'!N5/'QTR P&amp;L'!N2*ASSUMPTIONS!$B$2,"")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</row>
    <row r="6">
      <c r="A6" s="3" t="inlineStr">
        <is>
          <t>Inventories — DIO (days)</t>
        </is>
      </c>
      <c r="B6" s="14">
        <f>IFERROR('QTR BS'!B6/'QTR P&amp;L'!B3*ASSUMPTIONS!$B$2,"")</f>
        <v/>
      </c>
      <c r="C6" s="14">
        <f>IFERROR('QTR BS'!C6/'QTR P&amp;L'!C3*ASSUMPTIONS!$B$2,"")</f>
        <v/>
      </c>
      <c r="D6" s="14">
        <f>IFERROR('QTR BS'!D6/'QTR P&amp;L'!D3*ASSUMPTIONS!$B$2,"")</f>
        <v/>
      </c>
      <c r="E6" s="14">
        <f>IFERROR('QTR BS'!E6/'QTR P&amp;L'!E3*ASSUMPTIONS!$B$2,"")</f>
        <v/>
      </c>
      <c r="F6" s="14">
        <f>IFERROR('QTR BS'!F6/'QTR P&amp;L'!F3*ASSUMPTIONS!$B$2,"")</f>
        <v/>
      </c>
      <c r="G6" s="14">
        <f>IFERROR('QTR BS'!G6/'QTR P&amp;L'!G3*ASSUMPTIONS!$B$2,"")</f>
        <v/>
      </c>
      <c r="H6" s="14">
        <f>IFERROR('QTR BS'!H6/'QTR P&amp;L'!H3*ASSUMPTIONS!$B$2,"")</f>
        <v/>
      </c>
      <c r="I6" s="14">
        <f>IFERROR('QTR BS'!I6/'QTR P&amp;L'!I3*ASSUMPTIONS!$B$2,"")</f>
        <v/>
      </c>
      <c r="J6" s="14">
        <f>IFERROR('QTR BS'!J6/'QTR P&amp;L'!J3*ASSUMPTIONS!$B$2,"")</f>
        <v/>
      </c>
      <c r="K6" s="14">
        <f>IFERROR('QTR BS'!K6/'QTR P&amp;L'!K3*ASSUMPTIONS!$B$2,"")</f>
        <v/>
      </c>
      <c r="L6" s="14">
        <f>IFERROR('QTR BS'!L6/'QTR P&amp;L'!L3*ASSUMPTIONS!$B$2,"")</f>
        <v/>
      </c>
      <c r="M6" s="14">
        <f>IFERROR('QTR BS'!M6/'QTR P&amp;L'!M3*ASSUMPTIONS!$B$2,"")</f>
        <v/>
      </c>
      <c r="N6" s="14">
        <f>IFERROR('QTR BS'!N6/'QTR P&amp;L'!N3*ASSUMPTIONS!$B$2,"")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</row>
    <row r="7">
      <c r="A7" s="3" t="inlineStr">
        <is>
          <t>Prepaid Expenses — % of Revenue</t>
        </is>
      </c>
      <c r="B7" s="11">
        <f>IFERROR('QTR BS'!B7/'QTR P&amp;L'!B2,"")</f>
        <v/>
      </c>
      <c r="C7" s="11">
        <f>IFERROR('QTR BS'!C7/'QTR P&amp;L'!C2,"")</f>
        <v/>
      </c>
      <c r="D7" s="11">
        <f>IFERROR('QTR BS'!D7/'QTR P&amp;L'!D2,"")</f>
        <v/>
      </c>
      <c r="E7" s="11">
        <f>IFERROR('QTR BS'!E7/'QTR P&amp;L'!E2,"")</f>
        <v/>
      </c>
      <c r="F7" s="11">
        <f>IFERROR('QTR BS'!F7/'QTR P&amp;L'!F2,"")</f>
        <v/>
      </c>
      <c r="G7" s="11">
        <f>IFERROR('QTR BS'!G7/'QTR P&amp;L'!G2,"")</f>
        <v/>
      </c>
      <c r="H7" s="11">
        <f>IFERROR('QTR BS'!H7/'QTR P&amp;L'!H2,"")</f>
        <v/>
      </c>
      <c r="I7" s="11">
        <f>IFERROR('QTR BS'!I7/'QTR P&amp;L'!I2,"")</f>
        <v/>
      </c>
      <c r="J7" s="11">
        <f>IFERROR('QTR BS'!J7/'QTR P&amp;L'!J2,"")</f>
        <v/>
      </c>
      <c r="K7" s="11">
        <f>IFERROR('QTR BS'!K7/'QTR P&amp;L'!K2,"")</f>
        <v/>
      </c>
      <c r="L7" s="11">
        <f>IFERROR('QTR BS'!L7/'QTR P&amp;L'!L2,"")</f>
        <v/>
      </c>
      <c r="M7" s="11">
        <f>IFERROR('QTR BS'!M7/'QTR P&amp;L'!M2,"")</f>
        <v/>
      </c>
      <c r="N7" s="11">
        <f>IFERROR('QTR BS'!N7/'QTR P&amp;L'!N2,"")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P&amp;L'!B2,"")</f>
        <v/>
      </c>
      <c r="C8" s="11">
        <f>IFERROR('QTR BS'!C8/'QTR P&amp;L'!C2,"")</f>
        <v/>
      </c>
      <c r="D8" s="11">
        <f>IFERROR('QTR BS'!D8/'QTR P&amp;L'!D2,"")</f>
        <v/>
      </c>
      <c r="E8" s="11">
        <f>IFERROR('QTR BS'!E8/'QTR P&amp;L'!E2,"")</f>
        <v/>
      </c>
      <c r="F8" s="11">
        <f>IFERROR('QTR BS'!F8/'QTR P&amp;L'!F2,"")</f>
        <v/>
      </c>
      <c r="G8" s="11">
        <f>IFERROR('QTR BS'!G8/'QTR P&amp;L'!G2,"")</f>
        <v/>
      </c>
      <c r="H8" s="11">
        <f>IFERROR('QTR BS'!H8/'QTR P&amp;L'!H2,"")</f>
        <v/>
      </c>
      <c r="I8" s="11">
        <f>IFERROR('QTR BS'!I8/'QTR P&amp;L'!I2,"")</f>
        <v/>
      </c>
      <c r="J8" s="11">
        <f>IFERROR('QTR BS'!J8/'QTR P&amp;L'!J2,"")</f>
        <v/>
      </c>
      <c r="K8" s="11">
        <f>IFERROR('QTR BS'!K8/'QTR P&amp;L'!K2,"")</f>
        <v/>
      </c>
      <c r="L8" s="11">
        <f>IFERROR('QTR BS'!L8/'QTR P&amp;L'!L2,"")</f>
        <v/>
      </c>
      <c r="M8" s="11">
        <f>IFERROR('QTR BS'!M8/'QTR P&amp;L'!M2,"")</f>
        <v/>
      </c>
      <c r="N8" s="11">
        <f>IFERROR('QTR BS'!N8/'QTR P&amp;L'!N2,"")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P&amp;L'!B2,"")</f>
        <v/>
      </c>
      <c r="C9" s="11">
        <f>IFERROR('QTR BS'!C10/'QTR P&amp;L'!C2,"")</f>
        <v/>
      </c>
      <c r="D9" s="11">
        <f>IFERROR('QTR BS'!D10/'QTR P&amp;L'!D2,"")</f>
        <v/>
      </c>
      <c r="E9" s="11">
        <f>IFERROR('QTR BS'!E10/'QTR P&amp;L'!E2,"")</f>
        <v/>
      </c>
      <c r="F9" s="11">
        <f>IFERROR('QTR BS'!F10/'QTR P&amp;L'!F2,"")</f>
        <v/>
      </c>
      <c r="G9" s="11">
        <f>IFERROR('QTR BS'!G10/'QTR P&amp;L'!G2,"")</f>
        <v/>
      </c>
      <c r="H9" s="11">
        <f>IFERROR('QTR BS'!H10/'QTR P&amp;L'!H2,"")</f>
        <v/>
      </c>
      <c r="I9" s="11">
        <f>IFERROR('QTR BS'!I10/'QTR P&amp;L'!I2,"")</f>
        <v/>
      </c>
      <c r="J9" s="11">
        <f>IFERROR('QTR BS'!J10/'QTR P&amp;L'!J2,"")</f>
        <v/>
      </c>
      <c r="K9" s="11">
        <f>IFERROR('QTR BS'!K10/'QTR P&amp;L'!K2,"")</f>
        <v/>
      </c>
      <c r="L9" s="11">
        <f>IFERROR('QTR BS'!L10/'QTR P&amp;L'!L2,"")</f>
        <v/>
      </c>
      <c r="M9" s="11">
        <f>IFERROR('QTR BS'!M10/'QTR P&amp;L'!M2,"")</f>
        <v/>
      </c>
      <c r="N9" s="11">
        <f>IFERROR('QTR BS'!N10/'QTR P&amp;L'!N2,"")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CF'!R31-'QTR CF'!R6</f>
        <v/>
      </c>
      <c r="P10" s="4">
        <f>O10-'QTR CF'!S31-'QTR CF'!S6</f>
        <v/>
      </c>
      <c r="Q10" s="4">
        <f>P10-'QTR CF'!T31-'QTR CF'!T6</f>
        <v/>
      </c>
      <c r="R10" s="4">
        <f>Q10-'QTR CF'!U31-'QTR CF'!U6</f>
        <v/>
      </c>
      <c r="S10" s="4">
        <f>R10-'QTR CF'!V31-'QTR CF'!V6</f>
        <v/>
      </c>
      <c r="T10" s="4">
        <f>S10-'QTR CF'!W31-'QTR CF'!W6</f>
        <v/>
      </c>
      <c r="U10" s="4">
        <f>T10-'QTR CF'!X31-'QTR CF'!X6</f>
        <v/>
      </c>
      <c r="V10" s="4">
        <f>U10-'QTR CF'!Y31-'QTR CF'!Y6</f>
        <v/>
      </c>
      <c r="W10" s="4">
        <f>V10-'QTR CF'!Z31-'QTR CF'!Z6</f>
        <v/>
      </c>
      <c r="X10" s="4">
        <f>W10-'QTR CF'!AA31-'QTR CF'!AA6</f>
        <v/>
      </c>
      <c r="Y10" s="4">
        <f>X10-'QTR CF'!AB31-'QTR CF'!AB6</f>
        <v/>
      </c>
      <c r="Z10" s="4">
        <f>Y10-'QTR CF'!AC31-'QTR CF'!AC6</f>
        <v/>
      </c>
      <c r="AA10" s="4">
        <f>Z10-'QTR CF'!AD31-'QTR CF'!AD6</f>
        <v/>
      </c>
      <c r="AB10" s="4">
        <f>AA10-'QTR CF'!AE31-'QTR CF'!AE6</f>
        <v/>
      </c>
      <c r="AC10" s="4">
        <f>AB10-'QTR CF'!AF31-'QTR CF'!AF6</f>
        <v/>
      </c>
      <c r="AD10" s="4">
        <f>AC10-'QTR CF'!AG31-'QTR CF'!AG6</f>
        <v/>
      </c>
    </row>
    <row r="11">
      <c r="A11" s="3" t="inlineStr">
        <is>
          <t>ROU Assets - Operating - Non-Current — % of Revenue</t>
        </is>
      </c>
      <c r="B11" s="11">
        <f>IFERROR('QTR BS'!B12/'QTR P&amp;L'!B2,"")</f>
        <v/>
      </c>
      <c r="C11" s="11">
        <f>IFERROR('QTR BS'!C12/'QTR P&amp;L'!C2,"")</f>
        <v/>
      </c>
      <c r="D11" s="11">
        <f>IFERROR('QTR BS'!D12/'QTR P&amp;L'!D2,"")</f>
        <v/>
      </c>
      <c r="E11" s="11">
        <f>IFERROR('QTR BS'!E12/'QTR P&amp;L'!E2,"")</f>
        <v/>
      </c>
      <c r="F11" s="11">
        <f>IFERROR('QTR BS'!F12/'QTR P&amp;L'!F2,"")</f>
        <v/>
      </c>
      <c r="G11" s="11">
        <f>IFERROR('QTR BS'!G12/'QTR P&amp;L'!G2,"")</f>
        <v/>
      </c>
      <c r="H11" s="11">
        <f>IFERROR('QTR BS'!H12/'QTR P&amp;L'!H2,"")</f>
        <v/>
      </c>
      <c r="I11" s="11">
        <f>IFERROR('QTR BS'!I12/'QTR P&amp;L'!I2,"")</f>
        <v/>
      </c>
      <c r="J11" s="11">
        <f>IFERROR('QTR BS'!J12/'QTR P&amp;L'!J2,"")</f>
        <v/>
      </c>
      <c r="K11" s="11">
        <f>IFERROR('QTR BS'!K12/'QTR P&amp;L'!K2,"")</f>
        <v/>
      </c>
      <c r="L11" s="11">
        <f>IFERROR('QTR BS'!L12/'QTR P&amp;L'!L2,"")</f>
        <v/>
      </c>
      <c r="M11" s="11">
        <f>IFERROR('QTR BS'!M12/'QTR P&amp;L'!M2,"")</f>
        <v/>
      </c>
      <c r="N11" s="11">
        <f>IFERROR('QTR BS'!N12/'QTR P&amp;L'!N2,"")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P&amp;L'!B2,"")</f>
        <v/>
      </c>
      <c r="C14" s="11">
        <f>IFERROR('QTR BS'!C15/'QTR P&amp;L'!C2,"")</f>
        <v/>
      </c>
      <c r="D14" s="11">
        <f>IFERROR('QTR BS'!D15/'QTR P&amp;L'!D2,"")</f>
        <v/>
      </c>
      <c r="E14" s="11">
        <f>IFERROR('QTR BS'!E15/'QTR P&amp;L'!E2,"")</f>
        <v/>
      </c>
      <c r="F14" s="11">
        <f>IFERROR('QTR BS'!F15/'QTR P&amp;L'!F2,"")</f>
        <v/>
      </c>
      <c r="G14" s="11">
        <f>IFERROR('QTR BS'!G15/'QTR P&amp;L'!G2,"")</f>
        <v/>
      </c>
      <c r="H14" s="11">
        <f>IFERROR('QTR BS'!H15/'QTR P&amp;L'!H2,"")</f>
        <v/>
      </c>
      <c r="I14" s="11">
        <f>IFERROR('QTR BS'!I15/'QTR P&amp;L'!I2,"")</f>
        <v/>
      </c>
      <c r="J14" s="11">
        <f>IFERROR('QTR BS'!J15/'QTR P&amp;L'!J2,"")</f>
        <v/>
      </c>
      <c r="K14" s="11">
        <f>IFERROR('QTR BS'!K15/'QTR P&amp;L'!K2,"")</f>
        <v/>
      </c>
      <c r="L14" s="11">
        <f>IFERROR('QTR BS'!L15/'QTR P&amp;L'!L2,"")</f>
        <v/>
      </c>
      <c r="M14" s="11">
        <f>IFERROR('QTR BS'!M15/'QTR P&amp;L'!M2,"")</f>
        <v/>
      </c>
      <c r="N14" s="11">
        <f>IFERROR('QTR BS'!N15/'QTR P&amp;L'!N2,"")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</row>
    <row r="16">
      <c r="A16" s="3" t="inlineStr">
        <is>
          <t>ROU Assets - Finance - Non-Current — % of Revenue</t>
        </is>
      </c>
      <c r="B16" s="11">
        <f>IFERROR('QTR BS'!B17/'QTR P&amp;L'!B2,"")</f>
        <v/>
      </c>
      <c r="C16" s="11">
        <f>IFERROR('QTR BS'!C17/'QTR P&amp;L'!C2,"")</f>
        <v/>
      </c>
      <c r="D16" s="11">
        <f>IFERROR('QTR BS'!D17/'QTR P&amp;L'!D2,"")</f>
        <v/>
      </c>
      <c r="E16" s="11">
        <f>IFERROR('QTR BS'!E17/'QTR P&amp;L'!E2,"")</f>
        <v/>
      </c>
      <c r="F16" s="11">
        <f>IFERROR('QTR BS'!F17/'QTR P&amp;L'!F2,"")</f>
        <v/>
      </c>
      <c r="G16" s="11">
        <f>IFERROR('QTR BS'!G17/'QTR P&amp;L'!G2,"")</f>
        <v/>
      </c>
      <c r="H16" s="11">
        <f>IFERROR('QTR BS'!H17/'QTR P&amp;L'!H2,"")</f>
        <v/>
      </c>
      <c r="I16" s="11">
        <f>IFERROR('QTR BS'!I17/'QTR P&amp;L'!I2,"")</f>
        <v/>
      </c>
      <c r="J16" s="11">
        <f>IFERROR('QTR BS'!J17/'QTR P&amp;L'!J2,"")</f>
        <v/>
      </c>
      <c r="K16" s="11">
        <f>IFERROR('QTR BS'!K17/'QTR P&amp;L'!K2,"")</f>
        <v/>
      </c>
      <c r="L16" s="11">
        <f>IFERROR('QTR BS'!L17/'QTR P&amp;L'!L2,"")</f>
        <v/>
      </c>
      <c r="M16" s="11">
        <f>IFERROR('QTR BS'!M17/'QTR P&amp;L'!M2,"")</f>
        <v/>
      </c>
      <c r="N16" s="11">
        <f>IFERROR('QTR BS'!N17/'QTR P&amp;L'!N2,"")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P&amp;L'!B2,"")</f>
        <v/>
      </c>
      <c r="C17" s="11">
        <f>IFERROR('QTR BS'!C18/'QTR P&amp;L'!C2,"")</f>
        <v/>
      </c>
      <c r="D17" s="11">
        <f>IFERROR('QTR BS'!D18/'QTR P&amp;L'!D2,"")</f>
        <v/>
      </c>
      <c r="E17" s="11">
        <f>IFERROR('QTR BS'!E18/'QTR P&amp;L'!E2,"")</f>
        <v/>
      </c>
      <c r="F17" s="11">
        <f>IFERROR('QTR BS'!F18/'QTR P&amp;L'!F2,"")</f>
        <v/>
      </c>
      <c r="G17" s="11">
        <f>IFERROR('QTR BS'!G18/'QTR P&amp;L'!G2,"")</f>
        <v/>
      </c>
      <c r="H17" s="11">
        <f>IFERROR('QTR BS'!H18/'QTR P&amp;L'!H2,"")</f>
        <v/>
      </c>
      <c r="I17" s="11">
        <f>IFERROR('QTR BS'!I18/'QTR P&amp;L'!I2,"")</f>
        <v/>
      </c>
      <c r="J17" s="11">
        <f>IFERROR('QTR BS'!J18/'QTR P&amp;L'!J2,"")</f>
        <v/>
      </c>
      <c r="K17" s="11">
        <f>IFERROR('QTR BS'!K18/'QTR P&amp;L'!K2,"")</f>
        <v/>
      </c>
      <c r="L17" s="11">
        <f>IFERROR('QTR BS'!L18/'QTR P&amp;L'!L2,"")</f>
        <v/>
      </c>
      <c r="M17" s="11">
        <f>IFERROR('QTR BS'!M18/'QTR P&amp;L'!M2,"")</f>
        <v/>
      </c>
      <c r="N17" s="11">
        <f>IFERROR('QTR BS'!N18/'QTR P&amp;L'!N2,"")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</row>
    <row r="18">
      <c r="A18" s="3" t="inlineStr">
        <is>
          <t>Accounts Payable — DPO (days)</t>
        </is>
      </c>
      <c r="B18" s="14">
        <f>IFERROR('QTR BS'!B20/'QTR P&amp;L'!B3*ASSUMPTIONS!$B$2,"")</f>
        <v/>
      </c>
      <c r="C18" s="14">
        <f>IFERROR('QTR BS'!C20/'QTR P&amp;L'!C3*ASSUMPTIONS!$B$2,"")</f>
        <v/>
      </c>
      <c r="D18" s="14">
        <f>IFERROR('QTR BS'!D20/'QTR P&amp;L'!D3*ASSUMPTIONS!$B$2,"")</f>
        <v/>
      </c>
      <c r="E18" s="14">
        <f>IFERROR('QTR BS'!E20/'QTR P&amp;L'!E3*ASSUMPTIONS!$B$2,"")</f>
        <v/>
      </c>
      <c r="F18" s="14">
        <f>IFERROR('QTR BS'!F20/'QTR P&amp;L'!F3*ASSUMPTIONS!$B$2,"")</f>
        <v/>
      </c>
      <c r="G18" s="14">
        <f>IFERROR('QTR BS'!G20/'QTR P&amp;L'!G3*ASSUMPTIONS!$B$2,"")</f>
        <v/>
      </c>
      <c r="H18" s="14">
        <f>IFERROR('QTR BS'!H20/'QTR P&amp;L'!H3*ASSUMPTIONS!$B$2,"")</f>
        <v/>
      </c>
      <c r="I18" s="14">
        <f>IFERROR('QTR BS'!I20/'QTR P&amp;L'!I3*ASSUMPTIONS!$B$2,"")</f>
        <v/>
      </c>
      <c r="J18" s="14">
        <f>IFERROR('QTR BS'!J20/'QTR P&amp;L'!J3*ASSUMPTIONS!$B$2,"")</f>
        <v/>
      </c>
      <c r="K18" s="14">
        <f>IFERROR('QTR BS'!K20/'QTR P&amp;L'!K3*ASSUMPTIONS!$B$2,"")</f>
        <v/>
      </c>
      <c r="L18" s="14">
        <f>IFERROR('QTR BS'!L20/'QTR P&amp;L'!L3*ASSUMPTIONS!$B$2,"")</f>
        <v/>
      </c>
      <c r="M18" s="14">
        <f>IFERROR('QTR BS'!M20/'QTR P&amp;L'!M3*ASSUMPTIONS!$B$2,"")</f>
        <v/>
      </c>
      <c r="N18" s="14">
        <f>IFERROR('QTR BS'!N20/'QTR P&amp;L'!N3*ASSUMPTIONS!$B$2,"")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P&amp;L'!B2,"")</f>
        <v/>
      </c>
      <c r="C19" s="11">
        <f>IFERROR('QTR BS'!C21/'QTR P&amp;L'!C2,"")</f>
        <v/>
      </c>
      <c r="D19" s="11">
        <f>IFERROR('QTR BS'!D21/'QTR P&amp;L'!D2,"")</f>
        <v/>
      </c>
      <c r="E19" s="11">
        <f>IFERROR('QTR BS'!E21/'QTR P&amp;L'!E2,"")</f>
        <v/>
      </c>
      <c r="F19" s="11">
        <f>IFERROR('QTR BS'!F21/'QTR P&amp;L'!F2,"")</f>
        <v/>
      </c>
      <c r="G19" s="11">
        <f>IFERROR('QTR BS'!G21/'QTR P&amp;L'!G2,"")</f>
        <v/>
      </c>
      <c r="H19" s="11">
        <f>IFERROR('QTR BS'!H21/'QTR P&amp;L'!H2,"")</f>
        <v/>
      </c>
      <c r="I19" s="11">
        <f>IFERROR('QTR BS'!I21/'QTR P&amp;L'!I2,"")</f>
        <v/>
      </c>
      <c r="J19" s="11">
        <f>IFERROR('QTR BS'!J21/'QTR P&amp;L'!J2,"")</f>
        <v/>
      </c>
      <c r="K19" s="11">
        <f>IFERROR('QTR BS'!K21/'QTR P&amp;L'!K2,"")</f>
        <v/>
      </c>
      <c r="L19" s="11">
        <f>IFERROR('QTR BS'!L21/'QTR P&amp;L'!L2,"")</f>
        <v/>
      </c>
      <c r="M19" s="11">
        <f>IFERROR('QTR BS'!M21/'QTR P&amp;L'!M2,"")</f>
        <v/>
      </c>
      <c r="N19" s="11">
        <f>IFERROR('QTR BS'!N21/'QTR P&amp;L'!N2,"")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P&amp;L'!B2,"")</f>
        <v/>
      </c>
      <c r="C20" s="11">
        <f>IFERROR('QTR BS'!C22/'QTR P&amp;L'!C2,"")</f>
        <v/>
      </c>
      <c r="D20" s="11">
        <f>IFERROR('QTR BS'!D22/'QTR P&amp;L'!D2,"")</f>
        <v/>
      </c>
      <c r="E20" s="11">
        <f>IFERROR('QTR BS'!E22/'QTR P&amp;L'!E2,"")</f>
        <v/>
      </c>
      <c r="F20" s="11">
        <f>IFERROR('QTR BS'!F22/'QTR P&amp;L'!F2,"")</f>
        <v/>
      </c>
      <c r="G20" s="11">
        <f>IFERROR('QTR BS'!G22/'QTR P&amp;L'!G2,"")</f>
        <v/>
      </c>
      <c r="H20" s="11">
        <f>IFERROR('QTR BS'!H22/'QTR P&amp;L'!H2,"")</f>
        <v/>
      </c>
      <c r="I20" s="11">
        <f>IFERROR('QTR BS'!I22/'QTR P&amp;L'!I2,"")</f>
        <v/>
      </c>
      <c r="J20" s="11">
        <f>IFERROR('QTR BS'!J22/'QTR P&amp;L'!J2,"")</f>
        <v/>
      </c>
      <c r="K20" s="11">
        <f>IFERROR('QTR BS'!K22/'QTR P&amp;L'!K2,"")</f>
        <v/>
      </c>
      <c r="L20" s="11">
        <f>IFERROR('QTR BS'!L22/'QTR P&amp;L'!L2,"")</f>
        <v/>
      </c>
      <c r="M20" s="11">
        <f>IFERROR('QTR BS'!M22/'QTR P&amp;L'!M2,"")</f>
        <v/>
      </c>
      <c r="N20" s="11">
        <f>IFERROR('QTR BS'!N22/'QTR P&amp;L'!N2,"")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P&amp;L'!B2,"")</f>
        <v/>
      </c>
      <c r="C22" s="11">
        <f>IFERROR('QTR BS'!C24/'QTR P&amp;L'!C2,"")</f>
        <v/>
      </c>
      <c r="D22" s="11">
        <f>IFERROR('QTR BS'!D24/'QTR P&amp;L'!D2,"")</f>
        <v/>
      </c>
      <c r="E22" s="11">
        <f>IFERROR('QTR BS'!E24/'QTR P&amp;L'!E2,"")</f>
        <v/>
      </c>
      <c r="F22" s="11">
        <f>IFERROR('QTR BS'!F24/'QTR P&amp;L'!F2,"")</f>
        <v/>
      </c>
      <c r="G22" s="11">
        <f>IFERROR('QTR BS'!G24/'QTR P&amp;L'!G2,"")</f>
        <v/>
      </c>
      <c r="H22" s="11">
        <f>IFERROR('QTR BS'!H24/'QTR P&amp;L'!H2,"")</f>
        <v/>
      </c>
      <c r="I22" s="11">
        <f>IFERROR('QTR BS'!I24/'QTR P&amp;L'!I2,"")</f>
        <v/>
      </c>
      <c r="J22" s="11">
        <f>IFERROR('QTR BS'!J24/'QTR P&amp;L'!J2,"")</f>
        <v/>
      </c>
      <c r="K22" s="11">
        <f>IFERROR('QTR BS'!K24/'QTR P&amp;L'!K2,"")</f>
        <v/>
      </c>
      <c r="L22" s="11">
        <f>IFERROR('QTR BS'!L24/'QTR P&amp;L'!L2,"")</f>
        <v/>
      </c>
      <c r="M22" s="11">
        <f>IFERROR('QTR BS'!M24/'QTR P&amp;L'!M2,"")</f>
        <v/>
      </c>
      <c r="N22" s="11">
        <f>IFERROR('QTR BS'!N24/'QTR P&amp;L'!N2,"")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P&amp;L'!B2,"")</f>
        <v/>
      </c>
      <c r="C23" s="11">
        <f>IFERROR('QTR BS'!C25/'QTR P&amp;L'!C2,"")</f>
        <v/>
      </c>
      <c r="D23" s="11">
        <f>IFERROR('QTR BS'!D25/'QTR P&amp;L'!D2,"")</f>
        <v/>
      </c>
      <c r="E23" s="11">
        <f>IFERROR('QTR BS'!E25/'QTR P&amp;L'!E2,"")</f>
        <v/>
      </c>
      <c r="F23" s="11">
        <f>IFERROR('QTR BS'!F25/'QTR P&amp;L'!F2,"")</f>
        <v/>
      </c>
      <c r="G23" s="11">
        <f>IFERROR('QTR BS'!G25/'QTR P&amp;L'!G2,"")</f>
        <v/>
      </c>
      <c r="H23" s="11">
        <f>IFERROR('QTR BS'!H25/'QTR P&amp;L'!H2,"")</f>
        <v/>
      </c>
      <c r="I23" s="11">
        <f>IFERROR('QTR BS'!I25/'QTR P&amp;L'!I2,"")</f>
        <v/>
      </c>
      <c r="J23" s="11">
        <f>IFERROR('QTR BS'!J25/'QTR P&amp;L'!J2,"")</f>
        <v/>
      </c>
      <c r="K23" s="11">
        <f>IFERROR('QTR BS'!K25/'QTR P&amp;L'!K2,"")</f>
        <v/>
      </c>
      <c r="L23" s="11">
        <f>IFERROR('QTR BS'!L25/'QTR P&amp;L'!L2,"")</f>
        <v/>
      </c>
      <c r="M23" s="11">
        <f>IFERROR('QTR BS'!M25/'QTR P&amp;L'!M2,"")</f>
        <v/>
      </c>
      <c r="N23" s="11">
        <f>IFERROR('QTR BS'!N25/'QTR P&amp;L'!N2,"")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P&amp;L'!B2,"")</f>
        <v/>
      </c>
      <c r="C24" s="11">
        <f>IFERROR('QTR BS'!C26/'QTR P&amp;L'!C2,"")</f>
        <v/>
      </c>
      <c r="D24" s="11">
        <f>IFERROR('QTR BS'!D26/'QTR P&amp;L'!D2,"")</f>
        <v/>
      </c>
      <c r="E24" s="11">
        <f>IFERROR('QTR BS'!E26/'QTR P&amp;L'!E2,"")</f>
        <v/>
      </c>
      <c r="F24" s="11">
        <f>IFERROR('QTR BS'!F26/'QTR P&amp;L'!F2,"")</f>
        <v/>
      </c>
      <c r="G24" s="11">
        <f>IFERROR('QTR BS'!G26/'QTR P&amp;L'!G2,"")</f>
        <v/>
      </c>
      <c r="H24" s="11">
        <f>IFERROR('QTR BS'!H26/'QTR P&amp;L'!H2,"")</f>
        <v/>
      </c>
      <c r="I24" s="11">
        <f>IFERROR('QTR BS'!I26/'QTR P&amp;L'!I2,"")</f>
        <v/>
      </c>
      <c r="J24" s="11">
        <f>IFERROR('QTR BS'!J26/'QTR P&amp;L'!J2,"")</f>
        <v/>
      </c>
      <c r="K24" s="11">
        <f>IFERROR('QTR BS'!K26/'QTR P&amp;L'!K2,"")</f>
        <v/>
      </c>
      <c r="L24" s="11">
        <f>IFERROR('QTR BS'!L26/'QTR P&amp;L'!L2,"")</f>
        <v/>
      </c>
      <c r="M24" s="11">
        <f>IFERROR('QTR BS'!M26/'QTR P&amp;L'!M2,"")</f>
        <v/>
      </c>
      <c r="N24" s="11">
        <f>IFERROR('QTR BS'!N26/'QTR P&amp;L'!N2,"")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P&amp;L'!B2,"")</f>
        <v/>
      </c>
      <c r="C25" s="11">
        <f>IFERROR('QTR BS'!C27/'QTR P&amp;L'!C2,"")</f>
        <v/>
      </c>
      <c r="D25" s="11">
        <f>IFERROR('QTR BS'!D27/'QTR P&amp;L'!D2,"")</f>
        <v/>
      </c>
      <c r="E25" s="11">
        <f>IFERROR('QTR BS'!E27/'QTR P&amp;L'!E2,"")</f>
        <v/>
      </c>
      <c r="F25" s="11">
        <f>IFERROR('QTR BS'!F27/'QTR P&amp;L'!F2,"")</f>
        <v/>
      </c>
      <c r="G25" s="11">
        <f>IFERROR('QTR BS'!G27/'QTR P&amp;L'!G2,"")</f>
        <v/>
      </c>
      <c r="H25" s="11">
        <f>IFERROR('QTR BS'!H27/'QTR P&amp;L'!H2,"")</f>
        <v/>
      </c>
      <c r="I25" s="11">
        <f>IFERROR('QTR BS'!I27/'QTR P&amp;L'!I2,"")</f>
        <v/>
      </c>
      <c r="J25" s="11">
        <f>IFERROR('QTR BS'!J27/'QTR P&amp;L'!J2,"")</f>
        <v/>
      </c>
      <c r="K25" s="11">
        <f>IFERROR('QTR BS'!K27/'QTR P&amp;L'!K2,"")</f>
        <v/>
      </c>
      <c r="L25" s="11">
        <f>IFERROR('QTR BS'!L27/'QTR P&amp;L'!L2,"")</f>
        <v/>
      </c>
      <c r="M25" s="11">
        <f>IFERROR('QTR BS'!M27/'QTR P&amp;L'!M2,"")</f>
        <v/>
      </c>
      <c r="N25" s="11">
        <f>IFERROR('QTR BS'!N27/'QTR P&amp;L'!N2,"")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P&amp;L'!B2,"")</f>
        <v/>
      </c>
      <c r="C26" s="11">
        <f>IFERROR('QTR BS'!C28/'QTR P&amp;L'!C2,"")</f>
        <v/>
      </c>
      <c r="D26" s="11">
        <f>IFERROR('QTR BS'!D28/'QTR P&amp;L'!D2,"")</f>
        <v/>
      </c>
      <c r="E26" s="11">
        <f>IFERROR('QTR BS'!E28/'QTR P&amp;L'!E2,"")</f>
        <v/>
      </c>
      <c r="F26" s="11">
        <f>IFERROR('QTR BS'!F28/'QTR P&amp;L'!F2,"")</f>
        <v/>
      </c>
      <c r="G26" s="11">
        <f>IFERROR('QTR BS'!G28/'QTR P&amp;L'!G2,"")</f>
        <v/>
      </c>
      <c r="H26" s="11">
        <f>IFERROR('QTR BS'!H28/'QTR P&amp;L'!H2,"")</f>
        <v/>
      </c>
      <c r="I26" s="11">
        <f>IFERROR('QTR BS'!I28/'QTR P&amp;L'!I2,"")</f>
        <v/>
      </c>
      <c r="J26" s="11">
        <f>IFERROR('QTR BS'!J28/'QTR P&amp;L'!J2,"")</f>
        <v/>
      </c>
      <c r="K26" s="11">
        <f>IFERROR('QTR BS'!K28/'QTR P&amp;L'!K2,"")</f>
        <v/>
      </c>
      <c r="L26" s="11">
        <f>IFERROR('QTR BS'!L28/'QTR P&amp;L'!L2,"")</f>
        <v/>
      </c>
      <c r="M26" s="11">
        <f>IFERROR('QTR BS'!M28/'QTR P&amp;L'!M2,"")</f>
        <v/>
      </c>
      <c r="N26" s="11">
        <f>IFERROR('QTR BS'!N28/'QTR P&amp;L'!N2,"")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P&amp;L'!B2,"")</f>
        <v/>
      </c>
      <c r="C27" s="11">
        <f>IFERROR('QTR BS'!C29/'QTR P&amp;L'!C2,"")</f>
        <v/>
      </c>
      <c r="D27" s="11">
        <f>IFERROR('QTR BS'!D29/'QTR P&amp;L'!D2,"")</f>
        <v/>
      </c>
      <c r="E27" s="11">
        <f>IFERROR('QTR BS'!E29/'QTR P&amp;L'!E2,"")</f>
        <v/>
      </c>
      <c r="F27" s="11">
        <f>IFERROR('QTR BS'!F29/'QTR P&amp;L'!F2,"")</f>
        <v/>
      </c>
      <c r="G27" s="11">
        <f>IFERROR('QTR BS'!G29/'QTR P&amp;L'!G2,"")</f>
        <v/>
      </c>
      <c r="H27" s="11">
        <f>IFERROR('QTR BS'!H29/'QTR P&amp;L'!H2,"")</f>
        <v/>
      </c>
      <c r="I27" s="11">
        <f>IFERROR('QTR BS'!I29/'QTR P&amp;L'!I2,"")</f>
        <v/>
      </c>
      <c r="J27" s="11">
        <f>IFERROR('QTR BS'!J29/'QTR P&amp;L'!J2,"")</f>
        <v/>
      </c>
      <c r="K27" s="11">
        <f>IFERROR('QTR BS'!K29/'QTR P&amp;L'!K2,"")</f>
        <v/>
      </c>
      <c r="L27" s="11">
        <f>IFERROR('QTR BS'!L29/'QTR P&amp;L'!L2,"")</f>
        <v/>
      </c>
      <c r="M27" s="11">
        <f>IFERROR('QTR BS'!M29/'QTR P&amp;L'!M2,"")</f>
        <v/>
      </c>
      <c r="N27" s="11">
        <f>IFERROR('QTR BS'!N29/'QTR P&amp;L'!N2,"")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P&amp;L'!B2,"")</f>
        <v/>
      </c>
      <c r="C28" s="11">
        <f>IFERROR('QTR BS'!C31/'QTR P&amp;L'!C2,"")</f>
        <v/>
      </c>
      <c r="D28" s="11">
        <f>IFERROR('QTR BS'!D31/'QTR P&amp;L'!D2,"")</f>
        <v/>
      </c>
      <c r="E28" s="11">
        <f>IFERROR('QTR BS'!E31/'QTR P&amp;L'!E2,"")</f>
        <v/>
      </c>
      <c r="F28" s="11">
        <f>IFERROR('QTR BS'!F31/'QTR P&amp;L'!F2,"")</f>
        <v/>
      </c>
      <c r="G28" s="11">
        <f>IFERROR('QTR BS'!G31/'QTR P&amp;L'!G2,"")</f>
        <v/>
      </c>
      <c r="H28" s="11">
        <f>IFERROR('QTR BS'!H31/'QTR P&amp;L'!H2,"")</f>
        <v/>
      </c>
      <c r="I28" s="11">
        <f>IFERROR('QTR BS'!I31/'QTR P&amp;L'!I2,"")</f>
        <v/>
      </c>
      <c r="J28" s="11">
        <f>IFERROR('QTR BS'!J31/'QTR P&amp;L'!J2,"")</f>
        <v/>
      </c>
      <c r="K28" s="11">
        <f>IFERROR('QTR BS'!K31/'QTR P&amp;L'!K2,"")</f>
        <v/>
      </c>
      <c r="L28" s="11">
        <f>IFERROR('QTR BS'!L31/'QTR P&amp;L'!L2,"")</f>
        <v/>
      </c>
      <c r="M28" s="11">
        <f>IFERROR('QTR BS'!M31/'QTR P&amp;L'!M2,"")</f>
        <v/>
      </c>
      <c r="N28" s="11">
        <f>IFERROR('QTR BS'!N31/'QTR P&amp;L'!N2,"")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P&amp;L'!B2,"")</f>
        <v/>
      </c>
      <c r="C29" s="11">
        <f>IFERROR('QTR BS'!C32/'QTR P&amp;L'!C2,"")</f>
        <v/>
      </c>
      <c r="D29" s="11">
        <f>IFERROR('QTR BS'!D32/'QTR P&amp;L'!D2,"")</f>
        <v/>
      </c>
      <c r="E29" s="11">
        <f>IFERROR('QTR BS'!E32/'QTR P&amp;L'!E2,"")</f>
        <v/>
      </c>
      <c r="F29" s="11">
        <f>IFERROR('QTR BS'!F32/'QTR P&amp;L'!F2,"")</f>
        <v/>
      </c>
      <c r="G29" s="11">
        <f>IFERROR('QTR BS'!G32/'QTR P&amp;L'!G2,"")</f>
        <v/>
      </c>
      <c r="H29" s="11">
        <f>IFERROR('QTR BS'!H32/'QTR P&amp;L'!H2,"")</f>
        <v/>
      </c>
      <c r="I29" s="11">
        <f>IFERROR('QTR BS'!I32/'QTR P&amp;L'!I2,"")</f>
        <v/>
      </c>
      <c r="J29" s="11">
        <f>IFERROR('QTR BS'!J32/'QTR P&amp;L'!J2,"")</f>
        <v/>
      </c>
      <c r="K29" s="11">
        <f>IFERROR('QTR BS'!K32/'QTR P&amp;L'!K2,"")</f>
        <v/>
      </c>
      <c r="L29" s="11">
        <f>IFERROR('QTR BS'!L32/'QTR P&amp;L'!L2,"")</f>
        <v/>
      </c>
      <c r="M29" s="11">
        <f>IFERROR('QTR BS'!M32/'QTR P&amp;L'!M2,"")</f>
        <v/>
      </c>
      <c r="N29" s="11">
        <f>IFERROR('QTR BS'!N32/'QTR P&amp;L'!N2,"")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P&amp;L'!B2,"")</f>
        <v/>
      </c>
      <c r="C32" s="11">
        <f>IFERROR('QTR BS'!C35/'QTR P&amp;L'!C2,"")</f>
        <v/>
      </c>
      <c r="D32" s="11">
        <f>IFERROR('QTR BS'!D35/'QTR P&amp;L'!D2,"")</f>
        <v/>
      </c>
      <c r="E32" s="11">
        <f>IFERROR('QTR BS'!E35/'QTR P&amp;L'!E2,"")</f>
        <v/>
      </c>
      <c r="F32" s="11">
        <f>IFERROR('QTR BS'!F35/'QTR P&amp;L'!F2,"")</f>
        <v/>
      </c>
      <c r="G32" s="11">
        <f>IFERROR('QTR BS'!G35/'QTR P&amp;L'!G2,"")</f>
        <v/>
      </c>
      <c r="H32" s="11">
        <f>IFERROR('QTR BS'!H35/'QTR P&amp;L'!H2,"")</f>
        <v/>
      </c>
      <c r="I32" s="11">
        <f>IFERROR('QTR BS'!I35/'QTR P&amp;L'!I2,"")</f>
        <v/>
      </c>
      <c r="J32" s="11">
        <f>IFERROR('QTR BS'!J35/'QTR P&amp;L'!J2,"")</f>
        <v/>
      </c>
      <c r="K32" s="11">
        <f>IFERROR('QTR BS'!K35/'QTR P&amp;L'!K2,"")</f>
        <v/>
      </c>
      <c r="L32" s="11">
        <f>IFERROR('QTR BS'!L35/'QTR P&amp;L'!L2,"")</f>
        <v/>
      </c>
      <c r="M32" s="11">
        <f>IFERROR('QTR BS'!M35/'QTR P&amp;L'!M2,"")</f>
        <v/>
      </c>
      <c r="N32" s="11">
        <f>IFERROR('QTR BS'!N35/'QTR P&amp;L'!N2,"")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P&amp;L'!B2,"")</f>
        <v/>
      </c>
      <c r="C33" s="11">
        <f>IFERROR('QTR BS'!C36/'QTR P&amp;L'!C2,"")</f>
        <v/>
      </c>
      <c r="D33" s="11">
        <f>IFERROR('QTR BS'!D36/'QTR P&amp;L'!D2,"")</f>
        <v/>
      </c>
      <c r="E33" s="11">
        <f>IFERROR('QTR BS'!E36/'QTR P&amp;L'!E2,"")</f>
        <v/>
      </c>
      <c r="F33" s="11">
        <f>IFERROR('QTR BS'!F36/'QTR P&amp;L'!F2,"")</f>
        <v/>
      </c>
      <c r="G33" s="11">
        <f>IFERROR('QTR BS'!G36/'QTR P&amp;L'!G2,"")</f>
        <v/>
      </c>
      <c r="H33" s="11">
        <f>IFERROR('QTR BS'!H36/'QTR P&amp;L'!H2,"")</f>
        <v/>
      </c>
      <c r="I33" s="11">
        <f>IFERROR('QTR BS'!I36/'QTR P&amp;L'!I2,"")</f>
        <v/>
      </c>
      <c r="J33" s="11">
        <f>IFERROR('QTR BS'!J36/'QTR P&amp;L'!J2,"")</f>
        <v/>
      </c>
      <c r="K33" s="11">
        <f>IFERROR('QTR BS'!K36/'QTR P&amp;L'!K2,"")</f>
        <v/>
      </c>
      <c r="L33" s="11">
        <f>IFERROR('QTR BS'!L36/'QTR P&amp;L'!L2,"")</f>
        <v/>
      </c>
      <c r="M33" s="11">
        <f>IFERROR('QTR BS'!M36/'QTR P&amp;L'!M2,"")</f>
        <v/>
      </c>
      <c r="N33" s="11">
        <f>IFERROR('QTR BS'!N36/'QTR P&amp;L'!N2,"")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</row>
    <row r="36">
      <c r="A36" s="3" t="inlineStr">
        <is>
          <t>Additional Paid-in Capital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4">
        <f>N36+'QTR CF'!R11</f>
        <v/>
      </c>
      <c r="P36" s="4">
        <f>O36+'QTR CF'!S11</f>
        <v/>
      </c>
      <c r="Q36" s="4">
        <f>P36+'QTR CF'!T11</f>
        <v/>
      </c>
      <c r="R36" s="4">
        <f>Q36+'QTR CF'!U11</f>
        <v/>
      </c>
      <c r="S36" s="4">
        <f>R36+'QTR CF'!V11</f>
        <v/>
      </c>
      <c r="T36" s="4">
        <f>S36+'QTR CF'!W11</f>
        <v/>
      </c>
      <c r="U36" s="4">
        <f>T36+'QTR CF'!X11</f>
        <v/>
      </c>
      <c r="V36" s="4">
        <f>U36+'QTR CF'!Y11</f>
        <v/>
      </c>
      <c r="W36" s="4">
        <f>V36+'QTR CF'!Z11</f>
        <v/>
      </c>
      <c r="X36" s="4">
        <f>W36+'QTR CF'!AA11</f>
        <v/>
      </c>
      <c r="Y36" s="4">
        <f>X36+'QTR CF'!AB11</f>
        <v/>
      </c>
      <c r="Z36" s="4">
        <f>Y36+'QTR CF'!AC11</f>
        <v/>
      </c>
      <c r="AA36" s="4">
        <f>Z36+'QTR CF'!AD11</f>
        <v/>
      </c>
      <c r="AB36" s="4">
        <f>AA36+'QTR CF'!AE11</f>
        <v/>
      </c>
      <c r="AC36" s="4">
        <f>AB36+'QTR CF'!AF11</f>
        <v/>
      </c>
      <c r="AD36" s="4">
        <f>AC36+'QTR CF'!AG11</f>
        <v/>
      </c>
    </row>
    <row r="37">
      <c r="A37" s="3" t="inlineStr">
        <is>
          <t>Accumulated Other Comprehensive Income (Loss)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CF'!R46</f>
        <v/>
      </c>
      <c r="P37" s="4">
        <f>O37+'QTR CF'!S46</f>
        <v/>
      </c>
      <c r="Q37" s="4">
        <f>P37+'QTR CF'!T46</f>
        <v/>
      </c>
      <c r="R37" s="4">
        <f>Q37+'QTR CF'!U46</f>
        <v/>
      </c>
      <c r="S37" s="4">
        <f>R37+'QTR CF'!V46</f>
        <v/>
      </c>
      <c r="T37" s="4">
        <f>S37+'QTR CF'!W46</f>
        <v/>
      </c>
      <c r="U37" s="4">
        <f>T37+'QTR CF'!X46</f>
        <v/>
      </c>
      <c r="V37" s="4">
        <f>U37+'QTR CF'!Y46</f>
        <v/>
      </c>
      <c r="W37" s="4">
        <f>V37+'QTR CF'!Z46</f>
        <v/>
      </c>
      <c r="X37" s="4">
        <f>W37+'QTR CF'!AA46</f>
        <v/>
      </c>
      <c r="Y37" s="4">
        <f>X37+'QTR CF'!AB46</f>
        <v/>
      </c>
      <c r="Z37" s="4">
        <f>Y37+'QTR CF'!AC46</f>
        <v/>
      </c>
      <c r="AA37" s="4">
        <f>Z37+'QTR CF'!AD46</f>
        <v/>
      </c>
      <c r="AB37" s="4">
        <f>AA37+'QTR CF'!AE46</f>
        <v/>
      </c>
      <c r="AC37" s="4">
        <f>AB37+'QTR CF'!AF46</f>
        <v/>
      </c>
      <c r="AD37" s="4">
        <f>AC37+'QTR CF'!AG46</f>
        <v/>
      </c>
    </row>
    <row r="38">
      <c r="A38" s="3" t="inlineStr">
        <is>
          <t>Retained Earnings (Accumulated Deficit)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P&amp;L'!R13+'QTR CF'!R39</f>
        <v/>
      </c>
      <c r="P38" s="4">
        <f>O38+'QTR P&amp;L'!S13+'QTR CF'!S39</f>
        <v/>
      </c>
      <c r="Q38" s="4">
        <f>P38+'QTR P&amp;L'!T13+'QTR CF'!T39</f>
        <v/>
      </c>
      <c r="R38" s="4">
        <f>Q38+'QTR P&amp;L'!U13+'QTR CF'!U39</f>
        <v/>
      </c>
      <c r="S38" s="4">
        <f>R38+'QTR P&amp;L'!V13+'QTR CF'!V39</f>
        <v/>
      </c>
      <c r="T38" s="4">
        <f>S38+'QTR P&amp;L'!W13+'QTR CF'!W39</f>
        <v/>
      </c>
      <c r="U38" s="4">
        <f>T38+'QTR P&amp;L'!X13+'QTR CF'!X39</f>
        <v/>
      </c>
      <c r="V38" s="4">
        <f>U38+'QTR P&amp;L'!Y13+'QTR CF'!Y39</f>
        <v/>
      </c>
      <c r="W38" s="4">
        <f>V38+'QTR P&amp;L'!Z13+'QTR CF'!Z39</f>
        <v/>
      </c>
      <c r="X38" s="4">
        <f>W38+'QTR P&amp;L'!AA13+'QTR CF'!AA39</f>
        <v/>
      </c>
      <c r="Y38" s="4">
        <f>X38+'QTR P&amp;L'!AB13+'QTR CF'!AB39</f>
        <v/>
      </c>
      <c r="Z38" s="4">
        <f>Y38+'QTR P&amp;L'!AC13+'QTR CF'!AC39</f>
        <v/>
      </c>
      <c r="AA38" s="4">
        <f>Z38+'QTR P&amp;L'!AD13+'QTR CF'!AD39</f>
        <v/>
      </c>
      <c r="AB38" s="4">
        <f>AA38+'QTR P&amp;L'!AE13+'QTR CF'!AE39</f>
        <v/>
      </c>
      <c r="AC38" s="4">
        <f>AB38+'QTR P&amp;L'!AF13+'QTR CF'!AF39</f>
        <v/>
      </c>
      <c r="AD38" s="4">
        <f>AC38+'QTR P&amp;L'!AG13+'QTR CF'!AG39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</row>
    <row r="14">
      <c r="A14" s="3" t="inlineStr">
        <is>
          <t>Change in Fair Value of Contingent Consideration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</row>
    <row r="15">
      <c r="A15" s="3" t="inlineStr">
        <is>
          <t>Other Operating Items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</f>
        <v/>
      </c>
      <c r="S15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</f>
        <v/>
      </c>
      <c r="T15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</f>
        <v/>
      </c>
      <c r="U15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</f>
        <v/>
      </c>
      <c r="V15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</f>
        <v/>
      </c>
      <c r="W15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</f>
        <v/>
      </c>
      <c r="X15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</f>
        <v/>
      </c>
      <c r="Y15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</f>
        <v/>
      </c>
      <c r="Z15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</f>
        <v/>
      </c>
      <c r="AA15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</f>
        <v/>
      </c>
      <c r="AB15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</f>
        <v/>
      </c>
      <c r="AC15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</f>
        <v/>
      </c>
      <c r="AD15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</f>
        <v/>
      </c>
      <c r="AE15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</f>
        <v/>
      </c>
      <c r="AF15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</f>
        <v/>
      </c>
      <c r="AG15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</f>
        <v/>
      </c>
    </row>
    <row r="16">
      <c r="A16" s="3" t="inlineStr">
        <is>
          <t>Accounts Receivable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-('QTR BS'!O4-'QTR BS'!N4)</f>
        <v/>
      </c>
      <c r="S16" s="4">
        <f>-('QTR BS'!P4-'QTR BS'!O4)</f>
        <v/>
      </c>
      <c r="T16" s="4">
        <f>-('QTR BS'!Q4-'QTR BS'!P4)</f>
        <v/>
      </c>
      <c r="U16" s="4">
        <f>-('QTR BS'!R4-'QTR BS'!Q4)</f>
        <v/>
      </c>
      <c r="V16" s="4">
        <f>-('QTR BS'!S4-'QTR BS'!R4)</f>
        <v/>
      </c>
      <c r="W16" s="4">
        <f>-('QTR BS'!T4-'QTR BS'!S4)</f>
        <v/>
      </c>
      <c r="X16" s="4">
        <f>-('QTR BS'!U4-'QTR BS'!T4)</f>
        <v/>
      </c>
      <c r="Y16" s="4">
        <f>-('QTR BS'!V4-'QTR BS'!U4)</f>
        <v/>
      </c>
      <c r="Z16" s="4">
        <f>-('QTR BS'!W4-'QTR BS'!V4)</f>
        <v/>
      </c>
      <c r="AA16" s="4">
        <f>-('QTR BS'!X4-'QTR BS'!W4)</f>
        <v/>
      </c>
      <c r="AB16" s="4">
        <f>-('QTR BS'!Y4-'QTR BS'!X4)</f>
        <v/>
      </c>
      <c r="AC16" s="4">
        <f>-('QTR BS'!Z4-'QTR BS'!Y4)</f>
        <v/>
      </c>
      <c r="AD16" s="4">
        <f>-('QTR BS'!AA4-'QTR BS'!Z4)</f>
        <v/>
      </c>
      <c r="AE16" s="4">
        <f>-('QTR BS'!AB4-'QTR BS'!AA4)</f>
        <v/>
      </c>
      <c r="AF16" s="4">
        <f>-('QTR BS'!AC4-'QTR BS'!AB4)</f>
        <v/>
      </c>
      <c r="AG16" s="4">
        <f>-('QTR BS'!AD4-'QTR BS'!AC4)</f>
        <v/>
      </c>
    </row>
    <row r="17">
      <c r="A17" s="3" t="inlineStr">
        <is>
          <t>Inventories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BS'!O6-'QTR BS'!N6)</f>
        <v/>
      </c>
      <c r="S17" s="4">
        <f>-('QTR BS'!P6-'QTR BS'!O6)</f>
        <v/>
      </c>
      <c r="T17" s="4">
        <f>-('QTR BS'!Q6-'QTR BS'!P6)</f>
        <v/>
      </c>
      <c r="U17" s="4">
        <f>-('QTR BS'!R6-'QTR BS'!Q6)</f>
        <v/>
      </c>
      <c r="V17" s="4">
        <f>-('QTR BS'!S6-'QTR BS'!R6)</f>
        <v/>
      </c>
      <c r="W17" s="4">
        <f>-('QTR BS'!T6-'QTR BS'!S6)</f>
        <v/>
      </c>
      <c r="X17" s="4">
        <f>-('QTR BS'!U6-'QTR BS'!T6)</f>
        <v/>
      </c>
      <c r="Y17" s="4">
        <f>-('QTR BS'!V6-'QTR BS'!U6)</f>
        <v/>
      </c>
      <c r="Z17" s="4">
        <f>-('QTR BS'!W6-'QTR BS'!V6)</f>
        <v/>
      </c>
      <c r="AA17" s="4">
        <f>-('QTR BS'!X6-'QTR BS'!W6)</f>
        <v/>
      </c>
      <c r="AB17" s="4">
        <f>-('QTR BS'!Y6-'QTR BS'!X6)</f>
        <v/>
      </c>
      <c r="AC17" s="4">
        <f>-('QTR BS'!Z6-'QTR BS'!Y6)</f>
        <v/>
      </c>
      <c r="AD17" s="4">
        <f>-('QTR BS'!AA6-'QTR BS'!Z6)</f>
        <v/>
      </c>
      <c r="AE17" s="4">
        <f>-('QTR BS'!AB6-'QTR BS'!AA6)</f>
        <v/>
      </c>
      <c r="AF17" s="4">
        <f>-('QTR BS'!AC6-'QTR BS'!AB6)</f>
        <v/>
      </c>
      <c r="AG17" s="4">
        <f>-('QTR BS'!AD6-'QTR BS'!AC6)</f>
        <v/>
      </c>
    </row>
    <row r="18">
      <c r="A18" s="3" t="inlineStr">
        <is>
          <t>Prepaid Expenses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BS'!O7-'QTR BS'!N7)</f>
        <v/>
      </c>
      <c r="S18" s="4">
        <f>-('QTR BS'!P7-'QTR BS'!O7)</f>
        <v/>
      </c>
      <c r="T18" s="4">
        <f>-('QTR BS'!Q7-'QTR BS'!P7)</f>
        <v/>
      </c>
      <c r="U18" s="4">
        <f>-('QTR BS'!R7-'QTR BS'!Q7)</f>
        <v/>
      </c>
      <c r="V18" s="4">
        <f>-('QTR BS'!S7-'QTR BS'!R7)</f>
        <v/>
      </c>
      <c r="W18" s="4">
        <f>-('QTR BS'!T7-'QTR BS'!S7)</f>
        <v/>
      </c>
      <c r="X18" s="4">
        <f>-('QTR BS'!U7-'QTR BS'!T7)</f>
        <v/>
      </c>
      <c r="Y18" s="4">
        <f>-('QTR BS'!V7-'QTR BS'!U7)</f>
        <v/>
      </c>
      <c r="Z18" s="4">
        <f>-('QTR BS'!W7-'QTR BS'!V7)</f>
        <v/>
      </c>
      <c r="AA18" s="4">
        <f>-('QTR BS'!X7-'QTR BS'!W7)</f>
        <v/>
      </c>
      <c r="AB18" s="4">
        <f>-('QTR BS'!Y7-'QTR BS'!X7)</f>
        <v/>
      </c>
      <c r="AC18" s="4">
        <f>-('QTR BS'!Z7-'QTR BS'!Y7)</f>
        <v/>
      </c>
      <c r="AD18" s="4">
        <f>-('QTR BS'!AA7-'QTR BS'!Z7)</f>
        <v/>
      </c>
      <c r="AE18" s="4">
        <f>-('QTR BS'!AB7-'QTR BS'!AA7)</f>
        <v/>
      </c>
      <c r="AF18" s="4">
        <f>-('QTR BS'!AC7-'QTR BS'!AB7)</f>
        <v/>
      </c>
      <c r="AG18" s="4">
        <f>-('QTR BS'!AD7-'QTR BS'!AC7)</f>
        <v/>
      </c>
    </row>
    <row r="19">
      <c r="A19" s="3" t="inlineStr">
        <is>
          <t>Change in A/P and Accrued (legacy)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</row>
    <row r="20">
      <c r="A20" s="3" t="inlineStr">
        <is>
          <t>Other Non-Current Assets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BS'!O18-'QTR BS'!N18)</f>
        <v/>
      </c>
      <c r="S20" s="4">
        <f>-('QTR BS'!P18-'QTR BS'!O18)</f>
        <v/>
      </c>
      <c r="T20" s="4">
        <f>-('QTR BS'!Q18-'QTR BS'!P18)</f>
        <v/>
      </c>
      <c r="U20" s="4">
        <f>-('QTR BS'!R18-'QTR BS'!Q18)</f>
        <v/>
      </c>
      <c r="V20" s="4">
        <f>-('QTR BS'!S18-'QTR BS'!R18)</f>
        <v/>
      </c>
      <c r="W20" s="4">
        <f>-('QTR BS'!T18-'QTR BS'!S18)</f>
        <v/>
      </c>
      <c r="X20" s="4">
        <f>-('QTR BS'!U18-'QTR BS'!T18)</f>
        <v/>
      </c>
      <c r="Y20" s="4">
        <f>-('QTR BS'!V18-'QTR BS'!U18)</f>
        <v/>
      </c>
      <c r="Z20" s="4">
        <f>-('QTR BS'!W18-'QTR BS'!V18)</f>
        <v/>
      </c>
      <c r="AA20" s="4">
        <f>-('QTR BS'!X18-'QTR BS'!W18)</f>
        <v/>
      </c>
      <c r="AB20" s="4">
        <f>-('QTR BS'!Y18-'QTR BS'!X18)</f>
        <v/>
      </c>
      <c r="AC20" s="4">
        <f>-('QTR BS'!Z18-'QTR BS'!Y18)</f>
        <v/>
      </c>
      <c r="AD20" s="4">
        <f>-('QTR BS'!AA18-'QTR BS'!Z18)</f>
        <v/>
      </c>
      <c r="AE20" s="4">
        <f>-('QTR BS'!AB18-'QTR BS'!AA18)</f>
        <v/>
      </c>
      <c r="AF20" s="4">
        <f>-('QTR BS'!AC18-'QTR BS'!AB18)</f>
        <v/>
      </c>
      <c r="AG20" s="4">
        <f>-('QTR BS'!AD18-'QTR BS'!AC18)</f>
        <v/>
      </c>
    </row>
    <row r="21">
      <c r="A21" s="3" t="inlineStr">
        <is>
          <t>Accounts Payable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('QTR BS'!O20-'QTR BS'!N20)</f>
        <v/>
      </c>
      <c r="S21" s="4">
        <f>('QTR BS'!P20-'QTR BS'!O20)</f>
        <v/>
      </c>
      <c r="T21" s="4">
        <f>('QTR BS'!Q20-'QTR BS'!P20)</f>
        <v/>
      </c>
      <c r="U21" s="4">
        <f>('QTR BS'!R20-'QTR BS'!Q20)</f>
        <v/>
      </c>
      <c r="V21" s="4">
        <f>('QTR BS'!S20-'QTR BS'!R20)</f>
        <v/>
      </c>
      <c r="W21" s="4">
        <f>('QTR BS'!T20-'QTR BS'!S20)</f>
        <v/>
      </c>
      <c r="X21" s="4">
        <f>('QTR BS'!U20-'QTR BS'!T20)</f>
        <v/>
      </c>
      <c r="Y21" s="4">
        <f>('QTR BS'!V20-'QTR BS'!U20)</f>
        <v/>
      </c>
      <c r="Z21" s="4">
        <f>('QTR BS'!W20-'QTR BS'!V20)</f>
        <v/>
      </c>
      <c r="AA21" s="4">
        <f>('QTR BS'!X20-'QTR BS'!W20)</f>
        <v/>
      </c>
      <c r="AB21" s="4">
        <f>('QTR BS'!Y20-'QTR BS'!X20)</f>
        <v/>
      </c>
      <c r="AC21" s="4">
        <f>('QTR BS'!Z20-'QTR BS'!Y20)</f>
        <v/>
      </c>
      <c r="AD21" s="4">
        <f>('QTR BS'!AA20-'QTR BS'!Z20)</f>
        <v/>
      </c>
      <c r="AE21" s="4">
        <f>('QTR BS'!AB20-'QTR BS'!AA20)</f>
        <v/>
      </c>
      <c r="AF21" s="4">
        <f>('QTR BS'!AC20-'QTR BS'!AB20)</f>
        <v/>
      </c>
      <c r="AG21" s="4">
        <f>('QTR BS'!AD20-'QTR BS'!AC20)</f>
        <v/>
      </c>
    </row>
    <row r="22">
      <c r="A22" s="3" t="inlineStr">
        <is>
          <t>Accrued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('QTR BS'!O21-'QTR BS'!N21)</f>
        <v/>
      </c>
      <c r="S22" s="4">
        <f>('QTR BS'!P21-'QTR BS'!O21)</f>
        <v/>
      </c>
      <c r="T22" s="4">
        <f>('QTR BS'!Q21-'QTR BS'!P21)</f>
        <v/>
      </c>
      <c r="U22" s="4">
        <f>('QTR BS'!R21-'QTR BS'!Q21)</f>
        <v/>
      </c>
      <c r="V22" s="4">
        <f>('QTR BS'!S21-'QTR BS'!R21)</f>
        <v/>
      </c>
      <c r="W22" s="4">
        <f>('QTR BS'!T21-'QTR BS'!S21)</f>
        <v/>
      </c>
      <c r="X22" s="4">
        <f>('QTR BS'!U21-'QTR BS'!T21)</f>
        <v/>
      </c>
      <c r="Y22" s="4">
        <f>('QTR BS'!V21-'QTR BS'!U21)</f>
        <v/>
      </c>
      <c r="Z22" s="4">
        <f>('QTR BS'!W21-'QTR BS'!V21)</f>
        <v/>
      </c>
      <c r="AA22" s="4">
        <f>('QTR BS'!X21-'QTR BS'!W21)</f>
        <v/>
      </c>
      <c r="AB22" s="4">
        <f>('QTR BS'!Y21-'QTR BS'!X21)</f>
        <v/>
      </c>
      <c r="AC22" s="4">
        <f>('QTR BS'!Z21-'QTR BS'!Y21)</f>
        <v/>
      </c>
      <c r="AD22" s="4">
        <f>('QTR BS'!AA21-'QTR BS'!Z21)</f>
        <v/>
      </c>
      <c r="AE22" s="4">
        <f>('QTR BS'!AB21-'QTR BS'!AA21)</f>
        <v/>
      </c>
      <c r="AF22" s="4">
        <f>('QTR BS'!AC21-'QTR BS'!AB21)</f>
        <v/>
      </c>
      <c r="AG22" s="4">
        <f>('QTR BS'!AD21-'QTR BS'!AC21)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('QTR BS'!O29-'QTR BS'!N29)</f>
        <v/>
      </c>
      <c r="S23" s="4">
        <f>('QTR BS'!P29-'QTR BS'!O29)</f>
        <v/>
      </c>
      <c r="T23" s="4">
        <f>('QTR BS'!Q29-'QTR BS'!P29)</f>
        <v/>
      </c>
      <c r="U23" s="4">
        <f>('QTR BS'!R29-'QTR BS'!Q29)</f>
        <v/>
      </c>
      <c r="V23" s="4">
        <f>('QTR BS'!S29-'QTR BS'!R29)</f>
        <v/>
      </c>
      <c r="W23" s="4">
        <f>('QTR BS'!T29-'QTR BS'!S29)</f>
        <v/>
      </c>
      <c r="X23" s="4">
        <f>('QTR BS'!U29-'QTR BS'!T29)</f>
        <v/>
      </c>
      <c r="Y23" s="4">
        <f>('QTR BS'!V29-'QTR BS'!U29)</f>
        <v/>
      </c>
      <c r="Z23" s="4">
        <f>('QTR BS'!W29-'QTR BS'!V29)</f>
        <v/>
      </c>
      <c r="AA23" s="4">
        <f>('QTR BS'!X29-'QTR BS'!W29)</f>
        <v/>
      </c>
      <c r="AB23" s="4">
        <f>('QTR BS'!Y29-'QTR BS'!X29)</f>
        <v/>
      </c>
      <c r="AC23" s="4">
        <f>('QTR BS'!Z29-'QTR BS'!Y29)</f>
        <v/>
      </c>
      <c r="AD23" s="4">
        <f>('QTR BS'!AA29-'QTR BS'!Z29)</f>
        <v/>
      </c>
      <c r="AE23" s="4">
        <f>('QTR BS'!AB29-'QTR BS'!AA29)</f>
        <v/>
      </c>
      <c r="AF23" s="4">
        <f>('QTR BS'!AC29-'QTR BS'!AB29)</f>
        <v/>
      </c>
      <c r="AG23" s="4">
        <f>('QTR BS'!AD29-'QTR BS'!AC29)</f>
        <v/>
      </c>
    </row>
    <row r="24">
      <c r="A24" s="3" t="inlineStr">
        <is>
          <t>Accrued Promotional Allowance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BS'!O24-'QTR BS'!N24)</f>
        <v/>
      </c>
      <c r="S24" s="4">
        <f>('QTR BS'!P24-'QTR BS'!O24)</f>
        <v/>
      </c>
      <c r="T24" s="4">
        <f>('QTR BS'!Q24-'QTR BS'!P24)</f>
        <v/>
      </c>
      <c r="U24" s="4">
        <f>('QTR BS'!R24-'QTR BS'!Q24)</f>
        <v/>
      </c>
      <c r="V24" s="4">
        <f>('QTR BS'!S24-'QTR BS'!R24)</f>
        <v/>
      </c>
      <c r="W24" s="4">
        <f>('QTR BS'!T24-'QTR BS'!S24)</f>
        <v/>
      </c>
      <c r="X24" s="4">
        <f>('QTR BS'!U24-'QTR BS'!T24)</f>
        <v/>
      </c>
      <c r="Y24" s="4">
        <f>('QTR BS'!V24-'QTR BS'!U24)</f>
        <v/>
      </c>
      <c r="Z24" s="4">
        <f>('QTR BS'!W24-'QTR BS'!V24)</f>
        <v/>
      </c>
      <c r="AA24" s="4">
        <f>('QTR BS'!X24-'QTR BS'!W24)</f>
        <v/>
      </c>
      <c r="AB24" s="4">
        <f>('QTR BS'!Y24-'QTR BS'!X24)</f>
        <v/>
      </c>
      <c r="AC24" s="4">
        <f>('QTR BS'!Z24-'QTR BS'!Y24)</f>
        <v/>
      </c>
      <c r="AD24" s="4">
        <f>('QTR BS'!AA24-'QTR BS'!Z24)</f>
        <v/>
      </c>
      <c r="AE24" s="4">
        <f>('QTR BS'!AB24-'QTR BS'!AA24)</f>
        <v/>
      </c>
      <c r="AF24" s="4">
        <f>('QTR BS'!AC24-'QTR BS'!AB24)</f>
        <v/>
      </c>
      <c r="AG24" s="4">
        <f>('QTR BS'!AD24-'QTR BS'!AC24)</f>
        <v/>
      </c>
    </row>
    <row r="25">
      <c r="A25" s="3" t="inlineStr">
        <is>
          <t>Accrued Distributor Termination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13" t="n">
        <v>0</v>
      </c>
      <c r="S25" s="13" t="n">
        <v>0</v>
      </c>
      <c r="T25" s="13" t="n">
        <v>0</v>
      </c>
      <c r="U25" s="13" t="n">
        <v>0</v>
      </c>
      <c r="V25" s="13" t="n">
        <v>0</v>
      </c>
      <c r="W25" s="13" t="n">
        <v>0</v>
      </c>
      <c r="X25" s="13" t="n">
        <v>0</v>
      </c>
      <c r="Y25" s="13" t="n">
        <v>0</v>
      </c>
      <c r="Z25" s="13" t="n">
        <v>0</v>
      </c>
      <c r="AA25" s="13" t="n">
        <v>0</v>
      </c>
      <c r="AB25" s="13" t="n">
        <v>0</v>
      </c>
      <c r="AC25" s="13" t="n">
        <v>0</v>
      </c>
      <c r="AD25" s="13" t="n">
        <v>0</v>
      </c>
      <c r="AE25" s="13" t="n">
        <v>0</v>
      </c>
      <c r="AF25" s="13" t="n">
        <v>0</v>
      </c>
      <c r="AG25" s="13" t="n">
        <v>0</v>
      </c>
    </row>
    <row r="26">
      <c r="A26" s="3" t="inlineStr">
        <is>
          <t>ROU &amp; Lease Liability, Net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</row>
    <row r="27">
      <c r="A27" s="3" t="inlineStr">
        <is>
          <t>Deferred Revenue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13" t="n">
        <v>0</v>
      </c>
      <c r="S27" s="13" t="n">
        <v>0</v>
      </c>
      <c r="T27" s="13" t="n">
        <v>0</v>
      </c>
      <c r="U27" s="13" t="n">
        <v>0</v>
      </c>
      <c r="V27" s="13" t="n">
        <v>0</v>
      </c>
      <c r="W27" s="13" t="n">
        <v>0</v>
      </c>
      <c r="X27" s="13" t="n">
        <v>0</v>
      </c>
      <c r="Y27" s="13" t="n">
        <v>0</v>
      </c>
      <c r="Z27" s="13" t="n">
        <v>0</v>
      </c>
      <c r="AA27" s="13" t="n">
        <v>0</v>
      </c>
      <c r="AB27" s="13" t="n">
        <v>0</v>
      </c>
      <c r="AC27" s="13" t="n">
        <v>0</v>
      </c>
      <c r="AD27" s="13" t="n">
        <v>0</v>
      </c>
      <c r="AE27" s="13" t="n">
        <v>0</v>
      </c>
      <c r="AF27" s="13" t="n">
        <v>0</v>
      </c>
      <c r="AG27" s="13" t="n">
        <v>0</v>
      </c>
    </row>
    <row r="28">
      <c r="A28" s="3" t="inlineStr">
        <is>
          <t>Net Change in Other Working Capital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</row>
    <row r="29">
      <c r="A29" s="3" t="inlineStr">
        <is>
          <t>Collections from Note Receivable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</row>
    <row r="30">
      <c r="A30" s="3" t="inlineStr">
        <is>
          <t>Purchase of PP&amp;E — % of Revenue</t>
        </is>
      </c>
      <c r="B30" s="11">
        <f>IFERROR('QTR CF'!B31/'QTR P&amp;L'!B2,"")</f>
        <v/>
      </c>
      <c r="C30" s="11">
        <f>IFERROR('QTR CF'!C31/'QTR P&amp;L'!C2,"")</f>
        <v/>
      </c>
      <c r="D30" s="11">
        <f>IFERROR('QTR CF'!D31/'QTR P&amp;L'!D2,"")</f>
        <v/>
      </c>
      <c r="E30" s="11">
        <f>IFERROR('QTR CF'!E31/'QTR P&amp;L'!E2,"")</f>
        <v/>
      </c>
      <c r="F30" s="11">
        <f>IFERROR('QTR CF'!F31/'QTR P&amp;L'!F2,"")</f>
        <v/>
      </c>
      <c r="G30" s="11">
        <f>IFERROR('QTR CF'!G31/'QTR P&amp;L'!G2,"")</f>
        <v/>
      </c>
      <c r="H30" s="11">
        <f>IFERROR('QTR CF'!H31/'QTR P&amp;L'!H2,"")</f>
        <v/>
      </c>
      <c r="I30" s="11">
        <f>IFERROR('QTR CF'!I31/'QTR P&amp;L'!I2,"")</f>
        <v/>
      </c>
      <c r="J30" s="11">
        <f>IFERROR('QTR CF'!J31/'QTR P&amp;L'!J2,"")</f>
        <v/>
      </c>
      <c r="K30" s="11">
        <f>IFERROR('QTR CF'!K31/'QTR P&amp;L'!K2,"")</f>
        <v/>
      </c>
      <c r="L30" s="11">
        <f>IFERROR('QTR CF'!L31/'QTR P&amp;L'!L2,"")</f>
        <v/>
      </c>
      <c r="M30" s="11">
        <f>IFERROR('QTR CF'!M31/'QTR P&amp;L'!M2,"")</f>
        <v/>
      </c>
      <c r="N30" s="11">
        <f>IFERROR('QTR CF'!N31/'QTR P&amp;L'!N2,"")</f>
        <v/>
      </c>
      <c r="O30" s="11">
        <f>IFERROR('QTR CF'!O31/'QTR P&amp;L'!O2,"")</f>
        <v/>
      </c>
      <c r="P30" s="11">
        <f>IFERROR('QTR CF'!P31/'QTR P&amp;L'!P2,"")</f>
        <v/>
      </c>
      <c r="Q30" s="11">
        <f>IFERROR('QTR CF'!Q31/'QTR P&amp;L'!Q2,"")</f>
        <v/>
      </c>
      <c r="R30" s="12">
        <f>Q30</f>
        <v/>
      </c>
      <c r="S30" s="12">
        <f>Q30</f>
        <v/>
      </c>
      <c r="T30" s="12">
        <f>Q30</f>
        <v/>
      </c>
      <c r="U30" s="12">
        <f>Q30</f>
        <v/>
      </c>
      <c r="V30" s="12">
        <f>Q30</f>
        <v/>
      </c>
      <c r="W30" s="12">
        <f>Q30</f>
        <v/>
      </c>
      <c r="X30" s="12">
        <f>Q30</f>
        <v/>
      </c>
      <c r="Y30" s="12">
        <f>Q30</f>
        <v/>
      </c>
      <c r="Z30" s="12">
        <f>Q30</f>
        <v/>
      </c>
      <c r="AA30" s="12">
        <f>Q30</f>
        <v/>
      </c>
      <c r="AB30" s="12">
        <f>Q30</f>
        <v/>
      </c>
      <c r="AC30" s="12">
        <f>Q30</f>
        <v/>
      </c>
      <c r="AD30" s="12">
        <f>Q30</f>
        <v/>
      </c>
      <c r="AE30" s="12">
        <f>Q30</f>
        <v/>
      </c>
      <c r="AF30" s="12">
        <f>Q30</f>
        <v/>
      </c>
      <c r="AG30" s="12">
        <f>Q30</f>
        <v/>
      </c>
    </row>
    <row r="31">
      <c r="A31" s="3" t="inlineStr">
        <is>
          <t>Purchase of Non-Marketable Equity Securities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</row>
    <row r="32">
      <c r="A32" s="3" t="inlineStr">
        <is>
          <t>Acquisitions, Net of Cash Acquired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</row>
    <row r="33">
      <c r="A33" s="3" t="inlineStr">
        <is>
          <t>Working Capital Estimate from Pepsi (Rockstar)</t>
        </is>
      </c>
      <c r="B33" s="4">
        <f>'QTR CF'!B34</f>
        <v/>
      </c>
      <c r="C33" s="4">
        <f>'QTR CF'!C34</f>
        <v/>
      </c>
      <c r="D33" s="4">
        <f>'QTR CF'!D34</f>
        <v/>
      </c>
      <c r="E33" s="4">
        <f>'QTR CF'!E34</f>
        <v/>
      </c>
      <c r="F33" s="4">
        <f>'QTR CF'!F34</f>
        <v/>
      </c>
      <c r="G33" s="4">
        <f>'QTR CF'!G34</f>
        <v/>
      </c>
      <c r="H33" s="4">
        <f>'QTR CF'!H34</f>
        <v/>
      </c>
      <c r="I33" s="4">
        <f>'QTR CF'!I34</f>
        <v/>
      </c>
      <c r="J33" s="4">
        <f>'QTR CF'!J34</f>
        <v/>
      </c>
      <c r="K33" s="4">
        <f>'QTR CF'!K34</f>
        <v/>
      </c>
      <c r="L33" s="4">
        <f>'QTR CF'!L34</f>
        <v/>
      </c>
      <c r="M33" s="4">
        <f>'QTR CF'!M34</f>
        <v/>
      </c>
      <c r="N33" s="4">
        <f>'QTR CF'!N34</f>
        <v/>
      </c>
      <c r="O33" s="4">
        <f>'QTR CF'!O34</f>
        <v/>
      </c>
      <c r="P33" s="4">
        <f>'QTR CF'!P34</f>
        <v/>
      </c>
      <c r="Q33" s="4">
        <f>'QTR CF'!Q34</f>
        <v/>
      </c>
      <c r="R33" s="13" t="n">
        <v>0</v>
      </c>
      <c r="S33" s="13" t="n">
        <v>0</v>
      </c>
      <c r="T33" s="13" t="n">
        <v>0</v>
      </c>
      <c r="U33" s="13" t="n">
        <v>0</v>
      </c>
      <c r="V33" s="13" t="n">
        <v>0</v>
      </c>
      <c r="W33" s="13" t="n">
        <v>0</v>
      </c>
      <c r="X33" s="13" t="n">
        <v>0</v>
      </c>
      <c r="Y33" s="13" t="n">
        <v>0</v>
      </c>
      <c r="Z33" s="13" t="n">
        <v>0</v>
      </c>
      <c r="AA33" s="13" t="n">
        <v>0</v>
      </c>
      <c r="AB33" s="13" t="n">
        <v>0</v>
      </c>
      <c r="AC33" s="13" t="n">
        <v>0</v>
      </c>
      <c r="AD33" s="13" t="n">
        <v>0</v>
      </c>
      <c r="AE33" s="13" t="n">
        <v>0</v>
      </c>
      <c r="AF33" s="13" t="n">
        <v>0</v>
      </c>
      <c r="AG33" s="13" t="n">
        <v>0</v>
      </c>
    </row>
    <row r="34">
      <c r="A34" s="3" t="inlineStr">
        <is>
          <t>Finance Lease Payments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</row>
    <row r="35">
      <c r="A35" s="3" t="inlineStr">
        <is>
          <t>Proceeds from Exercise of Stock Options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</row>
    <row r="36">
      <c r="A36" s="3" t="inlineStr">
        <is>
          <t>Proceeds from Issuance of Preferred Stock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</row>
    <row r="37">
      <c r="A37" s="3" t="inlineStr">
        <is>
          <t>Preferred Dividends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13">
        <f>Q37</f>
        <v/>
      </c>
      <c r="S37" s="13">
        <f>Q37</f>
        <v/>
      </c>
      <c r="T37" s="13">
        <f>Q37</f>
        <v/>
      </c>
      <c r="U37" s="13">
        <f>Q37</f>
        <v/>
      </c>
      <c r="V37" s="13">
        <f>Q37</f>
        <v/>
      </c>
      <c r="W37" s="13">
        <f>Q37</f>
        <v/>
      </c>
      <c r="X37" s="13">
        <f>Q37</f>
        <v/>
      </c>
      <c r="Y37" s="13">
        <f>Q37</f>
        <v/>
      </c>
      <c r="Z37" s="13">
        <f>Q37</f>
        <v/>
      </c>
      <c r="AA37" s="13">
        <f>Q37</f>
        <v/>
      </c>
      <c r="AB37" s="13">
        <f>Q37</f>
        <v/>
      </c>
      <c r="AC37" s="13">
        <f>Q37</f>
        <v/>
      </c>
      <c r="AD37" s="13">
        <f>Q37</f>
        <v/>
      </c>
      <c r="AE37" s="13">
        <f>Q37</f>
        <v/>
      </c>
      <c r="AF37" s="13">
        <f>Q37</f>
        <v/>
      </c>
      <c r="AG37" s="13">
        <f>Q37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</row>
    <row r="39">
      <c r="A39" s="3" t="inlineStr">
        <is>
          <t>Proceeds from Issuance of Long-Term Debt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</row>
    <row r="40">
      <c r="A40" s="3" t="inlineStr">
        <is>
          <t>Repayments of Long-Term Debt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</row>
    <row r="41">
      <c r="A41" s="3" t="inlineStr">
        <is>
          <t>Debt Issuance Fees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</row>
    <row r="42">
      <c r="A42" s="3" t="inlineStr">
        <is>
          <t>Other Financing Activities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</row>
    <row r="43">
      <c r="A43" s="3" t="inlineStr">
        <is>
          <t>FX Effect on Cash</t>
        </is>
      </c>
      <c r="B43" s="4">
        <f>'QTR CF'!B46</f>
        <v/>
      </c>
      <c r="C43" s="4">
        <f>'QTR CF'!C46</f>
        <v/>
      </c>
      <c r="D43" s="4">
        <f>'QTR CF'!D46</f>
        <v/>
      </c>
      <c r="E43" s="4">
        <f>'QTR CF'!E46</f>
        <v/>
      </c>
      <c r="F43" s="4">
        <f>'QTR CF'!F46</f>
        <v/>
      </c>
      <c r="G43" s="4">
        <f>'QTR CF'!G46</f>
        <v/>
      </c>
      <c r="H43" s="4">
        <f>'QTR CF'!H46</f>
        <v/>
      </c>
      <c r="I43" s="4">
        <f>'QTR CF'!I46</f>
        <v/>
      </c>
      <c r="J43" s="4">
        <f>'QTR CF'!J46</f>
        <v/>
      </c>
      <c r="K43" s="4">
        <f>'QTR CF'!K46</f>
        <v/>
      </c>
      <c r="L43" s="4">
        <f>'QTR CF'!L46</f>
        <v/>
      </c>
      <c r="M43" s="4">
        <f>'QTR CF'!M46</f>
        <v/>
      </c>
      <c r="N43" s="4">
        <f>'QTR CF'!N46</f>
        <v/>
      </c>
      <c r="O43" s="4">
        <f>'QTR CF'!O46</f>
        <v/>
      </c>
      <c r="P43" s="4">
        <f>'QTR CF'!P46</f>
        <v/>
      </c>
      <c r="Q43" s="4">
        <f>'QTR CF'!Q46</f>
        <v/>
      </c>
      <c r="R43" s="13">
        <f>Q43</f>
        <v/>
      </c>
      <c r="S43" s="13">
        <f>Q43</f>
        <v/>
      </c>
      <c r="T43" s="13">
        <f>Q43</f>
        <v/>
      </c>
      <c r="U43" s="13">
        <f>Q43</f>
        <v/>
      </c>
      <c r="V43" s="13">
        <f>Q43</f>
        <v/>
      </c>
      <c r="W43" s="13">
        <f>Q43</f>
        <v/>
      </c>
      <c r="X43" s="13">
        <f>Q43</f>
        <v/>
      </c>
      <c r="Y43" s="13">
        <f>Q43</f>
        <v/>
      </c>
      <c r="Z43" s="13">
        <f>Q43</f>
        <v/>
      </c>
      <c r="AA43" s="13">
        <f>Q43</f>
        <v/>
      </c>
      <c r="AB43" s="13">
        <f>Q43</f>
        <v/>
      </c>
      <c r="AC43" s="13">
        <f>Q43</f>
        <v/>
      </c>
      <c r="AD43" s="13">
        <f>Q43</f>
        <v/>
      </c>
      <c r="AE43" s="13">
        <f>Q43</f>
        <v/>
      </c>
      <c r="AF43" s="13">
        <f>Q43</f>
        <v/>
      </c>
      <c r="AG43" s="13">
        <f>Q43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2026-04-28T14:31:12Z</dcterms:created>
  <dcterms:modified xmlns:dcterms="http://purl.org/dc/terms/" xmlns:xsi="http://www.w3.org/2001/XMLSchema-instance" xsi:type="dcterms:W3CDTF">2026-04-28T14:31:13Z</dcterms:modified>
</cp:coreProperties>
</file>