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L P&amp;L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QTR P&amp;L" sheetId="4" state="visible" r:id="rId4"/>
    <sheet xmlns:r="http://schemas.openxmlformats.org/officeDocument/2006/relationships" name="QTR BS" sheetId="5" state="visible" r:id="rId5"/>
    <sheet xmlns:r="http://schemas.openxmlformats.org/officeDocument/2006/relationships" name="QTR CF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-&quot;"/>
    <numFmt numFmtId="165" formatCode="$#,##0_);($#,##0);&quot;$--&quot;_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-7996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Net Income (Loss) Less NCI</t>
        </is>
      </c>
      <c r="B14" s="4" t="n">
        <v>3937</v>
      </c>
      <c r="C14" s="4" t="n">
        <v>-187282</v>
      </c>
      <c r="D14" s="4" t="n">
        <v>226801</v>
      </c>
      <c r="E14" s="4" t="n">
        <v>145074</v>
      </c>
      <c r="F14" s="4" t="n">
        <v>107999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Preferred Dividends</t>
        </is>
      </c>
      <c r="B15" s="4" t="n">
        <v>0</v>
      </c>
      <c r="C15" s="4" t="n">
        <v>-11526</v>
      </c>
      <c r="D15" s="4" t="n">
        <v>-27462</v>
      </c>
      <c r="E15" s="4" t="n">
        <v>-27500</v>
      </c>
      <c r="F15" s="4" t="n">
        <v>-37608</v>
      </c>
      <c r="G15" s="5" t="n"/>
      <c r="H15" s="5" t="n"/>
      <c r="I15" s="5" t="n"/>
      <c r="J15" s="5" t="n"/>
      <c r="K15" s="5" t="n"/>
      <c r="L15" s="5" t="n"/>
    </row>
    <row r="16">
      <c r="A16" s="3" t="inlineStr">
        <is>
          <t>Income Allocated to Participating Preferred</t>
        </is>
      </c>
      <c r="B16" s="4" t="n">
        <v>0</v>
      </c>
      <c r="C16" s="4" t="n">
        <v>0</v>
      </c>
      <c r="D16" s="4" t="n">
        <v>17348</v>
      </c>
      <c r="E16" s="4" t="n">
        <v>10117</v>
      </c>
      <c r="F16" s="4" t="n">
        <v>6554</v>
      </c>
      <c r="G16" s="5" t="n"/>
      <c r="H16" s="5" t="n"/>
      <c r="I16" s="5" t="n"/>
      <c r="J16" s="5" t="n"/>
      <c r="K16" s="5" t="n"/>
      <c r="L16" s="5" t="n"/>
    </row>
    <row r="17">
      <c r="A17" s="3" t="inlineStr">
        <is>
          <t>Net Income (Loss) Attributable to Common Shareholders</t>
        </is>
      </c>
      <c r="B17" s="4" t="n">
        <v>3937</v>
      </c>
      <c r="C17" s="4" t="n">
        <v>-198808</v>
      </c>
      <c r="D17" s="4" t="n">
        <v>181991</v>
      </c>
      <c r="E17" s="4" t="n">
        <v>107457</v>
      </c>
      <c r="F17" s="4" t="n">
        <v>63837</v>
      </c>
      <c r="G17" s="5" t="n"/>
      <c r="H17" s="5" t="n"/>
      <c r="I17" s="5" t="n"/>
      <c r="J17" s="5" t="n"/>
      <c r="K17" s="5" t="n"/>
      <c r="L17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5" t="n"/>
      <c r="G25" s="5" t="n"/>
      <c r="H25" s="5" t="n"/>
      <c r="I25" s="5" t="n"/>
      <c r="J25" s="5" t="n"/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5" t="n"/>
      <c r="G31" s="5" t="n"/>
      <c r="H31" s="5" t="n"/>
      <c r="I31" s="5" t="n"/>
      <c r="J31" s="5" t="n"/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5" t="n"/>
      <c r="G38" s="5" t="n"/>
      <c r="H38" s="5" t="n"/>
      <c r="I38" s="5" t="n"/>
      <c r="J38" s="5" t="n"/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5" t="n"/>
      <c r="G41" s="5" t="n"/>
      <c r="H41" s="5" t="n"/>
      <c r="I41" s="5" t="n"/>
      <c r="J41" s="5" t="n"/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5" t="n"/>
      <c r="G42" s="5" t="n"/>
      <c r="H42" s="5" t="n"/>
      <c r="I42" s="5" t="n"/>
      <c r="J42" s="5" t="n"/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5" t="n"/>
      <c r="G43" s="5" t="n"/>
      <c r="H43" s="5" t="n"/>
      <c r="I43" s="5" t="n"/>
      <c r="J43" s="5" t="n"/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5" t="n"/>
      <c r="H4" s="5" t="n"/>
      <c r="I4" s="5" t="n"/>
      <c r="J4" s="5" t="n"/>
      <c r="K4" s="5" t="n"/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5" t="n"/>
      <c r="H7" s="5" t="n"/>
      <c r="I7" s="5" t="n"/>
      <c r="J7" s="5" t="n"/>
      <c r="K7" s="5" t="n"/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5" t="n"/>
      <c r="H11" s="5" t="n"/>
      <c r="I11" s="5" t="n"/>
      <c r="J11" s="5" t="n"/>
      <c r="K11" s="5" t="n"/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5" t="n"/>
      <c r="H13" s="5" t="n"/>
      <c r="I13" s="5" t="n"/>
      <c r="J13" s="5" t="n"/>
      <c r="K13" s="5" t="n"/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5" t="n"/>
      <c r="H15" s="5" t="n"/>
      <c r="I15" s="5" t="n"/>
      <c r="J15" s="5" t="n"/>
      <c r="K15" s="5" t="n"/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5" t="n"/>
      <c r="H16" s="5" t="n"/>
      <c r="I16" s="5" t="n"/>
      <c r="J16" s="5" t="n"/>
      <c r="K16" s="5" t="n"/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5" t="n"/>
      <c r="H17" s="5" t="n"/>
      <c r="I17" s="5" t="n"/>
      <c r="J17" s="5" t="n"/>
      <c r="K17" s="5" t="n"/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5" t="n"/>
      <c r="H19" s="5" t="n"/>
      <c r="I19" s="5" t="n"/>
      <c r="J19" s="5" t="n"/>
      <c r="K19" s="5" t="n"/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5" t="n"/>
      <c r="H20" s="5" t="n"/>
      <c r="I20" s="5" t="n"/>
      <c r="J20" s="5" t="n"/>
      <c r="K20" s="5" t="n"/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5" t="n"/>
      <c r="H21" s="5" t="n"/>
      <c r="I21" s="5" t="n"/>
      <c r="J21" s="5" t="n"/>
      <c r="K21" s="5" t="n"/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5" t="n"/>
      <c r="H22" s="5" t="n"/>
      <c r="I22" s="5" t="n"/>
      <c r="J22" s="5" t="n"/>
      <c r="K22" s="5" t="n"/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5" t="n"/>
      <c r="H23" s="5" t="n"/>
      <c r="I23" s="5" t="n"/>
      <c r="J23" s="5" t="n"/>
      <c r="K23" s="5" t="n"/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5" t="n"/>
      <c r="H24" s="5" t="n"/>
      <c r="I24" s="5" t="n"/>
      <c r="J24" s="5" t="n"/>
      <c r="K24" s="5" t="n"/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5" t="n"/>
      <c r="H25" s="5" t="n"/>
      <c r="I25" s="5" t="n"/>
      <c r="J25" s="5" t="n"/>
      <c r="K25" s="5" t="n"/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5" t="n"/>
      <c r="H26" s="5" t="n"/>
      <c r="I26" s="5" t="n"/>
      <c r="J26" s="5" t="n"/>
      <c r="K26" s="5" t="n"/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5" t="n"/>
      <c r="H27" s="5" t="n"/>
      <c r="I27" s="5" t="n"/>
      <c r="J27" s="5" t="n"/>
      <c r="K27" s="5" t="n"/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5" t="n"/>
      <c r="H28" s="5" t="n"/>
      <c r="I28" s="5" t="n"/>
      <c r="J28" s="5" t="n"/>
      <c r="K28" s="5" t="n"/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5" t="n"/>
      <c r="H30" s="5" t="n"/>
      <c r="I30" s="5" t="n"/>
      <c r="J30" s="5" t="n"/>
      <c r="K30" s="5" t="n"/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5" t="n"/>
      <c r="H31" s="5" t="n"/>
      <c r="I31" s="5" t="n"/>
      <c r="J31" s="5" t="n"/>
      <c r="K31" s="5" t="n"/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5" t="n"/>
      <c r="H32" s="5" t="n"/>
      <c r="I32" s="5" t="n"/>
      <c r="J32" s="5" t="n"/>
      <c r="K32" s="5" t="n"/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5" t="n"/>
      <c r="H33" s="5" t="n"/>
      <c r="I33" s="5" t="n"/>
      <c r="J33" s="5" t="n"/>
      <c r="K33" s="5" t="n"/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5" t="n"/>
      <c r="H34" s="5" t="n"/>
      <c r="I34" s="5" t="n"/>
      <c r="J34" s="5" t="n"/>
      <c r="K34" s="5" t="n"/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5" t="n"/>
      <c r="H35" s="5" t="n"/>
      <c r="I35" s="5" t="n"/>
      <c r="J35" s="5" t="n"/>
      <c r="K35" s="5" t="n"/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5" t="n"/>
      <c r="H37" s="5" t="n"/>
      <c r="I37" s="5" t="n"/>
      <c r="J37" s="5" t="n"/>
      <c r="K37" s="5" t="n"/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5" t="n"/>
      <c r="H38" s="5" t="n"/>
      <c r="I38" s="5" t="n"/>
      <c r="J38" s="5" t="n"/>
      <c r="K38" s="5" t="n"/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5" t="n"/>
      <c r="H39" s="5" t="n"/>
      <c r="I39" s="5" t="n"/>
      <c r="J39" s="5" t="n"/>
      <c r="K39" s="5" t="n"/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5" t="n"/>
      <c r="H40" s="5" t="n"/>
      <c r="I40" s="5" t="n"/>
      <c r="J40" s="5" t="n"/>
      <c r="K40" s="5" t="n"/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5" t="n"/>
      <c r="H41" s="5" t="n"/>
      <c r="I41" s="5" t="n"/>
      <c r="J41" s="5" t="n"/>
      <c r="K41" s="5" t="n"/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5" t="n"/>
      <c r="H42" s="5" t="n"/>
      <c r="I42" s="5" t="n"/>
      <c r="J42" s="5" t="n"/>
      <c r="K42" s="5" t="n"/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5" t="n"/>
      <c r="H43" s="5" t="n"/>
      <c r="I43" s="5" t="n"/>
      <c r="J43" s="5" t="n"/>
      <c r="K43" s="5" t="n"/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5" t="n"/>
      <c r="H44" s="5" t="n"/>
      <c r="I44" s="5" t="n"/>
      <c r="J44" s="5" t="n"/>
      <c r="K44" s="5" t="n"/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5" t="n"/>
      <c r="H45" s="5" t="n"/>
      <c r="I45" s="5" t="n"/>
      <c r="J45" s="5" t="n"/>
      <c r="K45" s="5" t="n"/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5" t="n"/>
      <c r="H46" s="5" t="n"/>
      <c r="I46" s="5" t="n"/>
      <c r="J46" s="5" t="n"/>
      <c r="K46" s="5" t="n"/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5" t="n"/>
      <c r="H48" s="5" t="n"/>
      <c r="I48" s="5" t="n"/>
      <c r="J48" s="5" t="n"/>
      <c r="K48" s="5" t="n"/>
      <c r="L48" s="5" t="n"/>
    </row>
    <row r="49">
      <c r="A49" s="3" t="inlineStr">
        <is>
          <t>Net Change in Cash</t>
        </is>
      </c>
      <c r="B49" s="6">
        <f>B29+B36+B47+B48+B49</f>
        <v/>
      </c>
      <c r="C49" s="6">
        <f>C29+C36+C47+C48+C49</f>
        <v/>
      </c>
      <c r="D49" s="6">
        <f>D29+D36+D47+D48+D49</f>
        <v/>
      </c>
      <c r="E49" s="6">
        <f>E29+E36+E47+E48+E49</f>
        <v/>
      </c>
      <c r="F49" s="6">
        <f>F29+F36+F47+F48+F49</f>
        <v/>
      </c>
      <c r="G49" s="7">
        <f>G29+G36+G47+G48+G49</f>
        <v/>
      </c>
      <c r="H49" s="7">
        <f>H29+H36+H47+H48+H49</f>
        <v/>
      </c>
      <c r="I49" s="7">
        <f>I29+I36+I47+I48+I49</f>
        <v/>
      </c>
      <c r="J49" s="7">
        <f>J29+J36+J47+J48+J49</f>
        <v/>
      </c>
      <c r="K49" s="7">
        <f>K29+K36+K47+K48+K49</f>
        <v/>
      </c>
      <c r="L49" s="7">
        <f>L29+L36+L47+L48+L49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Net Income (Loss) Less NCI</t>
        </is>
      </c>
      <c r="B14" s="4" t="n">
        <v>6679</v>
      </c>
      <c r="C14" s="4" t="n">
        <v>15838</v>
      </c>
      <c r="D14" s="4" t="n">
        <v>-166059</v>
      </c>
      <c r="E14" s="4" t="n">
        <v>41227</v>
      </c>
      <c r="F14" s="4" t="n">
        <v>92736</v>
      </c>
      <c r="G14" s="4" t="n">
        <v>176685</v>
      </c>
      <c r="H14" s="4" t="n">
        <v>77811</v>
      </c>
      <c r="I14" s="4" t="n">
        <v>157594</v>
      </c>
      <c r="J14" s="4" t="n">
        <v>163950</v>
      </c>
      <c r="K14" s="4" t="n">
        <v>44419</v>
      </c>
      <c r="L14" s="4" t="n">
        <v>144274</v>
      </c>
      <c r="M14" s="4" t="n">
        <v>0</v>
      </c>
    </row>
    <row r="15">
      <c r="A15" s="3" t="inlineStr">
        <is>
          <t>Preferred Dividends</t>
        </is>
      </c>
      <c r="B15" s="4" t="n">
        <v>0</v>
      </c>
      <c r="C15" s="4" t="n">
        <v>0</v>
      </c>
      <c r="D15" s="4" t="n">
        <v>-4596</v>
      </c>
      <c r="E15" s="4" t="n">
        <v>-6781</v>
      </c>
      <c r="F15" s="4" t="n">
        <v>-13637</v>
      </c>
      <c r="G15" s="4" t="n">
        <v>-20512</v>
      </c>
      <c r="H15" s="4" t="n">
        <v>-6837</v>
      </c>
      <c r="I15" s="4" t="n">
        <v>-13675</v>
      </c>
      <c r="J15" s="4" t="n">
        <v>-20588</v>
      </c>
      <c r="K15" s="4" t="n">
        <v>-6781</v>
      </c>
      <c r="L15" s="4" t="n">
        <v>-13632</v>
      </c>
      <c r="M15" s="4" t="n">
        <v>-23289</v>
      </c>
    </row>
    <row r="16">
      <c r="A16" s="3" t="inlineStr">
        <is>
          <t>Income Allocated to Participating Preferred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6727</v>
      </c>
      <c r="G16" s="4" t="n">
        <v>13263</v>
      </c>
      <c r="H16" s="4" t="n">
        <v>6128</v>
      </c>
      <c r="I16" s="4" t="n">
        <v>12417</v>
      </c>
      <c r="J16" s="4" t="n">
        <v>12357</v>
      </c>
      <c r="K16" s="4" t="n">
        <v>3219</v>
      </c>
      <c r="L16" s="4" t="n">
        <v>10703</v>
      </c>
      <c r="M16" s="4" t="n">
        <v>5272</v>
      </c>
    </row>
    <row r="17">
      <c r="A17" s="3" t="inlineStr">
        <is>
          <t>Net Income (Loss) Attributable to Common Shareholders</t>
        </is>
      </c>
      <c r="B17" s="4" t="n">
        <v>6679</v>
      </c>
      <c r="C17" s="4" t="n">
        <v>15838</v>
      </c>
      <c r="D17" s="4" t="n">
        <v>-170655</v>
      </c>
      <c r="E17" s="4" t="n">
        <v>34446</v>
      </c>
      <c r="F17" s="4" t="n">
        <v>72372</v>
      </c>
      <c r="G17" s="4" t="n">
        <v>142910</v>
      </c>
      <c r="H17" s="4" t="n">
        <v>64846</v>
      </c>
      <c r="I17" s="4" t="n">
        <v>131502</v>
      </c>
      <c r="J17" s="4" t="n">
        <v>131005</v>
      </c>
      <c r="K17" s="4" t="n">
        <v>34419</v>
      </c>
      <c r="L17" s="4" t="n">
        <v>119939</v>
      </c>
      <c r="M17" s="4" t="n">
        <v>54699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Additional Paid-in Capital</t>
        </is>
      </c>
      <c r="B40" s="4" t="n">
        <v>280668</v>
      </c>
      <c r="C40" s="4" t="n">
        <v>279872</v>
      </c>
      <c r="D40" s="4" t="n">
        <v>278980</v>
      </c>
      <c r="E40" s="4" t="n">
        <v>277980</v>
      </c>
      <c r="F40" s="4" t="n">
        <v>276717</v>
      </c>
      <c r="G40" s="4" t="n">
        <v>281247</v>
      </c>
      <c r="H40" s="4" t="n">
        <v>286173</v>
      </c>
      <c r="I40" s="4" t="n">
        <v>292576</v>
      </c>
      <c r="J40" s="4" t="n">
        <v>297579</v>
      </c>
      <c r="K40" s="4" t="n">
        <v>300877</v>
      </c>
      <c r="L40" s="4" t="n">
        <v>1028384</v>
      </c>
      <c r="M40" s="4" t="n">
        <v>1035021</v>
      </c>
    </row>
    <row r="41">
      <c r="A41" s="3" t="inlineStr">
        <is>
          <t>Accumulated Other Comprehensive Income (Loss)</t>
        </is>
      </c>
      <c r="B41" s="4" t="n">
        <v>-1881</v>
      </c>
      <c r="C41" s="4" t="n">
        <v>-1287</v>
      </c>
      <c r="D41" s="4" t="n">
        <v>-1877</v>
      </c>
      <c r="E41" s="4" t="n">
        <v>-2541</v>
      </c>
      <c r="F41" s="4" t="n">
        <v>-701</v>
      </c>
      <c r="G41" s="4" t="n">
        <v>-2055</v>
      </c>
      <c r="H41" s="4" t="n">
        <v>-2363</v>
      </c>
      <c r="I41" s="4" t="n">
        <v>-338</v>
      </c>
      <c r="J41" s="4" t="n">
        <v>-3250</v>
      </c>
      <c r="K41" s="4" t="n">
        <v>-1001</v>
      </c>
      <c r="L41" s="4" t="n">
        <v>2178</v>
      </c>
      <c r="M41" s="4" t="n">
        <v>2508</v>
      </c>
    </row>
    <row r="42">
      <c r="A42" s="3" t="inlineStr">
        <is>
          <t>Retained Earnings (Accumulated Deficit)</t>
        </is>
      </c>
      <c r="B42" s="4" t="n">
        <v>-238772</v>
      </c>
      <c r="C42" s="4" t="n">
        <v>-197627</v>
      </c>
      <c r="D42" s="4" t="n">
        <v>-146118</v>
      </c>
      <c r="E42" s="4" t="n">
        <v>-62169</v>
      </c>
      <c r="F42" s="4" t="n">
        <v>-12053</v>
      </c>
      <c r="G42" s="4" t="n">
        <v>58921</v>
      </c>
      <c r="H42" s="4" t="n">
        <v>131866</v>
      </c>
      <c r="I42" s="4" t="n">
        <v>131309</v>
      </c>
      <c r="J42" s="4" t="n">
        <v>105521</v>
      </c>
      <c r="K42" s="4" t="n">
        <v>143159</v>
      </c>
      <c r="L42" s="4" t="n">
        <v>236163</v>
      </c>
      <c r="M42" s="4" t="n">
        <v>165480</v>
      </c>
    </row>
    <row r="43">
      <c r="A43" s="3" t="inlineStr">
        <is>
          <t>Total Stockholders' Equity</t>
        </is>
      </c>
      <c r="B43" s="6">
        <f>SUM(B38:B42)</f>
        <v/>
      </c>
      <c r="C43" s="6">
        <f>SUM(C38:C42)</f>
        <v/>
      </c>
      <c r="D43" s="6">
        <f>SUM(D38:D42)</f>
        <v/>
      </c>
      <c r="E43" s="6">
        <f>SUM(E38:E42)</f>
        <v/>
      </c>
      <c r="F43" s="6">
        <f>SUM(F38:F42)</f>
        <v/>
      </c>
      <c r="G43" s="6">
        <f>SUM(G38:G42)</f>
        <v/>
      </c>
      <c r="H43" s="6">
        <f>SUM(H38:H42)</f>
        <v/>
      </c>
      <c r="I43" s="6">
        <f>SUM(I38:I42)</f>
        <v/>
      </c>
      <c r="J43" s="6">
        <f>SUM(J38:J42)</f>
        <v/>
      </c>
      <c r="K43" s="6">
        <f>SUM(K38:K42)</f>
        <v/>
      </c>
      <c r="L43" s="6">
        <f>SUM(L38:L42)</f>
        <v/>
      </c>
      <c r="M43" s="6">
        <f>SUM(M38:M42)</f>
        <v/>
      </c>
    </row>
    <row r="44">
      <c r="A44" s="3" t="inlineStr">
        <is>
          <t>Total Liabilities, Mezzanine &amp; Stockholders' Equity</t>
        </is>
      </c>
      <c r="B44" s="6">
        <f>B37+B43</f>
        <v/>
      </c>
      <c r="C44" s="6">
        <f>C37+C43</f>
        <v/>
      </c>
      <c r="D44" s="6">
        <f>D37+D43</f>
        <v/>
      </c>
      <c r="E44" s="6">
        <f>E37+E43</f>
        <v/>
      </c>
      <c r="F44" s="6">
        <f>F37+F43</f>
        <v/>
      </c>
      <c r="G44" s="6">
        <f>G37+G43</f>
        <v/>
      </c>
      <c r="H44" s="6">
        <f>H37+H43</f>
        <v/>
      </c>
      <c r="I44" s="6">
        <f>I37+I43</f>
        <v/>
      </c>
      <c r="J44" s="6">
        <f>J37+J43</f>
        <v/>
      </c>
      <c r="K44" s="6">
        <f>K37+K43</f>
        <v/>
      </c>
      <c r="L44" s="6">
        <f>L37+L43</f>
        <v/>
      </c>
      <c r="M44" s="6">
        <f>M37+M43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Change in Fair Value of Contingent Consideration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13800</v>
      </c>
      <c r="M14" s="4" t="n">
        <v>13800</v>
      </c>
    </row>
    <row r="15">
      <c r="A15" s="3" t="inlineStr">
        <is>
          <t>Other Operating Items</t>
        </is>
      </c>
      <c r="B15" s="4" t="n">
        <v>0</v>
      </c>
      <c r="C15" s="4" t="n">
        <v>0</v>
      </c>
      <c r="D15" s="4" t="n">
        <v>56</v>
      </c>
      <c r="E15" s="4" t="n">
        <v>-4</v>
      </c>
      <c r="F15" s="4" t="n">
        <v>8</v>
      </c>
      <c r="G15" s="4" t="n">
        <v>-2</v>
      </c>
      <c r="H15" s="4" t="n">
        <v>-7672</v>
      </c>
      <c r="I15" s="4" t="n">
        <v>0</v>
      </c>
      <c r="J15" s="4" t="n">
        <v>0</v>
      </c>
      <c r="K15" s="4" t="n">
        <v>-1014</v>
      </c>
      <c r="L15" s="4" t="n">
        <v>-257</v>
      </c>
      <c r="M15" s="4" t="n">
        <v>1964</v>
      </c>
    </row>
    <row r="16">
      <c r="A16" s="3" t="inlineStr">
        <is>
          <t>Accounts Receivable</t>
        </is>
      </c>
      <c r="B16" s="4" t="n">
        <v>-34420</v>
      </c>
      <c r="C16" s="4" t="n">
        <v>-27920</v>
      </c>
      <c r="D16" s="4" t="n">
        <v>-78967</v>
      </c>
      <c r="E16" s="4" t="n">
        <v>-109639</v>
      </c>
      <c r="F16" s="4" t="n">
        <v>-135600</v>
      </c>
      <c r="G16" s="4" t="n">
        <v>-153271</v>
      </c>
      <c r="H16" s="4" t="n">
        <v>-18664</v>
      </c>
      <c r="I16" s="4" t="n">
        <v>-82213</v>
      </c>
      <c r="J16" s="4" t="n">
        <v>-26529</v>
      </c>
      <c r="K16" s="4" t="n">
        <v>11841</v>
      </c>
      <c r="L16" s="4" t="n">
        <v>-143153</v>
      </c>
      <c r="M16" s="4" t="n">
        <v>-164133</v>
      </c>
    </row>
    <row r="17">
      <c r="A17" s="3" t="inlineStr">
        <is>
          <t>Inventories</t>
        </is>
      </c>
      <c r="B17" s="4" t="n">
        <v>4531</v>
      </c>
      <c r="C17" s="4" t="n">
        <v>28753</v>
      </c>
      <c r="D17" s="4" t="n">
        <v>36211</v>
      </c>
      <c r="E17" s="4" t="n">
        <v>17338</v>
      </c>
      <c r="F17" s="4" t="n">
        <v>24632</v>
      </c>
      <c r="G17" s="4" t="n">
        <v>-28092</v>
      </c>
      <c r="H17" s="4" t="n">
        <v>29386</v>
      </c>
      <c r="I17" s="4" t="n">
        <v>37052</v>
      </c>
      <c r="J17" s="4" t="n">
        <v>14585</v>
      </c>
      <c r="K17" s="4" t="n">
        <v>4794</v>
      </c>
      <c r="L17" s="4" t="n">
        <v>23039</v>
      </c>
      <c r="M17" s="4" t="n">
        <v>31132</v>
      </c>
    </row>
    <row r="18">
      <c r="A18" s="3" t="inlineStr">
        <is>
          <t>Prepaid Expenses</t>
        </is>
      </c>
      <c r="B18" s="4" t="n">
        <v>3513</v>
      </c>
      <c r="C18" s="4" t="n">
        <v>1257</v>
      </c>
      <c r="D18" s="4" t="n">
        <v>1459</v>
      </c>
      <c r="E18" s="4" t="n">
        <v>-4166</v>
      </c>
      <c r="F18" s="4" t="n">
        <v>-12058</v>
      </c>
      <c r="G18" s="4" t="n">
        <v>-12406</v>
      </c>
      <c r="H18" s="4" t="n">
        <v>-2076</v>
      </c>
      <c r="I18" s="4" t="n">
        <v>-3469</v>
      </c>
      <c r="J18" s="4" t="n">
        <v>-20261</v>
      </c>
      <c r="K18" s="4" t="n">
        <v>-3687</v>
      </c>
      <c r="L18" s="4" t="n">
        <v>-20645</v>
      </c>
      <c r="M18" s="4" t="n">
        <v>-142920</v>
      </c>
    </row>
    <row r="19">
      <c r="A19" s="3" t="inlineStr">
        <is>
          <t>Change in A/P and Accrued (legacy)</t>
        </is>
      </c>
      <c r="B19" s="4" t="n">
        <v>5552</v>
      </c>
      <c r="C19" s="4" t="n">
        <v>-7176</v>
      </c>
      <c r="D19" s="4" t="n">
        <v>-3050</v>
      </c>
      <c r="E19" s="4" t="n">
        <v>182</v>
      </c>
      <c r="F19" s="4" t="n">
        <v>-12491</v>
      </c>
      <c r="G19" s="4" t="n">
        <v>14652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-6362</v>
      </c>
      <c r="J20" s="4" t="n">
        <v>-5303</v>
      </c>
      <c r="K20" s="4" t="n">
        <v>-1700</v>
      </c>
      <c r="L20" s="4" t="n">
        <v>742</v>
      </c>
      <c r="M20" s="4" t="n">
        <v>1511</v>
      </c>
    </row>
    <row r="21">
      <c r="A21" s="3" t="inlineStr">
        <is>
          <t>Accounts Payable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-3013</v>
      </c>
      <c r="I21" s="4" t="n">
        <v>3950</v>
      </c>
      <c r="J21" s="4" t="n">
        <v>-12259</v>
      </c>
      <c r="K21" s="4" t="n">
        <v>11679</v>
      </c>
      <c r="L21" s="4" t="n">
        <v>20789</v>
      </c>
      <c r="M21" s="4" t="n">
        <v>4081</v>
      </c>
    </row>
    <row r="22">
      <c r="A22" s="3" t="inlineStr">
        <is>
          <t>Accrued Expenses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1998</v>
      </c>
      <c r="I22" s="4" t="n">
        <v>17760</v>
      </c>
      <c r="J22" s="4" t="n">
        <v>11151</v>
      </c>
      <c r="K22" s="4" t="n">
        <v>-8673</v>
      </c>
      <c r="L22" s="4" t="n">
        <v>-7013</v>
      </c>
      <c r="M22" s="4" t="n">
        <v>32961</v>
      </c>
    </row>
    <row r="23">
      <c r="A23" s="3" t="inlineStr">
        <is>
          <t>Other Current Liabilities</t>
        </is>
      </c>
      <c r="B23" s="4" t="n">
        <v>765</v>
      </c>
      <c r="C23" s="4" t="n">
        <v>1820</v>
      </c>
      <c r="D23" s="4" t="n">
        <v>32590</v>
      </c>
      <c r="E23" s="4" t="n">
        <v>1508</v>
      </c>
      <c r="F23" s="4" t="n">
        <v>61128</v>
      </c>
      <c r="G23" s="4" t="n">
        <v>62901</v>
      </c>
      <c r="H23" s="4" t="n">
        <v>10344</v>
      </c>
      <c r="I23" s="4" t="n">
        <v>-42094</v>
      </c>
      <c r="J23" s="4" t="n">
        <v>-45537</v>
      </c>
      <c r="K23" s="4" t="n">
        <v>13705</v>
      </c>
      <c r="L23" s="4" t="n">
        <v>12927</v>
      </c>
      <c r="M23" s="4" t="n">
        <v>42433</v>
      </c>
    </row>
    <row r="24">
      <c r="A24" s="3" t="inlineStr">
        <is>
          <t>Accrued Promotional Allowance</t>
        </is>
      </c>
      <c r="B24" s="4" t="n">
        <v>12190</v>
      </c>
      <c r="C24" s="4" t="n">
        <v>17512</v>
      </c>
      <c r="D24" s="4" t="n">
        <v>24213</v>
      </c>
      <c r="E24" s="4" t="n">
        <v>32248</v>
      </c>
      <c r="F24" s="4" t="n">
        <v>62995</v>
      </c>
      <c r="G24" s="4" t="n">
        <v>100580</v>
      </c>
      <c r="H24" s="4" t="n">
        <v>29414</v>
      </c>
      <c r="I24" s="4" t="n">
        <v>56692</v>
      </c>
      <c r="J24" s="4" t="n">
        <v>59023</v>
      </c>
      <c r="K24" s="4" t="n">
        <v>15379</v>
      </c>
      <c r="L24" s="4" t="n">
        <v>64221</v>
      </c>
      <c r="M24" s="4" t="n">
        <v>83276</v>
      </c>
    </row>
    <row r="25">
      <c r="A25" s="3" t="inlineStr">
        <is>
          <t>Accrued Distributor Termination</t>
        </is>
      </c>
      <c r="B25" s="4" t="n">
        <v>0</v>
      </c>
      <c r="C25" s="4" t="n">
        <v>0</v>
      </c>
      <c r="D25" s="4" t="n">
        <v>115551</v>
      </c>
      <c r="E25" s="4" t="n">
        <v>-2923</v>
      </c>
      <c r="F25" s="4" t="n">
        <v>-3986</v>
      </c>
      <c r="G25" s="4" t="n">
        <v>-3986</v>
      </c>
      <c r="H25" s="4" t="n">
        <v>-248</v>
      </c>
      <c r="I25" s="4" t="n">
        <v>-248</v>
      </c>
      <c r="J25" s="4" t="n">
        <v>-248</v>
      </c>
      <c r="K25" s="4" t="n">
        <v>0</v>
      </c>
      <c r="L25" s="4" t="n">
        <v>0</v>
      </c>
      <c r="M25" s="4" t="n">
        <v>252953</v>
      </c>
    </row>
    <row r="26">
      <c r="A26" s="3" t="inlineStr">
        <is>
          <t>ROU &amp; Lease Liability, Net</t>
        </is>
      </c>
      <c r="B26" s="4" t="n">
        <v>-78</v>
      </c>
      <c r="C26" s="4" t="n">
        <v>-95</v>
      </c>
      <c r="D26" s="4" t="n">
        <v>-126</v>
      </c>
      <c r="E26" s="4" t="n">
        <v>-15</v>
      </c>
      <c r="F26" s="4" t="n">
        <v>-38</v>
      </c>
      <c r="G26" s="4" t="n">
        <v>-64</v>
      </c>
      <c r="H26" s="4" t="n">
        <v>-23</v>
      </c>
      <c r="I26" s="4" t="n">
        <v>-34</v>
      </c>
      <c r="J26" s="4" t="n">
        <v>17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Deferred Revenue</t>
        </is>
      </c>
      <c r="B27" s="4" t="n">
        <v>0</v>
      </c>
      <c r="C27" s="4" t="n">
        <v>0</v>
      </c>
      <c r="D27" s="4" t="n">
        <v>154103</v>
      </c>
      <c r="E27" s="4" t="n">
        <v>-4625</v>
      </c>
      <c r="F27" s="4" t="n">
        <v>-8219</v>
      </c>
      <c r="G27" s="4" t="n">
        <v>-10593</v>
      </c>
      <c r="H27" s="4" t="n">
        <v>-2378</v>
      </c>
      <c r="I27" s="4" t="n">
        <v>-4757</v>
      </c>
      <c r="J27" s="4" t="n">
        <v>-7135</v>
      </c>
      <c r="K27" s="4" t="n">
        <v>-2378</v>
      </c>
      <c r="L27" s="4" t="n">
        <v>-7320</v>
      </c>
      <c r="M27" s="4" t="n">
        <v>233463</v>
      </c>
    </row>
    <row r="28">
      <c r="A28" s="3" t="inlineStr">
        <is>
          <t>Net Change in Other Working Capital</t>
        </is>
      </c>
      <c r="B28" s="4" t="n">
        <v>0</v>
      </c>
      <c r="C28" s="4" t="n">
        <v>488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148</v>
      </c>
      <c r="L28" s="4" t="n">
        <v>-1210</v>
      </c>
      <c r="M28" s="4" t="n">
        <v>-1786</v>
      </c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6">
        <f>SUM(G2:G28)</f>
        <v/>
      </c>
      <c r="H29" s="6">
        <f>SUM(H2:H28)</f>
        <v/>
      </c>
      <c r="I29" s="6">
        <f>SUM(I2:I28)</f>
        <v/>
      </c>
      <c r="J29" s="6">
        <f>SUM(J2:J28)</f>
        <v/>
      </c>
      <c r="K29" s="6">
        <f>SUM(K2:K28)</f>
        <v/>
      </c>
      <c r="L29" s="6">
        <f>SUM(L2:L28)</f>
        <v/>
      </c>
      <c r="M29" s="6">
        <f>SUM(M2:M28)</f>
        <v/>
      </c>
    </row>
    <row r="30">
      <c r="A30" s="3" t="inlineStr">
        <is>
          <t>Collections from Note Receivable</t>
        </is>
      </c>
      <c r="B30" s="4" t="n">
        <v>0</v>
      </c>
      <c r="C30" s="4" t="n">
        <v>2592</v>
      </c>
      <c r="D30" s="4" t="n">
        <v>2592</v>
      </c>
      <c r="E30" s="4" t="n">
        <v>3233</v>
      </c>
      <c r="F30" s="4" t="n">
        <v>3233</v>
      </c>
      <c r="G30" s="4" t="n">
        <v>3233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</row>
    <row r="31">
      <c r="A31" s="3" t="inlineStr">
        <is>
          <t>Purchase of PP&amp;E</t>
        </is>
      </c>
      <c r="B31" s="4" t="n">
        <v>-742</v>
      </c>
      <c r="C31" s="4" t="n">
        <v>-2456</v>
      </c>
      <c r="D31" s="4" t="n">
        <v>-3477</v>
      </c>
      <c r="E31" s="4" t="n">
        <v>-2253</v>
      </c>
      <c r="F31" s="4" t="n">
        <v>-6810</v>
      </c>
      <c r="G31" s="4" t="n">
        <v>-12687</v>
      </c>
      <c r="H31" s="4" t="n">
        <v>-4525</v>
      </c>
      <c r="I31" s="4" t="n">
        <v>-13739</v>
      </c>
      <c r="J31" s="4" t="n">
        <v>-17983</v>
      </c>
      <c r="K31" s="4" t="n">
        <v>-6944</v>
      </c>
      <c r="L31" s="4" t="n">
        <v>-15194</v>
      </c>
      <c r="M31" s="4" t="n">
        <v>-25539</v>
      </c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-3000</v>
      </c>
      <c r="K32" s="4" t="n">
        <v>0</v>
      </c>
      <c r="L32" s="4" t="n">
        <v>-5000</v>
      </c>
      <c r="M32" s="4" t="n">
        <v>-5000</v>
      </c>
    </row>
    <row r="33">
      <c r="A33" s="3" t="inlineStr">
        <is>
          <t>Acquisitions, Net of Cash Acquired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-1256351</v>
      </c>
      <c r="M33" s="4" t="n">
        <v>-1278769</v>
      </c>
    </row>
    <row r="34">
      <c r="A34" s="3" t="inlineStr">
        <is>
          <t>Working Capital Estimate from Pepsi (Rockstar)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30617</v>
      </c>
    </row>
    <row r="35">
      <c r="A35" s="3" t="inlineStr">
        <is>
          <t>Cash Flow from Investing</t>
        </is>
      </c>
      <c r="B35" s="6">
        <f>SUM(B30:B34)</f>
        <v/>
      </c>
      <c r="C35" s="6">
        <f>SUM(C30:C34)</f>
        <v/>
      </c>
      <c r="D35" s="6">
        <f>SUM(D30:D34)</f>
        <v/>
      </c>
      <c r="E35" s="6">
        <f>SUM(E30:E34)</f>
        <v/>
      </c>
      <c r="F35" s="6">
        <f>SUM(F30:F34)</f>
        <v/>
      </c>
      <c r="G35" s="6">
        <f>SUM(G30:G34)</f>
        <v/>
      </c>
      <c r="H35" s="6">
        <f>SUM(H30:H34)</f>
        <v/>
      </c>
      <c r="I35" s="6">
        <f>SUM(I30:I34)</f>
        <v/>
      </c>
      <c r="J35" s="6">
        <f>SUM(J30:J34)</f>
        <v/>
      </c>
      <c r="K35" s="6">
        <f>SUM(K30:K34)</f>
        <v/>
      </c>
      <c r="L35" s="6">
        <f>SUM(L30:L34)</f>
        <v/>
      </c>
      <c r="M35" s="6">
        <f>SUM(M30:M34)</f>
        <v/>
      </c>
    </row>
    <row r="36">
      <c r="A36" s="3" t="inlineStr">
        <is>
          <t>Finance Lease Payments</t>
        </is>
      </c>
      <c r="B36" s="4" t="n">
        <v>-20</v>
      </c>
      <c r="C36" s="4" t="n">
        <v>-37</v>
      </c>
      <c r="D36" s="4" t="n">
        <v>-49</v>
      </c>
      <c r="E36" s="4" t="n">
        <v>-11</v>
      </c>
      <c r="F36" s="4" t="n">
        <v>-22</v>
      </c>
      <c r="G36" s="4" t="n">
        <v>-33</v>
      </c>
      <c r="H36" s="4" t="n">
        <v>-15</v>
      </c>
      <c r="I36" s="4" t="n">
        <v>-30</v>
      </c>
      <c r="J36" s="4" t="n">
        <v>-46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Proceeds from Exercise of Stock Options</t>
        </is>
      </c>
      <c r="B37" s="4" t="n">
        <v>810</v>
      </c>
      <c r="C37" s="4" t="n">
        <v>1260</v>
      </c>
      <c r="D37" s="4" t="n">
        <v>3104</v>
      </c>
      <c r="E37" s="4" t="n">
        <v>478</v>
      </c>
      <c r="F37" s="4" t="n">
        <v>707</v>
      </c>
      <c r="G37" s="4" t="n">
        <v>1603</v>
      </c>
      <c r="H37" s="4" t="n">
        <v>967</v>
      </c>
      <c r="I37" s="4" t="n">
        <v>1147</v>
      </c>
      <c r="J37" s="4" t="n">
        <v>3832</v>
      </c>
      <c r="K37" s="4" t="n">
        <v>0</v>
      </c>
      <c r="L37" s="4" t="n">
        <v>0</v>
      </c>
      <c r="M37" s="4" t="n">
        <v>0</v>
      </c>
    </row>
    <row r="38">
      <c r="A38" s="3" t="inlineStr">
        <is>
          <t>Proceeds from Issuance of Preferred Stock</t>
        </is>
      </c>
      <c r="B38" s="4" t="n">
        <v>0</v>
      </c>
      <c r="C38" s="4" t="n">
        <v>0</v>
      </c>
      <c r="D38" s="4" t="n">
        <v>542018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</row>
    <row r="39">
      <c r="A39" s="3" t="inlineStr">
        <is>
          <t>Preferred Dividends</t>
        </is>
      </c>
      <c r="B39" s="4" t="n">
        <v>0</v>
      </c>
      <c r="C39" s="4" t="n">
        <v>0</v>
      </c>
      <c r="D39" s="4" t="n">
        <v>-4596</v>
      </c>
      <c r="E39" s="4" t="n">
        <v>-6781</v>
      </c>
      <c r="F39" s="4" t="n">
        <v>-13637</v>
      </c>
      <c r="G39" s="4" t="n">
        <v>-20512</v>
      </c>
      <c r="H39" s="4" t="n">
        <v>-6837</v>
      </c>
      <c r="I39" s="4" t="n">
        <v>-13675</v>
      </c>
      <c r="J39" s="4" t="n">
        <v>-20588</v>
      </c>
      <c r="K39" s="4" t="n">
        <v>-6781</v>
      </c>
      <c r="L39" s="4" t="n">
        <v>-13632</v>
      </c>
      <c r="M39" s="4" t="n">
        <v>-23301</v>
      </c>
    </row>
    <row r="40">
      <c r="A40" s="3" t="inlineStr">
        <is>
          <t>Share Repurchases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-1658</v>
      </c>
      <c r="K40" s="4" t="n">
        <v>-1932</v>
      </c>
      <c r="L40" s="4" t="n">
        <v>-2811</v>
      </c>
      <c r="M40" s="4" t="n">
        <v>-3259</v>
      </c>
    </row>
    <row r="41">
      <c r="A41" s="3" t="inlineStr">
        <is>
          <t>Proceeds from Issuance of Long-Term Debt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900000</v>
      </c>
      <c r="M41" s="4" t="n">
        <v>900000</v>
      </c>
    </row>
    <row r="42">
      <c r="A42" s="3" t="inlineStr">
        <is>
          <t>Repayments of Long-Term Debt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-2250</v>
      </c>
    </row>
    <row r="43">
      <c r="A43" s="3" t="inlineStr">
        <is>
          <t>Debt Issuance Fees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-2195</v>
      </c>
      <c r="L43" s="4" t="n">
        <v>-31581</v>
      </c>
      <c r="M43" s="4" t="n">
        <v>-31581</v>
      </c>
    </row>
    <row r="44">
      <c r="A44" s="3" t="inlineStr">
        <is>
          <t>Other Financing Activities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321</v>
      </c>
      <c r="L44" s="4" t="n">
        <v>319</v>
      </c>
      <c r="M44" s="4" t="n">
        <v>301</v>
      </c>
    </row>
    <row r="45">
      <c r="A45" s="3" t="inlineStr">
        <is>
          <t>Cash Flow from Financing</t>
        </is>
      </c>
      <c r="B45" s="6">
        <f>SUM(B36:B44)</f>
        <v/>
      </c>
      <c r="C45" s="6">
        <f>SUM(C36:C44)</f>
        <v/>
      </c>
      <c r="D45" s="6">
        <f>SUM(D36:D44)</f>
        <v/>
      </c>
      <c r="E45" s="6">
        <f>SUM(E36:E44)</f>
        <v/>
      </c>
      <c r="F45" s="6">
        <f>SUM(F36:F44)</f>
        <v/>
      </c>
      <c r="G45" s="6">
        <f>SUM(G36:G44)</f>
        <v/>
      </c>
      <c r="H45" s="6">
        <f>SUM(H36:H44)</f>
        <v/>
      </c>
      <c r="I45" s="6">
        <f>SUM(I36:I44)</f>
        <v/>
      </c>
      <c r="J45" s="6">
        <f>SUM(J36:J44)</f>
        <v/>
      </c>
      <c r="K45" s="6">
        <f>SUM(K36:K44)</f>
        <v/>
      </c>
      <c r="L45" s="6">
        <f>SUM(L36:L44)</f>
        <v/>
      </c>
      <c r="M45" s="6">
        <f>SUM(M36:M44)</f>
        <v/>
      </c>
    </row>
    <row r="46">
      <c r="A46" s="3" t="inlineStr">
        <is>
          <t>FX Effect on Cash</t>
        </is>
      </c>
      <c r="B46" s="4" t="n">
        <v>104</v>
      </c>
      <c r="C46" s="4" t="n">
        <v>121</v>
      </c>
      <c r="D46" s="4" t="n">
        <v>158</v>
      </c>
      <c r="E46" s="4" t="n">
        <v>-181</v>
      </c>
      <c r="F46" s="4" t="n">
        <v>-555</v>
      </c>
      <c r="G46" s="4" t="n">
        <v>-555</v>
      </c>
      <c r="H46" s="4" t="n">
        <v>-722</v>
      </c>
      <c r="I46" s="4" t="n">
        <v>-766</v>
      </c>
      <c r="J46" s="4" t="n">
        <v>-16</v>
      </c>
      <c r="K46" s="4" t="n">
        <v>1259</v>
      </c>
      <c r="L46" s="4" t="n">
        <v>2214</v>
      </c>
      <c r="M46" s="4" t="n">
        <v>2174</v>
      </c>
    </row>
    <row r="47">
      <c r="A47" s="3" t="inlineStr">
        <is>
          <t>Net Change in Cash</t>
        </is>
      </c>
      <c r="B47" s="6">
        <f>B29+B35+B45+B46+B47</f>
        <v/>
      </c>
      <c r="C47" s="6">
        <f>C29+C35+C45+C46+C47</f>
        <v/>
      </c>
      <c r="D47" s="6">
        <f>D29+D35+D45+D46+D47</f>
        <v/>
      </c>
      <c r="E47" s="6">
        <f>E29+E35+E45+E46+E47</f>
        <v/>
      </c>
      <c r="F47" s="6">
        <f>F29+F35+F45+F46+F47</f>
        <v/>
      </c>
      <c r="G47" s="6">
        <f>G29+G35+G45+G46+G47</f>
        <v/>
      </c>
      <c r="H47" s="6">
        <f>H29+H35+H45+H46+H47</f>
        <v/>
      </c>
      <c r="I47" s="6">
        <f>I29+I35+I45+I46+I47</f>
        <v/>
      </c>
      <c r="J47" s="6">
        <f>J29+J35+J45+J46+J47</f>
        <v/>
      </c>
      <c r="K47" s="6">
        <f>K29+K35+K45+K46+K47</f>
        <v/>
      </c>
      <c r="L47" s="6">
        <f>L29+L35+L45+L46+L47</f>
        <v/>
      </c>
      <c r="M47" s="6">
        <f>M29+M35+M45+M46+M47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2026-04-26T23:19:09Z</dcterms:created>
  <dcterms:modified xmlns:dcterms="http://purl.org/dc/terms/" xmlns:xsi="http://www.w3.org/2001/XMLSchema-instance" xsi:type="dcterms:W3CDTF">2026-04-26T23:19:09Z</dcterms:modified>
</cp:coreProperties>
</file>