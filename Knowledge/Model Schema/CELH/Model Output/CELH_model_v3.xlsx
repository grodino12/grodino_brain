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L P&amp;L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" sheetId="3" state="visible" r:id="rId3"/>
    <sheet xmlns:r="http://schemas.openxmlformats.org/officeDocument/2006/relationships" name="QTR P&amp;L" sheetId="4" state="visible" r:id="rId4"/>
    <sheet xmlns:r="http://schemas.openxmlformats.org/officeDocument/2006/relationships" name="QTR BS" sheetId="5" state="visible" r:id="rId5"/>
    <sheet xmlns:r="http://schemas.openxmlformats.org/officeDocument/2006/relationships" name="QTR CF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-&quot;"/>
    <numFmt numFmtId="165" formatCode="$#,##0_);($#,##0);&quot;$--&quot;_)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03864"/>
        <bgColor rgb="0020386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top style="thin">
        <color rgb="00000000"/>
      </top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165" fontId="2" fillId="0" borderId="1" pivotButton="0" quotePrefix="0" xfId="0"/>
    <xf numFmtId="165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/>
      <c r="B1" s="2" t="inlineStr">
        <is>
          <t>FY2021</t>
        </is>
      </c>
      <c r="C1" s="2" t="inlineStr">
        <is>
          <t>FY2022</t>
        </is>
      </c>
      <c r="D1" s="2" t="inlineStr">
        <is>
          <t>FY2023</t>
        </is>
      </c>
      <c r="E1" s="2" t="inlineStr">
        <is>
          <t>FY2024</t>
        </is>
      </c>
      <c r="F1" s="2" t="inlineStr">
        <is>
          <t>FY2025</t>
        </is>
      </c>
      <c r="G1" s="2" t="inlineStr">
        <is>
          <t>FY2025E</t>
        </is>
      </c>
      <c r="H1" s="2" t="inlineStr">
        <is>
          <t>FY2026E</t>
        </is>
      </c>
      <c r="I1" s="2" t="inlineStr">
        <is>
          <t>FY2027E</t>
        </is>
      </c>
      <c r="J1" s="2" t="inlineStr">
        <is>
          <t>FY2028E</t>
        </is>
      </c>
      <c r="K1" s="2" t="inlineStr">
        <is>
          <t>FY2029E</t>
        </is>
      </c>
      <c r="L1" s="2" t="inlineStr">
        <is>
          <t>FY2030E</t>
        </is>
      </c>
    </row>
    <row r="2">
      <c r="A2" s="3" t="inlineStr">
        <is>
          <t>Net Sales / Revenue</t>
        </is>
      </c>
      <c r="B2" s="4" t="n">
        <v>314272</v>
      </c>
      <c r="C2" s="4" t="n">
        <v>653604</v>
      </c>
      <c r="D2" s="4" t="n">
        <v>1318014</v>
      </c>
      <c r="E2" s="4" t="n">
        <v>1355630</v>
      </c>
      <c r="F2" s="4" t="n">
        <v>2515269</v>
      </c>
      <c r="G2" s="5" t="n"/>
      <c r="H2" s="5" t="n"/>
      <c r="I2" s="5" t="n"/>
      <c r="J2" s="5" t="n"/>
      <c r="K2" s="5" t="n"/>
      <c r="L2" s="5" t="n"/>
    </row>
    <row r="3">
      <c r="A3" s="3" t="inlineStr">
        <is>
          <t>COGS</t>
        </is>
      </c>
      <c r="B3" s="4" t="n">
        <v>-186103</v>
      </c>
      <c r="C3" s="4" t="n">
        <v>-382735</v>
      </c>
      <c r="D3" s="4" t="n">
        <v>-684875</v>
      </c>
      <c r="E3" s="4" t="n">
        <v>-675423</v>
      </c>
      <c r="F3" s="4" t="n">
        <v>-1247936</v>
      </c>
      <c r="G3" s="5" t="n"/>
      <c r="H3" s="5" t="n"/>
      <c r="I3" s="5" t="n"/>
      <c r="J3" s="5" t="n"/>
      <c r="K3" s="5" t="n"/>
      <c r="L3" s="5" t="n"/>
    </row>
    <row r="4">
      <c r="A4" s="3" t="inlineStr">
        <is>
          <t>Gross Profit (Loss)</t>
        </is>
      </c>
      <c r="B4" s="6">
        <f>B2+B3</f>
        <v/>
      </c>
      <c r="C4" s="6">
        <f>C2+C3</f>
        <v/>
      </c>
      <c r="D4" s="6">
        <f>D2+D3</f>
        <v/>
      </c>
      <c r="E4" s="6">
        <f>E2+E3</f>
        <v/>
      </c>
      <c r="F4" s="6">
        <f>F2+F3</f>
        <v/>
      </c>
      <c r="G4" s="7">
        <f>G2+G3</f>
        <v/>
      </c>
      <c r="H4" s="7">
        <f>H2+H3</f>
        <v/>
      </c>
      <c r="I4" s="7">
        <f>I2+I3</f>
        <v/>
      </c>
      <c r="J4" s="7">
        <f>J2+J3</f>
        <v/>
      </c>
      <c r="K4" s="7">
        <f>K2+K3</f>
        <v/>
      </c>
      <c r="L4" s="7">
        <f>L2+L3</f>
        <v/>
      </c>
    </row>
    <row r="5">
      <c r="A5" s="3" t="inlineStr">
        <is>
          <t>SG&amp;A</t>
        </is>
      </c>
      <c r="B5" s="4" t="n">
        <v>-132259</v>
      </c>
      <c r="C5" s="4" t="n">
        <v>-428670</v>
      </c>
      <c r="D5" s="4" t="n">
        <v>-366773</v>
      </c>
      <c r="E5" s="4" t="n">
        <v>-524479</v>
      </c>
      <c r="F5" s="4" t="n">
        <v>-798810</v>
      </c>
      <c r="G5" s="5" t="n"/>
      <c r="H5" s="5" t="n"/>
      <c r="I5" s="5" t="n"/>
      <c r="J5" s="5" t="n"/>
      <c r="K5" s="5" t="n"/>
      <c r="L5" s="5" t="n"/>
    </row>
    <row r="6">
      <c r="A6" s="3" t="inlineStr">
        <is>
          <t>Distributor Termination Fees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-327461</v>
      </c>
      <c r="G6" s="5" t="n"/>
      <c r="H6" s="5" t="n"/>
      <c r="I6" s="5" t="n"/>
      <c r="J6" s="5" t="n"/>
      <c r="K6" s="5" t="n"/>
      <c r="L6" s="5" t="n"/>
    </row>
    <row r="7">
      <c r="A7" s="3" t="inlineStr">
        <is>
          <t>Income (Loss) from Operations</t>
        </is>
      </c>
      <c r="B7" s="6">
        <f>B4+SUM(B5:B6)</f>
        <v/>
      </c>
      <c r="C7" s="6">
        <f>C4+SUM(C5:C6)</f>
        <v/>
      </c>
      <c r="D7" s="6">
        <f>D4+SUM(D5:D6)</f>
        <v/>
      </c>
      <c r="E7" s="6">
        <f>E4+SUM(E5:E6)</f>
        <v/>
      </c>
      <c r="F7" s="6">
        <f>F4+SUM(F5:F6)</f>
        <v/>
      </c>
      <c r="G7" s="7">
        <f>G4+SUM(G5:G6)</f>
        <v/>
      </c>
      <c r="H7" s="7">
        <f>H4+SUM(H5:H6)</f>
        <v/>
      </c>
      <c r="I7" s="7">
        <f>I4+SUM(I5:I6)</f>
        <v/>
      </c>
      <c r="J7" s="7">
        <f>J4+SUM(J5:J6)</f>
        <v/>
      </c>
      <c r="K7" s="7">
        <f>K4+SUM(K5:K6)</f>
        <v/>
      </c>
      <c r="L7" s="7">
        <f>L4+SUM(L5:L6)</f>
        <v/>
      </c>
    </row>
    <row r="8">
      <c r="A8" s="3" t="inlineStr">
        <is>
          <t>Interest Income (Expense)</t>
        </is>
      </c>
      <c r="B8" s="4" t="n">
        <v>307</v>
      </c>
      <c r="C8" s="4" t="n">
        <v>5529</v>
      </c>
      <c r="D8" s="4" t="n">
        <v>26629</v>
      </c>
      <c r="E8" s="4" t="n">
        <v>39263</v>
      </c>
      <c r="F8" s="4" t="n">
        <v>-27892</v>
      </c>
      <c r="G8" s="5" t="n"/>
      <c r="H8" s="5" t="n"/>
      <c r="I8" s="5" t="n"/>
      <c r="J8" s="5" t="n"/>
      <c r="K8" s="5" t="n"/>
      <c r="L8" s="5" t="n"/>
    </row>
    <row r="9">
      <c r="A9" s="3" t="inlineStr">
        <is>
          <t>Foreign Currency Gain (Loss)</t>
        </is>
      </c>
      <c r="B9" s="4" t="n">
        <v>-276</v>
      </c>
      <c r="C9" s="4" t="n">
        <v>-392</v>
      </c>
      <c r="D9" s="4" t="n">
        <v>-1246</v>
      </c>
      <c r="E9" s="4" t="n">
        <v>-1734</v>
      </c>
      <c r="F9" s="4" t="n">
        <v>0</v>
      </c>
      <c r="G9" s="5" t="n"/>
      <c r="H9" s="5" t="n"/>
      <c r="I9" s="5" t="n"/>
      <c r="J9" s="5" t="n"/>
      <c r="K9" s="5" t="n"/>
      <c r="L9" s="5" t="n"/>
    </row>
    <row r="10">
      <c r="A10" s="3" t="inlineStr">
        <is>
          <t>Other Income (Expense)</t>
        </is>
      </c>
      <c r="B10" s="4" t="n">
        <v>0</v>
      </c>
      <c r="C10" s="4" t="n">
        <v>0</v>
      </c>
      <c r="D10" s="4" t="n">
        <v>0</v>
      </c>
      <c r="E10" s="4" t="n">
        <v>1793</v>
      </c>
      <c r="F10" s="4" t="n">
        <v>11863</v>
      </c>
      <c r="G10" s="5" t="n"/>
      <c r="H10" s="5" t="n"/>
      <c r="I10" s="5" t="n"/>
      <c r="J10" s="5" t="n"/>
      <c r="K10" s="5" t="n"/>
      <c r="L10" s="5" t="n"/>
    </row>
    <row r="11">
      <c r="A11" s="3" t="inlineStr">
        <is>
          <t>Pre-Tax Income (Loss)</t>
        </is>
      </c>
      <c r="B11" s="6">
        <f>B7+SUM(B8:B10)</f>
        <v/>
      </c>
      <c r="C11" s="6">
        <f>C7+SUM(C8:C10)</f>
        <v/>
      </c>
      <c r="D11" s="6">
        <f>D7+SUM(D8:D10)</f>
        <v/>
      </c>
      <c r="E11" s="6">
        <f>E7+SUM(E8:E10)</f>
        <v/>
      </c>
      <c r="F11" s="6">
        <f>F7+SUM(F8:F10)</f>
        <v/>
      </c>
      <c r="G11" s="7">
        <f>G7+SUM(G8:G10)</f>
        <v/>
      </c>
      <c r="H11" s="7">
        <f>H7+SUM(H8:H10)</f>
        <v/>
      </c>
      <c r="I11" s="7">
        <f>I7+SUM(I8:I10)</f>
        <v/>
      </c>
      <c r="J11" s="7">
        <f>J7+SUM(J8:J10)</f>
        <v/>
      </c>
      <c r="K11" s="7">
        <f>K7+SUM(K8:K10)</f>
        <v/>
      </c>
      <c r="L11" s="7">
        <f>L7+SUM(L8:L10)</f>
        <v/>
      </c>
    </row>
    <row r="12">
      <c r="A12" s="3" t="inlineStr">
        <is>
          <t>Income Tax (Expense) Benefit</t>
        </is>
      </c>
      <c r="B12" s="4" t="n">
        <v>-7996</v>
      </c>
      <c r="C12" s="4" t="n">
        <v>-34618</v>
      </c>
      <c r="D12" s="4" t="n">
        <v>-64948</v>
      </c>
      <c r="E12" s="4" t="n">
        <v>-49976</v>
      </c>
      <c r="F12" s="4" t="n">
        <v>-17034</v>
      </c>
      <c r="G12" s="5" t="n"/>
      <c r="H12" s="5" t="n"/>
      <c r="I12" s="5" t="n"/>
      <c r="J12" s="5" t="n"/>
      <c r="K12" s="5" t="n"/>
      <c r="L12" s="5" t="n"/>
    </row>
    <row r="13">
      <c r="A13" s="3" t="inlineStr">
        <is>
          <t>Net Income (Loss)</t>
        </is>
      </c>
      <c r="B13" s="6">
        <f>B11+B12</f>
        <v/>
      </c>
      <c r="C13" s="6">
        <f>C11+C12</f>
        <v/>
      </c>
      <c r="D13" s="6">
        <f>D11+D12</f>
        <v/>
      </c>
      <c r="E13" s="6">
        <f>E11+E12</f>
        <v/>
      </c>
      <c r="F13" s="6">
        <f>F11+F12</f>
        <v/>
      </c>
      <c r="G13" s="7">
        <f>G11+G12</f>
        <v/>
      </c>
      <c r="H13" s="7">
        <f>H11+H12</f>
        <v/>
      </c>
      <c r="I13" s="7">
        <f>I11+I12</f>
        <v/>
      </c>
      <c r="J13" s="7">
        <f>J11+J12</f>
        <v/>
      </c>
      <c r="K13" s="7">
        <f>K11+K12</f>
        <v/>
      </c>
      <c r="L13" s="7">
        <f>L11+L12</f>
        <v/>
      </c>
    </row>
    <row r="14">
      <c r="A14" s="3" t="inlineStr">
        <is>
          <t>Net Income (Loss) Less NCI</t>
        </is>
      </c>
      <c r="B14" s="4" t="n">
        <v>3937</v>
      </c>
      <c r="C14" s="4" t="n">
        <v>-187282</v>
      </c>
      <c r="D14" s="4" t="n">
        <v>226801</v>
      </c>
      <c r="E14" s="4" t="n">
        <v>145074</v>
      </c>
      <c r="F14" s="4" t="n">
        <v>107999</v>
      </c>
      <c r="G14" s="5" t="n"/>
      <c r="H14" s="5" t="n"/>
      <c r="I14" s="5" t="n"/>
      <c r="J14" s="5" t="n"/>
      <c r="K14" s="5" t="n"/>
      <c r="L14" s="5" t="n"/>
    </row>
    <row r="15">
      <c r="A15" s="3" t="inlineStr">
        <is>
          <t>Preferred Dividends</t>
        </is>
      </c>
      <c r="B15" s="4" t="n">
        <v>0</v>
      </c>
      <c r="C15" s="4" t="n">
        <v>-11526</v>
      </c>
      <c r="D15" s="4" t="n">
        <v>-27462</v>
      </c>
      <c r="E15" s="4" t="n">
        <v>-27500</v>
      </c>
      <c r="F15" s="4" t="n">
        <v>-37608</v>
      </c>
      <c r="G15" s="5" t="n"/>
      <c r="H15" s="5" t="n"/>
      <c r="I15" s="5" t="n"/>
      <c r="J15" s="5" t="n"/>
      <c r="K15" s="5" t="n"/>
      <c r="L15" s="5" t="n"/>
    </row>
    <row r="16">
      <c r="A16" s="3" t="inlineStr">
        <is>
          <t>Income Allocated to Participating Preferred</t>
        </is>
      </c>
      <c r="B16" s="4" t="n">
        <v>0</v>
      </c>
      <c r="C16" s="4" t="n">
        <v>0</v>
      </c>
      <c r="D16" s="4" t="n">
        <v>17348</v>
      </c>
      <c r="E16" s="4" t="n">
        <v>10117</v>
      </c>
      <c r="F16" s="4" t="n">
        <v>6554</v>
      </c>
      <c r="G16" s="5" t="n"/>
      <c r="H16" s="5" t="n"/>
      <c r="I16" s="5" t="n"/>
      <c r="J16" s="5" t="n"/>
      <c r="K16" s="5" t="n"/>
      <c r="L16" s="5" t="n"/>
    </row>
    <row r="17">
      <c r="A17" s="3" t="inlineStr">
        <is>
          <t>Net Income (Loss) Attributable to Common Shareholders</t>
        </is>
      </c>
      <c r="B17" s="4" t="n">
        <v>3937</v>
      </c>
      <c r="C17" s="4" t="n">
        <v>-198808</v>
      </c>
      <c r="D17" s="4" t="n">
        <v>181991</v>
      </c>
      <c r="E17" s="4" t="n">
        <v>107457</v>
      </c>
      <c r="F17" s="4" t="n">
        <v>63837</v>
      </c>
      <c r="G17" s="5" t="n"/>
      <c r="H17" s="5" t="n"/>
      <c r="I17" s="5" t="n"/>
      <c r="J17" s="5" t="n"/>
      <c r="K17" s="5" t="n"/>
      <c r="L17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/>
      <c r="B1" s="2" t="inlineStr">
        <is>
          <t>FY2022</t>
        </is>
      </c>
      <c r="C1" s="2" t="inlineStr">
        <is>
          <t>FY2023</t>
        </is>
      </c>
      <c r="D1" s="2" t="inlineStr">
        <is>
          <t>FY2024</t>
        </is>
      </c>
      <c r="E1" s="2" t="inlineStr">
        <is>
          <t>FY2025</t>
        </is>
      </c>
      <c r="F1" s="2" t="inlineStr">
        <is>
          <t>FY2025E</t>
        </is>
      </c>
      <c r="G1" s="2" t="inlineStr">
        <is>
          <t>FY2026E</t>
        </is>
      </c>
      <c r="H1" s="2" t="inlineStr">
        <is>
          <t>FY2027E</t>
        </is>
      </c>
      <c r="I1" s="2" t="inlineStr">
        <is>
          <t>FY2028E</t>
        </is>
      </c>
      <c r="J1" s="2" t="inlineStr">
        <is>
          <t>FY2029E</t>
        </is>
      </c>
      <c r="K1" s="2" t="inlineStr">
        <is>
          <t>FY2030E</t>
        </is>
      </c>
    </row>
    <row r="2">
      <c r="A2" s="3" t="inlineStr">
        <is>
          <t>Cash &amp; Cash Equivalents</t>
        </is>
      </c>
      <c r="B2" s="4" t="n">
        <v>614159</v>
      </c>
      <c r="C2" s="4" t="n">
        <v>755981</v>
      </c>
      <c r="D2" s="4" t="n">
        <v>890190</v>
      </c>
      <c r="E2" s="4" t="n">
        <v>398866</v>
      </c>
      <c r="F2" s="5" t="n"/>
      <c r="G2" s="5" t="n"/>
      <c r="H2" s="5" t="n"/>
      <c r="I2" s="5" t="n"/>
      <c r="J2" s="5" t="n"/>
      <c r="K2" s="5" t="n"/>
    </row>
    <row r="3">
      <c r="A3" s="3" t="inlineStr">
        <is>
          <t>Restricted Cash</t>
        </is>
      </c>
      <c r="B3" s="4" t="n">
        <v>38768</v>
      </c>
      <c r="C3" s="4" t="n">
        <v>0</v>
      </c>
      <c r="D3" s="4" t="n">
        <v>0</v>
      </c>
      <c r="E3" s="4" t="n">
        <v>141121</v>
      </c>
      <c r="F3" s="5" t="n"/>
      <c r="G3" s="5" t="n"/>
      <c r="H3" s="5" t="n"/>
      <c r="I3" s="5" t="n"/>
      <c r="J3" s="5" t="n"/>
      <c r="K3" s="5" t="n"/>
    </row>
    <row r="4">
      <c r="A4" s="3" t="inlineStr">
        <is>
          <t>Accounts Receivable</t>
        </is>
      </c>
      <c r="B4" s="4" t="n">
        <v>63311</v>
      </c>
      <c r="C4" s="4" t="n">
        <v>183703</v>
      </c>
      <c r="D4" s="4" t="n">
        <v>270342</v>
      </c>
      <c r="E4" s="4" t="n">
        <v>755499</v>
      </c>
      <c r="F4" s="5" t="n"/>
      <c r="G4" s="5" t="n"/>
      <c r="H4" s="5" t="n"/>
      <c r="I4" s="5" t="n"/>
      <c r="J4" s="5" t="n"/>
      <c r="K4" s="5" t="n"/>
    </row>
    <row r="5">
      <c r="A5" s="3" t="inlineStr">
        <is>
          <t>Note Receivable - Current</t>
        </is>
      </c>
      <c r="B5" s="4" t="n">
        <v>2979</v>
      </c>
      <c r="C5" s="4" t="n">
        <v>2318</v>
      </c>
      <c r="D5" s="4" t="n">
        <v>0</v>
      </c>
      <c r="E5" s="4" t="n">
        <v>0</v>
      </c>
      <c r="F5" s="5" t="n"/>
      <c r="G5" s="5" t="n"/>
      <c r="H5" s="5" t="n"/>
      <c r="I5" s="5" t="n"/>
      <c r="J5" s="5" t="n"/>
      <c r="K5" s="5" t="n"/>
    </row>
    <row r="6">
      <c r="A6" s="3" t="inlineStr">
        <is>
          <t>Inventories</t>
        </is>
      </c>
      <c r="B6" s="4" t="n">
        <v>173289</v>
      </c>
      <c r="C6" s="4" t="n">
        <v>229275</v>
      </c>
      <c r="D6" s="4" t="n">
        <v>131165</v>
      </c>
      <c r="E6" s="4" t="n">
        <v>337698</v>
      </c>
      <c r="F6" s="5" t="n"/>
      <c r="G6" s="5" t="n"/>
      <c r="H6" s="5" t="n"/>
      <c r="I6" s="5" t="n"/>
      <c r="J6" s="5" t="n"/>
      <c r="K6" s="5" t="n"/>
    </row>
    <row r="7">
      <c r="A7" s="3" t="inlineStr">
        <is>
          <t>Prepaid Expenses</t>
        </is>
      </c>
      <c r="B7" s="4" t="n">
        <v>11341</v>
      </c>
      <c r="C7" s="4" t="n">
        <v>19503</v>
      </c>
      <c r="D7" s="4" t="n">
        <v>18759</v>
      </c>
      <c r="E7" s="4" t="n">
        <v>128806</v>
      </c>
      <c r="F7" s="5" t="n"/>
      <c r="G7" s="5" t="n"/>
      <c r="H7" s="5" t="n"/>
      <c r="I7" s="5" t="n"/>
      <c r="J7" s="5" t="n"/>
      <c r="K7" s="5" t="n"/>
    </row>
    <row r="8">
      <c r="A8" s="3" t="inlineStr">
        <is>
          <t>Deferred Other Costs - Current</t>
        </is>
      </c>
      <c r="B8" s="4" t="n">
        <v>14124</v>
      </c>
      <c r="C8" s="4" t="n">
        <v>14124</v>
      </c>
      <c r="D8" s="4" t="n">
        <v>14124</v>
      </c>
      <c r="E8" s="4" t="n">
        <v>49164</v>
      </c>
      <c r="F8" s="5" t="n"/>
      <c r="G8" s="5" t="n"/>
      <c r="H8" s="5" t="n"/>
      <c r="I8" s="5" t="n"/>
      <c r="J8" s="5" t="n"/>
      <c r="K8" s="5" t="n"/>
    </row>
    <row r="9">
      <c r="A9" s="3" t="inlineStr">
        <is>
          <t>Total Current Assets</t>
        </is>
      </c>
      <c r="B9" s="6">
        <f>SUM(B2:B8)</f>
        <v/>
      </c>
      <c r="C9" s="6">
        <f>SUM(C2:C8)</f>
        <v/>
      </c>
      <c r="D9" s="6">
        <f>SUM(D2:D8)</f>
        <v/>
      </c>
      <c r="E9" s="6">
        <f>SUM(E2:E8)</f>
        <v/>
      </c>
      <c r="F9" s="7">
        <f>SUM(F2:F8)</f>
        <v/>
      </c>
      <c r="G9" s="7">
        <f>SUM(G2:G8)</f>
        <v/>
      </c>
      <c r="H9" s="7">
        <f>SUM(H2:H8)</f>
        <v/>
      </c>
      <c r="I9" s="7">
        <f>SUM(I2:I8)</f>
        <v/>
      </c>
      <c r="J9" s="7">
        <f>SUM(J2:J8)</f>
        <v/>
      </c>
      <c r="K9" s="7">
        <f>SUM(K2:K8)</f>
        <v/>
      </c>
    </row>
    <row r="10">
      <c r="A10" s="3" t="inlineStr">
        <is>
          <t>Note Receivable - Non-Current</t>
        </is>
      </c>
      <c r="B10" s="4" t="n">
        <v>3574</v>
      </c>
      <c r="C10" s="4" t="n">
        <v>0</v>
      </c>
      <c r="D10" s="4" t="n">
        <v>0</v>
      </c>
      <c r="E10" s="4" t="n">
        <v>0</v>
      </c>
      <c r="F10" s="5" t="n"/>
      <c r="G10" s="5" t="n"/>
      <c r="H10" s="5" t="n"/>
      <c r="I10" s="5" t="n"/>
      <c r="J10" s="5" t="n"/>
      <c r="K10" s="5" t="n"/>
    </row>
    <row r="11">
      <c r="A11" s="3" t="inlineStr">
        <is>
          <t>Net PP&amp;E</t>
        </is>
      </c>
      <c r="B11" s="4" t="n">
        <v>10185</v>
      </c>
      <c r="C11" s="4" t="n">
        <v>24868</v>
      </c>
      <c r="D11" s="4" t="n">
        <v>55602</v>
      </c>
      <c r="E11" s="4" t="n">
        <v>87910</v>
      </c>
      <c r="F11" s="5" t="n"/>
      <c r="G11" s="5" t="n"/>
      <c r="H11" s="5" t="n"/>
      <c r="I11" s="5" t="n"/>
      <c r="J11" s="5" t="n"/>
      <c r="K11" s="5" t="n"/>
    </row>
    <row r="12">
      <c r="A12" s="3" t="inlineStr">
        <is>
          <t>ROU Assets - Operating - Non-Current</t>
        </is>
      </c>
      <c r="B12" s="4" t="n">
        <v>972</v>
      </c>
      <c r="C12" s="4" t="n">
        <v>1957</v>
      </c>
      <c r="D12" s="4" t="n">
        <v>21606</v>
      </c>
      <c r="E12" s="4" t="n">
        <v>0</v>
      </c>
      <c r="F12" s="5" t="n"/>
      <c r="G12" s="5" t="n"/>
      <c r="H12" s="5" t="n"/>
      <c r="I12" s="5" t="n"/>
      <c r="J12" s="5" t="n"/>
      <c r="K12" s="5" t="n"/>
    </row>
    <row r="13">
      <c r="A13" s="3" t="inlineStr">
        <is>
          <t>ROU Assets - Finance - Non-Current</t>
        </is>
      </c>
      <c r="B13" s="4" t="n">
        <v>208</v>
      </c>
      <c r="C13" s="4" t="n">
        <v>208</v>
      </c>
      <c r="D13" s="4" t="n">
        <v>230</v>
      </c>
      <c r="E13" s="4" t="n">
        <v>0</v>
      </c>
      <c r="F13" s="5" t="n"/>
      <c r="G13" s="5" t="n"/>
      <c r="H13" s="5" t="n"/>
      <c r="I13" s="5" t="n"/>
      <c r="J13" s="5" t="n"/>
      <c r="K13" s="5" t="n"/>
    </row>
    <row r="14">
      <c r="A14" s="3" t="inlineStr">
        <is>
          <t>Intangible Assets</t>
        </is>
      </c>
      <c r="B14" s="4" t="n">
        <v>12254</v>
      </c>
      <c r="C14" s="4" t="n">
        <v>12139</v>
      </c>
      <c r="D14" s="4" t="n">
        <v>12213</v>
      </c>
      <c r="E14" s="4" t="n">
        <v>1391915</v>
      </c>
      <c r="F14" s="5" t="n"/>
      <c r="G14" s="5" t="n"/>
      <c r="H14" s="5" t="n"/>
      <c r="I14" s="5" t="n"/>
      <c r="J14" s="5" t="n"/>
      <c r="K14" s="5" t="n"/>
    </row>
    <row r="15">
      <c r="A15" s="3" t="inlineStr">
        <is>
          <t>Goodwill</t>
        </is>
      </c>
      <c r="B15" s="4" t="n">
        <v>13679</v>
      </c>
      <c r="C15" s="4" t="n">
        <v>14173</v>
      </c>
      <c r="D15" s="4" t="n">
        <v>71582</v>
      </c>
      <c r="E15" s="4" t="n">
        <v>917560</v>
      </c>
      <c r="F15" s="5" t="n"/>
      <c r="G15" s="5" t="n"/>
      <c r="H15" s="5" t="n"/>
      <c r="I15" s="5" t="n"/>
      <c r="J15" s="5" t="n"/>
      <c r="K15" s="5" t="n"/>
    </row>
    <row r="16">
      <c r="A16" s="3" t="inlineStr">
        <is>
          <t>Deferred Other Costs - Non-Current</t>
        </is>
      </c>
      <c r="B16" s="4" t="n">
        <v>262462</v>
      </c>
      <c r="C16" s="4" t="n">
        <v>248338</v>
      </c>
      <c r="D16" s="4" t="n">
        <v>234215</v>
      </c>
      <c r="E16" s="4" t="n">
        <v>771635</v>
      </c>
      <c r="F16" s="5" t="n"/>
      <c r="G16" s="5" t="n"/>
      <c r="H16" s="5" t="n"/>
      <c r="I16" s="5" t="n"/>
      <c r="J16" s="5" t="n"/>
      <c r="K16" s="5" t="n"/>
    </row>
    <row r="17">
      <c r="A17" s="3" t="inlineStr">
        <is>
          <t>Deferred Tax Assets</t>
        </is>
      </c>
      <c r="B17" s="4" t="n">
        <v>501</v>
      </c>
      <c r="C17" s="4" t="n">
        <v>29518</v>
      </c>
      <c r="D17" s="4" t="n">
        <v>38699</v>
      </c>
      <c r="E17" s="4" t="n">
        <v>96013</v>
      </c>
      <c r="F17" s="5" t="n"/>
      <c r="G17" s="5" t="n"/>
      <c r="H17" s="5" t="n"/>
      <c r="I17" s="5" t="n"/>
      <c r="J17" s="5" t="n"/>
      <c r="K17" s="5" t="n"/>
    </row>
    <row r="18">
      <c r="A18" s="3" t="inlineStr">
        <is>
          <t>Other Non-Current Assets</t>
        </is>
      </c>
      <c r="B18" s="4" t="n">
        <v>263</v>
      </c>
      <c r="C18" s="4" t="n">
        <v>291</v>
      </c>
      <c r="D18" s="4" t="n">
        <v>8154</v>
      </c>
      <c r="E18" s="4" t="n">
        <v>43434</v>
      </c>
      <c r="F18" s="5" t="n"/>
      <c r="G18" s="5" t="n"/>
      <c r="H18" s="5" t="n"/>
      <c r="I18" s="5" t="n"/>
      <c r="J18" s="5" t="n"/>
      <c r="K18" s="5" t="n"/>
    </row>
    <row r="19">
      <c r="A19" s="3" t="inlineStr">
        <is>
          <t>Total Assets</t>
        </is>
      </c>
      <c r="B19" s="6">
        <f>B9+SUM(B10:B18)</f>
        <v/>
      </c>
      <c r="C19" s="6">
        <f>C9+SUM(C10:C18)</f>
        <v/>
      </c>
      <c r="D19" s="6">
        <f>D9+SUM(D10:D18)</f>
        <v/>
      </c>
      <c r="E19" s="6">
        <f>E9+SUM(E10:E18)</f>
        <v/>
      </c>
      <c r="F19" s="7">
        <f>F9+SUM(F10:F18)</f>
        <v/>
      </c>
      <c r="G19" s="7">
        <f>G9+SUM(G10:G18)</f>
        <v/>
      </c>
      <c r="H19" s="7">
        <f>H9+SUM(H10:H18)</f>
        <v/>
      </c>
      <c r="I19" s="7">
        <f>I9+SUM(I10:I18)</f>
        <v/>
      </c>
      <c r="J19" s="7">
        <f>J9+SUM(J10:J18)</f>
        <v/>
      </c>
      <c r="K19" s="7">
        <f>K9+SUM(K10:K18)</f>
        <v/>
      </c>
    </row>
    <row r="20">
      <c r="A20" s="3" t="inlineStr">
        <is>
          <t>Accounts Payable</t>
        </is>
      </c>
      <c r="B20" s="4" t="n">
        <v>36248</v>
      </c>
      <c r="C20" s="4" t="n">
        <v>42840</v>
      </c>
      <c r="D20" s="4" t="n">
        <v>41287</v>
      </c>
      <c r="E20" s="4" t="n">
        <v>137930</v>
      </c>
      <c r="F20" s="5" t="n"/>
      <c r="G20" s="5" t="n"/>
      <c r="H20" s="5" t="n"/>
      <c r="I20" s="5" t="n"/>
      <c r="J20" s="5" t="n"/>
      <c r="K20" s="5" t="n"/>
    </row>
    <row r="21">
      <c r="A21" s="3" t="inlineStr">
        <is>
          <t>Accrued Expenses</t>
        </is>
      </c>
      <c r="B21" s="4" t="n">
        <v>69899</v>
      </c>
      <c r="C21" s="4" t="n">
        <v>62120</v>
      </c>
      <c r="D21" s="4" t="n">
        <v>148780</v>
      </c>
      <c r="E21" s="4" t="n">
        <v>230721</v>
      </c>
      <c r="F21" s="5" t="n"/>
      <c r="G21" s="5" t="n"/>
      <c r="H21" s="5" t="n"/>
      <c r="I21" s="5" t="n"/>
      <c r="J21" s="5" t="n"/>
      <c r="K21" s="5" t="n"/>
    </row>
    <row r="22">
      <c r="A22" s="3" t="inlineStr">
        <is>
          <t>Income Taxes Payable</t>
        </is>
      </c>
      <c r="B22" s="4" t="n">
        <v>1193</v>
      </c>
      <c r="C22" s="4" t="n">
        <v>50424</v>
      </c>
      <c r="D22" s="4" t="n">
        <v>10834</v>
      </c>
      <c r="E22" s="4" t="n">
        <v>49612</v>
      </c>
      <c r="F22" s="5" t="n"/>
      <c r="G22" s="5" t="n"/>
      <c r="H22" s="5" t="n"/>
      <c r="I22" s="5" t="n"/>
      <c r="J22" s="5" t="n"/>
      <c r="K22" s="5" t="n"/>
    </row>
    <row r="23">
      <c r="A23" s="3" t="inlineStr">
        <is>
          <t>Accrued Distributor Termination Fees</t>
        </is>
      </c>
      <c r="B23" s="4" t="n">
        <v>3986</v>
      </c>
      <c r="C23" s="4" t="n">
        <v>0</v>
      </c>
      <c r="D23" s="4" t="n">
        <v>0</v>
      </c>
      <c r="E23" s="4" t="n">
        <v>264088</v>
      </c>
      <c r="F23" s="5" t="n"/>
      <c r="G23" s="5" t="n"/>
      <c r="H23" s="5" t="n"/>
      <c r="I23" s="5" t="n"/>
      <c r="J23" s="5" t="n"/>
      <c r="K23" s="5" t="n"/>
    </row>
    <row r="24">
      <c r="A24" s="3" t="inlineStr">
        <is>
          <t>Accrued Promotional Allowance</t>
        </is>
      </c>
      <c r="B24" s="4" t="n">
        <v>35977</v>
      </c>
      <c r="C24" s="4" t="n">
        <v>99787</v>
      </c>
      <c r="D24" s="4" t="n">
        <v>135948</v>
      </c>
      <c r="E24" s="4" t="n">
        <v>307922</v>
      </c>
      <c r="F24" s="5" t="n"/>
      <c r="G24" s="5" t="n"/>
      <c r="H24" s="5" t="n"/>
      <c r="I24" s="5" t="n"/>
      <c r="J24" s="5" t="n"/>
      <c r="K24" s="5" t="n"/>
    </row>
    <row r="25">
      <c r="A25" s="3" t="inlineStr">
        <is>
          <t>Lease Liability - Operating - Current</t>
        </is>
      </c>
      <c r="B25" s="4" t="n">
        <v>661</v>
      </c>
      <c r="C25" s="4" t="n">
        <v>980</v>
      </c>
      <c r="D25" s="4" t="n">
        <v>3265</v>
      </c>
      <c r="E25" s="4" t="n">
        <v>0</v>
      </c>
      <c r="F25" s="5" t="n"/>
      <c r="G25" s="5" t="n"/>
      <c r="H25" s="5" t="n"/>
      <c r="I25" s="5" t="n"/>
      <c r="J25" s="5" t="n"/>
      <c r="K25" s="5" t="n"/>
    </row>
    <row r="26">
      <c r="A26" s="3" t="inlineStr">
        <is>
          <t>Lease Liability - Finance - Current</t>
        </is>
      </c>
      <c r="B26" s="4" t="n">
        <v>70</v>
      </c>
      <c r="C26" s="4" t="n">
        <v>59</v>
      </c>
      <c r="D26" s="4" t="n">
        <v>100</v>
      </c>
      <c r="E26" s="4" t="n">
        <v>0</v>
      </c>
      <c r="F26" s="5" t="n"/>
      <c r="G26" s="5" t="n"/>
      <c r="H26" s="5" t="n"/>
      <c r="I26" s="5" t="n"/>
      <c r="J26" s="5" t="n"/>
      <c r="K26" s="5" t="n"/>
    </row>
    <row r="27">
      <c r="A27" s="3" t="inlineStr">
        <is>
          <t>Contingent Consideration - Current</t>
        </is>
      </c>
      <c r="B27" s="4" t="n">
        <v>0</v>
      </c>
      <c r="C27" s="4" t="n">
        <v>0</v>
      </c>
      <c r="D27" s="4" t="n">
        <v>0</v>
      </c>
      <c r="E27" s="4" t="n">
        <v>25000</v>
      </c>
      <c r="F27" s="5" t="n"/>
      <c r="G27" s="5" t="n"/>
      <c r="H27" s="5" t="n"/>
      <c r="I27" s="5" t="n"/>
      <c r="J27" s="5" t="n"/>
      <c r="K27" s="5" t="n"/>
    </row>
    <row r="28">
      <c r="A28" s="3" t="inlineStr">
        <is>
          <t>Deferred Revenue - Current</t>
        </is>
      </c>
      <c r="B28" s="4" t="n">
        <v>9675</v>
      </c>
      <c r="C28" s="4" t="n">
        <v>9513</v>
      </c>
      <c r="D28" s="4" t="n">
        <v>9513</v>
      </c>
      <c r="E28" s="4" t="n">
        <v>26988</v>
      </c>
      <c r="F28" s="5" t="n"/>
      <c r="G28" s="5" t="n"/>
      <c r="H28" s="5" t="n"/>
      <c r="I28" s="5" t="n"/>
      <c r="J28" s="5" t="n"/>
      <c r="K28" s="5" t="n"/>
    </row>
    <row r="29">
      <c r="A29" s="3" t="inlineStr">
        <is>
          <t>Other Current Liabilities</t>
        </is>
      </c>
      <c r="B29" s="4" t="n">
        <v>3586</v>
      </c>
      <c r="C29" s="4" t="n">
        <v>10890</v>
      </c>
      <c r="D29" s="4" t="n">
        <v>15808</v>
      </c>
      <c r="E29" s="4" t="n">
        <v>36465</v>
      </c>
      <c r="F29" s="5" t="n"/>
      <c r="G29" s="5" t="n"/>
      <c r="H29" s="5" t="n"/>
      <c r="I29" s="5" t="n"/>
      <c r="J29" s="5" t="n"/>
      <c r="K29" s="5" t="n"/>
    </row>
    <row r="30">
      <c r="A30" s="3" t="inlineStr">
        <is>
          <t>Total Current Liabilities</t>
        </is>
      </c>
      <c r="B30" s="6">
        <f>SUM(B20:B29)</f>
        <v/>
      </c>
      <c r="C30" s="6">
        <f>SUM(C20:C29)</f>
        <v/>
      </c>
      <c r="D30" s="6">
        <f>SUM(D20:D29)</f>
        <v/>
      </c>
      <c r="E30" s="6">
        <f>SUM(E20:E29)</f>
        <v/>
      </c>
      <c r="F30" s="7">
        <f>SUM(F20:F29)</f>
        <v/>
      </c>
      <c r="G30" s="7">
        <f>SUM(G20:G29)</f>
        <v/>
      </c>
      <c r="H30" s="7">
        <f>SUM(H20:H29)</f>
        <v/>
      </c>
      <c r="I30" s="7">
        <f>SUM(I20:I29)</f>
        <v/>
      </c>
      <c r="J30" s="7">
        <f>SUM(J20:J29)</f>
        <v/>
      </c>
      <c r="K30" s="7">
        <f>SUM(K20:K29)</f>
        <v/>
      </c>
    </row>
    <row r="31">
      <c r="A31" s="3" t="inlineStr">
        <is>
          <t>Lease Liability - Operating - Non-Current</t>
        </is>
      </c>
      <c r="B31" s="4" t="n">
        <v>326</v>
      </c>
      <c r="C31" s="4" t="n">
        <v>955</v>
      </c>
      <c r="D31" s="4" t="n">
        <v>16674</v>
      </c>
      <c r="E31" s="4" t="n">
        <v>0</v>
      </c>
      <c r="F31" s="5" t="n"/>
      <c r="G31" s="5" t="n"/>
      <c r="H31" s="5" t="n"/>
      <c r="I31" s="5" t="n"/>
      <c r="J31" s="5" t="n"/>
      <c r="K31" s="5" t="n"/>
    </row>
    <row r="32">
      <c r="A32" s="3" t="inlineStr">
        <is>
          <t>Lease Liability - Finance - Non-Current</t>
        </is>
      </c>
      <c r="B32" s="4" t="n">
        <v>162</v>
      </c>
      <c r="C32" s="4" t="n">
        <v>193</v>
      </c>
      <c r="D32" s="4" t="n">
        <v>211</v>
      </c>
      <c r="E32" s="4" t="n">
        <v>0</v>
      </c>
      <c r="F32" s="5" t="n"/>
      <c r="G32" s="5" t="n"/>
      <c r="H32" s="5" t="n"/>
      <c r="I32" s="5" t="n"/>
      <c r="J32" s="5" t="n"/>
      <c r="K32" s="5" t="n"/>
    </row>
    <row r="33">
      <c r="A33" s="3" t="inlineStr">
        <is>
          <t>Deferred Tax Liability</t>
        </is>
      </c>
      <c r="B33" s="4" t="n">
        <v>15919</v>
      </c>
      <c r="C33" s="4" t="n">
        <v>2880</v>
      </c>
      <c r="D33" s="4" t="n">
        <v>2330</v>
      </c>
      <c r="E33" s="4" t="n">
        <v>0</v>
      </c>
      <c r="F33" s="5" t="n"/>
      <c r="G33" s="5" t="n"/>
      <c r="H33" s="5" t="n"/>
      <c r="I33" s="5" t="n"/>
      <c r="J33" s="5" t="n"/>
      <c r="K33" s="5" t="n"/>
    </row>
    <row r="34">
      <c r="A34" s="3" t="inlineStr">
        <is>
          <t>Long-Term Debt</t>
        </is>
      </c>
      <c r="B34" s="4" t="n">
        <v>0</v>
      </c>
      <c r="C34" s="4" t="n">
        <v>0</v>
      </c>
      <c r="D34" s="4" t="n">
        <v>0</v>
      </c>
      <c r="E34" s="4" t="n">
        <v>669926</v>
      </c>
      <c r="F34" s="5" t="n"/>
      <c r="G34" s="5" t="n"/>
      <c r="H34" s="5" t="n"/>
      <c r="I34" s="5" t="n"/>
      <c r="J34" s="5" t="n"/>
      <c r="K34" s="5" t="n"/>
    </row>
    <row r="35">
      <c r="A35" s="3" t="inlineStr">
        <is>
          <t>Deferred Revenue - Non-Current</t>
        </is>
      </c>
      <c r="B35" s="4" t="n">
        <v>179788</v>
      </c>
      <c r="C35" s="4" t="n">
        <v>167227</v>
      </c>
      <c r="D35" s="4" t="n">
        <v>157714</v>
      </c>
      <c r="E35" s="4" t="n">
        <v>401155</v>
      </c>
      <c r="F35" s="5" t="n"/>
      <c r="G35" s="5" t="n"/>
      <c r="H35" s="5" t="n"/>
      <c r="I35" s="5" t="n"/>
      <c r="J35" s="5" t="n"/>
      <c r="K35" s="5" t="n"/>
    </row>
    <row r="36">
      <c r="A36" s="3" t="inlineStr">
        <is>
          <t>Other Non-Current Liabilities</t>
        </is>
      </c>
      <c r="B36" s="4" t="n">
        <v>0</v>
      </c>
      <c r="C36" s="4" t="n">
        <v>0</v>
      </c>
      <c r="D36" s="4" t="n">
        <v>0</v>
      </c>
      <c r="E36" s="4" t="n">
        <v>28372</v>
      </c>
      <c r="F36" s="5" t="n"/>
      <c r="G36" s="5" t="n"/>
      <c r="H36" s="5" t="n"/>
      <c r="I36" s="5" t="n"/>
      <c r="J36" s="5" t="n"/>
      <c r="K36" s="5" t="n"/>
    </row>
    <row r="37">
      <c r="A37" s="3" t="inlineStr">
        <is>
          <t>Total Liabilities</t>
        </is>
      </c>
      <c r="B37" s="6">
        <f>B30+SUM(B31:B36)</f>
        <v/>
      </c>
      <c r="C37" s="6">
        <f>C30+SUM(C31:C36)</f>
        <v/>
      </c>
      <c r="D37" s="6">
        <f>D30+SUM(D31:D36)</f>
        <v/>
      </c>
      <c r="E37" s="6">
        <f>E30+SUM(E31:E36)</f>
        <v/>
      </c>
      <c r="F37" s="7">
        <f>F30+SUM(F31:F36)</f>
        <v/>
      </c>
      <c r="G37" s="7">
        <f>G30+SUM(G31:G36)</f>
        <v/>
      </c>
      <c r="H37" s="7">
        <f>H30+SUM(H31:H36)</f>
        <v/>
      </c>
      <c r="I37" s="7">
        <f>I30+SUM(I31:I36)</f>
        <v/>
      </c>
      <c r="J37" s="7">
        <f>J30+SUM(J31:J36)</f>
        <v/>
      </c>
      <c r="K37" s="7">
        <f>K30+SUM(K31:K36)</f>
        <v/>
      </c>
    </row>
    <row r="38">
      <c r="A38" s="3" t="inlineStr">
        <is>
          <t>Convertible Preferred Stock</t>
        </is>
      </c>
      <c r="B38" s="4" t="n">
        <v>824488</v>
      </c>
      <c r="C38" s="4" t="n">
        <v>824488</v>
      </c>
      <c r="D38" s="4" t="n">
        <v>824488</v>
      </c>
      <c r="E38" s="4" t="n">
        <v>1759975</v>
      </c>
      <c r="F38" s="5" t="n"/>
      <c r="G38" s="5" t="n"/>
      <c r="H38" s="5" t="n"/>
      <c r="I38" s="5" t="n"/>
      <c r="J38" s="5" t="n"/>
      <c r="K38" s="5" t="n"/>
    </row>
    <row r="39">
      <c r="A39" s="3" t="inlineStr">
        <is>
          <t>Common Stock</t>
        </is>
      </c>
      <c r="B39" s="4" t="n">
        <v>76</v>
      </c>
      <c r="C39" s="4" t="n">
        <v>77</v>
      </c>
      <c r="D39" s="4" t="n">
        <v>79</v>
      </c>
      <c r="E39" s="4" t="n">
        <v>101</v>
      </c>
      <c r="F39" s="5" t="n"/>
      <c r="G39" s="5" t="n"/>
      <c r="H39" s="5" t="n"/>
      <c r="I39" s="5" t="n"/>
      <c r="J39" s="5" t="n"/>
      <c r="K39" s="5" t="n"/>
    </row>
    <row r="40">
      <c r="A40" s="3" t="inlineStr">
        <is>
          <t>Treasury Stock</t>
        </is>
      </c>
      <c r="B40" s="4" t="n">
        <v>0</v>
      </c>
      <c r="C40" s="4" t="n">
        <v>0</v>
      </c>
      <c r="D40" s="4" t="n">
        <v>0</v>
      </c>
      <c r="E40" s="4" t="n">
        <v>-48226</v>
      </c>
      <c r="F40" s="5" t="n"/>
      <c r="G40" s="5" t="n"/>
      <c r="H40" s="5" t="n"/>
      <c r="I40" s="5" t="n"/>
      <c r="J40" s="5" t="n"/>
      <c r="K40" s="5" t="n"/>
    </row>
    <row r="41">
      <c r="A41" s="3" t="inlineStr">
        <is>
          <t>Additional Paid-in Capital</t>
        </is>
      </c>
      <c r="B41" s="4" t="n">
        <v>280668</v>
      </c>
      <c r="C41" s="4" t="n">
        <v>276717</v>
      </c>
      <c r="D41" s="4" t="n">
        <v>297579</v>
      </c>
      <c r="E41" s="4" t="n">
        <v>1050518</v>
      </c>
      <c r="F41" s="5" t="n"/>
      <c r="G41" s="5" t="n"/>
      <c r="H41" s="5" t="n"/>
      <c r="I41" s="5" t="n"/>
      <c r="J41" s="5" t="n"/>
      <c r="K41" s="5" t="n"/>
    </row>
    <row r="42">
      <c r="A42" s="3" t="inlineStr">
        <is>
          <t>Accumulated Other Comprehensive Income (Loss)</t>
        </is>
      </c>
      <c r="B42" s="4" t="n">
        <v>-1881</v>
      </c>
      <c r="C42" s="4" t="n">
        <v>-701</v>
      </c>
      <c r="D42" s="4" t="n">
        <v>-3250</v>
      </c>
      <c r="E42" s="4" t="n">
        <v>3162</v>
      </c>
      <c r="F42" s="5" t="n"/>
      <c r="G42" s="5" t="n"/>
      <c r="H42" s="5" t="n"/>
      <c r="I42" s="5" t="n"/>
      <c r="J42" s="5" t="n"/>
      <c r="K42" s="5" t="n"/>
    </row>
    <row r="43">
      <c r="A43" s="3" t="inlineStr">
        <is>
          <t>Retained Earnings (Accumulated Deficit)</t>
        </is>
      </c>
      <c r="B43" s="4" t="n">
        <v>-238772</v>
      </c>
      <c r="C43" s="4" t="n">
        <v>-12053</v>
      </c>
      <c r="D43" s="4" t="n">
        <v>105521</v>
      </c>
      <c r="E43" s="4" t="n">
        <v>175912</v>
      </c>
      <c r="F43" s="5" t="n"/>
      <c r="G43" s="5" t="n"/>
      <c r="H43" s="5" t="n"/>
      <c r="I43" s="5" t="n"/>
      <c r="J43" s="5" t="n"/>
      <c r="K43" s="5" t="n"/>
    </row>
    <row r="44">
      <c r="A44" s="3" t="inlineStr">
        <is>
          <t>Total Stockholders' Equity</t>
        </is>
      </c>
      <c r="B44" s="6">
        <f>SUM(B38:B43)</f>
        <v/>
      </c>
      <c r="C44" s="6">
        <f>SUM(C38:C43)</f>
        <v/>
      </c>
      <c r="D44" s="6">
        <f>SUM(D38:D43)</f>
        <v/>
      </c>
      <c r="E44" s="6">
        <f>SUM(E38:E43)</f>
        <v/>
      </c>
      <c r="F44" s="7">
        <f>SUM(F38:F43)</f>
        <v/>
      </c>
      <c r="G44" s="7">
        <f>SUM(G38:G43)</f>
        <v/>
      </c>
      <c r="H44" s="7">
        <f>SUM(H38:H43)</f>
        <v/>
      </c>
      <c r="I44" s="7">
        <f>SUM(I38:I43)</f>
        <v/>
      </c>
      <c r="J44" s="7">
        <f>SUM(J38:J43)</f>
        <v/>
      </c>
      <c r="K44" s="7">
        <f>SUM(K38:K43)</f>
        <v/>
      </c>
    </row>
    <row r="45">
      <c r="A45" s="3" t="inlineStr">
        <is>
          <t>Total Liabilities, Mezzanine &amp; Stockholders' Equity</t>
        </is>
      </c>
      <c r="B45" s="6">
        <f>B37+B44</f>
        <v/>
      </c>
      <c r="C45" s="6">
        <f>C37+C44</f>
        <v/>
      </c>
      <c r="D45" s="6">
        <f>D37+D44</f>
        <v/>
      </c>
      <c r="E45" s="6">
        <f>E37+E44</f>
        <v/>
      </c>
      <c r="F45" s="7">
        <f>F37+F44</f>
        <v/>
      </c>
      <c r="G45" s="7">
        <f>G37+G44</f>
        <v/>
      </c>
      <c r="H45" s="7">
        <f>H37+H44</f>
        <v/>
      </c>
      <c r="I45" s="7">
        <f>I37+I44</f>
        <v/>
      </c>
      <c r="J45" s="7">
        <f>J37+J44</f>
        <v/>
      </c>
      <c r="K45" s="7">
        <f>K37+K44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/>
      <c r="B1" s="2" t="inlineStr">
        <is>
          <t>FY2021</t>
        </is>
      </c>
      <c r="C1" s="2" t="inlineStr">
        <is>
          <t>FY2022</t>
        </is>
      </c>
      <c r="D1" s="2" t="inlineStr">
        <is>
          <t>FY2023</t>
        </is>
      </c>
      <c r="E1" s="2" t="inlineStr">
        <is>
          <t>FY2024</t>
        </is>
      </c>
      <c r="F1" s="2" t="inlineStr">
        <is>
          <t>FY2025</t>
        </is>
      </c>
      <c r="G1" s="2" t="inlineStr">
        <is>
          <t>FY2025E</t>
        </is>
      </c>
      <c r="H1" s="2" t="inlineStr">
        <is>
          <t>FY2026E</t>
        </is>
      </c>
      <c r="I1" s="2" t="inlineStr">
        <is>
          <t>FY2027E</t>
        </is>
      </c>
      <c r="J1" s="2" t="inlineStr">
        <is>
          <t>FY2028E</t>
        </is>
      </c>
      <c r="K1" s="2" t="inlineStr">
        <is>
          <t>FY2029E</t>
        </is>
      </c>
      <c r="L1" s="2" t="inlineStr">
        <is>
          <t>FY2030E</t>
        </is>
      </c>
    </row>
    <row r="2">
      <c r="A2" s="3" t="inlineStr">
        <is>
          <t>Net Income (Loss)</t>
        </is>
      </c>
      <c r="B2" s="4" t="n">
        <v>3937</v>
      </c>
      <c r="C2" s="4" t="n">
        <v>-187282</v>
      </c>
      <c r="D2" s="4" t="n">
        <v>226801</v>
      </c>
      <c r="E2" s="4" t="n">
        <v>145074</v>
      </c>
      <c r="F2" s="4" t="n">
        <v>107999</v>
      </c>
      <c r="G2" s="5" t="n"/>
      <c r="H2" s="5" t="n"/>
      <c r="I2" s="5" t="n"/>
      <c r="J2" s="5" t="n"/>
      <c r="K2" s="5" t="n"/>
      <c r="L2" s="5" t="n"/>
    </row>
    <row r="3">
      <c r="A3" s="3" t="inlineStr">
        <is>
          <t>Depreciation &amp; Amortization</t>
        </is>
      </c>
      <c r="B3" s="4" t="n">
        <v>1264</v>
      </c>
      <c r="C3" s="4" t="n">
        <v>1917</v>
      </c>
      <c r="D3" s="4" t="n">
        <v>3226</v>
      </c>
      <c r="E3" s="4" t="n">
        <v>7274</v>
      </c>
      <c r="F3" s="4" t="n">
        <v>29451</v>
      </c>
      <c r="G3" s="5" t="n"/>
      <c r="H3" s="5" t="n"/>
      <c r="I3" s="5" t="n"/>
      <c r="J3" s="5" t="n"/>
      <c r="K3" s="5" t="n"/>
      <c r="L3" s="5" t="n"/>
    </row>
    <row r="4">
      <c r="A4" s="3" t="inlineStr">
        <is>
          <t>Impairment of Intangibles</t>
        </is>
      </c>
      <c r="B4" s="4" t="n">
        <v>0</v>
      </c>
      <c r="C4" s="4" t="n">
        <v>2379</v>
      </c>
      <c r="D4" s="4" t="n">
        <v>0</v>
      </c>
      <c r="E4" s="4" t="n">
        <v>0</v>
      </c>
      <c r="F4" s="4" t="n">
        <v>0</v>
      </c>
      <c r="G4" s="5" t="n"/>
      <c r="H4" s="5" t="n"/>
      <c r="I4" s="5" t="n"/>
      <c r="J4" s="5" t="n"/>
      <c r="K4" s="5" t="n"/>
      <c r="L4" s="5" t="n"/>
    </row>
    <row r="5">
      <c r="A5" s="3" t="inlineStr">
        <is>
          <t>Allowance for Credit Losses</t>
        </is>
      </c>
      <c r="B5" s="4" t="n">
        <v>1494</v>
      </c>
      <c r="C5" s="4" t="n">
        <v>2352</v>
      </c>
      <c r="D5" s="4" t="n">
        <v>2128</v>
      </c>
      <c r="E5" s="4" t="n">
        <v>3294</v>
      </c>
      <c r="F5" s="4" t="n">
        <v>10600</v>
      </c>
      <c r="G5" s="5" t="n"/>
      <c r="H5" s="5" t="n"/>
      <c r="I5" s="5" t="n"/>
      <c r="J5" s="5" t="n"/>
      <c r="K5" s="5" t="n"/>
      <c r="L5" s="5" t="n"/>
    </row>
    <row r="6">
      <c r="A6" s="3" t="inlineStr">
        <is>
          <t>Amortization of Deferred Other Costs</t>
        </is>
      </c>
      <c r="B6" s="4" t="n">
        <v>0</v>
      </c>
      <c r="C6" s="4" t="n">
        <v>5885</v>
      </c>
      <c r="D6" s="4" t="n">
        <v>14124</v>
      </c>
      <c r="E6" s="4" t="n">
        <v>14124</v>
      </c>
      <c r="F6" s="4" t="n">
        <v>26326</v>
      </c>
      <c r="G6" s="5" t="n"/>
      <c r="H6" s="5" t="n"/>
      <c r="I6" s="5" t="n"/>
      <c r="J6" s="5" t="n"/>
      <c r="K6" s="5" t="n"/>
      <c r="L6" s="5" t="n"/>
    </row>
    <row r="7">
      <c r="A7" s="3" t="inlineStr">
        <is>
          <t>Inventory Write-Down</t>
        </is>
      </c>
      <c r="B7" s="4" t="n">
        <v>2355</v>
      </c>
      <c r="C7" s="4" t="n">
        <v>6131</v>
      </c>
      <c r="D7" s="4" t="n">
        <v>7312</v>
      </c>
      <c r="E7" s="4" t="n">
        <v>19086</v>
      </c>
      <c r="F7" s="4" t="n">
        <v>29190</v>
      </c>
      <c r="G7" s="5" t="n"/>
      <c r="H7" s="5" t="n"/>
      <c r="I7" s="5" t="n"/>
      <c r="J7" s="5" t="n"/>
      <c r="K7" s="5" t="n"/>
      <c r="L7" s="5" t="n"/>
    </row>
    <row r="8">
      <c r="A8" s="3" t="inlineStr">
        <is>
          <t>Gain (Loss) on Disposal of PP&amp;E</t>
        </is>
      </c>
      <c r="B8" s="4" t="n">
        <v>0</v>
      </c>
      <c r="C8" s="4" t="n">
        <v>0</v>
      </c>
      <c r="D8" s="4" t="n">
        <v>198</v>
      </c>
      <c r="E8" s="4" t="n">
        <v>173</v>
      </c>
      <c r="F8" s="4" t="n">
        <v>0</v>
      </c>
      <c r="G8" s="5" t="n"/>
      <c r="H8" s="5" t="n"/>
      <c r="I8" s="5" t="n"/>
      <c r="J8" s="5" t="n"/>
      <c r="K8" s="5" t="n"/>
      <c r="L8" s="5" t="n"/>
    </row>
    <row r="9">
      <c r="A9" s="3" t="inlineStr">
        <is>
          <t>Stock-Based Compensation</t>
        </is>
      </c>
      <c r="B9" s="4" t="n">
        <v>36475</v>
      </c>
      <c r="C9" s="4" t="n">
        <v>20665</v>
      </c>
      <c r="D9" s="4" t="n">
        <v>21226</v>
      </c>
      <c r="E9" s="4" t="n">
        <v>19591</v>
      </c>
      <c r="F9" s="4" t="n">
        <v>28050</v>
      </c>
      <c r="G9" s="5" t="n"/>
      <c r="H9" s="5" t="n"/>
      <c r="I9" s="5" t="n"/>
      <c r="J9" s="5" t="n"/>
      <c r="K9" s="5" t="n"/>
      <c r="L9" s="5" t="n"/>
    </row>
    <row r="10">
      <c r="A10" s="3" t="inlineStr">
        <is>
          <t>(Benefit) Provision for Deferred Income Taxes</t>
        </is>
      </c>
      <c r="B10" s="4" t="n">
        <v>-9201</v>
      </c>
      <c r="C10" s="4" t="n">
        <v>20244</v>
      </c>
      <c r="D10" s="4" t="n">
        <v>-42055</v>
      </c>
      <c r="E10" s="4" t="n">
        <v>-9730</v>
      </c>
      <c r="F10" s="4" t="n">
        <v>-57336</v>
      </c>
      <c r="G10" s="5" t="n"/>
      <c r="H10" s="5" t="n"/>
      <c r="I10" s="5" t="n"/>
      <c r="J10" s="5" t="n"/>
      <c r="K10" s="5" t="n"/>
      <c r="L10" s="5" t="n"/>
    </row>
    <row r="11">
      <c r="A11" s="3" t="inlineStr">
        <is>
          <t>Foreign Currency Gain (Loss)</t>
        </is>
      </c>
      <c r="B11" s="4" t="n">
        <v>880</v>
      </c>
      <c r="C11" s="4" t="n">
        <v>483</v>
      </c>
      <c r="D11" s="4" t="n">
        <v>1246</v>
      </c>
      <c r="E11" s="4" t="n">
        <v>1734</v>
      </c>
      <c r="F11" s="4" t="n">
        <v>0</v>
      </c>
      <c r="G11" s="5" t="n"/>
      <c r="H11" s="5" t="n"/>
      <c r="I11" s="5" t="n"/>
      <c r="J11" s="5" t="n"/>
      <c r="K11" s="5" t="n"/>
      <c r="L11" s="5" t="n"/>
    </row>
    <row r="12">
      <c r="A12" s="3" t="inlineStr">
        <is>
          <t>Gain (Loss) on Lease Cancellations</t>
        </is>
      </c>
      <c r="B12" s="4" t="n">
        <v>-28</v>
      </c>
      <c r="C12" s="4" t="n">
        <v>0</v>
      </c>
      <c r="D12" s="4" t="n">
        <v>0</v>
      </c>
      <c r="E12" s="4" t="n">
        <v>0</v>
      </c>
      <c r="F12" s="4" t="n">
        <v>0</v>
      </c>
      <c r="G12" s="5" t="n"/>
      <c r="H12" s="5" t="n"/>
      <c r="I12" s="5" t="n"/>
      <c r="J12" s="5" t="n"/>
      <c r="K12" s="5" t="n"/>
      <c r="L12" s="5" t="n"/>
    </row>
    <row r="13">
      <c r="A13" s="3" t="inlineStr">
        <is>
          <t>Change in Fair Value of Contingent Consideration</t>
        </is>
      </c>
      <c r="B13" s="4" t="n">
        <v>0</v>
      </c>
      <c r="C13" s="4" t="n">
        <v>0</v>
      </c>
      <c r="D13" s="4" t="n">
        <v>0</v>
      </c>
      <c r="E13" s="4" t="n">
        <v>0</v>
      </c>
      <c r="F13" s="4" t="n">
        <v>13800</v>
      </c>
      <c r="G13" s="5" t="n"/>
      <c r="H13" s="5" t="n"/>
      <c r="I13" s="5" t="n"/>
      <c r="J13" s="5" t="n"/>
      <c r="K13" s="5" t="n"/>
      <c r="L13" s="5" t="n"/>
    </row>
    <row r="14">
      <c r="A14" s="3" t="inlineStr">
        <is>
          <t>Gain (Loss) on Extinguishment of Debt</t>
        </is>
      </c>
      <c r="B14" s="4" t="n">
        <v>0</v>
      </c>
      <c r="C14" s="4" t="n">
        <v>0</v>
      </c>
      <c r="D14" s="4" t="n">
        <v>0</v>
      </c>
      <c r="E14" s="4" t="n">
        <v>0</v>
      </c>
      <c r="F14" s="4" t="n">
        <v>6003</v>
      </c>
      <c r="G14" s="5" t="n"/>
      <c r="H14" s="5" t="n"/>
      <c r="I14" s="5" t="n"/>
      <c r="J14" s="5" t="n"/>
      <c r="K14" s="5" t="n"/>
      <c r="L14" s="5" t="n"/>
    </row>
    <row r="15">
      <c r="A15" s="3" t="inlineStr">
        <is>
          <t>Other Operating Items</t>
        </is>
      </c>
      <c r="B15" s="4" t="n">
        <v>0</v>
      </c>
      <c r="C15" s="4" t="n">
        <v>37</v>
      </c>
      <c r="D15" s="4" t="n">
        <v>-28</v>
      </c>
      <c r="E15" s="4" t="n">
        <v>-324</v>
      </c>
      <c r="F15" s="4" t="n">
        <v>-1687</v>
      </c>
      <c r="G15" s="5" t="n"/>
      <c r="H15" s="5" t="n"/>
      <c r="I15" s="5" t="n"/>
      <c r="J15" s="5" t="n"/>
      <c r="K15" s="5" t="n"/>
      <c r="L15" s="5" t="n"/>
    </row>
    <row r="16">
      <c r="A16" s="3" t="inlineStr">
        <is>
          <t>Accounts Receivable</t>
        </is>
      </c>
      <c r="B16" s="4" t="n">
        <v>-25249</v>
      </c>
      <c r="C16" s="4" t="n">
        <v>-26369</v>
      </c>
      <c r="D16" s="4" t="n">
        <v>-121558</v>
      </c>
      <c r="E16" s="4" t="n">
        <v>-89665</v>
      </c>
      <c r="F16" s="4" t="n">
        <v>-412091</v>
      </c>
      <c r="G16" s="5" t="n"/>
      <c r="H16" s="5" t="n"/>
      <c r="I16" s="5" t="n"/>
      <c r="J16" s="5" t="n"/>
      <c r="K16" s="5" t="n"/>
      <c r="L16" s="5" t="n"/>
    </row>
    <row r="17">
      <c r="A17" s="3" t="inlineStr">
        <is>
          <t>Note Receivable</t>
        </is>
      </c>
      <c r="B17" s="4" t="n">
        <v>0</v>
      </c>
      <c r="C17" s="4" t="n">
        <v>0</v>
      </c>
      <c r="D17" s="4" t="n">
        <v>0</v>
      </c>
      <c r="E17" s="4" t="n">
        <v>2318</v>
      </c>
      <c r="F17" s="4" t="n">
        <v>0</v>
      </c>
      <c r="G17" s="5" t="n"/>
      <c r="H17" s="5" t="n"/>
      <c r="I17" s="5" t="n"/>
      <c r="J17" s="5" t="n"/>
      <c r="K17" s="5" t="n"/>
      <c r="L17" s="5" t="n"/>
    </row>
    <row r="18">
      <c r="A18" s="3" t="inlineStr">
        <is>
          <t>Inventories</t>
        </is>
      </c>
      <c r="B18" s="4" t="n">
        <v>-175174</v>
      </c>
      <c r="C18" s="4" t="n">
        <v>11802</v>
      </c>
      <c r="D18" s="4" t="n">
        <v>-63299</v>
      </c>
      <c r="E18" s="4" t="n">
        <v>77190</v>
      </c>
      <c r="F18" s="4" t="n">
        <v>-129777</v>
      </c>
      <c r="G18" s="5" t="n"/>
      <c r="H18" s="5" t="n"/>
      <c r="I18" s="5" t="n"/>
      <c r="J18" s="5" t="n"/>
      <c r="K18" s="5" t="n"/>
      <c r="L18" s="5" t="n"/>
    </row>
    <row r="19">
      <c r="A19" s="3" t="inlineStr">
        <is>
          <t>Prepaid Expenses</t>
        </is>
      </c>
      <c r="B19" s="4" t="n">
        <v>1072</v>
      </c>
      <c r="C19" s="4" t="n">
        <v>2214</v>
      </c>
      <c r="D19" s="4" t="n">
        <v>-7980</v>
      </c>
      <c r="E19" s="4" t="n">
        <v>1074</v>
      </c>
      <c r="F19" s="4" t="n">
        <v>-108321</v>
      </c>
      <c r="G19" s="5" t="n"/>
      <c r="H19" s="5" t="n"/>
      <c r="I19" s="5" t="n"/>
      <c r="J19" s="5" t="n"/>
      <c r="K19" s="5" t="n"/>
      <c r="L19" s="5" t="n"/>
    </row>
    <row r="20">
      <c r="A20" s="3" t="inlineStr">
        <is>
          <t>Other Non-Current Assets</t>
        </is>
      </c>
      <c r="B20" s="4" t="n">
        <v>0</v>
      </c>
      <c r="C20" s="4" t="n">
        <v>0</v>
      </c>
      <c r="D20" s="4" t="n">
        <v>0</v>
      </c>
      <c r="E20" s="4" t="n">
        <v>-4862</v>
      </c>
      <c r="F20" s="4" t="n">
        <v>2857</v>
      </c>
      <c r="G20" s="5" t="n"/>
      <c r="H20" s="5" t="n"/>
      <c r="I20" s="5" t="n"/>
      <c r="J20" s="5" t="n"/>
      <c r="K20" s="5" t="n"/>
      <c r="L20" s="5" t="n"/>
    </row>
    <row r="21">
      <c r="A21" s="3" t="inlineStr">
        <is>
          <t>Accounts Payable</t>
        </is>
      </c>
      <c r="B21" s="4" t="n">
        <v>23966</v>
      </c>
      <c r="C21" s="4" t="n">
        <v>428</v>
      </c>
      <c r="D21" s="4" t="n">
        <v>5249</v>
      </c>
      <c r="E21" s="4" t="n">
        <v>-1170</v>
      </c>
      <c r="F21" s="4" t="n">
        <v>51252</v>
      </c>
      <c r="G21" s="5" t="n"/>
      <c r="H21" s="5" t="n"/>
      <c r="I21" s="5" t="n"/>
      <c r="J21" s="5" t="n"/>
      <c r="K21" s="5" t="n"/>
      <c r="L21" s="5" t="n"/>
    </row>
    <row r="22">
      <c r="A22" s="3" t="inlineStr">
        <is>
          <t>Accrued Expenses</t>
        </is>
      </c>
      <c r="B22" s="4" t="n">
        <v>26484</v>
      </c>
      <c r="C22" s="4" t="n">
        <v>34644</v>
      </c>
      <c r="D22" s="4" t="n">
        <v>-8025</v>
      </c>
      <c r="E22" s="4" t="n">
        <v>85398</v>
      </c>
      <c r="F22" s="4" t="n">
        <v>45618</v>
      </c>
      <c r="G22" s="5" t="n"/>
      <c r="H22" s="5" t="n"/>
      <c r="I22" s="5" t="n"/>
      <c r="J22" s="5" t="n"/>
      <c r="K22" s="5" t="n"/>
      <c r="L22" s="5" t="n"/>
    </row>
    <row r="23">
      <c r="A23" s="3" t="inlineStr">
        <is>
          <t>Other Current Liabilities</t>
        </is>
      </c>
      <c r="B23" s="4" t="n">
        <v>1731</v>
      </c>
      <c r="C23" s="4" t="n">
        <v>2446</v>
      </c>
      <c r="D23" s="4" t="n">
        <v>55407</v>
      </c>
      <c r="E23" s="4" t="n">
        <v>-34616</v>
      </c>
      <c r="F23" s="4" t="n">
        <v>48687</v>
      </c>
      <c r="G23" s="5" t="n"/>
      <c r="H23" s="5" t="n"/>
      <c r="I23" s="5" t="n"/>
      <c r="J23" s="5" t="n"/>
      <c r="K23" s="5" t="n"/>
      <c r="L23" s="5" t="n"/>
    </row>
    <row r="24">
      <c r="A24" s="3" t="inlineStr">
        <is>
          <t>Accrued Promotional Allowance</t>
        </is>
      </c>
      <c r="B24" s="4" t="n">
        <v>13379</v>
      </c>
      <c r="C24" s="4" t="n">
        <v>16940</v>
      </c>
      <c r="D24" s="4" t="n">
        <v>63810</v>
      </c>
      <c r="E24" s="4" t="n">
        <v>36161</v>
      </c>
      <c r="F24" s="4" t="n">
        <v>153635</v>
      </c>
      <c r="G24" s="5" t="n"/>
      <c r="H24" s="5" t="n"/>
      <c r="I24" s="5" t="n"/>
      <c r="J24" s="5" t="n"/>
      <c r="K24" s="5" t="n"/>
      <c r="L24" s="5" t="n"/>
    </row>
    <row r="25">
      <c r="A25" s="3" t="inlineStr">
        <is>
          <t>Accrued Distributor Termination</t>
        </is>
      </c>
      <c r="B25" s="4" t="n">
        <v>0</v>
      </c>
      <c r="C25" s="4" t="n">
        <v>3986</v>
      </c>
      <c r="D25" s="4" t="n">
        <v>-3739</v>
      </c>
      <c r="E25" s="4" t="n">
        <v>-248</v>
      </c>
      <c r="F25" s="4" t="n">
        <v>257595</v>
      </c>
      <c r="G25" s="5" t="n"/>
      <c r="H25" s="5" t="n"/>
      <c r="I25" s="5" t="n"/>
      <c r="J25" s="5" t="n"/>
      <c r="K25" s="5" t="n"/>
      <c r="L25" s="5" t="n"/>
    </row>
    <row r="26">
      <c r="A26" s="3" t="inlineStr">
        <is>
          <t>ROU &amp; Lease Liability, Net</t>
        </is>
      </c>
      <c r="B26" s="4" t="n">
        <v>29</v>
      </c>
      <c r="C26" s="4" t="n">
        <v>-183</v>
      </c>
      <c r="D26" s="4" t="n">
        <v>-102</v>
      </c>
      <c r="E26" s="4" t="n">
        <v>535</v>
      </c>
      <c r="F26" s="4" t="n">
        <v>0</v>
      </c>
      <c r="G26" s="5" t="n"/>
      <c r="H26" s="5" t="n"/>
      <c r="I26" s="5" t="n"/>
      <c r="J26" s="5" t="n"/>
      <c r="K26" s="5" t="n"/>
      <c r="L26" s="5" t="n"/>
    </row>
    <row r="27">
      <c r="A27" s="3" t="inlineStr">
        <is>
          <t>Deferred Revenue</t>
        </is>
      </c>
      <c r="B27" s="4" t="n">
        <v>0</v>
      </c>
      <c r="C27" s="4" t="n">
        <v>189463</v>
      </c>
      <c r="D27" s="4" t="n">
        <v>-12723</v>
      </c>
      <c r="E27" s="4" t="n">
        <v>-9513</v>
      </c>
      <c r="F27" s="4" t="n">
        <v>255110</v>
      </c>
      <c r="G27" s="5" t="n"/>
      <c r="H27" s="5" t="n"/>
      <c r="I27" s="5" t="n"/>
      <c r="J27" s="5" t="n"/>
      <c r="K27" s="5" t="n"/>
      <c r="L27" s="5" t="n"/>
    </row>
    <row r="28">
      <c r="A28" s="3" t="inlineStr">
        <is>
          <t>Net Change in Other Working Capital</t>
        </is>
      </c>
      <c r="B28" s="4" t="n">
        <v>0</v>
      </c>
      <c r="C28" s="4" t="n">
        <v>0</v>
      </c>
      <c r="D28" s="4" t="n">
        <v>0</v>
      </c>
      <c r="E28" s="4" t="n">
        <v>0</v>
      </c>
      <c r="F28" s="4" t="n">
        <v>2481</v>
      </c>
      <c r="G28" s="5" t="n"/>
      <c r="H28" s="5" t="n"/>
      <c r="I28" s="5" t="n"/>
      <c r="J28" s="5" t="n"/>
      <c r="K28" s="5" t="n"/>
      <c r="L28" s="5" t="n"/>
    </row>
    <row r="29">
      <c r="A29" s="3" t="inlineStr">
        <is>
          <t>Cash Flow from Operations</t>
        </is>
      </c>
      <c r="B29" s="6">
        <f>SUM(B2:B28)</f>
        <v/>
      </c>
      <c r="C29" s="6">
        <f>SUM(C2:C28)</f>
        <v/>
      </c>
      <c r="D29" s="6">
        <f>SUM(D2:D28)</f>
        <v/>
      </c>
      <c r="E29" s="6">
        <f>SUM(E2:E28)</f>
        <v/>
      </c>
      <c r="F29" s="6">
        <f>SUM(F2:F28)</f>
        <v/>
      </c>
      <c r="G29" s="7">
        <f>SUM(G2:G28)</f>
        <v/>
      </c>
      <c r="H29" s="7">
        <f>SUM(H2:H28)</f>
        <v/>
      </c>
      <c r="I29" s="7">
        <f>SUM(I2:I28)</f>
        <v/>
      </c>
      <c r="J29" s="7">
        <f>SUM(J2:J28)</f>
        <v/>
      </c>
      <c r="K29" s="7">
        <f>SUM(K2:K28)</f>
        <v/>
      </c>
      <c r="L29" s="7">
        <f>SUM(L2:L28)</f>
        <v/>
      </c>
    </row>
    <row r="30">
      <c r="A30" s="3" t="inlineStr">
        <is>
          <t>Collections from Note Receivable</t>
        </is>
      </c>
      <c r="B30" s="4" t="n">
        <v>1886</v>
      </c>
      <c r="C30" s="4" t="n">
        <v>2592</v>
      </c>
      <c r="D30" s="4" t="n">
        <v>3233</v>
      </c>
      <c r="E30" s="4" t="n">
        <v>0</v>
      </c>
      <c r="F30" s="4" t="n">
        <v>0</v>
      </c>
      <c r="G30" s="5" t="n"/>
      <c r="H30" s="5" t="n"/>
      <c r="I30" s="5" t="n"/>
      <c r="J30" s="5" t="n"/>
      <c r="K30" s="5" t="n"/>
      <c r="L30" s="5" t="n"/>
    </row>
    <row r="31">
      <c r="A31" s="3" t="inlineStr">
        <is>
          <t>Purchase of PP&amp;E</t>
        </is>
      </c>
      <c r="B31" s="4" t="n">
        <v>-3150</v>
      </c>
      <c r="C31" s="4" t="n">
        <v>-8264</v>
      </c>
      <c r="D31" s="4" t="n">
        <v>-17433</v>
      </c>
      <c r="E31" s="4" t="n">
        <v>-23390</v>
      </c>
      <c r="F31" s="4" t="n">
        <v>-36067</v>
      </c>
      <c r="G31" s="5" t="n"/>
      <c r="H31" s="5" t="n"/>
      <c r="I31" s="5" t="n"/>
      <c r="J31" s="5" t="n"/>
      <c r="K31" s="5" t="n"/>
      <c r="L31" s="5" t="n"/>
    </row>
    <row r="32">
      <c r="A32" s="3" t="inlineStr">
        <is>
          <t>Purchase of Non-Marketable Equity Securities</t>
        </is>
      </c>
      <c r="B32" s="4" t="n">
        <v>0</v>
      </c>
      <c r="C32" s="4" t="n">
        <v>0</v>
      </c>
      <c r="D32" s="4" t="n">
        <v>0</v>
      </c>
      <c r="E32" s="4" t="n">
        <v>-3000</v>
      </c>
      <c r="F32" s="4" t="n">
        <v>-10000</v>
      </c>
      <c r="G32" s="5" t="n"/>
      <c r="H32" s="5" t="n"/>
      <c r="I32" s="5" t="n"/>
      <c r="J32" s="5" t="n"/>
      <c r="K32" s="5" t="n"/>
      <c r="L32" s="5" t="n"/>
    </row>
    <row r="33">
      <c r="A33" s="3" t="inlineStr">
        <is>
          <t>Acquisition of Big Beverages</t>
        </is>
      </c>
      <c r="B33" s="4" t="n">
        <v>0</v>
      </c>
      <c r="C33" s="4" t="n">
        <v>0</v>
      </c>
      <c r="D33" s="4" t="n">
        <v>0</v>
      </c>
      <c r="E33" s="4" t="n">
        <v>-75336</v>
      </c>
      <c r="F33" s="4" t="n">
        <v>0</v>
      </c>
      <c r="G33" s="5" t="n"/>
      <c r="H33" s="5" t="n"/>
      <c r="I33" s="5" t="n"/>
      <c r="J33" s="5" t="n"/>
      <c r="K33" s="5" t="n"/>
      <c r="L33" s="5" t="n"/>
    </row>
    <row r="34">
      <c r="A34" s="3" t="inlineStr">
        <is>
          <t>Acquisitions, Net of Cash Acquired</t>
        </is>
      </c>
      <c r="B34" s="4" t="n">
        <v>0</v>
      </c>
      <c r="C34" s="4" t="n">
        <v>0</v>
      </c>
      <c r="D34" s="4" t="n">
        <v>0</v>
      </c>
      <c r="E34" s="4" t="n">
        <v>0</v>
      </c>
      <c r="F34" s="4" t="n">
        <v>-1278769</v>
      </c>
      <c r="G34" s="5" t="n"/>
      <c r="H34" s="5" t="n"/>
      <c r="I34" s="5" t="n"/>
      <c r="J34" s="5" t="n"/>
      <c r="K34" s="5" t="n"/>
      <c r="L34" s="5" t="n"/>
    </row>
    <row r="35">
      <c r="A35" s="3" t="inlineStr">
        <is>
          <t>Working Capital Estimate from Pepsi (Rockstar)</t>
        </is>
      </c>
      <c r="B35" s="4" t="n">
        <v>0</v>
      </c>
      <c r="C35" s="4" t="n">
        <v>0</v>
      </c>
      <c r="D35" s="4" t="n">
        <v>0</v>
      </c>
      <c r="E35" s="4" t="n">
        <v>0</v>
      </c>
      <c r="F35" s="4" t="n">
        <v>29156</v>
      </c>
      <c r="G35" s="5" t="n"/>
      <c r="H35" s="5" t="n"/>
      <c r="I35" s="5" t="n"/>
      <c r="J35" s="5" t="n"/>
      <c r="K35" s="5" t="n"/>
      <c r="L35" s="5" t="n"/>
    </row>
    <row r="36">
      <c r="A36" s="3" t="inlineStr">
        <is>
          <t>Cash Flow from Investing</t>
        </is>
      </c>
      <c r="B36" s="6">
        <f>SUM(B30:B35)</f>
        <v/>
      </c>
      <c r="C36" s="6">
        <f>SUM(C30:C35)</f>
        <v/>
      </c>
      <c r="D36" s="6">
        <f>SUM(D30:D35)</f>
        <v/>
      </c>
      <c r="E36" s="6">
        <f>SUM(E30:E35)</f>
        <v/>
      </c>
      <c r="F36" s="6">
        <f>SUM(F30:F35)</f>
        <v/>
      </c>
      <c r="G36" s="7">
        <f>SUM(G30:G35)</f>
        <v/>
      </c>
      <c r="H36" s="7">
        <f>SUM(H30:H35)</f>
        <v/>
      </c>
      <c r="I36" s="7">
        <f>SUM(I30:I35)</f>
        <v/>
      </c>
      <c r="J36" s="7">
        <f>SUM(J30:J35)</f>
        <v/>
      </c>
      <c r="K36" s="7">
        <f>SUM(K30:K35)</f>
        <v/>
      </c>
      <c r="L36" s="7">
        <f>SUM(L30:L35)</f>
        <v/>
      </c>
    </row>
    <row r="37">
      <c r="A37" s="3" t="inlineStr">
        <is>
          <t>Finance Lease Payments</t>
        </is>
      </c>
      <c r="B37" s="4" t="n">
        <v>-94</v>
      </c>
      <c r="C37" s="4" t="n">
        <v>-63</v>
      </c>
      <c r="D37" s="4" t="n">
        <v>-44</v>
      </c>
      <c r="E37" s="4" t="n">
        <v>-61</v>
      </c>
      <c r="F37" s="4" t="n">
        <v>0</v>
      </c>
      <c r="G37" s="5" t="n"/>
      <c r="H37" s="5" t="n"/>
      <c r="I37" s="5" t="n"/>
      <c r="J37" s="5" t="n"/>
      <c r="K37" s="5" t="n"/>
      <c r="L37" s="5" t="n"/>
    </row>
    <row r="38">
      <c r="A38" s="3" t="inlineStr">
        <is>
          <t>Proceeds from Exercise of Stock Options</t>
        </is>
      </c>
      <c r="B38" s="4" t="n">
        <v>3720</v>
      </c>
      <c r="C38" s="4" t="n">
        <v>3683</v>
      </c>
      <c r="D38" s="4" t="n">
        <v>2285</v>
      </c>
      <c r="E38" s="4" t="n">
        <v>3856</v>
      </c>
      <c r="F38" s="4" t="n">
        <v>0</v>
      </c>
      <c r="G38" s="5" t="n"/>
      <c r="H38" s="5" t="n"/>
      <c r="I38" s="5" t="n"/>
      <c r="J38" s="5" t="n"/>
      <c r="K38" s="5" t="n"/>
      <c r="L38" s="5" t="n"/>
    </row>
    <row r="39">
      <c r="A39" s="3" t="inlineStr">
        <is>
          <t>Proceeds from Issuance of Common Stock</t>
        </is>
      </c>
      <c r="B39" s="4" t="n">
        <v>67769</v>
      </c>
      <c r="C39" s="4" t="n">
        <v>0</v>
      </c>
      <c r="D39" s="4" t="n">
        <v>0</v>
      </c>
      <c r="E39" s="4" t="n">
        <v>0</v>
      </c>
      <c r="F39" s="4" t="n">
        <v>0</v>
      </c>
      <c r="G39" s="5" t="n"/>
      <c r="H39" s="5" t="n"/>
      <c r="I39" s="5" t="n"/>
      <c r="J39" s="5" t="n"/>
      <c r="K39" s="5" t="n"/>
      <c r="L39" s="5" t="n"/>
    </row>
    <row r="40">
      <c r="A40" s="3" t="inlineStr">
        <is>
          <t>Proceeds from Issuance of Preferred Stock</t>
        </is>
      </c>
      <c r="B40" s="4" t="n">
        <v>0</v>
      </c>
      <c r="C40" s="4" t="n">
        <v>542018</v>
      </c>
      <c r="D40" s="4" t="n">
        <v>0</v>
      </c>
      <c r="E40" s="4" t="n">
        <v>0</v>
      </c>
      <c r="F40" s="4" t="n">
        <v>0</v>
      </c>
      <c r="G40" s="5" t="n"/>
      <c r="H40" s="5" t="n"/>
      <c r="I40" s="5" t="n"/>
      <c r="J40" s="5" t="n"/>
      <c r="K40" s="5" t="n"/>
      <c r="L40" s="5" t="n"/>
    </row>
    <row r="41">
      <c r="A41" s="3" t="inlineStr">
        <is>
          <t>Preferred Dividends</t>
        </is>
      </c>
      <c r="B41" s="4" t="n">
        <v>0</v>
      </c>
      <c r="C41" s="4" t="n">
        <v>-11526</v>
      </c>
      <c r="D41" s="4" t="n">
        <v>-27462</v>
      </c>
      <c r="E41" s="4" t="n">
        <v>-27500</v>
      </c>
      <c r="F41" s="4" t="n">
        <v>-37608</v>
      </c>
      <c r="G41" s="5" t="n"/>
      <c r="H41" s="5" t="n"/>
      <c r="I41" s="5" t="n"/>
      <c r="J41" s="5" t="n"/>
      <c r="K41" s="5" t="n"/>
      <c r="L41" s="5" t="n"/>
    </row>
    <row r="42">
      <c r="A42" s="3" t="inlineStr">
        <is>
          <t>Share Repurchases</t>
        </is>
      </c>
      <c r="B42" s="4" t="n">
        <v>0</v>
      </c>
      <c r="C42" s="4" t="n">
        <v>0</v>
      </c>
      <c r="D42" s="4" t="n">
        <v>0</v>
      </c>
      <c r="E42" s="4" t="n">
        <v>-2261</v>
      </c>
      <c r="F42" s="4" t="n">
        <v>-45504</v>
      </c>
      <c r="G42" s="5" t="n"/>
      <c r="H42" s="5" t="n"/>
      <c r="I42" s="5" t="n"/>
      <c r="J42" s="5" t="n"/>
      <c r="K42" s="5" t="n"/>
      <c r="L42" s="5" t="n"/>
    </row>
    <row r="43">
      <c r="A43" s="3" t="inlineStr">
        <is>
          <t>Proceeds from Issuance of Long-Term Debt</t>
        </is>
      </c>
      <c r="B43" s="4" t="n">
        <v>0</v>
      </c>
      <c r="C43" s="4" t="n">
        <v>0</v>
      </c>
      <c r="D43" s="4" t="n">
        <v>0</v>
      </c>
      <c r="E43" s="4" t="n">
        <v>0</v>
      </c>
      <c r="F43" s="4" t="n">
        <v>900000</v>
      </c>
      <c r="G43" s="5" t="n"/>
      <c r="H43" s="5" t="n"/>
      <c r="I43" s="5" t="n"/>
      <c r="J43" s="5" t="n"/>
      <c r="K43" s="5" t="n"/>
      <c r="L43" s="5" t="n"/>
    </row>
    <row r="44">
      <c r="A44" s="3" t="inlineStr">
        <is>
          <t>Repayments of Long-Term Debt</t>
        </is>
      </c>
      <c r="B44" s="4" t="n">
        <v>0</v>
      </c>
      <c r="C44" s="4" t="n">
        <v>0</v>
      </c>
      <c r="D44" s="4" t="n">
        <v>0</v>
      </c>
      <c r="E44" s="4" t="n">
        <v>0</v>
      </c>
      <c r="F44" s="4" t="n">
        <v>-201750</v>
      </c>
      <c r="G44" s="5" t="n"/>
      <c r="H44" s="5" t="n"/>
      <c r="I44" s="5" t="n"/>
      <c r="J44" s="5" t="n"/>
      <c r="K44" s="5" t="n"/>
      <c r="L44" s="5" t="n"/>
    </row>
    <row r="45">
      <c r="A45" s="3" t="inlineStr">
        <is>
          <t>Debt Issuance Fees</t>
        </is>
      </c>
      <c r="B45" s="4" t="n">
        <v>0</v>
      </c>
      <c r="C45" s="4" t="n">
        <v>0</v>
      </c>
      <c r="D45" s="4" t="n">
        <v>0</v>
      </c>
      <c r="E45" s="4" t="n">
        <v>0</v>
      </c>
      <c r="F45" s="4" t="n">
        <v>-32367</v>
      </c>
      <c r="G45" s="5" t="n"/>
      <c r="H45" s="5" t="n"/>
      <c r="I45" s="5" t="n"/>
      <c r="J45" s="5" t="n"/>
      <c r="K45" s="5" t="n"/>
      <c r="L45" s="5" t="n"/>
    </row>
    <row r="46">
      <c r="A46" s="3" t="inlineStr">
        <is>
          <t>Other Financing Activities</t>
        </is>
      </c>
      <c r="B46" s="4" t="n">
        <v>0</v>
      </c>
      <c r="C46" s="4" t="n">
        <v>0</v>
      </c>
      <c r="D46" s="4" t="n">
        <v>0</v>
      </c>
      <c r="E46" s="4" t="n">
        <v>0</v>
      </c>
      <c r="F46" s="4" t="n">
        <v>-7</v>
      </c>
      <c r="G46" s="5" t="n"/>
      <c r="H46" s="5" t="n"/>
      <c r="I46" s="5" t="n"/>
      <c r="J46" s="5" t="n"/>
      <c r="K46" s="5" t="n"/>
      <c r="L46" s="5" t="n"/>
    </row>
    <row r="47">
      <c r="A47" s="3" t="inlineStr">
        <is>
          <t>Cash Flow from Financing</t>
        </is>
      </c>
      <c r="B47" s="6">
        <f>SUM(B37:B46)</f>
        <v/>
      </c>
      <c r="C47" s="6">
        <f>SUM(C37:C46)</f>
        <v/>
      </c>
      <c r="D47" s="6">
        <f>SUM(D37:D46)</f>
        <v/>
      </c>
      <c r="E47" s="6">
        <f>SUM(E37:E46)</f>
        <v/>
      </c>
      <c r="F47" s="6">
        <f>SUM(F37:F46)</f>
        <v/>
      </c>
      <c r="G47" s="7">
        <f>SUM(G37:G46)</f>
        <v/>
      </c>
      <c r="H47" s="7">
        <f>SUM(H37:H46)</f>
        <v/>
      </c>
      <c r="I47" s="7">
        <f>SUM(I37:I46)</f>
        <v/>
      </c>
      <c r="J47" s="7">
        <f>SUM(J37:J46)</f>
        <v/>
      </c>
      <c r="K47" s="7">
        <f>SUM(K37:K46)</f>
        <v/>
      </c>
      <c r="L47" s="7">
        <f>SUM(L37:L46)</f>
        <v/>
      </c>
    </row>
    <row r="48">
      <c r="A48" s="3" t="inlineStr">
        <is>
          <t>FX Effect on Cash</t>
        </is>
      </c>
      <c r="B48" s="4" t="n">
        <v>-538</v>
      </c>
      <c r="C48" s="4" t="n">
        <v>50</v>
      </c>
      <c r="D48" s="4" t="n">
        <v>1257</v>
      </c>
      <c r="E48" s="4" t="n">
        <v>-997</v>
      </c>
      <c r="F48" s="4" t="n">
        <v>3271</v>
      </c>
      <c r="G48" s="5" t="n"/>
      <c r="H48" s="5" t="n"/>
      <c r="I48" s="5" t="n"/>
      <c r="J48" s="5" t="n"/>
      <c r="K48" s="5" t="n"/>
      <c r="L48" s="5" t="n"/>
    </row>
    <row r="49">
      <c r="A49" s="3" t="inlineStr">
        <is>
          <t>Net Change in Cash</t>
        </is>
      </c>
      <c r="B49" s="6">
        <f>B29+B36+B47+B48+B49</f>
        <v/>
      </c>
      <c r="C49" s="6">
        <f>C29+C36+C47+C48+C49</f>
        <v/>
      </c>
      <c r="D49" s="6">
        <f>D29+D36+D47+D48+D49</f>
        <v/>
      </c>
      <c r="E49" s="6">
        <f>E29+E36+E47+E48+E49</f>
        <v/>
      </c>
      <c r="F49" s="6">
        <f>F29+F36+F47+F48+F49</f>
        <v/>
      </c>
      <c r="G49" s="7">
        <f>G29+G36+G47+G48+G49</f>
        <v/>
      </c>
      <c r="H49" s="7">
        <f>H29+H36+H47+H48+H49</f>
        <v/>
      </c>
      <c r="I49" s="7">
        <f>I29+I36+I47+I48+I49</f>
        <v/>
      </c>
      <c r="J49" s="7">
        <f>J29+J36+J47+J48+J49</f>
        <v/>
      </c>
      <c r="K49" s="7">
        <f>K29+K36+K47+K48+K49</f>
        <v/>
      </c>
      <c r="L49" s="7">
        <f>L29+L36+L47+L48+L49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/>
      <c r="B1" s="2" t="inlineStr">
        <is>
          <t>Q1 FY2022</t>
        </is>
      </c>
      <c r="C1" s="2" t="inlineStr">
        <is>
          <t>Q2 FY2022</t>
        </is>
      </c>
      <c r="D1" s="2" t="inlineStr">
        <is>
          <t>Q3 FY2022</t>
        </is>
      </c>
      <c r="E1" s="2" t="inlineStr">
        <is>
          <t>Q1 FY2023</t>
        </is>
      </c>
      <c r="F1" s="2" t="inlineStr">
        <is>
          <t>Q2 FY2023</t>
        </is>
      </c>
      <c r="G1" s="2" t="inlineStr">
        <is>
          <t>Q3 FY2023</t>
        </is>
      </c>
      <c r="H1" s="2" t="inlineStr">
        <is>
          <t>Q1 FY2024</t>
        </is>
      </c>
      <c r="I1" s="2" t="inlineStr">
        <is>
          <t>Q2 FY2024</t>
        </is>
      </c>
      <c r="J1" s="2" t="inlineStr">
        <is>
          <t>Q3 FY2024</t>
        </is>
      </c>
      <c r="K1" s="2" t="inlineStr">
        <is>
          <t>Q1 FY2025</t>
        </is>
      </c>
      <c r="L1" s="2" t="inlineStr">
        <is>
          <t>Q2 FY2025</t>
        </is>
      </c>
      <c r="M1" s="2" t="inlineStr">
        <is>
          <t>Q3 FY2025</t>
        </is>
      </c>
    </row>
    <row r="2">
      <c r="A2" s="3" t="inlineStr">
        <is>
          <t>Net Sales / Revenue</t>
        </is>
      </c>
      <c r="B2" s="4" t="n">
        <v>133388</v>
      </c>
      <c r="C2" s="4" t="n">
        <v>287408</v>
      </c>
      <c r="D2" s="4" t="n">
        <v>475640</v>
      </c>
      <c r="E2" s="4" t="n">
        <v>259939</v>
      </c>
      <c r="F2" s="4" t="n">
        <v>585822</v>
      </c>
      <c r="G2" s="4" t="n">
        <v>970579</v>
      </c>
      <c r="H2" s="4" t="n">
        <v>355708</v>
      </c>
      <c r="I2" s="4" t="n">
        <v>757685</v>
      </c>
      <c r="J2" s="4" t="n">
        <v>1023433</v>
      </c>
      <c r="K2" s="4" t="n">
        <v>329276</v>
      </c>
      <c r="L2" s="4" t="n">
        <v>1068535</v>
      </c>
      <c r="M2" s="4" t="n">
        <v>1793641</v>
      </c>
    </row>
    <row r="3">
      <c r="A3" s="3" t="inlineStr">
        <is>
          <t>COGS</t>
        </is>
      </c>
      <c r="B3" s="4" t="n">
        <v>-79494</v>
      </c>
      <c r="C3" s="4" t="n">
        <v>-174195</v>
      </c>
      <c r="D3" s="4" t="n">
        <v>-283778</v>
      </c>
      <c r="E3" s="4" t="n">
        <v>-146121</v>
      </c>
      <c r="F3" s="4" t="n">
        <v>-313010</v>
      </c>
      <c r="G3" s="4" t="n">
        <v>-503685</v>
      </c>
      <c r="H3" s="4" t="n">
        <v>-173501</v>
      </c>
      <c r="I3" s="4" t="n">
        <v>-366380</v>
      </c>
      <c r="J3" s="4" t="n">
        <v>-509899</v>
      </c>
      <c r="K3" s="4" t="n">
        <v>-156903</v>
      </c>
      <c r="L3" s="4" t="n">
        <v>-515311</v>
      </c>
      <c r="M3" s="4" t="n">
        <v>-868138</v>
      </c>
    </row>
    <row r="4">
      <c r="A4" s="3" t="inlineStr">
        <is>
          <t>Gross Profit (Loss)</t>
        </is>
      </c>
      <c r="B4" s="6">
        <f>B2+B3</f>
        <v/>
      </c>
      <c r="C4" s="6">
        <f>C2+C3</f>
        <v/>
      </c>
      <c r="D4" s="6">
        <f>D2+D3</f>
        <v/>
      </c>
      <c r="E4" s="6">
        <f>E2+E3</f>
        <v/>
      </c>
      <c r="F4" s="6">
        <f>F2+F3</f>
        <v/>
      </c>
      <c r="G4" s="6">
        <f>G2+G3</f>
        <v/>
      </c>
      <c r="H4" s="6">
        <f>H2+H3</f>
        <v/>
      </c>
      <c r="I4" s="6">
        <f>I2+I3</f>
        <v/>
      </c>
      <c r="J4" s="6">
        <f>J2+J3</f>
        <v/>
      </c>
      <c r="K4" s="6">
        <f>K2+K3</f>
        <v/>
      </c>
      <c r="L4" s="6">
        <f>L2+L3</f>
        <v/>
      </c>
      <c r="M4" s="6">
        <f>M2+M3</f>
        <v/>
      </c>
    </row>
    <row r="5">
      <c r="A5" s="3" t="inlineStr">
        <is>
          <t>SG&amp;A</t>
        </is>
      </c>
      <c r="B5" s="4" t="n">
        <v>-43778</v>
      </c>
      <c r="C5" s="4" t="n">
        <v>-90667</v>
      </c>
      <c r="D5" s="4" t="n">
        <v>-316917</v>
      </c>
      <c r="E5" s="4" t="n">
        <v>-68905</v>
      </c>
      <c r="F5" s="4" t="n">
        <v>-163086</v>
      </c>
      <c r="G5" s="4" t="n">
        <v>-259471</v>
      </c>
      <c r="H5" s="4" t="n">
        <v>-99017</v>
      </c>
      <c r="I5" s="4" t="n">
        <v>-213867</v>
      </c>
      <c r="J5" s="4" t="n">
        <v>-339310</v>
      </c>
      <c r="K5" s="4" t="n">
        <v>-120342</v>
      </c>
      <c r="L5" s="4" t="n">
        <v>-358228</v>
      </c>
      <c r="M5" s="4" t="n">
        <v>-563799</v>
      </c>
    </row>
    <row r="6">
      <c r="A6" s="3" t="inlineStr">
        <is>
          <t>Distributor Termination Fees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-246707</v>
      </c>
    </row>
    <row r="7">
      <c r="A7" s="3" t="inlineStr">
        <is>
          <t>Income (Loss) from Operations</t>
        </is>
      </c>
      <c r="B7" s="6">
        <f>B4+SUM(B5:B6)</f>
        <v/>
      </c>
      <c r="C7" s="6">
        <f>C4+SUM(C5:C6)</f>
        <v/>
      </c>
      <c r="D7" s="6">
        <f>D4+SUM(D5:D6)</f>
        <v/>
      </c>
      <c r="E7" s="6">
        <f>E4+SUM(E5:E6)</f>
        <v/>
      </c>
      <c r="F7" s="6">
        <f>F4+SUM(F5:F6)</f>
        <v/>
      </c>
      <c r="G7" s="6">
        <f>G4+SUM(G5:G6)</f>
        <v/>
      </c>
      <c r="H7" s="6">
        <f>H4+SUM(H5:H6)</f>
        <v/>
      </c>
      <c r="I7" s="6">
        <f>I4+SUM(I5:I6)</f>
        <v/>
      </c>
      <c r="J7" s="6">
        <f>J4+SUM(J5:J6)</f>
        <v/>
      </c>
      <c r="K7" s="6">
        <f>K4+SUM(K5:K6)</f>
        <v/>
      </c>
      <c r="L7" s="6">
        <f>L4+SUM(L5:L6)</f>
        <v/>
      </c>
      <c r="M7" s="6">
        <f>M4+SUM(M5:M6)</f>
        <v/>
      </c>
    </row>
    <row r="8">
      <c r="A8" s="3" t="inlineStr">
        <is>
          <t>Interest Income (Expense)</t>
        </is>
      </c>
      <c r="B8" s="4" t="n">
        <v>76</v>
      </c>
      <c r="C8" s="4" t="n">
        <v>129</v>
      </c>
      <c r="D8" s="4" t="n">
        <v>1579</v>
      </c>
      <c r="E8" s="4" t="n">
        <v>4969</v>
      </c>
      <c r="F8" s="4" t="n">
        <v>10542</v>
      </c>
      <c r="G8" s="4" t="n">
        <v>17767</v>
      </c>
      <c r="H8" s="4" t="n">
        <v>9640</v>
      </c>
      <c r="I8" s="4" t="n">
        <v>20287</v>
      </c>
      <c r="J8" s="4" t="n">
        <v>31399</v>
      </c>
      <c r="K8" s="4" t="n">
        <v>7846</v>
      </c>
      <c r="L8" s="4" t="n">
        <v>-6196</v>
      </c>
      <c r="M8" s="4" t="n">
        <v>-19592</v>
      </c>
    </row>
    <row r="9">
      <c r="A9" s="3" t="inlineStr">
        <is>
          <t>Foreign Currency Gain (Loss)</t>
        </is>
      </c>
      <c r="B9" s="4" t="n">
        <v>-162</v>
      </c>
      <c r="C9" s="4" t="n">
        <v>-676</v>
      </c>
      <c r="D9" s="4" t="n">
        <v>-930</v>
      </c>
      <c r="E9" s="4" t="n">
        <v>-118</v>
      </c>
      <c r="F9" s="4" t="n">
        <v>-1049</v>
      </c>
      <c r="G9" s="4" t="n">
        <v>-1226</v>
      </c>
      <c r="H9" s="4" t="n">
        <v>-369</v>
      </c>
      <c r="I9" s="4" t="n">
        <v>-633</v>
      </c>
      <c r="J9" s="4" t="n">
        <v>-356</v>
      </c>
      <c r="K9" s="4" t="n">
        <v>0</v>
      </c>
      <c r="L9" s="4" t="n">
        <v>0</v>
      </c>
      <c r="M9" s="4" t="n">
        <v>0</v>
      </c>
    </row>
    <row r="10">
      <c r="A10" s="3" t="inlineStr">
        <is>
          <t>Other Income (Expense)</t>
        </is>
      </c>
      <c r="B10" s="4" t="n">
        <v>0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1116</v>
      </c>
      <c r="L10" s="4" t="n">
        <v>1658</v>
      </c>
      <c r="M10" s="4" t="n">
        <v>7022</v>
      </c>
    </row>
    <row r="11">
      <c r="A11" s="3" t="inlineStr">
        <is>
          <t>Pre-Tax Income (Loss)</t>
        </is>
      </c>
      <c r="B11" s="6">
        <f>B7+SUM(B8:B10)</f>
        <v/>
      </c>
      <c r="C11" s="6">
        <f>C7+SUM(C8:C10)</f>
        <v/>
      </c>
      <c r="D11" s="6">
        <f>D7+SUM(D8:D10)</f>
        <v/>
      </c>
      <c r="E11" s="6">
        <f>E7+SUM(E8:E10)</f>
        <v/>
      </c>
      <c r="F11" s="6">
        <f>F7+SUM(F8:F10)</f>
        <v/>
      </c>
      <c r="G11" s="6">
        <f>G7+SUM(G8:G10)</f>
        <v/>
      </c>
      <c r="H11" s="6">
        <f>H7+SUM(H8:H10)</f>
        <v/>
      </c>
      <c r="I11" s="6">
        <f>I7+SUM(I8:I10)</f>
        <v/>
      </c>
      <c r="J11" s="6">
        <f>J7+SUM(J8:J10)</f>
        <v/>
      </c>
      <c r="K11" s="6">
        <f>K7+SUM(K8:K10)</f>
        <v/>
      </c>
      <c r="L11" s="6">
        <f>L7+SUM(L8:L10)</f>
        <v/>
      </c>
      <c r="M11" s="6">
        <f>M7+SUM(M8:M10)</f>
        <v/>
      </c>
    </row>
    <row r="12">
      <c r="A12" s="3" t="inlineStr">
        <is>
          <t>Income Tax (Expense) Benefit</t>
        </is>
      </c>
      <c r="B12" s="4" t="n">
        <v>-3351</v>
      </c>
      <c r="C12" s="4" t="n">
        <v>-6161</v>
      </c>
      <c r="D12" s="4" t="n">
        <v>-41653</v>
      </c>
      <c r="E12" s="4" t="n">
        <v>-8537</v>
      </c>
      <c r="F12" s="4" t="n">
        <v>-26483</v>
      </c>
      <c r="G12" s="4" t="n">
        <v>-47279</v>
      </c>
      <c r="H12" s="4" t="n">
        <v>-14650</v>
      </c>
      <c r="I12" s="4" t="n">
        <v>-39498</v>
      </c>
      <c r="J12" s="4" t="n">
        <v>-41317</v>
      </c>
      <c r="K12" s="4" t="n">
        <v>-16574</v>
      </c>
      <c r="L12" s="4" t="n">
        <v>-46184</v>
      </c>
      <c r="M12" s="4" t="n">
        <v>-19167</v>
      </c>
    </row>
    <row r="13">
      <c r="A13" s="3" t="inlineStr">
        <is>
          <t>Net Income (Loss)</t>
        </is>
      </c>
      <c r="B13" s="6">
        <f>B11+B12</f>
        <v/>
      </c>
      <c r="C13" s="6">
        <f>C11+C12</f>
        <v/>
      </c>
      <c r="D13" s="6">
        <f>D11+D12</f>
        <v/>
      </c>
      <c r="E13" s="6">
        <f>E11+E12</f>
        <v/>
      </c>
      <c r="F13" s="6">
        <f>F11+F12</f>
        <v/>
      </c>
      <c r="G13" s="6">
        <f>G11+G12</f>
        <v/>
      </c>
      <c r="H13" s="6">
        <f>H11+H12</f>
        <v/>
      </c>
      <c r="I13" s="6">
        <f>I11+I12</f>
        <v/>
      </c>
      <c r="J13" s="6">
        <f>J11+J12</f>
        <v/>
      </c>
      <c r="K13" s="6">
        <f>K11+K12</f>
        <v/>
      </c>
      <c r="L13" s="6">
        <f>L11+L12</f>
        <v/>
      </c>
      <c r="M13" s="6">
        <f>M11+M12</f>
        <v/>
      </c>
    </row>
    <row r="14">
      <c r="A14" s="3" t="inlineStr">
        <is>
          <t>Net Income (Loss) Less NCI</t>
        </is>
      </c>
      <c r="B14" s="4" t="n">
        <v>6679</v>
      </c>
      <c r="C14" s="4" t="n">
        <v>15838</v>
      </c>
      <c r="D14" s="4" t="n">
        <v>-166059</v>
      </c>
      <c r="E14" s="4" t="n">
        <v>41227</v>
      </c>
      <c r="F14" s="4" t="n">
        <v>92736</v>
      </c>
      <c r="G14" s="4" t="n">
        <v>176685</v>
      </c>
      <c r="H14" s="4" t="n">
        <v>77811</v>
      </c>
      <c r="I14" s="4" t="n">
        <v>157594</v>
      </c>
      <c r="J14" s="4" t="n">
        <v>163950</v>
      </c>
      <c r="K14" s="4" t="n">
        <v>44419</v>
      </c>
      <c r="L14" s="4" t="n">
        <v>144274</v>
      </c>
      <c r="M14" s="4" t="n">
        <v>0</v>
      </c>
    </row>
    <row r="15">
      <c r="A15" s="3" t="inlineStr">
        <is>
          <t>Preferred Dividends</t>
        </is>
      </c>
      <c r="B15" s="4" t="n">
        <v>0</v>
      </c>
      <c r="C15" s="4" t="n">
        <v>0</v>
      </c>
      <c r="D15" s="4" t="n">
        <v>-4596</v>
      </c>
      <c r="E15" s="4" t="n">
        <v>-6781</v>
      </c>
      <c r="F15" s="4" t="n">
        <v>-13637</v>
      </c>
      <c r="G15" s="4" t="n">
        <v>-20512</v>
      </c>
      <c r="H15" s="4" t="n">
        <v>-6837</v>
      </c>
      <c r="I15" s="4" t="n">
        <v>-13675</v>
      </c>
      <c r="J15" s="4" t="n">
        <v>-20588</v>
      </c>
      <c r="K15" s="4" t="n">
        <v>-6781</v>
      </c>
      <c r="L15" s="4" t="n">
        <v>-13632</v>
      </c>
      <c r="M15" s="4" t="n">
        <v>-23289</v>
      </c>
    </row>
    <row r="16">
      <c r="A16" s="3" t="inlineStr">
        <is>
          <t>Income Allocated to Participating Preferred</t>
        </is>
      </c>
      <c r="B16" s="4" t="n">
        <v>0</v>
      </c>
      <c r="C16" s="4" t="n">
        <v>0</v>
      </c>
      <c r="D16" s="4" t="n">
        <v>0</v>
      </c>
      <c r="E16" s="4" t="n">
        <v>0</v>
      </c>
      <c r="F16" s="4" t="n">
        <v>6727</v>
      </c>
      <c r="G16" s="4" t="n">
        <v>13263</v>
      </c>
      <c r="H16" s="4" t="n">
        <v>6128</v>
      </c>
      <c r="I16" s="4" t="n">
        <v>12417</v>
      </c>
      <c r="J16" s="4" t="n">
        <v>12357</v>
      </c>
      <c r="K16" s="4" t="n">
        <v>3219</v>
      </c>
      <c r="L16" s="4" t="n">
        <v>10703</v>
      </c>
      <c r="M16" s="4" t="n">
        <v>5272</v>
      </c>
    </row>
    <row r="17">
      <c r="A17" s="3" t="inlineStr">
        <is>
          <t>Net Income (Loss) Attributable to Common Shareholders</t>
        </is>
      </c>
      <c r="B17" s="4" t="n">
        <v>6679</v>
      </c>
      <c r="C17" s="4" t="n">
        <v>15838</v>
      </c>
      <c r="D17" s="4" t="n">
        <v>-170655</v>
      </c>
      <c r="E17" s="4" t="n">
        <v>34446</v>
      </c>
      <c r="F17" s="4" t="n">
        <v>72372</v>
      </c>
      <c r="G17" s="4" t="n">
        <v>142910</v>
      </c>
      <c r="H17" s="4" t="n">
        <v>64846</v>
      </c>
      <c r="I17" s="4" t="n">
        <v>131502</v>
      </c>
      <c r="J17" s="4" t="n">
        <v>131005</v>
      </c>
      <c r="K17" s="4" t="n">
        <v>34419</v>
      </c>
      <c r="L17" s="4" t="n">
        <v>119939</v>
      </c>
      <c r="M17" s="4" t="n">
        <v>54699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/>
      <c r="B1" s="2" t="inlineStr">
        <is>
          <t>Q4 FY2022</t>
        </is>
      </c>
      <c r="C1" s="2" t="inlineStr">
        <is>
          <t>Q1 FY2023</t>
        </is>
      </c>
      <c r="D1" s="2" t="inlineStr">
        <is>
          <t>Q2 FY2023</t>
        </is>
      </c>
      <c r="E1" s="2" t="inlineStr">
        <is>
          <t>Q3 FY2023</t>
        </is>
      </c>
      <c r="F1" s="2" t="inlineStr">
        <is>
          <t>Q4 FY2023</t>
        </is>
      </c>
      <c r="G1" s="2" t="inlineStr">
        <is>
          <t>Q1 FY2024</t>
        </is>
      </c>
      <c r="H1" s="2" t="inlineStr">
        <is>
          <t>Q2 FY2024</t>
        </is>
      </c>
      <c r="I1" s="2" t="inlineStr">
        <is>
          <t>Q3 FY2024</t>
        </is>
      </c>
      <c r="J1" s="2" t="inlineStr">
        <is>
          <t>Q4 FY2024</t>
        </is>
      </c>
      <c r="K1" s="2" t="inlineStr">
        <is>
          <t>Q1 FY2025</t>
        </is>
      </c>
      <c r="L1" s="2" t="inlineStr">
        <is>
          <t>Q2 FY2025</t>
        </is>
      </c>
      <c r="M1" s="2" t="inlineStr">
        <is>
          <t>Q3 FY2025</t>
        </is>
      </c>
    </row>
    <row r="2">
      <c r="A2" s="3" t="inlineStr">
        <is>
          <t>Cash &amp; Cash Equivalents</t>
        </is>
      </c>
      <c r="B2" s="4" t="n">
        <v>614159</v>
      </c>
      <c r="C2" s="4" t="n">
        <v>595476</v>
      </c>
      <c r="D2" s="4" t="n">
        <v>681054</v>
      </c>
      <c r="E2" s="4" t="n">
        <v>760022</v>
      </c>
      <c r="F2" s="4" t="n">
        <v>755981</v>
      </c>
      <c r="G2" s="4" t="n">
        <v>879498</v>
      </c>
      <c r="H2" s="4" t="n">
        <v>903210</v>
      </c>
      <c r="I2" s="4" t="n">
        <v>903748</v>
      </c>
      <c r="J2" s="4" t="n">
        <v>890190</v>
      </c>
      <c r="K2" s="4" t="n">
        <v>977285</v>
      </c>
      <c r="L2" s="4" t="n">
        <v>615233</v>
      </c>
      <c r="M2" s="4" t="n">
        <v>805955</v>
      </c>
    </row>
    <row r="3">
      <c r="A3" s="3" t="inlineStr">
        <is>
          <t>Restricted Cash</t>
        </is>
      </c>
      <c r="B3" s="4" t="n">
        <v>38768</v>
      </c>
      <c r="C3" s="4" t="n">
        <v>38105</v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126508</v>
      </c>
    </row>
    <row r="4">
      <c r="A4" s="3" t="inlineStr">
        <is>
          <t>Accounts Receivable</t>
        </is>
      </c>
      <c r="B4" s="4" t="n">
        <v>63311</v>
      </c>
      <c r="C4" s="4" t="n">
        <v>172032</v>
      </c>
      <c r="D4" s="4" t="n">
        <v>197811</v>
      </c>
      <c r="E4" s="4" t="n">
        <v>215243</v>
      </c>
      <c r="F4" s="4" t="n">
        <v>183703</v>
      </c>
      <c r="G4" s="4" t="n">
        <v>200117</v>
      </c>
      <c r="H4" s="4" t="n">
        <v>262920</v>
      </c>
      <c r="I4" s="4" t="n">
        <v>208774</v>
      </c>
      <c r="J4" s="4" t="n">
        <v>270342</v>
      </c>
      <c r="K4" s="4" t="n">
        <v>256424</v>
      </c>
      <c r="L4" s="4" t="n">
        <v>490389</v>
      </c>
      <c r="M4" s="4" t="n">
        <v>513682</v>
      </c>
    </row>
    <row r="5">
      <c r="A5" s="3" t="inlineStr">
        <is>
          <t>Note Receivable - Current</t>
        </is>
      </c>
      <c r="B5" s="4" t="n">
        <v>2979</v>
      </c>
      <c r="C5" s="4" t="n">
        <v>3587</v>
      </c>
      <c r="D5" s="4" t="n">
        <v>3323</v>
      </c>
      <c r="E5" s="4" t="n">
        <v>3309</v>
      </c>
      <c r="F5" s="4" t="n">
        <v>2318</v>
      </c>
      <c r="G5" s="4" t="n">
        <v>2259</v>
      </c>
      <c r="H5" s="4" t="n">
        <v>1166</v>
      </c>
      <c r="I5" s="4" t="n">
        <v>1025</v>
      </c>
      <c r="J5" s="4" t="n">
        <v>0</v>
      </c>
      <c r="K5" s="4" t="n">
        <v>0</v>
      </c>
      <c r="L5" s="4" t="n">
        <v>0</v>
      </c>
      <c r="M5" s="4" t="n">
        <v>0</v>
      </c>
    </row>
    <row r="6">
      <c r="A6" s="3" t="inlineStr">
        <is>
          <t>Inventories</t>
        </is>
      </c>
      <c r="B6" s="4" t="n">
        <v>173289</v>
      </c>
      <c r="C6" s="4" t="n">
        <v>154280</v>
      </c>
      <c r="D6" s="4" t="n">
        <v>152545</v>
      </c>
      <c r="E6" s="4" t="n">
        <v>198704</v>
      </c>
      <c r="F6" s="4" t="n">
        <v>229275</v>
      </c>
      <c r="G6" s="4" t="n">
        <v>197504</v>
      </c>
      <c r="H6" s="4" t="n">
        <v>180669</v>
      </c>
      <c r="I6" s="4" t="n">
        <v>197572</v>
      </c>
      <c r="J6" s="4" t="n">
        <v>131165</v>
      </c>
      <c r="K6" s="4" t="n">
        <v>141159</v>
      </c>
      <c r="L6" s="4" t="n">
        <v>230046</v>
      </c>
      <c r="M6" s="4" t="n">
        <v>282514</v>
      </c>
    </row>
    <row r="7">
      <c r="A7" s="3" t="inlineStr">
        <is>
          <t>Prepaid Expenses</t>
        </is>
      </c>
      <c r="B7" s="4" t="n">
        <v>11341</v>
      </c>
      <c r="C7" s="4" t="n">
        <v>15507</v>
      </c>
      <c r="D7" s="4" t="n">
        <v>23398</v>
      </c>
      <c r="E7" s="4" t="n">
        <v>23747</v>
      </c>
      <c r="F7" s="4" t="n">
        <v>19503</v>
      </c>
      <c r="G7" s="4" t="n">
        <v>21523</v>
      </c>
      <c r="H7" s="4" t="n">
        <v>22900</v>
      </c>
      <c r="I7" s="4" t="n">
        <v>38227</v>
      </c>
      <c r="J7" s="4" t="n">
        <v>18759</v>
      </c>
      <c r="K7" s="4" t="n">
        <v>22464</v>
      </c>
      <c r="L7" s="4" t="n">
        <v>41420</v>
      </c>
      <c r="M7" s="4" t="n">
        <v>163395</v>
      </c>
    </row>
    <row r="8">
      <c r="A8" s="3" t="inlineStr">
        <is>
          <t>Deferred Other Costs - Current</t>
        </is>
      </c>
      <c r="B8" s="4" t="n">
        <v>14124</v>
      </c>
      <c r="C8" s="4" t="n">
        <v>14124</v>
      </c>
      <c r="D8" s="4" t="n">
        <v>14124</v>
      </c>
      <c r="E8" s="4" t="n">
        <v>14124</v>
      </c>
      <c r="F8" s="4" t="n">
        <v>14124</v>
      </c>
      <c r="G8" s="4" t="n">
        <v>14124</v>
      </c>
      <c r="H8" s="4" t="n">
        <v>14124</v>
      </c>
      <c r="I8" s="4" t="n">
        <v>14124</v>
      </c>
      <c r="J8" s="4" t="n">
        <v>14124</v>
      </c>
      <c r="K8" s="4" t="n">
        <v>14124</v>
      </c>
      <c r="L8" s="4" t="n">
        <v>14124</v>
      </c>
      <c r="M8" s="4" t="n">
        <v>49520</v>
      </c>
    </row>
    <row r="9">
      <c r="A9" s="3" t="inlineStr">
        <is>
          <t>Total Current Assets</t>
        </is>
      </c>
      <c r="B9" s="6">
        <f>SUM(B2:B8)</f>
        <v/>
      </c>
      <c r="C9" s="6">
        <f>SUM(C2:C8)</f>
        <v/>
      </c>
      <c r="D9" s="6">
        <f>SUM(D2:D8)</f>
        <v/>
      </c>
      <c r="E9" s="6">
        <f>SUM(E2:E8)</f>
        <v/>
      </c>
      <c r="F9" s="6">
        <f>SUM(F2:F8)</f>
        <v/>
      </c>
      <c r="G9" s="6">
        <f>SUM(G2:G8)</f>
        <v/>
      </c>
      <c r="H9" s="6">
        <f>SUM(H2:H8)</f>
        <v/>
      </c>
      <c r="I9" s="6">
        <f>SUM(I2:I8)</f>
        <v/>
      </c>
      <c r="J9" s="6">
        <f>SUM(J2:J8)</f>
        <v/>
      </c>
      <c r="K9" s="6">
        <f>SUM(K2:K8)</f>
        <v/>
      </c>
      <c r="L9" s="6">
        <f>SUM(L2:L8)</f>
        <v/>
      </c>
      <c r="M9" s="6">
        <f>SUM(M2:M8)</f>
        <v/>
      </c>
    </row>
    <row r="10">
      <c r="A10" s="3" t="inlineStr">
        <is>
          <t>Note Receivable - Non-Current</t>
        </is>
      </c>
      <c r="B10" s="4" t="n">
        <v>3574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</row>
    <row r="11">
      <c r="A11" s="3" t="inlineStr">
        <is>
          <t>Net PP&amp;E</t>
        </is>
      </c>
      <c r="B11" s="4" t="n">
        <v>10185</v>
      </c>
      <c r="C11" s="4" t="n">
        <v>12054</v>
      </c>
      <c r="D11" s="4" t="n">
        <v>15892</v>
      </c>
      <c r="E11" s="4" t="n">
        <v>21061</v>
      </c>
      <c r="F11" s="4" t="n">
        <v>24868</v>
      </c>
      <c r="G11" s="4" t="n">
        <v>28350</v>
      </c>
      <c r="H11" s="4" t="n">
        <v>36282</v>
      </c>
      <c r="I11" s="4" t="n">
        <v>38370</v>
      </c>
      <c r="J11" s="4" t="n">
        <v>55602</v>
      </c>
      <c r="K11" s="4" t="n">
        <v>58698</v>
      </c>
      <c r="L11" s="4" t="n">
        <v>72516</v>
      </c>
      <c r="M11" s="4" t="n">
        <v>80925</v>
      </c>
    </row>
    <row r="12">
      <c r="A12" s="3" t="inlineStr">
        <is>
          <t>ROU Assets - Operating - Non-Current</t>
        </is>
      </c>
      <c r="B12" s="4" t="n">
        <v>972</v>
      </c>
      <c r="C12" s="4" t="n">
        <v>931</v>
      </c>
      <c r="D12" s="4" t="n">
        <v>756</v>
      </c>
      <c r="E12" s="4" t="n">
        <v>1152</v>
      </c>
      <c r="F12" s="4" t="n">
        <v>1957</v>
      </c>
      <c r="G12" s="4" t="n">
        <v>1688</v>
      </c>
      <c r="H12" s="4" t="n">
        <v>1507</v>
      </c>
      <c r="I12" s="4" t="n">
        <v>5506</v>
      </c>
      <c r="J12" s="4" t="n">
        <v>21606</v>
      </c>
      <c r="K12" s="4" t="n">
        <v>20866</v>
      </c>
      <c r="L12" s="4" t="n">
        <v>0</v>
      </c>
      <c r="M12" s="4" t="n">
        <v>0</v>
      </c>
    </row>
    <row r="13">
      <c r="A13" s="3" t="inlineStr">
        <is>
          <t>Intangible Assets</t>
        </is>
      </c>
      <c r="B13" s="4" t="n">
        <v>12254</v>
      </c>
      <c r="C13" s="4" t="n">
        <v>12359</v>
      </c>
      <c r="D13" s="4" t="n">
        <v>12211</v>
      </c>
      <c r="E13" s="4" t="n">
        <v>11772</v>
      </c>
      <c r="F13" s="4" t="n">
        <v>12139</v>
      </c>
      <c r="G13" s="4" t="n">
        <v>11741</v>
      </c>
      <c r="H13" s="4" t="n">
        <v>11491</v>
      </c>
      <c r="I13" s="4" t="n">
        <v>11877</v>
      </c>
      <c r="J13" s="4" t="n">
        <v>12213</v>
      </c>
      <c r="K13" s="4" t="n">
        <v>12444</v>
      </c>
      <c r="L13" s="4" t="n">
        <v>1222115</v>
      </c>
      <c r="M13" s="4" t="n">
        <v>1397819</v>
      </c>
    </row>
    <row r="14">
      <c r="A14" s="3" t="inlineStr">
        <is>
          <t>Goodwill</t>
        </is>
      </c>
      <c r="B14" s="4" t="n">
        <v>13679</v>
      </c>
      <c r="C14" s="4" t="n">
        <v>13949</v>
      </c>
      <c r="D14" s="4" t="n">
        <v>13937</v>
      </c>
      <c r="E14" s="4" t="n">
        <v>13588</v>
      </c>
      <c r="F14" s="4" t="n">
        <v>14173</v>
      </c>
      <c r="G14" s="4" t="n">
        <v>13866</v>
      </c>
      <c r="H14" s="4" t="n">
        <v>13730</v>
      </c>
      <c r="I14" s="4" t="n">
        <v>14360</v>
      </c>
      <c r="J14" s="4" t="n">
        <v>71582</v>
      </c>
      <c r="K14" s="4" t="n">
        <v>72128</v>
      </c>
      <c r="L14" s="4" t="n">
        <v>802234</v>
      </c>
      <c r="M14" s="4" t="n">
        <v>914957</v>
      </c>
    </row>
    <row r="15">
      <c r="A15" s="3" t="inlineStr">
        <is>
          <t>Deferred Other Costs - Non-Current</t>
        </is>
      </c>
      <c r="B15" s="4" t="n">
        <v>262462</v>
      </c>
      <c r="C15" s="4" t="n">
        <v>258931</v>
      </c>
      <c r="D15" s="4" t="n">
        <v>255400</v>
      </c>
      <c r="E15" s="4" t="n">
        <v>251869</v>
      </c>
      <c r="F15" s="4" t="n">
        <v>248338</v>
      </c>
      <c r="G15" s="4" t="n">
        <v>244807</v>
      </c>
      <c r="H15" s="4" t="n">
        <v>241276</v>
      </c>
      <c r="I15" s="4" t="n">
        <v>237746</v>
      </c>
      <c r="J15" s="4" t="n">
        <v>234215</v>
      </c>
      <c r="K15" s="4" t="n">
        <v>230684</v>
      </c>
      <c r="L15" s="4" t="n">
        <v>227153</v>
      </c>
      <c r="M15" s="4" t="n">
        <v>784214</v>
      </c>
    </row>
    <row r="16">
      <c r="A16" s="3" t="inlineStr">
        <is>
          <t>Deferred Tax Assets</t>
        </is>
      </c>
      <c r="B16" s="4" t="n">
        <v>501</v>
      </c>
      <c r="C16" s="4" t="n">
        <v>482</v>
      </c>
      <c r="D16" s="4" t="n">
        <v>28373</v>
      </c>
      <c r="E16" s="4" t="n">
        <v>30614</v>
      </c>
      <c r="F16" s="4" t="n">
        <v>29518</v>
      </c>
      <c r="G16" s="4" t="n">
        <v>22437</v>
      </c>
      <c r="H16" s="4" t="n">
        <v>22727</v>
      </c>
      <c r="I16" s="4" t="n">
        <v>24186</v>
      </c>
      <c r="J16" s="4" t="n">
        <v>38699</v>
      </c>
      <c r="K16" s="4" t="n">
        <v>38525</v>
      </c>
      <c r="L16" s="4" t="n">
        <v>43158</v>
      </c>
      <c r="M16" s="4" t="n">
        <v>110410</v>
      </c>
    </row>
    <row r="17">
      <c r="A17" s="3" t="inlineStr">
        <is>
          <t>ROU Assets - Finance - Non-Current</t>
        </is>
      </c>
      <c r="B17" s="4" t="n">
        <v>208</v>
      </c>
      <c r="C17" s="4" t="n">
        <v>191</v>
      </c>
      <c r="D17" s="4" t="n">
        <v>171</v>
      </c>
      <c r="E17" s="4" t="n">
        <v>148</v>
      </c>
      <c r="F17" s="4" t="n">
        <v>208</v>
      </c>
      <c r="G17" s="4" t="n">
        <v>263</v>
      </c>
      <c r="H17" s="4" t="n">
        <v>233</v>
      </c>
      <c r="I17" s="4" t="n">
        <v>214</v>
      </c>
      <c r="J17" s="4" t="n">
        <v>0</v>
      </c>
      <c r="K17" s="4" t="n">
        <v>0</v>
      </c>
      <c r="L17" s="4" t="n">
        <v>0</v>
      </c>
      <c r="M17" s="4" t="n">
        <v>0</v>
      </c>
    </row>
    <row r="18">
      <c r="A18" s="3" t="inlineStr">
        <is>
          <t>Other Non-Current Assets</t>
        </is>
      </c>
      <c r="B18" s="4" t="n">
        <v>263</v>
      </c>
      <c r="C18" s="4" t="n">
        <v>263</v>
      </c>
      <c r="D18" s="4" t="n">
        <v>254</v>
      </c>
      <c r="E18" s="4" t="n">
        <v>265</v>
      </c>
      <c r="F18" s="4" t="n">
        <v>291</v>
      </c>
      <c r="G18" s="4" t="n">
        <v>7963</v>
      </c>
      <c r="H18" s="4" t="n">
        <v>6653</v>
      </c>
      <c r="I18" s="4" t="n">
        <v>8594</v>
      </c>
      <c r="J18" s="4" t="n">
        <v>8384</v>
      </c>
      <c r="K18" s="4" t="n">
        <v>14717</v>
      </c>
      <c r="L18" s="4" t="n">
        <v>36755</v>
      </c>
      <c r="M18" s="4" t="n">
        <v>35809</v>
      </c>
    </row>
    <row r="19">
      <c r="A19" s="3" t="inlineStr">
        <is>
          <t>Total Assets</t>
        </is>
      </c>
      <c r="B19" s="6">
        <f>B9+SUM(B10:B18)</f>
        <v/>
      </c>
      <c r="C19" s="6">
        <f>C9+SUM(C10:C18)</f>
        <v/>
      </c>
      <c r="D19" s="6">
        <f>D9+SUM(D10:D18)</f>
        <v/>
      </c>
      <c r="E19" s="6">
        <f>E9+SUM(E10:E18)</f>
        <v/>
      </c>
      <c r="F19" s="6">
        <f>F9+SUM(F10:F18)</f>
        <v/>
      </c>
      <c r="G19" s="6">
        <f>G9+SUM(G10:G18)</f>
        <v/>
      </c>
      <c r="H19" s="6">
        <f>H9+SUM(H10:H18)</f>
        <v/>
      </c>
      <c r="I19" s="6">
        <f>I9+SUM(I10:I18)</f>
        <v/>
      </c>
      <c r="J19" s="6">
        <f>J9+SUM(J10:J18)</f>
        <v/>
      </c>
      <c r="K19" s="6">
        <f>K9+SUM(K10:K18)</f>
        <v/>
      </c>
      <c r="L19" s="6">
        <f>L9+SUM(L10:L18)</f>
        <v/>
      </c>
      <c r="M19" s="6">
        <f>M9+SUM(M10:M18)</f>
        <v/>
      </c>
    </row>
    <row r="20">
      <c r="A20" s="3" t="inlineStr">
        <is>
          <t>Accounts Payable</t>
        </is>
      </c>
      <c r="B20" s="4" t="n">
        <v>107340</v>
      </c>
      <c r="C20" s="4" t="n">
        <v>107112</v>
      </c>
      <c r="D20" s="4" t="n">
        <v>94313</v>
      </c>
      <c r="E20" s="4" t="n">
        <v>121088</v>
      </c>
      <c r="F20" s="4" t="n">
        <v>42840</v>
      </c>
      <c r="G20" s="4" t="n">
        <v>40196</v>
      </c>
      <c r="H20" s="4" t="n">
        <v>47423</v>
      </c>
      <c r="I20" s="4" t="n">
        <v>30938</v>
      </c>
      <c r="J20" s="4" t="n">
        <v>41287</v>
      </c>
      <c r="K20" s="4" t="n">
        <v>61052</v>
      </c>
      <c r="L20" s="4" t="n">
        <v>120962</v>
      </c>
      <c r="M20" s="4" t="n">
        <v>97794</v>
      </c>
    </row>
    <row r="21">
      <c r="A21" s="3" t="inlineStr">
        <is>
          <t>Accrued Expenses</t>
        </is>
      </c>
      <c r="B21" s="4" t="n">
        <v>0</v>
      </c>
      <c r="C21" s="4" t="n">
        <v>0</v>
      </c>
      <c r="D21" s="4" t="n">
        <v>0</v>
      </c>
      <c r="E21" s="4" t="n">
        <v>0</v>
      </c>
      <c r="F21" s="4" t="n">
        <v>62120</v>
      </c>
      <c r="G21" s="4" t="n">
        <v>63871</v>
      </c>
      <c r="H21" s="4" t="n">
        <v>79633</v>
      </c>
      <c r="I21" s="4" t="n">
        <v>73024</v>
      </c>
      <c r="J21" s="4" t="n">
        <v>148780</v>
      </c>
      <c r="K21" s="4" t="n">
        <v>152046</v>
      </c>
      <c r="L21" s="4" t="n">
        <v>225859</v>
      </c>
      <c r="M21" s="4" t="n">
        <v>311768</v>
      </c>
    </row>
    <row r="22">
      <c r="A22" s="3" t="inlineStr">
        <is>
          <t>Income Taxes Payable</t>
        </is>
      </c>
      <c r="B22" s="4" t="n">
        <v>0</v>
      </c>
      <c r="C22" s="4" t="n">
        <v>0</v>
      </c>
      <c r="D22" s="4" t="n">
        <v>58798</v>
      </c>
      <c r="E22" s="4" t="n">
        <v>58855</v>
      </c>
      <c r="F22" s="4" t="n">
        <v>50424</v>
      </c>
      <c r="G22" s="4" t="n">
        <v>58619</v>
      </c>
      <c r="H22" s="4" t="n">
        <v>5374</v>
      </c>
      <c r="I22" s="4" t="n">
        <v>739</v>
      </c>
      <c r="J22" s="4" t="n">
        <v>10834</v>
      </c>
      <c r="K22" s="4" t="n">
        <v>26206</v>
      </c>
      <c r="L22" s="4" t="n">
        <v>21765</v>
      </c>
      <c r="M22" s="4" t="n">
        <v>49590</v>
      </c>
    </row>
    <row r="23">
      <c r="A23" s="3" t="inlineStr">
        <is>
          <t>Accrued Distributor Termination Fees</t>
        </is>
      </c>
      <c r="B23" s="4" t="n">
        <v>3986</v>
      </c>
      <c r="C23" s="4" t="n">
        <v>1063</v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252953</v>
      </c>
    </row>
    <row r="24">
      <c r="A24" s="3" t="inlineStr">
        <is>
          <t>Accrued Promotional Allowance</t>
        </is>
      </c>
      <c r="B24" s="4" t="n">
        <v>35977</v>
      </c>
      <c r="C24" s="4" t="n">
        <v>68225</v>
      </c>
      <c r="D24" s="4" t="n">
        <v>98933</v>
      </c>
      <c r="E24" s="4" t="n">
        <v>136557</v>
      </c>
      <c r="F24" s="4" t="n">
        <v>99787</v>
      </c>
      <c r="G24" s="4" t="n">
        <v>129201</v>
      </c>
      <c r="H24" s="4" t="n">
        <v>156479</v>
      </c>
      <c r="I24" s="4" t="n">
        <v>158810</v>
      </c>
      <c r="J24" s="4" t="n">
        <v>135948</v>
      </c>
      <c r="K24" s="4" t="n">
        <v>151327</v>
      </c>
      <c r="L24" s="4" t="n">
        <v>200169</v>
      </c>
      <c r="M24" s="4" t="n">
        <v>234068</v>
      </c>
    </row>
    <row r="25">
      <c r="A25" s="3" t="inlineStr">
        <is>
          <t>Lease Liability - Operating - Current</t>
        </is>
      </c>
      <c r="B25" s="4" t="n">
        <v>661</v>
      </c>
      <c r="C25" s="4" t="n">
        <v>605</v>
      </c>
      <c r="D25" s="4" t="n">
        <v>505</v>
      </c>
      <c r="E25" s="4" t="n">
        <v>628</v>
      </c>
      <c r="F25" s="4" t="n">
        <v>980</v>
      </c>
      <c r="G25" s="4" t="n">
        <v>821</v>
      </c>
      <c r="H25" s="4" t="n">
        <v>729</v>
      </c>
      <c r="I25" s="4" t="n">
        <v>1358</v>
      </c>
      <c r="J25" s="4" t="n">
        <v>3265</v>
      </c>
      <c r="K25" s="4" t="n">
        <v>3550</v>
      </c>
      <c r="L25" s="4" t="n">
        <v>0</v>
      </c>
      <c r="M25" s="4" t="n">
        <v>0</v>
      </c>
    </row>
    <row r="26">
      <c r="A26" s="3" t="inlineStr">
        <is>
          <t>Lease Liability - Finance - Current</t>
        </is>
      </c>
      <c r="B26" s="4" t="n">
        <v>70</v>
      </c>
      <c r="C26" s="4" t="n">
        <v>69</v>
      </c>
      <c r="D26" s="4" t="n">
        <v>67</v>
      </c>
      <c r="E26" s="4" t="n">
        <v>63</v>
      </c>
      <c r="F26" s="4" t="n">
        <v>59</v>
      </c>
      <c r="G26" s="4" t="n">
        <v>61</v>
      </c>
      <c r="H26" s="4" t="n">
        <v>61</v>
      </c>
      <c r="I26" s="4" t="n">
        <v>99</v>
      </c>
      <c r="J26" s="4" t="n">
        <v>0</v>
      </c>
      <c r="K26" s="4" t="n">
        <v>0</v>
      </c>
      <c r="L26" s="4" t="n">
        <v>0</v>
      </c>
      <c r="M26" s="4" t="n">
        <v>0</v>
      </c>
    </row>
    <row r="27">
      <c r="A27" s="3" t="inlineStr">
        <is>
          <t>Contingent Consideration - Current</t>
        </is>
      </c>
      <c r="B27" s="4" t="n">
        <v>0</v>
      </c>
      <c r="C27" s="4" t="n">
        <v>0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25000</v>
      </c>
      <c r="M27" s="4" t="n">
        <v>25000</v>
      </c>
    </row>
    <row r="28">
      <c r="A28" s="3" t="inlineStr">
        <is>
          <t>Deferred Revenue - Current</t>
        </is>
      </c>
      <c r="B28" s="4" t="n">
        <v>9675</v>
      </c>
      <c r="C28" s="4" t="n">
        <v>9563</v>
      </c>
      <c r="D28" s="4" t="n">
        <v>9500</v>
      </c>
      <c r="E28" s="4" t="n">
        <v>9500</v>
      </c>
      <c r="F28" s="4" t="n">
        <v>9513</v>
      </c>
      <c r="G28" s="4" t="n">
        <v>9513</v>
      </c>
      <c r="H28" s="4" t="n">
        <v>9513</v>
      </c>
      <c r="I28" s="4" t="n">
        <v>9513</v>
      </c>
      <c r="J28" s="4" t="n">
        <v>9513</v>
      </c>
      <c r="K28" s="4" t="n">
        <v>9513</v>
      </c>
      <c r="L28" s="4" t="n">
        <v>16071</v>
      </c>
      <c r="M28" s="4" t="n">
        <v>25557</v>
      </c>
    </row>
    <row r="29">
      <c r="A29" s="3" t="inlineStr">
        <is>
          <t>Other Current Liabilities</t>
        </is>
      </c>
      <c r="B29" s="4" t="n">
        <v>3586</v>
      </c>
      <c r="C29" s="4" t="n">
        <v>5094</v>
      </c>
      <c r="D29" s="4" t="n">
        <v>7109</v>
      </c>
      <c r="E29" s="4" t="n">
        <v>8826</v>
      </c>
      <c r="F29" s="4" t="n">
        <v>10890</v>
      </c>
      <c r="G29" s="4" t="n">
        <v>12987</v>
      </c>
      <c r="H29" s="4" t="n">
        <v>13772</v>
      </c>
      <c r="I29" s="4" t="n">
        <v>14979</v>
      </c>
      <c r="J29" s="4" t="n">
        <v>15908</v>
      </c>
      <c r="K29" s="4" t="n">
        <v>14160</v>
      </c>
      <c r="L29" s="4" t="n">
        <v>49949</v>
      </c>
      <c r="M29" s="4" t="n">
        <v>32258</v>
      </c>
    </row>
    <row r="30">
      <c r="A30" s="3" t="inlineStr">
        <is>
          <t>Total Current Liabilities</t>
        </is>
      </c>
      <c r="B30" s="6">
        <f>SUM(B20:B29)</f>
        <v/>
      </c>
      <c r="C30" s="6">
        <f>SUM(C20:C29)</f>
        <v/>
      </c>
      <c r="D30" s="6">
        <f>SUM(D20:D29)</f>
        <v/>
      </c>
      <c r="E30" s="6">
        <f>SUM(E20:E29)</f>
        <v/>
      </c>
      <c r="F30" s="6">
        <f>SUM(F20:F29)</f>
        <v/>
      </c>
      <c r="G30" s="6">
        <f>SUM(G20:G29)</f>
        <v/>
      </c>
      <c r="H30" s="6">
        <f>SUM(H20:H29)</f>
        <v/>
      </c>
      <c r="I30" s="6">
        <f>SUM(I20:I29)</f>
        <v/>
      </c>
      <c r="J30" s="6">
        <f>SUM(J20:J29)</f>
        <v/>
      </c>
      <c r="K30" s="6">
        <f>SUM(K20:K29)</f>
        <v/>
      </c>
      <c r="L30" s="6">
        <f>SUM(L20:L29)</f>
        <v/>
      </c>
      <c r="M30" s="6">
        <f>SUM(M20:M29)</f>
        <v/>
      </c>
    </row>
    <row r="31">
      <c r="A31" s="3" t="inlineStr">
        <is>
          <t>Lease Liability - Operating - Non-Current</t>
        </is>
      </c>
      <c r="B31" s="4" t="n">
        <v>326</v>
      </c>
      <c r="C31" s="4" t="n">
        <v>336</v>
      </c>
      <c r="D31" s="4" t="n">
        <v>249</v>
      </c>
      <c r="E31" s="4" t="n">
        <v>512</v>
      </c>
      <c r="F31" s="4" t="n">
        <v>955</v>
      </c>
      <c r="G31" s="4" t="n">
        <v>850</v>
      </c>
      <c r="H31" s="4" t="n">
        <v>762</v>
      </c>
      <c r="I31" s="4" t="n">
        <v>4193</v>
      </c>
      <c r="J31" s="4" t="n">
        <v>16674</v>
      </c>
      <c r="K31" s="4" t="n">
        <v>16152</v>
      </c>
      <c r="L31" s="4" t="n">
        <v>0</v>
      </c>
      <c r="M31" s="4" t="n">
        <v>0</v>
      </c>
    </row>
    <row r="32">
      <c r="A32" s="3" t="inlineStr">
        <is>
          <t>Lease Liability - Finance - Non-Current</t>
        </is>
      </c>
      <c r="B32" s="4" t="n">
        <v>162</v>
      </c>
      <c r="C32" s="4" t="n">
        <v>156</v>
      </c>
      <c r="D32" s="4" t="n">
        <v>147</v>
      </c>
      <c r="E32" s="4" t="n">
        <v>135</v>
      </c>
      <c r="F32" s="4" t="n">
        <v>193</v>
      </c>
      <c r="G32" s="4" t="n">
        <v>245</v>
      </c>
      <c r="H32" s="4" t="n">
        <v>228</v>
      </c>
      <c r="I32" s="4" t="n">
        <v>189</v>
      </c>
      <c r="J32" s="4" t="n">
        <v>0</v>
      </c>
      <c r="K32" s="4" t="n">
        <v>0</v>
      </c>
      <c r="L32" s="4" t="n">
        <v>0</v>
      </c>
      <c r="M32" s="4" t="n">
        <v>0</v>
      </c>
    </row>
    <row r="33">
      <c r="A33" s="3" t="inlineStr">
        <is>
          <t>Deferred Tax Liability</t>
        </is>
      </c>
      <c r="B33" s="4" t="n">
        <v>15919</v>
      </c>
      <c r="C33" s="4" t="n">
        <v>19250</v>
      </c>
      <c r="D33" s="4" t="n">
        <v>2333</v>
      </c>
      <c r="E33" s="4" t="n">
        <v>2249</v>
      </c>
      <c r="F33" s="4" t="n">
        <v>2880</v>
      </c>
      <c r="G33" s="4" t="n">
        <v>2248</v>
      </c>
      <c r="H33" s="4" t="n">
        <v>2201</v>
      </c>
      <c r="I33" s="4" t="n">
        <v>2275</v>
      </c>
      <c r="J33" s="4" t="n">
        <v>0</v>
      </c>
      <c r="K33" s="4" t="n">
        <v>0</v>
      </c>
      <c r="L33" s="4" t="n">
        <v>0</v>
      </c>
      <c r="M33" s="4" t="n">
        <v>0</v>
      </c>
    </row>
    <row r="34">
      <c r="A34" s="3" t="inlineStr">
        <is>
          <t>Long-Term Debt</t>
        </is>
      </c>
      <c r="B34" s="4" t="n">
        <v>0</v>
      </c>
      <c r="C34" s="4" t="n">
        <v>0</v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862917</v>
      </c>
      <c r="M34" s="4" t="n">
        <v>861472</v>
      </c>
    </row>
    <row r="35">
      <c r="A35" s="3" t="inlineStr">
        <is>
          <t>Deferred Revenue - Non-Current</t>
        </is>
      </c>
      <c r="B35" s="4" t="n">
        <v>179788</v>
      </c>
      <c r="C35" s="4" t="n">
        <v>175275</v>
      </c>
      <c r="D35" s="4" t="n">
        <v>171745</v>
      </c>
      <c r="E35" s="4" t="n">
        <v>169370</v>
      </c>
      <c r="F35" s="4" t="n">
        <v>167227</v>
      </c>
      <c r="G35" s="4" t="n">
        <v>164849</v>
      </c>
      <c r="H35" s="4" t="n">
        <v>162471</v>
      </c>
      <c r="I35" s="4" t="n">
        <v>160092</v>
      </c>
      <c r="J35" s="4" t="n">
        <v>157714</v>
      </c>
      <c r="K35" s="4" t="n">
        <v>155336</v>
      </c>
      <c r="L35" s="4" t="n">
        <v>156135</v>
      </c>
      <c r="M35" s="4" t="n">
        <v>387432</v>
      </c>
    </row>
    <row r="36">
      <c r="A36" s="3" t="inlineStr">
        <is>
          <t>Other Non-Current Liabilities</t>
        </is>
      </c>
      <c r="B36" s="4" t="n">
        <v>0</v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2541</v>
      </c>
      <c r="K36" s="4" t="n">
        <v>2574</v>
      </c>
      <c r="L36" s="4" t="n">
        <v>25002</v>
      </c>
      <c r="M36" s="4" t="n">
        <v>24431</v>
      </c>
    </row>
    <row r="37">
      <c r="A37" s="3" t="inlineStr">
        <is>
          <t>Total Liabilities</t>
        </is>
      </c>
      <c r="B37" s="6">
        <f>B30+SUM(B31:B36)</f>
        <v/>
      </c>
      <c r="C37" s="6">
        <f>C30+SUM(C31:C36)</f>
        <v/>
      </c>
      <c r="D37" s="6">
        <f>D30+SUM(D31:D36)</f>
        <v/>
      </c>
      <c r="E37" s="6">
        <f>E30+SUM(E31:E36)</f>
        <v/>
      </c>
      <c r="F37" s="6">
        <f>F30+SUM(F31:F36)</f>
        <v/>
      </c>
      <c r="G37" s="6">
        <f>G30+SUM(G31:G36)</f>
        <v/>
      </c>
      <c r="H37" s="6">
        <f>H30+SUM(H31:H36)</f>
        <v/>
      </c>
      <c r="I37" s="6">
        <f>I30+SUM(I31:I36)</f>
        <v/>
      </c>
      <c r="J37" s="6">
        <f>J30+SUM(J31:J36)</f>
        <v/>
      </c>
      <c r="K37" s="6">
        <f>K30+SUM(K31:K36)</f>
        <v/>
      </c>
      <c r="L37" s="6">
        <f>L30+SUM(L31:L36)</f>
        <v/>
      </c>
      <c r="M37" s="6">
        <f>M30+SUM(M31:M36)</f>
        <v/>
      </c>
    </row>
    <row r="38">
      <c r="A38" s="3" t="inlineStr">
        <is>
          <t>Convertible Preferred Stock</t>
        </is>
      </c>
      <c r="B38" s="4" t="n">
        <v>824488</v>
      </c>
      <c r="C38" s="4" t="n">
        <v>824488</v>
      </c>
      <c r="D38" s="4" t="n">
        <v>824488</v>
      </c>
      <c r="E38" s="4" t="n">
        <v>824488</v>
      </c>
      <c r="F38" s="4" t="n">
        <v>824488</v>
      </c>
      <c r="G38" s="4" t="n">
        <v>824488</v>
      </c>
      <c r="H38" s="4" t="n">
        <v>824488</v>
      </c>
      <c r="I38" s="4" t="n">
        <v>824488</v>
      </c>
      <c r="J38" s="4" t="n">
        <v>824488</v>
      </c>
      <c r="K38" s="4" t="n">
        <v>824488</v>
      </c>
      <c r="L38" s="4" t="n">
        <v>824488</v>
      </c>
      <c r="M38" s="4" t="n">
        <v>1760275</v>
      </c>
    </row>
    <row r="39">
      <c r="A39" s="3" t="inlineStr">
        <is>
          <t>Common Stock</t>
        </is>
      </c>
      <c r="B39" s="4" t="n">
        <v>76</v>
      </c>
      <c r="C39" s="4" t="n">
        <v>77</v>
      </c>
      <c r="D39" s="4" t="n">
        <v>77</v>
      </c>
      <c r="E39" s="4" t="n">
        <v>77</v>
      </c>
      <c r="F39" s="4" t="n">
        <v>77</v>
      </c>
      <c r="G39" s="4" t="n">
        <v>78</v>
      </c>
      <c r="H39" s="4" t="n">
        <v>78</v>
      </c>
      <c r="I39" s="4" t="n">
        <v>79</v>
      </c>
      <c r="J39" s="4" t="n">
        <v>79</v>
      </c>
      <c r="K39" s="4" t="n">
        <v>79</v>
      </c>
      <c r="L39" s="4" t="n">
        <v>101</v>
      </c>
      <c r="M39" s="4" t="n">
        <v>101</v>
      </c>
    </row>
    <row r="40">
      <c r="A40" s="3" t="inlineStr">
        <is>
          <t>Additional Paid-in Capital</t>
        </is>
      </c>
      <c r="B40" s="4" t="n">
        <v>280668</v>
      </c>
      <c r="C40" s="4" t="n">
        <v>279872</v>
      </c>
      <c r="D40" s="4" t="n">
        <v>278980</v>
      </c>
      <c r="E40" s="4" t="n">
        <v>277980</v>
      </c>
      <c r="F40" s="4" t="n">
        <v>276717</v>
      </c>
      <c r="G40" s="4" t="n">
        <v>281247</v>
      </c>
      <c r="H40" s="4" t="n">
        <v>286173</v>
      </c>
      <c r="I40" s="4" t="n">
        <v>292576</v>
      </c>
      <c r="J40" s="4" t="n">
        <v>297579</v>
      </c>
      <c r="K40" s="4" t="n">
        <v>300877</v>
      </c>
      <c r="L40" s="4" t="n">
        <v>1028384</v>
      </c>
      <c r="M40" s="4" t="n">
        <v>1035021</v>
      </c>
    </row>
    <row r="41">
      <c r="A41" s="3" t="inlineStr">
        <is>
          <t>Accumulated Other Comprehensive Income (Loss)</t>
        </is>
      </c>
      <c r="B41" s="4" t="n">
        <v>-1881</v>
      </c>
      <c r="C41" s="4" t="n">
        <v>-1287</v>
      </c>
      <c r="D41" s="4" t="n">
        <v>-1877</v>
      </c>
      <c r="E41" s="4" t="n">
        <v>-2541</v>
      </c>
      <c r="F41" s="4" t="n">
        <v>-701</v>
      </c>
      <c r="G41" s="4" t="n">
        <v>-2055</v>
      </c>
      <c r="H41" s="4" t="n">
        <v>-2363</v>
      </c>
      <c r="I41" s="4" t="n">
        <v>-338</v>
      </c>
      <c r="J41" s="4" t="n">
        <v>-3250</v>
      </c>
      <c r="K41" s="4" t="n">
        <v>-1001</v>
      </c>
      <c r="L41" s="4" t="n">
        <v>2178</v>
      </c>
      <c r="M41" s="4" t="n">
        <v>2508</v>
      </c>
    </row>
    <row r="42">
      <c r="A42" s="3" t="inlineStr">
        <is>
          <t>Retained Earnings (Accumulated Deficit)</t>
        </is>
      </c>
      <c r="B42" s="4" t="n">
        <v>-238772</v>
      </c>
      <c r="C42" s="4" t="n">
        <v>-197627</v>
      </c>
      <c r="D42" s="4" t="n">
        <v>-146118</v>
      </c>
      <c r="E42" s="4" t="n">
        <v>-62169</v>
      </c>
      <c r="F42" s="4" t="n">
        <v>-12053</v>
      </c>
      <c r="G42" s="4" t="n">
        <v>58921</v>
      </c>
      <c r="H42" s="4" t="n">
        <v>131866</v>
      </c>
      <c r="I42" s="4" t="n">
        <v>131309</v>
      </c>
      <c r="J42" s="4" t="n">
        <v>105521</v>
      </c>
      <c r="K42" s="4" t="n">
        <v>143159</v>
      </c>
      <c r="L42" s="4" t="n">
        <v>236163</v>
      </c>
      <c r="M42" s="4" t="n">
        <v>165480</v>
      </c>
    </row>
    <row r="43">
      <c r="A43" s="3" t="inlineStr">
        <is>
          <t>Total Stockholders' Equity</t>
        </is>
      </c>
      <c r="B43" s="6">
        <f>SUM(B38:B42)</f>
        <v/>
      </c>
      <c r="C43" s="6">
        <f>SUM(C38:C42)</f>
        <v/>
      </c>
      <c r="D43" s="6">
        <f>SUM(D38:D42)</f>
        <v/>
      </c>
      <c r="E43" s="6">
        <f>SUM(E38:E42)</f>
        <v/>
      </c>
      <c r="F43" s="6">
        <f>SUM(F38:F42)</f>
        <v/>
      </c>
      <c r="G43" s="6">
        <f>SUM(G38:G42)</f>
        <v/>
      </c>
      <c r="H43" s="6">
        <f>SUM(H38:H42)</f>
        <v/>
      </c>
      <c r="I43" s="6">
        <f>SUM(I38:I42)</f>
        <v/>
      </c>
      <c r="J43" s="6">
        <f>SUM(J38:J42)</f>
        <v/>
      </c>
      <c r="K43" s="6">
        <f>SUM(K38:K42)</f>
        <v/>
      </c>
      <c r="L43" s="6">
        <f>SUM(L38:L42)</f>
        <v/>
      </c>
      <c r="M43" s="6">
        <f>SUM(M38:M42)</f>
        <v/>
      </c>
    </row>
    <row r="44">
      <c r="A44" s="3" t="inlineStr">
        <is>
          <t>Total Liabilities, Mezzanine &amp; Stockholders' Equity</t>
        </is>
      </c>
      <c r="B44" s="6">
        <f>B37+B43</f>
        <v/>
      </c>
      <c r="C44" s="6">
        <f>C37+C43</f>
        <v/>
      </c>
      <c r="D44" s="6">
        <f>D37+D43</f>
        <v/>
      </c>
      <c r="E44" s="6">
        <f>E37+E43</f>
        <v/>
      </c>
      <c r="F44" s="6">
        <f>F37+F43</f>
        <v/>
      </c>
      <c r="G44" s="6">
        <f>G37+G43</f>
        <v/>
      </c>
      <c r="H44" s="6">
        <f>H37+H43</f>
        <v/>
      </c>
      <c r="I44" s="6">
        <f>I37+I43</f>
        <v/>
      </c>
      <c r="J44" s="6">
        <f>J37+J43</f>
        <v/>
      </c>
      <c r="K44" s="6">
        <f>K37+K43</f>
        <v/>
      </c>
      <c r="L44" s="6">
        <f>L37+L43</f>
        <v/>
      </c>
      <c r="M44" s="6">
        <f>M37+M43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/>
      <c r="B1" s="2" t="inlineStr">
        <is>
          <t>Q1 FY2022</t>
        </is>
      </c>
      <c r="C1" s="2" t="inlineStr">
        <is>
          <t>Q2 FY2022</t>
        </is>
      </c>
      <c r="D1" s="2" t="inlineStr">
        <is>
          <t>Q3 FY2022</t>
        </is>
      </c>
      <c r="E1" s="2" t="inlineStr">
        <is>
          <t>Q1 FY2023</t>
        </is>
      </c>
      <c r="F1" s="2" t="inlineStr">
        <is>
          <t>Q2 FY2023</t>
        </is>
      </c>
      <c r="G1" s="2" t="inlineStr">
        <is>
          <t>Q3 FY2023</t>
        </is>
      </c>
      <c r="H1" s="2" t="inlineStr">
        <is>
          <t>Q1 FY2024</t>
        </is>
      </c>
      <c r="I1" s="2" t="inlineStr">
        <is>
          <t>Q2 FY2024</t>
        </is>
      </c>
      <c r="J1" s="2" t="inlineStr">
        <is>
          <t>Q3 FY2024</t>
        </is>
      </c>
      <c r="K1" s="2" t="inlineStr">
        <is>
          <t>Q1 FY2025</t>
        </is>
      </c>
      <c r="L1" s="2" t="inlineStr">
        <is>
          <t>Q2 FY2025</t>
        </is>
      </c>
      <c r="M1" s="2" t="inlineStr">
        <is>
          <t>Q3 FY2025</t>
        </is>
      </c>
    </row>
    <row r="2">
      <c r="A2" s="3" t="inlineStr">
        <is>
          <t>Net Income (Loss)</t>
        </is>
      </c>
      <c r="B2" s="4" t="n">
        <v>6679</v>
      </c>
      <c r="C2" s="4" t="n">
        <v>15838</v>
      </c>
      <c r="D2" s="4" t="n">
        <v>-166059</v>
      </c>
      <c r="E2" s="4" t="n">
        <v>41227</v>
      </c>
      <c r="F2" s="4" t="n">
        <v>92736</v>
      </c>
      <c r="G2" s="4" t="n">
        <v>176685</v>
      </c>
      <c r="H2" s="4" t="n">
        <v>77811</v>
      </c>
      <c r="I2" s="4" t="n">
        <v>157594</v>
      </c>
      <c r="J2" s="4" t="n">
        <v>163950</v>
      </c>
      <c r="K2" s="4" t="n">
        <v>44419</v>
      </c>
      <c r="L2" s="4" t="n">
        <v>144274</v>
      </c>
      <c r="M2" s="4" t="n">
        <v>83260</v>
      </c>
    </row>
    <row r="3">
      <c r="A3" s="3" t="inlineStr">
        <is>
          <t>Depreciation</t>
        </is>
      </c>
      <c r="B3" s="4" t="n">
        <v>245</v>
      </c>
      <c r="C3" s="4" t="n">
        <v>556</v>
      </c>
      <c r="D3" s="4" t="n">
        <v>952</v>
      </c>
      <c r="E3" s="4" t="n">
        <v>404</v>
      </c>
      <c r="F3" s="4" t="n">
        <v>953</v>
      </c>
      <c r="G3" s="4" t="n">
        <v>1676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</row>
    <row r="4">
      <c r="A4" s="3" t="inlineStr">
        <is>
          <t>Amortization</t>
        </is>
      </c>
      <c r="B4" s="4" t="n">
        <v>141</v>
      </c>
      <c r="C4" s="4" t="n">
        <v>275</v>
      </c>
      <c r="D4" s="4" t="n">
        <v>402</v>
      </c>
      <c r="E4" s="4" t="n">
        <v>145</v>
      </c>
      <c r="F4" s="4" t="n">
        <v>294</v>
      </c>
      <c r="G4" s="4" t="n">
        <v>445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</row>
    <row r="5">
      <c r="A5" s="3" t="inlineStr">
        <is>
          <t>Impairment of Intangibles</t>
        </is>
      </c>
      <c r="B5" s="4" t="n">
        <v>0</v>
      </c>
      <c r="C5" s="4" t="n">
        <v>0</v>
      </c>
      <c r="D5" s="4" t="n">
        <v>2379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</row>
    <row r="6">
      <c r="A6" s="3" t="inlineStr">
        <is>
          <t>Depreciation &amp; Amortization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1229</v>
      </c>
      <c r="I6" s="4" t="n">
        <v>2648</v>
      </c>
      <c r="J6" s="4" t="n">
        <v>4888</v>
      </c>
      <c r="K6" s="4" t="n">
        <v>2611</v>
      </c>
      <c r="L6" s="4" t="n">
        <v>11730</v>
      </c>
      <c r="M6" s="4" t="n">
        <v>20516</v>
      </c>
    </row>
    <row r="7">
      <c r="A7" s="3" t="inlineStr">
        <is>
          <t>Allowance for Credit Losses</t>
        </is>
      </c>
      <c r="B7" s="4" t="n">
        <v>455</v>
      </c>
      <c r="C7" s="4" t="n">
        <v>466</v>
      </c>
      <c r="D7" s="4" t="n">
        <v>705</v>
      </c>
      <c r="E7" s="4" t="n">
        <v>837</v>
      </c>
      <c r="F7" s="4" t="n">
        <v>1088</v>
      </c>
      <c r="G7" s="4" t="n">
        <v>1880</v>
      </c>
      <c r="H7" s="4" t="n">
        <v>2250</v>
      </c>
      <c r="I7" s="4" t="n">
        <v>4072</v>
      </c>
      <c r="J7" s="4" t="n">
        <v>4279</v>
      </c>
      <c r="K7" s="4" t="n">
        <v>2077</v>
      </c>
      <c r="L7" s="4" t="n">
        <v>5529</v>
      </c>
      <c r="M7" s="4" t="n">
        <v>3226</v>
      </c>
    </row>
    <row r="8">
      <c r="A8" s="3" t="inlineStr">
        <is>
          <t>Amortization of Deferred Other Costs</t>
        </is>
      </c>
      <c r="B8" s="4" t="n">
        <v>0</v>
      </c>
      <c r="C8" s="4" t="n">
        <v>0</v>
      </c>
      <c r="D8" s="4" t="n">
        <v>2354</v>
      </c>
      <c r="E8" s="4" t="n">
        <v>3531</v>
      </c>
      <c r="F8" s="4" t="n">
        <v>7062</v>
      </c>
      <c r="G8" s="4" t="n">
        <v>10593</v>
      </c>
      <c r="H8" s="4" t="n">
        <v>3531</v>
      </c>
      <c r="I8" s="4" t="n">
        <v>7062</v>
      </c>
      <c r="J8" s="4" t="n">
        <v>10593</v>
      </c>
      <c r="K8" s="4" t="n">
        <v>3531</v>
      </c>
      <c r="L8" s="4" t="n">
        <v>7062</v>
      </c>
      <c r="M8" s="4" t="n">
        <v>13391</v>
      </c>
    </row>
    <row r="9">
      <c r="A9" s="3" t="inlineStr">
        <is>
          <t>Inventory Write-Down</t>
        </is>
      </c>
      <c r="B9" s="4" t="n">
        <v>2596</v>
      </c>
      <c r="C9" s="4" t="n">
        <v>331</v>
      </c>
      <c r="D9" s="4" t="n">
        <v>1078</v>
      </c>
      <c r="E9" s="4" t="n">
        <v>1672</v>
      </c>
      <c r="F9" s="4" t="n">
        <v>-3888</v>
      </c>
      <c r="G9" s="4" t="n">
        <v>2677</v>
      </c>
      <c r="H9" s="4" t="n">
        <v>2386</v>
      </c>
      <c r="I9" s="4" t="n">
        <v>11554</v>
      </c>
      <c r="J9" s="4" t="n">
        <v>17118</v>
      </c>
      <c r="K9" s="4" t="n">
        <v>5337</v>
      </c>
      <c r="L9" s="4" t="n">
        <v>15262</v>
      </c>
      <c r="M9" s="4" t="n">
        <v>22313</v>
      </c>
    </row>
    <row r="10">
      <c r="A10" s="3" t="inlineStr">
        <is>
          <t>Gain (Loss) on Disposal of PP&amp;E</t>
        </is>
      </c>
      <c r="B10" s="4" t="n">
        <v>0</v>
      </c>
      <c r="C10" s="4" t="n">
        <v>0</v>
      </c>
      <c r="D10" s="4" t="n">
        <v>0</v>
      </c>
      <c r="E10" s="4" t="n">
        <v>0</v>
      </c>
      <c r="F10" s="4" t="n">
        <v>191</v>
      </c>
      <c r="G10" s="4" t="n">
        <v>195</v>
      </c>
      <c r="H10" s="4" t="n">
        <v>-8</v>
      </c>
      <c r="I10" s="4" t="n">
        <v>31</v>
      </c>
      <c r="J10" s="4" t="n">
        <v>126</v>
      </c>
      <c r="K10" s="4" t="n">
        <v>0</v>
      </c>
      <c r="L10" s="4" t="n">
        <v>0</v>
      </c>
      <c r="M10" s="4" t="n">
        <v>0</v>
      </c>
    </row>
    <row r="11">
      <c r="A11" s="3" t="inlineStr">
        <is>
          <t>Stock-Based Compensation</t>
        </is>
      </c>
      <c r="B11" s="4" t="n">
        <v>4310</v>
      </c>
      <c r="C11" s="4" t="n">
        <v>8517</v>
      </c>
      <c r="D11" s="4" t="n">
        <v>14780</v>
      </c>
      <c r="E11" s="4" t="n">
        <v>5507</v>
      </c>
      <c r="F11" s="4" t="n">
        <v>11242</v>
      </c>
      <c r="G11" s="4" t="n">
        <v>16221</v>
      </c>
      <c r="H11" s="4" t="n">
        <v>3563</v>
      </c>
      <c r="I11" s="4" t="n">
        <v>8309</v>
      </c>
      <c r="J11" s="4" t="n">
        <v>13685</v>
      </c>
      <c r="K11" s="4" t="n">
        <v>5029</v>
      </c>
      <c r="L11" s="4" t="n">
        <v>11463</v>
      </c>
      <c r="M11" s="4" t="n">
        <v>18847</v>
      </c>
    </row>
    <row r="12">
      <c r="A12" s="3" t="inlineStr">
        <is>
          <t>(Benefit) Provision for Deferred Income Taxes</t>
        </is>
      </c>
      <c r="B12" s="4" t="n">
        <v>2561</v>
      </c>
      <c r="C12" s="4" t="n">
        <v>1072</v>
      </c>
      <c r="D12" s="4" t="n">
        <v>31329</v>
      </c>
      <c r="E12" s="4" t="n">
        <v>2873</v>
      </c>
      <c r="F12" s="4" t="n">
        <v>-41044</v>
      </c>
      <c r="G12" s="4" t="n">
        <v>-44303</v>
      </c>
      <c r="H12" s="4" t="n">
        <v>6450</v>
      </c>
      <c r="I12" s="4" t="n">
        <v>6112</v>
      </c>
      <c r="J12" s="4" t="n">
        <v>4727</v>
      </c>
      <c r="K12" s="4" t="n">
        <v>269</v>
      </c>
      <c r="L12" s="4" t="n">
        <v>-4161</v>
      </c>
      <c r="M12" s="4" t="n">
        <v>-71408</v>
      </c>
    </row>
    <row r="13">
      <c r="A13" s="3" t="inlineStr">
        <is>
          <t>Foreign Currency Gain (Loss)</t>
        </is>
      </c>
      <c r="B13" s="4" t="n">
        <v>85</v>
      </c>
      <c r="C13" s="4" t="n">
        <v>602</v>
      </c>
      <c r="D13" s="4" t="n">
        <v>1007</v>
      </c>
      <c r="E13" s="4" t="n">
        <v>69</v>
      </c>
      <c r="F13" s="4" t="n">
        <v>206</v>
      </c>
      <c r="G13" s="4" t="n">
        <v>258</v>
      </c>
      <c r="H13" s="4" t="n">
        <v>369</v>
      </c>
      <c r="I13" s="4" t="n">
        <v>633</v>
      </c>
      <c r="J13" s="4" t="n">
        <v>356</v>
      </c>
      <c r="K13" s="4" t="n">
        <v>0</v>
      </c>
      <c r="L13" s="4" t="n">
        <v>0</v>
      </c>
      <c r="M13" s="4" t="n">
        <v>0</v>
      </c>
    </row>
    <row r="14">
      <c r="A14" s="3" t="inlineStr">
        <is>
          <t>Change in Fair Value of Contingent Consideration</t>
        </is>
      </c>
      <c r="B14" s="4" t="n">
        <v>0</v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13800</v>
      </c>
      <c r="M14" s="4" t="n">
        <v>13800</v>
      </c>
    </row>
    <row r="15">
      <c r="A15" s="3" t="inlineStr">
        <is>
          <t>Other Operating Items</t>
        </is>
      </c>
      <c r="B15" s="4" t="n">
        <v>0</v>
      </c>
      <c r="C15" s="4" t="n">
        <v>0</v>
      </c>
      <c r="D15" s="4" t="n">
        <v>56</v>
      </c>
      <c r="E15" s="4" t="n">
        <v>-4</v>
      </c>
      <c r="F15" s="4" t="n">
        <v>8</v>
      </c>
      <c r="G15" s="4" t="n">
        <v>-2</v>
      </c>
      <c r="H15" s="4" t="n">
        <v>-7672</v>
      </c>
      <c r="I15" s="4" t="n">
        <v>0</v>
      </c>
      <c r="J15" s="4" t="n">
        <v>0</v>
      </c>
      <c r="K15" s="4" t="n">
        <v>-1014</v>
      </c>
      <c r="L15" s="4" t="n">
        <v>-257</v>
      </c>
      <c r="M15" s="4" t="n">
        <v>1964</v>
      </c>
    </row>
    <row r="16">
      <c r="A16" s="3" t="inlineStr">
        <is>
          <t>Accounts Receivable</t>
        </is>
      </c>
      <c r="B16" s="4" t="n">
        <v>-34420</v>
      </c>
      <c r="C16" s="4" t="n">
        <v>-27920</v>
      </c>
      <c r="D16" s="4" t="n">
        <v>-78967</v>
      </c>
      <c r="E16" s="4" t="n">
        <v>-109639</v>
      </c>
      <c r="F16" s="4" t="n">
        <v>-135600</v>
      </c>
      <c r="G16" s="4" t="n">
        <v>-153271</v>
      </c>
      <c r="H16" s="4" t="n">
        <v>-18664</v>
      </c>
      <c r="I16" s="4" t="n">
        <v>-82213</v>
      </c>
      <c r="J16" s="4" t="n">
        <v>-26529</v>
      </c>
      <c r="K16" s="4" t="n">
        <v>11841</v>
      </c>
      <c r="L16" s="4" t="n">
        <v>-143153</v>
      </c>
      <c r="M16" s="4" t="n">
        <v>-164133</v>
      </c>
    </row>
    <row r="17">
      <c r="A17" s="3" t="inlineStr">
        <is>
          <t>Inventories</t>
        </is>
      </c>
      <c r="B17" s="4" t="n">
        <v>4531</v>
      </c>
      <c r="C17" s="4" t="n">
        <v>28753</v>
      </c>
      <c r="D17" s="4" t="n">
        <v>36211</v>
      </c>
      <c r="E17" s="4" t="n">
        <v>17338</v>
      </c>
      <c r="F17" s="4" t="n">
        <v>24632</v>
      </c>
      <c r="G17" s="4" t="n">
        <v>-28092</v>
      </c>
      <c r="H17" s="4" t="n">
        <v>29386</v>
      </c>
      <c r="I17" s="4" t="n">
        <v>37052</v>
      </c>
      <c r="J17" s="4" t="n">
        <v>14585</v>
      </c>
      <c r="K17" s="4" t="n">
        <v>4794</v>
      </c>
      <c r="L17" s="4" t="n">
        <v>23039</v>
      </c>
      <c r="M17" s="4" t="n">
        <v>31132</v>
      </c>
    </row>
    <row r="18">
      <c r="A18" s="3" t="inlineStr">
        <is>
          <t>Prepaid Expenses</t>
        </is>
      </c>
      <c r="B18" s="4" t="n">
        <v>3513</v>
      </c>
      <c r="C18" s="4" t="n">
        <v>1257</v>
      </c>
      <c r="D18" s="4" t="n">
        <v>1459</v>
      </c>
      <c r="E18" s="4" t="n">
        <v>-4166</v>
      </c>
      <c r="F18" s="4" t="n">
        <v>-12058</v>
      </c>
      <c r="G18" s="4" t="n">
        <v>-12406</v>
      </c>
      <c r="H18" s="4" t="n">
        <v>-2076</v>
      </c>
      <c r="I18" s="4" t="n">
        <v>-3469</v>
      </c>
      <c r="J18" s="4" t="n">
        <v>-20261</v>
      </c>
      <c r="K18" s="4" t="n">
        <v>-3687</v>
      </c>
      <c r="L18" s="4" t="n">
        <v>-20645</v>
      </c>
      <c r="M18" s="4" t="n">
        <v>-142920</v>
      </c>
    </row>
    <row r="19">
      <c r="A19" s="3" t="inlineStr">
        <is>
          <t>Change in A/P and Accrued (legacy)</t>
        </is>
      </c>
      <c r="B19" s="4" t="n">
        <v>5552</v>
      </c>
      <c r="C19" s="4" t="n">
        <v>-7176</v>
      </c>
      <c r="D19" s="4" t="n">
        <v>-3050</v>
      </c>
      <c r="E19" s="4" t="n">
        <v>182</v>
      </c>
      <c r="F19" s="4" t="n">
        <v>-12491</v>
      </c>
      <c r="G19" s="4" t="n">
        <v>14652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</row>
    <row r="20">
      <c r="A20" s="3" t="inlineStr">
        <is>
          <t>Other Non-Current Assets</t>
        </is>
      </c>
      <c r="B20" s="4" t="n">
        <v>0</v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-6362</v>
      </c>
      <c r="J20" s="4" t="n">
        <v>-5303</v>
      </c>
      <c r="K20" s="4" t="n">
        <v>-1700</v>
      </c>
      <c r="L20" s="4" t="n">
        <v>742</v>
      </c>
      <c r="M20" s="4" t="n">
        <v>1511</v>
      </c>
    </row>
    <row r="21">
      <c r="A21" s="3" t="inlineStr">
        <is>
          <t>Accounts Payable</t>
        </is>
      </c>
      <c r="B21" s="4" t="n">
        <v>0</v>
      </c>
      <c r="C21" s="4" t="n">
        <v>0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-3013</v>
      </c>
      <c r="I21" s="4" t="n">
        <v>3950</v>
      </c>
      <c r="J21" s="4" t="n">
        <v>-12259</v>
      </c>
      <c r="K21" s="4" t="n">
        <v>11679</v>
      </c>
      <c r="L21" s="4" t="n">
        <v>20789</v>
      </c>
      <c r="M21" s="4" t="n">
        <v>4081</v>
      </c>
    </row>
    <row r="22">
      <c r="A22" s="3" t="inlineStr">
        <is>
          <t>Accrued Expenses</t>
        </is>
      </c>
      <c r="B22" s="4" t="n">
        <v>0</v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1998</v>
      </c>
      <c r="I22" s="4" t="n">
        <v>17760</v>
      </c>
      <c r="J22" s="4" t="n">
        <v>11151</v>
      </c>
      <c r="K22" s="4" t="n">
        <v>-8673</v>
      </c>
      <c r="L22" s="4" t="n">
        <v>-7013</v>
      </c>
      <c r="M22" s="4" t="n">
        <v>32961</v>
      </c>
    </row>
    <row r="23">
      <c r="A23" s="3" t="inlineStr">
        <is>
          <t>Other Current Liabilities</t>
        </is>
      </c>
      <c r="B23" s="4" t="n">
        <v>765</v>
      </c>
      <c r="C23" s="4" t="n">
        <v>1820</v>
      </c>
      <c r="D23" s="4" t="n">
        <v>32590</v>
      </c>
      <c r="E23" s="4" t="n">
        <v>1508</v>
      </c>
      <c r="F23" s="4" t="n">
        <v>61128</v>
      </c>
      <c r="G23" s="4" t="n">
        <v>62901</v>
      </c>
      <c r="H23" s="4" t="n">
        <v>10344</v>
      </c>
      <c r="I23" s="4" t="n">
        <v>-42094</v>
      </c>
      <c r="J23" s="4" t="n">
        <v>-45537</v>
      </c>
      <c r="K23" s="4" t="n">
        <v>13705</v>
      </c>
      <c r="L23" s="4" t="n">
        <v>12927</v>
      </c>
      <c r="M23" s="4" t="n">
        <v>42433</v>
      </c>
    </row>
    <row r="24">
      <c r="A24" s="3" t="inlineStr">
        <is>
          <t>Accrued Promotional Allowance</t>
        </is>
      </c>
      <c r="B24" s="4" t="n">
        <v>12190</v>
      </c>
      <c r="C24" s="4" t="n">
        <v>17512</v>
      </c>
      <c r="D24" s="4" t="n">
        <v>24213</v>
      </c>
      <c r="E24" s="4" t="n">
        <v>32248</v>
      </c>
      <c r="F24" s="4" t="n">
        <v>62995</v>
      </c>
      <c r="G24" s="4" t="n">
        <v>100580</v>
      </c>
      <c r="H24" s="4" t="n">
        <v>29414</v>
      </c>
      <c r="I24" s="4" t="n">
        <v>56692</v>
      </c>
      <c r="J24" s="4" t="n">
        <v>59023</v>
      </c>
      <c r="K24" s="4" t="n">
        <v>15379</v>
      </c>
      <c r="L24" s="4" t="n">
        <v>64221</v>
      </c>
      <c r="M24" s="4" t="n">
        <v>83276</v>
      </c>
    </row>
    <row r="25">
      <c r="A25" s="3" t="inlineStr">
        <is>
          <t>Accrued Distributor Termination</t>
        </is>
      </c>
      <c r="B25" s="4" t="n">
        <v>0</v>
      </c>
      <c r="C25" s="4" t="n">
        <v>0</v>
      </c>
      <c r="D25" s="4" t="n">
        <v>115551</v>
      </c>
      <c r="E25" s="4" t="n">
        <v>-2923</v>
      </c>
      <c r="F25" s="4" t="n">
        <v>-3986</v>
      </c>
      <c r="G25" s="4" t="n">
        <v>-3986</v>
      </c>
      <c r="H25" s="4" t="n">
        <v>-248</v>
      </c>
      <c r="I25" s="4" t="n">
        <v>-248</v>
      </c>
      <c r="J25" s="4" t="n">
        <v>-248</v>
      </c>
      <c r="K25" s="4" t="n">
        <v>0</v>
      </c>
      <c r="L25" s="4" t="n">
        <v>0</v>
      </c>
      <c r="M25" s="4" t="n">
        <v>252953</v>
      </c>
    </row>
    <row r="26">
      <c r="A26" s="3" t="inlineStr">
        <is>
          <t>ROU &amp; Lease Liability, Net</t>
        </is>
      </c>
      <c r="B26" s="4" t="n">
        <v>-78</v>
      </c>
      <c r="C26" s="4" t="n">
        <v>-95</v>
      </c>
      <c r="D26" s="4" t="n">
        <v>-126</v>
      </c>
      <c r="E26" s="4" t="n">
        <v>-15</v>
      </c>
      <c r="F26" s="4" t="n">
        <v>-38</v>
      </c>
      <c r="G26" s="4" t="n">
        <v>-64</v>
      </c>
      <c r="H26" s="4" t="n">
        <v>-23</v>
      </c>
      <c r="I26" s="4" t="n">
        <v>-34</v>
      </c>
      <c r="J26" s="4" t="n">
        <v>17</v>
      </c>
      <c r="K26" s="4" t="n">
        <v>0</v>
      </c>
      <c r="L26" s="4" t="n">
        <v>0</v>
      </c>
      <c r="M26" s="4" t="n">
        <v>0</v>
      </c>
    </row>
    <row r="27">
      <c r="A27" s="3" t="inlineStr">
        <is>
          <t>Deferred Revenue</t>
        </is>
      </c>
      <c r="B27" s="4" t="n">
        <v>0</v>
      </c>
      <c r="C27" s="4" t="n">
        <v>0</v>
      </c>
      <c r="D27" s="4" t="n">
        <v>154103</v>
      </c>
      <c r="E27" s="4" t="n">
        <v>-4625</v>
      </c>
      <c r="F27" s="4" t="n">
        <v>-8219</v>
      </c>
      <c r="G27" s="4" t="n">
        <v>-10593</v>
      </c>
      <c r="H27" s="4" t="n">
        <v>-2378</v>
      </c>
      <c r="I27" s="4" t="n">
        <v>-4757</v>
      </c>
      <c r="J27" s="4" t="n">
        <v>-7135</v>
      </c>
      <c r="K27" s="4" t="n">
        <v>-2378</v>
      </c>
      <c r="L27" s="4" t="n">
        <v>-7320</v>
      </c>
      <c r="M27" s="4" t="n">
        <v>233463</v>
      </c>
    </row>
    <row r="28">
      <c r="A28" s="3" t="inlineStr">
        <is>
          <t>Net Change in Other Working Capital</t>
        </is>
      </c>
      <c r="B28" s="4" t="n">
        <v>0</v>
      </c>
      <c r="C28" s="4" t="n">
        <v>488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148</v>
      </c>
      <c r="L28" s="4" t="n">
        <v>-1210</v>
      </c>
      <c r="M28" s="4" t="n">
        <v>-1786</v>
      </c>
    </row>
    <row r="29">
      <c r="A29" s="3" t="inlineStr">
        <is>
          <t>Cash Flow from Operations</t>
        </is>
      </c>
      <c r="B29" s="6">
        <f>SUM(B2:B28)</f>
        <v/>
      </c>
      <c r="C29" s="6">
        <f>SUM(C2:C28)</f>
        <v/>
      </c>
      <c r="D29" s="6">
        <f>SUM(D2:D28)</f>
        <v/>
      </c>
      <c r="E29" s="6">
        <f>SUM(E2:E28)</f>
        <v/>
      </c>
      <c r="F29" s="6">
        <f>SUM(F2:F28)</f>
        <v/>
      </c>
      <c r="G29" s="6">
        <f>SUM(G2:G28)</f>
        <v/>
      </c>
      <c r="H29" s="6">
        <f>SUM(H2:H28)</f>
        <v/>
      </c>
      <c r="I29" s="6">
        <f>SUM(I2:I28)</f>
        <v/>
      </c>
      <c r="J29" s="6">
        <f>SUM(J2:J28)</f>
        <v/>
      </c>
      <c r="K29" s="6">
        <f>SUM(K2:K28)</f>
        <v/>
      </c>
      <c r="L29" s="6">
        <f>SUM(L2:L28)</f>
        <v/>
      </c>
      <c r="M29" s="6">
        <f>SUM(M2:M28)</f>
        <v/>
      </c>
    </row>
    <row r="30">
      <c r="A30" s="3" t="inlineStr">
        <is>
          <t>Collections from Note Receivable</t>
        </is>
      </c>
      <c r="B30" s="4" t="n">
        <v>0</v>
      </c>
      <c r="C30" s="4" t="n">
        <v>2592</v>
      </c>
      <c r="D30" s="4" t="n">
        <v>2592</v>
      </c>
      <c r="E30" s="4" t="n">
        <v>3233</v>
      </c>
      <c r="F30" s="4" t="n">
        <v>3233</v>
      </c>
      <c r="G30" s="4" t="n">
        <v>3233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</row>
    <row r="31">
      <c r="A31" s="3" t="inlineStr">
        <is>
          <t>Purchase of PP&amp;E</t>
        </is>
      </c>
      <c r="B31" s="4" t="n">
        <v>-742</v>
      </c>
      <c r="C31" s="4" t="n">
        <v>-2456</v>
      </c>
      <c r="D31" s="4" t="n">
        <v>-3477</v>
      </c>
      <c r="E31" s="4" t="n">
        <v>-2253</v>
      </c>
      <c r="F31" s="4" t="n">
        <v>-6810</v>
      </c>
      <c r="G31" s="4" t="n">
        <v>-12687</v>
      </c>
      <c r="H31" s="4" t="n">
        <v>-4525</v>
      </c>
      <c r="I31" s="4" t="n">
        <v>-13739</v>
      </c>
      <c r="J31" s="4" t="n">
        <v>-17983</v>
      </c>
      <c r="K31" s="4" t="n">
        <v>-6944</v>
      </c>
      <c r="L31" s="4" t="n">
        <v>-15194</v>
      </c>
      <c r="M31" s="4" t="n">
        <v>-25539</v>
      </c>
    </row>
    <row r="32">
      <c r="A32" s="3" t="inlineStr">
        <is>
          <t>Purchase of Non-Marketable Equity Securities</t>
        </is>
      </c>
      <c r="B32" s="4" t="n">
        <v>0</v>
      </c>
      <c r="C32" s="4" t="n">
        <v>0</v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-3000</v>
      </c>
      <c r="K32" s="4" t="n">
        <v>0</v>
      </c>
      <c r="L32" s="4" t="n">
        <v>-5000</v>
      </c>
      <c r="M32" s="4" t="n">
        <v>-5000</v>
      </c>
    </row>
    <row r="33">
      <c r="A33" s="3" t="inlineStr">
        <is>
          <t>Acquisitions, Net of Cash Acquired</t>
        </is>
      </c>
      <c r="B33" s="4" t="n">
        <v>0</v>
      </c>
      <c r="C33" s="4" t="n">
        <v>0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-1256351</v>
      </c>
      <c r="M33" s="4" t="n">
        <v>-1278769</v>
      </c>
    </row>
    <row r="34">
      <c r="A34" s="3" t="inlineStr">
        <is>
          <t>Working Capital Estimate from Pepsi (Rockstar)</t>
        </is>
      </c>
      <c r="B34" s="4" t="n">
        <v>0</v>
      </c>
      <c r="C34" s="4" t="n">
        <v>0</v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30617</v>
      </c>
    </row>
    <row r="35">
      <c r="A35" s="3" t="inlineStr">
        <is>
          <t>Cash Flow from Investing</t>
        </is>
      </c>
      <c r="B35" s="6">
        <f>SUM(B30:B34)</f>
        <v/>
      </c>
      <c r="C35" s="6">
        <f>SUM(C30:C34)</f>
        <v/>
      </c>
      <c r="D35" s="6">
        <f>SUM(D30:D34)</f>
        <v/>
      </c>
      <c r="E35" s="6">
        <f>SUM(E30:E34)</f>
        <v/>
      </c>
      <c r="F35" s="6">
        <f>SUM(F30:F34)</f>
        <v/>
      </c>
      <c r="G35" s="6">
        <f>SUM(G30:G34)</f>
        <v/>
      </c>
      <c r="H35" s="6">
        <f>SUM(H30:H34)</f>
        <v/>
      </c>
      <c r="I35" s="6">
        <f>SUM(I30:I34)</f>
        <v/>
      </c>
      <c r="J35" s="6">
        <f>SUM(J30:J34)</f>
        <v/>
      </c>
      <c r="K35" s="6">
        <f>SUM(K30:K34)</f>
        <v/>
      </c>
      <c r="L35" s="6">
        <f>SUM(L30:L34)</f>
        <v/>
      </c>
      <c r="M35" s="6">
        <f>SUM(M30:M34)</f>
        <v/>
      </c>
    </row>
    <row r="36">
      <c r="A36" s="3" t="inlineStr">
        <is>
          <t>Finance Lease Payments</t>
        </is>
      </c>
      <c r="B36" s="4" t="n">
        <v>-20</v>
      </c>
      <c r="C36" s="4" t="n">
        <v>-37</v>
      </c>
      <c r="D36" s="4" t="n">
        <v>-49</v>
      </c>
      <c r="E36" s="4" t="n">
        <v>-11</v>
      </c>
      <c r="F36" s="4" t="n">
        <v>-22</v>
      </c>
      <c r="G36" s="4" t="n">
        <v>-33</v>
      </c>
      <c r="H36" s="4" t="n">
        <v>-15</v>
      </c>
      <c r="I36" s="4" t="n">
        <v>-30</v>
      </c>
      <c r="J36" s="4" t="n">
        <v>-46</v>
      </c>
      <c r="K36" s="4" t="n">
        <v>0</v>
      </c>
      <c r="L36" s="4" t="n">
        <v>0</v>
      </c>
      <c r="M36" s="4" t="n">
        <v>0</v>
      </c>
    </row>
    <row r="37">
      <c r="A37" s="3" t="inlineStr">
        <is>
          <t>Proceeds from Exercise of Stock Options</t>
        </is>
      </c>
      <c r="B37" s="4" t="n">
        <v>810</v>
      </c>
      <c r="C37" s="4" t="n">
        <v>1260</v>
      </c>
      <c r="D37" s="4" t="n">
        <v>3104</v>
      </c>
      <c r="E37" s="4" t="n">
        <v>478</v>
      </c>
      <c r="F37" s="4" t="n">
        <v>707</v>
      </c>
      <c r="G37" s="4" t="n">
        <v>1603</v>
      </c>
      <c r="H37" s="4" t="n">
        <v>967</v>
      </c>
      <c r="I37" s="4" t="n">
        <v>1147</v>
      </c>
      <c r="J37" s="4" t="n">
        <v>3832</v>
      </c>
      <c r="K37" s="4" t="n">
        <v>0</v>
      </c>
      <c r="L37" s="4" t="n">
        <v>0</v>
      </c>
      <c r="M37" s="4" t="n">
        <v>0</v>
      </c>
    </row>
    <row r="38">
      <c r="A38" s="3" t="inlineStr">
        <is>
          <t>Proceeds from Issuance of Preferred Stock</t>
        </is>
      </c>
      <c r="B38" s="4" t="n">
        <v>0</v>
      </c>
      <c r="C38" s="4" t="n">
        <v>0</v>
      </c>
      <c r="D38" s="4" t="n">
        <v>542018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</row>
    <row r="39">
      <c r="A39" s="3" t="inlineStr">
        <is>
          <t>Preferred Dividends</t>
        </is>
      </c>
      <c r="B39" s="4" t="n">
        <v>0</v>
      </c>
      <c r="C39" s="4" t="n">
        <v>0</v>
      </c>
      <c r="D39" s="4" t="n">
        <v>-4596</v>
      </c>
      <c r="E39" s="4" t="n">
        <v>-6781</v>
      </c>
      <c r="F39" s="4" t="n">
        <v>-13637</v>
      </c>
      <c r="G39" s="4" t="n">
        <v>-20512</v>
      </c>
      <c r="H39" s="4" t="n">
        <v>-6837</v>
      </c>
      <c r="I39" s="4" t="n">
        <v>-13675</v>
      </c>
      <c r="J39" s="4" t="n">
        <v>-20588</v>
      </c>
      <c r="K39" s="4" t="n">
        <v>-6781</v>
      </c>
      <c r="L39" s="4" t="n">
        <v>-13632</v>
      </c>
      <c r="M39" s="4" t="n">
        <v>-23301</v>
      </c>
    </row>
    <row r="40">
      <c r="A40" s="3" t="inlineStr">
        <is>
          <t>Share Repurchases</t>
        </is>
      </c>
      <c r="B40" s="4" t="n">
        <v>0</v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-1658</v>
      </c>
      <c r="K40" s="4" t="n">
        <v>-1932</v>
      </c>
      <c r="L40" s="4" t="n">
        <v>-2811</v>
      </c>
      <c r="M40" s="4" t="n">
        <v>-3259</v>
      </c>
    </row>
    <row r="41">
      <c r="A41" s="3" t="inlineStr">
        <is>
          <t>Proceeds from Issuance of Long-Term Debt</t>
        </is>
      </c>
      <c r="B41" s="4" t="n">
        <v>0</v>
      </c>
      <c r="C41" s="4" t="n">
        <v>0</v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900000</v>
      </c>
      <c r="M41" s="4" t="n">
        <v>900000</v>
      </c>
    </row>
    <row r="42">
      <c r="A42" s="3" t="inlineStr">
        <is>
          <t>Repayments of Long-Term Debt</t>
        </is>
      </c>
      <c r="B42" s="4" t="n">
        <v>0</v>
      </c>
      <c r="C42" s="4" t="n">
        <v>0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-2250</v>
      </c>
    </row>
    <row r="43">
      <c r="A43" s="3" t="inlineStr">
        <is>
          <t>Debt Issuance Fees</t>
        </is>
      </c>
      <c r="B43" s="4" t="n">
        <v>0</v>
      </c>
      <c r="C43" s="4" t="n">
        <v>0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-2195</v>
      </c>
      <c r="L43" s="4" t="n">
        <v>-31581</v>
      </c>
      <c r="M43" s="4" t="n">
        <v>-31581</v>
      </c>
    </row>
    <row r="44">
      <c r="A44" s="3" t="inlineStr">
        <is>
          <t>Other Financing Activities</t>
        </is>
      </c>
      <c r="B44" s="4" t="n">
        <v>0</v>
      </c>
      <c r="C44" s="4" t="n">
        <v>0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321</v>
      </c>
      <c r="L44" s="4" t="n">
        <v>319</v>
      </c>
      <c r="M44" s="4" t="n">
        <v>301</v>
      </c>
    </row>
    <row r="45">
      <c r="A45" s="3" t="inlineStr">
        <is>
          <t>Cash Flow from Financing</t>
        </is>
      </c>
      <c r="B45" s="6">
        <f>SUM(B36:B44)</f>
        <v/>
      </c>
      <c r="C45" s="6">
        <f>SUM(C36:C44)</f>
        <v/>
      </c>
      <c r="D45" s="6">
        <f>SUM(D36:D44)</f>
        <v/>
      </c>
      <c r="E45" s="6">
        <f>SUM(E36:E44)</f>
        <v/>
      </c>
      <c r="F45" s="6">
        <f>SUM(F36:F44)</f>
        <v/>
      </c>
      <c r="G45" s="6">
        <f>SUM(G36:G44)</f>
        <v/>
      </c>
      <c r="H45" s="6">
        <f>SUM(H36:H44)</f>
        <v/>
      </c>
      <c r="I45" s="6">
        <f>SUM(I36:I44)</f>
        <v/>
      </c>
      <c r="J45" s="6">
        <f>SUM(J36:J44)</f>
        <v/>
      </c>
      <c r="K45" s="6">
        <f>SUM(K36:K44)</f>
        <v/>
      </c>
      <c r="L45" s="6">
        <f>SUM(L36:L44)</f>
        <v/>
      </c>
      <c r="M45" s="6">
        <f>SUM(M36:M44)</f>
        <v/>
      </c>
    </row>
    <row r="46">
      <c r="A46" s="3" t="inlineStr">
        <is>
          <t>FX Effect on Cash</t>
        </is>
      </c>
      <c r="B46" s="4" t="n">
        <v>104</v>
      </c>
      <c r="C46" s="4" t="n">
        <v>121</v>
      </c>
      <c r="D46" s="4" t="n">
        <v>158</v>
      </c>
      <c r="E46" s="4" t="n">
        <v>-181</v>
      </c>
      <c r="F46" s="4" t="n">
        <v>-555</v>
      </c>
      <c r="G46" s="4" t="n">
        <v>-555</v>
      </c>
      <c r="H46" s="4" t="n">
        <v>-722</v>
      </c>
      <c r="I46" s="4" t="n">
        <v>-766</v>
      </c>
      <c r="J46" s="4" t="n">
        <v>-16</v>
      </c>
      <c r="K46" s="4" t="n">
        <v>1259</v>
      </c>
      <c r="L46" s="4" t="n">
        <v>2214</v>
      </c>
      <c r="M46" s="4" t="n">
        <v>2174</v>
      </c>
    </row>
    <row r="47">
      <c r="A47" s="3" t="inlineStr">
        <is>
          <t>Net Change in Cash</t>
        </is>
      </c>
      <c r="B47" s="6">
        <f>B29+B35+B45+B46+B47</f>
        <v/>
      </c>
      <c r="C47" s="6">
        <f>C29+C35+C45+C46+C47</f>
        <v/>
      </c>
      <c r="D47" s="6">
        <f>D29+D35+D45+D46+D47</f>
        <v/>
      </c>
      <c r="E47" s="6">
        <f>E29+E35+E45+E46+E47</f>
        <v/>
      </c>
      <c r="F47" s="6">
        <f>F29+F35+F45+F46+F47</f>
        <v/>
      </c>
      <c r="G47" s="6">
        <f>G29+G35+G45+G46+G47</f>
        <v/>
      </c>
      <c r="H47" s="6">
        <f>H29+H35+H45+H46+H47</f>
        <v/>
      </c>
      <c r="I47" s="6">
        <f>I29+I35+I45+I46+I47</f>
        <v/>
      </c>
      <c r="J47" s="6">
        <f>J29+J35+J45+J46+J47</f>
        <v/>
      </c>
      <c r="K47" s="6">
        <f>K29+K35+K45+K46+K47</f>
        <v/>
      </c>
      <c r="L47" s="6">
        <f>L29+L35+L45+L46+L47</f>
        <v/>
      </c>
      <c r="M47" s="6">
        <f>M29+M35+M45+M46+M47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2026-04-26T22:24:04Z</dcterms:created>
  <dcterms:modified xmlns:dcterms="http://purl.org/dc/terms/" xmlns:xsi="http://www.w3.org/2001/XMLSchema-instance" xsi:type="dcterms:W3CDTF">2026-04-26T22:24:04Z</dcterms:modified>
</cp:coreProperties>
</file>