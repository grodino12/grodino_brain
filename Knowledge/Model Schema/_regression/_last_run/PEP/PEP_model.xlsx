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YTD P&amp;L" sheetId="4" state="visible" r:id="rId4"/>
    <sheet xmlns:r="http://schemas.openxmlformats.org/officeDocument/2006/relationships" name="YTD BS" sheetId="5" state="visible" r:id="rId5"/>
    <sheet xmlns:r="http://schemas.openxmlformats.org/officeDocument/2006/relationships" name="YTD CF" sheetId="6" state="visible" r:id="rId6"/>
    <sheet xmlns:r="http://schemas.openxmlformats.org/officeDocument/2006/relationships" name="QTR P&amp;L" sheetId="7" state="visible" r:id="rId7"/>
    <sheet xmlns:r="http://schemas.openxmlformats.org/officeDocument/2006/relationships" name="QTR BS" sheetId="8" state="visible" r:id="rId8"/>
    <sheet xmlns:r="http://schemas.openxmlformats.org/officeDocument/2006/relationships" name="QTR C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5" t="n"/>
      <c r="H19" s="5" t="n"/>
      <c r="I19" s="5" t="n"/>
      <c r="J19" s="5" t="n"/>
      <c r="K19" s="5" t="n"/>
      <c r="L1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  <c r="K1" s="2" t="inlineStr">
        <is>
          <t>FY2031E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Raw Materials</t>
        </is>
      </c>
      <c r="B5" s="4" t="n">
        <v>2366</v>
      </c>
      <c r="C5" s="4" t="n">
        <v>2388</v>
      </c>
      <c r="D5" s="4" t="n">
        <v>2440</v>
      </c>
      <c r="E5" s="4" t="n">
        <v>2581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Work in Process</t>
        </is>
      </c>
      <c r="B6" s="4" t="n">
        <v>114</v>
      </c>
      <c r="C6" s="4" t="n">
        <v>104</v>
      </c>
      <c r="D6" s="4" t="n">
        <v>104</v>
      </c>
      <c r="E6" s="4" t="n">
        <v>143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Finished Goods</t>
        </is>
      </c>
      <c r="B7" s="4" t="n">
        <v>2742</v>
      </c>
      <c r="C7" s="4" t="n">
        <v>2842</v>
      </c>
      <c r="D7" s="4" t="n">
        <v>2762</v>
      </c>
      <c r="E7" s="4" t="n">
        <v>3121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Inventories</t>
        </is>
      </c>
      <c r="B8" s="6">
        <f>SUM(B5,B6,B7)</f>
        <v/>
      </c>
      <c r="C8" s="6">
        <f>SUM(C5,C6,C7)</f>
        <v/>
      </c>
      <c r="D8" s="6">
        <f>SUM(D5,D6,D7)</f>
        <v/>
      </c>
      <c r="E8" s="6">
        <f>SUM(E5,E6,E7)</f>
        <v/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Prepaid Expenses</t>
        </is>
      </c>
      <c r="B9" s="4" t="n">
        <v>806</v>
      </c>
      <c r="C9" s="4" t="n">
        <v>798</v>
      </c>
      <c r="D9" s="4" t="n">
        <v>921</v>
      </c>
      <c r="E9" s="4" t="n">
        <v>1068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Total Current Assets</t>
        </is>
      </c>
      <c r="B10" s="6">
        <f>SUM(B2:B9)</f>
        <v/>
      </c>
      <c r="C10" s="6">
        <f>SUM(C2:C9)</f>
        <v/>
      </c>
      <c r="D10" s="6">
        <f>SUM(D2:D9)</f>
        <v/>
      </c>
      <c r="E10" s="6">
        <f>SUM(E2:E9)</f>
        <v/>
      </c>
      <c r="F10" s="7">
        <f>SUM(F2:F9)</f>
        <v/>
      </c>
      <c r="G10" s="7">
        <f>SUM(G2:G9)</f>
        <v/>
      </c>
      <c r="H10" s="7">
        <f>SUM(H2:H9)</f>
        <v/>
      </c>
      <c r="I10" s="7">
        <f>SUM(I2:I9)</f>
        <v/>
      </c>
      <c r="J10" s="7">
        <f>SUM(J2:J9)</f>
        <v/>
      </c>
      <c r="K10" s="7">
        <f>SUM(K2:K9)</f>
        <v/>
      </c>
    </row>
    <row r="11">
      <c r="A11" s="3" t="inlineStr">
        <is>
          <t>Net PP&amp;E</t>
        </is>
      </c>
      <c r="B11" s="4" t="n">
        <v>24291</v>
      </c>
      <c r="C11" s="4" t="n">
        <v>27039</v>
      </c>
      <c r="D11" s="4" t="n">
        <v>28008</v>
      </c>
      <c r="E11" s="4" t="n">
        <v>29905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Intangible Assets</t>
        </is>
      </c>
      <c r="B12" s="4" t="n">
        <v>15586</v>
      </c>
      <c r="C12" s="4" t="n">
        <v>14929</v>
      </c>
      <c r="D12" s="4" t="n">
        <v>14801</v>
      </c>
      <c r="E12" s="4" t="n">
        <v>15066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Goodwill</t>
        </is>
      </c>
      <c r="B13" s="4" t="n">
        <v>18202</v>
      </c>
      <c r="C13" s="4" t="n">
        <v>17728</v>
      </c>
      <c r="D13" s="4" t="n">
        <v>17534</v>
      </c>
      <c r="E13" s="4" t="n">
        <v>18916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Equity Method Investments</t>
        </is>
      </c>
      <c r="B14" s="4" t="n">
        <v>3073</v>
      </c>
      <c r="C14" s="4" t="n">
        <v>2714</v>
      </c>
      <c r="D14" s="4" t="n">
        <v>1985</v>
      </c>
      <c r="E14" s="4" t="n">
        <v>2038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Deferred Tax Assets</t>
        </is>
      </c>
      <c r="B15" s="4" t="n">
        <v>4204</v>
      </c>
      <c r="C15" s="4" t="n">
        <v>4474</v>
      </c>
      <c r="D15" s="4" t="n">
        <v>4362</v>
      </c>
      <c r="E15" s="4" t="n">
        <v>4541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Other Non-Current Assets</t>
        </is>
      </c>
      <c r="B16" s="4" t="n">
        <v>5292</v>
      </c>
      <c r="C16" s="4" t="n">
        <v>6661</v>
      </c>
      <c r="D16" s="4" t="n">
        <v>6951</v>
      </c>
      <c r="E16" s="4" t="n">
        <v>8984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Total Assets</t>
        </is>
      </c>
      <c r="B17" s="6">
        <f>B10+SUM(B11:B16)</f>
        <v/>
      </c>
      <c r="C17" s="6">
        <f>C10+SUM(C11:C16)</f>
        <v/>
      </c>
      <c r="D17" s="6">
        <f>D10+SUM(D11:D16)</f>
        <v/>
      </c>
      <c r="E17" s="6">
        <f>E10+SUM(E11:E16)</f>
        <v/>
      </c>
      <c r="F17" s="7">
        <f>F10+SUM(F11:F16)</f>
        <v/>
      </c>
      <c r="G17" s="7">
        <f>G10+SUM(G11:G16)</f>
        <v/>
      </c>
      <c r="H17" s="7">
        <f>H10+SUM(H11:H16)</f>
        <v/>
      </c>
      <c r="I17" s="7">
        <f>I10+SUM(I11:I16)</f>
        <v/>
      </c>
      <c r="J17" s="7">
        <f>J10+SUM(J11:J16)</f>
        <v/>
      </c>
      <c r="K17" s="7">
        <f>K10+SUM(K11:K16)</f>
        <v/>
      </c>
    </row>
    <row r="18">
      <c r="A18" s="3" t="inlineStr">
        <is>
          <t>Short-Term Debt Obligations</t>
        </is>
      </c>
      <c r="B18" s="4" t="n">
        <v>3414</v>
      </c>
      <c r="C18" s="4" t="n">
        <v>6510</v>
      </c>
      <c r="D18" s="4" t="n">
        <v>7082</v>
      </c>
      <c r="E18" s="4" t="n">
        <v>6861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Accrued Expenses</t>
        </is>
      </c>
      <c r="B19" s="4" t="n">
        <v>23371</v>
      </c>
      <c r="C19" s="4" t="n">
        <v>25137</v>
      </c>
      <c r="D19" s="4" t="n">
        <v>24454</v>
      </c>
      <c r="E19" s="4" t="n">
        <v>25903</v>
      </c>
      <c r="F19" s="5" t="n"/>
      <c r="G19" s="5" t="n"/>
      <c r="H19" s="5" t="n"/>
      <c r="I19" s="5" t="n"/>
      <c r="J19" s="5" t="n"/>
      <c r="K19" s="5" t="n"/>
    </row>
    <row r="20">
      <c r="A20" s="3" t="inlineStr">
        <is>
          <t>Total Current Liabilities</t>
        </is>
      </c>
      <c r="B20" s="6">
        <f>SUM(B18:B19)</f>
        <v/>
      </c>
      <c r="C20" s="6">
        <f>SUM(C18:C19)</f>
        <v/>
      </c>
      <c r="D20" s="6">
        <f>SUM(D18:D19)</f>
        <v/>
      </c>
      <c r="E20" s="6">
        <f>SUM(E18:E19)</f>
        <v/>
      </c>
      <c r="F20" s="7">
        <f>SUM(F18:F19)</f>
        <v/>
      </c>
      <c r="G20" s="7">
        <f>SUM(G18:G19)</f>
        <v/>
      </c>
      <c r="H20" s="7">
        <f>SUM(H18:H19)</f>
        <v/>
      </c>
      <c r="I20" s="7">
        <f>SUM(I18:I19)</f>
        <v/>
      </c>
      <c r="J20" s="7">
        <f>SUM(J18:J19)</f>
        <v/>
      </c>
      <c r="K20" s="7">
        <f>SUM(K18:K19)</f>
        <v/>
      </c>
    </row>
    <row r="21">
      <c r="A21" s="3" t="inlineStr">
        <is>
          <t>Long-Term Debt</t>
        </is>
      </c>
      <c r="B21" s="4" t="n">
        <v>35657</v>
      </c>
      <c r="C21" s="4" t="n">
        <v>37595</v>
      </c>
      <c r="D21" s="4" t="n">
        <v>37224</v>
      </c>
      <c r="E21" s="4" t="n">
        <v>42321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Deferred Tax Liability</t>
        </is>
      </c>
      <c r="B22" s="4" t="n">
        <v>4133</v>
      </c>
      <c r="C22" s="4" t="n">
        <v>3895</v>
      </c>
      <c r="D22" s="4" t="n">
        <v>3484</v>
      </c>
      <c r="E22" s="4" t="n">
        <v>3802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Other Non-Current Liabilities</t>
        </is>
      </c>
      <c r="B23" s="4" t="n">
        <v>8339</v>
      </c>
      <c r="C23" s="4" t="n">
        <v>8721</v>
      </c>
      <c r="D23" s="4" t="n">
        <v>9052</v>
      </c>
      <c r="E23" s="4" t="n">
        <v>7965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Total Liabilities</t>
        </is>
      </c>
      <c r="B24" s="6">
        <f>B20+SUM(B21:B23)</f>
        <v/>
      </c>
      <c r="C24" s="6">
        <f>C20+SUM(C21:C23)</f>
        <v/>
      </c>
      <c r="D24" s="6">
        <f>D20+SUM(D21:D23)</f>
        <v/>
      </c>
      <c r="E24" s="6">
        <f>E20+SUM(E21:E23)</f>
        <v/>
      </c>
      <c r="F24" s="7">
        <f>F20+SUM(F21:F23)</f>
        <v/>
      </c>
      <c r="G24" s="7">
        <f>G20+SUM(G21:G23)</f>
        <v/>
      </c>
      <c r="H24" s="7">
        <f>H20+SUM(H21:H23)</f>
        <v/>
      </c>
      <c r="I24" s="7">
        <f>I20+SUM(I21:I23)</f>
        <v/>
      </c>
      <c r="J24" s="7">
        <f>J20+SUM(J21:J23)</f>
        <v/>
      </c>
      <c r="K24" s="7">
        <f>K20+SUM(K21:K23)</f>
        <v/>
      </c>
    </row>
    <row r="25">
      <c r="A25" s="3" t="inlineStr">
        <is>
          <t>Common Stock</t>
        </is>
      </c>
      <c r="B25" s="4" t="n">
        <v>23</v>
      </c>
      <c r="C25" s="4" t="n">
        <v>23</v>
      </c>
      <c r="D25" s="4" t="n">
        <v>23</v>
      </c>
      <c r="E25" s="4" t="n">
        <v>23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Additional Paid-in Capital</t>
        </is>
      </c>
      <c r="B26" s="4" t="n">
        <v>4134</v>
      </c>
      <c r="C26" s="4" t="n">
        <v>4261</v>
      </c>
      <c r="D26" s="4" t="n">
        <v>4385</v>
      </c>
      <c r="E26" s="4" t="n">
        <v>4451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Retained Earnings (Accumulated Deficit)</t>
        </is>
      </c>
      <c r="B27" s="4" t="n">
        <v>67800</v>
      </c>
      <c r="C27" s="4" t="n">
        <v>70035</v>
      </c>
      <c r="D27" s="4" t="n">
        <v>72266</v>
      </c>
      <c r="E27" s="4" t="n">
        <v>72788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Accumulated Other Comprehensive Income (Loss)</t>
        </is>
      </c>
      <c r="B28" s="4" t="n">
        <v>-15302</v>
      </c>
      <c r="C28" s="4" t="n">
        <v>-15534</v>
      </c>
      <c r="D28" s="4" t="n">
        <v>-17612</v>
      </c>
      <c r="E28" s="4" t="n">
        <v>-15024</v>
      </c>
      <c r="F28" s="5" t="n"/>
      <c r="G28" s="5" t="n"/>
      <c r="H28" s="5" t="n"/>
      <c r="I28" s="5" t="n"/>
      <c r="J28" s="5" t="n"/>
      <c r="K28" s="5" t="n"/>
    </row>
    <row r="29">
      <c r="A29" s="3" t="inlineStr">
        <is>
          <t>Treasury Stock</t>
        </is>
      </c>
      <c r="B29" s="4" t="n">
        <v>-39506</v>
      </c>
      <c r="C29" s="4" t="n">
        <v>-40282</v>
      </c>
      <c r="D29" s="4" t="n">
        <v>-41021</v>
      </c>
      <c r="E29" s="4" t="n">
        <v>-41832</v>
      </c>
      <c r="F29" s="5" t="n"/>
      <c r="G29" s="5" t="n"/>
      <c r="H29" s="5" t="n"/>
      <c r="I29" s="5" t="n"/>
      <c r="J29" s="5" t="n"/>
      <c r="K29" s="5" t="n"/>
    </row>
    <row r="30">
      <c r="A30" s="3" t="inlineStr">
        <is>
          <t>Noncontrolling Interest</t>
        </is>
      </c>
      <c r="B30" s="4" t="n">
        <v>124</v>
      </c>
      <c r="C30" s="4" t="n">
        <v>134</v>
      </c>
      <c r="D30" s="4" t="n">
        <v>130</v>
      </c>
      <c r="E30" s="4" t="n">
        <v>141</v>
      </c>
      <c r="F30" s="5" t="n"/>
      <c r="G30" s="5" t="n"/>
      <c r="H30" s="5" t="n"/>
      <c r="I30" s="5" t="n"/>
      <c r="J30" s="5" t="n"/>
      <c r="K30" s="5" t="n"/>
    </row>
    <row r="31">
      <c r="A31" s="3" t="inlineStr">
        <is>
          <t>Total Stockholders' Equity</t>
        </is>
      </c>
      <c r="B31" s="6">
        <f>SUM(B25:B30)</f>
        <v/>
      </c>
      <c r="C31" s="6">
        <f>SUM(C25:C30)</f>
        <v/>
      </c>
      <c r="D31" s="6">
        <f>SUM(D25:D30)</f>
        <v/>
      </c>
      <c r="E31" s="6">
        <f>SUM(E25:E30)</f>
        <v/>
      </c>
      <c r="F31" s="7">
        <f>SUM(F25:F30)</f>
        <v/>
      </c>
      <c r="G31" s="7">
        <f>SUM(G25:G30)</f>
        <v/>
      </c>
      <c r="H31" s="7">
        <f>SUM(H25:H30)</f>
        <v/>
      </c>
      <c r="I31" s="7">
        <f>SUM(I25:I30)</f>
        <v/>
      </c>
      <c r="J31" s="7">
        <f>SUM(J25:J30)</f>
        <v/>
      </c>
      <c r="K31" s="7">
        <f>SUM(K25:K30)</f>
        <v/>
      </c>
    </row>
    <row r="32">
      <c r="A32" s="3" t="inlineStr">
        <is>
          <t>Total Liabilities, Mezzanine &amp; Stockholders' Equity</t>
        </is>
      </c>
      <c r="B32" s="6">
        <f>B24+B31</f>
        <v/>
      </c>
      <c r="C32" s="6">
        <f>C24+C31</f>
        <v/>
      </c>
      <c r="D32" s="6">
        <f>D24+D31</f>
        <v/>
      </c>
      <c r="E32" s="6">
        <f>E24+E31</f>
        <v/>
      </c>
      <c r="F32" s="7">
        <f>F24+F31</f>
        <v/>
      </c>
      <c r="G32" s="7">
        <f>G24+G31</f>
        <v/>
      </c>
      <c r="H32" s="7">
        <f>H24+H31</f>
        <v/>
      </c>
      <c r="I32" s="7">
        <f>I24+I31</f>
        <v/>
      </c>
      <c r="J32" s="7">
        <f>J24+J31</f>
        <v/>
      </c>
      <c r="K32" s="7">
        <f>K24+K31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Non-Cash Lease Expense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 t="n"/>
      <c r="H28" s="5" t="n"/>
      <c r="I28" s="5" t="n"/>
      <c r="J28" s="5" t="n"/>
      <c r="K28" s="5" t="n"/>
      <c r="L28" s="5" t="n"/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 t="n"/>
      <c r="H35" s="5" t="n"/>
      <c r="I35" s="5" t="n"/>
      <c r="J35" s="5" t="n"/>
      <c r="K35" s="5" t="n"/>
      <c r="L35" s="5" t="n"/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 t="n"/>
      <c r="H36" s="5" t="n"/>
      <c r="I36" s="5" t="n"/>
      <c r="J36" s="5" t="n"/>
      <c r="K36" s="5" t="n"/>
      <c r="L36" s="5" t="n"/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5" t="n"/>
      <c r="H42" s="5" t="n"/>
      <c r="I42" s="5" t="n"/>
      <c r="J42" s="5" t="n"/>
      <c r="K42" s="5" t="n"/>
      <c r="L42" s="5" t="n"/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5" t="n"/>
      <c r="H43" s="5" t="n"/>
      <c r="I43" s="5" t="n"/>
      <c r="J43" s="5" t="n"/>
      <c r="K43" s="5" t="n"/>
      <c r="L43" s="5" t="n"/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5" t="n"/>
      <c r="H47" s="5" t="n"/>
      <c r="I47" s="5" t="n"/>
      <c r="J47" s="5" t="n"/>
      <c r="K47" s="5" t="n"/>
      <c r="L47" s="5" t="n"/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7">
        <f>G26+G34+G46+G47</f>
        <v/>
      </c>
      <c r="H48" s="7">
        <f>H26+H34+H46+H47</f>
        <v/>
      </c>
      <c r="I48" s="7">
        <f>I26+I34+I46+I47</f>
        <v/>
      </c>
      <c r="J48" s="7">
        <f>J26+J34+J46+J47</f>
        <v/>
      </c>
      <c r="K48" s="7">
        <f>K26+K34+K46+K47</f>
        <v/>
      </c>
      <c r="L48" s="7">
        <f>L26+L34+L46+L47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Raw Materials</t>
        </is>
      </c>
      <c r="B5" s="4" t="n">
        <v>2366</v>
      </c>
      <c r="C5" s="4" t="n">
        <v>2435</v>
      </c>
      <c r="D5" s="4" t="n">
        <v>2638</v>
      </c>
      <c r="E5" s="4" t="n">
        <v>2456</v>
      </c>
      <c r="F5" s="4" t="n">
        <v>2388</v>
      </c>
      <c r="G5" s="4" t="n">
        <v>2465</v>
      </c>
      <c r="H5" s="4" t="n">
        <v>2635</v>
      </c>
      <c r="I5" s="4" t="n">
        <v>2559</v>
      </c>
      <c r="J5" s="4" t="n">
        <v>2440</v>
      </c>
      <c r="K5" s="4" t="n">
        <v>2673</v>
      </c>
      <c r="L5" s="4" t="n">
        <v>2940</v>
      </c>
      <c r="M5" s="4" t="n">
        <v>2805</v>
      </c>
      <c r="N5" s="4" t="n">
        <v>2581</v>
      </c>
      <c r="O5" s="4" t="n">
        <v>2714</v>
      </c>
    </row>
    <row r="6">
      <c r="A6" s="3" t="inlineStr">
        <is>
          <t>Work in Process</t>
        </is>
      </c>
      <c r="B6" s="4" t="n">
        <v>114</v>
      </c>
      <c r="C6" s="4" t="n">
        <v>115</v>
      </c>
      <c r="D6" s="4" t="n">
        <v>110</v>
      </c>
      <c r="E6" s="4" t="n">
        <v>119</v>
      </c>
      <c r="F6" s="4" t="n">
        <v>104</v>
      </c>
      <c r="G6" s="4" t="n">
        <v>97</v>
      </c>
      <c r="H6" s="4" t="n">
        <v>121</v>
      </c>
      <c r="I6" s="4" t="n">
        <v>131</v>
      </c>
      <c r="J6" s="4" t="n">
        <v>104</v>
      </c>
      <c r="K6" s="4" t="n">
        <v>118</v>
      </c>
      <c r="L6" s="4" t="n">
        <v>135</v>
      </c>
      <c r="M6" s="4" t="n">
        <v>154</v>
      </c>
      <c r="N6" s="4" t="n">
        <v>143</v>
      </c>
      <c r="O6" s="4" t="n">
        <v>133</v>
      </c>
    </row>
    <row r="7">
      <c r="A7" s="3" t="inlineStr">
        <is>
          <t>Finished Goods</t>
        </is>
      </c>
      <c r="B7" s="4" t="n">
        <v>2742</v>
      </c>
      <c r="C7" s="4" t="n">
        <v>3147</v>
      </c>
      <c r="D7" s="4" t="n">
        <v>3221</v>
      </c>
      <c r="E7" s="4" t="n">
        <v>2983</v>
      </c>
      <c r="F7" s="4" t="n">
        <v>2842</v>
      </c>
      <c r="G7" s="4" t="n">
        <v>3007</v>
      </c>
      <c r="H7" s="4" t="n">
        <v>3131</v>
      </c>
      <c r="I7" s="4" t="n">
        <v>2954</v>
      </c>
      <c r="J7" s="4" t="n">
        <v>2762</v>
      </c>
      <c r="K7" s="4" t="n">
        <v>2869</v>
      </c>
      <c r="L7" s="4" t="n">
        <v>3412</v>
      </c>
      <c r="M7" s="4" t="n">
        <v>3134</v>
      </c>
      <c r="N7" s="4" t="n">
        <v>3121</v>
      </c>
      <c r="O7" s="4" t="n">
        <v>3364</v>
      </c>
    </row>
    <row r="8">
      <c r="A8" s="3" t="inlineStr">
        <is>
          <t>Inventories</t>
        </is>
      </c>
      <c r="B8" s="6">
        <f>SUM(B5,B6,B7)</f>
        <v/>
      </c>
      <c r="C8" s="6">
        <f>SUM(C5,C6,C7)</f>
        <v/>
      </c>
      <c r="D8" s="6">
        <f>SUM(D5,D6,D7)</f>
        <v/>
      </c>
      <c r="E8" s="6">
        <f>SUM(E5,E6,E7)</f>
        <v/>
      </c>
      <c r="F8" s="6">
        <f>SUM(F5,F6,F7)</f>
        <v/>
      </c>
      <c r="G8" s="6">
        <f>SUM(G5,G6,G7)</f>
        <v/>
      </c>
      <c r="H8" s="6">
        <f>SUM(H5,H6,H7)</f>
        <v/>
      </c>
      <c r="I8" s="6">
        <f>SUM(I5,I6,I7)</f>
        <v/>
      </c>
      <c r="J8" s="6">
        <f>SUM(J5,J6,J7)</f>
        <v/>
      </c>
      <c r="K8" s="6">
        <f>SUM(K5,K6,K7)</f>
        <v/>
      </c>
      <c r="L8" s="6">
        <f>SUM(L5,L6,L7)</f>
        <v/>
      </c>
      <c r="M8" s="6">
        <f>SUM(M5,M6,M7)</f>
        <v/>
      </c>
      <c r="N8" s="6">
        <f>SUM(N5,N6,N7)</f>
        <v/>
      </c>
      <c r="O8" s="6">
        <f>SUM(O5,O6,O7)</f>
        <v/>
      </c>
    </row>
    <row r="9">
      <c r="A9" s="3" t="inlineStr">
        <is>
          <t>Prepaid Expenses</t>
        </is>
      </c>
      <c r="B9" s="4" t="n">
        <v>806</v>
      </c>
      <c r="C9" s="4" t="n">
        <v>1057</v>
      </c>
      <c r="D9" s="4" t="n">
        <v>1075</v>
      </c>
      <c r="E9" s="4" t="n">
        <v>1026</v>
      </c>
      <c r="F9" s="4" t="n">
        <v>798</v>
      </c>
      <c r="G9" s="4" t="n">
        <v>1148</v>
      </c>
      <c r="H9" s="4" t="n">
        <v>1206</v>
      </c>
      <c r="I9" s="4" t="n">
        <v>1069</v>
      </c>
      <c r="J9" s="4" t="n">
        <v>921</v>
      </c>
      <c r="K9" s="4" t="n">
        <v>1246</v>
      </c>
      <c r="L9" s="4" t="n">
        <v>1360</v>
      </c>
      <c r="M9" s="4" t="n">
        <v>1334</v>
      </c>
      <c r="N9" s="4" t="n">
        <v>1068</v>
      </c>
      <c r="O9" s="4" t="n">
        <v>1706</v>
      </c>
    </row>
    <row r="10">
      <c r="A10" s="3" t="inlineStr">
        <is>
          <t>Total Current Assets</t>
        </is>
      </c>
      <c r="B10" s="6">
        <f>SUM(B2:B9)</f>
        <v/>
      </c>
      <c r="C10" s="6">
        <f>SUM(C2:C9)</f>
        <v/>
      </c>
      <c r="D10" s="6">
        <f>SUM(D2:D9)</f>
        <v/>
      </c>
      <c r="E10" s="6">
        <f>SUM(E2:E9)</f>
        <v/>
      </c>
      <c r="F10" s="6">
        <f>SUM(F2:F9)</f>
        <v/>
      </c>
      <c r="G10" s="6">
        <f>SUM(G2:G9)</f>
        <v/>
      </c>
      <c r="H10" s="6">
        <f>SUM(H2:H9)</f>
        <v/>
      </c>
      <c r="I10" s="6">
        <f>SUM(I2:I9)</f>
        <v/>
      </c>
      <c r="J10" s="6">
        <f>SUM(J2:J9)</f>
        <v/>
      </c>
      <c r="K10" s="6">
        <f>SUM(K2:K9)</f>
        <v/>
      </c>
      <c r="L10" s="6">
        <f>SUM(L2:L9)</f>
        <v/>
      </c>
      <c r="M10" s="6">
        <f>SUM(M2:M9)</f>
        <v/>
      </c>
      <c r="N10" s="6">
        <f>SUM(N2:N9)</f>
        <v/>
      </c>
      <c r="O10" s="6">
        <f>SUM(O2:O9)</f>
        <v/>
      </c>
    </row>
    <row r="11">
      <c r="A11" s="3" t="inlineStr">
        <is>
          <t>Net PP&amp;E</t>
        </is>
      </c>
      <c r="B11" s="4" t="n">
        <v>24291</v>
      </c>
      <c r="C11" s="4" t="n">
        <v>24228</v>
      </c>
      <c r="D11" s="4" t="n">
        <v>24500</v>
      </c>
      <c r="E11" s="4" t="n">
        <v>24853</v>
      </c>
      <c r="F11" s="4" t="n">
        <v>27039</v>
      </c>
      <c r="G11" s="4" t="n">
        <v>26792</v>
      </c>
      <c r="H11" s="4" t="n">
        <v>27042</v>
      </c>
      <c r="I11" s="4" t="n">
        <v>27188</v>
      </c>
      <c r="J11" s="4" t="n">
        <v>28008</v>
      </c>
      <c r="K11" s="4" t="n">
        <v>28213</v>
      </c>
      <c r="L11" s="4" t="n">
        <v>28797</v>
      </c>
      <c r="M11" s="4" t="n">
        <v>29053</v>
      </c>
      <c r="N11" s="4" t="n">
        <v>29905</v>
      </c>
      <c r="O11" s="4" t="n">
        <v>29807</v>
      </c>
    </row>
    <row r="12">
      <c r="A12" s="3" t="inlineStr">
        <is>
          <t>Intangible Assets</t>
        </is>
      </c>
      <c r="B12" s="4" t="n">
        <v>15586</v>
      </c>
      <c r="C12" s="4" t="n">
        <v>15523</v>
      </c>
      <c r="D12" s="4" t="n">
        <v>15562</v>
      </c>
      <c r="E12" s="4" t="n">
        <v>15501</v>
      </c>
      <c r="F12" s="4" t="n">
        <v>14929</v>
      </c>
      <c r="G12" s="4" t="n">
        <v>14853</v>
      </c>
      <c r="H12" s="4" t="n">
        <v>14826</v>
      </c>
      <c r="I12" s="4" t="n">
        <v>14857</v>
      </c>
      <c r="J12" s="4" t="n">
        <v>14801</v>
      </c>
      <c r="K12" s="4" t="n">
        <v>15363</v>
      </c>
      <c r="L12" s="4" t="n">
        <v>15523</v>
      </c>
      <c r="M12" s="4" t="n">
        <v>14852</v>
      </c>
      <c r="N12" s="4" t="n">
        <v>15066</v>
      </c>
      <c r="O12" s="4" t="n">
        <v>15143</v>
      </c>
    </row>
    <row r="13">
      <c r="A13" s="3" t="inlineStr">
        <is>
          <t>Goodwill</t>
        </is>
      </c>
      <c r="B13" s="4" t="n">
        <v>18202</v>
      </c>
      <c r="C13" s="4" t="n">
        <v>18089</v>
      </c>
      <c r="D13" s="4" t="n">
        <v>17997</v>
      </c>
      <c r="E13" s="4" t="n">
        <v>17892</v>
      </c>
      <c r="F13" s="4" t="n">
        <v>17728</v>
      </c>
      <c r="G13" s="4" t="n">
        <v>17646</v>
      </c>
      <c r="H13" s="4" t="n">
        <v>17648</v>
      </c>
      <c r="I13" s="4" t="n">
        <v>17709</v>
      </c>
      <c r="J13" s="4" t="n">
        <v>17534</v>
      </c>
      <c r="K13" s="4" t="n">
        <v>18364</v>
      </c>
      <c r="L13" s="4" t="n">
        <v>18952</v>
      </c>
      <c r="M13" s="4" t="n">
        <v>18845</v>
      </c>
      <c r="N13" s="4" t="n">
        <v>18916</v>
      </c>
      <c r="O13" s="4" t="n">
        <v>19021</v>
      </c>
    </row>
    <row r="14">
      <c r="A14" s="3" t="inlineStr">
        <is>
          <t>Equity Method Investments</t>
        </is>
      </c>
      <c r="B14" s="4" t="n">
        <v>3073</v>
      </c>
      <c r="C14" s="4" t="n">
        <v>3123</v>
      </c>
      <c r="D14" s="4" t="n">
        <v>3038</v>
      </c>
      <c r="E14" s="4" t="n">
        <v>2955</v>
      </c>
      <c r="F14" s="4" t="n">
        <v>2714</v>
      </c>
      <c r="G14" s="4" t="n">
        <v>2734</v>
      </c>
      <c r="H14" s="4" t="n">
        <v>2674</v>
      </c>
      <c r="I14" s="4" t="n">
        <v>2645</v>
      </c>
      <c r="J14" s="4" t="n">
        <v>1985</v>
      </c>
      <c r="K14" s="4" t="n">
        <v>1996</v>
      </c>
      <c r="L14" s="4" t="n">
        <v>2061</v>
      </c>
      <c r="M14" s="4" t="n">
        <v>2084</v>
      </c>
      <c r="N14" s="4" t="n">
        <v>2038</v>
      </c>
      <c r="O14" s="4" t="n">
        <v>2135</v>
      </c>
    </row>
    <row r="15">
      <c r="A15" s="3" t="inlineStr">
        <is>
          <t>Deferred Tax Assets</t>
        </is>
      </c>
      <c r="B15" s="4" t="n">
        <v>4204</v>
      </c>
      <c r="C15" s="4" t="n">
        <v>4211</v>
      </c>
      <c r="D15" s="4" t="n">
        <v>4186</v>
      </c>
      <c r="E15" s="4" t="n">
        <v>4165</v>
      </c>
      <c r="F15" s="4" t="n">
        <v>4474</v>
      </c>
      <c r="G15" s="4" t="n">
        <v>4444</v>
      </c>
      <c r="H15" s="4" t="n">
        <v>4465</v>
      </c>
      <c r="I15" s="4" t="n">
        <v>4321</v>
      </c>
      <c r="J15" s="4" t="n">
        <v>4362</v>
      </c>
      <c r="K15" s="4" t="n">
        <v>4350</v>
      </c>
      <c r="L15" s="4" t="n">
        <v>4293</v>
      </c>
      <c r="M15" s="4" t="n">
        <v>4341</v>
      </c>
      <c r="N15" s="4" t="n">
        <v>4541</v>
      </c>
      <c r="O15" s="4" t="n">
        <v>4560</v>
      </c>
    </row>
    <row r="16">
      <c r="A16" s="3" t="inlineStr">
        <is>
          <t>Other Non-Current Assets</t>
        </is>
      </c>
      <c r="B16" s="4" t="n">
        <v>5292</v>
      </c>
      <c r="C16" s="4" t="n">
        <v>5441</v>
      </c>
      <c r="D16" s="4" t="n">
        <v>5669</v>
      </c>
      <c r="E16" s="4" t="n">
        <v>5938</v>
      </c>
      <c r="F16" s="4" t="n">
        <v>6661</v>
      </c>
      <c r="G16" s="4" t="n">
        <v>7566</v>
      </c>
      <c r="H16" s="4" t="n">
        <v>7175</v>
      </c>
      <c r="I16" s="4" t="n">
        <v>6941</v>
      </c>
      <c r="J16" s="4" t="n">
        <v>6951</v>
      </c>
      <c r="K16" s="4" t="n">
        <v>7163</v>
      </c>
      <c r="L16" s="4" t="n">
        <v>7509</v>
      </c>
      <c r="M16" s="4" t="n">
        <v>8661</v>
      </c>
      <c r="N16" s="4" t="n">
        <v>8984</v>
      </c>
      <c r="O16" s="4" t="n">
        <v>9064</v>
      </c>
    </row>
    <row r="17">
      <c r="A17" s="3" t="inlineStr">
        <is>
          <t>Total Assets</t>
        </is>
      </c>
      <c r="B17" s="6">
        <f>B10+SUM(B11:B16)</f>
        <v/>
      </c>
      <c r="C17" s="6">
        <f>C10+SUM(C11:C16)</f>
        <v/>
      </c>
      <c r="D17" s="6">
        <f>D10+SUM(D11:D16)</f>
        <v/>
      </c>
      <c r="E17" s="6">
        <f>E10+SUM(E11:E16)</f>
        <v/>
      </c>
      <c r="F17" s="6">
        <f>F10+SUM(F11:F16)</f>
        <v/>
      </c>
      <c r="G17" s="6">
        <f>G10+SUM(G11:G16)</f>
        <v/>
      </c>
      <c r="H17" s="6">
        <f>H10+SUM(H11:H16)</f>
        <v/>
      </c>
      <c r="I17" s="6">
        <f>I10+SUM(I11:I16)</f>
        <v/>
      </c>
      <c r="J17" s="6">
        <f>J10+SUM(J11:J16)</f>
        <v/>
      </c>
      <c r="K17" s="6">
        <f>K10+SUM(K11:K16)</f>
        <v/>
      </c>
      <c r="L17" s="6">
        <f>L10+SUM(L11:L16)</f>
        <v/>
      </c>
      <c r="M17" s="6">
        <f>M10+SUM(M11:M16)</f>
        <v/>
      </c>
      <c r="N17" s="6">
        <f>N10+SUM(N11:N16)</f>
        <v/>
      </c>
      <c r="O17" s="6">
        <f>O10+SUM(O11:O16)</f>
        <v/>
      </c>
    </row>
    <row r="18">
      <c r="A18" s="3" t="inlineStr">
        <is>
          <t>Short-Term Debt Obligations</t>
        </is>
      </c>
      <c r="B18" s="4" t="n">
        <v>3414</v>
      </c>
      <c r="C18" s="4" t="n">
        <v>4281</v>
      </c>
      <c r="D18" s="4" t="n">
        <v>7613</v>
      </c>
      <c r="E18" s="4" t="n">
        <v>8937</v>
      </c>
      <c r="F18" s="4" t="n">
        <v>6510</v>
      </c>
      <c r="G18" s="4" t="n">
        <v>8161</v>
      </c>
      <c r="H18" s="4" t="n">
        <v>8289</v>
      </c>
      <c r="I18" s="4" t="n">
        <v>6524</v>
      </c>
      <c r="J18" s="4" t="n">
        <v>7082</v>
      </c>
      <c r="K18" s="4" t="n">
        <v>9099</v>
      </c>
      <c r="L18" s="4" t="n">
        <v>12056</v>
      </c>
      <c r="M18" s="4" t="n">
        <v>6736</v>
      </c>
      <c r="N18" s="4" t="n">
        <v>6861</v>
      </c>
      <c r="O18" s="4" t="n">
        <v>10151</v>
      </c>
    </row>
    <row r="19">
      <c r="A19" s="3" t="inlineStr">
        <is>
          <t>Accrued Expenses</t>
        </is>
      </c>
      <c r="B19" s="4" t="n">
        <v>23371</v>
      </c>
      <c r="C19" s="4" t="n">
        <v>21556</v>
      </c>
      <c r="D19" s="4" t="n">
        <v>22005</v>
      </c>
      <c r="E19" s="4" t="n">
        <v>23723</v>
      </c>
      <c r="F19" s="4" t="n">
        <v>25137</v>
      </c>
      <c r="G19" s="4" t="n">
        <v>22073</v>
      </c>
      <c r="H19" s="4" t="n">
        <v>22859</v>
      </c>
      <c r="I19" s="4" t="n">
        <v>23791</v>
      </c>
      <c r="J19" s="4" t="n">
        <v>24454</v>
      </c>
      <c r="K19" s="4" t="n">
        <v>22412</v>
      </c>
      <c r="L19" s="4" t="n">
        <v>24340</v>
      </c>
      <c r="M19" s="4" t="n">
        <v>24763</v>
      </c>
      <c r="N19" s="4" t="n">
        <v>25903</v>
      </c>
      <c r="O19" s="4" t="n">
        <v>24326</v>
      </c>
    </row>
    <row r="20">
      <c r="A20" s="3" t="inlineStr">
        <is>
          <t>Total Current Liabilities</t>
        </is>
      </c>
      <c r="B20" s="6">
        <f>SUM(B18:B19)</f>
        <v/>
      </c>
      <c r="C20" s="6">
        <f>SUM(C18:C19)</f>
        <v/>
      </c>
      <c r="D20" s="6">
        <f>SUM(D18:D19)</f>
        <v/>
      </c>
      <c r="E20" s="6">
        <f>SUM(E18:E19)</f>
        <v/>
      </c>
      <c r="F20" s="6">
        <f>SUM(F18:F19)</f>
        <v/>
      </c>
      <c r="G20" s="6">
        <f>SUM(G18:G19)</f>
        <v/>
      </c>
      <c r="H20" s="6">
        <f>SUM(H18:H19)</f>
        <v/>
      </c>
      <c r="I20" s="6">
        <f>SUM(I18:I19)</f>
        <v/>
      </c>
      <c r="J20" s="6">
        <f>SUM(J18:J19)</f>
        <v/>
      </c>
      <c r="K20" s="6">
        <f>SUM(K18:K19)</f>
        <v/>
      </c>
      <c r="L20" s="6">
        <f>SUM(L18:L19)</f>
        <v/>
      </c>
      <c r="M20" s="6">
        <f>SUM(M18:M19)</f>
        <v/>
      </c>
      <c r="N20" s="6">
        <f>SUM(N18:N19)</f>
        <v/>
      </c>
      <c r="O20" s="6">
        <f>SUM(O18:O19)</f>
        <v/>
      </c>
    </row>
    <row r="21">
      <c r="A21" s="3" t="inlineStr">
        <is>
          <t>Long-Term Debt</t>
        </is>
      </c>
      <c r="B21" s="4" t="n">
        <v>35657</v>
      </c>
      <c r="C21" s="4" t="n">
        <v>37486</v>
      </c>
      <c r="D21" s="4" t="n">
        <v>36008</v>
      </c>
      <c r="E21" s="4" t="n">
        <v>35837</v>
      </c>
      <c r="F21" s="4" t="n">
        <v>37595</v>
      </c>
      <c r="G21" s="4" t="n">
        <v>37707</v>
      </c>
      <c r="H21" s="4" t="n">
        <v>36638</v>
      </c>
      <c r="I21" s="4" t="n">
        <v>38490</v>
      </c>
      <c r="J21" s="4" t="n">
        <v>37224</v>
      </c>
      <c r="K21" s="4" t="n">
        <v>39419</v>
      </c>
      <c r="L21" s="4" t="n">
        <v>39328</v>
      </c>
      <c r="M21" s="4" t="n">
        <v>44113</v>
      </c>
      <c r="N21" s="4" t="n">
        <v>42321</v>
      </c>
      <c r="O21" s="4" t="n">
        <v>42577</v>
      </c>
    </row>
    <row r="22">
      <c r="A22" s="3" t="inlineStr">
        <is>
          <t>Deferred Tax Liability</t>
        </is>
      </c>
      <c r="B22" s="4" t="n">
        <v>4133</v>
      </c>
      <c r="C22" s="4" t="n">
        <v>4039</v>
      </c>
      <c r="D22" s="4" t="n">
        <v>4113</v>
      </c>
      <c r="E22" s="4" t="n">
        <v>4047</v>
      </c>
      <c r="F22" s="4" t="n">
        <v>3895</v>
      </c>
      <c r="G22" s="4" t="n">
        <v>4087</v>
      </c>
      <c r="H22" s="4" t="n">
        <v>3908</v>
      </c>
      <c r="I22" s="4" t="n">
        <v>3684</v>
      </c>
      <c r="J22" s="4" t="n">
        <v>3484</v>
      </c>
      <c r="K22" s="4" t="n">
        <v>3541</v>
      </c>
      <c r="L22" s="4" t="n">
        <v>3102</v>
      </c>
      <c r="M22" s="4" t="n">
        <v>3474</v>
      </c>
      <c r="N22" s="4" t="n">
        <v>3802</v>
      </c>
      <c r="O22" s="4" t="n">
        <v>4048</v>
      </c>
    </row>
    <row r="23">
      <c r="A23" s="3" t="inlineStr">
        <is>
          <t>Other Non-Current Liabilities</t>
        </is>
      </c>
      <c r="B23" s="4" t="n">
        <v>8339</v>
      </c>
      <c r="C23" s="4" t="n">
        <v>8505</v>
      </c>
      <c r="D23" s="4" t="n">
        <v>8342</v>
      </c>
      <c r="E23" s="4" t="n">
        <v>8439</v>
      </c>
      <c r="F23" s="4" t="n">
        <v>8721</v>
      </c>
      <c r="G23" s="4" t="n">
        <v>8822</v>
      </c>
      <c r="H23" s="4" t="n">
        <v>8259</v>
      </c>
      <c r="I23" s="4" t="n">
        <v>8419</v>
      </c>
      <c r="J23" s="4" t="n">
        <v>9052</v>
      </c>
      <c r="K23" s="4" t="n">
        <v>8737</v>
      </c>
      <c r="L23" s="4" t="n">
        <v>7960</v>
      </c>
      <c r="M23" s="4" t="n">
        <v>7929</v>
      </c>
      <c r="N23" s="4" t="n">
        <v>7965</v>
      </c>
      <c r="O23" s="4" t="n">
        <v>8008</v>
      </c>
    </row>
    <row r="24">
      <c r="A24" s="3" t="inlineStr">
        <is>
          <t>Total Liabilities</t>
        </is>
      </c>
      <c r="B24" s="6">
        <f>B20+SUM(B21:B23)</f>
        <v/>
      </c>
      <c r="C24" s="6">
        <f>C20+SUM(C21:C23)</f>
        <v/>
      </c>
      <c r="D24" s="6">
        <f>D20+SUM(D21:D23)</f>
        <v/>
      </c>
      <c r="E24" s="6">
        <f>E20+SUM(E21:E23)</f>
        <v/>
      </c>
      <c r="F24" s="6">
        <f>F20+SUM(F21:F23)</f>
        <v/>
      </c>
      <c r="G24" s="6">
        <f>G20+SUM(G21:G23)</f>
        <v/>
      </c>
      <c r="H24" s="6">
        <f>H20+SUM(H21:H23)</f>
        <v/>
      </c>
      <c r="I24" s="6">
        <f>I20+SUM(I21:I23)</f>
        <v/>
      </c>
      <c r="J24" s="6">
        <f>J20+SUM(J21:J23)</f>
        <v/>
      </c>
      <c r="K24" s="6">
        <f>K20+SUM(K21:K23)</f>
        <v/>
      </c>
      <c r="L24" s="6">
        <f>L20+SUM(L21:L23)</f>
        <v/>
      </c>
      <c r="M24" s="6">
        <f>M20+SUM(M21:M23)</f>
        <v/>
      </c>
      <c r="N24" s="6">
        <f>N20+SUM(N21:N23)</f>
        <v/>
      </c>
      <c r="O24" s="6">
        <f>O20+SUM(O21:O23)</f>
        <v/>
      </c>
    </row>
    <row r="25">
      <c r="A25" s="3" t="inlineStr">
        <is>
          <t>Common Stock</t>
        </is>
      </c>
      <c r="B25" s="4" t="n">
        <v>23</v>
      </c>
      <c r="C25" s="4" t="n">
        <v>23</v>
      </c>
      <c r="D25" s="4" t="n">
        <v>23</v>
      </c>
      <c r="E25" s="4" t="n">
        <v>23</v>
      </c>
      <c r="F25" s="4" t="n">
        <v>23</v>
      </c>
      <c r="G25" s="4" t="n">
        <v>23</v>
      </c>
      <c r="H25" s="4" t="n">
        <v>23</v>
      </c>
      <c r="I25" s="4" t="n">
        <v>23</v>
      </c>
      <c r="J25" s="4" t="n">
        <v>23</v>
      </c>
      <c r="K25" s="4" t="n">
        <v>23</v>
      </c>
      <c r="L25" s="4" t="n">
        <v>23</v>
      </c>
      <c r="M25" s="4" t="n">
        <v>23</v>
      </c>
      <c r="N25" s="4" t="n">
        <v>23</v>
      </c>
      <c r="O25" s="4" t="n">
        <v>23</v>
      </c>
    </row>
    <row r="26">
      <c r="A26" s="3" t="inlineStr">
        <is>
          <t>Additional Paid-in Capital</t>
        </is>
      </c>
      <c r="B26" s="4" t="n">
        <v>4134</v>
      </c>
      <c r="C26" s="4" t="n">
        <v>3996</v>
      </c>
      <c r="D26" s="4" t="n">
        <v>4082</v>
      </c>
      <c r="E26" s="4" t="n">
        <v>4154</v>
      </c>
      <c r="F26" s="4" t="n">
        <v>4261</v>
      </c>
      <c r="G26" s="4" t="n">
        <v>4132</v>
      </c>
      <c r="H26" s="4" t="n">
        <v>4203</v>
      </c>
      <c r="I26" s="4" t="n">
        <v>4281</v>
      </c>
      <c r="J26" s="4" t="n">
        <v>4385</v>
      </c>
      <c r="K26" s="4" t="n">
        <v>4274</v>
      </c>
      <c r="L26" s="4" t="n">
        <v>4299</v>
      </c>
      <c r="M26" s="4" t="n">
        <v>4374</v>
      </c>
      <c r="N26" s="4" t="n">
        <v>4451</v>
      </c>
      <c r="O26" s="4" t="n">
        <v>4401</v>
      </c>
    </row>
    <row r="27">
      <c r="A27" s="3" t="inlineStr">
        <is>
          <t>Retained Earnings (Accumulated Deficit)</t>
        </is>
      </c>
      <c r="B27" s="4" t="n">
        <v>67800</v>
      </c>
      <c r="C27" s="4" t="n">
        <v>68142</v>
      </c>
      <c r="D27" s="4" t="n">
        <v>69135</v>
      </c>
      <c r="E27" s="4" t="n">
        <v>70479</v>
      </c>
      <c r="F27" s="4" t="n">
        <v>70035</v>
      </c>
      <c r="G27" s="4" t="n">
        <v>70331</v>
      </c>
      <c r="H27" s="4" t="n">
        <v>71545</v>
      </c>
      <c r="I27" s="4" t="n">
        <v>72607</v>
      </c>
      <c r="J27" s="4" t="n">
        <v>72266</v>
      </c>
      <c r="K27" s="4" t="n">
        <v>72238</v>
      </c>
      <c r="L27" s="4" t="n">
        <v>71547</v>
      </c>
      <c r="M27" s="4" t="n">
        <v>72197</v>
      </c>
      <c r="N27" s="4" t="n">
        <v>72788</v>
      </c>
      <c r="O27" s="4" t="n">
        <v>73165</v>
      </c>
    </row>
    <row r="28">
      <c r="A28" s="3" t="inlineStr">
        <is>
          <t>Accumulated Other Comprehensive Income (Loss)</t>
        </is>
      </c>
      <c r="B28" s="4" t="n">
        <v>-15302</v>
      </c>
      <c r="C28" s="4" t="n">
        <v>-15601</v>
      </c>
      <c r="D28" s="4" t="n">
        <v>-15780</v>
      </c>
      <c r="E28" s="4" t="n">
        <v>-15794</v>
      </c>
      <c r="F28" s="4" t="n">
        <v>-15534</v>
      </c>
      <c r="G28" s="4" t="n">
        <v>-15179</v>
      </c>
      <c r="H28" s="4" t="n">
        <v>-15786</v>
      </c>
      <c r="I28" s="4" t="n">
        <v>-16652</v>
      </c>
      <c r="J28" s="4" t="n">
        <v>-17612</v>
      </c>
      <c r="K28" s="4" t="n">
        <v>-17078</v>
      </c>
      <c r="L28" s="4" t="n">
        <v>-16090</v>
      </c>
      <c r="M28" s="4" t="n">
        <v>-15597</v>
      </c>
      <c r="N28" s="4" t="n">
        <v>-15024</v>
      </c>
      <c r="O28" s="4" t="n">
        <v>-14342</v>
      </c>
    </row>
    <row r="29">
      <c r="A29" s="3" t="inlineStr">
        <is>
          <t>Treasury Stock</t>
        </is>
      </c>
      <c r="B29" s="4" t="n">
        <v>-39506</v>
      </c>
      <c r="C29" s="4" t="n">
        <v>-39518</v>
      </c>
      <c r="D29" s="4" t="n">
        <v>-39775</v>
      </c>
      <c r="E29" s="4" t="n">
        <v>-40056</v>
      </c>
      <c r="F29" s="4" t="n">
        <v>-40282</v>
      </c>
      <c r="G29" s="4" t="n">
        <v>-40260</v>
      </c>
      <c r="H29" s="4" t="n">
        <v>-40539</v>
      </c>
      <c r="I29" s="4" t="n">
        <v>-40806</v>
      </c>
      <c r="J29" s="4" t="n">
        <v>-41021</v>
      </c>
      <c r="K29" s="4" t="n">
        <v>-41068</v>
      </c>
      <c r="L29" s="4" t="n">
        <v>-41361</v>
      </c>
      <c r="M29" s="4" t="n">
        <v>-41609</v>
      </c>
      <c r="N29" s="4" t="n">
        <v>-41832</v>
      </c>
      <c r="O29" s="4" t="n">
        <v>-41864</v>
      </c>
    </row>
    <row r="30">
      <c r="A30" s="3" t="inlineStr">
        <is>
          <t>Noncontrolling Interest</t>
        </is>
      </c>
      <c r="B30" s="4" t="n">
        <v>124</v>
      </c>
      <c r="C30" s="4" t="n">
        <v>133</v>
      </c>
      <c r="D30" s="4" t="n">
        <v>140</v>
      </c>
      <c r="E30" s="4" t="n">
        <v>164</v>
      </c>
      <c r="F30" s="4" t="n">
        <v>134</v>
      </c>
      <c r="G30" s="4" t="n">
        <v>143</v>
      </c>
      <c r="H30" s="4" t="n">
        <v>134</v>
      </c>
      <c r="I30" s="4" t="n">
        <v>152</v>
      </c>
      <c r="J30" s="4" t="n">
        <v>130</v>
      </c>
      <c r="K30" s="4" t="n">
        <v>140</v>
      </c>
      <c r="L30" s="4" t="n">
        <v>141</v>
      </c>
      <c r="M30" s="4" t="n">
        <v>155</v>
      </c>
      <c r="N30" s="4" t="n">
        <v>141</v>
      </c>
      <c r="O30" s="4" t="n">
        <v>153</v>
      </c>
    </row>
    <row r="31">
      <c r="A31" s="3" t="inlineStr">
        <is>
          <t>Total Stockholders' Equity</t>
        </is>
      </c>
      <c r="B31" s="6">
        <f>SUM(B25:B30)</f>
        <v/>
      </c>
      <c r="C31" s="6">
        <f>SUM(C25:C30)</f>
        <v/>
      </c>
      <c r="D31" s="6">
        <f>SUM(D25:D30)</f>
        <v/>
      </c>
      <c r="E31" s="6">
        <f>SUM(E25:E30)</f>
        <v/>
      </c>
      <c r="F31" s="6">
        <f>SUM(F25:F30)</f>
        <v/>
      </c>
      <c r="G31" s="6">
        <f>SUM(G25:G30)</f>
        <v/>
      </c>
      <c r="H31" s="6">
        <f>SUM(H25:H30)</f>
        <v/>
      </c>
      <c r="I31" s="6">
        <f>SUM(I25:I30)</f>
        <v/>
      </c>
      <c r="J31" s="6">
        <f>SUM(J25:J30)</f>
        <v/>
      </c>
      <c r="K31" s="6">
        <f>SUM(K25:K30)</f>
        <v/>
      </c>
      <c r="L31" s="6">
        <f>SUM(L25:L30)</f>
        <v/>
      </c>
      <c r="M31" s="6">
        <f>SUM(M25:M30)</f>
        <v/>
      </c>
      <c r="N31" s="6">
        <f>SUM(N25:N30)</f>
        <v/>
      </c>
      <c r="O31" s="6">
        <f>SUM(O25:O30)</f>
        <v/>
      </c>
    </row>
    <row r="32">
      <c r="A32" s="3" t="inlineStr">
        <is>
          <t>Total Liabilities, Mezzanine &amp; Stockholders' Equity</t>
        </is>
      </c>
      <c r="B32" s="6">
        <f>B24+B31</f>
        <v/>
      </c>
      <c r="C32" s="6">
        <f>C24+C31</f>
        <v/>
      </c>
      <c r="D32" s="6">
        <f>D24+D31</f>
        <v/>
      </c>
      <c r="E32" s="6">
        <f>E24+E31</f>
        <v/>
      </c>
      <c r="F32" s="6">
        <f>F24+F31</f>
        <v/>
      </c>
      <c r="G32" s="6">
        <f>G24+G31</f>
        <v/>
      </c>
      <c r="H32" s="6">
        <f>H24+H31</f>
        <v/>
      </c>
      <c r="I32" s="6">
        <f>I24+I31</f>
        <v/>
      </c>
      <c r="J32" s="6">
        <f>J24+J31</f>
        <v/>
      </c>
      <c r="K32" s="6">
        <f>K24+K31</f>
        <v/>
      </c>
      <c r="L32" s="6">
        <f>L24+L31</f>
        <v/>
      </c>
      <c r="M32" s="6">
        <f>M24+M31</f>
        <v/>
      </c>
      <c r="N32" s="6">
        <f>N24+N31</f>
        <v/>
      </c>
      <c r="O32" s="6">
        <f>O24+O31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167</v>
      </c>
      <c r="I7" s="4" t="n">
        <v>182</v>
      </c>
      <c r="J7" s="4" t="n">
        <v>184</v>
      </c>
      <c r="K7" s="4" t="n">
        <v>0</v>
      </c>
      <c r="L7" s="4" t="n">
        <v>0</v>
      </c>
      <c r="M7" s="4" t="n">
        <v>0</v>
      </c>
      <c r="N7" s="4" t="n">
        <v>0</v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-108</v>
      </c>
      <c r="I8" s="4" t="n">
        <v>-135</v>
      </c>
      <c r="J8" s="4" t="n">
        <v>-138</v>
      </c>
      <c r="K8" s="4" t="n">
        <v>-2</v>
      </c>
      <c r="L8" s="4" t="n">
        <v>-2</v>
      </c>
      <c r="M8" s="4" t="n">
        <v>-5</v>
      </c>
      <c r="N8" s="4" t="n">
        <v>0</v>
      </c>
    </row>
    <row r="9">
      <c r="A9" s="3" t="inlineStr">
        <is>
          <t>Non-Cash Lease Expense</t>
        </is>
      </c>
      <c r="B9" s="4" t="n">
        <v>103</v>
      </c>
      <c r="C9" s="4" t="n">
        <v>223</v>
      </c>
      <c r="D9" s="4" t="n">
        <v>346</v>
      </c>
      <c r="E9" s="4" t="n">
        <v>116</v>
      </c>
      <c r="F9" s="4" t="n">
        <v>248</v>
      </c>
      <c r="G9" s="4" t="n">
        <v>384</v>
      </c>
      <c r="H9" s="4" t="n">
        <v>127</v>
      </c>
      <c r="I9" s="4" t="n">
        <v>278</v>
      </c>
      <c r="J9" s="4" t="n">
        <v>438</v>
      </c>
      <c r="K9" s="4" t="n">
        <v>145</v>
      </c>
      <c r="L9" s="4" t="n">
        <v>315</v>
      </c>
      <c r="M9" s="4" t="n">
        <v>489</v>
      </c>
      <c r="N9" s="4" t="n">
        <v>162</v>
      </c>
    </row>
    <row r="10">
      <c r="A10" s="3" t="inlineStr">
        <is>
          <t>Stock-Based Compensation</t>
        </is>
      </c>
      <c r="B10" s="4" t="n">
        <v>81</v>
      </c>
      <c r="C10" s="4" t="n">
        <v>156</v>
      </c>
      <c r="D10" s="4" t="n">
        <v>233</v>
      </c>
      <c r="E10" s="4" t="n">
        <v>93</v>
      </c>
      <c r="F10" s="4" t="n">
        <v>179</v>
      </c>
      <c r="G10" s="4" t="n">
        <v>267</v>
      </c>
      <c r="H10" s="4" t="n">
        <v>97</v>
      </c>
      <c r="I10" s="4" t="n">
        <v>183</v>
      </c>
      <c r="J10" s="4" t="n">
        <v>260</v>
      </c>
      <c r="K10" s="4" t="n">
        <v>77</v>
      </c>
      <c r="L10" s="4" t="n">
        <v>131</v>
      </c>
      <c r="M10" s="4" t="n">
        <v>207</v>
      </c>
      <c r="N10" s="4" t="n">
        <v>93</v>
      </c>
    </row>
    <row r="11">
      <c r="A11" s="3" t="inlineStr">
        <is>
          <t>Restructuring and Asset Impairment Charges</t>
        </is>
      </c>
      <c r="B11" s="4" t="n">
        <v>27</v>
      </c>
      <c r="C11" s="4" t="n">
        <v>75</v>
      </c>
      <c r="D11" s="4" t="n">
        <v>126</v>
      </c>
      <c r="E11" s="4" t="n">
        <v>112</v>
      </c>
      <c r="F11" s="4" t="n">
        <v>204</v>
      </c>
      <c r="G11" s="4" t="n">
        <v>287</v>
      </c>
      <c r="H11" s="4" t="n">
        <v>96</v>
      </c>
      <c r="I11" s="4" t="n">
        <v>170</v>
      </c>
      <c r="J11" s="4" t="n">
        <v>415</v>
      </c>
      <c r="K11" s="4" t="n">
        <v>213</v>
      </c>
      <c r="L11" s="4" t="n">
        <v>426</v>
      </c>
      <c r="M11" s="4" t="n">
        <v>567</v>
      </c>
      <c r="N11" s="4" t="n">
        <v>133</v>
      </c>
    </row>
    <row r="12">
      <c r="A12" s="3" t="inlineStr">
        <is>
          <t>Cash Payments for Restructuring</t>
        </is>
      </c>
      <c r="B12" s="4" t="n">
        <v>-32</v>
      </c>
      <c r="C12" s="4" t="n">
        <v>-82</v>
      </c>
      <c r="D12" s="4" t="n">
        <v>-134</v>
      </c>
      <c r="E12" s="4" t="n">
        <v>-64</v>
      </c>
      <c r="F12" s="4" t="n">
        <v>-187</v>
      </c>
      <c r="G12" s="4" t="n">
        <v>-283</v>
      </c>
      <c r="H12" s="4" t="n">
        <v>-60</v>
      </c>
      <c r="I12" s="4" t="n">
        <v>-173</v>
      </c>
      <c r="J12" s="4" t="n">
        <v>-284</v>
      </c>
      <c r="K12" s="4" t="n">
        <v>-232</v>
      </c>
      <c r="L12" s="4" t="n">
        <v>-387</v>
      </c>
      <c r="M12" s="4" t="n">
        <v>-554</v>
      </c>
      <c r="N12" s="4" t="n">
        <v>-145</v>
      </c>
    </row>
    <row r="13">
      <c r="A13" s="3" t="inlineStr">
        <is>
          <t>Acquisition and Divestiture-Related Charges</t>
        </is>
      </c>
      <c r="B13" s="4" t="n">
        <v>56</v>
      </c>
      <c r="C13" s="4" t="n">
        <v>64</v>
      </c>
      <c r="D13" s="4" t="n">
        <v>69</v>
      </c>
      <c r="E13" s="4" t="n">
        <v>2</v>
      </c>
      <c r="F13" s="4" t="n">
        <v>9</v>
      </c>
      <c r="G13" s="4" t="n">
        <v>20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308</v>
      </c>
      <c r="N13" s="4" t="n">
        <v>-113</v>
      </c>
    </row>
    <row r="14">
      <c r="A14" s="3" t="inlineStr">
        <is>
          <t>Cash Payments for Acquisition and Divestiture Costs</t>
        </is>
      </c>
      <c r="B14" s="4" t="n">
        <v>-17</v>
      </c>
      <c r="C14" s="4" t="n">
        <v>-34</v>
      </c>
      <c r="D14" s="4" t="n">
        <v>-41</v>
      </c>
      <c r="E14" s="4" t="n">
        <v>-4</v>
      </c>
      <c r="F14" s="4" t="n">
        <v>-10</v>
      </c>
      <c r="G14" s="4" t="n">
        <v>-15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-80</v>
      </c>
      <c r="N14" s="4" t="n">
        <v>-14</v>
      </c>
    </row>
    <row r="15">
      <c r="A15" s="3" t="inlineStr">
        <is>
          <t>Pension and Postretirement Benefits Expense</t>
        </is>
      </c>
      <c r="B15" s="4" t="n">
        <v>-1</v>
      </c>
      <c r="C15" s="4" t="n">
        <v>139</v>
      </c>
      <c r="D15" s="4" t="n">
        <v>235</v>
      </c>
      <c r="E15" s="4" t="n">
        <v>30</v>
      </c>
      <c r="F15" s="4" t="n">
        <v>62</v>
      </c>
      <c r="G15" s="4" t="n">
        <v>93</v>
      </c>
      <c r="H15" s="4" t="n">
        <v>31</v>
      </c>
      <c r="I15" s="4" t="n">
        <v>67</v>
      </c>
      <c r="J15" s="4" t="n">
        <v>114</v>
      </c>
      <c r="K15" s="4" t="n">
        <v>48</v>
      </c>
      <c r="L15" s="4" t="n">
        <v>99</v>
      </c>
      <c r="M15" s="4" t="n">
        <v>164</v>
      </c>
      <c r="N15" s="4" t="n">
        <v>13</v>
      </c>
    </row>
    <row r="16">
      <c r="A16" s="3" t="inlineStr">
        <is>
          <t>Pension and Postretirement Benefits Contributions</t>
        </is>
      </c>
      <c r="B16" s="4" t="n">
        <v>-178</v>
      </c>
      <c r="C16" s="4" t="n">
        <v>-214</v>
      </c>
      <c r="D16" s="4" t="n">
        <v>-335</v>
      </c>
      <c r="E16" s="4" t="n">
        <v>-175</v>
      </c>
      <c r="F16" s="4" t="n">
        <v>-209</v>
      </c>
      <c r="G16" s="4" t="n">
        <v>-374</v>
      </c>
      <c r="H16" s="4" t="n">
        <v>-218</v>
      </c>
      <c r="I16" s="4" t="n">
        <v>-263</v>
      </c>
      <c r="J16" s="4" t="n">
        <v>-300</v>
      </c>
      <c r="K16" s="4" t="n">
        <v>-317</v>
      </c>
      <c r="L16" s="4" t="n">
        <v>-354</v>
      </c>
      <c r="M16" s="4" t="n">
        <v>-400</v>
      </c>
      <c r="N16" s="4" t="n">
        <v>-270</v>
      </c>
    </row>
    <row r="17">
      <c r="A17" s="3" t="inlineStr">
        <is>
          <t>(Benefit) Provision for Deferred Income Taxes</t>
        </is>
      </c>
      <c r="B17" s="4" t="n">
        <v>257</v>
      </c>
      <c r="C17" s="4" t="n">
        <v>49</v>
      </c>
      <c r="D17" s="4" t="n">
        <v>-322</v>
      </c>
      <c r="E17" s="4" t="n">
        <v>78</v>
      </c>
      <c r="F17" s="4" t="n">
        <v>270</v>
      </c>
      <c r="G17" s="4" t="n">
        <v>343</v>
      </c>
      <c r="H17" s="4" t="n">
        <v>116</v>
      </c>
      <c r="I17" s="4" t="n">
        <v>142</v>
      </c>
      <c r="J17" s="4" t="n">
        <v>124</v>
      </c>
      <c r="K17" s="4" t="n">
        <v>111</v>
      </c>
      <c r="L17" s="4" t="n">
        <v>-260</v>
      </c>
      <c r="M17" s="4" t="n">
        <v>30</v>
      </c>
      <c r="N17" s="4" t="n">
        <v>226</v>
      </c>
    </row>
    <row r="18">
      <c r="A18" s="3" t="inlineStr">
        <is>
          <t>Tax Expense Related to TCJ Act</t>
        </is>
      </c>
      <c r="B18" s="4" t="n">
        <v>0</v>
      </c>
      <c r="C18" s="4" t="n">
        <v>0</v>
      </c>
      <c r="D18" s="4" t="n">
        <v>86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</row>
    <row r="19">
      <c r="A19" s="3" t="inlineStr">
        <is>
          <t>Tax Payments Related to TCJ Act</t>
        </is>
      </c>
      <c r="B19" s="4" t="n">
        <v>0</v>
      </c>
      <c r="C19" s="4" t="n">
        <v>-309</v>
      </c>
      <c r="D19" s="4" t="n">
        <v>-309</v>
      </c>
      <c r="E19" s="4" t="n">
        <v>0</v>
      </c>
      <c r="F19" s="4" t="n">
        <v>-309</v>
      </c>
      <c r="G19" s="4" t="n">
        <v>-309</v>
      </c>
      <c r="H19" s="4" t="n">
        <v>0</v>
      </c>
      <c r="I19" s="4" t="n">
        <v>-579</v>
      </c>
      <c r="J19" s="4" t="n">
        <v>-579</v>
      </c>
      <c r="K19" s="4" t="n">
        <v>0</v>
      </c>
      <c r="L19" s="4" t="n">
        <v>-772</v>
      </c>
      <c r="M19" s="4" t="n">
        <v>-772</v>
      </c>
      <c r="N19" s="4" t="n">
        <v>0</v>
      </c>
    </row>
    <row r="20">
      <c r="A20" s="3" t="inlineStr">
        <is>
          <t>Accounts Receivable</t>
        </is>
      </c>
      <c r="B20" s="4" t="n">
        <v>-837</v>
      </c>
      <c r="C20" s="4" t="n">
        <v>-1753</v>
      </c>
      <c r="D20" s="4" t="n">
        <v>-2258</v>
      </c>
      <c r="E20" s="4" t="n">
        <v>-348</v>
      </c>
      <c r="F20" s="4" t="n">
        <v>-1330</v>
      </c>
      <c r="G20" s="4" t="n">
        <v>-1699</v>
      </c>
      <c r="H20" s="4" t="n">
        <v>-96</v>
      </c>
      <c r="I20" s="4" t="n">
        <v>-1138</v>
      </c>
      <c r="J20" s="4" t="n">
        <v>-1521</v>
      </c>
      <c r="K20" s="4" t="n">
        <v>-318</v>
      </c>
      <c r="L20" s="4" t="n">
        <v>-1582</v>
      </c>
      <c r="M20" s="4" t="n">
        <v>-1747</v>
      </c>
      <c r="N20" s="4" t="n">
        <v>-530</v>
      </c>
    </row>
    <row r="21">
      <c r="A21" s="3" t="inlineStr">
        <is>
          <t>Inventories</t>
        </is>
      </c>
      <c r="B21" s="4" t="n">
        <v>-549</v>
      </c>
      <c r="C21" s="4" t="n">
        <v>-990</v>
      </c>
      <c r="D21" s="4" t="n">
        <v>-837</v>
      </c>
      <c r="E21" s="4" t="n">
        <v>-542</v>
      </c>
      <c r="F21" s="4" t="n">
        <v>-851</v>
      </c>
      <c r="G21" s="4" t="n">
        <v>-473</v>
      </c>
      <c r="H21" s="4" t="n">
        <v>-291</v>
      </c>
      <c r="I21" s="4" t="n">
        <v>-696</v>
      </c>
      <c r="J21" s="4" t="n">
        <v>-492</v>
      </c>
      <c r="K21" s="4" t="n">
        <v>-238</v>
      </c>
      <c r="L21" s="4" t="n">
        <v>-800</v>
      </c>
      <c r="M21" s="4" t="n">
        <v>-449</v>
      </c>
      <c r="N21" s="4" t="n">
        <v>-315</v>
      </c>
    </row>
    <row r="22">
      <c r="A22" s="3" t="inlineStr">
        <is>
          <t>Prepaid Expenses</t>
        </is>
      </c>
      <c r="B22" s="4" t="n">
        <v>-190</v>
      </c>
      <c r="C22" s="4" t="n">
        <v>-186</v>
      </c>
      <c r="D22" s="4" t="n">
        <v>-124</v>
      </c>
      <c r="E22" s="4" t="n">
        <v>-288</v>
      </c>
      <c r="F22" s="4" t="n">
        <v>-271</v>
      </c>
      <c r="G22" s="4" t="n">
        <v>-242</v>
      </c>
      <c r="H22" s="4" t="n">
        <v>-342</v>
      </c>
      <c r="I22" s="4" t="n">
        <v>-365</v>
      </c>
      <c r="J22" s="4" t="n">
        <v>-200</v>
      </c>
      <c r="K22" s="4" t="n">
        <v>-307</v>
      </c>
      <c r="L22" s="4" t="n">
        <v>-354</v>
      </c>
      <c r="M22" s="4" t="n">
        <v>-223</v>
      </c>
      <c r="N22" s="4" t="n">
        <v>-406</v>
      </c>
    </row>
    <row r="23">
      <c r="A23" s="3" t="inlineStr">
        <is>
          <t>Accounts Payable</t>
        </is>
      </c>
      <c r="B23" s="4" t="n">
        <v>-1238</v>
      </c>
      <c r="C23" s="4" t="n">
        <v>-990</v>
      </c>
      <c r="D23" s="4" t="n">
        <v>426</v>
      </c>
      <c r="E23" s="4" t="n">
        <v>-2259</v>
      </c>
      <c r="F23" s="4" t="n">
        <v>-1960</v>
      </c>
      <c r="G23" s="4" t="n">
        <v>-859</v>
      </c>
      <c r="H23" s="4" t="n">
        <v>-3408</v>
      </c>
      <c r="I23" s="4" t="n">
        <v>-2968</v>
      </c>
      <c r="J23" s="4" t="n">
        <v>-2312</v>
      </c>
      <c r="K23" s="4" t="n">
        <v>-2671</v>
      </c>
      <c r="L23" s="4" t="n">
        <v>-2083</v>
      </c>
      <c r="M23" s="4" t="n">
        <v>-1647</v>
      </c>
      <c r="N23" s="4" t="n">
        <v>-1847</v>
      </c>
    </row>
    <row r="24">
      <c r="A24" s="3" t="inlineStr">
        <is>
          <t>Other Current Liabilities</t>
        </is>
      </c>
      <c r="B24" s="4" t="n">
        <v>489</v>
      </c>
      <c r="C24" s="4" t="n">
        <v>608</v>
      </c>
      <c r="D24" s="4" t="n">
        <v>718</v>
      </c>
      <c r="E24" s="4" t="n">
        <v>290</v>
      </c>
      <c r="F24" s="4" t="n">
        <v>100</v>
      </c>
      <c r="G24" s="4" t="n">
        <v>512</v>
      </c>
      <c r="H24" s="4" t="n">
        <v>222</v>
      </c>
      <c r="I24" s="4" t="n">
        <v>287</v>
      </c>
      <c r="J24" s="4" t="n">
        <v>426</v>
      </c>
      <c r="K24" s="4" t="n">
        <v>223</v>
      </c>
      <c r="L24" s="4" t="n">
        <v>415</v>
      </c>
      <c r="M24" s="4" t="n">
        <v>6</v>
      </c>
      <c r="N24" s="4" t="n">
        <v>131</v>
      </c>
    </row>
    <row r="25">
      <c r="A25" s="3" t="inlineStr">
        <is>
          <t>Other Operating Items</t>
        </is>
      </c>
      <c r="B25" s="4" t="n">
        <v>-133</v>
      </c>
      <c r="C25" s="4" t="n">
        <v>-325</v>
      </c>
      <c r="D25" s="4" t="n">
        <v>-426</v>
      </c>
      <c r="E25" s="4" t="n">
        <v>46</v>
      </c>
      <c r="F25" s="4" t="n">
        <v>-6</v>
      </c>
      <c r="G25" s="4" t="n">
        <v>72</v>
      </c>
      <c r="H25" s="4" t="n">
        <v>-68</v>
      </c>
      <c r="I25" s="4" t="n">
        <v>-203</v>
      </c>
      <c r="J25" s="4" t="n">
        <v>-135</v>
      </c>
      <c r="K25" s="4" t="n">
        <v>-232</v>
      </c>
      <c r="L25" s="4" t="n">
        <v>-269</v>
      </c>
      <c r="M25" s="4" t="n">
        <v>-441</v>
      </c>
      <c r="N25" s="4" t="n">
        <v>-157</v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6">
        <f>SUM(G2:G25)</f>
        <v/>
      </c>
      <c r="H26" s="6">
        <f>SUM(H2:H25)</f>
        <v/>
      </c>
      <c r="I26" s="6">
        <f>SUM(I2:I25)</f>
        <v/>
      </c>
      <c r="J26" s="6">
        <f>SUM(J2:J25)</f>
        <v/>
      </c>
      <c r="K26" s="6">
        <f>SUM(K2:K25)</f>
        <v/>
      </c>
      <c r="L26" s="6">
        <f>SUM(L2:L25)</f>
        <v/>
      </c>
      <c r="M26" s="6">
        <f>SUM(M2:M25)</f>
        <v/>
      </c>
      <c r="N26" s="6">
        <f>SUM(N2:N25)</f>
        <v/>
      </c>
    </row>
    <row r="27">
      <c r="A27" s="3" t="inlineStr">
        <is>
          <t>Purchase of PP&amp;E</t>
        </is>
      </c>
      <c r="B27" s="4" t="n">
        <v>-522</v>
      </c>
      <c r="C27" s="4" t="n">
        <v>-1499</v>
      </c>
      <c r="D27" s="4" t="n">
        <v>-2556</v>
      </c>
      <c r="E27" s="4" t="n">
        <v>-581</v>
      </c>
      <c r="F27" s="4" t="n">
        <v>-1513</v>
      </c>
      <c r="G27" s="4" t="n">
        <v>-2537</v>
      </c>
      <c r="H27" s="4" t="n">
        <v>-614</v>
      </c>
      <c r="I27" s="4" t="n">
        <v>-1701</v>
      </c>
      <c r="J27" s="4" t="n">
        <v>-2850</v>
      </c>
      <c r="K27" s="4" t="n">
        <v>-603</v>
      </c>
      <c r="L27" s="4" t="n">
        <v>-1507</v>
      </c>
      <c r="M27" s="4" t="n">
        <v>-2499</v>
      </c>
      <c r="N27" s="4" t="n">
        <v>-447</v>
      </c>
    </row>
    <row r="28">
      <c r="A28" s="3" t="inlineStr">
        <is>
          <t>Proceeds from Sale of Assets</t>
        </is>
      </c>
      <c r="B28" s="4" t="n">
        <v>3</v>
      </c>
      <c r="C28" s="4" t="n">
        <v>222</v>
      </c>
      <c r="D28" s="4" t="n">
        <v>228</v>
      </c>
      <c r="E28" s="4" t="n">
        <v>19</v>
      </c>
      <c r="F28" s="4" t="n">
        <v>122</v>
      </c>
      <c r="G28" s="4" t="n">
        <v>131</v>
      </c>
      <c r="H28" s="4" t="n">
        <v>7</v>
      </c>
      <c r="I28" s="4" t="n">
        <v>127</v>
      </c>
      <c r="J28" s="4" t="n">
        <v>177</v>
      </c>
      <c r="K28" s="4" t="n">
        <v>132</v>
      </c>
      <c r="L28" s="4" t="n">
        <v>169</v>
      </c>
      <c r="M28" s="4" t="n">
        <v>272</v>
      </c>
      <c r="N28" s="4" t="n">
        <v>13</v>
      </c>
    </row>
    <row r="29">
      <c r="A29" s="3" t="inlineStr">
        <is>
          <t>Acquisitions, Net of Cash Acquired</t>
        </is>
      </c>
      <c r="B29" s="4" t="n">
        <v>-13</v>
      </c>
      <c r="C29" s="4" t="n">
        <v>-29</v>
      </c>
      <c r="D29" s="4" t="n">
        <v>-804</v>
      </c>
      <c r="E29" s="4" t="n">
        <v>-16</v>
      </c>
      <c r="F29" s="4" t="n">
        <v>-83</v>
      </c>
      <c r="G29" s="4" t="n">
        <v>-132</v>
      </c>
      <c r="H29" s="4" t="n">
        <v>-6</v>
      </c>
      <c r="I29" s="4" t="n">
        <v>-30</v>
      </c>
      <c r="J29" s="4" t="n">
        <v>-31</v>
      </c>
      <c r="K29" s="4" t="n">
        <v>-1200</v>
      </c>
      <c r="L29" s="4" t="n">
        <v>-3130</v>
      </c>
      <c r="M29" s="4" t="n">
        <v>-3176</v>
      </c>
      <c r="N29" s="4" t="n">
        <v>-67</v>
      </c>
    </row>
    <row r="30">
      <c r="A30" s="3" t="inlineStr">
        <is>
          <t>Proceeds from Juice Transaction</t>
        </is>
      </c>
      <c r="B30" s="4" t="n">
        <v>3456</v>
      </c>
      <c r="C30" s="4" t="n">
        <v>3456</v>
      </c>
      <c r="D30" s="4" t="n">
        <v>3456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</row>
    <row r="31">
      <c r="A31" s="3" t="inlineStr">
        <is>
          <t>Proceeds from Divestitures of Businesses</t>
        </is>
      </c>
      <c r="B31" s="4" t="n">
        <v>5</v>
      </c>
      <c r="C31" s="4" t="n">
        <v>15</v>
      </c>
      <c r="D31" s="4" t="n">
        <v>15</v>
      </c>
      <c r="E31" s="4" t="n">
        <v>85</v>
      </c>
      <c r="F31" s="4" t="n">
        <v>75</v>
      </c>
      <c r="G31" s="4" t="n">
        <v>75</v>
      </c>
      <c r="H31" s="4" t="n">
        <v>53</v>
      </c>
      <c r="I31" s="4" t="n">
        <v>135</v>
      </c>
      <c r="J31" s="4" t="n">
        <v>145</v>
      </c>
      <c r="K31" s="4" t="n">
        <v>2</v>
      </c>
      <c r="L31" s="4" t="n">
        <v>5</v>
      </c>
      <c r="M31" s="4" t="n">
        <v>5</v>
      </c>
      <c r="N31" s="4" t="n">
        <v>0</v>
      </c>
    </row>
    <row r="32">
      <c r="A32" s="3" t="inlineStr">
        <is>
          <t>Net Change in Short-Term Investments</t>
        </is>
      </c>
      <c r="B32" s="4" t="n">
        <v>22</v>
      </c>
      <c r="C32" s="4" t="n">
        <v>8</v>
      </c>
      <c r="D32" s="4" t="n">
        <v>-37</v>
      </c>
      <c r="E32" s="4" t="n">
        <v>-39</v>
      </c>
      <c r="F32" s="4" t="n">
        <v>-56</v>
      </c>
      <c r="G32" s="4" t="n">
        <v>35</v>
      </c>
      <c r="H32" s="4" t="n">
        <v>8</v>
      </c>
      <c r="I32" s="4" t="n">
        <v>1</v>
      </c>
      <c r="J32" s="4" t="n">
        <v>-421</v>
      </c>
      <c r="K32" s="4" t="n">
        <v>441</v>
      </c>
      <c r="L32" s="4" t="n">
        <v>447</v>
      </c>
      <c r="M32" s="4" t="n">
        <v>278</v>
      </c>
      <c r="N32" s="4" t="n">
        <v>5</v>
      </c>
    </row>
    <row r="33">
      <c r="A33" s="3" t="inlineStr">
        <is>
          <t>Other Investing Activities</t>
        </is>
      </c>
      <c r="B33" s="4" t="n">
        <v>4</v>
      </c>
      <c r="C33" s="4" t="n">
        <v>-1</v>
      </c>
      <c r="D33" s="4" t="n">
        <v>7</v>
      </c>
      <c r="E33" s="4" t="n">
        <v>0</v>
      </c>
      <c r="F33" s="4" t="n">
        <v>32</v>
      </c>
      <c r="G33" s="4" t="n">
        <v>49</v>
      </c>
      <c r="H33" s="4" t="n">
        <v>-10</v>
      </c>
      <c r="I33" s="4" t="n">
        <v>14</v>
      </c>
      <c r="J33" s="4" t="n">
        <v>15</v>
      </c>
      <c r="K33" s="4" t="n">
        <v>-4</v>
      </c>
      <c r="L33" s="4" t="n">
        <v>-111</v>
      </c>
      <c r="M33" s="4" t="n">
        <v>-117</v>
      </c>
      <c r="N33" s="4" t="n">
        <v>19</v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6">
        <f>SUM(G27:G33)</f>
        <v/>
      </c>
      <c r="H34" s="6">
        <f>SUM(H27:H33)</f>
        <v/>
      </c>
      <c r="I34" s="6">
        <f>SUM(I27:I33)</f>
        <v/>
      </c>
      <c r="J34" s="6">
        <f>SUM(J27:J33)</f>
        <v/>
      </c>
      <c r="K34" s="6">
        <f>SUM(K27:K33)</f>
        <v/>
      </c>
      <c r="L34" s="6">
        <f>SUM(L27:L33)</f>
        <v/>
      </c>
      <c r="M34" s="6">
        <f>SUM(M27:M33)</f>
        <v/>
      </c>
      <c r="N34" s="6">
        <f>SUM(N27:N33)</f>
        <v/>
      </c>
    </row>
    <row r="35">
      <c r="A35" s="3" t="inlineStr">
        <is>
          <t>Proceeds from Issuance of Long-Term Debt</t>
        </is>
      </c>
      <c r="B35" s="4" t="n">
        <v>0</v>
      </c>
      <c r="C35" s="4" t="n">
        <v>0</v>
      </c>
      <c r="D35" s="4" t="n">
        <v>3377</v>
      </c>
      <c r="E35" s="4" t="n">
        <v>2986</v>
      </c>
      <c r="F35" s="4" t="n">
        <v>2986</v>
      </c>
      <c r="G35" s="4" t="n">
        <v>2986</v>
      </c>
      <c r="H35" s="4" t="n">
        <v>1761</v>
      </c>
      <c r="I35" s="4" t="n">
        <v>1765</v>
      </c>
      <c r="J35" s="4" t="n">
        <v>4014</v>
      </c>
      <c r="K35" s="4" t="n">
        <v>3505</v>
      </c>
      <c r="L35" s="4" t="n">
        <v>3521</v>
      </c>
      <c r="M35" s="4" t="n">
        <v>8179</v>
      </c>
      <c r="N35" s="4" t="n">
        <v>2964</v>
      </c>
    </row>
    <row r="36">
      <c r="A36" s="3" t="inlineStr">
        <is>
          <t>Repayments of Long-Term Debt</t>
        </is>
      </c>
      <c r="B36" s="4" t="n">
        <v>-1251</v>
      </c>
      <c r="C36" s="4" t="n">
        <v>-3202</v>
      </c>
      <c r="D36" s="4" t="n">
        <v>-3203</v>
      </c>
      <c r="E36" s="4" t="n">
        <v>-1251</v>
      </c>
      <c r="F36" s="4" t="n">
        <v>-2252</v>
      </c>
      <c r="G36" s="4" t="n">
        <v>-2253</v>
      </c>
      <c r="H36" s="4" t="n">
        <v>-1252</v>
      </c>
      <c r="I36" s="4" t="n">
        <v>-2882</v>
      </c>
      <c r="J36" s="4" t="n">
        <v>-2883</v>
      </c>
      <c r="K36" s="4" t="n">
        <v>-1541</v>
      </c>
      <c r="L36" s="4" t="n">
        <v>-2543</v>
      </c>
      <c r="M36" s="4" t="n">
        <v>-3245</v>
      </c>
      <c r="N36" s="4" t="n">
        <v>-1629</v>
      </c>
    </row>
    <row r="37">
      <c r="A37" s="3" t="inlineStr">
        <is>
          <t>Proceeds from Short-Term Debt</t>
        </is>
      </c>
      <c r="B37" s="4" t="n">
        <v>559</v>
      </c>
      <c r="C37" s="4" t="n">
        <v>1935</v>
      </c>
      <c r="D37" s="4" t="n">
        <v>1947</v>
      </c>
      <c r="E37" s="4" t="n">
        <v>393</v>
      </c>
      <c r="F37" s="4" t="n">
        <v>1660</v>
      </c>
      <c r="G37" s="4" t="n">
        <v>4688</v>
      </c>
      <c r="H37" s="4" t="n">
        <v>2313</v>
      </c>
      <c r="I37" s="4" t="n">
        <v>3080</v>
      </c>
      <c r="J37" s="4" t="n">
        <v>3808</v>
      </c>
      <c r="K37" s="4" t="n">
        <v>3656</v>
      </c>
      <c r="L37" s="4" t="n">
        <v>5251</v>
      </c>
      <c r="M37" s="4" t="n">
        <v>5528</v>
      </c>
      <c r="N37" s="4" t="n">
        <v>1937</v>
      </c>
    </row>
    <row r="38">
      <c r="A38" s="3" t="inlineStr">
        <is>
          <t>Repayments of Short-Term Debt</t>
        </is>
      </c>
      <c r="B38" s="4" t="n">
        <v>0</v>
      </c>
      <c r="C38" s="4" t="n">
        <v>0</v>
      </c>
      <c r="D38" s="4" t="n">
        <v>-1932</v>
      </c>
      <c r="E38" s="4" t="n">
        <v>-1</v>
      </c>
      <c r="F38" s="4" t="n">
        <v>-26</v>
      </c>
      <c r="G38" s="4" t="n">
        <v>-1037</v>
      </c>
      <c r="H38" s="4" t="n">
        <v>-1631</v>
      </c>
      <c r="I38" s="4" t="n">
        <v>-2138</v>
      </c>
      <c r="J38" s="4" t="n">
        <v>-4177</v>
      </c>
      <c r="K38" s="4" t="n">
        <v>-2119</v>
      </c>
      <c r="L38" s="4" t="n">
        <v>-2492</v>
      </c>
      <c r="M38" s="4" t="n">
        <v>-5417</v>
      </c>
      <c r="N38" s="4" t="n">
        <v>-676</v>
      </c>
    </row>
    <row r="39">
      <c r="A39" s="3" t="inlineStr">
        <is>
          <t>Net Change in Other Short-Term Debt</t>
        </is>
      </c>
      <c r="B39" s="4" t="n">
        <v>647</v>
      </c>
      <c r="C39" s="4" t="n">
        <v>844</v>
      </c>
      <c r="D39" s="4" t="n">
        <v>-45</v>
      </c>
      <c r="E39" s="4" t="n">
        <v>491</v>
      </c>
      <c r="F39" s="4" t="n">
        <v>2023</v>
      </c>
      <c r="G39" s="4" t="n">
        <v>1395</v>
      </c>
      <c r="H39" s="4" t="n">
        <v>774</v>
      </c>
      <c r="I39" s="4" t="n">
        <v>1286</v>
      </c>
      <c r="J39" s="4" t="n">
        <v>101</v>
      </c>
      <c r="K39" s="4" t="n">
        <v>373</v>
      </c>
      <c r="L39" s="4" t="n">
        <v>2438</v>
      </c>
      <c r="M39" s="4" t="n">
        <v>445</v>
      </c>
      <c r="N39" s="4" t="n">
        <v>1198</v>
      </c>
    </row>
    <row r="40">
      <c r="A40" s="3" t="inlineStr">
        <is>
          <t>Payments of Contingent Consideration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</row>
    <row r="41">
      <c r="A41" s="3" t="inlineStr">
        <is>
          <t>Common Dividends</t>
        </is>
      </c>
      <c r="B41" s="4" t="n">
        <v>-1505</v>
      </c>
      <c r="C41" s="4" t="n">
        <v>-2997</v>
      </c>
      <c r="D41" s="4" t="n">
        <v>-4586</v>
      </c>
      <c r="E41" s="4" t="n">
        <v>-1608</v>
      </c>
      <c r="F41" s="4" t="n">
        <v>-3199</v>
      </c>
      <c r="G41" s="4" t="n">
        <v>-4941</v>
      </c>
      <c r="H41" s="4" t="n">
        <v>-1767</v>
      </c>
      <c r="I41" s="4" t="n">
        <v>-3506</v>
      </c>
      <c r="J41" s="4" t="n">
        <v>-5369</v>
      </c>
      <c r="K41" s="4" t="n">
        <v>-1882</v>
      </c>
      <c r="L41" s="4" t="n">
        <v>-3743</v>
      </c>
      <c r="M41" s="4" t="n">
        <v>-5692</v>
      </c>
      <c r="N41" s="4" t="n">
        <v>-1966</v>
      </c>
    </row>
    <row r="42">
      <c r="A42" s="3" t="inlineStr">
        <is>
          <t>Share Repurchases</t>
        </is>
      </c>
      <c r="B42" s="4" t="n">
        <v>-193</v>
      </c>
      <c r="C42" s="4" t="n">
        <v>-699</v>
      </c>
      <c r="D42" s="4" t="n">
        <v>-1156</v>
      </c>
      <c r="E42" s="4" t="n">
        <v>-160</v>
      </c>
      <c r="F42" s="4" t="n">
        <v>-453</v>
      </c>
      <c r="G42" s="4" t="n">
        <v>-751</v>
      </c>
      <c r="H42" s="4" t="n">
        <v>-146</v>
      </c>
      <c r="I42" s="4" t="n">
        <v>-461</v>
      </c>
      <c r="J42" s="4" t="n">
        <v>-760</v>
      </c>
      <c r="K42" s="4" t="n">
        <v>-183</v>
      </c>
      <c r="L42" s="4" t="n">
        <v>-494</v>
      </c>
      <c r="M42" s="4" t="n">
        <v>-752</v>
      </c>
      <c r="N42" s="4" t="n">
        <v>-182</v>
      </c>
    </row>
    <row r="43">
      <c r="A43" s="3" t="inlineStr">
        <is>
          <t>Proceeds from Exercise of Stock Options</t>
        </is>
      </c>
      <c r="B43" s="4" t="n">
        <v>49</v>
      </c>
      <c r="C43" s="4" t="n">
        <v>89</v>
      </c>
      <c r="D43" s="4" t="n">
        <v>113</v>
      </c>
      <c r="E43" s="4" t="n">
        <v>46</v>
      </c>
      <c r="F43" s="4" t="n">
        <v>86</v>
      </c>
      <c r="G43" s="4" t="n">
        <v>100</v>
      </c>
      <c r="H43" s="4" t="n">
        <v>66</v>
      </c>
      <c r="I43" s="4" t="n">
        <v>107</v>
      </c>
      <c r="J43" s="4" t="n">
        <v>138</v>
      </c>
      <c r="K43" s="4" t="n">
        <v>50</v>
      </c>
      <c r="L43" s="4" t="n">
        <v>58</v>
      </c>
      <c r="M43" s="4" t="n">
        <v>76</v>
      </c>
      <c r="N43" s="4" t="n">
        <v>93</v>
      </c>
    </row>
    <row r="44">
      <c r="A44" s="3" t="inlineStr">
        <is>
          <t>Tax Withholdings on RSU/PSU Settlement</t>
        </is>
      </c>
      <c r="B44" s="4" t="n">
        <v>-85</v>
      </c>
      <c r="C44" s="4" t="n">
        <v>-87</v>
      </c>
      <c r="D44" s="4" t="n">
        <v>-97</v>
      </c>
      <c r="E44" s="4" t="n">
        <v>-116</v>
      </c>
      <c r="F44" s="4" t="n">
        <v>-119</v>
      </c>
      <c r="G44" s="4" t="n">
        <v>-135</v>
      </c>
      <c r="H44" s="4" t="n">
        <v>-108</v>
      </c>
      <c r="I44" s="4" t="n">
        <v>-131</v>
      </c>
      <c r="J44" s="4" t="n">
        <v>-132</v>
      </c>
      <c r="K44" s="4" t="n">
        <v>-89</v>
      </c>
      <c r="L44" s="4" t="n">
        <v>-111</v>
      </c>
      <c r="M44" s="4" t="n">
        <v>-112</v>
      </c>
      <c r="N44" s="4" t="n">
        <v>-76</v>
      </c>
    </row>
    <row r="45">
      <c r="A45" s="3" t="inlineStr">
        <is>
          <t>Other Financing Activities</t>
        </is>
      </c>
      <c r="B45" s="4" t="n">
        <v>-1</v>
      </c>
      <c r="C45" s="4" t="n">
        <v>-15</v>
      </c>
      <c r="D45" s="4" t="n">
        <v>-25</v>
      </c>
      <c r="E45" s="4" t="n">
        <v>-3</v>
      </c>
      <c r="F45" s="4" t="n">
        <v>-16</v>
      </c>
      <c r="G45" s="4" t="n">
        <v>-18</v>
      </c>
      <c r="H45" s="4" t="n">
        <v>0</v>
      </c>
      <c r="I45" s="4" t="n">
        <v>-20</v>
      </c>
      <c r="J45" s="4" t="n">
        <v>-22</v>
      </c>
      <c r="K45" s="4" t="n">
        <v>-2</v>
      </c>
      <c r="L45" s="4" t="n">
        <v>-17</v>
      </c>
      <c r="M45" s="4" t="n">
        <v>-18</v>
      </c>
      <c r="N45" s="4" t="n">
        <v>-1</v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6">
        <f>SUM(G35:G45)</f>
        <v/>
      </c>
      <c r="H46" s="6">
        <f>SUM(H35:H45)</f>
        <v/>
      </c>
      <c r="I46" s="6">
        <f>SUM(I35:I45)</f>
        <v/>
      </c>
      <c r="J46" s="6">
        <f>SUM(J35:J45)</f>
        <v/>
      </c>
      <c r="K46" s="6">
        <f>SUM(K35:K45)</f>
        <v/>
      </c>
      <c r="L46" s="6">
        <f>SUM(L35:L45)</f>
        <v/>
      </c>
      <c r="M46" s="6">
        <f>SUM(M35:M45)</f>
        <v/>
      </c>
      <c r="N46" s="6">
        <f>SUM(N35:N45)</f>
        <v/>
      </c>
    </row>
    <row r="47">
      <c r="A47" s="3" t="inlineStr">
        <is>
          <t>FX Effect on Cash</t>
        </is>
      </c>
      <c r="B47" s="4" t="n">
        <v>-17</v>
      </c>
      <c r="C47" s="4" t="n">
        <v>-83</v>
      </c>
      <c r="D47" s="4" t="n">
        <v>-197</v>
      </c>
      <c r="E47" s="4" t="n">
        <v>-116</v>
      </c>
      <c r="F47" s="4" t="n">
        <v>-144</v>
      </c>
      <c r="G47" s="4" t="n">
        <v>-254</v>
      </c>
      <c r="H47" s="4" t="n">
        <v>-38</v>
      </c>
      <c r="I47" s="4" t="n">
        <v>-304</v>
      </c>
      <c r="J47" s="4" t="n">
        <v>-391</v>
      </c>
      <c r="K47" s="4" t="n">
        <v>203</v>
      </c>
      <c r="L47" s="4" t="n">
        <v>422</v>
      </c>
      <c r="M47" s="4" t="n">
        <v>395</v>
      </c>
      <c r="N47" s="4" t="n">
        <v>121</v>
      </c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6">
        <f>G26+G34+G46+G47</f>
        <v/>
      </c>
      <c r="H48" s="6">
        <f>H26+H34+H46+H47</f>
        <v/>
      </c>
      <c r="I48" s="6">
        <f>I26+I34+I46+I47</f>
        <v/>
      </c>
      <c r="J48" s="6">
        <f>J26+J34+J46+J47</f>
        <v/>
      </c>
      <c r="K48" s="6">
        <f>K26+K34+K46+K47</f>
        <v/>
      </c>
      <c r="L48" s="6">
        <f>L26+L34+L46+L47</f>
        <v/>
      </c>
      <c r="M48" s="6">
        <f>M26+M34+M46+M47</f>
        <v/>
      </c>
      <c r="N48" s="6">
        <f>N26+N34+N46+N47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</row>
    <row r="6">
      <c r="A6" s="3" t="inlineStr">
        <is>
          <t>Gain on Juice Transaction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</row>
    <row r="7">
      <c r="A7" s="3" t="inlineStr">
        <is>
          <t>Impairment of Intangibles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</row>
    <row r="8">
      <c r="A8" s="3" t="inlineStr">
        <is>
          <t>Income (Loss) from Operations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</row>
    <row r="9">
      <c r="A9" s="3" t="inlineStr">
        <is>
          <t>Other Pension and OPEB Benefits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</row>
    <row r="10">
      <c r="A10" s="3" t="inlineStr">
        <is>
          <t>Interest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</row>
    <row r="14">
      <c r="A14" s="3" t="inlineStr">
        <is>
          <t>Net Income (Loss) Attributable to Noncontrolling Interest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4">
        <f>'YTD P&amp;L'!N14</f>
        <v/>
      </c>
    </row>
    <row r="15">
      <c r="A15" s="3" t="inlineStr">
        <is>
          <t>Net Income (Loss) Less NCI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</row>
    <row r="16">
      <c r="A16" s="3" t="inlineStr">
        <is>
          <t>Basic Earnings (Loss) per Share</t>
        </is>
      </c>
    </row>
    <row r="17">
      <c r="A17" s="3" t="inlineStr">
        <is>
          <t>Diluted Earnings (Loss) per Share</t>
        </is>
      </c>
    </row>
    <row r="18">
      <c r="A18" s="3" t="inlineStr">
        <is>
          <t>Weighted Average Shares Outstanding (Basic)</t>
        </is>
      </c>
    </row>
    <row r="19">
      <c r="A19" s="3" t="inlineStr">
        <is>
          <t>Weighted Average Shares Outstanding (Diluted)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</row>
    <row r="5">
      <c r="A5" s="3" t="inlineStr">
        <is>
          <t>Raw Materials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</row>
    <row r="6">
      <c r="A6" s="3" t="inlineStr">
        <is>
          <t>Work in Process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</row>
    <row r="7">
      <c r="A7" s="3" t="inlineStr">
        <is>
          <t>Finished Goods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  <c r="O7" s="4">
        <f>'YTD BS'!O7</f>
        <v/>
      </c>
    </row>
    <row r="8">
      <c r="A8" s="3" t="inlineStr">
        <is>
          <t>Inventories</t>
        </is>
      </c>
      <c r="B8" s="6">
        <f>'BALANCE SHEET'!B8</f>
        <v/>
      </c>
      <c r="C8" s="6">
        <f>'YTD BS'!C8</f>
        <v/>
      </c>
      <c r="D8" s="6">
        <f>'YTD BS'!D8</f>
        <v/>
      </c>
      <c r="E8" s="6">
        <f>'YTD BS'!E8</f>
        <v/>
      </c>
      <c r="F8" s="6">
        <f>'BALANCE SHEET'!C8</f>
        <v/>
      </c>
      <c r="G8" s="6">
        <f>'YTD BS'!G8</f>
        <v/>
      </c>
      <c r="H8" s="6">
        <f>'YTD BS'!H8</f>
        <v/>
      </c>
      <c r="I8" s="6">
        <f>'YTD BS'!I8</f>
        <v/>
      </c>
      <c r="J8" s="6">
        <f>'BALANCE SHEET'!D8</f>
        <v/>
      </c>
      <c r="K8" s="6">
        <f>'YTD BS'!K8</f>
        <v/>
      </c>
      <c r="L8" s="6">
        <f>'YTD BS'!L8</f>
        <v/>
      </c>
      <c r="M8" s="6">
        <f>'YTD BS'!M8</f>
        <v/>
      </c>
      <c r="N8" s="6">
        <f>'BALANCE SHEET'!E8</f>
        <v/>
      </c>
      <c r="O8" s="6">
        <f>'YTD BS'!O8</f>
        <v/>
      </c>
    </row>
    <row r="9">
      <c r="A9" s="3" t="inlineStr">
        <is>
          <t>Prepaid Expenses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</row>
    <row r="10">
      <c r="A10" s="3" t="inlineStr">
        <is>
          <t>Total Current Assets</t>
        </is>
      </c>
      <c r="B10" s="6">
        <f>'BALANCE SHEET'!B10</f>
        <v/>
      </c>
      <c r="C10" s="6">
        <f>'YTD BS'!C10</f>
        <v/>
      </c>
      <c r="D10" s="6">
        <f>'YTD BS'!D10</f>
        <v/>
      </c>
      <c r="E10" s="6">
        <f>'YTD BS'!E10</f>
        <v/>
      </c>
      <c r="F10" s="6">
        <f>'BALANCE SHEET'!C10</f>
        <v/>
      </c>
      <c r="G10" s="6">
        <f>'YTD BS'!G10</f>
        <v/>
      </c>
      <c r="H10" s="6">
        <f>'YTD BS'!H10</f>
        <v/>
      </c>
      <c r="I10" s="6">
        <f>'YTD BS'!I10</f>
        <v/>
      </c>
      <c r="J10" s="6">
        <f>'BALANCE SHEET'!D10</f>
        <v/>
      </c>
      <c r="K10" s="6">
        <f>'YTD BS'!K10</f>
        <v/>
      </c>
      <c r="L10" s="6">
        <f>'YTD BS'!L10</f>
        <v/>
      </c>
      <c r="M10" s="6">
        <f>'YTD BS'!M10</f>
        <v/>
      </c>
      <c r="N10" s="6">
        <f>'BALANCE SHEET'!E10</f>
        <v/>
      </c>
      <c r="O10" s="6">
        <f>'YTD BS'!O10</f>
        <v/>
      </c>
    </row>
    <row r="11">
      <c r="A11" s="3" t="inlineStr">
        <is>
          <t>Net PP&amp;E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</row>
    <row r="12">
      <c r="A12" s="3" t="inlineStr">
        <is>
          <t>Intangible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</row>
    <row r="13">
      <c r="A13" s="3" t="inlineStr">
        <is>
          <t>Goodwill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</row>
    <row r="14">
      <c r="A14" s="3" t="inlineStr">
        <is>
          <t>Equity Method Investments</t>
        </is>
      </c>
      <c r="B14" s="4">
        <f>'BALANCE SHEET'!B14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SHEET'!C14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SHEET'!D14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SHEET'!E14</f>
        <v/>
      </c>
      <c r="O14" s="4">
        <f>'YTD BS'!O14</f>
        <v/>
      </c>
    </row>
    <row r="15">
      <c r="A15" s="3" t="inlineStr">
        <is>
          <t>Deferred Tax Assets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</row>
    <row r="16">
      <c r="A16" s="3" t="inlineStr">
        <is>
          <t>Other Non-Current Assets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</row>
    <row r="17">
      <c r="A17" s="3" t="inlineStr">
        <is>
          <t>Total Assets</t>
        </is>
      </c>
      <c r="B17" s="6">
        <f>'BALANCE SHEET'!B17</f>
        <v/>
      </c>
      <c r="C17" s="6">
        <f>'YTD BS'!C17</f>
        <v/>
      </c>
      <c r="D17" s="6">
        <f>'YTD BS'!D17</f>
        <v/>
      </c>
      <c r="E17" s="6">
        <f>'YTD BS'!E17</f>
        <v/>
      </c>
      <c r="F17" s="6">
        <f>'BALANCE SHEET'!C17</f>
        <v/>
      </c>
      <c r="G17" s="6">
        <f>'YTD BS'!G17</f>
        <v/>
      </c>
      <c r="H17" s="6">
        <f>'YTD BS'!H17</f>
        <v/>
      </c>
      <c r="I17" s="6">
        <f>'YTD BS'!I17</f>
        <v/>
      </c>
      <c r="J17" s="6">
        <f>'BALANCE SHEET'!D17</f>
        <v/>
      </c>
      <c r="K17" s="6">
        <f>'YTD BS'!K17</f>
        <v/>
      </c>
      <c r="L17" s="6">
        <f>'YTD BS'!L17</f>
        <v/>
      </c>
      <c r="M17" s="6">
        <f>'YTD BS'!M17</f>
        <v/>
      </c>
      <c r="N17" s="6">
        <f>'BALANCE SHEET'!E17</f>
        <v/>
      </c>
      <c r="O17" s="6">
        <f>'YTD BS'!O17</f>
        <v/>
      </c>
    </row>
    <row r="18">
      <c r="A18" s="3" t="inlineStr">
        <is>
          <t>Short-Term Debt Obligations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</row>
    <row r="19">
      <c r="A19" s="3" t="inlineStr">
        <is>
          <t>Accrued Expenses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</row>
    <row r="20">
      <c r="A20" s="3" t="inlineStr">
        <is>
          <t>Total Current Liabilities</t>
        </is>
      </c>
      <c r="B20" s="6">
        <f>'BALANCE SHEET'!B20</f>
        <v/>
      </c>
      <c r="C20" s="6">
        <f>'YTD BS'!C20</f>
        <v/>
      </c>
      <c r="D20" s="6">
        <f>'YTD BS'!D20</f>
        <v/>
      </c>
      <c r="E20" s="6">
        <f>'YTD BS'!E20</f>
        <v/>
      </c>
      <c r="F20" s="6">
        <f>'BALANCE SHEET'!C20</f>
        <v/>
      </c>
      <c r="G20" s="6">
        <f>'YTD BS'!G20</f>
        <v/>
      </c>
      <c r="H20" s="6">
        <f>'YTD BS'!H20</f>
        <v/>
      </c>
      <c r="I20" s="6">
        <f>'YTD BS'!I20</f>
        <v/>
      </c>
      <c r="J20" s="6">
        <f>'BALANCE SHEET'!D20</f>
        <v/>
      </c>
      <c r="K20" s="6">
        <f>'YTD BS'!K20</f>
        <v/>
      </c>
      <c r="L20" s="6">
        <f>'YTD BS'!L20</f>
        <v/>
      </c>
      <c r="M20" s="6">
        <f>'YTD BS'!M20</f>
        <v/>
      </c>
      <c r="N20" s="6">
        <f>'BALANCE SHEET'!E20</f>
        <v/>
      </c>
      <c r="O20" s="6">
        <f>'YTD BS'!O20</f>
        <v/>
      </c>
    </row>
    <row r="21">
      <c r="A21" s="3" t="inlineStr">
        <is>
          <t>Long-Term Debt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  <c r="O21" s="4">
        <f>'YTD BS'!O21</f>
        <v/>
      </c>
    </row>
    <row r="22">
      <c r="A22" s="3" t="inlineStr">
        <is>
          <t>Deferred Tax Liability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</row>
    <row r="23">
      <c r="A23" s="3" t="inlineStr">
        <is>
          <t>Other Non-Current Liabilities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</row>
    <row r="24">
      <c r="A24" s="3" t="inlineStr">
        <is>
          <t>Total Liabilities</t>
        </is>
      </c>
      <c r="B24" s="6">
        <f>'BALANCE SHEET'!B24</f>
        <v/>
      </c>
      <c r="C24" s="6">
        <f>'YTD BS'!C24</f>
        <v/>
      </c>
      <c r="D24" s="6">
        <f>'YTD BS'!D24</f>
        <v/>
      </c>
      <c r="E24" s="6">
        <f>'YTD BS'!E24</f>
        <v/>
      </c>
      <c r="F24" s="6">
        <f>'BALANCE SHEET'!C24</f>
        <v/>
      </c>
      <c r="G24" s="6">
        <f>'YTD BS'!G24</f>
        <v/>
      </c>
      <c r="H24" s="6">
        <f>'YTD BS'!H24</f>
        <v/>
      </c>
      <c r="I24" s="6">
        <f>'YTD BS'!I24</f>
        <v/>
      </c>
      <c r="J24" s="6">
        <f>'BALANCE SHEET'!D24</f>
        <v/>
      </c>
      <c r="K24" s="6">
        <f>'YTD BS'!K24</f>
        <v/>
      </c>
      <c r="L24" s="6">
        <f>'YTD BS'!L24</f>
        <v/>
      </c>
      <c r="M24" s="6">
        <f>'YTD BS'!M24</f>
        <v/>
      </c>
      <c r="N24" s="6">
        <f>'BALANCE SHEET'!E24</f>
        <v/>
      </c>
      <c r="O24" s="6">
        <f>'YTD BS'!O24</f>
        <v/>
      </c>
    </row>
    <row r="25">
      <c r="A25" s="3" t="inlineStr">
        <is>
          <t>Common Stock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</row>
    <row r="26">
      <c r="A26" s="3" t="inlineStr">
        <is>
          <t>Additional Paid-in Capital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</row>
    <row r="27">
      <c r="A27" s="3" t="inlineStr">
        <is>
          <t>Retained Earnings (Accumulated Deficit)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</row>
    <row r="28">
      <c r="A28" s="3" t="inlineStr">
        <is>
          <t>Accumulated Other Comprehensive Income (Loss)</t>
        </is>
      </c>
      <c r="B28" s="4">
        <f>'BALANCE SHEET'!B28</f>
        <v/>
      </c>
      <c r="C28" s="4">
        <f>'YTD BS'!C28</f>
        <v/>
      </c>
      <c r="D28" s="4">
        <f>'YTD BS'!D28</f>
        <v/>
      </c>
      <c r="E28" s="4">
        <f>'YTD BS'!E28</f>
        <v/>
      </c>
      <c r="F28" s="4">
        <f>'BALANCE SHEET'!C28</f>
        <v/>
      </c>
      <c r="G28" s="4">
        <f>'YTD BS'!G28</f>
        <v/>
      </c>
      <c r="H28" s="4">
        <f>'YTD BS'!H28</f>
        <v/>
      </c>
      <c r="I28" s="4">
        <f>'YTD BS'!I28</f>
        <v/>
      </c>
      <c r="J28" s="4">
        <f>'BALANCE SHEET'!D28</f>
        <v/>
      </c>
      <c r="K28" s="4">
        <f>'YTD BS'!K28</f>
        <v/>
      </c>
      <c r="L28" s="4">
        <f>'YTD BS'!L28</f>
        <v/>
      </c>
      <c r="M28" s="4">
        <f>'YTD BS'!M28</f>
        <v/>
      </c>
      <c r="N28" s="4">
        <f>'BALANCE SHEET'!E28</f>
        <v/>
      </c>
      <c r="O28" s="4">
        <f>'YTD BS'!O28</f>
        <v/>
      </c>
    </row>
    <row r="29">
      <c r="A29" s="3" t="inlineStr">
        <is>
          <t>Treasury Stock</t>
        </is>
      </c>
      <c r="B29" s="4">
        <f>'BALANCE SHEET'!B29</f>
        <v/>
      </c>
      <c r="C29" s="4">
        <f>'YTD BS'!C29</f>
        <v/>
      </c>
      <c r="D29" s="4">
        <f>'YTD BS'!D29</f>
        <v/>
      </c>
      <c r="E29" s="4">
        <f>'YTD BS'!E29</f>
        <v/>
      </c>
      <c r="F29" s="4">
        <f>'BALANCE SHEET'!C29</f>
        <v/>
      </c>
      <c r="G29" s="4">
        <f>'YTD BS'!G29</f>
        <v/>
      </c>
      <c r="H29" s="4">
        <f>'YTD BS'!H29</f>
        <v/>
      </c>
      <c r="I29" s="4">
        <f>'YTD BS'!I29</f>
        <v/>
      </c>
      <c r="J29" s="4">
        <f>'BALANCE SHEET'!D29</f>
        <v/>
      </c>
      <c r="K29" s="4">
        <f>'YTD BS'!K29</f>
        <v/>
      </c>
      <c r="L29" s="4">
        <f>'YTD BS'!L29</f>
        <v/>
      </c>
      <c r="M29" s="4">
        <f>'YTD BS'!M29</f>
        <v/>
      </c>
      <c r="N29" s="4">
        <f>'BALANCE SHEET'!E29</f>
        <v/>
      </c>
      <c r="O29" s="4">
        <f>'YTD BS'!O29</f>
        <v/>
      </c>
    </row>
    <row r="30">
      <c r="A30" s="3" t="inlineStr">
        <is>
          <t>Noncontrolling Interest</t>
        </is>
      </c>
      <c r="B30" s="4">
        <f>'BALANCE SHEET'!B30</f>
        <v/>
      </c>
      <c r="C30" s="4">
        <f>'YTD BS'!C30</f>
        <v/>
      </c>
      <c r="D30" s="4">
        <f>'YTD BS'!D30</f>
        <v/>
      </c>
      <c r="E30" s="4">
        <f>'YTD BS'!E30</f>
        <v/>
      </c>
      <c r="F30" s="4">
        <f>'BALANCE SHEET'!C30</f>
        <v/>
      </c>
      <c r="G30" s="4">
        <f>'YTD BS'!G30</f>
        <v/>
      </c>
      <c r="H30" s="4">
        <f>'YTD BS'!H30</f>
        <v/>
      </c>
      <c r="I30" s="4">
        <f>'YTD BS'!I30</f>
        <v/>
      </c>
      <c r="J30" s="4">
        <f>'BALANCE SHEET'!D30</f>
        <v/>
      </c>
      <c r="K30" s="4">
        <f>'YTD BS'!K30</f>
        <v/>
      </c>
      <c r="L30" s="4">
        <f>'YTD BS'!L30</f>
        <v/>
      </c>
      <c r="M30" s="4">
        <f>'YTD BS'!M30</f>
        <v/>
      </c>
      <c r="N30" s="4">
        <f>'BALANCE SHEET'!E30</f>
        <v/>
      </c>
      <c r="O30" s="4">
        <f>'YTD BS'!O30</f>
        <v/>
      </c>
    </row>
    <row r="31">
      <c r="A31" s="3" t="inlineStr">
        <is>
          <t>Total Stockholders' Equity</t>
        </is>
      </c>
      <c r="B31" s="6">
        <f>'BALANCE SHEET'!B31</f>
        <v/>
      </c>
      <c r="C31" s="6">
        <f>'YTD BS'!C31</f>
        <v/>
      </c>
      <c r="D31" s="6">
        <f>'YTD BS'!D31</f>
        <v/>
      </c>
      <c r="E31" s="6">
        <f>'YTD BS'!E31</f>
        <v/>
      </c>
      <c r="F31" s="6">
        <f>'BALANCE SHEET'!C31</f>
        <v/>
      </c>
      <c r="G31" s="6">
        <f>'YTD BS'!G31</f>
        <v/>
      </c>
      <c r="H31" s="6">
        <f>'YTD BS'!H31</f>
        <v/>
      </c>
      <c r="I31" s="6">
        <f>'YTD BS'!I31</f>
        <v/>
      </c>
      <c r="J31" s="6">
        <f>'BALANCE SHEET'!D31</f>
        <v/>
      </c>
      <c r="K31" s="6">
        <f>'YTD BS'!K31</f>
        <v/>
      </c>
      <c r="L31" s="6">
        <f>'YTD BS'!L31</f>
        <v/>
      </c>
      <c r="M31" s="6">
        <f>'YTD BS'!M31</f>
        <v/>
      </c>
      <c r="N31" s="6">
        <f>'BALANCE SHEET'!E31</f>
        <v/>
      </c>
      <c r="O31" s="6">
        <f>'YTD BS'!O31</f>
        <v/>
      </c>
    </row>
    <row r="32">
      <c r="A32" s="3" t="inlineStr">
        <is>
          <t>Total Liabilities, Mezzanine &amp; Stockholders' Equity</t>
        </is>
      </c>
      <c r="B32" s="6">
        <f>'BALANCE SHEET'!B32</f>
        <v/>
      </c>
      <c r="C32" s="6">
        <f>'YTD BS'!C32</f>
        <v/>
      </c>
      <c r="D32" s="6">
        <f>'YTD BS'!D32</f>
        <v/>
      </c>
      <c r="E32" s="6">
        <f>'YTD BS'!E32</f>
        <v/>
      </c>
      <c r="F32" s="6">
        <f>'BALANCE SHEET'!C32</f>
        <v/>
      </c>
      <c r="G32" s="6">
        <f>'YTD BS'!G32</f>
        <v/>
      </c>
      <c r="H32" s="6">
        <f>'YTD BS'!H32</f>
        <v/>
      </c>
      <c r="I32" s="6">
        <f>'YTD BS'!I32</f>
        <v/>
      </c>
      <c r="J32" s="6">
        <f>'BALANCE SHEET'!D32</f>
        <v/>
      </c>
      <c r="K32" s="6">
        <f>'YTD BS'!K32</f>
        <v/>
      </c>
      <c r="L32" s="6">
        <f>'YTD BS'!L32</f>
        <v/>
      </c>
      <c r="M32" s="6">
        <f>'YTD BS'!M32</f>
        <v/>
      </c>
      <c r="N32" s="6">
        <f>'BALANCE SHEET'!E32</f>
        <v/>
      </c>
      <c r="O32" s="6">
        <f>'YTD BS'!O32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</row>
    <row r="4">
      <c r="A4" s="3" t="inlineStr">
        <is>
          <t>Gain on Juice Transaction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</row>
    <row r="5">
      <c r="A5" s="3" t="inlineStr">
        <is>
          <t>Impairment and Other Charges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</row>
    <row r="6">
      <c r="A6" s="3" t="inlineStr">
        <is>
          <t>Indirect Tax Impact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FLOW'!C6-'YTD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FLOW'!D6-'YTD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FLOW'!E6-'YTD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FLOW'!F6-'YTD CF'!M6</f>
        <v/>
      </c>
      <c r="R6" s="4">
        <f>'YTD CF'!N6</f>
        <v/>
      </c>
    </row>
    <row r="7">
      <c r="A7" s="3" t="inlineStr">
        <is>
          <t>Product Recall Impact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FLOW'!C7-'YTD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FLOW'!D7-'YTD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FLOW'!E7-'YTD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FLOW'!F7-'YTD CF'!M7</f>
        <v/>
      </c>
      <c r="R7" s="4">
        <f>'YTD CF'!N7</f>
        <v/>
      </c>
    </row>
    <row r="8">
      <c r="A8" s="3" t="inlineStr">
        <is>
          <t>Cash Payments for Product Recall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FLOW'!C8-'YTD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FLOW'!D8-'YTD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FLOW'!E8-'YTD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FLOW'!F8-'YTD CF'!M8</f>
        <v/>
      </c>
      <c r="R8" s="4">
        <f>'YTD CF'!N8</f>
        <v/>
      </c>
    </row>
    <row r="9">
      <c r="A9" s="3" t="inlineStr">
        <is>
          <t>Non-Cash Lease Expense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FLOW'!C9-'YTD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FLOW'!D9-'YTD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FLOW'!E9-'YTD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FLOW'!F9-'YTD CF'!M9</f>
        <v/>
      </c>
      <c r="R9" s="4">
        <f>'YTD CF'!N9</f>
        <v/>
      </c>
    </row>
    <row r="10">
      <c r="A10" s="3" t="inlineStr">
        <is>
          <t>Stock-Based Compensation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FLOW'!C10-'YTD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FLOW'!D10-'YTD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FLOW'!E10-'YTD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FLOW'!F10-'YTD CF'!M10</f>
        <v/>
      </c>
      <c r="R10" s="4">
        <f>'YTD CF'!N10</f>
        <v/>
      </c>
    </row>
    <row r="11">
      <c r="A11" s="3" t="inlineStr">
        <is>
          <t>Restructuring and Asset Impairment Charges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FLOW'!C11-'YTD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FLOW'!D11-'YTD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FLOW'!E11-'YTD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FLOW'!F11-'YTD CF'!M11</f>
        <v/>
      </c>
      <c r="R11" s="4">
        <f>'YTD CF'!N11</f>
        <v/>
      </c>
    </row>
    <row r="12">
      <c r="A12" s="3" t="inlineStr">
        <is>
          <t>Cash Payments for Restructuring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FLOW'!C12-'YTD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FLOW'!D12-'YTD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FLOW'!E12-'YTD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FLOW'!F12-'YTD CF'!M12</f>
        <v/>
      </c>
      <c r="R12" s="4">
        <f>'YTD CF'!N12</f>
        <v/>
      </c>
    </row>
    <row r="13">
      <c r="A13" s="3" t="inlineStr">
        <is>
          <t>Acquisition and Divestiture-Related Charges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FLOW'!C13-'YTD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FLOW'!D13-'YTD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FLOW'!E13-'YTD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FLOW'!F13-'YTD CF'!M13</f>
        <v/>
      </c>
      <c r="R13" s="4">
        <f>'YTD CF'!N13</f>
        <v/>
      </c>
    </row>
    <row r="14">
      <c r="A14" s="3" t="inlineStr">
        <is>
          <t>Cash Payments for Acquisition and Divestiture Costs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FLOW'!C14-'YTD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FLOW'!D14-'YTD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FLOW'!E14-'YTD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FLOW'!F14-'YTD CF'!M14</f>
        <v/>
      </c>
      <c r="R14" s="4">
        <f>'YTD CF'!N14</f>
        <v/>
      </c>
    </row>
    <row r="15">
      <c r="A15" s="3" t="inlineStr">
        <is>
          <t>Pension and Postretirement Benefits Expense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FLOW'!C15-'YTD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FLOW'!D15-'YTD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FLOW'!E15-'YTD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FLOW'!F15-'YTD CF'!M15</f>
        <v/>
      </c>
      <c r="R15" s="4">
        <f>'YTD CF'!N15</f>
        <v/>
      </c>
    </row>
    <row r="16">
      <c r="A16" s="3" t="inlineStr">
        <is>
          <t>Pension and Postretirement Benefits Contributions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FLOW'!C16-'YTD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FLOW'!D16-'YTD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FLOW'!E16-'YTD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FLOW'!F16-'YTD CF'!M16</f>
        <v/>
      </c>
      <c r="R16" s="4">
        <f>'YTD CF'!N16</f>
        <v/>
      </c>
    </row>
    <row r="17">
      <c r="A17" s="3" t="inlineStr">
        <is>
          <t>(Benefit) Provision for Deferred Income Taxes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FLOW'!C17-'YTD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FLOW'!D17-'YTD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FLOW'!E17-'YTD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FLOW'!F17-'YTD CF'!M17</f>
        <v/>
      </c>
      <c r="R17" s="4">
        <f>'YTD CF'!N17</f>
        <v/>
      </c>
    </row>
    <row r="18">
      <c r="A18" s="3" t="inlineStr">
        <is>
          <t>Tax Expense Related to TCJ Act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FLOW'!C18-'YTD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FLOW'!D18-'YTD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FLOW'!E18-'YTD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FLOW'!F18-'YTD CF'!M18</f>
        <v/>
      </c>
      <c r="R18" s="4">
        <f>'YTD CF'!N18</f>
        <v/>
      </c>
    </row>
    <row r="19">
      <c r="A19" s="3" t="inlineStr">
        <is>
          <t>Tax Payments Related to TCJ Act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FLOW'!C19-'YTD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FLOW'!D19-'YTD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FLOW'!E19-'YTD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FLOW'!F19-'YTD CF'!M19</f>
        <v/>
      </c>
      <c r="R19" s="4">
        <f>'YTD CF'!N19</f>
        <v/>
      </c>
    </row>
    <row r="20">
      <c r="A20" s="3" t="inlineStr">
        <is>
          <t>Accounts Receivable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FLOW'!C20-'YTD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FLOW'!D20-'YTD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FLOW'!E20-'YTD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FLOW'!F20-'YTD CF'!M20</f>
        <v/>
      </c>
      <c r="R20" s="4">
        <f>'YTD CF'!N20</f>
        <v/>
      </c>
    </row>
    <row r="21">
      <c r="A21" s="3" t="inlineStr">
        <is>
          <t>Inventories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FLOW'!C21-'YTD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FLOW'!D21-'YTD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FLOW'!E21-'YTD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FLOW'!F21-'YTD CF'!M21</f>
        <v/>
      </c>
      <c r="R21" s="4">
        <f>'YTD CF'!N21</f>
        <v/>
      </c>
    </row>
    <row r="22">
      <c r="A22" s="3" t="inlineStr">
        <is>
          <t>Prepaid Expenses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FLOW'!C22-'YTD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FLOW'!D22-'YTD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FLOW'!E22-'YTD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FLOW'!F22-'YTD CF'!M22</f>
        <v/>
      </c>
      <c r="R22" s="4">
        <f>'YTD CF'!N22</f>
        <v/>
      </c>
    </row>
    <row r="23">
      <c r="A23" s="3" t="inlineStr">
        <is>
          <t>Accounts Payable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FLOW'!C23-'YTD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FLOW'!D23-'YTD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FLOW'!E23-'YTD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FLOW'!F23-'YTD CF'!M23</f>
        <v/>
      </c>
      <c r="R23" s="4">
        <f>'YTD CF'!N23</f>
        <v/>
      </c>
    </row>
    <row r="24">
      <c r="A24" s="3" t="inlineStr">
        <is>
          <t>Other Current Liabilities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FLOW'!C24-'YTD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FLOW'!D24-'YTD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FLOW'!E24-'YTD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FLOW'!F24-'YTD CF'!M24</f>
        <v/>
      </c>
      <c r="R24" s="4">
        <f>'YTD CF'!N24</f>
        <v/>
      </c>
    </row>
    <row r="25">
      <c r="A25" s="3" t="inlineStr">
        <is>
          <t>Other Operating Items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FLOW'!C25-'YTD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FLOW'!D25-'YTD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FLOW'!E25-'YTD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FLOW'!F25-'YTD CF'!M25</f>
        <v/>
      </c>
      <c r="R25" s="4">
        <f>'YTD CF'!N25</f>
        <v/>
      </c>
    </row>
    <row r="26">
      <c r="A26" s="3" t="inlineStr">
        <is>
          <t>Cash Flow from Operations</t>
        </is>
      </c>
      <c r="B26" s="6">
        <f>'YTD CF'!B26</f>
        <v/>
      </c>
      <c r="C26" s="6">
        <f>'YTD CF'!C26-'YTD CF'!B26</f>
        <v/>
      </c>
      <c r="D26" s="6">
        <f>'YTD CF'!D26-'YTD CF'!C26</f>
        <v/>
      </c>
      <c r="E26" s="6">
        <f>'CASH FLOW'!C26-'YTD CF'!D26</f>
        <v/>
      </c>
      <c r="F26" s="6">
        <f>'YTD CF'!E26</f>
        <v/>
      </c>
      <c r="G26" s="6">
        <f>'YTD CF'!F26-'YTD CF'!E26</f>
        <v/>
      </c>
      <c r="H26" s="6">
        <f>'YTD CF'!G26-'YTD CF'!F26</f>
        <v/>
      </c>
      <c r="I26" s="6">
        <f>'CASH FLOW'!D26-'YTD CF'!G26</f>
        <v/>
      </c>
      <c r="J26" s="6">
        <f>'YTD CF'!H26</f>
        <v/>
      </c>
      <c r="K26" s="6">
        <f>'YTD CF'!I26-'YTD CF'!H26</f>
        <v/>
      </c>
      <c r="L26" s="6">
        <f>'YTD CF'!J26-'YTD CF'!I26</f>
        <v/>
      </c>
      <c r="M26" s="6">
        <f>'CASH FLOW'!E26-'YTD CF'!J26</f>
        <v/>
      </c>
      <c r="N26" s="6">
        <f>'YTD CF'!K26</f>
        <v/>
      </c>
      <c r="O26" s="6">
        <f>'YTD CF'!L26-'YTD CF'!K26</f>
        <v/>
      </c>
      <c r="P26" s="6">
        <f>'YTD CF'!M26-'YTD CF'!L26</f>
        <v/>
      </c>
      <c r="Q26" s="6">
        <f>'CASH FLOW'!F26-'YTD CF'!M26</f>
        <v/>
      </c>
      <c r="R26" s="6">
        <f>'YTD CF'!N26</f>
        <v/>
      </c>
    </row>
    <row r="27">
      <c r="A27" s="3" t="inlineStr">
        <is>
          <t>Purchase of PP&amp;E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FLOW'!C27-'YTD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FLOW'!D27-'YTD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FLOW'!E27-'YTD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FLOW'!F27-'YTD CF'!M27</f>
        <v/>
      </c>
      <c r="R27" s="4">
        <f>'YTD CF'!N27</f>
        <v/>
      </c>
    </row>
    <row r="28">
      <c r="A28" s="3" t="inlineStr">
        <is>
          <t>Proceeds from Sale of Assets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FLOW'!C28-'YTD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FLOW'!D28-'YTD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FLOW'!E28-'YTD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FLOW'!F28-'YTD CF'!M28</f>
        <v/>
      </c>
      <c r="R28" s="4">
        <f>'YTD CF'!N28</f>
        <v/>
      </c>
    </row>
    <row r="29">
      <c r="A29" s="3" t="inlineStr">
        <is>
          <t>Acquisitions, Net of Cash Acquired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FLOW'!C29-'YTD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FLOW'!D29-'YTD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FLOW'!E29-'YTD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FLOW'!F29-'YTD CF'!M29</f>
        <v/>
      </c>
      <c r="R29" s="4">
        <f>'YTD CF'!N29</f>
        <v/>
      </c>
    </row>
    <row r="30">
      <c r="A30" s="3" t="inlineStr">
        <is>
          <t>Proceeds from Juice Transaction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FLOW'!C30-'YTD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FLOW'!D30-'YTD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FLOW'!E30-'YTD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FLOW'!F30-'YTD CF'!M30</f>
        <v/>
      </c>
      <c r="R30" s="4">
        <f>'YTD CF'!N30</f>
        <v/>
      </c>
    </row>
    <row r="31">
      <c r="A31" s="3" t="inlineStr">
        <is>
          <t>Proceeds from Divestitures of Businesses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FLOW'!C31-'YTD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FLOW'!D31-'YTD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FLOW'!E31-'YTD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FLOW'!F31-'YTD CF'!M31</f>
        <v/>
      </c>
      <c r="R31" s="4">
        <f>'YTD CF'!N31</f>
        <v/>
      </c>
    </row>
    <row r="32">
      <c r="A32" s="3" t="inlineStr">
        <is>
          <t>Net Change in Short-Term Investments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FLOW'!C32-'YTD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FLOW'!D32-'YTD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FLOW'!E32-'YTD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FLOW'!F32-'YTD CF'!M32</f>
        <v/>
      </c>
      <c r="R32" s="4">
        <f>'YTD CF'!N32</f>
        <v/>
      </c>
    </row>
    <row r="33">
      <c r="A33" s="3" t="inlineStr">
        <is>
          <t>Other Investing Activities</t>
        </is>
      </c>
      <c r="B33" s="4">
        <f>'YTD CF'!B33</f>
        <v/>
      </c>
      <c r="C33" s="4">
        <f>'YTD CF'!C33-'YTD CF'!B33</f>
        <v/>
      </c>
      <c r="D33" s="4">
        <f>'YTD CF'!D33-'YTD CF'!C33</f>
        <v/>
      </c>
      <c r="E33" s="4">
        <f>'CASH FLOW'!C33-'YTD CF'!D33</f>
        <v/>
      </c>
      <c r="F33" s="4">
        <f>'YTD CF'!E33</f>
        <v/>
      </c>
      <c r="G33" s="4">
        <f>'YTD CF'!F33-'YTD CF'!E33</f>
        <v/>
      </c>
      <c r="H33" s="4">
        <f>'YTD CF'!G33-'YTD CF'!F33</f>
        <v/>
      </c>
      <c r="I33" s="4">
        <f>'CASH FLOW'!D33-'YTD CF'!G33</f>
        <v/>
      </c>
      <c r="J33" s="4">
        <f>'YTD CF'!H33</f>
        <v/>
      </c>
      <c r="K33" s="4">
        <f>'YTD CF'!I33-'YTD CF'!H33</f>
        <v/>
      </c>
      <c r="L33" s="4">
        <f>'YTD CF'!J33-'YTD CF'!I33</f>
        <v/>
      </c>
      <c r="M33" s="4">
        <f>'CASH FLOW'!E33-'YTD CF'!J33</f>
        <v/>
      </c>
      <c r="N33" s="4">
        <f>'YTD CF'!K33</f>
        <v/>
      </c>
      <c r="O33" s="4">
        <f>'YTD CF'!L33-'YTD CF'!K33</f>
        <v/>
      </c>
      <c r="P33" s="4">
        <f>'YTD CF'!M33-'YTD CF'!L33</f>
        <v/>
      </c>
      <c r="Q33" s="4">
        <f>'CASH FLOW'!F33-'YTD CF'!M33</f>
        <v/>
      </c>
      <c r="R33" s="4">
        <f>'YTD CF'!N33</f>
        <v/>
      </c>
    </row>
    <row r="34">
      <c r="A34" s="3" t="inlineStr">
        <is>
          <t>Cash Flow from Investing</t>
        </is>
      </c>
      <c r="B34" s="6">
        <f>'YTD CF'!B34</f>
        <v/>
      </c>
      <c r="C34" s="6">
        <f>'YTD CF'!C34-'YTD CF'!B34</f>
        <v/>
      </c>
      <c r="D34" s="6">
        <f>'YTD CF'!D34-'YTD CF'!C34</f>
        <v/>
      </c>
      <c r="E34" s="6">
        <f>'CASH FLOW'!C34-'YTD CF'!D34</f>
        <v/>
      </c>
      <c r="F34" s="6">
        <f>'YTD CF'!E34</f>
        <v/>
      </c>
      <c r="G34" s="6">
        <f>'YTD CF'!F34-'YTD CF'!E34</f>
        <v/>
      </c>
      <c r="H34" s="6">
        <f>'YTD CF'!G34-'YTD CF'!F34</f>
        <v/>
      </c>
      <c r="I34" s="6">
        <f>'CASH FLOW'!D34-'YTD CF'!G34</f>
        <v/>
      </c>
      <c r="J34" s="6">
        <f>'YTD CF'!H34</f>
        <v/>
      </c>
      <c r="K34" s="6">
        <f>'YTD CF'!I34-'YTD CF'!H34</f>
        <v/>
      </c>
      <c r="L34" s="6">
        <f>'YTD CF'!J34-'YTD CF'!I34</f>
        <v/>
      </c>
      <c r="M34" s="6">
        <f>'CASH FLOW'!E34-'YTD CF'!J34</f>
        <v/>
      </c>
      <c r="N34" s="6">
        <f>'YTD CF'!K34</f>
        <v/>
      </c>
      <c r="O34" s="6">
        <f>'YTD CF'!L34-'YTD CF'!K34</f>
        <v/>
      </c>
      <c r="P34" s="6">
        <f>'YTD CF'!M34-'YTD CF'!L34</f>
        <v/>
      </c>
      <c r="Q34" s="6">
        <f>'CASH FLOW'!F34-'YTD CF'!M34</f>
        <v/>
      </c>
      <c r="R34" s="6">
        <f>'YTD CF'!N34</f>
        <v/>
      </c>
    </row>
    <row r="35">
      <c r="A35" s="3" t="inlineStr">
        <is>
          <t>Proceeds from Issuance of Long-Term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FLOW'!C35-'YTD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FLOW'!D35-'YTD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FLOW'!E35-'YTD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FLOW'!F35-'YTD CF'!M35</f>
        <v/>
      </c>
      <c r="R35" s="4">
        <f>'YTD CF'!N35</f>
        <v/>
      </c>
    </row>
    <row r="36">
      <c r="A36" s="3" t="inlineStr">
        <is>
          <t>Repayments of Long-Term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FLOW'!C36-'YTD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FLOW'!D36-'YTD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FLOW'!E36-'YTD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FLOW'!F36-'YTD CF'!M36</f>
        <v/>
      </c>
      <c r="R36" s="4">
        <f>'YTD CF'!N36</f>
        <v/>
      </c>
    </row>
    <row r="37">
      <c r="A37" s="3" t="inlineStr">
        <is>
          <t>Proceeds from Short-Term Debt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FLOW'!C37-'YTD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FLOW'!D37-'YTD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FLOW'!E37-'YTD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FLOW'!F37-'YTD CF'!M37</f>
        <v/>
      </c>
      <c r="R37" s="4">
        <f>'YTD CF'!N37</f>
        <v/>
      </c>
    </row>
    <row r="38">
      <c r="A38" s="3" t="inlineStr">
        <is>
          <t>Repayments of Short-Term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FLOW'!C38-'YTD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FLOW'!D38-'YTD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FLOW'!E38-'YTD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FLOW'!F38-'YTD CF'!M38</f>
        <v/>
      </c>
      <c r="R38" s="4">
        <f>'YTD CF'!N38</f>
        <v/>
      </c>
    </row>
    <row r="39">
      <c r="A39" s="3" t="inlineStr">
        <is>
          <t>Net Change in Other Short-Term Debt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FLOW'!C39-'YTD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FLOW'!D39-'YTD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FLOW'!E39-'YTD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FLOW'!F39-'YTD CF'!M39</f>
        <v/>
      </c>
      <c r="R39" s="4">
        <f>'YTD CF'!N39</f>
        <v/>
      </c>
    </row>
    <row r="40">
      <c r="A40" s="3" t="inlineStr">
        <is>
          <t>Payments of Contingent Consideration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FLOW'!C40-'YTD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FLOW'!D40-'YTD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FLOW'!E40-'YTD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FLOW'!F40-'YTD CF'!M40</f>
        <v/>
      </c>
      <c r="R40" s="4">
        <f>'YTD CF'!N40</f>
        <v/>
      </c>
    </row>
    <row r="41">
      <c r="A41" s="3" t="inlineStr">
        <is>
          <t>Common Dividends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FLOW'!C41-'YTD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FLOW'!D41-'YTD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FLOW'!E41-'YTD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FLOW'!F41-'YTD CF'!M41</f>
        <v/>
      </c>
      <c r="R41" s="4">
        <f>'YTD CF'!N41</f>
        <v/>
      </c>
    </row>
    <row r="42">
      <c r="A42" s="3" t="inlineStr">
        <is>
          <t>Share Repurchases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FLOW'!C42-'YTD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FLOW'!D42-'YTD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FLOW'!E42-'YTD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FLOW'!F42-'YTD CF'!M42</f>
        <v/>
      </c>
      <c r="R42" s="4">
        <f>'YTD CF'!N42</f>
        <v/>
      </c>
    </row>
    <row r="43">
      <c r="A43" s="3" t="inlineStr">
        <is>
          <t>Proceeds from Exercise of Stock Options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FLOW'!C43-'YTD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FLOW'!D43-'YTD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FLOW'!E43-'YTD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FLOW'!F43-'YTD CF'!M43</f>
        <v/>
      </c>
      <c r="R43" s="4">
        <f>'YTD CF'!N43</f>
        <v/>
      </c>
    </row>
    <row r="44">
      <c r="A44" s="3" t="inlineStr">
        <is>
          <t>Tax Withholdings on RSU/PSU Settlement</t>
        </is>
      </c>
      <c r="B44" s="4">
        <f>'YTD CF'!B44</f>
        <v/>
      </c>
      <c r="C44" s="4">
        <f>'YTD CF'!C44-'YTD CF'!B44</f>
        <v/>
      </c>
      <c r="D44" s="4">
        <f>'YTD CF'!D44-'YTD CF'!C44</f>
        <v/>
      </c>
      <c r="E44" s="4">
        <f>'CASH FLOW'!C44-'YTD CF'!D44</f>
        <v/>
      </c>
      <c r="F44" s="4">
        <f>'YTD CF'!E44</f>
        <v/>
      </c>
      <c r="G44" s="4">
        <f>'YTD CF'!F44-'YTD CF'!E44</f>
        <v/>
      </c>
      <c r="H44" s="4">
        <f>'YTD CF'!G44-'YTD CF'!F44</f>
        <v/>
      </c>
      <c r="I44" s="4">
        <f>'CASH FLOW'!D44-'YTD CF'!G44</f>
        <v/>
      </c>
      <c r="J44" s="4">
        <f>'YTD CF'!H44</f>
        <v/>
      </c>
      <c r="K44" s="4">
        <f>'YTD CF'!I44-'YTD CF'!H44</f>
        <v/>
      </c>
      <c r="L44" s="4">
        <f>'YTD CF'!J44-'YTD CF'!I44</f>
        <v/>
      </c>
      <c r="M44" s="4">
        <f>'CASH FLOW'!E44-'YTD CF'!J44</f>
        <v/>
      </c>
      <c r="N44" s="4">
        <f>'YTD CF'!K44</f>
        <v/>
      </c>
      <c r="O44" s="4">
        <f>'YTD CF'!L44-'YTD CF'!K44</f>
        <v/>
      </c>
      <c r="P44" s="4">
        <f>'YTD CF'!M44-'YTD CF'!L44</f>
        <v/>
      </c>
      <c r="Q44" s="4">
        <f>'CASH FLOW'!F44-'YTD CF'!M44</f>
        <v/>
      </c>
      <c r="R44" s="4">
        <f>'YTD CF'!N44</f>
        <v/>
      </c>
    </row>
    <row r="45">
      <c r="A45" s="3" t="inlineStr">
        <is>
          <t>Other Financing Activities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FLOW'!C45-'YTD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FLOW'!D45-'YTD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FLOW'!E45-'YTD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FLOW'!F45-'YTD CF'!M45</f>
        <v/>
      </c>
      <c r="R45" s="4">
        <f>'YTD CF'!N45</f>
        <v/>
      </c>
    </row>
    <row r="46">
      <c r="A46" s="3" t="inlineStr">
        <is>
          <t>Cash Flow from Financing</t>
        </is>
      </c>
      <c r="B46" s="6">
        <f>'YTD CF'!B46</f>
        <v/>
      </c>
      <c r="C46" s="6">
        <f>'YTD CF'!C46-'YTD CF'!B46</f>
        <v/>
      </c>
      <c r="D46" s="6">
        <f>'YTD CF'!D46-'YTD CF'!C46</f>
        <v/>
      </c>
      <c r="E46" s="6">
        <f>'CASH FLOW'!C46-'YTD CF'!D46</f>
        <v/>
      </c>
      <c r="F46" s="6">
        <f>'YTD CF'!E46</f>
        <v/>
      </c>
      <c r="G46" s="6">
        <f>'YTD CF'!F46-'YTD CF'!E46</f>
        <v/>
      </c>
      <c r="H46" s="6">
        <f>'YTD CF'!G46-'YTD CF'!F46</f>
        <v/>
      </c>
      <c r="I46" s="6">
        <f>'CASH FLOW'!D46-'YTD CF'!G46</f>
        <v/>
      </c>
      <c r="J46" s="6">
        <f>'YTD CF'!H46</f>
        <v/>
      </c>
      <c r="K46" s="6">
        <f>'YTD CF'!I46-'YTD CF'!H46</f>
        <v/>
      </c>
      <c r="L46" s="6">
        <f>'YTD CF'!J46-'YTD CF'!I46</f>
        <v/>
      </c>
      <c r="M46" s="6">
        <f>'CASH FLOW'!E46-'YTD CF'!J46</f>
        <v/>
      </c>
      <c r="N46" s="6">
        <f>'YTD CF'!K46</f>
        <v/>
      </c>
      <c r="O46" s="6">
        <f>'YTD CF'!L46-'YTD CF'!K46</f>
        <v/>
      </c>
      <c r="P46" s="6">
        <f>'YTD CF'!M46-'YTD CF'!L46</f>
        <v/>
      </c>
      <c r="Q46" s="6">
        <f>'CASH FLOW'!F46-'YTD CF'!M46</f>
        <v/>
      </c>
      <c r="R46" s="6">
        <f>'YTD CF'!N46</f>
        <v/>
      </c>
    </row>
    <row r="47">
      <c r="A47" s="3" t="inlineStr">
        <is>
          <t>FX Effect on Cash</t>
        </is>
      </c>
      <c r="B47" s="4">
        <f>'YTD CF'!B47</f>
        <v/>
      </c>
      <c r="C47" s="4">
        <f>'YTD CF'!C47-'YTD CF'!B47</f>
        <v/>
      </c>
      <c r="D47" s="4">
        <f>'YTD CF'!D47-'YTD CF'!C47</f>
        <v/>
      </c>
      <c r="E47" s="4">
        <f>'CASH FLOW'!C47-'YTD CF'!D47</f>
        <v/>
      </c>
      <c r="F47" s="4">
        <f>'YTD CF'!E47</f>
        <v/>
      </c>
      <c r="G47" s="4">
        <f>'YTD CF'!F47-'YTD CF'!E47</f>
        <v/>
      </c>
      <c r="H47" s="4">
        <f>'YTD CF'!G47-'YTD CF'!F47</f>
        <v/>
      </c>
      <c r="I47" s="4">
        <f>'CASH FLOW'!D47-'YTD CF'!G47</f>
        <v/>
      </c>
      <c r="J47" s="4">
        <f>'YTD CF'!H47</f>
        <v/>
      </c>
      <c r="K47" s="4">
        <f>'YTD CF'!I47-'YTD CF'!H47</f>
        <v/>
      </c>
      <c r="L47" s="4">
        <f>'YTD CF'!J47-'YTD CF'!I47</f>
        <v/>
      </c>
      <c r="M47" s="4">
        <f>'CASH FLOW'!E47-'YTD CF'!J47</f>
        <v/>
      </c>
      <c r="N47" s="4">
        <f>'YTD CF'!K47</f>
        <v/>
      </c>
      <c r="O47" s="4">
        <f>'YTD CF'!L47-'YTD CF'!K47</f>
        <v/>
      </c>
      <c r="P47" s="4">
        <f>'YTD CF'!M47-'YTD CF'!L47</f>
        <v/>
      </c>
      <c r="Q47" s="4">
        <f>'CASH FLOW'!F47-'YTD CF'!M47</f>
        <v/>
      </c>
      <c r="R47" s="4">
        <f>'YTD CF'!N47</f>
        <v/>
      </c>
    </row>
    <row r="48">
      <c r="A48" s="3" t="inlineStr">
        <is>
          <t>Net Change in Cash</t>
        </is>
      </c>
      <c r="B48" s="6">
        <f>'YTD CF'!B48</f>
        <v/>
      </c>
      <c r="C48" s="6">
        <f>'YTD CF'!C48-'YTD CF'!B48</f>
        <v/>
      </c>
      <c r="D48" s="6">
        <f>'YTD CF'!D48-'YTD CF'!C48</f>
        <v/>
      </c>
      <c r="E48" s="6">
        <f>'CASH FLOW'!C48-'YTD CF'!D48</f>
        <v/>
      </c>
      <c r="F48" s="6">
        <f>'YTD CF'!E48</f>
        <v/>
      </c>
      <c r="G48" s="6">
        <f>'YTD CF'!F48-'YTD CF'!E48</f>
        <v/>
      </c>
      <c r="H48" s="6">
        <f>'YTD CF'!G48-'YTD CF'!F48</f>
        <v/>
      </c>
      <c r="I48" s="6">
        <f>'CASH FLOW'!D48-'YTD CF'!G48</f>
        <v/>
      </c>
      <c r="J48" s="6">
        <f>'YTD CF'!H48</f>
        <v/>
      </c>
      <c r="K48" s="6">
        <f>'YTD CF'!I48-'YTD CF'!H48</f>
        <v/>
      </c>
      <c r="L48" s="6">
        <f>'YTD CF'!J48-'YTD CF'!I48</f>
        <v/>
      </c>
      <c r="M48" s="6">
        <f>'CASH FLOW'!E48-'YTD CF'!J48</f>
        <v/>
      </c>
      <c r="N48" s="6">
        <f>'YTD CF'!K48</f>
        <v/>
      </c>
      <c r="O48" s="6">
        <f>'YTD CF'!L48-'YTD CF'!K48</f>
        <v/>
      </c>
      <c r="P48" s="6">
        <f>'YTD CF'!M48-'YTD CF'!L48</f>
        <v/>
      </c>
      <c r="Q48" s="6">
        <f>'CASH FLOW'!F48-'YTD CF'!M48</f>
        <v/>
      </c>
      <c r="R48" s="6">
        <f>'YTD CF'!N48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2026-04-29T16:08:56Z</dcterms:created>
  <dcterms:modified xmlns:dcterms="http://purl.org/dc/terms/" xmlns:xsi="http://www.w3.org/2001/XMLSchema-instance" xsi:type="dcterms:W3CDTF">2026-04-29T16:08:56Z</dcterms:modified>
</cp:coreProperties>
</file>