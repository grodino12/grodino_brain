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YTD P&amp;L" sheetId="4" state="visible" r:id="rId4"/>
    <sheet xmlns:r="http://schemas.openxmlformats.org/officeDocument/2006/relationships" name="YTD BS" sheetId="5" state="visible" r:id="rId5"/>
    <sheet xmlns:r="http://schemas.openxmlformats.org/officeDocument/2006/relationships" name="YTD CF" sheetId="6" state="visible" r:id="rId6"/>
    <sheet xmlns:r="http://schemas.openxmlformats.org/officeDocument/2006/relationships" name="QTR P&amp;L" sheetId="7" state="visible" r:id="rId7"/>
    <sheet xmlns:r="http://schemas.openxmlformats.org/officeDocument/2006/relationships" name="QTR BS" sheetId="8" state="visible" r:id="rId8"/>
    <sheet xmlns:r="http://schemas.openxmlformats.org/officeDocument/2006/relationships" name="QTR C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Sales / Revenue</t>
        </is>
      </c>
      <c r="B2" s="4" t="n">
        <v>76118</v>
      </c>
      <c r="C2" s="4" t="n">
        <v>80187</v>
      </c>
      <c r="D2" s="4" t="n">
        <v>82006</v>
      </c>
      <c r="E2" s="4" t="n">
        <v>84039</v>
      </c>
      <c r="F2" s="4" t="n">
        <v>84284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-37108</v>
      </c>
      <c r="C3" s="4" t="n">
        <v>-42157</v>
      </c>
      <c r="D3" s="4" t="n">
        <v>-42760</v>
      </c>
      <c r="E3" s="4" t="n">
        <v>-40848</v>
      </c>
      <c r="F3" s="4" t="n">
        <v>-41164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-21024</v>
      </c>
      <c r="C5" s="4" t="n">
        <v>-20217</v>
      </c>
      <c r="D5" s="4" t="n">
        <v>-21112</v>
      </c>
      <c r="E5" s="4" t="n">
        <v>-23305</v>
      </c>
      <c r="F5" s="4" t="n">
        <v>-22669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-1341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-457</v>
      </c>
      <c r="C8" s="4" t="n">
        <v>-388</v>
      </c>
      <c r="D8" s="4" t="n">
        <v>-449</v>
      </c>
      <c r="E8" s="4" t="n">
        <v>-452</v>
      </c>
      <c r="F8" s="4" t="n">
        <v>-438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Other Income (Expense)</t>
        </is>
      </c>
      <c r="B9" s="4" t="n">
        <v>86</v>
      </c>
      <c r="C9" s="4" t="n">
        <v>570</v>
      </c>
      <c r="D9" s="4" t="n">
        <v>668</v>
      </c>
      <c r="E9" s="4" t="n">
        <v>668</v>
      </c>
      <c r="F9" s="4" t="n">
        <v>154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7">
        <f>G7+SUM(G8:G9)</f>
        <v/>
      </c>
      <c r="H10" s="7">
        <f>H7+SUM(H8:H9)</f>
        <v/>
      </c>
      <c r="I10" s="7">
        <f>I7+SUM(I8:I9)</f>
        <v/>
      </c>
      <c r="J10" s="7">
        <f>J7+SUM(J8:J9)</f>
        <v/>
      </c>
      <c r="K10" s="7">
        <f>K7+SUM(K8:K9)</f>
        <v/>
      </c>
      <c r="L10" s="7">
        <f>L7+SUM(L8:L9)</f>
        <v/>
      </c>
    </row>
    <row r="11">
      <c r="A11" s="3" t="inlineStr">
        <is>
          <t>Income Tax (Expense) Benefit</t>
        </is>
      </c>
      <c r="B11" s="4" t="n">
        <v>-3263</v>
      </c>
      <c r="C11" s="4" t="n">
        <v>-3202</v>
      </c>
      <c r="D11" s="4" t="n">
        <v>-3615</v>
      </c>
      <c r="E11" s="4" t="n">
        <v>-3787</v>
      </c>
      <c r="F11" s="4" t="n">
        <v>-4102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7">
        <f>G10+G11</f>
        <v/>
      </c>
      <c r="H12" s="7">
        <f>H10+H11</f>
        <v/>
      </c>
      <c r="I12" s="7">
        <f>I10+I11</f>
        <v/>
      </c>
      <c r="J12" s="7">
        <f>J10+J11</f>
        <v/>
      </c>
      <c r="K12" s="7">
        <f>K10+K11</f>
        <v/>
      </c>
      <c r="L12" s="7">
        <f>L10+L11</f>
        <v/>
      </c>
    </row>
    <row r="13">
      <c r="A13" s="3" t="inlineStr">
        <is>
          <t>Net Income (Loss) Attributable to Noncontrolling Interest</t>
        </is>
      </c>
      <c r="B13" s="4" t="n">
        <v>46</v>
      </c>
      <c r="C13" s="4" t="n">
        <v>51</v>
      </c>
      <c r="D13" s="4" t="n">
        <v>85</v>
      </c>
      <c r="E13" s="4" t="n">
        <v>95</v>
      </c>
      <c r="F13" s="4" t="n">
        <v>91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7">
        <f>G12-G13</f>
        <v/>
      </c>
      <c r="H14" s="7">
        <f>H12-H13</f>
        <v/>
      </c>
      <c r="I14" s="7">
        <f>I12-I13</f>
        <v/>
      </c>
      <c r="J14" s="7">
        <f>J12-J13</f>
        <v/>
      </c>
      <c r="K14" s="7">
        <f>K12-K13</f>
        <v/>
      </c>
      <c r="L14" s="7">
        <f>L12-L13</f>
        <v/>
      </c>
    </row>
    <row r="15">
      <c r="A15" s="3" t="inlineStr">
        <is>
          <t>Basic Earnings (Loss) per Share</t>
        </is>
      </c>
      <c r="B15" s="8" t="n">
        <v>5.69</v>
      </c>
      <c r="C15" s="8" t="n">
        <v>6</v>
      </c>
      <c r="D15" s="8" t="n">
        <v>6.07</v>
      </c>
      <c r="E15" s="8" t="n">
        <v>6.18</v>
      </c>
      <c r="F15" s="8" t="n">
        <v>6.67</v>
      </c>
      <c r="G15" s="9" t="n"/>
      <c r="H15" s="9" t="n"/>
      <c r="I15" s="9" t="n"/>
      <c r="J15" s="9" t="n"/>
      <c r="K15" s="9" t="n"/>
      <c r="L15" s="9" t="n"/>
    </row>
    <row r="16">
      <c r="A16" s="3" t="inlineStr">
        <is>
          <t>Diluted Earnings (Loss) per Share</t>
        </is>
      </c>
      <c r="B16" s="8" t="n">
        <v>5.5</v>
      </c>
      <c r="C16" s="8" t="n">
        <v>5.81</v>
      </c>
      <c r="D16" s="8" t="n">
        <v>5.9</v>
      </c>
      <c r="E16" s="8" t="n">
        <v>6.02</v>
      </c>
      <c r="F16" s="8" t="n">
        <v>6.51</v>
      </c>
      <c r="G16" s="9" t="n"/>
      <c r="H16" s="9" t="n"/>
      <c r="I16" s="9" t="n"/>
      <c r="J16" s="9" t="n"/>
      <c r="K16" s="9" t="n"/>
      <c r="L16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FY2026E</t>
        </is>
      </c>
      <c r="G1" s="2" t="inlineStr">
        <is>
          <t>FY2027E</t>
        </is>
      </c>
      <c r="H1" s="2" t="inlineStr">
        <is>
          <t>FY2028E</t>
        </is>
      </c>
      <c r="I1" s="2" t="inlineStr">
        <is>
          <t>FY2029E</t>
        </is>
      </c>
      <c r="J1" s="2" t="inlineStr">
        <is>
          <t>FY2030E</t>
        </is>
      </c>
      <c r="K1" s="2" t="inlineStr">
        <is>
          <t>FY2031E</t>
        </is>
      </c>
    </row>
    <row r="2">
      <c r="A2" s="3" t="inlineStr">
        <is>
          <t>Cash &amp; Cash Equivalents</t>
        </is>
      </c>
      <c r="B2" s="4" t="n">
        <v>7214</v>
      </c>
      <c r="C2" s="4" t="n">
        <v>8246</v>
      </c>
      <c r="D2" s="4" t="n">
        <v>9482</v>
      </c>
      <c r="E2" s="4" t="n">
        <v>9556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Accounts Receivable</t>
        </is>
      </c>
      <c r="B3" s="4" t="n">
        <v>5143</v>
      </c>
      <c r="C3" s="4" t="n">
        <v>5471</v>
      </c>
      <c r="D3" s="4" t="n">
        <v>6118</v>
      </c>
      <c r="E3" s="4" t="n">
        <v>6185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Raw Materials</t>
        </is>
      </c>
      <c r="B4" s="4" t="n">
        <v>2168</v>
      </c>
      <c r="C4" s="4" t="n">
        <v>1863</v>
      </c>
      <c r="D4" s="4" t="n">
        <v>1617</v>
      </c>
      <c r="E4" s="4" t="n">
        <v>2022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Work in Process</t>
        </is>
      </c>
      <c r="B5" s="4" t="n">
        <v>856</v>
      </c>
      <c r="C5" s="4" t="n">
        <v>956</v>
      </c>
      <c r="D5" s="4" t="n">
        <v>929</v>
      </c>
      <c r="E5" s="4" t="n">
        <v>1012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Finished Goods</t>
        </is>
      </c>
      <c r="B6" s="4" t="n">
        <v>3900</v>
      </c>
      <c r="C6" s="4" t="n">
        <v>4254</v>
      </c>
      <c r="D6" s="4" t="n">
        <v>4470</v>
      </c>
      <c r="E6" s="4" t="n">
        <v>4516</v>
      </c>
      <c r="F6" s="5" t="n"/>
      <c r="G6" s="5" t="n"/>
      <c r="H6" s="5" t="n"/>
      <c r="I6" s="5" t="n"/>
      <c r="J6" s="5" t="n"/>
      <c r="K6" s="5" t="n"/>
    </row>
    <row r="7">
      <c r="A7" s="3" t="inlineStr">
        <is>
          <t>Inventories</t>
        </is>
      </c>
      <c r="B7" s="6">
        <f>SUM(B4,B5,B6)</f>
        <v/>
      </c>
      <c r="C7" s="6">
        <f>SUM(C4,C5,C6)</f>
        <v/>
      </c>
      <c r="D7" s="6">
        <f>SUM(D4,D5,D6)</f>
        <v/>
      </c>
      <c r="E7" s="6">
        <f>SUM(E4,E5,E6)</f>
        <v/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Prepaid Expenses</t>
        </is>
      </c>
      <c r="B8" s="4" t="n">
        <v>2372</v>
      </c>
      <c r="C8" s="4" t="n">
        <v>1858</v>
      </c>
      <c r="D8" s="4" t="n">
        <v>2095</v>
      </c>
      <c r="E8" s="4" t="n">
        <v>2100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7">
        <f>SUM(F2:F8)</f>
        <v/>
      </c>
      <c r="G9" s="7">
        <f>SUM(G2:G8)</f>
        <v/>
      </c>
      <c r="H9" s="7">
        <f>SUM(H2:H8)</f>
        <v/>
      </c>
      <c r="I9" s="7">
        <f>SUM(I2:I8)</f>
        <v/>
      </c>
      <c r="J9" s="7">
        <f>SUM(J2:J8)</f>
        <v/>
      </c>
      <c r="K9" s="7">
        <f>SUM(K2:K8)</f>
        <v/>
      </c>
    </row>
    <row r="10">
      <c r="A10" s="3" t="inlineStr">
        <is>
          <t>Net PP&amp;E</t>
        </is>
      </c>
      <c r="B10" s="4" t="n">
        <v>21195</v>
      </c>
      <c r="C10" s="4" t="n">
        <v>21909</v>
      </c>
      <c r="D10" s="4" t="n">
        <v>22152</v>
      </c>
      <c r="E10" s="4" t="n">
        <v>23897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Goodwill</t>
        </is>
      </c>
      <c r="B11" s="4" t="n">
        <v>39700</v>
      </c>
      <c r="C11" s="4" t="n">
        <v>40659</v>
      </c>
      <c r="D11" s="4" t="n">
        <v>40303</v>
      </c>
      <c r="E11" s="4" t="n">
        <v>41650</v>
      </c>
      <c r="F11" s="5" t="n"/>
      <c r="G11" s="5" t="n"/>
      <c r="H11" s="5" t="n"/>
      <c r="I11" s="5" t="n"/>
      <c r="J11" s="5" t="n"/>
      <c r="K11" s="5" t="n"/>
    </row>
    <row r="12">
      <c r="A12" s="3" t="inlineStr">
        <is>
          <t>Intangible Assets</t>
        </is>
      </c>
      <c r="B12" s="4" t="n">
        <v>23679</v>
      </c>
      <c r="C12" s="4" t="n">
        <v>23783</v>
      </c>
      <c r="D12" s="4" t="n">
        <v>22047</v>
      </c>
      <c r="E12" s="4" t="n">
        <v>21910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Other Non-Current Assets</t>
        </is>
      </c>
      <c r="B13" s="4" t="n">
        <v>10981</v>
      </c>
      <c r="C13" s="4" t="n">
        <v>11830</v>
      </c>
      <c r="D13" s="4" t="n">
        <v>13158</v>
      </c>
      <c r="E13" s="4" t="n">
        <v>12381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Total Assets</t>
        </is>
      </c>
      <c r="B14" s="6">
        <f>B9+SUM(B10:B13)</f>
        <v/>
      </c>
      <c r="C14" s="6">
        <f>C9+SUM(C10:C13)</f>
        <v/>
      </c>
      <c r="D14" s="6">
        <f>D9+SUM(D10:D13)</f>
        <v/>
      </c>
      <c r="E14" s="6">
        <f>E9+SUM(E10:E13)</f>
        <v/>
      </c>
      <c r="F14" s="7">
        <f>F9+SUM(F10:F13)</f>
        <v/>
      </c>
      <c r="G14" s="7">
        <f>G9+SUM(G10:G13)</f>
        <v/>
      </c>
      <c r="H14" s="7">
        <f>H9+SUM(H10:H13)</f>
        <v/>
      </c>
      <c r="I14" s="7">
        <f>I9+SUM(I10:I13)</f>
        <v/>
      </c>
      <c r="J14" s="7">
        <f>J9+SUM(J10:J13)</f>
        <v/>
      </c>
      <c r="K14" s="7">
        <f>K9+SUM(K10:K13)</f>
        <v/>
      </c>
    </row>
    <row r="15">
      <c r="A15" s="3" t="inlineStr">
        <is>
          <t>Accounts Payable</t>
        </is>
      </c>
      <c r="B15" s="4" t="n">
        <v>14882</v>
      </c>
      <c r="C15" s="4" t="n">
        <v>14598</v>
      </c>
      <c r="D15" s="4" t="n">
        <v>15364</v>
      </c>
      <c r="E15" s="4" t="n">
        <v>15227</v>
      </c>
      <c r="F15" s="5" t="n"/>
      <c r="G15" s="5" t="n"/>
      <c r="H15" s="5" t="n"/>
      <c r="I15" s="5" t="n"/>
      <c r="J15" s="5" t="n"/>
      <c r="K15" s="5" t="n"/>
    </row>
    <row r="16">
      <c r="A16" s="3" t="inlineStr">
        <is>
          <t>Accrued Expenses</t>
        </is>
      </c>
      <c r="B16" s="4" t="n">
        <v>9554</v>
      </c>
      <c r="C16" s="4" t="n">
        <v>10929</v>
      </c>
      <c r="D16" s="4" t="n">
        <v>11073</v>
      </c>
      <c r="E16" s="4" t="n">
        <v>11318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Current Portion of Long-Term Debt</t>
        </is>
      </c>
      <c r="B17" s="4" t="n">
        <v>8645</v>
      </c>
      <c r="C17" s="4" t="n">
        <v>10229</v>
      </c>
      <c r="D17" s="4" t="n">
        <v>7191</v>
      </c>
      <c r="E17" s="4" t="n">
        <v>9513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Total Current Liabilities</t>
        </is>
      </c>
      <c r="B18" s="6">
        <f>SUM(B15:B17)</f>
        <v/>
      </c>
      <c r="C18" s="6">
        <f>SUM(C15:C17)</f>
        <v/>
      </c>
      <c r="D18" s="6">
        <f>SUM(D15:D17)</f>
        <v/>
      </c>
      <c r="E18" s="6">
        <f>SUM(E15:E17)</f>
        <v/>
      </c>
      <c r="F18" s="7">
        <f>SUM(F15:F17)</f>
        <v/>
      </c>
      <c r="G18" s="7">
        <f>SUM(G15:G17)</f>
        <v/>
      </c>
      <c r="H18" s="7">
        <f>SUM(H15:H17)</f>
        <v/>
      </c>
      <c r="I18" s="7">
        <f>SUM(I15:I17)</f>
        <v/>
      </c>
      <c r="J18" s="7">
        <f>SUM(J15:J17)</f>
        <v/>
      </c>
      <c r="K18" s="7">
        <f>SUM(K15:K17)</f>
        <v/>
      </c>
    </row>
    <row r="19">
      <c r="A19" s="3" t="inlineStr">
        <is>
          <t>Long-Term Debt</t>
        </is>
      </c>
      <c r="B19" s="4" t="n">
        <v>22848</v>
      </c>
      <c r="C19" s="4" t="n">
        <v>24378</v>
      </c>
      <c r="D19" s="4" t="n">
        <v>25269</v>
      </c>
      <c r="E19" s="4" t="n">
        <v>24995</v>
      </c>
      <c r="F19" s="5" t="n"/>
      <c r="G19" s="5" t="n"/>
      <c r="H19" s="5" t="n"/>
      <c r="I19" s="5" t="n"/>
      <c r="J19" s="5" t="n"/>
      <c r="K19" s="5" t="n"/>
    </row>
    <row r="20">
      <c r="A20" s="3" t="inlineStr">
        <is>
          <t>Deferred Tax Liability</t>
        </is>
      </c>
      <c r="B20" s="4" t="n">
        <v>6809</v>
      </c>
      <c r="C20" s="4" t="n">
        <v>6478</v>
      </c>
      <c r="D20" s="4" t="n">
        <v>6516</v>
      </c>
      <c r="E20" s="4" t="n">
        <v>5774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Other Non-Current Liabilities</t>
        </is>
      </c>
      <c r="B21" s="4" t="n">
        <v>7616</v>
      </c>
      <c r="C21" s="4" t="n">
        <v>7152</v>
      </c>
      <c r="D21" s="4" t="n">
        <v>6398</v>
      </c>
      <c r="E21" s="4" t="n">
        <v>6120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Total Liabilities</t>
        </is>
      </c>
      <c r="B22" s="6">
        <f>B18+SUM(B19:B21)</f>
        <v/>
      </c>
      <c r="C22" s="6">
        <f>C18+SUM(C19:C21)</f>
        <v/>
      </c>
      <c r="D22" s="6">
        <f>D18+SUM(D19:D21)</f>
        <v/>
      </c>
      <c r="E22" s="6">
        <f>E18+SUM(E19:E21)</f>
        <v/>
      </c>
      <c r="F22" s="7">
        <f>F18+SUM(F19:F21)</f>
        <v/>
      </c>
      <c r="G22" s="7">
        <f>G18+SUM(G19:G21)</f>
        <v/>
      </c>
      <c r="H22" s="7">
        <f>H18+SUM(H19:H21)</f>
        <v/>
      </c>
      <c r="I22" s="7">
        <f>I18+SUM(I19:I21)</f>
        <v/>
      </c>
      <c r="J22" s="7">
        <f>J18+SUM(J19:J21)</f>
        <v/>
      </c>
      <c r="K22" s="7">
        <f>K18+SUM(K19:K21)</f>
        <v/>
      </c>
    </row>
    <row r="23">
      <c r="A23" s="3" t="inlineStr">
        <is>
          <t>Convertible Preferred Stock</t>
        </is>
      </c>
      <c r="B23" s="4" t="n">
        <v>843</v>
      </c>
      <c r="C23" s="4" t="n">
        <v>819</v>
      </c>
      <c r="D23" s="4" t="n">
        <v>798</v>
      </c>
      <c r="E23" s="4" t="n">
        <v>777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Common Stock</t>
        </is>
      </c>
      <c r="B24" s="4" t="n">
        <v>4009</v>
      </c>
      <c r="C24" s="4" t="n">
        <v>4009</v>
      </c>
      <c r="D24" s="4" t="n">
        <v>4009</v>
      </c>
      <c r="E24" s="4" t="n">
        <v>4009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Additional Paid-in Capital</t>
        </is>
      </c>
      <c r="B25" s="4" t="n">
        <v>65795</v>
      </c>
      <c r="C25" s="4" t="n">
        <v>66556</v>
      </c>
      <c r="D25" s="4" t="n">
        <v>67684</v>
      </c>
      <c r="E25" s="4" t="n">
        <v>68770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ESOP Debt Retirement Reserve</t>
        </is>
      </c>
      <c r="B26" s="4" t="n">
        <v>-916</v>
      </c>
      <c r="C26" s="4" t="n">
        <v>-821</v>
      </c>
      <c r="D26" s="4" t="n">
        <v>-737</v>
      </c>
      <c r="E26" s="4" t="n">
        <v>-672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Accumulated Other Comprehensive Income (Loss)</t>
        </is>
      </c>
      <c r="B27" s="4" t="n">
        <v>-12189</v>
      </c>
      <c r="C27" s="4" t="n">
        <v>-12220</v>
      </c>
      <c r="D27" s="4" t="n">
        <v>-11900</v>
      </c>
      <c r="E27" s="4" t="n">
        <v>-12143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Treasury Stock</t>
        </is>
      </c>
      <c r="B28" s="4" t="n">
        <v>-123382</v>
      </c>
      <c r="C28" s="4" t="n">
        <v>-129736</v>
      </c>
      <c r="D28" s="4" t="n">
        <v>-133379</v>
      </c>
      <c r="E28" s="4" t="n">
        <v>-138702</v>
      </c>
      <c r="F28" s="5" t="n"/>
      <c r="G28" s="5" t="n"/>
      <c r="H28" s="5" t="n"/>
      <c r="I28" s="5" t="n"/>
      <c r="J28" s="5" t="n"/>
      <c r="K28" s="5" t="n"/>
    </row>
    <row r="29">
      <c r="A29" s="3" t="inlineStr">
        <is>
          <t>Retained Earnings (Accumulated Deficit)</t>
        </is>
      </c>
      <c r="B29" s="4" t="n">
        <v>112429</v>
      </c>
      <c r="C29" s="4" t="n">
        <v>118170</v>
      </c>
      <c r="D29" s="4" t="n">
        <v>123811</v>
      </c>
      <c r="E29" s="4" t="n">
        <v>129973</v>
      </c>
      <c r="F29" s="5" t="n"/>
      <c r="G29" s="5" t="n"/>
      <c r="H29" s="5" t="n"/>
      <c r="I29" s="5" t="n"/>
      <c r="J29" s="5" t="n"/>
      <c r="K29" s="5" t="n"/>
    </row>
    <row r="30">
      <c r="A30" s="3" t="inlineStr">
        <is>
          <t>Noncontrolling Interest</t>
        </is>
      </c>
      <c r="B30" s="4" t="n">
        <v>265</v>
      </c>
      <c r="C30" s="4" t="n">
        <v>288</v>
      </c>
      <c r="D30" s="4" t="n">
        <v>272</v>
      </c>
      <c r="E30" s="4" t="n">
        <v>272</v>
      </c>
      <c r="F30" s="5" t="n"/>
      <c r="G30" s="5" t="n"/>
      <c r="H30" s="5" t="n"/>
      <c r="I30" s="5" t="n"/>
      <c r="J30" s="5" t="n"/>
      <c r="K30" s="5" t="n"/>
    </row>
    <row r="31">
      <c r="A31" s="3" t="inlineStr">
        <is>
          <t>Total Stockholders' Equity</t>
        </is>
      </c>
      <c r="B31" s="6">
        <f>SUM(B23:B30)</f>
        <v/>
      </c>
      <c r="C31" s="6">
        <f>SUM(C23:C30)</f>
        <v/>
      </c>
      <c r="D31" s="6">
        <f>SUM(D23:D30)</f>
        <v/>
      </c>
      <c r="E31" s="6">
        <f>SUM(E23:E30)</f>
        <v/>
      </c>
      <c r="F31" s="7">
        <f>SUM(F23:F30)</f>
        <v/>
      </c>
      <c r="G31" s="7">
        <f>SUM(G23:G30)</f>
        <v/>
      </c>
      <c r="H31" s="7">
        <f>SUM(H23:H30)</f>
        <v/>
      </c>
      <c r="I31" s="7">
        <f>SUM(I23:I30)</f>
        <v/>
      </c>
      <c r="J31" s="7">
        <f>SUM(J23:J30)</f>
        <v/>
      </c>
      <c r="K31" s="7">
        <f>SUM(K23:K30)</f>
        <v/>
      </c>
    </row>
    <row r="32">
      <c r="A32" s="3" t="inlineStr">
        <is>
          <t>Total Liabilities, Mezzanine &amp; Stockholders' Equity</t>
        </is>
      </c>
      <c r="B32" s="6">
        <f>B22+B31</f>
        <v/>
      </c>
      <c r="C32" s="6">
        <f>C22+C31</f>
        <v/>
      </c>
      <c r="D32" s="6">
        <f>D22+D31</f>
        <v/>
      </c>
      <c r="E32" s="6">
        <f>E22+E31</f>
        <v/>
      </c>
      <c r="F32" s="7">
        <f>F22+F31</f>
        <v/>
      </c>
      <c r="G32" s="7">
        <f>G22+G31</f>
        <v/>
      </c>
      <c r="H32" s="7">
        <f>H22+H31</f>
        <v/>
      </c>
      <c r="I32" s="7">
        <f>I22+I31</f>
        <v/>
      </c>
      <c r="J32" s="7">
        <f>J22+J31</f>
        <v/>
      </c>
      <c r="K32" s="7">
        <f>K22+K31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Income (Loss)</t>
        </is>
      </c>
      <c r="B2" s="4" t="n">
        <v>14352</v>
      </c>
      <c r="C2" s="4" t="n">
        <v>14793</v>
      </c>
      <c r="D2" s="4" t="n">
        <v>14738</v>
      </c>
      <c r="E2" s="4" t="n">
        <v>14974</v>
      </c>
      <c r="F2" s="4" t="n">
        <v>16065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Depreciation &amp; Amortization</t>
        </is>
      </c>
      <c r="B3" s="4" t="n">
        <v>2735</v>
      </c>
      <c r="C3" s="4" t="n">
        <v>2807</v>
      </c>
      <c r="D3" s="4" t="n">
        <v>2714</v>
      </c>
      <c r="E3" s="4" t="n">
        <v>2896</v>
      </c>
      <c r="F3" s="4" t="n">
        <v>2847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Gain (Loss) on Extinguishment of Debt</t>
        </is>
      </c>
      <c r="B4" s="4" t="n">
        <v>512</v>
      </c>
      <c r="C4" s="4" t="n">
        <v>0</v>
      </c>
      <c r="D4" s="4" t="n">
        <v>0</v>
      </c>
      <c r="E4" s="4" t="n">
        <v>0</v>
      </c>
      <c r="F4" s="4" t="n">
        <v>0</v>
      </c>
      <c r="G4" s="5" t="n"/>
      <c r="H4" s="5" t="n"/>
      <c r="I4" s="5" t="n"/>
      <c r="J4" s="5" t="n"/>
      <c r="K4" s="5" t="n"/>
      <c r="L4" s="5" t="n"/>
    </row>
    <row r="5">
      <c r="A5" s="3" t="inlineStr">
        <is>
          <t>Stock-Based Compensation</t>
        </is>
      </c>
      <c r="B5" s="4" t="n">
        <v>540</v>
      </c>
      <c r="C5" s="4" t="n">
        <v>528</v>
      </c>
      <c r="D5" s="4" t="n">
        <v>545</v>
      </c>
      <c r="E5" s="4" t="n">
        <v>562</v>
      </c>
      <c r="F5" s="4" t="n">
        <v>476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(Benefit) Provision for Deferred Income Taxes</t>
        </is>
      </c>
      <c r="B6" s="4" t="n">
        <v>-258</v>
      </c>
      <c r="C6" s="4" t="n">
        <v>-402</v>
      </c>
      <c r="D6" s="4" t="n">
        <v>-453</v>
      </c>
      <c r="E6" s="4" t="n">
        <v>-244</v>
      </c>
      <c r="F6" s="4" t="n">
        <v>149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Gain (Loss) on Disposal of PP&amp;E</t>
        </is>
      </c>
      <c r="B7" s="4" t="n">
        <v>-16</v>
      </c>
      <c r="C7" s="4" t="n">
        <v>-85</v>
      </c>
      <c r="D7" s="4" t="n">
        <v>-40</v>
      </c>
      <c r="E7" s="4" t="n">
        <v>-215</v>
      </c>
      <c r="F7" s="4" t="n">
        <v>755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1341</v>
      </c>
      <c r="F8" s="4" t="n">
        <v>0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Accounts Receivable</t>
        </is>
      </c>
      <c r="B9" s="4" t="n">
        <v>-342</v>
      </c>
      <c r="C9" s="4" t="n">
        <v>-694</v>
      </c>
      <c r="D9" s="4" t="n">
        <v>-307</v>
      </c>
      <c r="E9" s="4" t="n">
        <v>-766</v>
      </c>
      <c r="F9" s="4" t="n">
        <v>45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Inventories</t>
        </is>
      </c>
      <c r="B10" s="4" t="n">
        <v>-309</v>
      </c>
      <c r="C10" s="4" t="n">
        <v>-1247</v>
      </c>
      <c r="D10" s="4" t="n">
        <v>-119</v>
      </c>
      <c r="E10" s="4" t="n">
        <v>-70</v>
      </c>
      <c r="F10" s="4" t="n">
        <v>-324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Accounts Payable</t>
        </is>
      </c>
      <c r="B11" s="4" t="n">
        <v>1391</v>
      </c>
      <c r="C11" s="4" t="n">
        <v>1429</v>
      </c>
      <c r="D11" s="4" t="n">
        <v>313</v>
      </c>
      <c r="E11" s="4" t="n">
        <v>1814</v>
      </c>
      <c r="F11" s="4" t="n">
        <v>-542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Net Change in Other Working Capital</t>
        </is>
      </c>
      <c r="B12" s="4" t="n">
        <v>-369</v>
      </c>
      <c r="C12" s="4" t="n">
        <v>-635</v>
      </c>
      <c r="D12" s="4" t="n">
        <v>-1107</v>
      </c>
      <c r="E12" s="4" t="n">
        <v>-1414</v>
      </c>
      <c r="F12" s="4" t="n">
        <v>0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Other Operating Items</t>
        </is>
      </c>
      <c r="B13" s="4" t="n">
        <v>135</v>
      </c>
      <c r="C13" s="4" t="n">
        <v>229</v>
      </c>
      <c r="D13" s="4" t="n">
        <v>564</v>
      </c>
      <c r="E13" s="4" t="n">
        <v>969</v>
      </c>
      <c r="F13" s="4" t="n">
        <v>-1653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7">
        <f>SUM(G2:G13)</f>
        <v/>
      </c>
      <c r="H14" s="7">
        <f>SUM(H2:H13)</f>
        <v/>
      </c>
      <c r="I14" s="7">
        <f>SUM(I2:I13)</f>
        <v/>
      </c>
      <c r="J14" s="7">
        <f>SUM(J2:J13)</f>
        <v/>
      </c>
      <c r="K14" s="7">
        <f>SUM(K2:K13)</f>
        <v/>
      </c>
      <c r="L14" s="7">
        <f>SUM(L2:L13)</f>
        <v/>
      </c>
    </row>
    <row r="15">
      <c r="A15" s="3" t="inlineStr">
        <is>
          <t>Purchase of PP&amp;E</t>
        </is>
      </c>
      <c r="B15" s="4" t="n">
        <v>-2787</v>
      </c>
      <c r="C15" s="4" t="n">
        <v>-3156</v>
      </c>
      <c r="D15" s="4" t="n">
        <v>-3062</v>
      </c>
      <c r="E15" s="4" t="n">
        <v>-3322</v>
      </c>
      <c r="F15" s="4" t="n">
        <v>-3773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Proceeds from Sale of Assets</t>
        </is>
      </c>
      <c r="B16" s="4" t="n">
        <v>42</v>
      </c>
      <c r="C16" s="4" t="n">
        <v>110</v>
      </c>
      <c r="D16" s="4" t="n">
        <v>46</v>
      </c>
      <c r="E16" s="4" t="n">
        <v>346</v>
      </c>
      <c r="F16" s="4" t="n">
        <v>107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Acquisitions, Net of Cash Acquired</t>
        </is>
      </c>
      <c r="B17" s="4" t="n">
        <v>-34</v>
      </c>
      <c r="C17" s="4" t="n">
        <v>-1381</v>
      </c>
      <c r="D17" s="4" t="n">
        <v>-765</v>
      </c>
      <c r="E17" s="4" t="n">
        <v>-21</v>
      </c>
      <c r="F17" s="4" t="n">
        <v>-11</v>
      </c>
      <c r="G17" s="5" t="n"/>
      <c r="H17" s="5" t="n"/>
      <c r="I17" s="5" t="n"/>
      <c r="J17" s="5" t="n"/>
      <c r="K17" s="5" t="n"/>
      <c r="L17" s="5" t="n"/>
    </row>
    <row r="18">
      <c r="A18" s="3" t="inlineStr">
        <is>
          <t>Other Investing Activities</t>
        </is>
      </c>
      <c r="B18" s="4" t="n">
        <v>-55</v>
      </c>
      <c r="C18" s="4" t="n">
        <v>3</v>
      </c>
      <c r="D18" s="4" t="n">
        <v>281</v>
      </c>
      <c r="E18" s="4" t="n">
        <v>-507</v>
      </c>
      <c r="F18" s="4" t="n">
        <v>-141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Cash Flow from Investing</t>
        </is>
      </c>
      <c r="B19" s="6">
        <f>SUM(B15:B18)</f>
        <v/>
      </c>
      <c r="C19" s="6">
        <f>SUM(C15:C18)</f>
        <v/>
      </c>
      <c r="D19" s="6">
        <f>SUM(D15:D18)</f>
        <v/>
      </c>
      <c r="E19" s="6">
        <f>SUM(E15:E18)</f>
        <v/>
      </c>
      <c r="F19" s="6">
        <f>SUM(F15:F18)</f>
        <v/>
      </c>
      <c r="G19" s="7">
        <f>SUM(G15:G18)</f>
        <v/>
      </c>
      <c r="H19" s="7">
        <f>SUM(H15:H18)</f>
        <v/>
      </c>
      <c r="I19" s="7">
        <f>SUM(I15:I18)</f>
        <v/>
      </c>
      <c r="J19" s="7">
        <f>SUM(J15:J18)</f>
        <v/>
      </c>
      <c r="K19" s="7">
        <f>SUM(K15:K18)</f>
        <v/>
      </c>
      <c r="L19" s="7">
        <f>SUM(L15:L18)</f>
        <v/>
      </c>
    </row>
    <row r="20">
      <c r="A20" s="3" t="inlineStr">
        <is>
          <t>Common Dividends</t>
        </is>
      </c>
      <c r="B20" s="4" t="n">
        <v>-8263</v>
      </c>
      <c r="C20" s="4" t="n">
        <v>-8770</v>
      </c>
      <c r="D20" s="4" t="n">
        <v>-8999</v>
      </c>
      <c r="E20" s="4" t="n">
        <v>-9312</v>
      </c>
      <c r="F20" s="4" t="n">
        <v>-9872</v>
      </c>
      <c r="G20" s="5" t="n"/>
      <c r="H20" s="5" t="n"/>
      <c r="I20" s="5" t="n"/>
      <c r="J20" s="5" t="n"/>
      <c r="K20" s="5" t="n"/>
      <c r="L20" s="5" t="n"/>
    </row>
    <row r="21">
      <c r="A21" s="3" t="inlineStr">
        <is>
          <t>Proceeds from Short-Term Debt</t>
        </is>
      </c>
      <c r="B21" s="4" t="n">
        <v>7675</v>
      </c>
      <c r="C21" s="4" t="n">
        <v>10411</v>
      </c>
      <c r="D21" s="4" t="n">
        <v>17168</v>
      </c>
      <c r="E21" s="4" t="n">
        <v>3528</v>
      </c>
      <c r="F21" s="4" t="n">
        <v>8020</v>
      </c>
      <c r="G21" s="5" t="n"/>
      <c r="H21" s="5" t="n"/>
      <c r="I21" s="5" t="n"/>
      <c r="J21" s="5" t="n"/>
      <c r="K21" s="5" t="n"/>
      <c r="L21" s="5" t="n"/>
    </row>
    <row r="22">
      <c r="A22" s="3" t="inlineStr">
        <is>
          <t>Repayments of Short-Term Debt</t>
        </is>
      </c>
      <c r="B22" s="4" t="n">
        <v>-7577</v>
      </c>
      <c r="C22" s="4" t="n">
        <v>-11478</v>
      </c>
      <c r="D22" s="4" t="n">
        <v>-13031</v>
      </c>
      <c r="E22" s="4" t="n">
        <v>-7689</v>
      </c>
      <c r="F22" s="4" t="n">
        <v>-6512</v>
      </c>
      <c r="G22" s="5" t="n"/>
      <c r="H22" s="5" t="n"/>
      <c r="I22" s="5" t="n"/>
      <c r="J22" s="5" t="n"/>
      <c r="K22" s="5" t="n"/>
      <c r="L22" s="5" t="n"/>
    </row>
    <row r="23">
      <c r="A23" s="3" t="inlineStr">
        <is>
          <t>Net Change in Other Short-Term Debt</t>
        </is>
      </c>
      <c r="B23" s="4" t="n">
        <v>-3431</v>
      </c>
      <c r="C23" s="4" t="n">
        <v>917</v>
      </c>
      <c r="D23" s="4" t="n">
        <v>-3319</v>
      </c>
      <c r="E23" s="4" t="n">
        <v>857</v>
      </c>
      <c r="F23" s="4" t="n">
        <v>-1138</v>
      </c>
      <c r="G23" s="5" t="n"/>
      <c r="H23" s="5" t="n"/>
      <c r="I23" s="5" t="n"/>
      <c r="J23" s="5" t="n"/>
      <c r="K23" s="5" t="n"/>
      <c r="L23" s="5" t="n"/>
    </row>
    <row r="24">
      <c r="A24" s="3" t="inlineStr">
        <is>
          <t>Proceeds from Issuance of Long-Term Debt</t>
        </is>
      </c>
      <c r="B24" s="4" t="n">
        <v>4417</v>
      </c>
      <c r="C24" s="4" t="n">
        <v>4385</v>
      </c>
      <c r="D24" s="4" t="n">
        <v>3997</v>
      </c>
      <c r="E24" s="4" t="n">
        <v>3197</v>
      </c>
      <c r="F24" s="4" t="n">
        <v>2237</v>
      </c>
      <c r="G24" s="5" t="n"/>
      <c r="H24" s="5" t="n"/>
      <c r="I24" s="5" t="n"/>
      <c r="J24" s="5" t="n"/>
      <c r="K24" s="5" t="n"/>
      <c r="L24" s="5" t="n"/>
    </row>
    <row r="25">
      <c r="A25" s="3" t="inlineStr">
        <is>
          <t>Repayments of Long-Term Debt</t>
        </is>
      </c>
      <c r="B25" s="4" t="n">
        <v>-4987</v>
      </c>
      <c r="C25" s="4" t="n">
        <v>-2343</v>
      </c>
      <c r="D25" s="4" t="n">
        <v>-1878</v>
      </c>
      <c r="E25" s="4" t="n">
        <v>-2335</v>
      </c>
      <c r="F25" s="4" t="n">
        <v>-1977</v>
      </c>
      <c r="G25" s="5" t="n"/>
      <c r="H25" s="5" t="n"/>
      <c r="I25" s="5" t="n"/>
      <c r="J25" s="5" t="n"/>
      <c r="K25" s="5" t="n"/>
      <c r="L25" s="5" t="n"/>
    </row>
    <row r="26">
      <c r="A26" s="3" t="inlineStr">
        <is>
          <t>Share Repurchases</t>
        </is>
      </c>
      <c r="B26" s="4" t="n">
        <v>-11009</v>
      </c>
      <c r="C26" s="4" t="n">
        <v>-10003</v>
      </c>
      <c r="D26" s="4" t="n">
        <v>-7353</v>
      </c>
      <c r="E26" s="4" t="n">
        <v>-5006</v>
      </c>
      <c r="F26" s="4" t="n">
        <v>-6500</v>
      </c>
      <c r="G26" s="5" t="n"/>
      <c r="H26" s="5" t="n"/>
      <c r="I26" s="5" t="n"/>
      <c r="J26" s="5" t="n"/>
      <c r="K26" s="5" t="n"/>
      <c r="L26" s="5" t="n"/>
    </row>
    <row r="27">
      <c r="A27" s="3" t="inlineStr">
        <is>
          <t>Stock Options &amp; Other Financing Activities</t>
        </is>
      </c>
      <c r="B27" s="4" t="n">
        <v>1644</v>
      </c>
      <c r="C27" s="4" t="n">
        <v>2005</v>
      </c>
      <c r="D27" s="4" t="n">
        <v>1269</v>
      </c>
      <c r="E27" s="4" t="n">
        <v>1905</v>
      </c>
      <c r="F27" s="4" t="n">
        <v>1707</v>
      </c>
      <c r="G27" s="5" t="n"/>
      <c r="H27" s="5" t="n"/>
      <c r="I27" s="5" t="n"/>
      <c r="J27" s="5" t="n"/>
      <c r="K27" s="5" t="n"/>
      <c r="L27" s="5" t="n"/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  <c r="L28" s="7">
        <f>SUM(L20:L27)</f>
        <v/>
      </c>
    </row>
    <row r="29">
      <c r="A29" s="3" t="inlineStr">
        <is>
          <t>FX Effect on Cash</t>
        </is>
      </c>
      <c r="B29" s="4" t="n">
        <v>101</v>
      </c>
      <c r="C29" s="4" t="n">
        <v>-497</v>
      </c>
      <c r="D29" s="4" t="n">
        <v>-170</v>
      </c>
      <c r="E29" s="4" t="n">
        <v>-251</v>
      </c>
      <c r="F29" s="4" t="n">
        <v>112</v>
      </c>
      <c r="G29" s="5" t="n"/>
      <c r="H29" s="5" t="n"/>
      <c r="I29" s="5" t="n"/>
      <c r="J29" s="5" t="n"/>
      <c r="K29" s="5" t="n"/>
      <c r="L29" s="5" t="n"/>
    </row>
    <row r="30">
      <c r="A30" s="3" t="inlineStr">
        <is>
          <t>Net Change in Cash</t>
        </is>
      </c>
      <c r="B30" s="6">
        <f>B14+B19+B28+B29</f>
        <v/>
      </c>
      <c r="C30" s="6">
        <f>C14+C19+C28+C29</f>
        <v/>
      </c>
      <c r="D30" s="6">
        <f>D14+D19+D28+D29</f>
        <v/>
      </c>
      <c r="E30" s="6">
        <f>E14+E19+E28+E29</f>
        <v/>
      </c>
      <c r="F30" s="6">
        <f>F14+F19+F28+F29</f>
        <v/>
      </c>
      <c r="G30" s="7">
        <f>G14+G19+G28+G29</f>
        <v/>
      </c>
      <c r="H30" s="7">
        <f>H14+H19+H28+H29</f>
        <v/>
      </c>
      <c r="I30" s="7">
        <f>I14+I19+I28+I29</f>
        <v/>
      </c>
      <c r="J30" s="7">
        <f>J14+J19+J28+J29</f>
        <v/>
      </c>
      <c r="K30" s="7">
        <f>K14+K19+K28+K29</f>
        <v/>
      </c>
      <c r="L30" s="7">
        <f>L14+L19+L28+L29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Sales / Revenue</t>
        </is>
      </c>
      <c r="B2" s="4" t="n">
        <v>20338</v>
      </c>
      <c r="C2" s="4" t="n">
        <v>41291</v>
      </c>
      <c r="D2" s="4" t="n">
        <v>60672</v>
      </c>
      <c r="E2" s="4" t="n">
        <v>20612</v>
      </c>
      <c r="F2" s="4" t="n">
        <v>41385</v>
      </c>
      <c r="G2" s="4" t="n">
        <v>61453</v>
      </c>
      <c r="H2" s="4" t="n">
        <v>21871</v>
      </c>
      <c r="I2" s="4" t="n">
        <v>43312</v>
      </c>
      <c r="J2" s="4" t="n">
        <v>63507</v>
      </c>
      <c r="K2" s="4" t="n">
        <v>21737</v>
      </c>
      <c r="L2" s="4" t="n">
        <v>43619</v>
      </c>
      <c r="M2" s="4" t="n">
        <v>63395</v>
      </c>
      <c r="N2" s="4" t="n">
        <v>22386</v>
      </c>
      <c r="O2" s="4" t="n">
        <v>44594</v>
      </c>
    </row>
    <row r="3">
      <c r="A3" s="3" t="inlineStr">
        <is>
          <t>COGS</t>
        </is>
      </c>
      <c r="B3" s="4" t="n">
        <v>-10365</v>
      </c>
      <c r="C3" s="4" t="n">
        <v>-21029</v>
      </c>
      <c r="D3" s="4" t="n">
        <v>-31355</v>
      </c>
      <c r="E3" s="4" t="n">
        <v>-10846</v>
      </c>
      <c r="F3" s="4" t="n">
        <v>-21743</v>
      </c>
      <c r="G3" s="4" t="n">
        <v>-32147</v>
      </c>
      <c r="H3" s="4" t="n">
        <v>-10501</v>
      </c>
      <c r="I3" s="4" t="n">
        <v>-20645</v>
      </c>
      <c r="J3" s="4" t="n">
        <v>-30500</v>
      </c>
      <c r="K3" s="4" t="n">
        <v>-10421</v>
      </c>
      <c r="L3" s="4" t="n">
        <v>-20839</v>
      </c>
      <c r="M3" s="4" t="n">
        <v>-30533</v>
      </c>
      <c r="N3" s="4" t="n">
        <v>-10887</v>
      </c>
      <c r="O3" s="4" t="n">
        <v>-21721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</row>
    <row r="5">
      <c r="A5" s="3" t="inlineStr">
        <is>
          <t>SG&amp;A</t>
        </is>
      </c>
      <c r="B5" s="4" t="n">
        <v>-4950</v>
      </c>
      <c r="C5" s="4" t="n">
        <v>-10071</v>
      </c>
      <c r="D5" s="4" t="n">
        <v>-15102</v>
      </c>
      <c r="E5" s="4" t="n">
        <v>-4827</v>
      </c>
      <c r="F5" s="4" t="n">
        <v>-9918</v>
      </c>
      <c r="G5" s="4" t="n">
        <v>-15334</v>
      </c>
      <c r="H5" s="4" t="n">
        <v>-5604</v>
      </c>
      <c r="I5" s="4" t="n">
        <v>-11127</v>
      </c>
      <c r="J5" s="4" t="n">
        <v>-17006</v>
      </c>
      <c r="K5" s="4" t="n">
        <v>-5519</v>
      </c>
      <c r="L5" s="4" t="n">
        <v>-11242</v>
      </c>
      <c r="M5" s="4" t="n">
        <v>-16765</v>
      </c>
      <c r="N5" s="4" t="n">
        <v>-5643</v>
      </c>
      <c r="O5" s="4" t="n">
        <v>-11651</v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-1341</v>
      </c>
      <c r="J6" s="4" t="n">
        <v>-1341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  <c r="N7" s="6">
        <f>N4+SUM(N5:N6)</f>
        <v/>
      </c>
      <c r="O7" s="6">
        <f>O4+SUM(O5:O6)</f>
        <v/>
      </c>
    </row>
    <row r="8">
      <c r="A8" s="3" t="inlineStr">
        <is>
          <t>Interest Income (Expense)</t>
        </is>
      </c>
      <c r="B8" s="4" t="n">
        <v>-98</v>
      </c>
      <c r="C8" s="4" t="n">
        <v>-194</v>
      </c>
      <c r="D8" s="4" t="n">
        <v>-294</v>
      </c>
      <c r="E8" s="4" t="n">
        <v>-81</v>
      </c>
      <c r="F8" s="4" t="n">
        <v>-186</v>
      </c>
      <c r="G8" s="4" t="n">
        <v>-325</v>
      </c>
      <c r="H8" s="4" t="n">
        <v>-97</v>
      </c>
      <c r="I8" s="4" t="n">
        <v>-210</v>
      </c>
      <c r="J8" s="4" t="n">
        <v>-339</v>
      </c>
      <c r="K8" s="4" t="n">
        <v>-103</v>
      </c>
      <c r="L8" s="4" t="n">
        <v>-224</v>
      </c>
      <c r="M8" s="4" t="n">
        <v>-330</v>
      </c>
      <c r="N8" s="4" t="n">
        <v>-89</v>
      </c>
      <c r="O8" s="4" t="n">
        <v>-195</v>
      </c>
    </row>
    <row r="9">
      <c r="A9" s="3" t="inlineStr">
        <is>
          <t>Other Income (Expense)</t>
        </is>
      </c>
      <c r="B9" s="4" t="n">
        <v>110</v>
      </c>
      <c r="C9" s="4" t="n">
        <v>277</v>
      </c>
      <c r="D9" s="4" t="n">
        <v>424</v>
      </c>
      <c r="E9" s="4" t="n">
        <v>139</v>
      </c>
      <c r="F9" s="4" t="n">
        <v>294</v>
      </c>
      <c r="G9" s="4" t="n">
        <v>473</v>
      </c>
      <c r="H9" s="4" t="n">
        <v>132</v>
      </c>
      <c r="I9" s="4" t="n">
        <v>309</v>
      </c>
      <c r="J9" s="4" t="n">
        <v>570</v>
      </c>
      <c r="K9" s="4" t="n">
        <v>-554</v>
      </c>
      <c r="L9" s="4" t="n">
        <v>-330</v>
      </c>
      <c r="M9" s="4" t="n">
        <v>-120</v>
      </c>
      <c r="N9" s="4" t="n">
        <v>268</v>
      </c>
      <c r="O9" s="4" t="n">
        <v>427</v>
      </c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6">
        <f>G7+SUM(G8:G9)</f>
        <v/>
      </c>
      <c r="H10" s="6">
        <f>H7+SUM(H8:H9)</f>
        <v/>
      </c>
      <c r="I10" s="6">
        <f>I7+SUM(I8:I9)</f>
        <v/>
      </c>
      <c r="J10" s="6">
        <f>J7+SUM(J8:J9)</f>
        <v/>
      </c>
      <c r="K10" s="6">
        <f>K7+SUM(K8:K9)</f>
        <v/>
      </c>
      <c r="L10" s="6">
        <f>L7+SUM(L8:L9)</f>
        <v/>
      </c>
      <c r="M10" s="6">
        <f>M7+SUM(M8:M9)</f>
        <v/>
      </c>
      <c r="N10" s="6">
        <f>N7+SUM(N8:N9)</f>
        <v/>
      </c>
      <c r="O10" s="6">
        <f>O7+SUM(O8:O9)</f>
        <v/>
      </c>
    </row>
    <row r="11">
      <c r="A11" s="3" t="inlineStr">
        <is>
          <t>Income Tax (Expense) Benefit</t>
        </is>
      </c>
      <c r="B11" s="4" t="n">
        <v>-909</v>
      </c>
      <c r="C11" s="4" t="n">
        <v>-1906</v>
      </c>
      <c r="D11" s="4" t="n">
        <v>-2610</v>
      </c>
      <c r="E11" s="4" t="n">
        <v>-1034</v>
      </c>
      <c r="F11" s="4" t="n">
        <v>-1910</v>
      </c>
      <c r="G11" s="4" t="n">
        <v>-2774</v>
      </c>
      <c r="H11" s="4" t="n">
        <v>-1246</v>
      </c>
      <c r="I11" s="4" t="n">
        <v>-2250</v>
      </c>
      <c r="J11" s="4" t="n">
        <v>-3061</v>
      </c>
      <c r="K11" s="4" t="n">
        <v>-1152</v>
      </c>
      <c r="L11" s="4" t="n">
        <v>-2339</v>
      </c>
      <c r="M11" s="4" t="n">
        <v>-3207</v>
      </c>
      <c r="N11" s="4" t="n">
        <v>-1253</v>
      </c>
      <c r="O11" s="4" t="n">
        <v>-2343</v>
      </c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6">
        <f>G10+G11</f>
        <v/>
      </c>
      <c r="H12" s="6">
        <f>H10+H11</f>
        <v/>
      </c>
      <c r="I12" s="6">
        <f>I10+I11</f>
        <v/>
      </c>
      <c r="J12" s="6">
        <f>J10+J11</f>
        <v/>
      </c>
      <c r="K12" s="6">
        <f>K10+K11</f>
        <v/>
      </c>
      <c r="L12" s="6">
        <f>L10+L11</f>
        <v/>
      </c>
      <c r="M12" s="6">
        <f>M10+M11</f>
        <v/>
      </c>
      <c r="N12" s="6">
        <f>N10+N11</f>
        <v/>
      </c>
      <c r="O12" s="6">
        <f>O10+O11</f>
        <v/>
      </c>
    </row>
    <row r="13">
      <c r="A13" s="3" t="inlineStr">
        <is>
          <t>Net Income (Loss) Attributable to Noncontrolling Interest</t>
        </is>
      </c>
      <c r="B13" s="4" t="n">
        <v>14</v>
      </c>
      <c r="C13" s="4" t="n">
        <v>33</v>
      </c>
      <c r="D13" s="4" t="n">
        <v>45</v>
      </c>
      <c r="E13" s="4" t="n">
        <v>24</v>
      </c>
      <c r="F13" s="4" t="n">
        <v>50</v>
      </c>
      <c r="G13" s="4" t="n">
        <v>77</v>
      </c>
      <c r="H13" s="4" t="n">
        <v>35</v>
      </c>
      <c r="I13" s="4" t="n">
        <v>60</v>
      </c>
      <c r="J13" s="4" t="n">
        <v>88</v>
      </c>
      <c r="K13" s="4" t="n">
        <v>28</v>
      </c>
      <c r="L13" s="4" t="n">
        <v>56</v>
      </c>
      <c r="M13" s="4" t="n">
        <v>80</v>
      </c>
      <c r="N13" s="4" t="n">
        <v>31</v>
      </c>
      <c r="O13" s="4" t="n">
        <v>42</v>
      </c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6">
        <f>G12-G13</f>
        <v/>
      </c>
      <c r="H14" s="6">
        <f>H12-H13</f>
        <v/>
      </c>
      <c r="I14" s="6">
        <f>I12-I13</f>
        <v/>
      </c>
      <c r="J14" s="6">
        <f>J12-J13</f>
        <v/>
      </c>
      <c r="K14" s="6">
        <f>K12-K13</f>
        <v/>
      </c>
      <c r="L14" s="6">
        <f>L12-L13</f>
        <v/>
      </c>
      <c r="M14" s="6">
        <f>M12-M13</f>
        <v/>
      </c>
      <c r="N14" s="6">
        <f>N12-N13</f>
        <v/>
      </c>
      <c r="O14" s="6">
        <f>O12-O13</f>
        <v/>
      </c>
    </row>
    <row r="15">
      <c r="A15" s="3" t="inlineStr">
        <is>
          <t>Basic Earnings (Loss) per Share</t>
        </is>
      </c>
      <c r="B15" s="8" t="n">
        <v>1.66</v>
      </c>
      <c r="C15" s="8" t="n">
        <v>3.39</v>
      </c>
      <c r="D15" s="8" t="n">
        <v>4.76</v>
      </c>
      <c r="E15" s="8" t="n">
        <v>1.62</v>
      </c>
      <c r="F15" s="8" t="n">
        <v>3.25</v>
      </c>
      <c r="G15" s="8" t="n">
        <v>4.67</v>
      </c>
      <c r="H15" s="8" t="n">
        <v>1.89</v>
      </c>
      <c r="I15" s="8" t="n">
        <v>3.33</v>
      </c>
      <c r="J15" s="8" t="n">
        <v>4.89</v>
      </c>
      <c r="K15" s="8" t="n">
        <v>1.65</v>
      </c>
      <c r="L15" s="8" t="n">
        <v>3.59</v>
      </c>
      <c r="M15" s="8" t="n">
        <v>5.16</v>
      </c>
      <c r="N15" s="8" t="n">
        <v>2</v>
      </c>
      <c r="O15" s="8" t="n">
        <v>3.82</v>
      </c>
    </row>
    <row r="16">
      <c r="A16" s="3" t="inlineStr">
        <is>
          <t>Diluted Earnings (Loss) per Share</t>
        </is>
      </c>
      <c r="B16" s="8" t="n">
        <v>1.61</v>
      </c>
      <c r="C16" s="8" t="n">
        <v>3.27</v>
      </c>
      <c r="D16" s="8" t="n">
        <v>4.59</v>
      </c>
      <c r="E16" s="8" t="n">
        <v>1.57</v>
      </c>
      <c r="F16" s="8" t="n">
        <v>3.16</v>
      </c>
      <c r="G16" s="8" t="n">
        <v>4.53</v>
      </c>
      <c r="H16" s="8" t="n">
        <v>1.83</v>
      </c>
      <c r="I16" s="8" t="n">
        <v>3.23</v>
      </c>
      <c r="J16" s="8" t="n">
        <v>4.75</v>
      </c>
      <c r="K16" s="8" t="n">
        <v>1.61</v>
      </c>
      <c r="L16" s="8" t="n">
        <v>3.49</v>
      </c>
      <c r="M16" s="8" t="n">
        <v>5.03</v>
      </c>
      <c r="N16" s="8" t="n">
        <v>1.95</v>
      </c>
      <c r="O16" s="8" t="n">
        <v>3.73</v>
      </c>
    </row>
    <row r="17">
      <c r="A17" s="3" t="inlineStr">
        <is>
          <t>Weighted Average Shares Outstanding (Basic)</t>
        </is>
      </c>
      <c r="B17" s="4" t="n">
        <v>2558900000</v>
      </c>
      <c r="C17" s="4" t="n">
        <v>2551600000</v>
      </c>
      <c r="D17" s="4" t="n">
        <v>2544400000</v>
      </c>
      <c r="E17" s="4" t="n">
        <v>2503600000</v>
      </c>
      <c r="F17" s="4" t="n">
        <v>2492400000</v>
      </c>
      <c r="G17" s="4" t="n">
        <v>2486000000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 t="n">
        <v>7214</v>
      </c>
      <c r="C2" s="4" t="n">
        <v>6710</v>
      </c>
      <c r="D2" s="4" t="n">
        <v>6854</v>
      </c>
      <c r="E2" s="4" t="n">
        <v>7596</v>
      </c>
      <c r="F2" s="4" t="n">
        <v>8246</v>
      </c>
      <c r="G2" s="4" t="n">
        <v>9733</v>
      </c>
      <c r="H2" s="4" t="n">
        <v>7890</v>
      </c>
      <c r="I2" s="4" t="n">
        <v>6828</v>
      </c>
      <c r="J2" s="4" t="n">
        <v>9482</v>
      </c>
      <c r="K2" s="4" t="n">
        <v>12156</v>
      </c>
      <c r="L2" s="4" t="n">
        <v>10230</v>
      </c>
      <c r="M2" s="4" t="n">
        <v>9116</v>
      </c>
      <c r="N2" s="4" t="n">
        <v>9556</v>
      </c>
      <c r="O2" s="4" t="n">
        <v>11171</v>
      </c>
      <c r="P2" s="4" t="n">
        <v>10825</v>
      </c>
    </row>
    <row r="3">
      <c r="A3" s="3" t="inlineStr">
        <is>
          <t>Accounts Receivable</t>
        </is>
      </c>
      <c r="B3" s="4" t="n">
        <v>5143</v>
      </c>
      <c r="C3" s="4" t="n">
        <v>5720</v>
      </c>
      <c r="D3" s="4" t="n">
        <v>5767</v>
      </c>
      <c r="E3" s="4" t="n">
        <v>5471</v>
      </c>
      <c r="F3" s="4" t="n">
        <v>5471</v>
      </c>
      <c r="G3" s="4" t="n">
        <v>6215</v>
      </c>
      <c r="H3" s="4" t="n">
        <v>6334</v>
      </c>
      <c r="I3" s="4" t="n">
        <v>6124</v>
      </c>
      <c r="J3" s="4" t="n">
        <v>6118</v>
      </c>
      <c r="K3" s="4" t="n">
        <v>6314</v>
      </c>
      <c r="L3" s="4" t="n">
        <v>6234</v>
      </c>
      <c r="M3" s="4" t="n">
        <v>6139</v>
      </c>
      <c r="N3" s="4" t="n">
        <v>6185</v>
      </c>
      <c r="O3" s="4" t="n">
        <v>6487</v>
      </c>
      <c r="P3" s="4" t="n">
        <v>6279</v>
      </c>
    </row>
    <row r="4">
      <c r="A4" s="3" t="inlineStr">
        <is>
          <t>Raw Materials</t>
        </is>
      </c>
      <c r="B4" s="4" t="n">
        <v>2168</v>
      </c>
      <c r="C4" s="4" t="n">
        <v>2235</v>
      </c>
      <c r="D4" s="4" t="n">
        <v>2232</v>
      </c>
      <c r="E4" s="4" t="n">
        <v>2010</v>
      </c>
      <c r="F4" s="4" t="n">
        <v>1863</v>
      </c>
      <c r="G4" s="4" t="n">
        <v>1759</v>
      </c>
      <c r="H4" s="4" t="n">
        <v>1780</v>
      </c>
      <c r="I4" s="4" t="n">
        <v>1676</v>
      </c>
      <c r="J4" s="4" t="n">
        <v>1617</v>
      </c>
      <c r="K4" s="4" t="n">
        <v>1820</v>
      </c>
      <c r="L4" s="4" t="n">
        <v>1949</v>
      </c>
      <c r="M4" s="4" t="n">
        <v>1935</v>
      </c>
      <c r="N4" s="4" t="n">
        <v>2022</v>
      </c>
      <c r="O4" s="4" t="n">
        <v>2072</v>
      </c>
      <c r="P4" s="4" t="n">
        <v>2139</v>
      </c>
    </row>
    <row r="5">
      <c r="A5" s="3" t="inlineStr">
        <is>
          <t>Work in Process</t>
        </is>
      </c>
      <c r="B5" s="4" t="n">
        <v>856</v>
      </c>
      <c r="C5" s="4" t="n">
        <v>898</v>
      </c>
      <c r="D5" s="4" t="n">
        <v>946</v>
      </c>
      <c r="E5" s="4" t="n">
        <v>966</v>
      </c>
      <c r="F5" s="4" t="n">
        <v>956</v>
      </c>
      <c r="G5" s="4" t="n">
        <v>972</v>
      </c>
      <c r="H5" s="4" t="n">
        <v>962</v>
      </c>
      <c r="I5" s="4" t="n">
        <v>971</v>
      </c>
      <c r="J5" s="4" t="n">
        <v>929</v>
      </c>
      <c r="K5" s="4" t="n">
        <v>921</v>
      </c>
      <c r="L5" s="4" t="n">
        <v>879</v>
      </c>
      <c r="M5" s="4" t="n">
        <v>957</v>
      </c>
      <c r="N5" s="4" t="n">
        <v>1012</v>
      </c>
      <c r="O5" s="4" t="n">
        <v>1041</v>
      </c>
      <c r="P5" s="4" t="n">
        <v>1007</v>
      </c>
    </row>
    <row r="6">
      <c r="A6" s="3" t="inlineStr">
        <is>
          <t>Finished Goods</t>
        </is>
      </c>
      <c r="B6" s="4" t="n">
        <v>3900</v>
      </c>
      <c r="C6" s="4" t="n">
        <v>4457</v>
      </c>
      <c r="D6" s="4" t="n">
        <v>4363</v>
      </c>
      <c r="E6" s="4" t="n">
        <v>4507</v>
      </c>
      <c r="F6" s="4" t="n">
        <v>4254</v>
      </c>
      <c r="G6" s="4" t="n">
        <v>4386</v>
      </c>
      <c r="H6" s="4" t="n">
        <v>4410</v>
      </c>
      <c r="I6" s="4" t="n">
        <v>4431</v>
      </c>
      <c r="J6" s="4" t="n">
        <v>4470</v>
      </c>
      <c r="K6" s="4" t="n">
        <v>4546</v>
      </c>
      <c r="L6" s="4" t="n">
        <v>4192</v>
      </c>
      <c r="M6" s="4" t="n">
        <v>4508</v>
      </c>
      <c r="N6" s="4" t="n">
        <v>4516</v>
      </c>
      <c r="O6" s="4" t="n">
        <v>4735</v>
      </c>
      <c r="P6" s="4" t="n">
        <v>4672</v>
      </c>
    </row>
    <row r="7">
      <c r="A7" s="3" t="inlineStr">
        <is>
          <t>Inventories</t>
        </is>
      </c>
      <c r="B7" s="6">
        <f>SUM(B4,B5,B6)</f>
        <v/>
      </c>
      <c r="C7" s="6">
        <f>SUM(C4,C5,C6)</f>
        <v/>
      </c>
      <c r="D7" s="6">
        <f>SUM(D4,D5,D6)</f>
        <v/>
      </c>
      <c r="E7" s="6">
        <f>SUM(E4,E5,E6)</f>
        <v/>
      </c>
      <c r="F7" s="6">
        <f>SUM(F4,F5,F6)</f>
        <v/>
      </c>
      <c r="G7" s="6">
        <f>SUM(G4,G5,G6)</f>
        <v/>
      </c>
      <c r="H7" s="6">
        <f>SUM(H4,H5,H6)</f>
        <v/>
      </c>
      <c r="I7" s="6">
        <f>SUM(I4,I5,I6)</f>
        <v/>
      </c>
      <c r="J7" s="6">
        <f>SUM(J4,J5,J6)</f>
        <v/>
      </c>
      <c r="K7" s="6">
        <f>SUM(K4,K5,K6)</f>
        <v/>
      </c>
      <c r="L7" s="6">
        <f>SUM(L4,L5,L6)</f>
        <v/>
      </c>
      <c r="M7" s="6">
        <f>SUM(M4,M5,M6)</f>
        <v/>
      </c>
      <c r="N7" s="6">
        <f>SUM(N4,N5,N6)</f>
        <v/>
      </c>
      <c r="O7" s="6">
        <f>SUM(O4,O5,O6)</f>
        <v/>
      </c>
      <c r="P7" s="6">
        <f>SUM(P4,P5,P6)</f>
        <v/>
      </c>
    </row>
    <row r="8">
      <c r="A8" s="3" t="inlineStr">
        <is>
          <t>Prepaid Expenses</t>
        </is>
      </c>
      <c r="B8" s="4" t="n">
        <v>2372</v>
      </c>
      <c r="C8" s="4" t="n">
        <v>2501</v>
      </c>
      <c r="D8" s="4" t="n">
        <v>1704</v>
      </c>
      <c r="E8" s="4" t="n">
        <v>1755</v>
      </c>
      <c r="F8" s="4" t="n">
        <v>1858</v>
      </c>
      <c r="G8" s="4" t="n">
        <v>1875</v>
      </c>
      <c r="H8" s="4" t="n">
        <v>1736</v>
      </c>
      <c r="I8" s="4" t="n">
        <v>2428</v>
      </c>
      <c r="J8" s="4" t="n">
        <v>2095</v>
      </c>
      <c r="K8" s="4" t="n">
        <v>1692</v>
      </c>
      <c r="L8" s="4" t="n">
        <v>2158</v>
      </c>
      <c r="M8" s="4" t="n">
        <v>1780</v>
      </c>
      <c r="N8" s="4" t="n">
        <v>2100</v>
      </c>
      <c r="O8" s="4" t="n">
        <v>1612</v>
      </c>
      <c r="P8" s="4" t="n">
        <v>1666</v>
      </c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6">
        <f>SUM(F2:F8)</f>
        <v/>
      </c>
      <c r="G9" s="6">
        <f>SUM(G2:G8)</f>
        <v/>
      </c>
      <c r="H9" s="6">
        <f>SUM(H2:H8)</f>
        <v/>
      </c>
      <c r="I9" s="6">
        <f>SUM(I2:I8)</f>
        <v/>
      </c>
      <c r="J9" s="6">
        <f>SUM(J2:J8)</f>
        <v/>
      </c>
      <c r="K9" s="6">
        <f>SUM(K2:K8)</f>
        <v/>
      </c>
      <c r="L9" s="6">
        <f>SUM(L2:L8)</f>
        <v/>
      </c>
      <c r="M9" s="6">
        <f>SUM(M2:M8)</f>
        <v/>
      </c>
      <c r="N9" s="6">
        <f>SUM(N2:N8)</f>
        <v/>
      </c>
      <c r="O9" s="6">
        <f>SUM(O2:O8)</f>
        <v/>
      </c>
      <c r="P9" s="6">
        <f>SUM(P2:P8)</f>
        <v/>
      </c>
    </row>
    <row r="10">
      <c r="A10" s="3" t="inlineStr">
        <is>
          <t>Net PP&amp;E</t>
        </is>
      </c>
      <c r="B10" s="4" t="n">
        <v>21195</v>
      </c>
      <c r="C10" s="4" t="n">
        <v>20593</v>
      </c>
      <c r="D10" s="4" t="n">
        <v>21167</v>
      </c>
      <c r="E10" s="4" t="n">
        <v>21564</v>
      </c>
      <c r="F10" s="4" t="n">
        <v>21909</v>
      </c>
      <c r="G10" s="4" t="n">
        <v>21636</v>
      </c>
      <c r="H10" s="4" t="n">
        <v>22132</v>
      </c>
      <c r="I10" s="4" t="n">
        <v>22027</v>
      </c>
      <c r="J10" s="4" t="n">
        <v>22152</v>
      </c>
      <c r="K10" s="4" t="n">
        <v>22506</v>
      </c>
      <c r="L10" s="4" t="n">
        <v>22074</v>
      </c>
      <c r="M10" s="4" t="n">
        <v>22728</v>
      </c>
      <c r="N10" s="4" t="n">
        <v>23897</v>
      </c>
      <c r="O10" s="4" t="n">
        <v>24119</v>
      </c>
      <c r="P10" s="4" t="n">
        <v>24487</v>
      </c>
    </row>
    <row r="11">
      <c r="A11" s="3" t="inlineStr">
        <is>
          <t>Goodwill</t>
        </is>
      </c>
      <c r="B11" s="4" t="n">
        <v>39700</v>
      </c>
      <c r="C11" s="4" t="n">
        <v>38761</v>
      </c>
      <c r="D11" s="4" t="n">
        <v>39951</v>
      </c>
      <c r="E11" s="4" t="n">
        <v>40718</v>
      </c>
      <c r="F11" s="4" t="n">
        <v>40659</v>
      </c>
      <c r="G11" s="4" t="n">
        <v>40239</v>
      </c>
      <c r="H11" s="4" t="n">
        <v>40916</v>
      </c>
      <c r="I11" s="4" t="n">
        <v>40567</v>
      </c>
      <c r="J11" s="4" t="n">
        <v>40303</v>
      </c>
      <c r="K11" s="4" t="n">
        <v>40970</v>
      </c>
      <c r="L11" s="4" t="n">
        <v>39898</v>
      </c>
      <c r="M11" s="4" t="n">
        <v>40476</v>
      </c>
      <c r="N11" s="4" t="n">
        <v>41650</v>
      </c>
      <c r="O11" s="4" t="n">
        <v>41643</v>
      </c>
      <c r="P11" s="4" t="n">
        <v>41665</v>
      </c>
    </row>
    <row r="12">
      <c r="A12" s="3" t="inlineStr">
        <is>
          <t>Intangible Assets</t>
        </is>
      </c>
      <c r="B12" s="4" t="n">
        <v>23679</v>
      </c>
      <c r="C12" s="4" t="n">
        <v>23465</v>
      </c>
      <c r="D12" s="4" t="n">
        <v>23594</v>
      </c>
      <c r="E12" s="4" t="n">
        <v>23832</v>
      </c>
      <c r="F12" s="4" t="n">
        <v>23783</v>
      </c>
      <c r="G12" s="4" t="n">
        <v>23637</v>
      </c>
      <c r="H12" s="4" t="n">
        <v>22302</v>
      </c>
      <c r="I12" s="4" t="n">
        <v>22193</v>
      </c>
      <c r="J12" s="4" t="n">
        <v>22047</v>
      </c>
      <c r="K12" s="4" t="n">
        <v>22053</v>
      </c>
      <c r="L12" s="4" t="n">
        <v>21833</v>
      </c>
      <c r="M12" s="4" t="n">
        <v>21836</v>
      </c>
      <c r="N12" s="4" t="n">
        <v>21910</v>
      </c>
      <c r="O12" s="4" t="n">
        <v>21818</v>
      </c>
      <c r="P12" s="4" t="n">
        <v>21737</v>
      </c>
    </row>
    <row r="13">
      <c r="A13" s="3" t="inlineStr">
        <is>
          <t>Other Non-Current Assets</t>
        </is>
      </c>
      <c r="B13" s="4" t="n">
        <v>10981</v>
      </c>
      <c r="C13" s="4" t="n">
        <v>10942</v>
      </c>
      <c r="D13" s="4" t="n">
        <v>11137</v>
      </c>
      <c r="E13" s="4" t="n">
        <v>11432</v>
      </c>
      <c r="F13" s="4" t="n">
        <v>11830</v>
      </c>
      <c r="G13" s="4" t="n">
        <v>12079</v>
      </c>
      <c r="H13" s="4" t="n">
        <v>12248</v>
      </c>
      <c r="I13" s="4" t="n">
        <v>12353</v>
      </c>
      <c r="J13" s="4" t="n">
        <v>13158</v>
      </c>
      <c r="K13" s="4" t="n">
        <v>13503</v>
      </c>
      <c r="L13" s="4" t="n">
        <v>13192</v>
      </c>
      <c r="M13" s="4" t="n">
        <v>13508</v>
      </c>
      <c r="N13" s="4" t="n">
        <v>12381</v>
      </c>
      <c r="O13" s="4" t="n">
        <v>12901</v>
      </c>
      <c r="P13" s="4" t="n">
        <v>12809</v>
      </c>
    </row>
    <row r="14">
      <c r="A14" s="3" t="inlineStr">
        <is>
          <t>Total Assets</t>
        </is>
      </c>
      <c r="B14" s="6">
        <f>B9+SUM(B10:B13)</f>
        <v/>
      </c>
      <c r="C14" s="6">
        <f>C9+SUM(C10:C13)</f>
        <v/>
      </c>
      <c r="D14" s="6">
        <f>D9+SUM(D10:D13)</f>
        <v/>
      </c>
      <c r="E14" s="6">
        <f>E9+SUM(E10:E13)</f>
        <v/>
      </c>
      <c r="F14" s="6">
        <f>F9+SUM(F10:F13)</f>
        <v/>
      </c>
      <c r="G14" s="6">
        <f>G9+SUM(G10:G13)</f>
        <v/>
      </c>
      <c r="H14" s="6">
        <f>H9+SUM(H10:H13)</f>
        <v/>
      </c>
      <c r="I14" s="6">
        <f>I9+SUM(I10:I13)</f>
        <v/>
      </c>
      <c r="J14" s="6">
        <f>J9+SUM(J10:J13)</f>
        <v/>
      </c>
      <c r="K14" s="6">
        <f>K9+SUM(K10:K13)</f>
        <v/>
      </c>
      <c r="L14" s="6">
        <f>L9+SUM(L10:L13)</f>
        <v/>
      </c>
      <c r="M14" s="6">
        <f>M9+SUM(M10:M13)</f>
        <v/>
      </c>
      <c r="N14" s="6">
        <f>N9+SUM(N10:N13)</f>
        <v/>
      </c>
      <c r="O14" s="6">
        <f>O9+SUM(O10:O13)</f>
        <v/>
      </c>
      <c r="P14" s="6">
        <f>P9+SUM(P10:P13)</f>
        <v/>
      </c>
    </row>
    <row r="15">
      <c r="A15" s="3" t="inlineStr">
        <is>
          <t>Accounts Payable</t>
        </is>
      </c>
      <c r="B15" s="4" t="n">
        <v>14882</v>
      </c>
      <c r="C15" s="4" t="n">
        <v>14845</v>
      </c>
      <c r="D15" s="4" t="n">
        <v>14153</v>
      </c>
      <c r="E15" s="4" t="n">
        <v>13790</v>
      </c>
      <c r="F15" s="4" t="n">
        <v>14598</v>
      </c>
      <c r="G15" s="4" t="n">
        <v>14435</v>
      </c>
      <c r="H15" s="4" t="n">
        <v>14234</v>
      </c>
      <c r="I15" s="4" t="n">
        <v>13691</v>
      </c>
      <c r="J15" s="4" t="n">
        <v>15364</v>
      </c>
      <c r="K15" s="4" t="n">
        <v>15350</v>
      </c>
      <c r="L15" s="4" t="n">
        <v>14495</v>
      </c>
      <c r="M15" s="4" t="n">
        <v>14512</v>
      </c>
      <c r="N15" s="4" t="n">
        <v>15227</v>
      </c>
      <c r="O15" s="4" t="n">
        <v>15609</v>
      </c>
      <c r="P15" s="4" t="n">
        <v>15173</v>
      </c>
    </row>
    <row r="16">
      <c r="A16" s="3" t="inlineStr">
        <is>
          <t>Accrued Expenses</t>
        </is>
      </c>
      <c r="B16" s="4" t="n">
        <v>9554</v>
      </c>
      <c r="C16" s="4" t="n">
        <v>10056</v>
      </c>
      <c r="D16" s="4" t="n">
        <v>10293</v>
      </c>
      <c r="E16" s="4" t="n">
        <v>10523</v>
      </c>
      <c r="F16" s="4" t="n">
        <v>10929</v>
      </c>
      <c r="G16" s="4" t="n">
        <v>10912</v>
      </c>
      <c r="H16" s="4" t="n">
        <v>11100</v>
      </c>
      <c r="I16" s="4" t="n">
        <v>10921</v>
      </c>
      <c r="J16" s="4" t="n">
        <v>11073</v>
      </c>
      <c r="K16" s="4" t="n">
        <v>10661</v>
      </c>
      <c r="L16" s="4" t="n">
        <v>9879</v>
      </c>
      <c r="M16" s="4" t="n">
        <v>9847</v>
      </c>
      <c r="N16" s="4" t="n">
        <v>11318</v>
      </c>
      <c r="O16" s="4" t="n">
        <v>10756</v>
      </c>
      <c r="P16" s="4" t="n">
        <v>10463</v>
      </c>
    </row>
    <row r="17">
      <c r="A17" s="3" t="inlineStr">
        <is>
          <t>Current Portion of Long-Term Debt</t>
        </is>
      </c>
      <c r="B17" s="4" t="n">
        <v>8645</v>
      </c>
      <c r="C17" s="4" t="n">
        <v>11717</v>
      </c>
      <c r="D17" s="4" t="n">
        <v>14300</v>
      </c>
      <c r="E17" s="4" t="n">
        <v>13717</v>
      </c>
      <c r="F17" s="4" t="n">
        <v>10229</v>
      </c>
      <c r="G17" s="4" t="n">
        <v>11811</v>
      </c>
      <c r="H17" s="4" t="n">
        <v>10616</v>
      </c>
      <c r="I17" s="4" t="n">
        <v>7729</v>
      </c>
      <c r="J17" s="4" t="n">
        <v>7191</v>
      </c>
      <c r="K17" s="4" t="n">
        <v>10409</v>
      </c>
      <c r="L17" s="4" t="n">
        <v>9424</v>
      </c>
      <c r="M17" s="4" t="n">
        <v>9889</v>
      </c>
      <c r="N17" s="4" t="n">
        <v>9513</v>
      </c>
      <c r="O17" s="4" t="n">
        <v>11631</v>
      </c>
      <c r="P17" s="4" t="n">
        <v>11062</v>
      </c>
    </row>
    <row r="18">
      <c r="A18" s="3" t="inlineStr">
        <is>
          <t>Total Current Liabilities</t>
        </is>
      </c>
      <c r="B18" s="6">
        <f>SUM(B15:B17)</f>
        <v/>
      </c>
      <c r="C18" s="6">
        <f>SUM(C15:C17)</f>
        <v/>
      </c>
      <c r="D18" s="6">
        <f>SUM(D15:D17)</f>
        <v/>
      </c>
      <c r="E18" s="6">
        <f>SUM(E15:E17)</f>
        <v/>
      </c>
      <c r="F18" s="6">
        <f>SUM(F15:F17)</f>
        <v/>
      </c>
      <c r="G18" s="6">
        <f>SUM(G15:G17)</f>
        <v/>
      </c>
      <c r="H18" s="6">
        <f>SUM(H15:H17)</f>
        <v/>
      </c>
      <c r="I18" s="6">
        <f>SUM(I15:I17)</f>
        <v/>
      </c>
      <c r="J18" s="6">
        <f>SUM(J15:J17)</f>
        <v/>
      </c>
      <c r="K18" s="6">
        <f>SUM(K15:K17)</f>
        <v/>
      </c>
      <c r="L18" s="6">
        <f>SUM(L15:L17)</f>
        <v/>
      </c>
      <c r="M18" s="6">
        <f>SUM(M15:M17)</f>
        <v/>
      </c>
      <c r="N18" s="6">
        <f>SUM(N15:N17)</f>
        <v/>
      </c>
      <c r="O18" s="6">
        <f>SUM(O15:O17)</f>
        <v/>
      </c>
      <c r="P18" s="6">
        <f>SUM(P15:P17)</f>
        <v/>
      </c>
    </row>
    <row r="19">
      <c r="A19" s="3" t="inlineStr">
        <is>
          <t>Long-Term Debt</t>
        </is>
      </c>
      <c r="B19" s="4" t="n">
        <v>22848</v>
      </c>
      <c r="C19" s="4" t="n">
        <v>21286</v>
      </c>
      <c r="D19" s="4" t="n">
        <v>20582</v>
      </c>
      <c r="E19" s="4" t="n">
        <v>22874</v>
      </c>
      <c r="F19" s="4" t="n">
        <v>24378</v>
      </c>
      <c r="G19" s="4" t="n">
        <v>24069</v>
      </c>
      <c r="H19" s="4" t="n">
        <v>23096</v>
      </c>
      <c r="I19" s="4" t="n">
        <v>24253</v>
      </c>
      <c r="J19" s="4" t="n">
        <v>25269</v>
      </c>
      <c r="K19" s="4" t="n">
        <v>25744</v>
      </c>
      <c r="L19" s="4" t="n">
        <v>25263</v>
      </c>
      <c r="M19" s="4" t="n">
        <v>24252</v>
      </c>
      <c r="N19" s="4" t="n">
        <v>24995</v>
      </c>
      <c r="O19" s="4" t="n">
        <v>24315</v>
      </c>
      <c r="P19" s="4" t="n">
        <v>25577</v>
      </c>
    </row>
    <row r="20">
      <c r="A20" s="3" t="inlineStr">
        <is>
          <t>Deferred Tax Liability</t>
        </is>
      </c>
      <c r="B20" s="4" t="n">
        <v>6809</v>
      </c>
      <c r="C20" s="4" t="n">
        <v>6986</v>
      </c>
      <c r="D20" s="4" t="n">
        <v>6462</v>
      </c>
      <c r="E20" s="4" t="n">
        <v>6422</v>
      </c>
      <c r="F20" s="4" t="n">
        <v>6478</v>
      </c>
      <c r="G20" s="4" t="n">
        <v>6814</v>
      </c>
      <c r="H20" s="4" t="n">
        <v>6219</v>
      </c>
      <c r="I20" s="4" t="n">
        <v>6284</v>
      </c>
      <c r="J20" s="4" t="n">
        <v>6516</v>
      </c>
      <c r="K20" s="4" t="n">
        <v>6420</v>
      </c>
      <c r="L20" s="4" t="n">
        <v>6725</v>
      </c>
      <c r="M20" s="4" t="n">
        <v>6481</v>
      </c>
      <c r="N20" s="4" t="n">
        <v>5774</v>
      </c>
      <c r="O20" s="4" t="n">
        <v>5893</v>
      </c>
      <c r="P20" s="4" t="n">
        <v>5974</v>
      </c>
    </row>
    <row r="21">
      <c r="A21" s="3" t="inlineStr">
        <is>
          <t>Other Non-Current Liabilities</t>
        </is>
      </c>
      <c r="B21" s="4" t="n">
        <v>7616</v>
      </c>
      <c r="C21" s="4" t="n">
        <v>7058</v>
      </c>
      <c r="D21" s="4" t="n">
        <v>7200</v>
      </c>
      <c r="E21" s="4" t="n">
        <v>7104</v>
      </c>
      <c r="F21" s="4" t="n">
        <v>7152</v>
      </c>
      <c r="G21" s="4" t="n">
        <v>6477</v>
      </c>
      <c r="H21" s="4" t="n">
        <v>6614</v>
      </c>
      <c r="I21" s="4" t="n">
        <v>6386</v>
      </c>
      <c r="J21" s="4" t="n">
        <v>6398</v>
      </c>
      <c r="K21" s="4" t="n">
        <v>5757</v>
      </c>
      <c r="L21" s="4" t="n">
        <v>5411</v>
      </c>
      <c r="M21" s="4" t="n">
        <v>5458</v>
      </c>
      <c r="N21" s="4" t="n">
        <v>6120</v>
      </c>
      <c r="O21" s="4" t="n">
        <v>5844</v>
      </c>
      <c r="P21" s="4" t="n">
        <v>5719</v>
      </c>
    </row>
    <row r="22">
      <c r="A22" s="3" t="inlineStr">
        <is>
          <t>Total Liabilities</t>
        </is>
      </c>
      <c r="B22" s="6">
        <f>B18+SUM(B19:B21)</f>
        <v/>
      </c>
      <c r="C22" s="6">
        <f>C18+SUM(C19:C21)</f>
        <v/>
      </c>
      <c r="D22" s="6">
        <f>D18+SUM(D19:D21)</f>
        <v/>
      </c>
      <c r="E22" s="6">
        <f>E18+SUM(E19:E21)</f>
        <v/>
      </c>
      <c r="F22" s="6">
        <f>F18+SUM(F19:F21)</f>
        <v/>
      </c>
      <c r="G22" s="6">
        <f>G18+SUM(G19:G21)</f>
        <v/>
      </c>
      <c r="H22" s="6">
        <f>H18+SUM(H19:H21)</f>
        <v/>
      </c>
      <c r="I22" s="6">
        <f>I18+SUM(I19:I21)</f>
        <v/>
      </c>
      <c r="J22" s="6">
        <f>J18+SUM(J19:J21)</f>
        <v/>
      </c>
      <c r="K22" s="6">
        <f>K18+SUM(K19:K21)</f>
        <v/>
      </c>
      <c r="L22" s="6">
        <f>L18+SUM(L19:L21)</f>
        <v/>
      </c>
      <c r="M22" s="6">
        <f>M18+SUM(M19:M21)</f>
        <v/>
      </c>
      <c r="N22" s="6">
        <f>N18+SUM(N19:N21)</f>
        <v/>
      </c>
      <c r="O22" s="6">
        <f>O18+SUM(O19:O21)</f>
        <v/>
      </c>
      <c r="P22" s="6">
        <f>P18+SUM(P19:P21)</f>
        <v/>
      </c>
    </row>
    <row r="23">
      <c r="A23" s="3" t="inlineStr">
        <is>
          <t>Convertible Preferred Stock</t>
        </is>
      </c>
      <c r="B23" s="4" t="n">
        <v>843</v>
      </c>
      <c r="C23" s="4" t="n">
        <v>834</v>
      </c>
      <c r="D23" s="4" t="n">
        <v>831</v>
      </c>
      <c r="E23" s="4" t="n">
        <v>822</v>
      </c>
      <c r="F23" s="4" t="n">
        <v>819</v>
      </c>
      <c r="G23" s="4" t="n">
        <v>812</v>
      </c>
      <c r="H23" s="4" t="n">
        <v>809</v>
      </c>
      <c r="I23" s="4" t="n">
        <v>801</v>
      </c>
      <c r="J23" s="4" t="n">
        <v>798</v>
      </c>
      <c r="K23" s="4" t="n">
        <v>791</v>
      </c>
      <c r="L23" s="4" t="n">
        <v>788</v>
      </c>
      <c r="M23" s="4" t="n">
        <v>781</v>
      </c>
      <c r="N23" s="4" t="n">
        <v>777</v>
      </c>
      <c r="O23" s="4" t="n">
        <v>770</v>
      </c>
      <c r="P23" s="4" t="n">
        <v>767</v>
      </c>
    </row>
    <row r="24">
      <c r="A24" s="3" t="inlineStr">
        <is>
          <t>Common Stock</t>
        </is>
      </c>
      <c r="B24" s="4" t="n">
        <v>4009</v>
      </c>
      <c r="C24" s="4" t="n">
        <v>4009</v>
      </c>
      <c r="D24" s="4" t="n">
        <v>4009</v>
      </c>
      <c r="E24" s="4" t="n">
        <v>4009</v>
      </c>
      <c r="F24" s="4" t="n">
        <v>4009</v>
      </c>
      <c r="G24" s="4" t="n">
        <v>4009</v>
      </c>
      <c r="H24" s="4" t="n">
        <v>4009</v>
      </c>
      <c r="I24" s="4" t="n">
        <v>4009</v>
      </c>
      <c r="J24" s="4" t="n">
        <v>4009</v>
      </c>
      <c r="K24" s="4" t="n">
        <v>4009</v>
      </c>
      <c r="L24" s="4" t="n">
        <v>4009</v>
      </c>
      <c r="M24" s="4" t="n">
        <v>4009</v>
      </c>
      <c r="N24" s="4" t="n">
        <v>4009</v>
      </c>
      <c r="O24" s="4" t="n">
        <v>4009</v>
      </c>
      <c r="P24" s="4" t="n">
        <v>4009</v>
      </c>
    </row>
    <row r="25">
      <c r="A25" s="3" t="inlineStr">
        <is>
          <t>Additional Paid-in Capital</t>
        </is>
      </c>
      <c r="B25" s="4" t="n">
        <v>65795</v>
      </c>
      <c r="C25" s="4" t="n">
        <v>65955</v>
      </c>
      <c r="D25" s="4" t="n">
        <v>66145</v>
      </c>
      <c r="E25" s="4" t="n">
        <v>66316</v>
      </c>
      <c r="F25" s="4" t="n">
        <v>66556</v>
      </c>
      <c r="G25" s="4" t="n">
        <v>66822</v>
      </c>
      <c r="H25" s="4" t="n">
        <v>66935</v>
      </c>
      <c r="I25" s="4" t="n">
        <v>67395</v>
      </c>
      <c r="J25" s="4" t="n">
        <v>67684</v>
      </c>
      <c r="K25" s="4" t="n">
        <v>68102</v>
      </c>
      <c r="L25" s="4" t="n">
        <v>68283</v>
      </c>
      <c r="M25" s="4" t="n">
        <v>68615</v>
      </c>
      <c r="N25" s="4" t="n">
        <v>68770</v>
      </c>
      <c r="O25" s="4" t="n">
        <v>68917</v>
      </c>
      <c r="P25" s="4" t="n">
        <v>69010</v>
      </c>
    </row>
    <row r="26">
      <c r="A26" s="3" t="inlineStr">
        <is>
          <t>ESOP Debt Retirement Reserve</t>
        </is>
      </c>
      <c r="B26" s="4" t="n">
        <v>-916</v>
      </c>
      <c r="C26" s="4" t="n">
        <v>-870</v>
      </c>
      <c r="D26" s="4" t="n">
        <v>-870</v>
      </c>
      <c r="E26" s="4" t="n">
        <v>-821</v>
      </c>
      <c r="F26" s="4" t="n">
        <v>-821</v>
      </c>
      <c r="G26" s="4" t="n">
        <v>-782</v>
      </c>
      <c r="H26" s="4" t="n">
        <v>-782</v>
      </c>
      <c r="I26" s="4" t="n">
        <v>-737</v>
      </c>
      <c r="J26" s="4" t="n">
        <v>-737</v>
      </c>
      <c r="K26" s="4" t="n">
        <v>-707</v>
      </c>
      <c r="L26" s="4" t="n">
        <v>-707</v>
      </c>
      <c r="M26" s="4" t="n">
        <v>-672</v>
      </c>
      <c r="N26" s="4" t="n">
        <v>-672</v>
      </c>
      <c r="O26" s="4" t="n">
        <v>-637</v>
      </c>
      <c r="P26" s="4" t="n">
        <v>-637</v>
      </c>
    </row>
    <row r="27">
      <c r="A27" s="3" t="inlineStr">
        <is>
          <t>Accumulated Other Comprehensive Income (Loss)</t>
        </is>
      </c>
      <c r="B27" s="4" t="n">
        <v>-12189</v>
      </c>
      <c r="C27" s="4" t="n">
        <v>-12811</v>
      </c>
      <c r="D27" s="4" t="n">
        <v>-12506</v>
      </c>
      <c r="E27" s="4" t="n">
        <v>-12266</v>
      </c>
      <c r="F27" s="4" t="n">
        <v>-12220</v>
      </c>
      <c r="G27" s="4" t="n">
        <v>-12583</v>
      </c>
      <c r="H27" s="4" t="n">
        <v>-12167</v>
      </c>
      <c r="I27" s="4" t="n">
        <v>-12370</v>
      </c>
      <c r="J27" s="4" t="n">
        <v>-11900</v>
      </c>
      <c r="K27" s="4" t="n">
        <v>-10893</v>
      </c>
      <c r="L27" s="4" t="n">
        <v>-11637</v>
      </c>
      <c r="M27" s="4" t="n">
        <v>-11307</v>
      </c>
      <c r="N27" s="4" t="n">
        <v>-12143</v>
      </c>
      <c r="O27" s="4" t="n">
        <v>-12156</v>
      </c>
      <c r="P27" s="4" t="n">
        <v>-12108</v>
      </c>
    </row>
    <row r="28">
      <c r="A28" s="3" t="inlineStr">
        <is>
          <t>Treasury Stock</t>
        </is>
      </c>
      <c r="B28" s="4" t="n">
        <v>-123382</v>
      </c>
      <c r="C28" s="4" t="n">
        <v>-127205</v>
      </c>
      <c r="D28" s="4" t="n">
        <v>-129012</v>
      </c>
      <c r="E28" s="4" t="n">
        <v>-130002</v>
      </c>
      <c r="F28" s="4" t="n">
        <v>-129736</v>
      </c>
      <c r="G28" s="4" t="n">
        <v>-131029</v>
      </c>
      <c r="H28" s="4" t="n">
        <v>-131887</v>
      </c>
      <c r="I28" s="4" t="n">
        <v>-132172</v>
      </c>
      <c r="J28" s="4" t="n">
        <v>-133379</v>
      </c>
      <c r="K28" s="4" t="n">
        <v>-134823</v>
      </c>
      <c r="L28" s="4" t="n">
        <v>-137112</v>
      </c>
      <c r="M28" s="4" t="n">
        <v>-138073</v>
      </c>
      <c r="N28" s="4" t="n">
        <v>-138702</v>
      </c>
      <c r="O28" s="4" t="n">
        <v>-139845</v>
      </c>
      <c r="P28" s="4" t="n">
        <v>-141981</v>
      </c>
    </row>
    <row r="29">
      <c r="A29" s="3" t="inlineStr">
        <is>
          <t>Retained Earnings (Accumulated Deficit)</t>
        </is>
      </c>
      <c r="B29" s="4" t="n">
        <v>112429</v>
      </c>
      <c r="C29" s="4" t="n">
        <v>114163</v>
      </c>
      <c r="D29" s="4" t="n">
        <v>115858</v>
      </c>
      <c r="E29" s="4" t="n">
        <v>117082</v>
      </c>
      <c r="F29" s="4" t="n">
        <v>118170</v>
      </c>
      <c r="G29" s="4" t="n">
        <v>120443</v>
      </c>
      <c r="H29" s="4" t="n">
        <v>121617</v>
      </c>
      <c r="I29" s="4" t="n">
        <v>123132</v>
      </c>
      <c r="J29" s="4" t="n">
        <v>123811</v>
      </c>
      <c r="K29" s="4" t="n">
        <v>125361</v>
      </c>
      <c r="L29" s="4" t="n">
        <v>127544</v>
      </c>
      <c r="M29" s="4" t="n">
        <v>128919</v>
      </c>
      <c r="N29" s="4" t="n">
        <v>129973</v>
      </c>
      <c r="O29" s="4" t="n">
        <v>132212</v>
      </c>
      <c r="P29" s="4" t="n">
        <v>133981</v>
      </c>
    </row>
    <row r="30">
      <c r="A30" s="3" t="inlineStr">
        <is>
          <t>Noncontrolling Interest</t>
        </is>
      </c>
      <c r="B30" s="4" t="n">
        <v>265</v>
      </c>
      <c r="C30" s="4" t="n">
        <v>259</v>
      </c>
      <c r="D30" s="4" t="n">
        <v>270</v>
      </c>
      <c r="E30" s="4" t="n">
        <v>281</v>
      </c>
      <c r="F30" s="4" t="n">
        <v>288</v>
      </c>
      <c r="G30" s="4" t="n">
        <v>321</v>
      </c>
      <c r="H30" s="4" t="n">
        <v>294</v>
      </c>
      <c r="I30" s="4" t="n">
        <v>275</v>
      </c>
      <c r="J30" s="4" t="n">
        <v>272</v>
      </c>
      <c r="K30" s="4" t="n">
        <v>300</v>
      </c>
      <c r="L30" s="4" t="n">
        <v>275</v>
      </c>
      <c r="M30" s="4" t="n">
        <v>273</v>
      </c>
      <c r="N30" s="4" t="n">
        <v>272</v>
      </c>
      <c r="O30" s="4" t="n">
        <v>281</v>
      </c>
      <c r="P30" s="4" t="n">
        <v>276</v>
      </c>
    </row>
    <row r="31">
      <c r="A31" s="3" t="inlineStr">
        <is>
          <t>Total Stockholders' Equity</t>
        </is>
      </c>
      <c r="B31" s="6">
        <f>SUM(B23:B30)</f>
        <v/>
      </c>
      <c r="C31" s="6">
        <f>SUM(C23:C30)</f>
        <v/>
      </c>
      <c r="D31" s="6">
        <f>SUM(D23:D30)</f>
        <v/>
      </c>
      <c r="E31" s="6">
        <f>SUM(E23:E30)</f>
        <v/>
      </c>
      <c r="F31" s="6">
        <f>SUM(F23:F30)</f>
        <v/>
      </c>
      <c r="G31" s="6">
        <f>SUM(G23:G30)</f>
        <v/>
      </c>
      <c r="H31" s="6">
        <f>SUM(H23:H30)</f>
        <v/>
      </c>
      <c r="I31" s="6">
        <f>SUM(I23:I30)</f>
        <v/>
      </c>
      <c r="J31" s="6">
        <f>SUM(J23:J30)</f>
        <v/>
      </c>
      <c r="K31" s="6">
        <f>SUM(K23:K30)</f>
        <v/>
      </c>
      <c r="L31" s="6">
        <f>SUM(L23:L30)</f>
        <v/>
      </c>
      <c r="M31" s="6">
        <f>SUM(M23:M30)</f>
        <v/>
      </c>
      <c r="N31" s="6">
        <f>SUM(N23:N30)</f>
        <v/>
      </c>
      <c r="O31" s="6">
        <f>SUM(O23:O30)</f>
        <v/>
      </c>
      <c r="P31" s="6">
        <f>SUM(P23:P30)</f>
        <v/>
      </c>
    </row>
    <row r="32">
      <c r="A32" s="3" t="inlineStr">
        <is>
          <t>Total Liabilities, Mezzanine &amp; Stockholders' Equity</t>
        </is>
      </c>
      <c r="B32" s="6">
        <f>B22+B31</f>
        <v/>
      </c>
      <c r="C32" s="6">
        <f>C22+C31</f>
        <v/>
      </c>
      <c r="D32" s="6">
        <f>D22+D31</f>
        <v/>
      </c>
      <c r="E32" s="6">
        <f>E22+E31</f>
        <v/>
      </c>
      <c r="F32" s="6">
        <f>F22+F31</f>
        <v/>
      </c>
      <c r="G32" s="6">
        <f>G22+G31</f>
        <v/>
      </c>
      <c r="H32" s="6">
        <f>H22+H31</f>
        <v/>
      </c>
      <c r="I32" s="6">
        <f>I22+I31</f>
        <v/>
      </c>
      <c r="J32" s="6">
        <f>J22+J31</f>
        <v/>
      </c>
      <c r="K32" s="6">
        <f>K22+K31</f>
        <v/>
      </c>
      <c r="L32" s="6">
        <f>L22+L31</f>
        <v/>
      </c>
      <c r="M32" s="6">
        <f>M22+M31</f>
        <v/>
      </c>
      <c r="N32" s="6">
        <f>N22+N31</f>
        <v/>
      </c>
      <c r="O32" s="6">
        <f>O22+O31</f>
        <v/>
      </c>
      <c r="P32" s="6">
        <f>P22+P31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Income (Loss)</t>
        </is>
      </c>
      <c r="B2" s="4" t="n">
        <v>4126</v>
      </c>
      <c r="C2" s="4" t="n">
        <v>8368</v>
      </c>
      <c r="D2" s="4" t="n">
        <v>11735</v>
      </c>
      <c r="E2" s="4" t="n">
        <v>3963</v>
      </c>
      <c r="F2" s="4" t="n">
        <v>7922</v>
      </c>
      <c r="G2" s="4" t="n">
        <v>11346</v>
      </c>
      <c r="H2" s="4" t="n">
        <v>4556</v>
      </c>
      <c r="I2" s="4" t="n">
        <v>8049</v>
      </c>
      <c r="J2" s="4" t="n">
        <v>11830</v>
      </c>
      <c r="K2" s="4" t="n">
        <v>3987</v>
      </c>
      <c r="L2" s="4" t="n">
        <v>8646</v>
      </c>
      <c r="M2" s="4" t="n">
        <v>12439</v>
      </c>
      <c r="N2" s="4" t="n">
        <v>4781</v>
      </c>
      <c r="O2" s="4" t="n">
        <v>9112</v>
      </c>
    </row>
    <row r="3">
      <c r="A3" s="3" t="inlineStr">
        <is>
          <t>Depreciation &amp; Amortization</t>
        </is>
      </c>
      <c r="B3" s="4" t="n">
        <v>711</v>
      </c>
      <c r="C3" s="4" t="n">
        <v>1395</v>
      </c>
      <c r="D3" s="4" t="n">
        <v>2085</v>
      </c>
      <c r="E3" s="4" t="n">
        <v>663</v>
      </c>
      <c r="F3" s="4" t="n">
        <v>1316</v>
      </c>
      <c r="G3" s="4" t="n">
        <v>2008</v>
      </c>
      <c r="H3" s="4" t="n">
        <v>702</v>
      </c>
      <c r="I3" s="4" t="n">
        <v>1423</v>
      </c>
      <c r="J3" s="4" t="n">
        <v>2135</v>
      </c>
      <c r="K3" s="4" t="n">
        <v>728</v>
      </c>
      <c r="L3" s="4" t="n">
        <v>1434</v>
      </c>
      <c r="M3" s="4" t="n">
        <v>2124</v>
      </c>
      <c r="N3" s="4" t="n">
        <v>761</v>
      </c>
      <c r="O3" s="4" t="n">
        <v>1563</v>
      </c>
    </row>
    <row r="4">
      <c r="A4" s="3" t="inlineStr">
        <is>
          <t>Gain (Loss) on Extinguishment of Debt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3" t="inlineStr">
        <is>
          <t>Stock-Based Compensation</t>
        </is>
      </c>
      <c r="B5" s="4" t="n">
        <v>116</v>
      </c>
      <c r="C5" s="4" t="n">
        <v>268</v>
      </c>
      <c r="D5" s="4" t="n">
        <v>398</v>
      </c>
      <c r="E5" s="4" t="n">
        <v>105</v>
      </c>
      <c r="F5" s="4" t="n">
        <v>250</v>
      </c>
      <c r="G5" s="4" t="n">
        <v>406</v>
      </c>
      <c r="H5" s="4" t="n">
        <v>125</v>
      </c>
      <c r="I5" s="4" t="n">
        <v>275</v>
      </c>
      <c r="J5" s="4" t="n">
        <v>433</v>
      </c>
      <c r="K5" s="4" t="n">
        <v>105</v>
      </c>
      <c r="L5" s="4" t="n">
        <v>241</v>
      </c>
      <c r="M5" s="4" t="n">
        <v>364</v>
      </c>
      <c r="N5" s="4" t="n">
        <v>121</v>
      </c>
      <c r="O5" s="4" t="n">
        <v>262</v>
      </c>
    </row>
    <row r="6">
      <c r="A6" s="3" t="inlineStr">
        <is>
          <t>(Benefit) Provision for Deferred Income Taxes</t>
        </is>
      </c>
      <c r="B6" s="4" t="n">
        <v>57</v>
      </c>
      <c r="C6" s="4" t="n">
        <v>-101</v>
      </c>
      <c r="D6" s="4" t="n">
        <v>-259</v>
      </c>
      <c r="E6" s="4" t="n">
        <v>-130</v>
      </c>
      <c r="F6" s="4" t="n">
        <v>-398</v>
      </c>
      <c r="G6" s="4" t="n">
        <v>-360</v>
      </c>
      <c r="H6" s="4" t="n">
        <v>102</v>
      </c>
      <c r="I6" s="4" t="n">
        <v>-154</v>
      </c>
      <c r="J6" s="4" t="n">
        <v>-206</v>
      </c>
      <c r="K6" s="4" t="n">
        <v>184</v>
      </c>
      <c r="L6" s="4" t="n">
        <v>221</v>
      </c>
      <c r="M6" s="4" t="n">
        <v>183</v>
      </c>
      <c r="N6" s="4" t="n">
        <v>53</v>
      </c>
      <c r="O6" s="4" t="n">
        <v>196</v>
      </c>
    </row>
    <row r="7">
      <c r="A7" s="3" t="inlineStr">
        <is>
          <t>Gain (Loss) on Disposal of PP&amp;E</t>
        </is>
      </c>
      <c r="B7" s="4" t="n">
        <v>-73</v>
      </c>
      <c r="C7" s="4" t="n">
        <v>-82</v>
      </c>
      <c r="D7" s="4" t="n">
        <v>-84</v>
      </c>
      <c r="E7" s="4" t="n">
        <v>-1</v>
      </c>
      <c r="F7" s="4" t="n">
        <v>-3</v>
      </c>
      <c r="G7" s="4" t="n">
        <v>-4</v>
      </c>
      <c r="H7" s="4" t="n">
        <v>-3</v>
      </c>
      <c r="I7" s="4" t="n">
        <v>-3</v>
      </c>
      <c r="J7" s="4" t="n">
        <v>-51</v>
      </c>
      <c r="K7" s="4" t="n">
        <v>794</v>
      </c>
      <c r="L7" s="4" t="n">
        <v>787</v>
      </c>
      <c r="M7" s="4" t="n">
        <v>782</v>
      </c>
      <c r="N7" s="4" t="n">
        <v>-3</v>
      </c>
      <c r="O7" s="4" t="n">
        <v>1</v>
      </c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1341</v>
      </c>
      <c r="J8" s="4" t="n">
        <v>1341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3" t="inlineStr">
        <is>
          <t>Accounts Receivable</t>
        </is>
      </c>
      <c r="B9" s="4" t="n">
        <v>-1012</v>
      </c>
      <c r="C9" s="4" t="n">
        <v>-644</v>
      </c>
      <c r="D9" s="4" t="n">
        <v>-916</v>
      </c>
      <c r="E9" s="4" t="n">
        <v>-740</v>
      </c>
      <c r="F9" s="4" t="n">
        <v>-654</v>
      </c>
      <c r="G9" s="4" t="n">
        <v>-301</v>
      </c>
      <c r="H9" s="4" t="n">
        <v>-830</v>
      </c>
      <c r="I9" s="4" t="n">
        <v>-839</v>
      </c>
      <c r="J9" s="4" t="n">
        <v>-692</v>
      </c>
      <c r="K9" s="4" t="n">
        <v>-134</v>
      </c>
      <c r="L9" s="4" t="n">
        <v>-262</v>
      </c>
      <c r="M9" s="4" t="n">
        <v>-79</v>
      </c>
      <c r="N9" s="4" t="n">
        <v>-305</v>
      </c>
      <c r="O9" s="4" t="n">
        <v>-92</v>
      </c>
    </row>
    <row r="10">
      <c r="A10" s="3" t="inlineStr">
        <is>
          <t>Inventories</t>
        </is>
      </c>
      <c r="B10" s="4" t="n">
        <v>-409</v>
      </c>
      <c r="C10" s="4" t="n">
        <v>-840</v>
      </c>
      <c r="D10" s="4" t="n">
        <v>-1252</v>
      </c>
      <c r="E10" s="4" t="n">
        <v>-893</v>
      </c>
      <c r="F10" s="4" t="n">
        <v>-655</v>
      </c>
      <c r="G10" s="4" t="n">
        <v>-503</v>
      </c>
      <c r="H10" s="4" t="n">
        <v>-142</v>
      </c>
      <c r="I10" s="4" t="n">
        <v>-32</v>
      </c>
      <c r="J10" s="4" t="n">
        <v>-47</v>
      </c>
      <c r="K10" s="4" t="n">
        <v>-188</v>
      </c>
      <c r="L10" s="4" t="n">
        <v>-170</v>
      </c>
      <c r="M10" s="4" t="n">
        <v>-409</v>
      </c>
      <c r="N10" s="4" t="n">
        <v>-303</v>
      </c>
      <c r="O10" s="4" t="n">
        <v>-255</v>
      </c>
    </row>
    <row r="11">
      <c r="A11" s="3" t="inlineStr">
        <is>
          <t>Accounts Payable</t>
        </is>
      </c>
      <c r="B11" s="4" t="n">
        <v>1261</v>
      </c>
      <c r="C11" s="4" t="n">
        <v>1431</v>
      </c>
      <c r="D11" s="4" t="n">
        <v>1347</v>
      </c>
      <c r="E11" s="4" t="n">
        <v>1495</v>
      </c>
      <c r="F11" s="4" t="n">
        <v>177</v>
      </c>
      <c r="G11" s="4" t="n">
        <v>-609</v>
      </c>
      <c r="H11" s="4" t="n">
        <v>857</v>
      </c>
      <c r="I11" s="4" t="n">
        <v>302</v>
      </c>
      <c r="J11" s="4" t="n">
        <v>56</v>
      </c>
      <c r="K11" s="4" t="n">
        <v>-648</v>
      </c>
      <c r="L11" s="4" t="n">
        <v>-1157</v>
      </c>
      <c r="M11" s="4" t="n">
        <v>-1666</v>
      </c>
      <c r="N11" s="4" t="n">
        <v>648</v>
      </c>
      <c r="O11" s="4" t="n">
        <v>239</v>
      </c>
    </row>
    <row r="12">
      <c r="A12" s="3" t="inlineStr">
        <is>
          <t>Net Change in Other Working Capital</t>
        </is>
      </c>
      <c r="B12" s="4" t="n">
        <v>-178</v>
      </c>
      <c r="C12" s="4" t="n">
        <v>-84</v>
      </c>
      <c r="D12" s="4" t="n">
        <v>-131</v>
      </c>
      <c r="E12" s="4" t="n">
        <v>-454</v>
      </c>
      <c r="F12" s="4" t="n">
        <v>-535</v>
      </c>
      <c r="G12" s="4" t="n">
        <v>-839</v>
      </c>
      <c r="H12" s="4" t="n">
        <v>-671</v>
      </c>
      <c r="I12" s="4" t="n">
        <v>-704</v>
      </c>
      <c r="J12" s="4" t="n">
        <v>-1196</v>
      </c>
      <c r="K12" s="4" t="n">
        <v>-558</v>
      </c>
      <c r="L12" s="4" t="n">
        <v>-748</v>
      </c>
      <c r="M12" s="4" t="n">
        <v>-1125</v>
      </c>
      <c r="N12" s="4" t="n">
        <v>0</v>
      </c>
      <c r="O12" s="4" t="n">
        <v>0</v>
      </c>
    </row>
    <row r="13">
      <c r="A13" s="3" t="inlineStr">
        <is>
          <t>Other Operating Items</t>
        </is>
      </c>
      <c r="B13" s="4" t="n">
        <v>44</v>
      </c>
      <c r="C13" s="4" t="n">
        <v>53</v>
      </c>
      <c r="D13" s="4" t="n">
        <v>87</v>
      </c>
      <c r="E13" s="4" t="n">
        <v>62</v>
      </c>
      <c r="F13" s="4" t="n">
        <v>224</v>
      </c>
      <c r="G13" s="4" t="n">
        <v>363</v>
      </c>
      <c r="H13" s="4" t="n">
        <v>208</v>
      </c>
      <c r="I13" s="4" t="n">
        <v>346</v>
      </c>
      <c r="J13" s="4" t="n">
        <v>490</v>
      </c>
      <c r="K13" s="4" t="n">
        <v>32</v>
      </c>
      <c r="L13" s="4" t="n">
        <v>135</v>
      </c>
      <c r="M13" s="4" t="n">
        <v>218</v>
      </c>
      <c r="N13" s="4" t="n">
        <v>-344</v>
      </c>
      <c r="O13" s="4" t="n">
        <v>-645</v>
      </c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6">
        <f>SUM(H2:H13)</f>
        <v/>
      </c>
      <c r="I14" s="6">
        <f>SUM(I2:I13)</f>
        <v/>
      </c>
      <c r="J14" s="6">
        <f>SUM(J2:J13)</f>
        <v/>
      </c>
      <c r="K14" s="6">
        <f>SUM(K2:K13)</f>
        <v/>
      </c>
      <c r="L14" s="6">
        <f>SUM(L2:L13)</f>
        <v/>
      </c>
      <c r="M14" s="6">
        <f>SUM(M2:M13)</f>
        <v/>
      </c>
      <c r="N14" s="6">
        <f>SUM(N2:N13)</f>
        <v/>
      </c>
      <c r="O14" s="6">
        <f>SUM(O2:O13)</f>
        <v/>
      </c>
    </row>
    <row r="15">
      <c r="A15" s="3" t="inlineStr">
        <is>
          <t>Purchase of PP&amp;E</t>
        </is>
      </c>
      <c r="B15" s="4" t="n">
        <v>-1091</v>
      </c>
      <c r="C15" s="4" t="n">
        <v>-1717</v>
      </c>
      <c r="D15" s="4" t="n">
        <v>-2464</v>
      </c>
      <c r="E15" s="4" t="n">
        <v>-890</v>
      </c>
      <c r="F15" s="4" t="n">
        <v>-1598</v>
      </c>
      <c r="G15" s="4" t="n">
        <v>-2328</v>
      </c>
      <c r="H15" s="4" t="n">
        <v>-925</v>
      </c>
      <c r="I15" s="4" t="n">
        <v>-1742</v>
      </c>
      <c r="J15" s="4" t="n">
        <v>-2539</v>
      </c>
      <c r="K15" s="4" t="n">
        <v>-993</v>
      </c>
      <c r="L15" s="4" t="n">
        <v>-1918</v>
      </c>
      <c r="M15" s="4" t="n">
        <v>-2777</v>
      </c>
      <c r="N15" s="4" t="n">
        <v>-1200</v>
      </c>
      <c r="O15" s="4" t="n">
        <v>-2367</v>
      </c>
    </row>
    <row r="16">
      <c r="A16" s="3" t="inlineStr">
        <is>
          <t>Proceeds from Sale of Assets</t>
        </is>
      </c>
      <c r="B16" s="4" t="n">
        <v>85</v>
      </c>
      <c r="C16" s="4" t="n">
        <v>97</v>
      </c>
      <c r="D16" s="4" t="n">
        <v>99</v>
      </c>
      <c r="E16" s="4" t="n">
        <v>5</v>
      </c>
      <c r="F16" s="4" t="n">
        <v>8</v>
      </c>
      <c r="G16" s="4" t="n">
        <v>9</v>
      </c>
      <c r="H16" s="4" t="n">
        <v>3</v>
      </c>
      <c r="I16" s="4" t="n">
        <v>8</v>
      </c>
      <c r="J16" s="4" t="n">
        <v>77</v>
      </c>
      <c r="K16" s="4" t="n">
        <v>45</v>
      </c>
      <c r="L16" s="4" t="n">
        <v>47</v>
      </c>
      <c r="M16" s="4" t="n">
        <v>64</v>
      </c>
      <c r="N16" s="4" t="n">
        <v>8</v>
      </c>
      <c r="O16" s="4" t="n">
        <v>16</v>
      </c>
    </row>
    <row r="17">
      <c r="A17" s="3" t="inlineStr">
        <is>
          <t>Acquisitions, Net of Cash Acquired</t>
        </is>
      </c>
      <c r="B17" s="4" t="n">
        <v>0</v>
      </c>
      <c r="C17" s="4" t="n">
        <v>-349</v>
      </c>
      <c r="D17" s="4" t="n">
        <v>-1381</v>
      </c>
      <c r="E17" s="4" t="n">
        <v>-2</v>
      </c>
      <c r="F17" s="4" t="n">
        <v>-76</v>
      </c>
      <c r="G17" s="4" t="n">
        <v>-714</v>
      </c>
      <c r="H17" s="4" t="n">
        <v>0</v>
      </c>
      <c r="I17" s="4" t="n">
        <v>0</v>
      </c>
      <c r="J17" s="4" t="n">
        <v>-21</v>
      </c>
      <c r="K17" s="4" t="n">
        <v>-6</v>
      </c>
      <c r="L17" s="4" t="n">
        <v>-6</v>
      </c>
      <c r="M17" s="4" t="n">
        <v>-11</v>
      </c>
      <c r="N17" s="4" t="n">
        <v>-5</v>
      </c>
      <c r="O17" s="4" t="n">
        <v>-5</v>
      </c>
    </row>
    <row r="18">
      <c r="A18" s="3" t="inlineStr">
        <is>
          <t>Net Change in Short-Term Investments</t>
        </is>
      </c>
      <c r="B18" s="4" t="n">
        <v>0</v>
      </c>
      <c r="C18" s="4" t="n">
        <v>0</v>
      </c>
      <c r="D18" s="4" t="n">
        <v>0</v>
      </c>
      <c r="E18" s="4" t="n">
        <v>55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3" t="inlineStr">
        <is>
          <t>Other Investing Activities</t>
        </is>
      </c>
      <c r="B19" s="4" t="n">
        <v>0</v>
      </c>
      <c r="C19" s="4" t="n">
        <v>3</v>
      </c>
      <c r="D19" s="4" t="n">
        <v>4</v>
      </c>
      <c r="E19" s="4" t="n">
        <v>0</v>
      </c>
      <c r="F19" s="4" t="n">
        <v>344</v>
      </c>
      <c r="G19" s="4" t="n">
        <v>331</v>
      </c>
      <c r="H19" s="4" t="n">
        <v>-300</v>
      </c>
      <c r="I19" s="4" t="n">
        <v>-489</v>
      </c>
      <c r="J19" s="4" t="n">
        <v>-503</v>
      </c>
      <c r="K19" s="4" t="n">
        <v>-154</v>
      </c>
      <c r="L19" s="4" t="n">
        <v>-153</v>
      </c>
      <c r="M19" s="4" t="n">
        <v>-33</v>
      </c>
      <c r="N19" s="4" t="n">
        <v>-338</v>
      </c>
      <c r="O19" s="4" t="n">
        <v>-408</v>
      </c>
    </row>
    <row r="20">
      <c r="A20" s="3" t="inlineStr">
        <is>
          <t>Cash Flow from Investing</t>
        </is>
      </c>
      <c r="B20" s="6">
        <f>SUM(B15:B19)</f>
        <v/>
      </c>
      <c r="C20" s="6">
        <f>SUM(C15:C19)</f>
        <v/>
      </c>
      <c r="D20" s="6">
        <f>SUM(D15:D19)</f>
        <v/>
      </c>
      <c r="E20" s="6">
        <f>SUM(E15:E19)</f>
        <v/>
      </c>
      <c r="F20" s="6">
        <f>SUM(F15:F19)</f>
        <v/>
      </c>
      <c r="G20" s="6">
        <f>SUM(G15:G19)</f>
        <v/>
      </c>
      <c r="H20" s="6">
        <f>SUM(H15:H19)</f>
        <v/>
      </c>
      <c r="I20" s="6">
        <f>SUM(I15:I19)</f>
        <v/>
      </c>
      <c r="J20" s="6">
        <f>SUM(J15:J19)</f>
        <v/>
      </c>
      <c r="K20" s="6">
        <f>SUM(K15:K19)</f>
        <v/>
      </c>
      <c r="L20" s="6">
        <f>SUM(L15:L19)</f>
        <v/>
      </c>
      <c r="M20" s="6">
        <f>SUM(M15:M19)</f>
        <v/>
      </c>
      <c r="N20" s="6">
        <f>SUM(N15:N19)</f>
        <v/>
      </c>
      <c r="O20" s="6">
        <f>SUM(O15:O19)</f>
        <v/>
      </c>
    </row>
    <row r="21">
      <c r="A21" s="3" t="inlineStr">
        <is>
          <t>Common Dividends</t>
        </is>
      </c>
      <c r="B21" s="4" t="n">
        <v>-2182</v>
      </c>
      <c r="C21" s="4" t="n">
        <v>-4353</v>
      </c>
      <c r="D21" s="4" t="n">
        <v>-6508</v>
      </c>
      <c r="E21" s="4" t="n">
        <v>-2255</v>
      </c>
      <c r="F21" s="4" t="n">
        <v>-4486</v>
      </c>
      <c r="G21" s="4" t="n">
        <v>-6710</v>
      </c>
      <c r="H21" s="4" t="n">
        <v>-2290</v>
      </c>
      <c r="I21" s="4" t="n">
        <v>-4578</v>
      </c>
      <c r="J21" s="4" t="n">
        <v>-6863</v>
      </c>
      <c r="K21" s="4" t="n">
        <v>-2445</v>
      </c>
      <c r="L21" s="4" t="n">
        <v>-4886</v>
      </c>
      <c r="M21" s="4" t="n">
        <v>-7319</v>
      </c>
      <c r="N21" s="4" t="n">
        <v>-2549</v>
      </c>
      <c r="O21" s="4" t="n">
        <v>-5093</v>
      </c>
    </row>
    <row r="22">
      <c r="A22" s="3" t="inlineStr">
        <is>
          <t>Proceeds from Short-Term Debt</t>
        </is>
      </c>
      <c r="B22" s="4" t="n">
        <v>1792</v>
      </c>
      <c r="C22" s="4" t="n">
        <v>6747</v>
      </c>
      <c r="D22" s="4" t="n">
        <v>10146</v>
      </c>
      <c r="E22" s="4" t="n">
        <v>2975</v>
      </c>
      <c r="F22" s="4" t="n">
        <v>10447</v>
      </c>
      <c r="G22" s="4" t="n">
        <v>13778</v>
      </c>
      <c r="H22" s="4" t="n">
        <v>2179</v>
      </c>
      <c r="I22" s="4" t="n">
        <v>2798</v>
      </c>
      <c r="J22" s="4" t="n">
        <v>2961</v>
      </c>
      <c r="K22" s="4" t="n">
        <v>4090</v>
      </c>
      <c r="L22" s="4" t="n">
        <v>5905</v>
      </c>
      <c r="M22" s="4" t="n">
        <v>5905</v>
      </c>
      <c r="N22" s="4" t="n">
        <v>1123</v>
      </c>
      <c r="O22" s="4" t="n">
        <v>4180</v>
      </c>
    </row>
    <row r="23">
      <c r="A23" s="3" t="inlineStr">
        <is>
          <t>Repayments of Short-Term Debt</t>
        </is>
      </c>
      <c r="B23" s="4" t="n">
        <v>-1422</v>
      </c>
      <c r="C23" s="4" t="n">
        <v>-1730</v>
      </c>
      <c r="D23" s="4" t="n">
        <v>-8163</v>
      </c>
      <c r="E23" s="4" t="n">
        <v>-265</v>
      </c>
      <c r="F23" s="4" t="n">
        <v>-3260</v>
      </c>
      <c r="G23" s="4" t="n">
        <v>-9134</v>
      </c>
      <c r="H23" s="4" t="n">
        <v>-1906</v>
      </c>
      <c r="I23" s="4" t="n">
        <v>-5862</v>
      </c>
      <c r="J23" s="4" t="n">
        <v>-7523</v>
      </c>
      <c r="K23" s="4" t="n">
        <v>-571</v>
      </c>
      <c r="L23" s="4" t="n">
        <v>-571</v>
      </c>
      <c r="M23" s="4" t="n">
        <v>-3781</v>
      </c>
      <c r="N23" s="4" t="n">
        <v>-1800</v>
      </c>
      <c r="O23" s="4" t="n">
        <v>-3270</v>
      </c>
    </row>
    <row r="24">
      <c r="A24" s="3" t="inlineStr">
        <is>
          <t>Net Change in Other Short-Term Debt</t>
        </is>
      </c>
      <c r="B24" s="4" t="n">
        <v>512</v>
      </c>
      <c r="C24" s="4" t="n">
        <v>-1124</v>
      </c>
      <c r="D24" s="4" t="n">
        <v>-849</v>
      </c>
      <c r="E24" s="4" t="n">
        <v>1727</v>
      </c>
      <c r="F24" s="4" t="n">
        <v>-1759</v>
      </c>
      <c r="G24" s="4" t="n">
        <v>-387</v>
      </c>
      <c r="H24" s="4" t="n">
        <v>2172</v>
      </c>
      <c r="I24" s="4" t="n">
        <v>3740</v>
      </c>
      <c r="J24" s="4" t="n">
        <v>2331</v>
      </c>
      <c r="K24" s="4" t="n">
        <v>-444</v>
      </c>
      <c r="L24" s="4" t="n">
        <v>-2705</v>
      </c>
      <c r="M24" s="4" t="n">
        <v>-543</v>
      </c>
      <c r="N24" s="4" t="n">
        <v>2108</v>
      </c>
      <c r="O24" s="4" t="n">
        <v>-471</v>
      </c>
    </row>
    <row r="25">
      <c r="A25" s="3" t="inlineStr">
        <is>
          <t>Proceeds from Issuance of Long-Term Debt</t>
        </is>
      </c>
      <c r="B25" s="4" t="n">
        <v>0</v>
      </c>
      <c r="C25" s="4" t="n">
        <v>2136</v>
      </c>
      <c r="D25" s="4" t="n">
        <v>4385</v>
      </c>
      <c r="E25" s="4" t="n">
        <v>0</v>
      </c>
      <c r="F25" s="4" t="n">
        <v>0</v>
      </c>
      <c r="G25" s="4" t="n">
        <v>2569</v>
      </c>
      <c r="H25" s="4" t="n">
        <v>0</v>
      </c>
      <c r="I25" s="4" t="n">
        <v>254</v>
      </c>
      <c r="J25" s="4" t="n">
        <v>1598</v>
      </c>
      <c r="K25" s="4" t="n">
        <v>0</v>
      </c>
      <c r="L25" s="4" t="n">
        <v>995</v>
      </c>
      <c r="M25" s="4" t="n">
        <v>995</v>
      </c>
      <c r="N25" s="4" t="n">
        <v>0</v>
      </c>
      <c r="O25" s="4" t="n">
        <v>2652</v>
      </c>
    </row>
    <row r="26">
      <c r="A26" s="3" t="inlineStr">
        <is>
          <t>Repayments of Long-Term Debt</t>
        </is>
      </c>
      <c r="B26" s="4" t="n">
        <v>-26</v>
      </c>
      <c r="C26" s="4" t="n">
        <v>-1673</v>
      </c>
      <c r="D26" s="4" t="n">
        <v>-2776</v>
      </c>
      <c r="E26" s="4" t="n">
        <v>-1877</v>
      </c>
      <c r="F26" s="4" t="n">
        <v>-1877</v>
      </c>
      <c r="G26" s="4" t="n">
        <v>-1877</v>
      </c>
      <c r="H26" s="4" t="n">
        <v>-1004</v>
      </c>
      <c r="I26" s="4" t="n">
        <v>-2335</v>
      </c>
      <c r="J26" s="4" t="n">
        <v>-2335</v>
      </c>
      <c r="K26" s="4" t="n">
        <v>-70</v>
      </c>
      <c r="L26" s="4" t="n">
        <v>-1478</v>
      </c>
      <c r="M26" s="4" t="n">
        <v>-1478</v>
      </c>
      <c r="N26" s="4" t="n">
        <v>-3</v>
      </c>
      <c r="O26" s="4" t="n">
        <v>-1005</v>
      </c>
    </row>
    <row r="27">
      <c r="A27" s="3" t="inlineStr">
        <is>
          <t>Share Repurchases</t>
        </is>
      </c>
      <c r="B27" s="4" t="n">
        <v>-2750</v>
      </c>
      <c r="C27" s="4" t="n">
        <v>-7504</v>
      </c>
      <c r="D27" s="4" t="n">
        <v>-8753</v>
      </c>
      <c r="E27" s="4" t="n">
        <v>-4000</v>
      </c>
      <c r="F27" s="4" t="n">
        <v>-6002</v>
      </c>
      <c r="G27" s="4" t="n">
        <v>-7353</v>
      </c>
      <c r="H27" s="4" t="n">
        <v>-1500</v>
      </c>
      <c r="I27" s="4" t="n">
        <v>-2503</v>
      </c>
      <c r="J27" s="4" t="n">
        <v>-3490</v>
      </c>
      <c r="K27" s="4" t="n">
        <v>-1939</v>
      </c>
      <c r="L27" s="4" t="n">
        <v>-4449</v>
      </c>
      <c r="M27" s="4" t="n">
        <v>-5800</v>
      </c>
      <c r="N27" s="4" t="n">
        <v>-1250</v>
      </c>
      <c r="O27" s="4" t="n">
        <v>-3528</v>
      </c>
    </row>
    <row r="28">
      <c r="A28" s="3" t="inlineStr">
        <is>
          <t>Stock Options &amp; Other Financing Activities</t>
        </is>
      </c>
      <c r="B28" s="4" t="n">
        <v>648</v>
      </c>
      <c r="C28" s="4" t="n">
        <v>1215</v>
      </c>
      <c r="D28" s="4" t="n">
        <v>1800</v>
      </c>
      <c r="E28" s="4" t="n">
        <v>188</v>
      </c>
      <c r="F28" s="4" t="n">
        <v>437</v>
      </c>
      <c r="G28" s="4" t="n">
        <v>861</v>
      </c>
      <c r="H28" s="4" t="n">
        <v>312</v>
      </c>
      <c r="I28" s="4" t="n">
        <v>397</v>
      </c>
      <c r="J28" s="4" t="n">
        <v>965</v>
      </c>
      <c r="K28" s="4" t="n">
        <v>745</v>
      </c>
      <c r="L28" s="4" t="n">
        <v>985</v>
      </c>
      <c r="M28" s="4" t="n">
        <v>1601</v>
      </c>
      <c r="N28" s="4" t="n">
        <v>134</v>
      </c>
      <c r="O28" s="4" t="n">
        <v>208</v>
      </c>
    </row>
    <row r="29">
      <c r="A29" s="3" t="inlineStr">
        <is>
          <t>Cash Flow from Financing</t>
        </is>
      </c>
      <c r="B29" s="6">
        <f>SUM(B21:B28)</f>
        <v/>
      </c>
      <c r="C29" s="6">
        <f>SUM(C21:C28)</f>
        <v/>
      </c>
      <c r="D29" s="6">
        <f>SUM(D21:D28)</f>
        <v/>
      </c>
      <c r="E29" s="6">
        <f>SUM(E21:E28)</f>
        <v/>
      </c>
      <c r="F29" s="6">
        <f>SUM(F21:F28)</f>
        <v/>
      </c>
      <c r="G29" s="6">
        <f>SUM(G21:G28)</f>
        <v/>
      </c>
      <c r="H29" s="6">
        <f>SUM(H21:H28)</f>
        <v/>
      </c>
      <c r="I29" s="6">
        <f>SUM(I21:I28)</f>
        <v/>
      </c>
      <c r="J29" s="6">
        <f>SUM(J21:J28)</f>
        <v/>
      </c>
      <c r="K29" s="6">
        <f>SUM(K21:K28)</f>
        <v/>
      </c>
      <c r="L29" s="6">
        <f>SUM(L21:L28)</f>
        <v/>
      </c>
      <c r="M29" s="6">
        <f>SUM(M21:M28)</f>
        <v/>
      </c>
      <c r="N29" s="6">
        <f>SUM(N21:N28)</f>
        <v/>
      </c>
      <c r="O29" s="6">
        <f>SUM(O21:O28)</f>
        <v/>
      </c>
    </row>
    <row r="30">
      <c r="A30" s="3" t="inlineStr">
        <is>
          <t>FX Effect on Cash</t>
        </is>
      </c>
      <c r="B30" s="4" t="n">
        <v>-127</v>
      </c>
      <c r="C30" s="4" t="n">
        <v>-256</v>
      </c>
      <c r="D30" s="4" t="n">
        <v>-312</v>
      </c>
      <c r="E30" s="4" t="n">
        <v>-235</v>
      </c>
      <c r="F30" s="4" t="n">
        <v>-182</v>
      </c>
      <c r="G30" s="4" t="n">
        <v>-170</v>
      </c>
      <c r="H30" s="4" t="n">
        <v>-156</v>
      </c>
      <c r="I30" s="4" t="n">
        <v>-49</v>
      </c>
      <c r="J30" s="4" t="n">
        <v>-168</v>
      </c>
      <c r="K30" s="4" t="n">
        <v>116</v>
      </c>
      <c r="L30" s="4" t="n">
        <v>-144</v>
      </c>
      <c r="M30" s="4" t="n">
        <v>-22</v>
      </c>
      <c r="N30" s="4" t="n">
        <v>-20</v>
      </c>
      <c r="O30" s="4" t="n">
        <v>-21</v>
      </c>
    </row>
    <row r="31">
      <c r="A31" s="3" t="inlineStr">
        <is>
          <t>Net Change in Cash</t>
        </is>
      </c>
      <c r="B31" s="6">
        <f>B14+B20+B29+B30</f>
        <v/>
      </c>
      <c r="C31" s="6">
        <f>C14+C20+C29+C30</f>
        <v/>
      </c>
      <c r="D31" s="6">
        <f>D14+D20+D29+D30</f>
        <v/>
      </c>
      <c r="E31" s="6">
        <f>E14+E20+E29+E30</f>
        <v/>
      </c>
      <c r="F31" s="6">
        <f>F14+F20+F29+F30</f>
        <v/>
      </c>
      <c r="G31" s="6">
        <f>G14+G20+G29+G30</f>
        <v/>
      </c>
      <c r="H31" s="6">
        <f>H14+H20+H29+H30</f>
        <v/>
      </c>
      <c r="I31" s="6">
        <f>I14+I20+I29+I30</f>
        <v/>
      </c>
      <c r="J31" s="6">
        <f>J14+J20+J29+J30</f>
        <v/>
      </c>
      <c r="K31" s="6">
        <f>K14+K20+K29+K30</f>
        <v/>
      </c>
      <c r="L31" s="6">
        <f>L14+L20+L29+L30</f>
        <v/>
      </c>
      <c r="M31" s="6">
        <f>M14+M20+M29+M30</f>
        <v/>
      </c>
      <c r="N31" s="6">
        <f>N14+N20+N29+N30</f>
        <v/>
      </c>
      <c r="O31" s="6">
        <f>O14+O20+O29+O30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4">
        <f>'YTD P&amp;L'!N2</f>
        <v/>
      </c>
      <c r="S2" s="4">
        <f>'YTD P&amp;L'!O2-'YTD P&amp;L'!N2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4">
        <f>'YTD P&amp;L'!N3</f>
        <v/>
      </c>
      <c r="S3" s="4">
        <f>'YTD P&amp;L'!O3-'YTD P&amp;L'!N3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6">
        <f>'YTD P&amp;L'!N4</f>
        <v/>
      </c>
      <c r="S4" s="6">
        <f>'YTD P&amp;L'!O4-'YTD P&amp;L'!N4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4">
        <f>'YTD P&amp;L'!N5</f>
        <v/>
      </c>
      <c r="S5" s="4">
        <f>'YTD P&amp;L'!O5-'YTD P&amp;L'!N5</f>
        <v/>
      </c>
    </row>
    <row r="6">
      <c r="A6" s="3" t="inlineStr">
        <is>
          <t>Impairment of Intangibles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  <c r="R6" s="4">
        <f>'YTD P&amp;L'!N6</f>
        <v/>
      </c>
      <c r="S6" s="4">
        <f>'YTD P&amp;L'!O6-'YTD P&amp;L'!N6</f>
        <v/>
      </c>
    </row>
    <row r="7">
      <c r="A7" s="3" t="inlineStr">
        <is>
          <t>Income (Loss) from Operations</t>
        </is>
      </c>
      <c r="B7" s="6">
        <f>'YTD P&amp;L'!B7</f>
        <v/>
      </c>
      <c r="C7" s="6">
        <f>'YTD P&amp;L'!C7-'YTD P&amp;L'!B7</f>
        <v/>
      </c>
      <c r="D7" s="6">
        <f>'YTD P&amp;L'!D7-'YTD P&amp;L'!C7</f>
        <v/>
      </c>
      <c r="E7" s="6">
        <f>'ANNL P&amp;L'!C7-'YTD P&amp;L'!D7</f>
        <v/>
      </c>
      <c r="F7" s="6">
        <f>'YTD P&amp;L'!E7</f>
        <v/>
      </c>
      <c r="G7" s="6">
        <f>'YTD P&amp;L'!F7-'YTD P&amp;L'!E7</f>
        <v/>
      </c>
      <c r="H7" s="6">
        <f>'YTD P&amp;L'!G7-'YTD P&amp;L'!F7</f>
        <v/>
      </c>
      <c r="I7" s="6">
        <f>'ANNL P&amp;L'!D7-'YTD P&amp;L'!G7</f>
        <v/>
      </c>
      <c r="J7" s="6">
        <f>'YTD P&amp;L'!H7</f>
        <v/>
      </c>
      <c r="K7" s="6">
        <f>'YTD P&amp;L'!I7-'YTD P&amp;L'!H7</f>
        <v/>
      </c>
      <c r="L7" s="6">
        <f>'YTD P&amp;L'!J7-'YTD P&amp;L'!I7</f>
        <v/>
      </c>
      <c r="M7" s="6">
        <f>'ANNL P&amp;L'!E7-'YTD P&amp;L'!J7</f>
        <v/>
      </c>
      <c r="N7" s="6">
        <f>'YTD P&amp;L'!K7</f>
        <v/>
      </c>
      <c r="O7" s="6">
        <f>'YTD P&amp;L'!L7-'YTD P&amp;L'!K7</f>
        <v/>
      </c>
      <c r="P7" s="6">
        <f>'YTD P&amp;L'!M7-'YTD P&amp;L'!L7</f>
        <v/>
      </c>
      <c r="Q7" s="6">
        <f>'ANNL P&amp;L'!F7-'YTD P&amp;L'!M7</f>
        <v/>
      </c>
      <c r="R7" s="6">
        <f>'YTD P&amp;L'!N7</f>
        <v/>
      </c>
      <c r="S7" s="6">
        <f>'YTD P&amp;L'!O7-'YTD P&amp;L'!N7</f>
        <v/>
      </c>
    </row>
    <row r="8">
      <c r="A8" s="3" t="inlineStr">
        <is>
          <t>Interest Income (Expense)</t>
        </is>
      </c>
      <c r="B8" s="4">
        <f>'YTD P&amp;L'!B8</f>
        <v/>
      </c>
      <c r="C8" s="4">
        <f>'YTD P&amp;L'!C8-'YTD P&amp;L'!B8</f>
        <v/>
      </c>
      <c r="D8" s="4">
        <f>'YTD P&amp;L'!D8-'YTD P&amp;L'!C8</f>
        <v/>
      </c>
      <c r="E8" s="4">
        <f>'ANNL P&amp;L'!C8-'YTD P&amp;L'!D8</f>
        <v/>
      </c>
      <c r="F8" s="4">
        <f>'YTD P&amp;L'!E8</f>
        <v/>
      </c>
      <c r="G8" s="4">
        <f>'YTD P&amp;L'!F8-'YTD P&amp;L'!E8</f>
        <v/>
      </c>
      <c r="H8" s="4">
        <f>'YTD P&amp;L'!G8-'YTD P&amp;L'!F8</f>
        <v/>
      </c>
      <c r="I8" s="4">
        <f>'ANNL P&amp;L'!D8-'YTD P&amp;L'!G8</f>
        <v/>
      </c>
      <c r="J8" s="4">
        <f>'YTD P&amp;L'!H8</f>
        <v/>
      </c>
      <c r="K8" s="4">
        <f>'YTD P&amp;L'!I8-'YTD P&amp;L'!H8</f>
        <v/>
      </c>
      <c r="L8" s="4">
        <f>'YTD P&amp;L'!J8-'YTD P&amp;L'!I8</f>
        <v/>
      </c>
      <c r="M8" s="4">
        <f>'ANNL P&amp;L'!E8-'YTD P&amp;L'!J8</f>
        <v/>
      </c>
      <c r="N8" s="4">
        <f>'YTD P&amp;L'!K8</f>
        <v/>
      </c>
      <c r="O8" s="4">
        <f>'YTD P&amp;L'!L8-'YTD P&amp;L'!K8</f>
        <v/>
      </c>
      <c r="P8" s="4">
        <f>'YTD P&amp;L'!M8-'YTD P&amp;L'!L8</f>
        <v/>
      </c>
      <c r="Q8" s="4">
        <f>'ANNL P&amp;L'!F8-'YTD P&amp;L'!M8</f>
        <v/>
      </c>
      <c r="R8" s="4">
        <f>'YTD P&amp;L'!N8</f>
        <v/>
      </c>
      <c r="S8" s="4">
        <f>'YTD P&amp;L'!O8-'YTD P&amp;L'!N8</f>
        <v/>
      </c>
    </row>
    <row r="9">
      <c r="A9" s="3" t="inlineStr">
        <is>
          <t>Other Income (Expense)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  <c r="R9" s="4">
        <f>'YTD P&amp;L'!N9</f>
        <v/>
      </c>
      <c r="S9" s="4">
        <f>'YTD P&amp;L'!O9-'YTD P&amp;L'!N9</f>
        <v/>
      </c>
    </row>
    <row r="10">
      <c r="A10" s="3" t="inlineStr">
        <is>
          <t>Pre-Tax Income (Loss)</t>
        </is>
      </c>
      <c r="B10" s="6">
        <f>'YTD P&amp;L'!B10</f>
        <v/>
      </c>
      <c r="C10" s="6">
        <f>'YTD P&amp;L'!C10-'YTD P&amp;L'!B10</f>
        <v/>
      </c>
      <c r="D10" s="6">
        <f>'YTD P&amp;L'!D10-'YTD P&amp;L'!C10</f>
        <v/>
      </c>
      <c r="E10" s="6">
        <f>'ANNL P&amp;L'!C10-'YTD P&amp;L'!D10</f>
        <v/>
      </c>
      <c r="F10" s="6">
        <f>'YTD P&amp;L'!E10</f>
        <v/>
      </c>
      <c r="G10" s="6">
        <f>'YTD P&amp;L'!F10-'YTD P&amp;L'!E10</f>
        <v/>
      </c>
      <c r="H10" s="6">
        <f>'YTD P&amp;L'!G10-'YTD P&amp;L'!F10</f>
        <v/>
      </c>
      <c r="I10" s="6">
        <f>'ANNL P&amp;L'!D10-'YTD P&amp;L'!G10</f>
        <v/>
      </c>
      <c r="J10" s="6">
        <f>'YTD P&amp;L'!H10</f>
        <v/>
      </c>
      <c r="K10" s="6">
        <f>'YTD P&amp;L'!I10-'YTD P&amp;L'!H10</f>
        <v/>
      </c>
      <c r="L10" s="6">
        <f>'YTD P&amp;L'!J10-'YTD P&amp;L'!I10</f>
        <v/>
      </c>
      <c r="M10" s="6">
        <f>'ANNL P&amp;L'!E10-'YTD P&amp;L'!J10</f>
        <v/>
      </c>
      <c r="N10" s="6">
        <f>'YTD P&amp;L'!K10</f>
        <v/>
      </c>
      <c r="O10" s="6">
        <f>'YTD P&amp;L'!L10-'YTD P&amp;L'!K10</f>
        <v/>
      </c>
      <c r="P10" s="6">
        <f>'YTD P&amp;L'!M10-'YTD P&amp;L'!L10</f>
        <v/>
      </c>
      <c r="Q10" s="6">
        <f>'ANNL P&amp;L'!F10-'YTD P&amp;L'!M10</f>
        <v/>
      </c>
      <c r="R10" s="6">
        <f>'YTD P&amp;L'!N10</f>
        <v/>
      </c>
      <c r="S10" s="6">
        <f>'YTD P&amp;L'!O10-'YTD P&amp;L'!N10</f>
        <v/>
      </c>
    </row>
    <row r="11">
      <c r="A11" s="3" t="inlineStr">
        <is>
          <t>Income Tax (Expense) Benefit</t>
        </is>
      </c>
      <c r="B11" s="4">
        <f>'YTD P&amp;L'!B11</f>
        <v/>
      </c>
      <c r="C11" s="4">
        <f>'YTD P&amp;L'!C11-'YTD P&amp;L'!B11</f>
        <v/>
      </c>
      <c r="D11" s="4">
        <f>'YTD P&amp;L'!D11-'YTD P&amp;L'!C11</f>
        <v/>
      </c>
      <c r="E11" s="4">
        <f>'ANNL P&amp;L'!C11-'YTD P&amp;L'!D11</f>
        <v/>
      </c>
      <c r="F11" s="4">
        <f>'YTD P&amp;L'!E11</f>
        <v/>
      </c>
      <c r="G11" s="4">
        <f>'YTD P&amp;L'!F11-'YTD P&amp;L'!E11</f>
        <v/>
      </c>
      <c r="H11" s="4">
        <f>'YTD P&amp;L'!G11-'YTD P&amp;L'!F11</f>
        <v/>
      </c>
      <c r="I11" s="4">
        <f>'ANNL P&amp;L'!D11-'YTD P&amp;L'!G11</f>
        <v/>
      </c>
      <c r="J11" s="4">
        <f>'YTD P&amp;L'!H11</f>
        <v/>
      </c>
      <c r="K11" s="4">
        <f>'YTD P&amp;L'!I11-'YTD P&amp;L'!H11</f>
        <v/>
      </c>
      <c r="L11" s="4">
        <f>'YTD P&amp;L'!J11-'YTD P&amp;L'!I11</f>
        <v/>
      </c>
      <c r="M11" s="4">
        <f>'ANNL P&amp;L'!E11-'YTD P&amp;L'!J11</f>
        <v/>
      </c>
      <c r="N11" s="4">
        <f>'YTD P&amp;L'!K11</f>
        <v/>
      </c>
      <c r="O11" s="4">
        <f>'YTD P&amp;L'!L11-'YTD P&amp;L'!K11</f>
        <v/>
      </c>
      <c r="P11" s="4">
        <f>'YTD P&amp;L'!M11-'YTD P&amp;L'!L11</f>
        <v/>
      </c>
      <c r="Q11" s="4">
        <f>'ANNL P&amp;L'!F11-'YTD P&amp;L'!M11</f>
        <v/>
      </c>
      <c r="R11" s="4">
        <f>'YTD P&amp;L'!N11</f>
        <v/>
      </c>
      <c r="S11" s="4">
        <f>'YTD P&amp;L'!O11-'YTD P&amp;L'!N11</f>
        <v/>
      </c>
    </row>
    <row r="12">
      <c r="A12" s="3" t="inlineStr">
        <is>
          <t>Net Income (Loss)</t>
        </is>
      </c>
      <c r="B12" s="6">
        <f>'YTD P&amp;L'!B12</f>
        <v/>
      </c>
      <c r="C12" s="6">
        <f>'YTD P&amp;L'!C12-'YTD P&amp;L'!B12</f>
        <v/>
      </c>
      <c r="D12" s="6">
        <f>'YTD P&amp;L'!D12-'YTD P&amp;L'!C12</f>
        <v/>
      </c>
      <c r="E12" s="6">
        <f>'ANNL P&amp;L'!C12-'YTD P&amp;L'!D12</f>
        <v/>
      </c>
      <c r="F12" s="6">
        <f>'YTD P&amp;L'!E12</f>
        <v/>
      </c>
      <c r="G12" s="6">
        <f>'YTD P&amp;L'!F12-'YTD P&amp;L'!E12</f>
        <v/>
      </c>
      <c r="H12" s="6">
        <f>'YTD P&amp;L'!G12-'YTD P&amp;L'!F12</f>
        <v/>
      </c>
      <c r="I12" s="6">
        <f>'ANNL P&amp;L'!D12-'YTD P&amp;L'!G12</f>
        <v/>
      </c>
      <c r="J12" s="6">
        <f>'YTD P&amp;L'!H12</f>
        <v/>
      </c>
      <c r="K12" s="6">
        <f>'YTD P&amp;L'!I12-'YTD P&amp;L'!H12</f>
        <v/>
      </c>
      <c r="L12" s="6">
        <f>'YTD P&amp;L'!J12-'YTD P&amp;L'!I12</f>
        <v/>
      </c>
      <c r="M12" s="6">
        <f>'ANNL P&amp;L'!E12-'YTD P&amp;L'!J12</f>
        <v/>
      </c>
      <c r="N12" s="6">
        <f>'YTD P&amp;L'!K12</f>
        <v/>
      </c>
      <c r="O12" s="6">
        <f>'YTD P&amp;L'!L12-'YTD P&amp;L'!K12</f>
        <v/>
      </c>
      <c r="P12" s="6">
        <f>'YTD P&amp;L'!M12-'YTD P&amp;L'!L12</f>
        <v/>
      </c>
      <c r="Q12" s="6">
        <f>'ANNL P&amp;L'!F12-'YTD P&amp;L'!M12</f>
        <v/>
      </c>
      <c r="R12" s="6">
        <f>'YTD P&amp;L'!N12</f>
        <v/>
      </c>
      <c r="S12" s="6">
        <f>'YTD P&amp;L'!O12-'YTD P&amp;L'!N12</f>
        <v/>
      </c>
    </row>
    <row r="13">
      <c r="A13" s="3" t="inlineStr">
        <is>
          <t>Net Income (Loss) Attributable to Noncontrolling Interest</t>
        </is>
      </c>
      <c r="B13" s="4">
        <f>'YTD P&amp;L'!B13</f>
        <v/>
      </c>
      <c r="C13" s="4">
        <f>'YTD P&amp;L'!C13-'YTD P&amp;L'!B13</f>
        <v/>
      </c>
      <c r="D13" s="4">
        <f>'YTD P&amp;L'!D13-'YTD P&amp;L'!C13</f>
        <v/>
      </c>
      <c r="E13" s="4">
        <f>'ANNL P&amp;L'!C13-'YTD P&amp;L'!D13</f>
        <v/>
      </c>
      <c r="F13" s="4">
        <f>'YTD P&amp;L'!E13</f>
        <v/>
      </c>
      <c r="G13" s="4">
        <f>'YTD P&amp;L'!F13-'YTD P&amp;L'!E13</f>
        <v/>
      </c>
      <c r="H13" s="4">
        <f>'YTD P&amp;L'!G13-'YTD P&amp;L'!F13</f>
        <v/>
      </c>
      <c r="I13" s="4">
        <f>'ANNL P&amp;L'!D13-'YTD P&amp;L'!G13</f>
        <v/>
      </c>
      <c r="J13" s="4">
        <f>'YTD P&amp;L'!H13</f>
        <v/>
      </c>
      <c r="K13" s="4">
        <f>'YTD P&amp;L'!I13-'YTD P&amp;L'!H13</f>
        <v/>
      </c>
      <c r="L13" s="4">
        <f>'YTD P&amp;L'!J13-'YTD P&amp;L'!I13</f>
        <v/>
      </c>
      <c r="M13" s="4">
        <f>'ANNL P&amp;L'!E13-'YTD P&amp;L'!J13</f>
        <v/>
      </c>
      <c r="N13" s="4">
        <f>'YTD P&amp;L'!K13</f>
        <v/>
      </c>
      <c r="O13" s="4">
        <f>'YTD P&amp;L'!L13-'YTD P&amp;L'!K13</f>
        <v/>
      </c>
      <c r="P13" s="4">
        <f>'YTD P&amp;L'!M13-'YTD P&amp;L'!L13</f>
        <v/>
      </c>
      <c r="Q13" s="4">
        <f>'ANNL P&amp;L'!F13-'YTD P&amp;L'!M13</f>
        <v/>
      </c>
      <c r="R13" s="4">
        <f>'YTD P&amp;L'!N13</f>
        <v/>
      </c>
      <c r="S13" s="4">
        <f>'YTD P&amp;L'!O13-'YTD P&amp;L'!N13</f>
        <v/>
      </c>
    </row>
    <row r="14">
      <c r="A14" s="3" t="inlineStr">
        <is>
          <t>Net Income (Loss) Less NCI</t>
        </is>
      </c>
      <c r="B14" s="6">
        <f>'YTD P&amp;L'!B14</f>
        <v/>
      </c>
      <c r="C14" s="6">
        <f>'YTD P&amp;L'!C14-'YTD P&amp;L'!B14</f>
        <v/>
      </c>
      <c r="D14" s="6">
        <f>'YTD P&amp;L'!D14-'YTD P&amp;L'!C14</f>
        <v/>
      </c>
      <c r="E14" s="6">
        <f>'ANNL P&amp;L'!C14-'YTD P&amp;L'!D14</f>
        <v/>
      </c>
      <c r="F14" s="6">
        <f>'YTD P&amp;L'!E14</f>
        <v/>
      </c>
      <c r="G14" s="6">
        <f>'YTD P&amp;L'!F14-'YTD P&amp;L'!E14</f>
        <v/>
      </c>
      <c r="H14" s="6">
        <f>'YTD P&amp;L'!G14-'YTD P&amp;L'!F14</f>
        <v/>
      </c>
      <c r="I14" s="6">
        <f>'ANNL P&amp;L'!D14-'YTD P&amp;L'!G14</f>
        <v/>
      </c>
      <c r="J14" s="6">
        <f>'YTD P&amp;L'!H14</f>
        <v/>
      </c>
      <c r="K14" s="6">
        <f>'YTD P&amp;L'!I14-'YTD P&amp;L'!H14</f>
        <v/>
      </c>
      <c r="L14" s="6">
        <f>'YTD P&amp;L'!J14-'YTD P&amp;L'!I14</f>
        <v/>
      </c>
      <c r="M14" s="6">
        <f>'ANNL P&amp;L'!E14-'YTD P&amp;L'!J14</f>
        <v/>
      </c>
      <c r="N14" s="6">
        <f>'YTD P&amp;L'!K14</f>
        <v/>
      </c>
      <c r="O14" s="6">
        <f>'YTD P&amp;L'!L14-'YTD P&amp;L'!K14</f>
        <v/>
      </c>
      <c r="P14" s="6">
        <f>'YTD P&amp;L'!M14-'YTD P&amp;L'!L14</f>
        <v/>
      </c>
      <c r="Q14" s="6">
        <f>'ANNL P&amp;L'!F14-'YTD P&amp;L'!M14</f>
        <v/>
      </c>
      <c r="R14" s="6">
        <f>'YTD P&amp;L'!N14</f>
        <v/>
      </c>
      <c r="S14" s="6">
        <f>'YTD P&amp;L'!O14-'YTD P&amp;L'!N14</f>
        <v/>
      </c>
    </row>
    <row r="15">
      <c r="A15" s="3" t="inlineStr">
        <is>
          <t>Basic Earnings (Loss) per Share</t>
        </is>
      </c>
    </row>
    <row r="16">
      <c r="A16" s="3" t="inlineStr">
        <is>
          <t>Diluted Earnings (Loss) per Share</t>
        </is>
      </c>
    </row>
    <row r="17">
      <c r="A17" s="3" t="inlineStr">
        <is>
          <t>Weighted Average Shares Outstanding (Basic)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4">
        <f>'YTD BS'!O2</f>
        <v/>
      </c>
      <c r="P2" s="4">
        <f>'YTD BS'!P2</f>
        <v/>
      </c>
    </row>
    <row r="3">
      <c r="A3" s="3" t="inlineStr">
        <is>
          <t>Accounts Receivable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4">
        <f>'YTD BS'!O3</f>
        <v/>
      </c>
      <c r="P3" s="4">
        <f>'YTD BS'!P3</f>
        <v/>
      </c>
    </row>
    <row r="4">
      <c r="A4" s="3" t="inlineStr">
        <is>
          <t>Raw Materials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4">
        <f>'YTD BS'!O4</f>
        <v/>
      </c>
      <c r="P4" s="4">
        <f>'YTD BS'!P4</f>
        <v/>
      </c>
    </row>
    <row r="5">
      <c r="A5" s="3" t="inlineStr">
        <is>
          <t>Work in Process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4">
        <f>'YTD BS'!O5</f>
        <v/>
      </c>
      <c r="P5" s="4">
        <f>'YTD BS'!P5</f>
        <v/>
      </c>
    </row>
    <row r="6">
      <c r="A6" s="3" t="inlineStr">
        <is>
          <t>Finished Goods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  <c r="O6" s="4">
        <f>'YTD BS'!O6</f>
        <v/>
      </c>
      <c r="P6" s="4">
        <f>'YTD BS'!P6</f>
        <v/>
      </c>
    </row>
    <row r="7">
      <c r="A7" s="3" t="inlineStr">
        <is>
          <t>Inventories</t>
        </is>
      </c>
      <c r="B7" s="6">
        <f>'BALANCE SHEET'!B7</f>
        <v/>
      </c>
      <c r="C7" s="6">
        <f>'YTD BS'!C7</f>
        <v/>
      </c>
      <c r="D7" s="6">
        <f>'YTD BS'!D7</f>
        <v/>
      </c>
      <c r="E7" s="6">
        <f>'YTD BS'!E7</f>
        <v/>
      </c>
      <c r="F7" s="6">
        <f>'BALANCE SHEET'!C7</f>
        <v/>
      </c>
      <c r="G7" s="6">
        <f>'YTD BS'!G7</f>
        <v/>
      </c>
      <c r="H7" s="6">
        <f>'YTD BS'!H7</f>
        <v/>
      </c>
      <c r="I7" s="6">
        <f>'YTD BS'!I7</f>
        <v/>
      </c>
      <c r="J7" s="6">
        <f>'BALANCE SHEET'!D7</f>
        <v/>
      </c>
      <c r="K7" s="6">
        <f>'YTD BS'!K7</f>
        <v/>
      </c>
      <c r="L7" s="6">
        <f>'YTD BS'!L7</f>
        <v/>
      </c>
      <c r="M7" s="6">
        <f>'YTD BS'!M7</f>
        <v/>
      </c>
      <c r="N7" s="6">
        <f>'BALANCE SHEET'!E7</f>
        <v/>
      </c>
      <c r="O7" s="6">
        <f>'YTD BS'!O7</f>
        <v/>
      </c>
      <c r="P7" s="6">
        <f>'YTD BS'!P7</f>
        <v/>
      </c>
    </row>
    <row r="8">
      <c r="A8" s="3" t="inlineStr">
        <is>
          <t>Prepaid Expenses</t>
        </is>
      </c>
      <c r="B8" s="4">
        <f>'BALANCE SHEET'!B8</f>
        <v/>
      </c>
      <c r="C8" s="4">
        <f>'YTD BS'!C8</f>
        <v/>
      </c>
      <c r="D8" s="4">
        <f>'YTD BS'!D8</f>
        <v/>
      </c>
      <c r="E8" s="4">
        <f>'YTD BS'!E8</f>
        <v/>
      </c>
      <c r="F8" s="4">
        <f>'BALANCE SHEET'!C8</f>
        <v/>
      </c>
      <c r="G8" s="4">
        <f>'YTD BS'!G8</f>
        <v/>
      </c>
      <c r="H8" s="4">
        <f>'YTD BS'!H8</f>
        <v/>
      </c>
      <c r="I8" s="4">
        <f>'YTD BS'!I8</f>
        <v/>
      </c>
      <c r="J8" s="4">
        <f>'BALANCE SHEET'!D8</f>
        <v/>
      </c>
      <c r="K8" s="4">
        <f>'YTD BS'!K8</f>
        <v/>
      </c>
      <c r="L8" s="4">
        <f>'YTD BS'!L8</f>
        <v/>
      </c>
      <c r="M8" s="4">
        <f>'YTD BS'!M8</f>
        <v/>
      </c>
      <c r="N8" s="4">
        <f>'BALANCE SHEET'!E8</f>
        <v/>
      </c>
      <c r="O8" s="4">
        <f>'YTD BS'!O8</f>
        <v/>
      </c>
      <c r="P8" s="4">
        <f>'YTD BS'!P8</f>
        <v/>
      </c>
    </row>
    <row r="9">
      <c r="A9" s="3" t="inlineStr">
        <is>
          <t>Total Current Assets</t>
        </is>
      </c>
      <c r="B9" s="6">
        <f>'BALANCE SHEET'!B9</f>
        <v/>
      </c>
      <c r="C9" s="6">
        <f>'YTD BS'!C9</f>
        <v/>
      </c>
      <c r="D9" s="6">
        <f>'YTD BS'!D9</f>
        <v/>
      </c>
      <c r="E9" s="6">
        <f>'YTD BS'!E9</f>
        <v/>
      </c>
      <c r="F9" s="6">
        <f>'BALANCE SHEET'!C9</f>
        <v/>
      </c>
      <c r="G9" s="6">
        <f>'YTD BS'!G9</f>
        <v/>
      </c>
      <c r="H9" s="6">
        <f>'YTD BS'!H9</f>
        <v/>
      </c>
      <c r="I9" s="6">
        <f>'YTD BS'!I9</f>
        <v/>
      </c>
      <c r="J9" s="6">
        <f>'BALANCE SHEET'!D9</f>
        <v/>
      </c>
      <c r="K9" s="6">
        <f>'YTD BS'!K9</f>
        <v/>
      </c>
      <c r="L9" s="6">
        <f>'YTD BS'!L9</f>
        <v/>
      </c>
      <c r="M9" s="6">
        <f>'YTD BS'!M9</f>
        <v/>
      </c>
      <c r="N9" s="6">
        <f>'BALANCE SHEET'!E9</f>
        <v/>
      </c>
      <c r="O9" s="6">
        <f>'YTD BS'!O9</f>
        <v/>
      </c>
      <c r="P9" s="6">
        <f>'YTD BS'!P9</f>
        <v/>
      </c>
    </row>
    <row r="10">
      <c r="A10" s="3" t="inlineStr">
        <is>
          <t>Net PP&amp;E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4">
        <f>'YTD BS'!O10</f>
        <v/>
      </c>
      <c r="P10" s="4">
        <f>'YTD BS'!P10</f>
        <v/>
      </c>
    </row>
    <row r="11">
      <c r="A11" s="3" t="inlineStr">
        <is>
          <t>Goodwill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  <c r="O11" s="4">
        <f>'YTD BS'!O11</f>
        <v/>
      </c>
      <c r="P11" s="4">
        <f>'YTD BS'!P11</f>
        <v/>
      </c>
    </row>
    <row r="12">
      <c r="A12" s="3" t="inlineStr">
        <is>
          <t>Intangible Assets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4">
        <f>'YTD BS'!O12</f>
        <v/>
      </c>
      <c r="P12" s="4">
        <f>'YTD BS'!P12</f>
        <v/>
      </c>
    </row>
    <row r="13">
      <c r="A13" s="3" t="inlineStr">
        <is>
          <t>Other Non-Current Assets</t>
        </is>
      </c>
      <c r="B13" s="4">
        <f>'BALANCE SHEET'!B13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SHEET'!C13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SHEET'!D13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SHEET'!E13</f>
        <v/>
      </c>
      <c r="O13" s="4">
        <f>'YTD BS'!O13</f>
        <v/>
      </c>
      <c r="P13" s="4">
        <f>'YTD BS'!P13</f>
        <v/>
      </c>
    </row>
    <row r="14">
      <c r="A14" s="3" t="inlineStr">
        <is>
          <t>Total Assets</t>
        </is>
      </c>
      <c r="B14" s="6">
        <f>'BALANCE SHEET'!B14</f>
        <v/>
      </c>
      <c r="C14" s="6">
        <f>'YTD BS'!C14</f>
        <v/>
      </c>
      <c r="D14" s="6">
        <f>'YTD BS'!D14</f>
        <v/>
      </c>
      <c r="E14" s="6">
        <f>'YTD BS'!E14</f>
        <v/>
      </c>
      <c r="F14" s="6">
        <f>'BALANCE SHEET'!C14</f>
        <v/>
      </c>
      <c r="G14" s="6">
        <f>'YTD BS'!G14</f>
        <v/>
      </c>
      <c r="H14" s="6">
        <f>'YTD BS'!H14</f>
        <v/>
      </c>
      <c r="I14" s="6">
        <f>'YTD BS'!I14</f>
        <v/>
      </c>
      <c r="J14" s="6">
        <f>'BALANCE SHEET'!D14</f>
        <v/>
      </c>
      <c r="K14" s="6">
        <f>'YTD BS'!K14</f>
        <v/>
      </c>
      <c r="L14" s="6">
        <f>'YTD BS'!L14</f>
        <v/>
      </c>
      <c r="M14" s="6">
        <f>'YTD BS'!M14</f>
        <v/>
      </c>
      <c r="N14" s="6">
        <f>'BALANCE SHEET'!E14</f>
        <v/>
      </c>
      <c r="O14" s="6">
        <f>'YTD BS'!O14</f>
        <v/>
      </c>
      <c r="P14" s="6">
        <f>'YTD BS'!P14</f>
        <v/>
      </c>
    </row>
    <row r="15">
      <c r="A15" s="3" t="inlineStr">
        <is>
          <t>Accounts Payable</t>
        </is>
      </c>
      <c r="B15" s="4">
        <f>'BALANCE SHEET'!B15</f>
        <v/>
      </c>
      <c r="C15" s="4">
        <f>'YTD BS'!C15</f>
        <v/>
      </c>
      <c r="D15" s="4">
        <f>'YTD BS'!D15</f>
        <v/>
      </c>
      <c r="E15" s="4">
        <f>'YTD BS'!E15</f>
        <v/>
      </c>
      <c r="F15" s="4">
        <f>'BALANCE SHEET'!C15</f>
        <v/>
      </c>
      <c r="G15" s="4">
        <f>'YTD BS'!G15</f>
        <v/>
      </c>
      <c r="H15" s="4">
        <f>'YTD BS'!H15</f>
        <v/>
      </c>
      <c r="I15" s="4">
        <f>'YTD BS'!I15</f>
        <v/>
      </c>
      <c r="J15" s="4">
        <f>'BALANCE SHEET'!D15</f>
        <v/>
      </c>
      <c r="K15" s="4">
        <f>'YTD BS'!K15</f>
        <v/>
      </c>
      <c r="L15" s="4">
        <f>'YTD BS'!L15</f>
        <v/>
      </c>
      <c r="M15" s="4">
        <f>'YTD BS'!M15</f>
        <v/>
      </c>
      <c r="N15" s="4">
        <f>'BALANCE SHEET'!E15</f>
        <v/>
      </c>
      <c r="O15" s="4">
        <f>'YTD BS'!O15</f>
        <v/>
      </c>
      <c r="P15" s="4">
        <f>'YTD BS'!P15</f>
        <v/>
      </c>
    </row>
    <row r="16">
      <c r="A16" s="3" t="inlineStr">
        <is>
          <t>Accrued Expenses</t>
        </is>
      </c>
      <c r="B16" s="4">
        <f>'BALANCE SHEET'!B16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SHEET'!C16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SHEET'!D16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SHEET'!E16</f>
        <v/>
      </c>
      <c r="O16" s="4">
        <f>'YTD BS'!O16</f>
        <v/>
      </c>
      <c r="P16" s="4">
        <f>'YTD BS'!P16</f>
        <v/>
      </c>
    </row>
    <row r="17">
      <c r="A17" s="3" t="inlineStr">
        <is>
          <t>Current Portion of Long-Term Debt</t>
        </is>
      </c>
      <c r="B17" s="4">
        <f>'BALANCE SHEET'!B17</f>
        <v/>
      </c>
      <c r="C17" s="4">
        <f>'YTD BS'!C17</f>
        <v/>
      </c>
      <c r="D17" s="4">
        <f>'YTD BS'!D17</f>
        <v/>
      </c>
      <c r="E17" s="4">
        <f>'YTD BS'!E17</f>
        <v/>
      </c>
      <c r="F17" s="4">
        <f>'BALANCE SHEET'!C17</f>
        <v/>
      </c>
      <c r="G17" s="4">
        <f>'YTD BS'!G17</f>
        <v/>
      </c>
      <c r="H17" s="4">
        <f>'YTD BS'!H17</f>
        <v/>
      </c>
      <c r="I17" s="4">
        <f>'YTD BS'!I17</f>
        <v/>
      </c>
      <c r="J17" s="4">
        <f>'BALANCE SHEET'!D17</f>
        <v/>
      </c>
      <c r="K17" s="4">
        <f>'YTD BS'!K17</f>
        <v/>
      </c>
      <c r="L17" s="4">
        <f>'YTD BS'!L17</f>
        <v/>
      </c>
      <c r="M17" s="4">
        <f>'YTD BS'!M17</f>
        <v/>
      </c>
      <c r="N17" s="4">
        <f>'BALANCE SHEET'!E17</f>
        <v/>
      </c>
      <c r="O17" s="4">
        <f>'YTD BS'!O17</f>
        <v/>
      </c>
      <c r="P17" s="4">
        <f>'YTD BS'!P17</f>
        <v/>
      </c>
    </row>
    <row r="18">
      <c r="A18" s="3" t="inlineStr">
        <is>
          <t>Total Current Liabilities</t>
        </is>
      </c>
      <c r="B18" s="6">
        <f>'BALANCE SHEET'!B18</f>
        <v/>
      </c>
      <c r="C18" s="6">
        <f>'YTD BS'!C18</f>
        <v/>
      </c>
      <c r="D18" s="6">
        <f>'YTD BS'!D18</f>
        <v/>
      </c>
      <c r="E18" s="6">
        <f>'YTD BS'!E18</f>
        <v/>
      </c>
      <c r="F18" s="6">
        <f>'BALANCE SHEET'!C18</f>
        <v/>
      </c>
      <c r="G18" s="6">
        <f>'YTD BS'!G18</f>
        <v/>
      </c>
      <c r="H18" s="6">
        <f>'YTD BS'!H18</f>
        <v/>
      </c>
      <c r="I18" s="6">
        <f>'YTD BS'!I18</f>
        <v/>
      </c>
      <c r="J18" s="6">
        <f>'BALANCE SHEET'!D18</f>
        <v/>
      </c>
      <c r="K18" s="6">
        <f>'YTD BS'!K18</f>
        <v/>
      </c>
      <c r="L18" s="6">
        <f>'YTD BS'!L18</f>
        <v/>
      </c>
      <c r="M18" s="6">
        <f>'YTD BS'!M18</f>
        <v/>
      </c>
      <c r="N18" s="6">
        <f>'BALANCE SHEET'!E18</f>
        <v/>
      </c>
      <c r="O18" s="6">
        <f>'YTD BS'!O18</f>
        <v/>
      </c>
      <c r="P18" s="6">
        <f>'YTD BS'!P18</f>
        <v/>
      </c>
    </row>
    <row r="19">
      <c r="A19" s="3" t="inlineStr">
        <is>
          <t>Long-Term Debt</t>
        </is>
      </c>
      <c r="B19" s="4">
        <f>'BALANCE SHEET'!B19</f>
        <v/>
      </c>
      <c r="C19" s="4">
        <f>'YTD BS'!C19</f>
        <v/>
      </c>
      <c r="D19" s="4">
        <f>'YTD BS'!D19</f>
        <v/>
      </c>
      <c r="E19" s="4">
        <f>'YTD BS'!E19</f>
        <v/>
      </c>
      <c r="F19" s="4">
        <f>'BALANCE SHEET'!C19</f>
        <v/>
      </c>
      <c r="G19" s="4">
        <f>'YTD BS'!G19</f>
        <v/>
      </c>
      <c r="H19" s="4">
        <f>'YTD BS'!H19</f>
        <v/>
      </c>
      <c r="I19" s="4">
        <f>'YTD BS'!I19</f>
        <v/>
      </c>
      <c r="J19" s="4">
        <f>'BALANCE SHEET'!D19</f>
        <v/>
      </c>
      <c r="K19" s="4">
        <f>'YTD BS'!K19</f>
        <v/>
      </c>
      <c r="L19" s="4">
        <f>'YTD BS'!L19</f>
        <v/>
      </c>
      <c r="M19" s="4">
        <f>'YTD BS'!M19</f>
        <v/>
      </c>
      <c r="N19" s="4">
        <f>'BALANCE SHEET'!E19</f>
        <v/>
      </c>
      <c r="O19" s="4">
        <f>'YTD BS'!O19</f>
        <v/>
      </c>
      <c r="P19" s="4">
        <f>'YTD BS'!P19</f>
        <v/>
      </c>
    </row>
    <row r="20">
      <c r="A20" s="3" t="inlineStr">
        <is>
          <t>Deferred Tax Liability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4">
        <f>'YTD BS'!O20</f>
        <v/>
      </c>
      <c r="P20" s="4">
        <f>'YTD BS'!P20</f>
        <v/>
      </c>
    </row>
    <row r="21">
      <c r="A21" s="3" t="inlineStr">
        <is>
          <t>Other Non-Current Liabilities</t>
        </is>
      </c>
      <c r="B21" s="4">
        <f>'BALANCE SHEET'!B21</f>
        <v/>
      </c>
      <c r="C21" s="4">
        <f>'YTD BS'!C21</f>
        <v/>
      </c>
      <c r="D21" s="4">
        <f>'YTD BS'!D21</f>
        <v/>
      </c>
      <c r="E21" s="4">
        <f>'YTD BS'!E21</f>
        <v/>
      </c>
      <c r="F21" s="4">
        <f>'BALANCE SHEET'!C21</f>
        <v/>
      </c>
      <c r="G21" s="4">
        <f>'YTD BS'!G21</f>
        <v/>
      </c>
      <c r="H21" s="4">
        <f>'YTD BS'!H21</f>
        <v/>
      </c>
      <c r="I21" s="4">
        <f>'YTD BS'!I21</f>
        <v/>
      </c>
      <c r="J21" s="4">
        <f>'BALANCE SHEET'!D21</f>
        <v/>
      </c>
      <c r="K21" s="4">
        <f>'YTD BS'!K21</f>
        <v/>
      </c>
      <c r="L21" s="4">
        <f>'YTD BS'!L21</f>
        <v/>
      </c>
      <c r="M21" s="4">
        <f>'YTD BS'!M21</f>
        <v/>
      </c>
      <c r="N21" s="4">
        <f>'BALANCE SHEET'!E21</f>
        <v/>
      </c>
      <c r="O21" s="4">
        <f>'YTD BS'!O21</f>
        <v/>
      </c>
      <c r="P21" s="4">
        <f>'YTD BS'!P21</f>
        <v/>
      </c>
    </row>
    <row r="22">
      <c r="A22" s="3" t="inlineStr">
        <is>
          <t>Total Liabilities</t>
        </is>
      </c>
      <c r="B22" s="6">
        <f>'BALANCE SHEET'!B22</f>
        <v/>
      </c>
      <c r="C22" s="6">
        <f>'YTD BS'!C22</f>
        <v/>
      </c>
      <c r="D22" s="6">
        <f>'YTD BS'!D22</f>
        <v/>
      </c>
      <c r="E22" s="6">
        <f>'YTD BS'!E22</f>
        <v/>
      </c>
      <c r="F22" s="6">
        <f>'BALANCE SHEET'!C22</f>
        <v/>
      </c>
      <c r="G22" s="6">
        <f>'YTD BS'!G22</f>
        <v/>
      </c>
      <c r="H22" s="6">
        <f>'YTD BS'!H22</f>
        <v/>
      </c>
      <c r="I22" s="6">
        <f>'YTD BS'!I22</f>
        <v/>
      </c>
      <c r="J22" s="6">
        <f>'BALANCE SHEET'!D22</f>
        <v/>
      </c>
      <c r="K22" s="6">
        <f>'YTD BS'!K22</f>
        <v/>
      </c>
      <c r="L22" s="6">
        <f>'YTD BS'!L22</f>
        <v/>
      </c>
      <c r="M22" s="6">
        <f>'YTD BS'!M22</f>
        <v/>
      </c>
      <c r="N22" s="6">
        <f>'BALANCE SHEET'!E22</f>
        <v/>
      </c>
      <c r="O22" s="6">
        <f>'YTD BS'!O22</f>
        <v/>
      </c>
      <c r="P22" s="6">
        <f>'YTD BS'!P22</f>
        <v/>
      </c>
    </row>
    <row r="23">
      <c r="A23" s="3" t="inlineStr">
        <is>
          <t>Convertible Preferred Stock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4">
        <f>'YTD BS'!O23</f>
        <v/>
      </c>
      <c r="P23" s="4">
        <f>'YTD BS'!P23</f>
        <v/>
      </c>
    </row>
    <row r="24">
      <c r="A24" s="3" t="inlineStr">
        <is>
          <t>Common Stock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  <c r="O24" s="4">
        <f>'YTD BS'!O24</f>
        <v/>
      </c>
      <c r="P24" s="4">
        <f>'YTD BS'!P24</f>
        <v/>
      </c>
    </row>
    <row r="25">
      <c r="A25" s="3" t="inlineStr">
        <is>
          <t>Additional Paid-in Capital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  <c r="O25" s="4">
        <f>'YTD BS'!O25</f>
        <v/>
      </c>
      <c r="P25" s="4">
        <f>'YTD BS'!P25</f>
        <v/>
      </c>
    </row>
    <row r="26">
      <c r="A26" s="3" t="inlineStr">
        <is>
          <t>ESOP Debt Retirement Reserve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  <c r="O26" s="4">
        <f>'YTD BS'!O26</f>
        <v/>
      </c>
      <c r="P26" s="4">
        <f>'YTD BS'!P26</f>
        <v/>
      </c>
    </row>
    <row r="27">
      <c r="A27" s="3" t="inlineStr">
        <is>
          <t>Accumulated Other Comprehensive Income (Loss)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4">
        <f>'YTD BS'!O27</f>
        <v/>
      </c>
      <c r="P27" s="4">
        <f>'YTD BS'!P27</f>
        <v/>
      </c>
    </row>
    <row r="28">
      <c r="A28" s="3" t="inlineStr">
        <is>
          <t>Treasury Stock</t>
        </is>
      </c>
      <c r="B28" s="4">
        <f>'BALANCE SHEET'!B28</f>
        <v/>
      </c>
      <c r="C28" s="4">
        <f>'YTD BS'!C28</f>
        <v/>
      </c>
      <c r="D28" s="4">
        <f>'YTD BS'!D28</f>
        <v/>
      </c>
      <c r="E28" s="4">
        <f>'YTD BS'!E28</f>
        <v/>
      </c>
      <c r="F28" s="4">
        <f>'BALANCE SHEET'!C28</f>
        <v/>
      </c>
      <c r="G28" s="4">
        <f>'YTD BS'!G28</f>
        <v/>
      </c>
      <c r="H28" s="4">
        <f>'YTD BS'!H28</f>
        <v/>
      </c>
      <c r="I28" s="4">
        <f>'YTD BS'!I28</f>
        <v/>
      </c>
      <c r="J28" s="4">
        <f>'BALANCE SHEET'!D28</f>
        <v/>
      </c>
      <c r="K28" s="4">
        <f>'YTD BS'!K28</f>
        <v/>
      </c>
      <c r="L28" s="4">
        <f>'YTD BS'!L28</f>
        <v/>
      </c>
      <c r="M28" s="4">
        <f>'YTD BS'!M28</f>
        <v/>
      </c>
      <c r="N28" s="4">
        <f>'BALANCE SHEET'!E28</f>
        <v/>
      </c>
      <c r="O28" s="4">
        <f>'YTD BS'!O28</f>
        <v/>
      </c>
      <c r="P28" s="4">
        <f>'YTD BS'!P28</f>
        <v/>
      </c>
    </row>
    <row r="29">
      <c r="A29" s="3" t="inlineStr">
        <is>
          <t>Retained Earnings (Accumulated Deficit)</t>
        </is>
      </c>
      <c r="B29" s="4">
        <f>'BALANCE SHEET'!B29</f>
        <v/>
      </c>
      <c r="C29" s="4">
        <f>'YTD BS'!C29</f>
        <v/>
      </c>
      <c r="D29" s="4">
        <f>'YTD BS'!D29</f>
        <v/>
      </c>
      <c r="E29" s="4">
        <f>'YTD BS'!E29</f>
        <v/>
      </c>
      <c r="F29" s="4">
        <f>'BALANCE SHEET'!C29</f>
        <v/>
      </c>
      <c r="G29" s="4">
        <f>'YTD BS'!G29</f>
        <v/>
      </c>
      <c r="H29" s="4">
        <f>'YTD BS'!H29</f>
        <v/>
      </c>
      <c r="I29" s="4">
        <f>'YTD BS'!I29</f>
        <v/>
      </c>
      <c r="J29" s="4">
        <f>'BALANCE SHEET'!D29</f>
        <v/>
      </c>
      <c r="K29" s="4">
        <f>'YTD BS'!K29</f>
        <v/>
      </c>
      <c r="L29" s="4">
        <f>'YTD BS'!L29</f>
        <v/>
      </c>
      <c r="M29" s="4">
        <f>'YTD BS'!M29</f>
        <v/>
      </c>
      <c r="N29" s="4">
        <f>'BALANCE SHEET'!E29</f>
        <v/>
      </c>
      <c r="O29" s="4">
        <f>'YTD BS'!O29</f>
        <v/>
      </c>
      <c r="P29" s="4">
        <f>'YTD BS'!P29</f>
        <v/>
      </c>
    </row>
    <row r="30">
      <c r="A30" s="3" t="inlineStr">
        <is>
          <t>Noncontrolling Interest</t>
        </is>
      </c>
      <c r="B30" s="4">
        <f>'BALANCE SHEET'!B30</f>
        <v/>
      </c>
      <c r="C30" s="4">
        <f>'YTD BS'!C30</f>
        <v/>
      </c>
      <c r="D30" s="4">
        <f>'YTD BS'!D30</f>
        <v/>
      </c>
      <c r="E30" s="4">
        <f>'YTD BS'!E30</f>
        <v/>
      </c>
      <c r="F30" s="4">
        <f>'BALANCE SHEET'!C30</f>
        <v/>
      </c>
      <c r="G30" s="4">
        <f>'YTD BS'!G30</f>
        <v/>
      </c>
      <c r="H30" s="4">
        <f>'YTD BS'!H30</f>
        <v/>
      </c>
      <c r="I30" s="4">
        <f>'YTD BS'!I30</f>
        <v/>
      </c>
      <c r="J30" s="4">
        <f>'BALANCE SHEET'!D30</f>
        <v/>
      </c>
      <c r="K30" s="4">
        <f>'YTD BS'!K30</f>
        <v/>
      </c>
      <c r="L30" s="4">
        <f>'YTD BS'!L30</f>
        <v/>
      </c>
      <c r="M30" s="4">
        <f>'YTD BS'!M30</f>
        <v/>
      </c>
      <c r="N30" s="4">
        <f>'BALANCE SHEET'!E30</f>
        <v/>
      </c>
      <c r="O30" s="4">
        <f>'YTD BS'!O30</f>
        <v/>
      </c>
      <c r="P30" s="4">
        <f>'YTD BS'!P30</f>
        <v/>
      </c>
    </row>
    <row r="31">
      <c r="A31" s="3" t="inlineStr">
        <is>
          <t>Total Stockholders' Equity</t>
        </is>
      </c>
      <c r="B31" s="6">
        <f>'BALANCE SHEET'!B31</f>
        <v/>
      </c>
      <c r="C31" s="6">
        <f>'YTD BS'!C31</f>
        <v/>
      </c>
      <c r="D31" s="6">
        <f>'YTD BS'!D31</f>
        <v/>
      </c>
      <c r="E31" s="6">
        <f>'YTD BS'!E31</f>
        <v/>
      </c>
      <c r="F31" s="6">
        <f>'BALANCE SHEET'!C31</f>
        <v/>
      </c>
      <c r="G31" s="6">
        <f>'YTD BS'!G31</f>
        <v/>
      </c>
      <c r="H31" s="6">
        <f>'YTD BS'!H31</f>
        <v/>
      </c>
      <c r="I31" s="6">
        <f>'YTD BS'!I31</f>
        <v/>
      </c>
      <c r="J31" s="6">
        <f>'BALANCE SHEET'!D31</f>
        <v/>
      </c>
      <c r="K31" s="6">
        <f>'YTD BS'!K31</f>
        <v/>
      </c>
      <c r="L31" s="6">
        <f>'YTD BS'!L31</f>
        <v/>
      </c>
      <c r="M31" s="6">
        <f>'YTD BS'!M31</f>
        <v/>
      </c>
      <c r="N31" s="6">
        <f>'BALANCE SHEET'!E31</f>
        <v/>
      </c>
      <c r="O31" s="6">
        <f>'YTD BS'!O31</f>
        <v/>
      </c>
      <c r="P31" s="6">
        <f>'YTD BS'!P31</f>
        <v/>
      </c>
    </row>
    <row r="32">
      <c r="A32" s="3" t="inlineStr">
        <is>
          <t>Total Liabilities, Mezzanine &amp; Stockholders' Equity</t>
        </is>
      </c>
      <c r="B32" s="6">
        <f>'BALANCE SHEET'!B32</f>
        <v/>
      </c>
      <c r="C32" s="6">
        <f>'YTD BS'!C32</f>
        <v/>
      </c>
      <c r="D32" s="6">
        <f>'YTD BS'!D32</f>
        <v/>
      </c>
      <c r="E32" s="6">
        <f>'YTD BS'!E32</f>
        <v/>
      </c>
      <c r="F32" s="6">
        <f>'BALANCE SHEET'!C32</f>
        <v/>
      </c>
      <c r="G32" s="6">
        <f>'YTD BS'!G32</f>
        <v/>
      </c>
      <c r="H32" s="6">
        <f>'YTD BS'!H32</f>
        <v/>
      </c>
      <c r="I32" s="6">
        <f>'YTD BS'!I32</f>
        <v/>
      </c>
      <c r="J32" s="6">
        <f>'BALANCE SHEET'!D32</f>
        <v/>
      </c>
      <c r="K32" s="6">
        <f>'YTD BS'!K32</f>
        <v/>
      </c>
      <c r="L32" s="6">
        <f>'YTD BS'!L32</f>
        <v/>
      </c>
      <c r="M32" s="6">
        <f>'YTD BS'!M32</f>
        <v/>
      </c>
      <c r="N32" s="6">
        <f>'BALANCE SHEET'!E32</f>
        <v/>
      </c>
      <c r="O32" s="6">
        <f>'YTD BS'!O32</f>
        <v/>
      </c>
      <c r="P32" s="6">
        <f>'YTD BS'!P32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4">
        <f>'YTD CF'!N2</f>
        <v/>
      </c>
      <c r="S2" s="4">
        <f>'YTD CF'!O2-'YTD CF'!N2</f>
        <v/>
      </c>
    </row>
    <row r="3">
      <c r="A3" s="3" t="inlineStr">
        <is>
          <t>Depreciation &amp; Amortization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E3" s="4">
        <f>'CASH FLOW'!C3-'YTD CF'!D3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I3" s="4">
        <f>'CASH FLOW'!D3-'YTD CF'!G3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M3" s="4">
        <f>'CASH FLOW'!E3-'YTD CF'!J3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Q3" s="4">
        <f>'CASH FLOW'!F3-'YTD CF'!M3</f>
        <v/>
      </c>
      <c r="R3" s="4">
        <f>'YTD CF'!N3</f>
        <v/>
      </c>
      <c r="S3" s="4">
        <f>'YTD CF'!O3-'YTD CF'!N3</f>
        <v/>
      </c>
    </row>
    <row r="4">
      <c r="A4" s="3" t="inlineStr">
        <is>
          <t>Gain (Loss) on Extinguishment of Debt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E4" s="4">
        <f>'CASH FLOW'!C4-'YTD CF'!D4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I4" s="4">
        <f>'CASH FLOW'!D4-'YTD CF'!G4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M4" s="4">
        <f>'CASH FLOW'!E4-'YTD CF'!J4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Q4" s="4">
        <f>'CASH FLOW'!F4-'YTD CF'!M4</f>
        <v/>
      </c>
      <c r="R4" s="4">
        <f>'YTD CF'!N4</f>
        <v/>
      </c>
      <c r="S4" s="4">
        <f>'YTD CF'!O4-'YTD CF'!N4</f>
        <v/>
      </c>
    </row>
    <row r="5">
      <c r="A5" s="3" t="inlineStr">
        <is>
          <t>Stock-Based Compensation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FLOW'!C5-'YTD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FLOW'!D5-'YTD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FLOW'!E5-'YTD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FLOW'!F5-'YTD CF'!M5</f>
        <v/>
      </c>
      <c r="R5" s="4">
        <f>'YTD CF'!N5</f>
        <v/>
      </c>
      <c r="S5" s="4">
        <f>'YTD CF'!O5-'YTD CF'!N5</f>
        <v/>
      </c>
    </row>
    <row r="6">
      <c r="A6" s="3" t="inlineStr">
        <is>
          <t>(Benefit) Provision for Deferred Income Taxes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FLOW'!C6-'YTD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FLOW'!D6-'YTD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FLOW'!E6-'YTD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FLOW'!F6-'YTD CF'!M6</f>
        <v/>
      </c>
      <c r="R6" s="4">
        <f>'YTD CF'!N6</f>
        <v/>
      </c>
      <c r="S6" s="4">
        <f>'YTD CF'!O6-'YTD CF'!N6</f>
        <v/>
      </c>
    </row>
    <row r="7">
      <c r="A7" s="3" t="inlineStr">
        <is>
          <t>Gain (Loss) on Disposal of PP&amp;E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FLOW'!C7-'YTD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FLOW'!D7-'YTD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FLOW'!E7-'YTD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FLOW'!F7-'YTD CF'!M7</f>
        <v/>
      </c>
      <c r="R7" s="4">
        <f>'YTD CF'!N7</f>
        <v/>
      </c>
      <c r="S7" s="4">
        <f>'YTD CF'!O7-'YTD CF'!N7</f>
        <v/>
      </c>
    </row>
    <row r="8">
      <c r="A8" s="3" t="inlineStr">
        <is>
          <t>Impairment of Intangibles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FLOW'!C8-'YTD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FLOW'!D8-'YTD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FLOW'!E8-'YTD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FLOW'!F8-'YTD CF'!M8</f>
        <v/>
      </c>
      <c r="R8" s="4">
        <f>'YTD CF'!N8</f>
        <v/>
      </c>
      <c r="S8" s="4">
        <f>'YTD CF'!O8-'YTD CF'!N8</f>
        <v/>
      </c>
    </row>
    <row r="9">
      <c r="A9" s="3" t="inlineStr">
        <is>
          <t>Accounts Receivable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FLOW'!C9-'YTD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FLOW'!D9-'YTD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FLOW'!E9-'YTD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FLOW'!F9-'YTD CF'!M9</f>
        <v/>
      </c>
      <c r="R9" s="4">
        <f>'YTD CF'!N9</f>
        <v/>
      </c>
      <c r="S9" s="4">
        <f>'YTD CF'!O9-'YTD CF'!N9</f>
        <v/>
      </c>
    </row>
    <row r="10">
      <c r="A10" s="3" t="inlineStr">
        <is>
          <t>Inventories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FLOW'!C10-'YTD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FLOW'!D10-'YTD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FLOW'!E10-'YTD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FLOW'!F10-'YTD CF'!M10</f>
        <v/>
      </c>
      <c r="R10" s="4">
        <f>'YTD CF'!N10</f>
        <v/>
      </c>
      <c r="S10" s="4">
        <f>'YTD CF'!O10-'YTD CF'!N10</f>
        <v/>
      </c>
    </row>
    <row r="11">
      <c r="A11" s="3" t="inlineStr">
        <is>
          <t>Accounts Payable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FLOW'!C11-'YTD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FLOW'!D11-'YTD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FLOW'!E11-'YTD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FLOW'!F11-'YTD CF'!M11</f>
        <v/>
      </c>
      <c r="R11" s="4">
        <f>'YTD CF'!N11</f>
        <v/>
      </c>
      <c r="S11" s="4">
        <f>'YTD CF'!O11-'YTD CF'!N11</f>
        <v/>
      </c>
    </row>
    <row r="12">
      <c r="A12" s="3" t="inlineStr">
        <is>
          <t>Net Change in Other Working Capital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FLOW'!C12-'YTD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FLOW'!D12-'YTD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FLOW'!E12-'YTD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FLOW'!F12-'YTD CF'!M12</f>
        <v/>
      </c>
      <c r="R12" s="4">
        <f>'YTD CF'!N12</f>
        <v/>
      </c>
      <c r="S12" s="4">
        <f>'YTD CF'!O12-'YTD CF'!N12</f>
        <v/>
      </c>
    </row>
    <row r="13">
      <c r="A13" s="3" t="inlineStr">
        <is>
          <t>Other Operating Items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FLOW'!C13-'YTD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FLOW'!D13-'YTD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FLOW'!E13-'YTD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FLOW'!F13-'YTD CF'!M13</f>
        <v/>
      </c>
      <c r="R13" s="4">
        <f>'YTD CF'!N13</f>
        <v/>
      </c>
      <c r="S13" s="4">
        <f>'YTD CF'!O13-'YTD CF'!N13</f>
        <v/>
      </c>
    </row>
    <row r="14">
      <c r="A14" s="3" t="inlineStr">
        <is>
          <t>Cash Flow from Operations</t>
        </is>
      </c>
      <c r="B14" s="6">
        <f>'YTD CF'!B14</f>
        <v/>
      </c>
      <c r="C14" s="6">
        <f>'YTD CF'!C14-'YTD CF'!B14</f>
        <v/>
      </c>
      <c r="D14" s="6">
        <f>'YTD CF'!D14-'YTD CF'!C14</f>
        <v/>
      </c>
      <c r="E14" s="6">
        <f>'CASH FLOW'!C14-'YTD CF'!D14</f>
        <v/>
      </c>
      <c r="F14" s="6">
        <f>'YTD CF'!E14</f>
        <v/>
      </c>
      <c r="G14" s="6">
        <f>'YTD CF'!F14-'YTD CF'!E14</f>
        <v/>
      </c>
      <c r="H14" s="6">
        <f>'YTD CF'!G14-'YTD CF'!F14</f>
        <v/>
      </c>
      <c r="I14" s="6">
        <f>'CASH FLOW'!D14-'YTD CF'!G14</f>
        <v/>
      </c>
      <c r="J14" s="6">
        <f>'YTD CF'!H14</f>
        <v/>
      </c>
      <c r="K14" s="6">
        <f>'YTD CF'!I14-'YTD CF'!H14</f>
        <v/>
      </c>
      <c r="L14" s="6">
        <f>'YTD CF'!J14-'YTD CF'!I14</f>
        <v/>
      </c>
      <c r="M14" s="6">
        <f>'CASH FLOW'!E14-'YTD CF'!J14</f>
        <v/>
      </c>
      <c r="N14" s="6">
        <f>'YTD CF'!K14</f>
        <v/>
      </c>
      <c r="O14" s="6">
        <f>'YTD CF'!L14-'YTD CF'!K14</f>
        <v/>
      </c>
      <c r="P14" s="6">
        <f>'YTD CF'!M14-'YTD CF'!L14</f>
        <v/>
      </c>
      <c r="Q14" s="6">
        <f>'CASH FLOW'!F14-'YTD CF'!M14</f>
        <v/>
      </c>
      <c r="R14" s="6">
        <f>'YTD CF'!N14</f>
        <v/>
      </c>
      <c r="S14" s="6">
        <f>'YTD CF'!O14-'YTD CF'!N14</f>
        <v/>
      </c>
    </row>
    <row r="15">
      <c r="A15" s="3" t="inlineStr">
        <is>
          <t>Purchase of PP&amp;E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FLOW'!C15-'YTD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FLOW'!D15-'YTD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FLOW'!E15-'YTD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FLOW'!F15-'YTD CF'!M15</f>
        <v/>
      </c>
      <c r="R15" s="4">
        <f>'YTD CF'!N15</f>
        <v/>
      </c>
      <c r="S15" s="4">
        <f>'YTD CF'!O15-'YTD CF'!N15</f>
        <v/>
      </c>
    </row>
    <row r="16">
      <c r="A16" s="3" t="inlineStr">
        <is>
          <t>Proceeds from Sale of Assets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FLOW'!C16-'YTD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FLOW'!D16-'YTD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FLOW'!E16-'YTD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FLOW'!F16-'YTD CF'!M16</f>
        <v/>
      </c>
      <c r="R16" s="4">
        <f>'YTD CF'!N16</f>
        <v/>
      </c>
      <c r="S16" s="4">
        <f>'YTD CF'!O16-'YTD CF'!N16</f>
        <v/>
      </c>
    </row>
    <row r="17">
      <c r="A17" s="3" t="inlineStr">
        <is>
          <t>Acquisitions, Net of Cash Acquired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FLOW'!C17-'YTD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FLOW'!D17-'YTD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FLOW'!E17-'YTD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FLOW'!F17-'YTD CF'!M17</f>
        <v/>
      </c>
      <c r="R17" s="4">
        <f>'YTD CF'!N17</f>
        <v/>
      </c>
      <c r="S17" s="4">
        <f>'YTD CF'!O17-'YTD CF'!N17</f>
        <v/>
      </c>
    </row>
    <row r="18">
      <c r="A18" s="3" t="inlineStr">
        <is>
          <t>Net Change in Short-Term Investments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R18" s="4">
        <f>'YTD CF'!N18</f>
        <v/>
      </c>
      <c r="S18" s="4">
        <f>'YTD CF'!O18-'YTD CF'!N18</f>
        <v/>
      </c>
    </row>
    <row r="19">
      <c r="A19" s="3" t="inlineStr">
        <is>
          <t>Other Investing Activities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FLOW'!C18-'YTD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FLOW'!D18-'YTD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FLOW'!E18-'YTD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FLOW'!F18-'YTD CF'!M19</f>
        <v/>
      </c>
      <c r="R19" s="4">
        <f>'YTD CF'!N19</f>
        <v/>
      </c>
      <c r="S19" s="4">
        <f>'YTD CF'!O19-'YTD CF'!N19</f>
        <v/>
      </c>
    </row>
    <row r="20">
      <c r="A20" s="3" t="inlineStr">
        <is>
          <t>Cash Flow from Investing</t>
        </is>
      </c>
      <c r="B20" s="6">
        <f>'YTD CF'!B20</f>
        <v/>
      </c>
      <c r="C20" s="6">
        <f>'YTD CF'!C20-'YTD CF'!B20</f>
        <v/>
      </c>
      <c r="D20" s="6">
        <f>'YTD CF'!D20-'YTD CF'!C20</f>
        <v/>
      </c>
      <c r="E20" s="6">
        <f>'CASH FLOW'!C19-'YTD CF'!D20</f>
        <v/>
      </c>
      <c r="F20" s="6">
        <f>'YTD CF'!E20</f>
        <v/>
      </c>
      <c r="G20" s="6">
        <f>'YTD CF'!F20-'YTD CF'!E20</f>
        <v/>
      </c>
      <c r="H20" s="6">
        <f>'YTD CF'!G20-'YTD CF'!F20</f>
        <v/>
      </c>
      <c r="I20" s="6">
        <f>'CASH FLOW'!D19-'YTD CF'!G20</f>
        <v/>
      </c>
      <c r="J20" s="6">
        <f>'YTD CF'!H20</f>
        <v/>
      </c>
      <c r="K20" s="6">
        <f>'YTD CF'!I20-'YTD CF'!H20</f>
        <v/>
      </c>
      <c r="L20" s="6">
        <f>'YTD CF'!J20-'YTD CF'!I20</f>
        <v/>
      </c>
      <c r="M20" s="6">
        <f>'CASH FLOW'!E19-'YTD CF'!J20</f>
        <v/>
      </c>
      <c r="N20" s="6">
        <f>'YTD CF'!K20</f>
        <v/>
      </c>
      <c r="O20" s="6">
        <f>'YTD CF'!L20-'YTD CF'!K20</f>
        <v/>
      </c>
      <c r="P20" s="6">
        <f>'YTD CF'!M20-'YTD CF'!L20</f>
        <v/>
      </c>
      <c r="Q20" s="6">
        <f>'CASH FLOW'!F19-'YTD CF'!M20</f>
        <v/>
      </c>
      <c r="R20" s="6">
        <f>'YTD CF'!N20</f>
        <v/>
      </c>
      <c r="S20" s="6">
        <f>'YTD CF'!O20-'YTD CF'!N20</f>
        <v/>
      </c>
    </row>
    <row r="21">
      <c r="A21" s="3" t="inlineStr">
        <is>
          <t>Common Dividends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FLOW'!C20-'YTD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FLOW'!D20-'YTD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FLOW'!E20-'YTD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FLOW'!F20-'YTD CF'!M21</f>
        <v/>
      </c>
      <c r="R21" s="4">
        <f>'YTD CF'!N21</f>
        <v/>
      </c>
      <c r="S21" s="4">
        <f>'YTD CF'!O21-'YTD CF'!N21</f>
        <v/>
      </c>
    </row>
    <row r="22">
      <c r="A22" s="3" t="inlineStr">
        <is>
          <t>Proceeds from Short-Term Debt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FLOW'!C21-'YTD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FLOW'!D21-'YTD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FLOW'!E21-'YTD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FLOW'!F21-'YTD CF'!M22</f>
        <v/>
      </c>
      <c r="R22" s="4">
        <f>'YTD CF'!N22</f>
        <v/>
      </c>
      <c r="S22" s="4">
        <f>'YTD CF'!O22-'YTD CF'!N22</f>
        <v/>
      </c>
    </row>
    <row r="23">
      <c r="A23" s="3" t="inlineStr">
        <is>
          <t>Repayments of Short-Term Debt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FLOW'!C22-'YTD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FLOW'!D22-'YTD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FLOW'!E22-'YTD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FLOW'!F22-'YTD CF'!M23</f>
        <v/>
      </c>
      <c r="R23" s="4">
        <f>'YTD CF'!N23</f>
        <v/>
      </c>
      <c r="S23" s="4">
        <f>'YTD CF'!O23-'YTD CF'!N23</f>
        <v/>
      </c>
    </row>
    <row r="24">
      <c r="A24" s="3" t="inlineStr">
        <is>
          <t>Net Change in Other Short-Term Debt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FLOW'!C23-'YTD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FLOW'!D23-'YTD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FLOW'!E23-'YTD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FLOW'!F23-'YTD CF'!M24</f>
        <v/>
      </c>
      <c r="R24" s="4">
        <f>'YTD CF'!N24</f>
        <v/>
      </c>
      <c r="S24" s="4">
        <f>'YTD CF'!O24-'YTD CF'!N24</f>
        <v/>
      </c>
    </row>
    <row r="25">
      <c r="A25" s="3" t="inlineStr">
        <is>
          <t>Proceeds from Issuance of Long-Term Debt</t>
        </is>
      </c>
      <c r="B25" s="4">
        <f>'YTD CF'!B25</f>
        <v/>
      </c>
      <c r="C25" s="4">
        <f>'YTD CF'!C25-'YTD CF'!B25</f>
        <v/>
      </c>
      <c r="D25" s="4">
        <f>'YTD CF'!D25-'YTD CF'!C25</f>
        <v/>
      </c>
      <c r="E25" s="4">
        <f>'CASH FLOW'!C24-'YTD CF'!D25</f>
        <v/>
      </c>
      <c r="F25" s="4">
        <f>'YTD CF'!E25</f>
        <v/>
      </c>
      <c r="G25" s="4">
        <f>'YTD CF'!F25-'YTD CF'!E25</f>
        <v/>
      </c>
      <c r="H25" s="4">
        <f>'YTD CF'!G25-'YTD CF'!F25</f>
        <v/>
      </c>
      <c r="I25" s="4">
        <f>'CASH FLOW'!D24-'YTD CF'!G25</f>
        <v/>
      </c>
      <c r="J25" s="4">
        <f>'YTD CF'!H25</f>
        <v/>
      </c>
      <c r="K25" s="4">
        <f>'YTD CF'!I25-'YTD CF'!H25</f>
        <v/>
      </c>
      <c r="L25" s="4">
        <f>'YTD CF'!J25-'YTD CF'!I25</f>
        <v/>
      </c>
      <c r="M25" s="4">
        <f>'CASH FLOW'!E24-'YTD CF'!J25</f>
        <v/>
      </c>
      <c r="N25" s="4">
        <f>'YTD CF'!K25</f>
        <v/>
      </c>
      <c r="O25" s="4">
        <f>'YTD CF'!L25-'YTD CF'!K25</f>
        <v/>
      </c>
      <c r="P25" s="4">
        <f>'YTD CF'!M25-'YTD CF'!L25</f>
        <v/>
      </c>
      <c r="Q25" s="4">
        <f>'CASH FLOW'!F24-'YTD CF'!M25</f>
        <v/>
      </c>
      <c r="R25" s="4">
        <f>'YTD CF'!N25</f>
        <v/>
      </c>
      <c r="S25" s="4">
        <f>'YTD CF'!O25-'YTD CF'!N25</f>
        <v/>
      </c>
    </row>
    <row r="26">
      <c r="A26" s="3" t="inlineStr">
        <is>
          <t>Repayments of Long-Term Debt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FLOW'!C25-'YTD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FLOW'!D25-'YTD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FLOW'!E25-'YTD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FLOW'!F25-'YTD CF'!M26</f>
        <v/>
      </c>
      <c r="R26" s="4">
        <f>'YTD CF'!N26</f>
        <v/>
      </c>
      <c r="S26" s="4">
        <f>'YTD CF'!O26-'YTD CF'!N26</f>
        <v/>
      </c>
    </row>
    <row r="27">
      <c r="A27" s="3" t="inlineStr">
        <is>
          <t>Share Repurchases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FLOW'!C26-'YTD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FLOW'!D26-'YTD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FLOW'!E26-'YTD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FLOW'!F26-'YTD CF'!M27</f>
        <v/>
      </c>
      <c r="R27" s="4">
        <f>'YTD CF'!N27</f>
        <v/>
      </c>
      <c r="S27" s="4">
        <f>'YTD CF'!O27-'YTD CF'!N27</f>
        <v/>
      </c>
    </row>
    <row r="28">
      <c r="A28" s="3" t="inlineStr">
        <is>
          <t>Stock Options &amp; Other Financing Activities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FLOW'!C27-'YTD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FLOW'!D27-'YTD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FLOW'!E27-'YTD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FLOW'!F27-'YTD CF'!M28</f>
        <v/>
      </c>
      <c r="R28" s="4">
        <f>'YTD CF'!N28</f>
        <v/>
      </c>
      <c r="S28" s="4">
        <f>'YTD CF'!O28-'YTD CF'!N28</f>
        <v/>
      </c>
    </row>
    <row r="29">
      <c r="A29" s="3" t="inlineStr">
        <is>
          <t>Cash Flow from Financing</t>
        </is>
      </c>
      <c r="B29" s="6">
        <f>'YTD CF'!B29</f>
        <v/>
      </c>
      <c r="C29" s="6">
        <f>'YTD CF'!C29-'YTD CF'!B29</f>
        <v/>
      </c>
      <c r="D29" s="6">
        <f>'YTD CF'!D29-'YTD CF'!C29</f>
        <v/>
      </c>
      <c r="E29" s="6">
        <f>'CASH FLOW'!C28-'YTD CF'!D29</f>
        <v/>
      </c>
      <c r="F29" s="6">
        <f>'YTD CF'!E29</f>
        <v/>
      </c>
      <c r="G29" s="6">
        <f>'YTD CF'!F29-'YTD CF'!E29</f>
        <v/>
      </c>
      <c r="H29" s="6">
        <f>'YTD CF'!G29-'YTD CF'!F29</f>
        <v/>
      </c>
      <c r="I29" s="6">
        <f>'CASH FLOW'!D28-'YTD CF'!G29</f>
        <v/>
      </c>
      <c r="J29" s="6">
        <f>'YTD CF'!H29</f>
        <v/>
      </c>
      <c r="K29" s="6">
        <f>'YTD CF'!I29-'YTD CF'!H29</f>
        <v/>
      </c>
      <c r="L29" s="6">
        <f>'YTD CF'!J29-'YTD CF'!I29</f>
        <v/>
      </c>
      <c r="M29" s="6">
        <f>'CASH FLOW'!E28-'YTD CF'!J29</f>
        <v/>
      </c>
      <c r="N29" s="6">
        <f>'YTD CF'!K29</f>
        <v/>
      </c>
      <c r="O29" s="6">
        <f>'YTD CF'!L29-'YTD CF'!K29</f>
        <v/>
      </c>
      <c r="P29" s="6">
        <f>'YTD CF'!M29-'YTD CF'!L29</f>
        <v/>
      </c>
      <c r="Q29" s="6">
        <f>'CASH FLOW'!F28-'YTD CF'!M29</f>
        <v/>
      </c>
      <c r="R29" s="6">
        <f>'YTD CF'!N29</f>
        <v/>
      </c>
      <c r="S29" s="6">
        <f>'YTD CF'!O29-'YTD CF'!N29</f>
        <v/>
      </c>
    </row>
    <row r="30">
      <c r="A30" s="3" t="inlineStr">
        <is>
          <t>FX Effect on Cash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FLOW'!C29-'YTD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FLOW'!D29-'YTD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FLOW'!E29-'YTD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FLOW'!F29-'YTD CF'!M30</f>
        <v/>
      </c>
      <c r="R30" s="4">
        <f>'YTD CF'!N30</f>
        <v/>
      </c>
      <c r="S30" s="4">
        <f>'YTD CF'!O30-'YTD CF'!N30</f>
        <v/>
      </c>
    </row>
    <row r="31">
      <c r="A31" s="3" t="inlineStr">
        <is>
          <t>Net Change in Cash</t>
        </is>
      </c>
      <c r="B31" s="6">
        <f>'YTD CF'!B31</f>
        <v/>
      </c>
      <c r="C31" s="6">
        <f>'YTD CF'!C31-'YTD CF'!B31</f>
        <v/>
      </c>
      <c r="D31" s="6">
        <f>'YTD CF'!D31-'YTD CF'!C31</f>
        <v/>
      </c>
      <c r="E31" s="6">
        <f>'CASH FLOW'!C30-'YTD CF'!D31</f>
        <v/>
      </c>
      <c r="F31" s="6">
        <f>'YTD CF'!E31</f>
        <v/>
      </c>
      <c r="G31" s="6">
        <f>'YTD CF'!F31-'YTD CF'!E31</f>
        <v/>
      </c>
      <c r="H31" s="6">
        <f>'YTD CF'!G31-'YTD CF'!F31</f>
        <v/>
      </c>
      <c r="I31" s="6">
        <f>'CASH FLOW'!D30-'YTD CF'!G31</f>
        <v/>
      </c>
      <c r="J31" s="6">
        <f>'YTD CF'!H31</f>
        <v/>
      </c>
      <c r="K31" s="6">
        <f>'YTD CF'!I31-'YTD CF'!H31</f>
        <v/>
      </c>
      <c r="L31" s="6">
        <f>'YTD CF'!J31-'YTD CF'!I31</f>
        <v/>
      </c>
      <c r="M31" s="6">
        <f>'CASH FLOW'!E30-'YTD CF'!J31</f>
        <v/>
      </c>
      <c r="N31" s="6">
        <f>'YTD CF'!K31</f>
        <v/>
      </c>
      <c r="O31" s="6">
        <f>'YTD CF'!L31-'YTD CF'!K31</f>
        <v/>
      </c>
      <c r="P31" s="6">
        <f>'YTD CF'!M31-'YTD CF'!L31</f>
        <v/>
      </c>
      <c r="Q31" s="6">
        <f>'CASH FLOW'!F30-'YTD CF'!M31</f>
        <v/>
      </c>
      <c r="R31" s="6">
        <f>'YTD CF'!N31</f>
        <v/>
      </c>
      <c r="S31" s="6">
        <f>'YTD CF'!O31-'YTD CF'!N31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2026-04-29T16:08:23Z</dcterms:created>
  <dcterms:modified xmlns:dcterms="http://purl.org/dc/terms/" xmlns:xsi="http://www.w3.org/2001/XMLSchema-instance" xsi:type="dcterms:W3CDTF">2026-04-29T16:08:23Z</dcterms:modified>
</cp:coreProperties>
</file>