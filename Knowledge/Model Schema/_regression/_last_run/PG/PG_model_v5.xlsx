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7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Gain (Loss) on Extinguishment of Debt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Stock-Based Compensation</t>
        </is>
      </c>
      <c r="B5" s="4" t="n">
        <v>116</v>
      </c>
      <c r="C5" s="4" t="n">
        <v>268</v>
      </c>
      <c r="D5" s="4" t="n">
        <v>398</v>
      </c>
      <c r="E5" s="4" t="n">
        <v>105</v>
      </c>
      <c r="F5" s="4" t="n">
        <v>250</v>
      </c>
      <c r="G5" s="4" t="n">
        <v>406</v>
      </c>
      <c r="H5" s="4" t="n">
        <v>125</v>
      </c>
      <c r="I5" s="4" t="n">
        <v>275</v>
      </c>
      <c r="J5" s="4" t="n">
        <v>433</v>
      </c>
      <c r="K5" s="4" t="n">
        <v>105</v>
      </c>
      <c r="L5" s="4" t="n">
        <v>241</v>
      </c>
      <c r="M5" s="4" t="n">
        <v>364</v>
      </c>
      <c r="N5" s="4" t="n">
        <v>121</v>
      </c>
      <c r="O5" s="4" t="n">
        <v>262</v>
      </c>
    </row>
    <row r="6">
      <c r="A6" s="3" t="inlineStr">
        <is>
          <t>(Benefit) Provision for Deferred Income Taxes</t>
        </is>
      </c>
      <c r="B6" s="4" t="n">
        <v>57</v>
      </c>
      <c r="C6" s="4" t="n">
        <v>-101</v>
      </c>
      <c r="D6" s="4" t="n">
        <v>-259</v>
      </c>
      <c r="E6" s="4" t="n">
        <v>-130</v>
      </c>
      <c r="F6" s="4" t="n">
        <v>-398</v>
      </c>
      <c r="G6" s="4" t="n">
        <v>-360</v>
      </c>
      <c r="H6" s="4" t="n">
        <v>102</v>
      </c>
      <c r="I6" s="4" t="n">
        <v>-154</v>
      </c>
      <c r="J6" s="4" t="n">
        <v>-206</v>
      </c>
      <c r="K6" s="4" t="n">
        <v>184</v>
      </c>
      <c r="L6" s="4" t="n">
        <v>221</v>
      </c>
      <c r="M6" s="4" t="n">
        <v>183</v>
      </c>
      <c r="N6" s="4" t="n">
        <v>53</v>
      </c>
      <c r="O6" s="4" t="n">
        <v>196</v>
      </c>
    </row>
    <row r="7">
      <c r="A7" s="3" t="inlineStr">
        <is>
          <t>Gain (Loss) on Disposal of PP&amp;E</t>
        </is>
      </c>
      <c r="B7" s="4" t="n">
        <v>-73</v>
      </c>
      <c r="C7" s="4" t="n">
        <v>-82</v>
      </c>
      <c r="D7" s="4" t="n">
        <v>-84</v>
      </c>
      <c r="E7" s="4" t="n">
        <v>-1</v>
      </c>
      <c r="F7" s="4" t="n">
        <v>-3</v>
      </c>
      <c r="G7" s="4" t="n">
        <v>-4</v>
      </c>
      <c r="H7" s="4" t="n">
        <v>-3</v>
      </c>
      <c r="I7" s="4" t="n">
        <v>-3</v>
      </c>
      <c r="J7" s="4" t="n">
        <v>-51</v>
      </c>
      <c r="K7" s="4" t="n">
        <v>794</v>
      </c>
      <c r="L7" s="4" t="n">
        <v>787</v>
      </c>
      <c r="M7" s="4" t="n">
        <v>782</v>
      </c>
      <c r="N7" s="4" t="n">
        <v>-3</v>
      </c>
      <c r="O7" s="4" t="n">
        <v>1</v>
      </c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1341</v>
      </c>
      <c r="J8" s="4" t="n">
        <v>1341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Accounts Receivable</t>
        </is>
      </c>
      <c r="B9" s="4" t="n">
        <v>-1012</v>
      </c>
      <c r="C9" s="4" t="n">
        <v>-644</v>
      </c>
      <c r="D9" s="4" t="n">
        <v>-916</v>
      </c>
      <c r="E9" s="4" t="n">
        <v>-740</v>
      </c>
      <c r="F9" s="4" t="n">
        <v>-654</v>
      </c>
      <c r="G9" s="4" t="n">
        <v>-301</v>
      </c>
      <c r="H9" s="4" t="n">
        <v>-830</v>
      </c>
      <c r="I9" s="4" t="n">
        <v>-839</v>
      </c>
      <c r="J9" s="4" t="n">
        <v>-692</v>
      </c>
      <c r="K9" s="4" t="n">
        <v>-134</v>
      </c>
      <c r="L9" s="4" t="n">
        <v>-262</v>
      </c>
      <c r="M9" s="4" t="n">
        <v>-79</v>
      </c>
      <c r="N9" s="4" t="n">
        <v>-305</v>
      </c>
      <c r="O9" s="4" t="n">
        <v>-92</v>
      </c>
    </row>
    <row r="10">
      <c r="A10" s="3" t="inlineStr">
        <is>
          <t>Inventories</t>
        </is>
      </c>
      <c r="B10" s="4" t="n">
        <v>-409</v>
      </c>
      <c r="C10" s="4" t="n">
        <v>-840</v>
      </c>
      <c r="D10" s="4" t="n">
        <v>-1252</v>
      </c>
      <c r="E10" s="4" t="n">
        <v>-893</v>
      </c>
      <c r="F10" s="4" t="n">
        <v>-655</v>
      </c>
      <c r="G10" s="4" t="n">
        <v>-503</v>
      </c>
      <c r="H10" s="4" t="n">
        <v>-142</v>
      </c>
      <c r="I10" s="4" t="n">
        <v>-32</v>
      </c>
      <c r="J10" s="4" t="n">
        <v>-47</v>
      </c>
      <c r="K10" s="4" t="n">
        <v>-188</v>
      </c>
      <c r="L10" s="4" t="n">
        <v>-170</v>
      </c>
      <c r="M10" s="4" t="n">
        <v>-409</v>
      </c>
      <c r="N10" s="4" t="n">
        <v>-303</v>
      </c>
      <c r="O10" s="4" t="n">
        <v>-255</v>
      </c>
    </row>
    <row r="11">
      <c r="A11" s="3" t="inlineStr">
        <is>
          <t>Accounts Payable</t>
        </is>
      </c>
      <c r="B11" s="4" t="n">
        <v>1261</v>
      </c>
      <c r="C11" s="4" t="n">
        <v>1431</v>
      </c>
      <c r="D11" s="4" t="n">
        <v>1347</v>
      </c>
      <c r="E11" s="4" t="n">
        <v>1495</v>
      </c>
      <c r="F11" s="4" t="n">
        <v>177</v>
      </c>
      <c r="G11" s="4" t="n">
        <v>-609</v>
      </c>
      <c r="H11" s="4" t="n">
        <v>857</v>
      </c>
      <c r="I11" s="4" t="n">
        <v>302</v>
      </c>
      <c r="J11" s="4" t="n">
        <v>56</v>
      </c>
      <c r="K11" s="4" t="n">
        <v>-648</v>
      </c>
      <c r="L11" s="4" t="n">
        <v>-1157</v>
      </c>
      <c r="M11" s="4" t="n">
        <v>-1666</v>
      </c>
      <c r="N11" s="4" t="n">
        <v>648</v>
      </c>
      <c r="O11" s="4" t="n">
        <v>239</v>
      </c>
    </row>
    <row r="12">
      <c r="A12" s="3" t="inlineStr">
        <is>
          <t>Net Change in Other Working Capital</t>
        </is>
      </c>
      <c r="B12" s="4" t="n">
        <v>-178</v>
      </c>
      <c r="C12" s="4" t="n">
        <v>-84</v>
      </c>
      <c r="D12" s="4" t="n">
        <v>-131</v>
      </c>
      <c r="E12" s="4" t="n">
        <v>-454</v>
      </c>
      <c r="F12" s="4" t="n">
        <v>-535</v>
      </c>
      <c r="G12" s="4" t="n">
        <v>-839</v>
      </c>
      <c r="H12" s="4" t="n">
        <v>-671</v>
      </c>
      <c r="I12" s="4" t="n">
        <v>-704</v>
      </c>
      <c r="J12" s="4" t="n">
        <v>-1196</v>
      </c>
      <c r="K12" s="4" t="n">
        <v>-558</v>
      </c>
      <c r="L12" s="4" t="n">
        <v>-748</v>
      </c>
      <c r="M12" s="4" t="n">
        <v>-1125</v>
      </c>
      <c r="N12" s="4" t="n">
        <v>0</v>
      </c>
      <c r="O12" s="4" t="n">
        <v>0</v>
      </c>
    </row>
    <row r="13">
      <c r="A13" s="3" t="inlineStr">
        <is>
          <t>Other Operating Items</t>
        </is>
      </c>
      <c r="B13" s="4" t="n">
        <v>44</v>
      </c>
      <c r="C13" s="4" t="n">
        <v>53</v>
      </c>
      <c r="D13" s="4" t="n">
        <v>87</v>
      </c>
      <c r="E13" s="4" t="n">
        <v>62</v>
      </c>
      <c r="F13" s="4" t="n">
        <v>224</v>
      </c>
      <c r="G13" s="4" t="n">
        <v>363</v>
      </c>
      <c r="H13" s="4" t="n">
        <v>208</v>
      </c>
      <c r="I13" s="4" t="n">
        <v>346</v>
      </c>
      <c r="J13" s="4" t="n">
        <v>490</v>
      </c>
      <c r="K13" s="4" t="n">
        <v>32</v>
      </c>
      <c r="L13" s="4" t="n">
        <v>135</v>
      </c>
      <c r="M13" s="4" t="n">
        <v>218</v>
      </c>
      <c r="N13" s="4" t="n">
        <v>-344</v>
      </c>
      <c r="O13" s="4" t="n">
        <v>-645</v>
      </c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  <c r="K14" s="6">
        <f>SUM(K2:K13)</f>
        <v/>
      </c>
      <c r="L14" s="6">
        <f>SUM(L2:L13)</f>
        <v/>
      </c>
      <c r="M14" s="6">
        <f>SUM(M2:M13)</f>
        <v/>
      </c>
      <c r="N14" s="6">
        <f>SUM(N2:N13)</f>
        <v/>
      </c>
      <c r="O14" s="6">
        <f>SUM(O2:O13)</f>
        <v/>
      </c>
    </row>
    <row r="15">
      <c r="A15" s="3" t="inlineStr">
        <is>
          <t>Purchase of PP&amp;E</t>
        </is>
      </c>
      <c r="B15" s="4" t="n">
        <v>-1091</v>
      </c>
      <c r="C15" s="4" t="n">
        <v>-1717</v>
      </c>
      <c r="D15" s="4" t="n">
        <v>-2464</v>
      </c>
      <c r="E15" s="4" t="n">
        <v>-890</v>
      </c>
      <c r="F15" s="4" t="n">
        <v>-1598</v>
      </c>
      <c r="G15" s="4" t="n">
        <v>-2328</v>
      </c>
      <c r="H15" s="4" t="n">
        <v>-925</v>
      </c>
      <c r="I15" s="4" t="n">
        <v>-1742</v>
      </c>
      <c r="J15" s="4" t="n">
        <v>-2539</v>
      </c>
      <c r="K15" s="4" t="n">
        <v>-993</v>
      </c>
      <c r="L15" s="4" t="n">
        <v>-1918</v>
      </c>
      <c r="M15" s="4" t="n">
        <v>-2777</v>
      </c>
      <c r="N15" s="4" t="n">
        <v>-1200</v>
      </c>
      <c r="O15" s="4" t="n">
        <v>-2367</v>
      </c>
    </row>
    <row r="16">
      <c r="A16" s="3" t="inlineStr">
        <is>
          <t>Proceeds from Sale of Assets</t>
        </is>
      </c>
      <c r="B16" s="4" t="n">
        <v>85</v>
      </c>
      <c r="C16" s="4" t="n">
        <v>97</v>
      </c>
      <c r="D16" s="4" t="n">
        <v>99</v>
      </c>
      <c r="E16" s="4" t="n">
        <v>5</v>
      </c>
      <c r="F16" s="4" t="n">
        <v>8</v>
      </c>
      <c r="G16" s="4" t="n">
        <v>9</v>
      </c>
      <c r="H16" s="4" t="n">
        <v>3</v>
      </c>
      <c r="I16" s="4" t="n">
        <v>8</v>
      </c>
      <c r="J16" s="4" t="n">
        <v>77</v>
      </c>
      <c r="K16" s="4" t="n">
        <v>45</v>
      </c>
      <c r="L16" s="4" t="n">
        <v>47</v>
      </c>
      <c r="M16" s="4" t="n">
        <v>64</v>
      </c>
      <c r="N16" s="4" t="n">
        <v>8</v>
      </c>
      <c r="O16" s="4" t="n">
        <v>16</v>
      </c>
    </row>
    <row r="17">
      <c r="A17" s="3" t="inlineStr">
        <is>
          <t>Acquisitions, Net of Cash Acquired</t>
        </is>
      </c>
      <c r="B17" s="4" t="n">
        <v>0</v>
      </c>
      <c r="C17" s="4" t="n">
        <v>-349</v>
      </c>
      <c r="D17" s="4" t="n">
        <v>-1381</v>
      </c>
      <c r="E17" s="4" t="n">
        <v>-2</v>
      </c>
      <c r="F17" s="4" t="n">
        <v>-76</v>
      </c>
      <c r="G17" s="4" t="n">
        <v>-714</v>
      </c>
      <c r="H17" s="4" t="n">
        <v>0</v>
      </c>
      <c r="I17" s="4" t="n">
        <v>0</v>
      </c>
      <c r="J17" s="4" t="n">
        <v>-21</v>
      </c>
      <c r="K17" s="4" t="n">
        <v>-6</v>
      </c>
      <c r="L17" s="4" t="n">
        <v>-6</v>
      </c>
      <c r="M17" s="4" t="n">
        <v>-11</v>
      </c>
      <c r="N17" s="4" t="n">
        <v>-5</v>
      </c>
      <c r="O17" s="4" t="n">
        <v>-5</v>
      </c>
    </row>
    <row r="18">
      <c r="A18" s="3" t="inlineStr">
        <is>
          <t>Net Change in Short-Term Investments</t>
        </is>
      </c>
      <c r="B18" s="4" t="n">
        <v>0</v>
      </c>
      <c r="C18" s="4" t="n">
        <v>0</v>
      </c>
      <c r="D18" s="4" t="n">
        <v>0</v>
      </c>
      <c r="E18" s="4" t="n">
        <v>55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3" t="inlineStr">
        <is>
          <t>Other Investing Activities</t>
        </is>
      </c>
      <c r="B19" s="4" t="n">
        <v>0</v>
      </c>
      <c r="C19" s="4" t="n">
        <v>3</v>
      </c>
      <c r="D19" s="4" t="n">
        <v>4</v>
      </c>
      <c r="E19" s="4" t="n">
        <v>0</v>
      </c>
      <c r="F19" s="4" t="n">
        <v>344</v>
      </c>
      <c r="G19" s="4" t="n">
        <v>331</v>
      </c>
      <c r="H19" s="4" t="n">
        <v>-300</v>
      </c>
      <c r="I19" s="4" t="n">
        <v>-489</v>
      </c>
      <c r="J19" s="4" t="n">
        <v>-503</v>
      </c>
      <c r="K19" s="4" t="n">
        <v>-154</v>
      </c>
      <c r="L19" s="4" t="n">
        <v>-153</v>
      </c>
      <c r="M19" s="4" t="n">
        <v>-33</v>
      </c>
      <c r="N19" s="4" t="n">
        <v>-338</v>
      </c>
      <c r="O19" s="4" t="n">
        <v>-408</v>
      </c>
    </row>
    <row r="20">
      <c r="A20" s="3" t="inlineStr">
        <is>
          <t>Cash Flow from Investing</t>
        </is>
      </c>
      <c r="B20" s="6">
        <f>SUM(B15:B19)</f>
        <v/>
      </c>
      <c r="C20" s="6">
        <f>SUM(C15:C19)</f>
        <v/>
      </c>
      <c r="D20" s="6">
        <f>SUM(D15:D19)</f>
        <v/>
      </c>
      <c r="E20" s="6">
        <f>SUM(E15:E19)</f>
        <v/>
      </c>
      <c r="F20" s="6">
        <f>SUM(F15:F19)</f>
        <v/>
      </c>
      <c r="G20" s="6">
        <f>SUM(G15:G19)</f>
        <v/>
      </c>
      <c r="H20" s="6">
        <f>SUM(H15:H19)</f>
        <v/>
      </c>
      <c r="I20" s="6">
        <f>SUM(I15:I19)</f>
        <v/>
      </c>
      <c r="J20" s="6">
        <f>SUM(J15:J19)</f>
        <v/>
      </c>
      <c r="K20" s="6">
        <f>SUM(K15:K19)</f>
        <v/>
      </c>
      <c r="L20" s="6">
        <f>SUM(L15:L19)</f>
        <v/>
      </c>
      <c r="M20" s="6">
        <f>SUM(M15:M19)</f>
        <v/>
      </c>
      <c r="N20" s="6">
        <f>SUM(N15:N19)</f>
        <v/>
      </c>
      <c r="O20" s="6">
        <f>SUM(O15:O19)</f>
        <v/>
      </c>
    </row>
    <row r="21">
      <c r="A21" s="3" t="inlineStr">
        <is>
          <t>Common Dividends</t>
        </is>
      </c>
      <c r="B21" s="4" t="n">
        <v>-2182</v>
      </c>
      <c r="C21" s="4" t="n">
        <v>-4353</v>
      </c>
      <c r="D21" s="4" t="n">
        <v>-6508</v>
      </c>
      <c r="E21" s="4" t="n">
        <v>-2255</v>
      </c>
      <c r="F21" s="4" t="n">
        <v>-4486</v>
      </c>
      <c r="G21" s="4" t="n">
        <v>-6710</v>
      </c>
      <c r="H21" s="4" t="n">
        <v>-2290</v>
      </c>
      <c r="I21" s="4" t="n">
        <v>-4578</v>
      </c>
      <c r="J21" s="4" t="n">
        <v>-6863</v>
      </c>
      <c r="K21" s="4" t="n">
        <v>-2445</v>
      </c>
      <c r="L21" s="4" t="n">
        <v>-4886</v>
      </c>
      <c r="M21" s="4" t="n">
        <v>-7319</v>
      </c>
      <c r="N21" s="4" t="n">
        <v>-2549</v>
      </c>
      <c r="O21" s="4" t="n">
        <v>-5093</v>
      </c>
    </row>
    <row r="22">
      <c r="A22" s="3" t="inlineStr">
        <is>
          <t>Proceeds from Short-Term Debt</t>
        </is>
      </c>
      <c r="B22" s="4" t="n">
        <v>1792</v>
      </c>
      <c r="C22" s="4" t="n">
        <v>6747</v>
      </c>
      <c r="D22" s="4" t="n">
        <v>10146</v>
      </c>
      <c r="E22" s="4" t="n">
        <v>2975</v>
      </c>
      <c r="F22" s="4" t="n">
        <v>10447</v>
      </c>
      <c r="G22" s="4" t="n">
        <v>13778</v>
      </c>
      <c r="H22" s="4" t="n">
        <v>2179</v>
      </c>
      <c r="I22" s="4" t="n">
        <v>2798</v>
      </c>
      <c r="J22" s="4" t="n">
        <v>2961</v>
      </c>
      <c r="K22" s="4" t="n">
        <v>4090</v>
      </c>
      <c r="L22" s="4" t="n">
        <v>5905</v>
      </c>
      <c r="M22" s="4" t="n">
        <v>5905</v>
      </c>
      <c r="N22" s="4" t="n">
        <v>1123</v>
      </c>
      <c r="O22" s="4" t="n">
        <v>4180</v>
      </c>
    </row>
    <row r="23">
      <c r="A23" s="3" t="inlineStr">
        <is>
          <t>Repayments of Short-Term Debt</t>
        </is>
      </c>
      <c r="B23" s="4" t="n">
        <v>-1422</v>
      </c>
      <c r="C23" s="4" t="n">
        <v>-1730</v>
      </c>
      <c r="D23" s="4" t="n">
        <v>-8163</v>
      </c>
      <c r="E23" s="4" t="n">
        <v>-265</v>
      </c>
      <c r="F23" s="4" t="n">
        <v>-3260</v>
      </c>
      <c r="G23" s="4" t="n">
        <v>-9134</v>
      </c>
      <c r="H23" s="4" t="n">
        <v>-1906</v>
      </c>
      <c r="I23" s="4" t="n">
        <v>-5862</v>
      </c>
      <c r="J23" s="4" t="n">
        <v>-7523</v>
      </c>
      <c r="K23" s="4" t="n">
        <v>-571</v>
      </c>
      <c r="L23" s="4" t="n">
        <v>-571</v>
      </c>
      <c r="M23" s="4" t="n">
        <v>-3781</v>
      </c>
      <c r="N23" s="4" t="n">
        <v>-1800</v>
      </c>
      <c r="O23" s="4" t="n">
        <v>-3270</v>
      </c>
    </row>
    <row r="24">
      <c r="A24" s="3" t="inlineStr">
        <is>
          <t>Net Change in Other Short-Term Debt</t>
        </is>
      </c>
      <c r="B24" s="4" t="n">
        <v>512</v>
      </c>
      <c r="C24" s="4" t="n">
        <v>-1124</v>
      </c>
      <c r="D24" s="4" t="n">
        <v>-849</v>
      </c>
      <c r="E24" s="4" t="n">
        <v>1727</v>
      </c>
      <c r="F24" s="4" t="n">
        <v>-1759</v>
      </c>
      <c r="G24" s="4" t="n">
        <v>-387</v>
      </c>
      <c r="H24" s="4" t="n">
        <v>2172</v>
      </c>
      <c r="I24" s="4" t="n">
        <v>3740</v>
      </c>
      <c r="J24" s="4" t="n">
        <v>2331</v>
      </c>
      <c r="K24" s="4" t="n">
        <v>-444</v>
      </c>
      <c r="L24" s="4" t="n">
        <v>-2705</v>
      </c>
      <c r="M24" s="4" t="n">
        <v>-543</v>
      </c>
      <c r="N24" s="4" t="n">
        <v>2108</v>
      </c>
      <c r="O24" s="4" t="n">
        <v>-471</v>
      </c>
    </row>
    <row r="25">
      <c r="A25" s="3" t="inlineStr">
        <is>
          <t>Proceeds from Issuance of Long-Term Debt</t>
        </is>
      </c>
      <c r="B25" s="4" t="n">
        <v>0</v>
      </c>
      <c r="C25" s="4" t="n">
        <v>2136</v>
      </c>
      <c r="D25" s="4" t="n">
        <v>4385</v>
      </c>
      <c r="E25" s="4" t="n">
        <v>0</v>
      </c>
      <c r="F25" s="4" t="n">
        <v>0</v>
      </c>
      <c r="G25" s="4" t="n">
        <v>2569</v>
      </c>
      <c r="H25" s="4" t="n">
        <v>0</v>
      </c>
      <c r="I25" s="4" t="n">
        <v>254</v>
      </c>
      <c r="J25" s="4" t="n">
        <v>1598</v>
      </c>
      <c r="K25" s="4" t="n">
        <v>0</v>
      </c>
      <c r="L25" s="4" t="n">
        <v>995</v>
      </c>
      <c r="M25" s="4" t="n">
        <v>995</v>
      </c>
      <c r="N25" s="4" t="n">
        <v>0</v>
      </c>
      <c r="O25" s="4" t="n">
        <v>2652</v>
      </c>
    </row>
    <row r="26">
      <c r="A26" s="3" t="inlineStr">
        <is>
          <t>Repayments of Long-Term Debt</t>
        </is>
      </c>
      <c r="B26" s="4" t="n">
        <v>-26</v>
      </c>
      <c r="C26" s="4" t="n">
        <v>-1673</v>
      </c>
      <c r="D26" s="4" t="n">
        <v>-2776</v>
      </c>
      <c r="E26" s="4" t="n">
        <v>-1877</v>
      </c>
      <c r="F26" s="4" t="n">
        <v>-1877</v>
      </c>
      <c r="G26" s="4" t="n">
        <v>-1877</v>
      </c>
      <c r="H26" s="4" t="n">
        <v>-1004</v>
      </c>
      <c r="I26" s="4" t="n">
        <v>-2335</v>
      </c>
      <c r="J26" s="4" t="n">
        <v>-2335</v>
      </c>
      <c r="K26" s="4" t="n">
        <v>-70</v>
      </c>
      <c r="L26" s="4" t="n">
        <v>-1478</v>
      </c>
      <c r="M26" s="4" t="n">
        <v>-1478</v>
      </c>
      <c r="N26" s="4" t="n">
        <v>-3</v>
      </c>
      <c r="O26" s="4" t="n">
        <v>-1005</v>
      </c>
    </row>
    <row r="27">
      <c r="A27" s="3" t="inlineStr">
        <is>
          <t>Share Repurchases</t>
        </is>
      </c>
      <c r="B27" s="4" t="n">
        <v>-2750</v>
      </c>
      <c r="C27" s="4" t="n">
        <v>-7504</v>
      </c>
      <c r="D27" s="4" t="n">
        <v>-8753</v>
      </c>
      <c r="E27" s="4" t="n">
        <v>-4000</v>
      </c>
      <c r="F27" s="4" t="n">
        <v>-6002</v>
      </c>
      <c r="G27" s="4" t="n">
        <v>-7353</v>
      </c>
      <c r="H27" s="4" t="n">
        <v>-1500</v>
      </c>
      <c r="I27" s="4" t="n">
        <v>-2503</v>
      </c>
      <c r="J27" s="4" t="n">
        <v>-3490</v>
      </c>
      <c r="K27" s="4" t="n">
        <v>-1939</v>
      </c>
      <c r="L27" s="4" t="n">
        <v>-4449</v>
      </c>
      <c r="M27" s="4" t="n">
        <v>-5800</v>
      </c>
      <c r="N27" s="4" t="n">
        <v>-1250</v>
      </c>
      <c r="O27" s="4" t="n">
        <v>-3528</v>
      </c>
    </row>
    <row r="28">
      <c r="A28" s="3" t="inlineStr">
        <is>
          <t>Stock Options &amp; Other Financing Activities</t>
        </is>
      </c>
      <c r="B28" s="4" t="n">
        <v>648</v>
      </c>
      <c r="C28" s="4" t="n">
        <v>1215</v>
      </c>
      <c r="D28" s="4" t="n">
        <v>1800</v>
      </c>
      <c r="E28" s="4" t="n">
        <v>188</v>
      </c>
      <c r="F28" s="4" t="n">
        <v>437</v>
      </c>
      <c r="G28" s="4" t="n">
        <v>861</v>
      </c>
      <c r="H28" s="4" t="n">
        <v>312</v>
      </c>
      <c r="I28" s="4" t="n">
        <v>397</v>
      </c>
      <c r="J28" s="4" t="n">
        <v>965</v>
      </c>
      <c r="K28" s="4" t="n">
        <v>745</v>
      </c>
      <c r="L28" s="4" t="n">
        <v>985</v>
      </c>
      <c r="M28" s="4" t="n">
        <v>1601</v>
      </c>
      <c r="N28" s="4" t="n">
        <v>134</v>
      </c>
      <c r="O28" s="4" t="n">
        <v>208</v>
      </c>
    </row>
    <row r="29">
      <c r="A29" s="3" t="inlineStr">
        <is>
          <t>Cash Flow from Financing</t>
        </is>
      </c>
      <c r="B29" s="6">
        <f>SUM(B21:B28)</f>
        <v/>
      </c>
      <c r="C29" s="6">
        <f>SUM(C21:C28)</f>
        <v/>
      </c>
      <c r="D29" s="6">
        <f>SUM(D21:D28)</f>
        <v/>
      </c>
      <c r="E29" s="6">
        <f>SUM(E21:E28)</f>
        <v/>
      </c>
      <c r="F29" s="6">
        <f>SUM(F21:F28)</f>
        <v/>
      </c>
      <c r="G29" s="6">
        <f>SUM(G21:G28)</f>
        <v/>
      </c>
      <c r="H29" s="6">
        <f>SUM(H21:H28)</f>
        <v/>
      </c>
      <c r="I29" s="6">
        <f>SUM(I21:I28)</f>
        <v/>
      </c>
      <c r="J29" s="6">
        <f>SUM(J21:J28)</f>
        <v/>
      </c>
      <c r="K29" s="6">
        <f>SUM(K21:K28)</f>
        <v/>
      </c>
      <c r="L29" s="6">
        <f>SUM(L21:L28)</f>
        <v/>
      </c>
      <c r="M29" s="6">
        <f>SUM(M21:M28)</f>
        <v/>
      </c>
      <c r="N29" s="6">
        <f>SUM(N21:N28)</f>
        <v/>
      </c>
      <c r="O29" s="6">
        <f>SUM(O21:O28)</f>
        <v/>
      </c>
    </row>
    <row r="30">
      <c r="A30" s="3" t="inlineStr">
        <is>
          <t>FX Effect on Cash</t>
        </is>
      </c>
      <c r="B30" s="4" t="n">
        <v>-127</v>
      </c>
      <c r="C30" s="4" t="n">
        <v>-256</v>
      </c>
      <c r="D30" s="4" t="n">
        <v>-312</v>
      </c>
      <c r="E30" s="4" t="n">
        <v>-235</v>
      </c>
      <c r="F30" s="4" t="n">
        <v>-182</v>
      </c>
      <c r="G30" s="4" t="n">
        <v>-170</v>
      </c>
      <c r="H30" s="4" t="n">
        <v>-156</v>
      </c>
      <c r="I30" s="4" t="n">
        <v>-49</v>
      </c>
      <c r="J30" s="4" t="n">
        <v>-168</v>
      </c>
      <c r="K30" s="4" t="n">
        <v>116</v>
      </c>
      <c r="L30" s="4" t="n">
        <v>-144</v>
      </c>
      <c r="M30" s="4" t="n">
        <v>-22</v>
      </c>
      <c r="N30" s="4" t="n">
        <v>-20</v>
      </c>
      <c r="O30" s="4" t="n">
        <v>-21</v>
      </c>
    </row>
    <row r="31">
      <c r="A31" s="3" t="inlineStr">
        <is>
          <t>Net Change in Cash</t>
        </is>
      </c>
      <c r="B31" s="6">
        <f>B14+B20+B29+B30</f>
        <v/>
      </c>
      <c r="C31" s="6">
        <f>C14+C20+C29+C30</f>
        <v/>
      </c>
      <c r="D31" s="6">
        <f>D14+D20+D29+D30</f>
        <v/>
      </c>
      <c r="E31" s="6">
        <f>E14+E20+E29+E30</f>
        <v/>
      </c>
      <c r="F31" s="6">
        <f>F14+F20+F29+F30</f>
        <v/>
      </c>
      <c r="G31" s="6">
        <f>G14+G20+G29+G30</f>
        <v/>
      </c>
      <c r="H31" s="6">
        <f>H14+H20+H29+H30</f>
        <v/>
      </c>
      <c r="I31" s="6">
        <f>I14+I20+I29+I30</f>
        <v/>
      </c>
      <c r="J31" s="6">
        <f>J14+J20+J29+J30</f>
        <v/>
      </c>
      <c r="K31" s="6">
        <f>K14+K20+K29+K30</f>
        <v/>
      </c>
      <c r="L31" s="6">
        <f>L14+L20+L29+L30</f>
        <v/>
      </c>
      <c r="M31" s="6">
        <f>M14+M20+M29+M30</f>
        <v/>
      </c>
      <c r="N31" s="6">
        <f>N14+N20+N29+N30</f>
        <v/>
      </c>
      <c r="O31" s="6">
        <f>O14+O20+O29+O30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</row>
    <row r="6">
      <c r="A6" s="3" t="inlineStr">
        <is>
          <t>Impairment of Intangibles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4">
        <f>'YTD P&amp;L'!O6-'YTD P&amp;L'!N6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6">
        <f>'YTD P&amp;L'!N7</f>
        <v/>
      </c>
      <c r="S7" s="6">
        <f>'YTD P&amp;L'!O7-'YTD P&amp;L'!N7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4">
        <f>'YTD P&amp;L'!N8</f>
        <v/>
      </c>
      <c r="S8" s="4">
        <f>'YTD P&amp;L'!O8-'YTD P&amp;L'!N8</f>
        <v/>
      </c>
    </row>
    <row r="9">
      <c r="A9" s="3" t="inlineStr">
        <is>
          <t>Other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4">
        <f>'YTD P&amp;L'!O9-'YTD P&amp;L'!N9</f>
        <v/>
      </c>
    </row>
    <row r="10">
      <c r="A10" s="3" t="inlineStr">
        <is>
          <t>Pre-Tax Income (Loss)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P&amp;L'!C10-'YTD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P&amp;L'!D10-'YTD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P&amp;L'!E10-'YTD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P&amp;L'!F10-'YTD P&amp;L'!M10</f>
        <v/>
      </c>
      <c r="R10" s="6">
        <f>'YTD P&amp;L'!N10</f>
        <v/>
      </c>
      <c r="S10" s="6">
        <f>'YTD P&amp;L'!O10-'YTD P&amp;L'!N10</f>
        <v/>
      </c>
    </row>
    <row r="11">
      <c r="A11" s="3" t="inlineStr">
        <is>
          <t>Income Tax (Expense) Benefit</t>
        </is>
      </c>
      <c r="B11" s="4">
        <f>'YTD P&amp;L'!B11</f>
        <v/>
      </c>
      <c r="C11" s="4">
        <f>'YTD P&amp;L'!C11-'YTD P&amp;L'!B11</f>
        <v/>
      </c>
      <c r="D11" s="4">
        <f>'YTD P&amp;L'!D11-'YTD P&amp;L'!C11</f>
        <v/>
      </c>
      <c r="E11" s="4">
        <f>'ANNL P&amp;L'!C11-'YTD P&amp;L'!D11</f>
        <v/>
      </c>
      <c r="F11" s="4">
        <f>'YTD P&amp;L'!E11</f>
        <v/>
      </c>
      <c r="G11" s="4">
        <f>'YTD P&amp;L'!F11-'YTD P&amp;L'!E11</f>
        <v/>
      </c>
      <c r="H11" s="4">
        <f>'YTD P&amp;L'!G11-'YTD P&amp;L'!F11</f>
        <v/>
      </c>
      <c r="I11" s="4">
        <f>'ANNL P&amp;L'!D11-'YTD P&amp;L'!G11</f>
        <v/>
      </c>
      <c r="J11" s="4">
        <f>'YTD P&amp;L'!H11</f>
        <v/>
      </c>
      <c r="K11" s="4">
        <f>'YTD P&amp;L'!I11-'YTD P&amp;L'!H11</f>
        <v/>
      </c>
      <c r="L11" s="4">
        <f>'YTD P&amp;L'!J11-'YTD P&amp;L'!I11</f>
        <v/>
      </c>
      <c r="M11" s="4">
        <f>'ANNL P&amp;L'!E11-'YTD P&amp;L'!J11</f>
        <v/>
      </c>
      <c r="N11" s="4">
        <f>'YTD P&amp;L'!K11</f>
        <v/>
      </c>
      <c r="O11" s="4">
        <f>'YTD P&amp;L'!L11-'YTD P&amp;L'!K11</f>
        <v/>
      </c>
      <c r="P11" s="4">
        <f>'YTD P&amp;L'!M11-'YTD P&amp;L'!L11</f>
        <v/>
      </c>
      <c r="Q11" s="4">
        <f>'ANNL P&amp;L'!F11-'YTD P&amp;L'!M11</f>
        <v/>
      </c>
      <c r="R11" s="4">
        <f>'YTD P&amp;L'!N11</f>
        <v/>
      </c>
      <c r="S11" s="4">
        <f>'YTD P&amp;L'!O11-'YTD P&amp;L'!N11</f>
        <v/>
      </c>
    </row>
    <row r="12">
      <c r="A12" s="3" t="inlineStr">
        <is>
          <t>Net Income (Loss)</t>
        </is>
      </c>
      <c r="B12" s="6">
        <f>'YTD P&amp;L'!B12</f>
        <v/>
      </c>
      <c r="C12" s="6">
        <f>'YTD P&amp;L'!C12-'YTD P&amp;L'!B12</f>
        <v/>
      </c>
      <c r="D12" s="6">
        <f>'YTD P&amp;L'!D12-'YTD P&amp;L'!C12</f>
        <v/>
      </c>
      <c r="E12" s="6">
        <f>'ANNL P&amp;L'!C12-'YTD P&amp;L'!D12</f>
        <v/>
      </c>
      <c r="F12" s="6">
        <f>'YTD P&amp;L'!E12</f>
        <v/>
      </c>
      <c r="G12" s="6">
        <f>'YTD P&amp;L'!F12-'YTD P&amp;L'!E12</f>
        <v/>
      </c>
      <c r="H12" s="6">
        <f>'YTD P&amp;L'!G12-'YTD P&amp;L'!F12</f>
        <v/>
      </c>
      <c r="I12" s="6">
        <f>'ANNL P&amp;L'!D12-'YTD P&amp;L'!G12</f>
        <v/>
      </c>
      <c r="J12" s="6">
        <f>'YTD P&amp;L'!H12</f>
        <v/>
      </c>
      <c r="K12" s="6">
        <f>'YTD P&amp;L'!I12-'YTD P&amp;L'!H12</f>
        <v/>
      </c>
      <c r="L12" s="6">
        <f>'YTD P&amp;L'!J12-'YTD P&amp;L'!I12</f>
        <v/>
      </c>
      <c r="M12" s="6">
        <f>'ANNL P&amp;L'!E12-'YTD P&amp;L'!J12</f>
        <v/>
      </c>
      <c r="N12" s="6">
        <f>'YTD P&amp;L'!K12</f>
        <v/>
      </c>
      <c r="O12" s="6">
        <f>'YTD P&amp;L'!L12-'YTD P&amp;L'!K12</f>
        <v/>
      </c>
      <c r="P12" s="6">
        <f>'YTD P&amp;L'!M12-'YTD P&amp;L'!L12</f>
        <v/>
      </c>
      <c r="Q12" s="6">
        <f>'ANNL P&amp;L'!F12-'YTD P&amp;L'!M12</f>
        <v/>
      </c>
      <c r="R12" s="6">
        <f>'YTD P&amp;L'!N12</f>
        <v/>
      </c>
      <c r="S12" s="6">
        <f>'YTD P&amp;L'!O12-'YTD P&amp;L'!N12</f>
        <v/>
      </c>
    </row>
    <row r="13">
      <c r="A13" s="3" t="inlineStr">
        <is>
          <t>Net Income (Loss) Attributable to Noncontrolling Interest</t>
        </is>
      </c>
      <c r="B13" s="4">
        <f>'YTD P&amp;L'!B13</f>
        <v/>
      </c>
      <c r="C13" s="4">
        <f>'YTD P&amp;L'!C13-'YTD P&amp;L'!B13</f>
        <v/>
      </c>
      <c r="D13" s="4">
        <f>'YTD P&amp;L'!D13-'YTD P&amp;L'!C13</f>
        <v/>
      </c>
      <c r="E13" s="4">
        <f>'ANNL P&amp;L'!C13-'YTD P&amp;L'!D13</f>
        <v/>
      </c>
      <c r="F13" s="4">
        <f>'YTD P&amp;L'!E13</f>
        <v/>
      </c>
      <c r="G13" s="4">
        <f>'YTD P&amp;L'!F13-'YTD P&amp;L'!E13</f>
        <v/>
      </c>
      <c r="H13" s="4">
        <f>'YTD P&amp;L'!G13-'YTD P&amp;L'!F13</f>
        <v/>
      </c>
      <c r="I13" s="4">
        <f>'ANNL P&amp;L'!D13-'YTD P&amp;L'!G13</f>
        <v/>
      </c>
      <c r="J13" s="4">
        <f>'YTD P&amp;L'!H13</f>
        <v/>
      </c>
      <c r="K13" s="4">
        <f>'YTD P&amp;L'!I13-'YTD P&amp;L'!H13</f>
        <v/>
      </c>
      <c r="L13" s="4">
        <f>'YTD P&amp;L'!J13-'YTD P&amp;L'!I13</f>
        <v/>
      </c>
      <c r="M13" s="4">
        <f>'ANNL P&amp;L'!E13-'YTD P&amp;L'!J13</f>
        <v/>
      </c>
      <c r="N13" s="4">
        <f>'YTD P&amp;L'!K13</f>
        <v/>
      </c>
      <c r="O13" s="4">
        <f>'YTD P&amp;L'!L13-'YTD P&amp;L'!K13</f>
        <v/>
      </c>
      <c r="P13" s="4">
        <f>'YTD P&amp;L'!M13-'YTD P&amp;L'!L13</f>
        <v/>
      </c>
      <c r="Q13" s="4">
        <f>'ANNL P&amp;L'!F13-'YTD P&amp;L'!M13</f>
        <v/>
      </c>
      <c r="R13" s="4">
        <f>'YTD P&amp;L'!N13</f>
        <v/>
      </c>
      <c r="S13" s="4">
        <f>'YTD P&amp;L'!O13-'YTD P&amp;L'!N13</f>
        <v/>
      </c>
    </row>
    <row r="14">
      <c r="A14" s="3" t="inlineStr">
        <is>
          <t>Net Income (Loss) Less NCI</t>
        </is>
      </c>
      <c r="B14" s="6">
        <f>'YTD P&amp;L'!B14</f>
        <v/>
      </c>
      <c r="C14" s="6">
        <f>'YTD P&amp;L'!C14-'YTD P&amp;L'!B14</f>
        <v/>
      </c>
      <c r="D14" s="6">
        <f>'YTD P&amp;L'!D14-'YTD P&amp;L'!C14</f>
        <v/>
      </c>
      <c r="E14" s="6">
        <f>'ANNL P&amp;L'!C14-'YTD P&amp;L'!D14</f>
        <v/>
      </c>
      <c r="F14" s="6">
        <f>'YTD P&amp;L'!E14</f>
        <v/>
      </c>
      <c r="G14" s="6">
        <f>'YTD P&amp;L'!F14-'YTD P&amp;L'!E14</f>
        <v/>
      </c>
      <c r="H14" s="6">
        <f>'YTD P&amp;L'!G14-'YTD P&amp;L'!F14</f>
        <v/>
      </c>
      <c r="I14" s="6">
        <f>'ANNL P&amp;L'!D14-'YTD P&amp;L'!G14</f>
        <v/>
      </c>
      <c r="J14" s="6">
        <f>'YTD P&amp;L'!H14</f>
        <v/>
      </c>
      <c r="K14" s="6">
        <f>'YTD P&amp;L'!I14-'YTD P&amp;L'!H14</f>
        <v/>
      </c>
      <c r="L14" s="6">
        <f>'YTD P&amp;L'!J14-'YTD P&amp;L'!I14</f>
        <v/>
      </c>
      <c r="M14" s="6">
        <f>'ANNL P&amp;L'!E14-'YTD P&amp;L'!J14</f>
        <v/>
      </c>
      <c r="N14" s="6">
        <f>'YTD P&amp;L'!K14</f>
        <v/>
      </c>
      <c r="O14" s="6">
        <f>'YTD P&amp;L'!L14-'YTD P&amp;L'!K14</f>
        <v/>
      </c>
      <c r="P14" s="6">
        <f>'YTD P&amp;L'!M14-'YTD P&amp;L'!L14</f>
        <v/>
      </c>
      <c r="Q14" s="6">
        <f>'ANNL P&amp;L'!F14-'YTD P&amp;L'!M14</f>
        <v/>
      </c>
      <c r="R14" s="6">
        <f>'YTD P&amp;L'!N14</f>
        <v/>
      </c>
      <c r="S14" s="6">
        <f>'YTD P&amp;L'!O14-'YTD P&amp;L'!N14</f>
        <v/>
      </c>
    </row>
    <row r="15">
      <c r="A15" s="3" t="inlineStr">
        <is>
          <t>Basic Earnings (Loss) per Share</t>
        </is>
      </c>
    </row>
    <row r="16">
      <c r="A16" s="3" t="inlineStr">
        <is>
          <t>Diluted Earnings (Loss) per Share</t>
        </is>
      </c>
    </row>
    <row r="17">
      <c r="A17" s="3" t="inlineStr">
        <is>
          <t>Weighted Average Shares Outstanding (Basic)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</row>
    <row r="3">
      <c r="A3" s="3" t="inlineStr">
        <is>
          <t>Accounts Receivable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</row>
    <row r="4">
      <c r="A4" s="3" t="inlineStr">
        <is>
          <t>Inventories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</row>
    <row r="5">
      <c r="A5" s="3" t="inlineStr">
        <is>
          <t>Prepaid Expenses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</row>
    <row r="6">
      <c r="A6" s="3" t="inlineStr">
        <is>
          <t>Total Current Assets</t>
        </is>
      </c>
      <c r="B6" s="6">
        <f>'BALANCE SHEET'!B6</f>
        <v/>
      </c>
      <c r="C6" s="6">
        <f>'YTD BS'!C6</f>
        <v/>
      </c>
      <c r="D6" s="6">
        <f>'YTD BS'!D6</f>
        <v/>
      </c>
      <c r="E6" s="6">
        <f>'YTD BS'!E6</f>
        <v/>
      </c>
      <c r="F6" s="6">
        <f>'BALANCE SHEET'!C6</f>
        <v/>
      </c>
      <c r="G6" s="6">
        <f>'YTD BS'!G6</f>
        <v/>
      </c>
      <c r="H6" s="6">
        <f>'YTD BS'!H6</f>
        <v/>
      </c>
      <c r="I6" s="6">
        <f>'YTD BS'!I6</f>
        <v/>
      </c>
      <c r="J6" s="6">
        <f>'BALANCE SHEET'!D6</f>
        <v/>
      </c>
      <c r="K6" s="6">
        <f>'YTD BS'!K6</f>
        <v/>
      </c>
      <c r="L6" s="6">
        <f>'YTD BS'!L6</f>
        <v/>
      </c>
      <c r="M6" s="6">
        <f>'YTD BS'!M6</f>
        <v/>
      </c>
      <c r="N6" s="6">
        <f>'BALANCE SHEET'!E6</f>
        <v/>
      </c>
      <c r="O6" s="6">
        <f>'YTD BS'!O6</f>
        <v/>
      </c>
      <c r="P6" s="6">
        <f>'YTD BS'!P6</f>
        <v/>
      </c>
    </row>
    <row r="7">
      <c r="A7" s="3" t="inlineStr">
        <is>
          <t>Net PP&amp;E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</row>
    <row r="8">
      <c r="A8" s="3" t="inlineStr">
        <is>
          <t>Goodwill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4">
        <f>'YTD BS'!P8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</row>
    <row r="10">
      <c r="A10" s="3" t="inlineStr">
        <is>
          <t>Other Non-Current Assets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</row>
    <row r="11">
      <c r="A11" s="3" t="inlineStr">
        <is>
          <t>Total Assets</t>
        </is>
      </c>
      <c r="B11" s="6">
        <f>'BALANCE SHEET'!B11</f>
        <v/>
      </c>
      <c r="C11" s="6">
        <f>'YTD BS'!C11</f>
        <v/>
      </c>
      <c r="D11" s="6">
        <f>'YTD BS'!D11</f>
        <v/>
      </c>
      <c r="E11" s="6">
        <f>'YTD BS'!E11</f>
        <v/>
      </c>
      <c r="F11" s="6">
        <f>'BALANCE SHEET'!C11</f>
        <v/>
      </c>
      <c r="G11" s="6">
        <f>'YTD BS'!G11</f>
        <v/>
      </c>
      <c r="H11" s="6">
        <f>'YTD BS'!H11</f>
        <v/>
      </c>
      <c r="I11" s="6">
        <f>'YTD BS'!I11</f>
        <v/>
      </c>
      <c r="J11" s="6">
        <f>'BALANCE SHEET'!D11</f>
        <v/>
      </c>
      <c r="K11" s="6">
        <f>'YTD BS'!K11</f>
        <v/>
      </c>
      <c r="L11" s="6">
        <f>'YTD BS'!L11</f>
        <v/>
      </c>
      <c r="M11" s="6">
        <f>'YTD BS'!M11</f>
        <v/>
      </c>
      <c r="N11" s="6">
        <f>'BALANCE SHEET'!E11</f>
        <v/>
      </c>
      <c r="O11" s="6">
        <f>'YTD BS'!O11</f>
        <v/>
      </c>
      <c r="P11" s="6">
        <f>'YTD BS'!P11</f>
        <v/>
      </c>
    </row>
    <row r="12">
      <c r="A12" s="3" t="inlineStr">
        <is>
          <t>Accounts Payable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</row>
    <row r="13">
      <c r="A13" s="3" t="inlineStr">
        <is>
          <t>Accrued Expenses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</row>
    <row r="14">
      <c r="A14" s="3" t="inlineStr">
        <is>
          <t>Current Portion of Long-Term Debt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  <c r="P14" s="4">
        <f>'YTD BS'!P14</f>
        <v/>
      </c>
    </row>
    <row r="15">
      <c r="A15" s="3" t="inlineStr">
        <is>
          <t>Total Current Liabilities</t>
        </is>
      </c>
      <c r="B15" s="6">
        <f>'BALANCE SHEET'!B15</f>
        <v/>
      </c>
      <c r="C15" s="6">
        <f>'YTD BS'!C15</f>
        <v/>
      </c>
      <c r="D15" s="6">
        <f>'YTD BS'!D15</f>
        <v/>
      </c>
      <c r="E15" s="6">
        <f>'YTD BS'!E15</f>
        <v/>
      </c>
      <c r="F15" s="6">
        <f>'BALANCE SHEET'!C15</f>
        <v/>
      </c>
      <c r="G15" s="6">
        <f>'YTD BS'!G15</f>
        <v/>
      </c>
      <c r="H15" s="6">
        <f>'YTD BS'!H15</f>
        <v/>
      </c>
      <c r="I15" s="6">
        <f>'YTD BS'!I15</f>
        <v/>
      </c>
      <c r="J15" s="6">
        <f>'BALANCE SHEET'!D15</f>
        <v/>
      </c>
      <c r="K15" s="6">
        <f>'YTD BS'!K15</f>
        <v/>
      </c>
      <c r="L15" s="6">
        <f>'YTD BS'!L15</f>
        <v/>
      </c>
      <c r="M15" s="6">
        <f>'YTD BS'!M15</f>
        <v/>
      </c>
      <c r="N15" s="6">
        <f>'BALANCE SHEET'!E15</f>
        <v/>
      </c>
      <c r="O15" s="6">
        <f>'YTD BS'!O15</f>
        <v/>
      </c>
      <c r="P15" s="6">
        <f>'YTD BS'!P15</f>
        <v/>
      </c>
    </row>
    <row r="16">
      <c r="A16" s="3" t="inlineStr">
        <is>
          <t>Long-Term Debt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4">
        <f>'YTD BS'!P16</f>
        <v/>
      </c>
    </row>
    <row r="17">
      <c r="A17" s="3" t="inlineStr">
        <is>
          <t>Deferred Tax Liability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</row>
    <row r="18">
      <c r="A18" s="3" t="inlineStr">
        <is>
          <t>Other Non-Current Liabilities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4">
        <f>'YTD BS'!P18</f>
        <v/>
      </c>
    </row>
    <row r="19">
      <c r="A19" s="3" t="inlineStr">
        <is>
          <t>Total Liabilities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  <c r="O19" s="6">
        <f>'YTD BS'!O19</f>
        <v/>
      </c>
      <c r="P19" s="6">
        <f>'YTD BS'!P19</f>
        <v/>
      </c>
    </row>
    <row r="20">
      <c r="A20" s="3" t="inlineStr">
        <is>
          <t>Convertible Preferred Stock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</row>
    <row r="21">
      <c r="A21" s="3" t="inlineStr">
        <is>
          <t>Common Stock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</row>
    <row r="22">
      <c r="A22" s="3" t="inlineStr">
        <is>
          <t>Additional Paid-in Capital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4">
        <f>'YTD BS'!P22</f>
        <v/>
      </c>
    </row>
    <row r="23">
      <c r="A23" s="3" t="inlineStr">
        <is>
          <t>ESOP Debt Retirement Reserve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</row>
    <row r="24">
      <c r="A24" s="3" t="inlineStr">
        <is>
          <t>Accumulated Other Comprehensive Income (Loss)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</row>
    <row r="25">
      <c r="A25" s="3" t="inlineStr">
        <is>
          <t>Treasury Stock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4">
        <f>'YTD BS'!P25</f>
        <v/>
      </c>
    </row>
    <row r="26">
      <c r="A26" s="3" t="inlineStr">
        <is>
          <t>Retained Earnings (Accumulated Deficit)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4">
        <f>'YTD BS'!P26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6">
        <f>'YTD BS'!P28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6">
        <f>'YTD BS'!P29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</row>
    <row r="4">
      <c r="A4" s="3" t="inlineStr">
        <is>
          <t>Gain (Loss) on Extinguishment of Debt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</row>
    <row r="5">
      <c r="A5" s="3" t="inlineStr">
        <is>
          <t>Stock-Based Compensation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4">
        <f>'YTD CF'!O5-'YTD CF'!N5</f>
        <v/>
      </c>
    </row>
    <row r="6">
      <c r="A6" s="3" t="inlineStr">
        <is>
          <t>(Benefit) Provision for Deferred Income Taxes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4">
        <f>'YTD CF'!O6-'YTD CF'!N6</f>
        <v/>
      </c>
    </row>
    <row r="7">
      <c r="A7" s="3" t="inlineStr">
        <is>
          <t>Gain (Loss) on Disposal of PP&amp;E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</row>
    <row r="8">
      <c r="A8" s="3" t="inlineStr">
        <is>
          <t>Impairment of Intangibles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</row>
    <row r="9">
      <c r="A9" s="3" t="inlineStr">
        <is>
          <t>Accounts Receivable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</row>
    <row r="10">
      <c r="A10" s="3" t="inlineStr">
        <is>
          <t>Inventories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</row>
    <row r="11">
      <c r="A11" s="3" t="inlineStr">
        <is>
          <t>Accounts Payable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</row>
    <row r="12">
      <c r="A12" s="3" t="inlineStr">
        <is>
          <t>Net Change in Other Working Capital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4">
        <f>'YTD CF'!O12-'YTD CF'!N12</f>
        <v/>
      </c>
    </row>
    <row r="13">
      <c r="A13" s="3" t="inlineStr">
        <is>
          <t>Other Operating Items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  <c r="S13" s="4">
        <f>'YTD CF'!O13-'YTD CF'!N13</f>
        <v/>
      </c>
    </row>
    <row r="14">
      <c r="A14" s="3" t="inlineStr">
        <is>
          <t>Cash Flow from Operations</t>
        </is>
      </c>
      <c r="B14" s="6">
        <f>'YTD CF'!B14</f>
        <v/>
      </c>
      <c r="C14" s="6">
        <f>'YTD CF'!C14-'YTD CF'!B14</f>
        <v/>
      </c>
      <c r="D14" s="6">
        <f>'YTD CF'!D14-'YTD CF'!C14</f>
        <v/>
      </c>
      <c r="E14" s="6">
        <f>'CASH FLOW'!C14-'YTD CF'!D14</f>
        <v/>
      </c>
      <c r="F14" s="6">
        <f>'YTD CF'!E14</f>
        <v/>
      </c>
      <c r="G14" s="6">
        <f>'YTD CF'!F14-'YTD CF'!E14</f>
        <v/>
      </c>
      <c r="H14" s="6">
        <f>'YTD CF'!G14-'YTD CF'!F14</f>
        <v/>
      </c>
      <c r="I14" s="6">
        <f>'CASH FLOW'!D14-'YTD CF'!G14</f>
        <v/>
      </c>
      <c r="J14" s="6">
        <f>'YTD CF'!H14</f>
        <v/>
      </c>
      <c r="K14" s="6">
        <f>'YTD CF'!I14-'YTD CF'!H14</f>
        <v/>
      </c>
      <c r="L14" s="6">
        <f>'YTD CF'!J14-'YTD CF'!I14</f>
        <v/>
      </c>
      <c r="M14" s="6">
        <f>'CASH FLOW'!E14-'YTD CF'!J14</f>
        <v/>
      </c>
      <c r="N14" s="6">
        <f>'YTD CF'!K14</f>
        <v/>
      </c>
      <c r="O14" s="6">
        <f>'YTD CF'!L14-'YTD CF'!K14</f>
        <v/>
      </c>
      <c r="P14" s="6">
        <f>'YTD CF'!M14-'YTD CF'!L14</f>
        <v/>
      </c>
      <c r="Q14" s="6">
        <f>'CASH FLOW'!F14-'YTD CF'!M14</f>
        <v/>
      </c>
      <c r="R14" s="6">
        <f>'YTD CF'!N14</f>
        <v/>
      </c>
      <c r="S14" s="6">
        <f>'YTD CF'!O14-'YTD CF'!N14</f>
        <v/>
      </c>
    </row>
    <row r="15">
      <c r="A15" s="3" t="inlineStr">
        <is>
          <t>Purchase of PP&amp;E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  <c r="S15" s="4">
        <f>'YTD CF'!O15-'YTD CF'!N15</f>
        <v/>
      </c>
    </row>
    <row r="16">
      <c r="A16" s="3" t="inlineStr">
        <is>
          <t>Proceeds from Sale of Assets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  <c r="S16" s="4">
        <f>'YTD CF'!O16-'YTD CF'!N16</f>
        <v/>
      </c>
    </row>
    <row r="17">
      <c r="A17" s="3" t="inlineStr">
        <is>
          <t>Acquisitions, Net of Cash Acquired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4">
        <f>'YTD CF'!O17-'YTD CF'!N17</f>
        <v/>
      </c>
    </row>
    <row r="18">
      <c r="A18" s="3" t="inlineStr">
        <is>
          <t>Net Change in Short-Term Investments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R18" s="4">
        <f>'YTD CF'!N18</f>
        <v/>
      </c>
      <c r="S18" s="4">
        <f>'YTD CF'!O18-'YTD CF'!N18</f>
        <v/>
      </c>
    </row>
    <row r="19">
      <c r="A19" s="3" t="inlineStr">
        <is>
          <t>Other Investing Activities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FLOW'!C18-'YTD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FLOW'!D18-'YTD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FLOW'!E18-'YTD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FLOW'!F18-'YTD CF'!M19</f>
        <v/>
      </c>
      <c r="R19" s="4">
        <f>'YTD CF'!N19</f>
        <v/>
      </c>
      <c r="S19" s="4">
        <f>'YTD CF'!O19-'YTD CF'!N19</f>
        <v/>
      </c>
    </row>
    <row r="20">
      <c r="A20" s="3" t="inlineStr">
        <is>
          <t>Cash Flow from Investing</t>
        </is>
      </c>
      <c r="B20" s="6">
        <f>'YTD CF'!B20</f>
        <v/>
      </c>
      <c r="C20" s="6">
        <f>'YTD CF'!C20-'YTD CF'!B20</f>
        <v/>
      </c>
      <c r="D20" s="6">
        <f>'YTD CF'!D20-'YTD CF'!C20</f>
        <v/>
      </c>
      <c r="E20" s="6">
        <f>'CASH FLOW'!C19-'YTD CF'!D20</f>
        <v/>
      </c>
      <c r="F20" s="6">
        <f>'YTD CF'!E20</f>
        <v/>
      </c>
      <c r="G20" s="6">
        <f>'YTD CF'!F20-'YTD CF'!E20</f>
        <v/>
      </c>
      <c r="H20" s="6">
        <f>'YTD CF'!G20-'YTD CF'!F20</f>
        <v/>
      </c>
      <c r="I20" s="6">
        <f>'CASH FLOW'!D19-'YTD CF'!G20</f>
        <v/>
      </c>
      <c r="J20" s="6">
        <f>'YTD CF'!H20</f>
        <v/>
      </c>
      <c r="K20" s="6">
        <f>'YTD CF'!I20-'YTD CF'!H20</f>
        <v/>
      </c>
      <c r="L20" s="6">
        <f>'YTD CF'!J20-'YTD CF'!I20</f>
        <v/>
      </c>
      <c r="M20" s="6">
        <f>'CASH FLOW'!E19-'YTD CF'!J20</f>
        <v/>
      </c>
      <c r="N20" s="6">
        <f>'YTD CF'!K20</f>
        <v/>
      </c>
      <c r="O20" s="6">
        <f>'YTD CF'!L20-'YTD CF'!K20</f>
        <v/>
      </c>
      <c r="P20" s="6">
        <f>'YTD CF'!M20-'YTD CF'!L20</f>
        <v/>
      </c>
      <c r="Q20" s="6">
        <f>'CASH FLOW'!F19-'YTD CF'!M20</f>
        <v/>
      </c>
      <c r="R20" s="6">
        <f>'YTD CF'!N20</f>
        <v/>
      </c>
      <c r="S20" s="6">
        <f>'YTD CF'!O20-'YTD CF'!N20</f>
        <v/>
      </c>
    </row>
    <row r="21">
      <c r="A21" s="3" t="inlineStr">
        <is>
          <t>Common Dividends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FLOW'!C20-'YTD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FLOW'!D20-'YTD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FLOW'!E20-'YTD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FLOW'!F20-'YTD CF'!M21</f>
        <v/>
      </c>
      <c r="R21" s="4">
        <f>'YTD CF'!N21</f>
        <v/>
      </c>
      <c r="S21" s="4">
        <f>'YTD CF'!O21-'YTD CF'!N21</f>
        <v/>
      </c>
    </row>
    <row r="22">
      <c r="A22" s="3" t="inlineStr">
        <is>
          <t>Proceeds from Short-Term Debt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FLOW'!C21-'YTD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FLOW'!D21-'YTD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FLOW'!E21-'YTD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FLOW'!F21-'YTD CF'!M22</f>
        <v/>
      </c>
      <c r="R22" s="4">
        <f>'YTD CF'!N22</f>
        <v/>
      </c>
      <c r="S22" s="4">
        <f>'YTD CF'!O22-'YTD CF'!N22</f>
        <v/>
      </c>
    </row>
    <row r="23">
      <c r="A23" s="3" t="inlineStr">
        <is>
          <t>Repayments of Short-Term Debt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FLOW'!C22-'YTD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FLOW'!D22-'YTD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FLOW'!E22-'YTD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FLOW'!F22-'YTD CF'!M23</f>
        <v/>
      </c>
      <c r="R23" s="4">
        <f>'YTD CF'!N23</f>
        <v/>
      </c>
      <c r="S23" s="4">
        <f>'YTD CF'!O23-'YTD CF'!N23</f>
        <v/>
      </c>
    </row>
    <row r="24">
      <c r="A24" s="3" t="inlineStr">
        <is>
          <t>Net Change in Other Short-Term Debt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FLOW'!C23-'YTD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FLOW'!D23-'YTD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FLOW'!E23-'YTD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FLOW'!F23-'YTD CF'!M24</f>
        <v/>
      </c>
      <c r="R24" s="4">
        <f>'YTD CF'!N24</f>
        <v/>
      </c>
      <c r="S24" s="4">
        <f>'YTD CF'!O24-'YTD CF'!N24</f>
        <v/>
      </c>
    </row>
    <row r="25">
      <c r="A25" s="3" t="inlineStr">
        <is>
          <t>Proceeds from Issuance of Long-Term Debt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FLOW'!C24-'YTD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FLOW'!D24-'YTD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FLOW'!E24-'YTD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FLOW'!F24-'YTD CF'!M25</f>
        <v/>
      </c>
      <c r="R25" s="4">
        <f>'YTD CF'!N25</f>
        <v/>
      </c>
      <c r="S25" s="4">
        <f>'YTD CF'!O25-'YTD CF'!N25</f>
        <v/>
      </c>
    </row>
    <row r="26">
      <c r="A26" s="3" t="inlineStr">
        <is>
          <t>Repayments of Long-Term Debt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FLOW'!C25-'YTD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FLOW'!D25-'YTD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FLOW'!E25-'YTD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FLOW'!F25-'YTD CF'!M26</f>
        <v/>
      </c>
      <c r="R26" s="4">
        <f>'YTD CF'!N26</f>
        <v/>
      </c>
      <c r="S26" s="4">
        <f>'YTD CF'!O26-'YTD CF'!N26</f>
        <v/>
      </c>
    </row>
    <row r="27">
      <c r="A27" s="3" t="inlineStr">
        <is>
          <t>Share Repurchases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FLOW'!C26-'YTD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FLOW'!D26-'YTD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FLOW'!E26-'YTD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FLOW'!F26-'YTD CF'!M27</f>
        <v/>
      </c>
      <c r="R27" s="4">
        <f>'YTD CF'!N27</f>
        <v/>
      </c>
      <c r="S27" s="4">
        <f>'YTD CF'!O27-'YTD CF'!N27</f>
        <v/>
      </c>
    </row>
    <row r="28">
      <c r="A28" s="3" t="inlineStr">
        <is>
          <t>Stock Options &amp; Other Financing Activities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FLOW'!C27-'YTD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FLOW'!D27-'YTD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FLOW'!E27-'YTD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FLOW'!F27-'YTD CF'!M28</f>
        <v/>
      </c>
      <c r="R28" s="4">
        <f>'YTD CF'!N28</f>
        <v/>
      </c>
      <c r="S28" s="4">
        <f>'YTD CF'!O28-'YTD CF'!N28</f>
        <v/>
      </c>
    </row>
    <row r="29">
      <c r="A29" s="3" t="inlineStr">
        <is>
          <t>Cash Flow from Financing</t>
        </is>
      </c>
      <c r="B29" s="6">
        <f>'YTD CF'!B29</f>
        <v/>
      </c>
      <c r="C29" s="6">
        <f>'YTD CF'!C29-'YTD CF'!B29</f>
        <v/>
      </c>
      <c r="D29" s="6">
        <f>'YTD CF'!D29-'YTD CF'!C29</f>
        <v/>
      </c>
      <c r="E29" s="6">
        <f>'CASH FLOW'!C28-'YTD CF'!D29</f>
        <v/>
      </c>
      <c r="F29" s="6">
        <f>'YTD CF'!E29</f>
        <v/>
      </c>
      <c r="G29" s="6">
        <f>'YTD CF'!F29-'YTD CF'!E29</f>
        <v/>
      </c>
      <c r="H29" s="6">
        <f>'YTD CF'!G29-'YTD CF'!F29</f>
        <v/>
      </c>
      <c r="I29" s="6">
        <f>'CASH FLOW'!D28-'YTD CF'!G29</f>
        <v/>
      </c>
      <c r="J29" s="6">
        <f>'YTD CF'!H29</f>
        <v/>
      </c>
      <c r="K29" s="6">
        <f>'YTD CF'!I29-'YTD CF'!H29</f>
        <v/>
      </c>
      <c r="L29" s="6">
        <f>'YTD CF'!J29-'YTD CF'!I29</f>
        <v/>
      </c>
      <c r="M29" s="6">
        <f>'CASH FLOW'!E28-'YTD CF'!J29</f>
        <v/>
      </c>
      <c r="N29" s="6">
        <f>'YTD CF'!K29</f>
        <v/>
      </c>
      <c r="O29" s="6">
        <f>'YTD CF'!L29-'YTD CF'!K29</f>
        <v/>
      </c>
      <c r="P29" s="6">
        <f>'YTD CF'!M29-'YTD CF'!L29</f>
        <v/>
      </c>
      <c r="Q29" s="6">
        <f>'CASH FLOW'!F28-'YTD CF'!M29</f>
        <v/>
      </c>
      <c r="R29" s="6">
        <f>'YTD CF'!N29</f>
        <v/>
      </c>
      <c r="S29" s="6">
        <f>'YTD CF'!O29-'YTD CF'!N29</f>
        <v/>
      </c>
    </row>
    <row r="30">
      <c r="A30" s="3" t="inlineStr">
        <is>
          <t>FX Effect on Cash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FLOW'!C29-'YTD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FLOW'!D29-'YTD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FLOW'!E29-'YTD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FLOW'!F29-'YTD CF'!M30</f>
        <v/>
      </c>
      <c r="R30" s="4">
        <f>'YTD CF'!N30</f>
        <v/>
      </c>
      <c r="S30" s="4">
        <f>'YTD CF'!O30-'YTD CF'!N30</f>
        <v/>
      </c>
    </row>
    <row r="31">
      <c r="A31" s="3" t="inlineStr">
        <is>
          <t>Net Change in Cash</t>
        </is>
      </c>
      <c r="B31" s="6">
        <f>'YTD CF'!B31</f>
        <v/>
      </c>
      <c r="C31" s="6">
        <f>'YTD CF'!C31-'YTD CF'!B31</f>
        <v/>
      </c>
      <c r="D31" s="6">
        <f>'YTD CF'!D31-'YTD CF'!C31</f>
        <v/>
      </c>
      <c r="E31" s="6">
        <f>'CASH FLOW'!C30-'YTD CF'!D31</f>
        <v/>
      </c>
      <c r="F31" s="6">
        <f>'YTD CF'!E31</f>
        <v/>
      </c>
      <c r="G31" s="6">
        <f>'YTD CF'!F31-'YTD CF'!E31</f>
        <v/>
      </c>
      <c r="H31" s="6">
        <f>'YTD CF'!G31-'YTD CF'!F31</f>
        <v/>
      </c>
      <c r="I31" s="6">
        <f>'CASH FLOW'!D30-'YTD CF'!G31</f>
        <v/>
      </c>
      <c r="J31" s="6">
        <f>'YTD CF'!H31</f>
        <v/>
      </c>
      <c r="K31" s="6">
        <f>'YTD CF'!I31-'YTD CF'!H31</f>
        <v/>
      </c>
      <c r="L31" s="6">
        <f>'YTD CF'!J31-'YTD CF'!I31</f>
        <v/>
      </c>
      <c r="M31" s="6">
        <f>'CASH FLOW'!E30-'YTD CF'!J31</f>
        <v/>
      </c>
      <c r="N31" s="6">
        <f>'YTD CF'!K31</f>
        <v/>
      </c>
      <c r="O31" s="6">
        <f>'YTD CF'!L31-'YTD CF'!K31</f>
        <v/>
      </c>
      <c r="P31" s="6">
        <f>'YTD CF'!M31-'YTD CF'!L31</f>
        <v/>
      </c>
      <c r="Q31" s="6">
        <f>'CASH FLOW'!F30-'YTD CF'!M31</f>
        <v/>
      </c>
      <c r="R31" s="6">
        <f>'YTD CF'!N31</f>
        <v/>
      </c>
      <c r="S31" s="6">
        <f>'YTD CF'!O31-'YTD CF'!N31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2026-04-29T01:25:43Z</dcterms:created>
  <dcterms:modified xmlns:dcterms="http://purl.org/dc/terms/" xmlns:xsi="http://www.w3.org/2001/XMLSchema-instance" xsi:type="dcterms:W3CDTF">2026-04-29T01:25:43Z</dcterms:modified>
</cp:coreProperties>
</file>