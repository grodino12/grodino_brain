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FY2017</t>
        </is>
      </c>
      <c r="C1" s="2" t="inlineStr">
        <is>
          <t>FY2018</t>
        </is>
      </c>
      <c r="D1" s="2" t="inlineStr">
        <is>
          <t>FY2019</t>
        </is>
      </c>
      <c r="E1" s="2" t="inlineStr">
        <is>
          <t>FY2020</t>
        </is>
      </c>
      <c r="F1" s="2" t="inlineStr">
        <is>
          <t>FY2021</t>
        </is>
      </c>
      <c r="G1" s="2" t="inlineStr">
        <is>
          <t>FY2022</t>
        </is>
      </c>
      <c r="H1" s="2" t="inlineStr">
        <is>
          <t>FY2023</t>
        </is>
      </c>
      <c r="I1" s="2" t="inlineStr">
        <is>
          <t>FY2024</t>
        </is>
      </c>
      <c r="J1" s="2" t="inlineStr">
        <is>
          <t>FY2025</t>
        </is>
      </c>
      <c r="K1" s="2" t="inlineStr">
        <is>
          <t>FY2026E</t>
        </is>
      </c>
      <c r="L1" s="2" t="inlineStr">
        <is>
          <t>FY2027E</t>
        </is>
      </c>
      <c r="M1" s="2" t="inlineStr">
        <is>
          <t>FY2028E</t>
        </is>
      </c>
      <c r="N1" s="2" t="inlineStr">
        <is>
          <t>FY2029E</t>
        </is>
      </c>
      <c r="O1" s="2" t="inlineStr">
        <is>
          <t>FY2030E</t>
        </is>
      </c>
      <c r="P1" s="2" t="inlineStr">
        <is>
          <t>FY2031E</t>
        </is>
      </c>
    </row>
    <row r="2">
      <c r="A2" s="3" t="inlineStr">
        <is>
          <t>Net Sales / Revenue</t>
        </is>
      </c>
      <c r="B2" s="4" t="n">
        <v>110855</v>
      </c>
      <c r="C2" s="4" t="n">
        <v>136819</v>
      </c>
      <c r="D2" s="4" t="n">
        <v>161857</v>
      </c>
      <c r="E2" s="4" t="n">
        <v>182527</v>
      </c>
      <c r="F2" s="4" t="n">
        <v>257637</v>
      </c>
      <c r="G2" s="4" t="n">
        <v>282836</v>
      </c>
      <c r="H2" s="4" t="n">
        <v>307394</v>
      </c>
      <c r="I2" s="4" t="n">
        <v>350018</v>
      </c>
      <c r="J2" s="4" t="n">
        <v>402836</v>
      </c>
      <c r="K2" s="5" t="n"/>
      <c r="L2" s="5" t="n"/>
      <c r="M2" s="5" t="n"/>
      <c r="N2" s="5" t="n"/>
      <c r="O2" s="5" t="n"/>
      <c r="P2" s="5" t="n"/>
    </row>
    <row r="3">
      <c r="A3" s="3" t="inlineStr">
        <is>
          <t>COGS</t>
        </is>
      </c>
      <c r="B3" s="4" t="n">
        <v>-45583</v>
      </c>
      <c r="C3" s="4" t="n">
        <v>-59549</v>
      </c>
      <c r="D3" s="4" t="n">
        <v>-71896</v>
      </c>
      <c r="E3" s="4" t="n">
        <v>-84732</v>
      </c>
      <c r="F3" s="4" t="n">
        <v>-110939</v>
      </c>
      <c r="G3" s="4" t="n">
        <v>-126203</v>
      </c>
      <c r="H3" s="4" t="n">
        <v>-133332</v>
      </c>
      <c r="I3" s="4" t="n">
        <v>-146306</v>
      </c>
      <c r="J3" s="4" t="n">
        <v>-162535</v>
      </c>
      <c r="K3" s="5" t="n"/>
      <c r="L3" s="5" t="n"/>
      <c r="M3" s="5" t="n"/>
      <c r="N3" s="5" t="n"/>
      <c r="O3" s="5" t="n"/>
      <c r="P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7">
        <f>K2+K3</f>
        <v/>
      </c>
      <c r="L4" s="7">
        <f>L2+L3</f>
        <v/>
      </c>
      <c r="M4" s="7">
        <f>M2+M3</f>
        <v/>
      </c>
      <c r="N4" s="7">
        <f>N2+N3</f>
        <v/>
      </c>
      <c r="O4" s="7">
        <f>O2+O3</f>
        <v/>
      </c>
      <c r="P4" s="7">
        <f>P2+P3</f>
        <v/>
      </c>
    </row>
    <row r="5">
      <c r="A5" s="3" t="inlineStr">
        <is>
          <t>Research and Development</t>
        </is>
      </c>
      <c r="B5" s="4" t="n">
        <v>-16625</v>
      </c>
      <c r="C5" s="4" t="n">
        <v>-21419</v>
      </c>
      <c r="D5" s="4" t="n">
        <v>-26018</v>
      </c>
      <c r="E5" s="4" t="n">
        <v>-27573</v>
      </c>
      <c r="F5" s="4" t="n">
        <v>-31562</v>
      </c>
      <c r="G5" s="4" t="n">
        <v>-39500</v>
      </c>
      <c r="H5" s="4" t="n">
        <v>-45427</v>
      </c>
      <c r="I5" s="4" t="n">
        <v>-49326</v>
      </c>
      <c r="J5" s="4" t="n">
        <v>-61087</v>
      </c>
      <c r="K5" s="5" t="n"/>
      <c r="L5" s="5" t="n"/>
      <c r="M5" s="5" t="n"/>
      <c r="N5" s="5" t="n"/>
      <c r="O5" s="5" t="n"/>
      <c r="P5" s="5" t="n"/>
    </row>
    <row r="6">
      <c r="A6" s="3" t="inlineStr">
        <is>
          <t>Sales and Marketing</t>
        </is>
      </c>
      <c r="B6" s="4" t="n">
        <v>-12893</v>
      </c>
      <c r="C6" s="4" t="n">
        <v>-16333</v>
      </c>
      <c r="D6" s="4" t="n">
        <v>-18464</v>
      </c>
      <c r="E6" s="4" t="n">
        <v>-17946</v>
      </c>
      <c r="F6" s="4" t="n">
        <v>-22912</v>
      </c>
      <c r="G6" s="4" t="n">
        <v>-26567</v>
      </c>
      <c r="H6" s="4" t="n">
        <v>-27917</v>
      </c>
      <c r="I6" s="4" t="n">
        <v>-27808</v>
      </c>
      <c r="J6" s="4" t="n">
        <v>-28693</v>
      </c>
      <c r="K6" s="5" t="n"/>
      <c r="L6" s="5" t="n"/>
      <c r="M6" s="5" t="n"/>
      <c r="N6" s="5" t="n"/>
      <c r="O6" s="5" t="n"/>
      <c r="P6" s="5" t="n"/>
    </row>
    <row r="7">
      <c r="A7" s="3" t="inlineStr">
        <is>
          <t>General and Administrative</t>
        </is>
      </c>
      <c r="B7" s="4" t="n">
        <v>-6840</v>
      </c>
      <c r="C7" s="4" t="n">
        <v>-6923</v>
      </c>
      <c r="D7" s="4" t="n">
        <v>-9551</v>
      </c>
      <c r="E7" s="4" t="n">
        <v>-11052</v>
      </c>
      <c r="F7" s="4" t="n">
        <v>-13510</v>
      </c>
      <c r="G7" s="4" t="n">
        <v>-15724</v>
      </c>
      <c r="H7" s="4" t="n">
        <v>-16425</v>
      </c>
      <c r="I7" s="4" t="n">
        <v>-14188</v>
      </c>
      <c r="J7" s="4" t="n">
        <v>-21482</v>
      </c>
      <c r="K7" s="5" t="n"/>
      <c r="L7" s="5" t="n"/>
      <c r="M7" s="5" t="n"/>
      <c r="N7" s="5" t="n"/>
      <c r="O7" s="5" t="n"/>
      <c r="P7" s="5" t="n"/>
    </row>
    <row r="8">
      <c r="A8" s="3" t="inlineStr">
        <is>
          <t>Litigation and Regulatory Charges</t>
        </is>
      </c>
      <c r="B8" s="4" t="n">
        <v>-2736</v>
      </c>
      <c r="C8" s="4" t="n">
        <v>-5071</v>
      </c>
      <c r="D8" s="4" t="n">
        <v>-1697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5" t="n"/>
      <c r="L8" s="5" t="n"/>
      <c r="M8" s="5" t="n"/>
      <c r="N8" s="5" t="n"/>
      <c r="O8" s="5" t="n"/>
      <c r="P8" s="5" t="n"/>
    </row>
    <row r="9">
      <c r="A9" s="3" t="inlineStr">
        <is>
          <t>Income (Loss) from Operations</t>
        </is>
      </c>
      <c r="B9" s="6">
        <f>B4+SUM(B5:B8)</f>
        <v/>
      </c>
      <c r="C9" s="6">
        <f>C4+SUM(C5:C8)</f>
        <v/>
      </c>
      <c r="D9" s="6">
        <f>D4+SUM(D5:D8)</f>
        <v/>
      </c>
      <c r="E9" s="6">
        <f>E4+SUM(E5:E8)</f>
        <v/>
      </c>
      <c r="F9" s="6">
        <f>F4+SUM(F5:F8)</f>
        <v/>
      </c>
      <c r="G9" s="6">
        <f>G4+SUM(G5:G8)</f>
        <v/>
      </c>
      <c r="H9" s="6">
        <f>H4+SUM(H5:H8)</f>
        <v/>
      </c>
      <c r="I9" s="6">
        <f>I4+SUM(I5:I8)</f>
        <v/>
      </c>
      <c r="J9" s="6">
        <f>J4+SUM(J5:J8)</f>
        <v/>
      </c>
      <c r="K9" s="7">
        <f>K4+SUM(K5:K8)</f>
        <v/>
      </c>
      <c r="L9" s="7">
        <f>L4+SUM(L5:L8)</f>
        <v/>
      </c>
      <c r="M9" s="7">
        <f>M4+SUM(M5:M8)</f>
        <v/>
      </c>
      <c r="N9" s="7">
        <f>N4+SUM(N5:N8)</f>
        <v/>
      </c>
      <c r="O9" s="7">
        <f>O4+SUM(O5:O8)</f>
        <v/>
      </c>
      <c r="P9" s="7">
        <f>P4+SUM(P5:P8)</f>
        <v/>
      </c>
    </row>
    <row r="10">
      <c r="A10" s="3" t="inlineStr">
        <is>
          <t>Other Income (Expense)</t>
        </is>
      </c>
      <c r="B10" s="4" t="n">
        <v>1015</v>
      </c>
      <c r="C10" s="4" t="n">
        <v>7389</v>
      </c>
      <c r="D10" s="4" t="n">
        <v>5394</v>
      </c>
      <c r="E10" s="4" t="n">
        <v>6858</v>
      </c>
      <c r="F10" s="4" t="n">
        <v>12020</v>
      </c>
      <c r="G10" s="4" t="n">
        <v>-3514</v>
      </c>
      <c r="H10" s="4" t="n">
        <v>1424</v>
      </c>
      <c r="I10" s="4" t="n">
        <v>7425</v>
      </c>
      <c r="J10" s="4" t="n">
        <v>29787</v>
      </c>
      <c r="K10" s="5" t="n"/>
      <c r="L10" s="5" t="n"/>
      <c r="M10" s="5" t="n"/>
      <c r="N10" s="5" t="n"/>
      <c r="O10" s="5" t="n"/>
      <c r="P10" s="5" t="n"/>
    </row>
    <row r="11">
      <c r="A11" s="3" t="inlineStr">
        <is>
          <t>Pre-Tax Income (Loss)</t>
        </is>
      </c>
      <c r="B11" s="6">
        <f>B9+B10</f>
        <v/>
      </c>
      <c r="C11" s="6">
        <f>C9+C10</f>
        <v/>
      </c>
      <c r="D11" s="6">
        <f>D9+D10</f>
        <v/>
      </c>
      <c r="E11" s="6">
        <f>E9+E10</f>
        <v/>
      </c>
      <c r="F11" s="6">
        <f>F9+F10</f>
        <v/>
      </c>
      <c r="G11" s="6">
        <f>G9+G10</f>
        <v/>
      </c>
      <c r="H11" s="6">
        <f>H9+H10</f>
        <v/>
      </c>
      <c r="I11" s="6">
        <f>I9+I10</f>
        <v/>
      </c>
      <c r="J11" s="6">
        <f>J9+J10</f>
        <v/>
      </c>
      <c r="K11" s="7">
        <f>K9+K10</f>
        <v/>
      </c>
      <c r="L11" s="7">
        <f>L9+L10</f>
        <v/>
      </c>
      <c r="M11" s="7">
        <f>M9+M10</f>
        <v/>
      </c>
      <c r="N11" s="7">
        <f>N9+N10</f>
        <v/>
      </c>
      <c r="O11" s="7">
        <f>O9+O10</f>
        <v/>
      </c>
      <c r="P11" s="7">
        <f>P9+P10</f>
        <v/>
      </c>
    </row>
    <row r="12">
      <c r="A12" s="3" t="inlineStr">
        <is>
          <t>Income Tax (Expense) Benefit</t>
        </is>
      </c>
      <c r="B12" s="4" t="n">
        <v>-14531</v>
      </c>
      <c r="C12" s="4" t="n">
        <v>-4177</v>
      </c>
      <c r="D12" s="4" t="n">
        <v>-5282</v>
      </c>
      <c r="E12" s="4" t="n">
        <v>-7813</v>
      </c>
      <c r="F12" s="4" t="n">
        <v>-14701</v>
      </c>
      <c r="G12" s="4" t="n">
        <v>-11356</v>
      </c>
      <c r="H12" s="4" t="n">
        <v>-11922</v>
      </c>
      <c r="I12" s="4" t="n">
        <v>-19697</v>
      </c>
      <c r="J12" s="4" t="n">
        <v>-26656</v>
      </c>
      <c r="K12" s="5" t="n"/>
      <c r="L12" s="5" t="n"/>
      <c r="M12" s="5" t="n"/>
      <c r="N12" s="5" t="n"/>
      <c r="O12" s="5" t="n"/>
      <c r="P12" s="5" t="n"/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7">
        <f>K11+K12</f>
        <v/>
      </c>
      <c r="L13" s="7">
        <f>L11+L12</f>
        <v/>
      </c>
      <c r="M13" s="7">
        <f>M11+M12</f>
        <v/>
      </c>
      <c r="N13" s="7">
        <f>N11+N12</f>
        <v/>
      </c>
      <c r="O13" s="7">
        <f>O11+O12</f>
        <v/>
      </c>
      <c r="P13" s="7">
        <f>P11+P12</f>
        <v/>
      </c>
    </row>
    <row r="14">
      <c r="A14" s="3" t="inlineStr">
        <is>
          <t>Basic Earnings (Loss) per Share</t>
        </is>
      </c>
      <c r="B14" s="8" t="n">
        <v>18.27</v>
      </c>
      <c r="C14" s="8" t="n">
        <v>44.22</v>
      </c>
      <c r="D14" s="8" t="n">
        <v>49.59</v>
      </c>
      <c r="E14" s="8" t="n">
        <v>59.15</v>
      </c>
      <c r="F14" s="8" t="n">
        <v>113.88</v>
      </c>
      <c r="G14" s="8" t="n">
        <v>4.59</v>
      </c>
      <c r="H14" s="8" t="n">
        <v>5.84</v>
      </c>
      <c r="I14" s="8" t="n">
        <v>8.130000000000001</v>
      </c>
      <c r="J14" s="8" t="n">
        <v>10.91</v>
      </c>
      <c r="K14" s="9" t="n"/>
      <c r="L14" s="9" t="n"/>
      <c r="M14" s="9" t="n"/>
      <c r="N14" s="9" t="n"/>
      <c r="O14" s="9" t="n"/>
      <c r="P14" s="9" t="n"/>
    </row>
    <row r="15">
      <c r="A15" s="3" t="inlineStr">
        <is>
          <t>Diluted Earnings (Loss) per Share</t>
        </is>
      </c>
      <c r="B15" s="8" t="n">
        <v>18</v>
      </c>
      <c r="C15" s="8" t="n">
        <v>43.7</v>
      </c>
      <c r="D15" s="8" t="n">
        <v>49.16</v>
      </c>
      <c r="E15" s="8" t="n">
        <v>58.61</v>
      </c>
      <c r="F15" s="8" t="n">
        <v>112.2</v>
      </c>
      <c r="G15" s="8" t="n">
        <v>4.56</v>
      </c>
      <c r="H15" s="8" t="n">
        <v>5.8</v>
      </c>
      <c r="I15" s="8" t="n">
        <v>8.039999999999999</v>
      </c>
      <c r="J15" s="8" t="n">
        <v>10.81</v>
      </c>
      <c r="K15" s="9" t="n"/>
      <c r="L15" s="9" t="n"/>
      <c r="M15" s="9" t="n"/>
      <c r="N15" s="9" t="n"/>
      <c r="O15" s="9" t="n"/>
      <c r="P15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FY2018</t>
        </is>
      </c>
      <c r="C1" s="2" t="inlineStr">
        <is>
          <t>FY2019</t>
        </is>
      </c>
      <c r="D1" s="2" t="inlineStr">
        <is>
          <t>FY2020</t>
        </is>
      </c>
      <c r="E1" s="2" t="inlineStr">
        <is>
          <t>FY2021</t>
        </is>
      </c>
      <c r="F1" s="2" t="inlineStr">
        <is>
          <t>FY2022</t>
        </is>
      </c>
      <c r="G1" s="2" t="inlineStr">
        <is>
          <t>FY2023</t>
        </is>
      </c>
      <c r="H1" s="2" t="inlineStr">
        <is>
          <t>FY2024</t>
        </is>
      </c>
      <c r="I1" s="2" t="inlineStr">
        <is>
          <t>FY2025</t>
        </is>
      </c>
      <c r="J1" s="2" t="inlineStr">
        <is>
          <t>FY2026E</t>
        </is>
      </c>
      <c r="K1" s="2" t="inlineStr">
        <is>
          <t>FY2027E</t>
        </is>
      </c>
      <c r="L1" s="2" t="inlineStr">
        <is>
          <t>FY2028E</t>
        </is>
      </c>
      <c r="M1" s="2" t="inlineStr">
        <is>
          <t>FY2029E</t>
        </is>
      </c>
      <c r="N1" s="2" t="inlineStr">
        <is>
          <t>FY2030E</t>
        </is>
      </c>
      <c r="O1" s="2" t="inlineStr">
        <is>
          <t>FY2031E</t>
        </is>
      </c>
    </row>
    <row r="2">
      <c r="A2" s="3" t="inlineStr">
        <is>
          <t>Cash, Cash Equivalents &amp; Restricted Cash</t>
        </is>
      </c>
      <c r="B2" s="4" t="n">
        <v>16701</v>
      </c>
      <c r="C2" s="4" t="n">
        <v>18498</v>
      </c>
      <c r="D2" s="4" t="n">
        <v>26465</v>
      </c>
      <c r="E2" s="4" t="n">
        <v>20945</v>
      </c>
      <c r="F2" s="4" t="n">
        <v>21879</v>
      </c>
      <c r="G2" s="4" t="n">
        <v>24048</v>
      </c>
      <c r="H2" s="4" t="n">
        <v>23466</v>
      </c>
      <c r="I2" s="4" t="n">
        <v>30708</v>
      </c>
      <c r="J2" s="5" t="n"/>
      <c r="K2" s="5" t="n"/>
      <c r="L2" s="5" t="n"/>
      <c r="M2" s="5" t="n"/>
      <c r="N2" s="5" t="n"/>
      <c r="O2" s="5" t="n"/>
    </row>
    <row r="3">
      <c r="A3" s="3" t="inlineStr">
        <is>
          <t>Short-Term Investments</t>
        </is>
      </c>
      <c r="B3" s="4" t="n">
        <v>92439</v>
      </c>
      <c r="C3" s="4" t="n">
        <v>101177</v>
      </c>
      <c r="D3" s="4" t="n">
        <v>110229</v>
      </c>
      <c r="E3" s="4" t="n">
        <v>118704</v>
      </c>
      <c r="F3" s="4" t="n">
        <v>91883</v>
      </c>
      <c r="G3" s="4" t="n">
        <v>86868</v>
      </c>
      <c r="H3" s="4" t="n">
        <v>72191</v>
      </c>
      <c r="I3" s="4" t="n">
        <v>96135</v>
      </c>
      <c r="J3" s="5" t="n"/>
      <c r="K3" s="5" t="n"/>
      <c r="L3" s="5" t="n"/>
      <c r="M3" s="5" t="n"/>
      <c r="N3" s="5" t="n"/>
      <c r="O3" s="5" t="n"/>
    </row>
    <row r="4">
      <c r="A4" s="3" t="inlineStr">
        <is>
          <t>Accounts Receivable</t>
        </is>
      </c>
      <c r="B4" s="4" t="n">
        <v>20838</v>
      </c>
      <c r="C4" s="4" t="n">
        <v>25326</v>
      </c>
      <c r="D4" s="4" t="n">
        <v>30930</v>
      </c>
      <c r="E4" s="4" t="n">
        <v>39304</v>
      </c>
      <c r="F4" s="4" t="n">
        <v>40258</v>
      </c>
      <c r="G4" s="4" t="n">
        <v>47964</v>
      </c>
      <c r="H4" s="4" t="n">
        <v>52340</v>
      </c>
      <c r="I4" s="4" t="n">
        <v>62886</v>
      </c>
      <c r="J4" s="5" t="n"/>
      <c r="K4" s="5" t="n"/>
      <c r="L4" s="5" t="n"/>
      <c r="M4" s="5" t="n"/>
      <c r="N4" s="5" t="n"/>
      <c r="O4" s="5" t="n"/>
    </row>
    <row r="5">
      <c r="A5" s="3" t="inlineStr">
        <is>
          <t>Note Receivable - Current</t>
        </is>
      </c>
      <c r="B5" s="4" t="n">
        <v>355</v>
      </c>
      <c r="C5" s="4" t="n">
        <v>2166</v>
      </c>
      <c r="D5" s="4" t="n">
        <v>454</v>
      </c>
      <c r="E5" s="4" t="n">
        <v>966</v>
      </c>
      <c r="F5" s="4" t="n">
        <v>0</v>
      </c>
      <c r="G5" s="4" t="n">
        <v>0</v>
      </c>
      <c r="H5" s="4" t="n">
        <v>0</v>
      </c>
      <c r="I5" s="4" t="n">
        <v>0</v>
      </c>
      <c r="J5" s="5" t="n"/>
      <c r="K5" s="5" t="n"/>
      <c r="L5" s="5" t="n"/>
      <c r="M5" s="5" t="n"/>
      <c r="N5" s="5" t="n"/>
      <c r="O5" s="5" t="n"/>
    </row>
    <row r="6">
      <c r="A6" s="3" t="inlineStr">
        <is>
          <t>Inventories</t>
        </is>
      </c>
      <c r="B6" s="4" t="n">
        <v>1107</v>
      </c>
      <c r="C6" s="4" t="n">
        <v>999</v>
      </c>
      <c r="D6" s="4" t="n">
        <v>728</v>
      </c>
      <c r="E6" s="4" t="n">
        <v>1170</v>
      </c>
      <c r="F6" s="4" t="n">
        <v>2670</v>
      </c>
      <c r="G6" s="4" t="n">
        <v>0</v>
      </c>
      <c r="H6" s="4" t="n">
        <v>0</v>
      </c>
      <c r="I6" s="4" t="n">
        <v>0</v>
      </c>
      <c r="J6" s="5" t="n"/>
      <c r="K6" s="5" t="n"/>
      <c r="L6" s="5" t="n"/>
      <c r="M6" s="5" t="n"/>
      <c r="N6" s="5" t="n"/>
      <c r="O6" s="5" t="n"/>
    </row>
    <row r="7">
      <c r="A7" s="3" t="inlineStr">
        <is>
          <t>Other Current Assets</t>
        </is>
      </c>
      <c r="B7" s="4" t="n">
        <v>4236</v>
      </c>
      <c r="C7" s="4" t="n">
        <v>4412</v>
      </c>
      <c r="D7" s="4" t="n">
        <v>5490</v>
      </c>
      <c r="E7" s="4" t="n">
        <v>7054</v>
      </c>
      <c r="F7" s="4" t="n">
        <v>8105</v>
      </c>
      <c r="G7" s="4" t="n">
        <v>12650</v>
      </c>
      <c r="H7" s="4" t="n">
        <v>15714</v>
      </c>
      <c r="I7" s="4" t="n">
        <v>16309</v>
      </c>
      <c r="J7" s="5" t="n"/>
      <c r="K7" s="5" t="n"/>
      <c r="L7" s="5" t="n"/>
      <c r="M7" s="5" t="n"/>
      <c r="N7" s="5" t="n"/>
      <c r="O7" s="5" t="n"/>
    </row>
    <row r="8">
      <c r="A8" s="3" t="inlineStr">
        <is>
          <t>Total Current Assets</t>
        </is>
      </c>
      <c r="B8" s="6">
        <f>SUM(B2:B7)</f>
        <v/>
      </c>
      <c r="C8" s="6">
        <f>SUM(C2:C7)</f>
        <v/>
      </c>
      <c r="D8" s="6">
        <f>SUM(D2:D7)</f>
        <v/>
      </c>
      <c r="E8" s="6">
        <f>SUM(E2:E7)</f>
        <v/>
      </c>
      <c r="F8" s="6">
        <f>SUM(F2:F7)</f>
        <v/>
      </c>
      <c r="G8" s="6">
        <f>SUM(G2:G7)</f>
        <v/>
      </c>
      <c r="H8" s="6">
        <f>SUM(H2:H7)</f>
        <v/>
      </c>
      <c r="I8" s="6">
        <f>SUM(I2:I7)</f>
        <v/>
      </c>
      <c r="J8" s="7">
        <f>SUM(J2:J7)</f>
        <v/>
      </c>
      <c r="K8" s="7">
        <f>SUM(K2:K7)</f>
        <v/>
      </c>
      <c r="L8" s="7">
        <f>SUM(L2:L7)</f>
        <v/>
      </c>
      <c r="M8" s="7">
        <f>SUM(M2:M7)</f>
        <v/>
      </c>
      <c r="N8" s="7">
        <f>SUM(N2:N7)</f>
        <v/>
      </c>
      <c r="O8" s="7">
        <f>SUM(O2:O7)</f>
        <v/>
      </c>
    </row>
    <row r="9">
      <c r="A9" s="3" t="inlineStr">
        <is>
          <t>Long-Term Investments</t>
        </is>
      </c>
      <c r="B9" s="4" t="n">
        <v>13859</v>
      </c>
      <c r="C9" s="4" t="n">
        <v>13078</v>
      </c>
      <c r="D9" s="4" t="n">
        <v>20703</v>
      </c>
      <c r="E9" s="4" t="n">
        <v>29549</v>
      </c>
      <c r="F9" s="4" t="n">
        <v>30492</v>
      </c>
      <c r="G9" s="4" t="n">
        <v>31008</v>
      </c>
      <c r="H9" s="4" t="n">
        <v>37982</v>
      </c>
      <c r="I9" s="4" t="n">
        <v>68687</v>
      </c>
      <c r="J9" s="5" t="n"/>
      <c r="K9" s="5" t="n"/>
      <c r="L9" s="5" t="n"/>
      <c r="M9" s="5" t="n"/>
      <c r="N9" s="5" t="n"/>
      <c r="O9" s="5" t="n"/>
    </row>
    <row r="10">
      <c r="A10" s="3" t="inlineStr">
        <is>
          <t>Deferred Tax Assets</t>
        </is>
      </c>
      <c r="B10" s="4" t="n">
        <v>737</v>
      </c>
      <c r="C10" s="4" t="n">
        <v>721</v>
      </c>
      <c r="D10" s="4" t="n">
        <v>1084</v>
      </c>
      <c r="E10" s="4" t="n">
        <v>1284</v>
      </c>
      <c r="F10" s="4" t="n">
        <v>5261</v>
      </c>
      <c r="G10" s="4" t="n">
        <v>12169</v>
      </c>
      <c r="H10" s="4" t="n">
        <v>17180</v>
      </c>
      <c r="I10" s="4" t="n">
        <v>9113</v>
      </c>
      <c r="J10" s="5" t="n"/>
      <c r="K10" s="5" t="n"/>
      <c r="L10" s="5" t="n"/>
      <c r="M10" s="5" t="n"/>
      <c r="N10" s="5" t="n"/>
      <c r="O10" s="5" t="n"/>
    </row>
    <row r="11">
      <c r="A11" s="3" t="inlineStr">
        <is>
          <t>Net PP&amp;E</t>
        </is>
      </c>
      <c r="B11" s="4" t="n">
        <v>59719</v>
      </c>
      <c r="C11" s="4" t="n">
        <v>73646</v>
      </c>
      <c r="D11" s="4" t="n">
        <v>84749</v>
      </c>
      <c r="E11" s="4" t="n">
        <v>97599</v>
      </c>
      <c r="F11" s="4" t="n">
        <v>112668</v>
      </c>
      <c r="G11" s="4" t="n">
        <v>134345</v>
      </c>
      <c r="H11" s="4" t="n">
        <v>171036</v>
      </c>
      <c r="I11" s="4" t="n">
        <v>246597</v>
      </c>
      <c r="J11" s="5" t="n"/>
      <c r="K11" s="5" t="n"/>
      <c r="L11" s="5" t="n"/>
      <c r="M11" s="5" t="n"/>
      <c r="N11" s="5" t="n"/>
      <c r="O11" s="5" t="n"/>
    </row>
    <row r="12">
      <c r="A12" s="3" t="inlineStr">
        <is>
          <t>ROU Assets - Operating - Non-Current</t>
        </is>
      </c>
      <c r="B12" s="4" t="n">
        <v>0</v>
      </c>
      <c r="C12" s="4" t="n">
        <v>10941</v>
      </c>
      <c r="D12" s="4" t="n">
        <v>12211</v>
      </c>
      <c r="E12" s="4" t="n">
        <v>12959</v>
      </c>
      <c r="F12" s="4" t="n">
        <v>14381</v>
      </c>
      <c r="G12" s="4" t="n">
        <v>14091</v>
      </c>
      <c r="H12" s="4" t="n">
        <v>13588</v>
      </c>
      <c r="I12" s="4" t="n">
        <v>15221</v>
      </c>
      <c r="J12" s="5" t="n"/>
      <c r="K12" s="5" t="n"/>
      <c r="L12" s="5" t="n"/>
      <c r="M12" s="5" t="n"/>
      <c r="N12" s="5" t="n"/>
      <c r="O12" s="5" t="n"/>
    </row>
    <row r="13">
      <c r="A13" s="3" t="inlineStr">
        <is>
          <t>Intangible Assets</t>
        </is>
      </c>
      <c r="B13" s="4" t="n">
        <v>2220</v>
      </c>
      <c r="C13" s="4" t="n">
        <v>1979</v>
      </c>
      <c r="D13" s="4" t="n">
        <v>1445</v>
      </c>
      <c r="E13" s="4" t="n">
        <v>1417</v>
      </c>
      <c r="F13" s="4" t="n">
        <v>2084</v>
      </c>
      <c r="G13" s="4" t="n">
        <v>0</v>
      </c>
      <c r="H13" s="4" t="n">
        <v>0</v>
      </c>
      <c r="I13" s="4" t="n">
        <v>0</v>
      </c>
      <c r="J13" s="5" t="n"/>
      <c r="K13" s="5" t="n"/>
      <c r="L13" s="5" t="n"/>
      <c r="M13" s="5" t="n"/>
      <c r="N13" s="5" t="n"/>
      <c r="O13" s="5" t="n"/>
    </row>
    <row r="14">
      <c r="A14" s="3" t="inlineStr">
        <is>
          <t>Goodwill</t>
        </is>
      </c>
      <c r="B14" s="4" t="n">
        <v>17888</v>
      </c>
      <c r="C14" s="4" t="n">
        <v>20624</v>
      </c>
      <c r="D14" s="4" t="n">
        <v>21175</v>
      </c>
      <c r="E14" s="4" t="n">
        <v>22956</v>
      </c>
      <c r="F14" s="4" t="n">
        <v>28960</v>
      </c>
      <c r="G14" s="4" t="n">
        <v>29198</v>
      </c>
      <c r="H14" s="4" t="n">
        <v>31885</v>
      </c>
      <c r="I14" s="4" t="n">
        <v>33380</v>
      </c>
      <c r="J14" s="5" t="n"/>
      <c r="K14" s="5" t="n"/>
      <c r="L14" s="5" t="n"/>
      <c r="M14" s="5" t="n"/>
      <c r="N14" s="5" t="n"/>
      <c r="O14" s="5" t="n"/>
    </row>
    <row r="15">
      <c r="A15" s="3" t="inlineStr">
        <is>
          <t>Other Non-Current Assets</t>
        </is>
      </c>
      <c r="B15" s="4" t="n">
        <v>2693</v>
      </c>
      <c r="C15" s="4" t="n">
        <v>2342</v>
      </c>
      <c r="D15" s="4" t="n">
        <v>3953</v>
      </c>
      <c r="E15" s="4" t="n">
        <v>5361</v>
      </c>
      <c r="F15" s="4" t="n">
        <v>6623</v>
      </c>
      <c r="G15" s="4" t="n">
        <v>10051</v>
      </c>
      <c r="H15" s="4" t="n">
        <v>14874</v>
      </c>
      <c r="I15" s="4" t="n">
        <v>16245</v>
      </c>
      <c r="J15" s="5" t="n"/>
      <c r="K15" s="5" t="n"/>
      <c r="L15" s="5" t="n"/>
      <c r="M15" s="5" t="n"/>
      <c r="N15" s="5" t="n"/>
      <c r="O15" s="5" t="n"/>
    </row>
    <row r="16">
      <c r="A16" s="3" t="inlineStr">
        <is>
          <t>Total Assets</t>
        </is>
      </c>
      <c r="B16" s="6">
        <f>B8+SUM(B9:B15)</f>
        <v/>
      </c>
      <c r="C16" s="6">
        <f>C8+SUM(C9:C15)</f>
        <v/>
      </c>
      <c r="D16" s="6">
        <f>D8+SUM(D9:D15)</f>
        <v/>
      </c>
      <c r="E16" s="6">
        <f>E8+SUM(E9:E15)</f>
        <v/>
      </c>
      <c r="F16" s="6">
        <f>F8+SUM(F9:F15)</f>
        <v/>
      </c>
      <c r="G16" s="6">
        <f>G8+SUM(G9:G15)</f>
        <v/>
      </c>
      <c r="H16" s="6">
        <f>H8+SUM(H9:H15)</f>
        <v/>
      </c>
      <c r="I16" s="6">
        <f>I8+SUM(I9:I15)</f>
        <v/>
      </c>
      <c r="J16" s="7">
        <f>J8+SUM(J9:J15)</f>
        <v/>
      </c>
      <c r="K16" s="7">
        <f>K8+SUM(K9:K15)</f>
        <v/>
      </c>
      <c r="L16" s="7">
        <f>L8+SUM(L9:L15)</f>
        <v/>
      </c>
      <c r="M16" s="7">
        <f>M8+SUM(M9:M15)</f>
        <v/>
      </c>
      <c r="N16" s="7">
        <f>N8+SUM(N9:N15)</f>
        <v/>
      </c>
      <c r="O16" s="7">
        <f>O8+SUM(O9:O15)</f>
        <v/>
      </c>
    </row>
    <row r="17">
      <c r="A17" s="3" t="inlineStr">
        <is>
          <t>Accounts Payable</t>
        </is>
      </c>
      <c r="B17" s="4" t="n">
        <v>4378</v>
      </c>
      <c r="C17" s="4" t="n">
        <v>5561</v>
      </c>
      <c r="D17" s="4" t="n">
        <v>5589</v>
      </c>
      <c r="E17" s="4" t="n">
        <v>6037</v>
      </c>
      <c r="F17" s="4" t="n">
        <v>5128</v>
      </c>
      <c r="G17" s="4" t="n">
        <v>7493</v>
      </c>
      <c r="H17" s="4" t="n">
        <v>7987</v>
      </c>
      <c r="I17" s="4" t="n">
        <v>12200</v>
      </c>
      <c r="J17" s="5" t="n"/>
      <c r="K17" s="5" t="n"/>
      <c r="L17" s="5" t="n"/>
      <c r="M17" s="5" t="n"/>
      <c r="N17" s="5" t="n"/>
      <c r="O17" s="5" t="n"/>
    </row>
    <row r="18">
      <c r="A18" s="3" t="inlineStr">
        <is>
          <t>Accrued Compensation</t>
        </is>
      </c>
      <c r="B18" s="4" t="n">
        <v>6839</v>
      </c>
      <c r="C18" s="4" t="n">
        <v>8495</v>
      </c>
      <c r="D18" s="4" t="n">
        <v>11086</v>
      </c>
      <c r="E18" s="4" t="n">
        <v>13889</v>
      </c>
      <c r="F18" s="4" t="n">
        <v>14028</v>
      </c>
      <c r="G18" s="4" t="n">
        <v>15140</v>
      </c>
      <c r="H18" s="4" t="n">
        <v>15069</v>
      </c>
      <c r="I18" s="4" t="n">
        <v>17546</v>
      </c>
      <c r="J18" s="5" t="n"/>
      <c r="K18" s="5" t="n"/>
      <c r="L18" s="5" t="n"/>
      <c r="M18" s="5" t="n"/>
      <c r="N18" s="5" t="n"/>
      <c r="O18" s="5" t="n"/>
    </row>
    <row r="19">
      <c r="A19" s="3" t="inlineStr">
        <is>
          <t>Accrued Expenses</t>
        </is>
      </c>
      <c r="B19" s="4" t="n">
        <v>16958</v>
      </c>
      <c r="C19" s="4" t="n">
        <v>23067</v>
      </c>
      <c r="D19" s="4" t="n">
        <v>28631</v>
      </c>
      <c r="E19" s="4" t="n">
        <v>31236</v>
      </c>
      <c r="F19" s="4" t="n">
        <v>37866</v>
      </c>
      <c r="G19" s="4" t="n">
        <v>46168</v>
      </c>
      <c r="H19" s="4" t="n">
        <v>51228</v>
      </c>
      <c r="I19" s="4" t="n">
        <v>55557</v>
      </c>
      <c r="J19" s="5" t="n"/>
      <c r="K19" s="5" t="n"/>
      <c r="L19" s="5" t="n"/>
      <c r="M19" s="5" t="n"/>
      <c r="N19" s="5" t="n"/>
      <c r="O19" s="5" t="n"/>
    </row>
    <row r="20">
      <c r="A20" s="3" t="inlineStr">
        <is>
          <t>Accrued Revenue Share</t>
        </is>
      </c>
      <c r="B20" s="4" t="n">
        <v>4592</v>
      </c>
      <c r="C20" s="4" t="n">
        <v>5916</v>
      </c>
      <c r="D20" s="4" t="n">
        <v>7500</v>
      </c>
      <c r="E20" s="4" t="n">
        <v>8996</v>
      </c>
      <c r="F20" s="4" t="n">
        <v>8370</v>
      </c>
      <c r="G20" s="4" t="n">
        <v>8876</v>
      </c>
      <c r="H20" s="4" t="n">
        <v>9802</v>
      </c>
      <c r="I20" s="4" t="n">
        <v>10864</v>
      </c>
      <c r="J20" s="5" t="n"/>
      <c r="K20" s="5" t="n"/>
      <c r="L20" s="5" t="n"/>
      <c r="M20" s="5" t="n"/>
      <c r="N20" s="5" t="n"/>
      <c r="O20" s="5" t="n"/>
    </row>
    <row r="21">
      <c r="A21" s="3" t="inlineStr">
        <is>
          <t>Deferred Revenue - Current</t>
        </is>
      </c>
      <c r="B21" s="4" t="n">
        <v>1784</v>
      </c>
      <c r="C21" s="4" t="n">
        <v>1908</v>
      </c>
      <c r="D21" s="4" t="n">
        <v>2543</v>
      </c>
      <c r="E21" s="4" t="n">
        <v>3288</v>
      </c>
      <c r="F21" s="4" t="n">
        <v>3908</v>
      </c>
      <c r="G21" s="4" t="n">
        <v>4137</v>
      </c>
      <c r="H21" s="4" t="n">
        <v>5036</v>
      </c>
      <c r="I21" s="4" t="n">
        <v>6578</v>
      </c>
      <c r="J21" s="5" t="n"/>
      <c r="K21" s="5" t="n"/>
      <c r="L21" s="5" t="n"/>
      <c r="M21" s="5" t="n"/>
      <c r="N21" s="5" t="n"/>
      <c r="O21" s="5" t="n"/>
    </row>
    <row r="22">
      <c r="A22" s="3" t="inlineStr">
        <is>
          <t>Income Taxes Payable</t>
        </is>
      </c>
      <c r="B22" s="4" t="n">
        <v>69</v>
      </c>
      <c r="C22" s="4" t="n">
        <v>274</v>
      </c>
      <c r="D22" s="4" t="n">
        <v>1485</v>
      </c>
      <c r="E22" s="4" t="n">
        <v>808</v>
      </c>
      <c r="F22" s="4" t="n">
        <v>0</v>
      </c>
      <c r="G22" s="4" t="n">
        <v>0</v>
      </c>
      <c r="H22" s="4" t="n">
        <v>0</v>
      </c>
      <c r="I22" s="4" t="n">
        <v>0</v>
      </c>
      <c r="J22" s="5" t="n"/>
      <c r="K22" s="5" t="n"/>
      <c r="L22" s="5" t="n"/>
      <c r="M22" s="5" t="n"/>
      <c r="N22" s="5" t="n"/>
      <c r="O22" s="5" t="n"/>
    </row>
    <row r="23">
      <c r="A23" s="3" t="inlineStr">
        <is>
          <t>Total Current Liabilities</t>
        </is>
      </c>
      <c r="B23" s="6">
        <f>SUM(B17:B22)</f>
        <v/>
      </c>
      <c r="C23" s="6">
        <f>SUM(C17:C22)</f>
        <v/>
      </c>
      <c r="D23" s="6">
        <f>SUM(D17:D22)</f>
        <v/>
      </c>
      <c r="E23" s="6">
        <f>SUM(E17:E22)</f>
        <v/>
      </c>
      <c r="F23" s="6">
        <f>SUM(F17:F22)</f>
        <v/>
      </c>
      <c r="G23" s="6">
        <f>SUM(G17:G22)</f>
        <v/>
      </c>
      <c r="H23" s="6">
        <f>SUM(H17:H22)</f>
        <v/>
      </c>
      <c r="I23" s="6">
        <f>SUM(I17:I22)</f>
        <v/>
      </c>
      <c r="J23" s="7">
        <f>SUM(J17:J22)</f>
        <v/>
      </c>
      <c r="K23" s="7">
        <f>SUM(K17:K22)</f>
        <v/>
      </c>
      <c r="L23" s="7">
        <f>SUM(L17:L22)</f>
        <v/>
      </c>
      <c r="M23" s="7">
        <f>SUM(M17:M22)</f>
        <v/>
      </c>
      <c r="N23" s="7">
        <f>SUM(N17:N22)</f>
        <v/>
      </c>
      <c r="O23" s="7">
        <f>SUM(O17:O22)</f>
        <v/>
      </c>
    </row>
    <row r="24">
      <c r="A24" s="3" t="inlineStr">
        <is>
          <t>Long-Term Debt</t>
        </is>
      </c>
      <c r="B24" s="4" t="n">
        <v>15339</v>
      </c>
      <c r="C24" s="4" t="n">
        <v>14439</v>
      </c>
      <c r="D24" s="4" t="n">
        <v>22781</v>
      </c>
      <c r="E24" s="4" t="n">
        <v>23993</v>
      </c>
      <c r="F24" s="4" t="n">
        <v>23959</v>
      </c>
      <c r="G24" s="4" t="n">
        <v>21727</v>
      </c>
      <c r="H24" s="4" t="n">
        <v>19665</v>
      </c>
      <c r="I24" s="4" t="n">
        <v>56078</v>
      </c>
      <c r="J24" s="5" t="n"/>
      <c r="K24" s="5" t="n"/>
      <c r="L24" s="5" t="n"/>
      <c r="M24" s="5" t="n"/>
      <c r="N24" s="5" t="n"/>
      <c r="O24" s="5" t="n"/>
    </row>
    <row r="25">
      <c r="A25" s="3" t="inlineStr">
        <is>
          <t>Deferred Revenue - Non-Current</t>
        </is>
      </c>
      <c r="B25" s="4" t="n">
        <v>396</v>
      </c>
      <c r="C25" s="4" t="n">
        <v>358</v>
      </c>
      <c r="D25" s="4" t="n">
        <v>481</v>
      </c>
      <c r="E25" s="4" t="n">
        <v>535</v>
      </c>
      <c r="F25" s="4" t="n">
        <v>599</v>
      </c>
      <c r="G25" s="4" t="n">
        <v>911</v>
      </c>
      <c r="H25" s="4" t="n">
        <v>0</v>
      </c>
      <c r="I25" s="4" t="n">
        <v>0</v>
      </c>
      <c r="J25" s="5" t="n"/>
      <c r="K25" s="5" t="n"/>
      <c r="L25" s="5" t="n"/>
      <c r="M25" s="5" t="n"/>
      <c r="N25" s="5" t="n"/>
      <c r="O25" s="5" t="n"/>
    </row>
    <row r="26">
      <c r="A26" s="3" t="inlineStr">
        <is>
          <t>Deferred Tax Liability</t>
        </is>
      </c>
      <c r="B26" s="4" t="n">
        <v>1264</v>
      </c>
      <c r="C26" s="4" t="n">
        <v>1701</v>
      </c>
      <c r="D26" s="4" t="n">
        <v>3561</v>
      </c>
      <c r="E26" s="4" t="n">
        <v>5257</v>
      </c>
      <c r="F26" s="4" t="n">
        <v>514</v>
      </c>
      <c r="G26" s="4" t="n">
        <v>485</v>
      </c>
      <c r="H26" s="4" t="n">
        <v>0</v>
      </c>
      <c r="I26" s="4" t="n">
        <v>0</v>
      </c>
      <c r="J26" s="5" t="n"/>
      <c r="K26" s="5" t="n"/>
      <c r="L26" s="5" t="n"/>
      <c r="M26" s="5" t="n"/>
      <c r="N26" s="5" t="n"/>
      <c r="O26" s="5" t="n"/>
    </row>
    <row r="27">
      <c r="A27" s="3" t="inlineStr">
        <is>
          <t>Lease Liability - Operating - Non-Current</t>
        </is>
      </c>
      <c r="B27" s="4" t="n">
        <v>0</v>
      </c>
      <c r="C27" s="4" t="n">
        <v>10214</v>
      </c>
      <c r="D27" s="4" t="n">
        <v>11146</v>
      </c>
      <c r="E27" s="4" t="n">
        <v>11389</v>
      </c>
      <c r="F27" s="4" t="n">
        <v>12501</v>
      </c>
      <c r="G27" s="4" t="n">
        <v>12460</v>
      </c>
      <c r="H27" s="4" t="n">
        <v>11691</v>
      </c>
      <c r="I27" s="4" t="n">
        <v>12744</v>
      </c>
      <c r="J27" s="5" t="n"/>
      <c r="K27" s="5" t="n"/>
      <c r="L27" s="5" t="n"/>
      <c r="M27" s="5" t="n"/>
      <c r="N27" s="5" t="n"/>
      <c r="O27" s="5" t="n"/>
    </row>
    <row r="28">
      <c r="A28" s="3" t="inlineStr">
        <is>
          <t>Other Non-Current Liabilities</t>
        </is>
      </c>
      <c r="B28" s="4" t="n">
        <v>3545</v>
      </c>
      <c r="C28" s="4" t="n">
        <v>2534</v>
      </c>
      <c r="D28" s="4" t="n">
        <v>2269</v>
      </c>
      <c r="E28" s="4" t="n">
        <v>2205</v>
      </c>
      <c r="F28" s="4" t="n">
        <v>2247</v>
      </c>
      <c r="G28" s="4" t="n">
        <v>1616</v>
      </c>
      <c r="H28" s="4" t="n">
        <v>4694</v>
      </c>
      <c r="I28" s="4" t="n">
        <v>8449</v>
      </c>
      <c r="J28" s="5" t="n"/>
      <c r="K28" s="5" t="n"/>
      <c r="L28" s="5" t="n"/>
      <c r="M28" s="5" t="n"/>
      <c r="N28" s="5" t="n"/>
      <c r="O28" s="5" t="n"/>
    </row>
    <row r="29">
      <c r="A29" s="3" t="inlineStr">
        <is>
          <t>Total Liabilities</t>
        </is>
      </c>
      <c r="B29" s="6">
        <f>B23+SUM(B24:B28)</f>
        <v/>
      </c>
      <c r="C29" s="6">
        <f>C23+SUM(C24:C28)</f>
        <v/>
      </c>
      <c r="D29" s="6">
        <f>D23+SUM(D24:D28)</f>
        <v/>
      </c>
      <c r="E29" s="6">
        <f>E23+SUM(E24:E28)</f>
        <v/>
      </c>
      <c r="F29" s="6">
        <f>F23+SUM(F24:F28)</f>
        <v/>
      </c>
      <c r="G29" s="6">
        <f>G23+SUM(G24:G28)</f>
        <v/>
      </c>
      <c r="H29" s="6">
        <f>H23+SUM(H24:H28)</f>
        <v/>
      </c>
      <c r="I29" s="6">
        <f>I23+SUM(I24:I28)</f>
        <v/>
      </c>
      <c r="J29" s="7">
        <f>J23+SUM(J24:J28)</f>
        <v/>
      </c>
      <c r="K29" s="7">
        <f>K23+SUM(K24:K28)</f>
        <v/>
      </c>
      <c r="L29" s="7">
        <f>L23+SUM(L24:L28)</f>
        <v/>
      </c>
      <c r="M29" s="7">
        <f>M23+SUM(M24:M28)</f>
        <v/>
      </c>
      <c r="N29" s="7">
        <f>N23+SUM(N24:N28)</f>
        <v/>
      </c>
      <c r="O29" s="7">
        <f>O23+SUM(O24:O28)</f>
        <v/>
      </c>
    </row>
    <row r="30">
      <c r="A30" s="3" t="inlineStr">
        <is>
          <t>Convertible Preferred Stock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5" t="n"/>
      <c r="K30" s="5" t="n"/>
      <c r="L30" s="5" t="n"/>
      <c r="M30" s="5" t="n"/>
      <c r="N30" s="5" t="n"/>
      <c r="O30" s="5" t="n"/>
    </row>
    <row r="31">
      <c r="A31" s="3" t="inlineStr">
        <is>
          <t>Common Stock and Additional Paid-in Capital</t>
        </is>
      </c>
      <c r="B31" s="4" t="n">
        <v>45049</v>
      </c>
      <c r="C31" s="4" t="n">
        <v>50552</v>
      </c>
      <c r="D31" s="4" t="n">
        <v>58510</v>
      </c>
      <c r="E31" s="4" t="n">
        <v>61774</v>
      </c>
      <c r="F31" s="4" t="n">
        <v>68184</v>
      </c>
      <c r="G31" s="4" t="n">
        <v>76534</v>
      </c>
      <c r="H31" s="4" t="n">
        <v>84800</v>
      </c>
      <c r="I31" s="4" t="n">
        <v>93126</v>
      </c>
      <c r="J31" s="5" t="n"/>
      <c r="K31" s="5" t="n"/>
      <c r="L31" s="5" t="n"/>
      <c r="M31" s="5" t="n"/>
      <c r="N31" s="5" t="n"/>
      <c r="O31" s="5" t="n"/>
    </row>
    <row r="32">
      <c r="A32" s="3" t="inlineStr">
        <is>
          <t>Accumulated Other Comprehensive Income (Loss)</t>
        </is>
      </c>
      <c r="B32" s="4" t="n">
        <v>-2306</v>
      </c>
      <c r="C32" s="4" t="n">
        <v>-1232</v>
      </c>
      <c r="D32" s="4" t="n">
        <v>633</v>
      </c>
      <c r="E32" s="4" t="n">
        <v>-1623</v>
      </c>
      <c r="F32" s="4" t="n">
        <v>-7603</v>
      </c>
      <c r="G32" s="4" t="n">
        <v>-4402</v>
      </c>
      <c r="H32" s="4" t="n">
        <v>-4800</v>
      </c>
      <c r="I32" s="4" t="n">
        <v>-1916</v>
      </c>
      <c r="J32" s="5" t="n"/>
      <c r="K32" s="5" t="n"/>
      <c r="L32" s="5" t="n"/>
      <c r="M32" s="5" t="n"/>
      <c r="N32" s="5" t="n"/>
      <c r="O32" s="5" t="n"/>
    </row>
    <row r="33">
      <c r="A33" s="3" t="inlineStr">
        <is>
          <t>Retained Earnings (Accumulated Deficit)</t>
        </is>
      </c>
      <c r="B33" s="4" t="n">
        <v>134885</v>
      </c>
      <c r="C33" s="4" t="n">
        <v>152122</v>
      </c>
      <c r="D33" s="4" t="n">
        <v>163401</v>
      </c>
      <c r="E33" s="4" t="n">
        <v>191484</v>
      </c>
      <c r="F33" s="4" t="n">
        <v>195563</v>
      </c>
      <c r="G33" s="4" t="n">
        <v>211247</v>
      </c>
      <c r="H33" s="4" t="n">
        <v>245084</v>
      </c>
      <c r="I33" s="4" t="n">
        <v>324055</v>
      </c>
      <c r="J33" s="5" t="n"/>
      <c r="K33" s="5" t="n"/>
      <c r="L33" s="5" t="n"/>
      <c r="M33" s="5" t="n"/>
      <c r="N33" s="5" t="n"/>
      <c r="O33" s="5" t="n"/>
    </row>
    <row r="34">
      <c r="A34" s="3" t="inlineStr">
        <is>
          <t>Total Stockholders' Equity</t>
        </is>
      </c>
      <c r="B34" s="6">
        <f>SUM(B30:B33)</f>
        <v/>
      </c>
      <c r="C34" s="6">
        <f>SUM(C30:C33)</f>
        <v/>
      </c>
      <c r="D34" s="6">
        <f>SUM(D30:D33)</f>
        <v/>
      </c>
      <c r="E34" s="6">
        <f>SUM(E30:E33)</f>
        <v/>
      </c>
      <c r="F34" s="6">
        <f>SUM(F30:F33)</f>
        <v/>
      </c>
      <c r="G34" s="6">
        <f>SUM(G30:G33)</f>
        <v/>
      </c>
      <c r="H34" s="6">
        <f>SUM(H30:H33)</f>
        <v/>
      </c>
      <c r="I34" s="6">
        <f>SUM(I30:I33)</f>
        <v/>
      </c>
      <c r="J34" s="7">
        <f>SUM(J30:J33)</f>
        <v/>
      </c>
      <c r="K34" s="7">
        <f>SUM(K30:K33)</f>
        <v/>
      </c>
      <c r="L34" s="7">
        <f>SUM(L30:L33)</f>
        <v/>
      </c>
      <c r="M34" s="7">
        <f>SUM(M30:M33)</f>
        <v/>
      </c>
      <c r="N34" s="7">
        <f>SUM(N30:N33)</f>
        <v/>
      </c>
      <c r="O34" s="7">
        <f>SUM(O30:O33)</f>
        <v/>
      </c>
    </row>
    <row r="35">
      <c r="A35" s="3" t="inlineStr">
        <is>
          <t>Total Liabilities, Mezzanine &amp; Stockholders' Equity</t>
        </is>
      </c>
      <c r="B35" s="6">
        <f>B29+B34</f>
        <v/>
      </c>
      <c r="C35" s="6">
        <f>C29+C34</f>
        <v/>
      </c>
      <c r="D35" s="6">
        <f>D29+D34</f>
        <v/>
      </c>
      <c r="E35" s="6">
        <f>E29+E34</f>
        <v/>
      </c>
      <c r="F35" s="6">
        <f>F29+F34</f>
        <v/>
      </c>
      <c r="G35" s="6">
        <f>G29+G34</f>
        <v/>
      </c>
      <c r="H35" s="6">
        <f>H29+H34</f>
        <v/>
      </c>
      <c r="I35" s="6">
        <f>I29+I34</f>
        <v/>
      </c>
      <c r="J35" s="7">
        <f>J29+J34</f>
        <v/>
      </c>
      <c r="K35" s="7">
        <f>K29+K34</f>
        <v/>
      </c>
      <c r="L35" s="7">
        <f>L29+L34</f>
        <v/>
      </c>
      <c r="M35" s="7">
        <f>M29+M34</f>
        <v/>
      </c>
      <c r="N35" s="7">
        <f>N29+N34</f>
        <v/>
      </c>
      <c r="O35" s="7">
        <f>O29+O34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FY2017</t>
        </is>
      </c>
      <c r="C1" s="2" t="inlineStr">
        <is>
          <t>FY2018</t>
        </is>
      </c>
      <c r="D1" s="2" t="inlineStr">
        <is>
          <t>FY2019</t>
        </is>
      </c>
      <c r="E1" s="2" t="inlineStr">
        <is>
          <t>FY2020</t>
        </is>
      </c>
      <c r="F1" s="2" t="inlineStr">
        <is>
          <t>FY2021</t>
        </is>
      </c>
      <c r="G1" s="2" t="inlineStr">
        <is>
          <t>FY2022</t>
        </is>
      </c>
      <c r="H1" s="2" t="inlineStr">
        <is>
          <t>FY2023</t>
        </is>
      </c>
      <c r="I1" s="2" t="inlineStr">
        <is>
          <t>FY2024</t>
        </is>
      </c>
      <c r="J1" s="2" t="inlineStr">
        <is>
          <t>FY2025</t>
        </is>
      </c>
      <c r="K1" s="2" t="inlineStr">
        <is>
          <t>FY2026E</t>
        </is>
      </c>
      <c r="L1" s="2" t="inlineStr">
        <is>
          <t>FY2027E</t>
        </is>
      </c>
      <c r="M1" s="2" t="inlineStr">
        <is>
          <t>FY2028E</t>
        </is>
      </c>
      <c r="N1" s="2" t="inlineStr">
        <is>
          <t>FY2029E</t>
        </is>
      </c>
      <c r="O1" s="2" t="inlineStr">
        <is>
          <t>FY2030E</t>
        </is>
      </c>
      <c r="P1" s="2" t="inlineStr">
        <is>
          <t>FY2031E</t>
        </is>
      </c>
    </row>
    <row r="2">
      <c r="A2" s="3" t="inlineStr">
        <is>
          <t>Net Income (Loss)</t>
        </is>
      </c>
      <c r="B2" s="4" t="n">
        <v>12662</v>
      </c>
      <c r="C2" s="4" t="n">
        <v>30736</v>
      </c>
      <c r="D2" s="4" t="n">
        <v>34343</v>
      </c>
      <c r="E2" s="4" t="n">
        <v>40269</v>
      </c>
      <c r="F2" s="4" t="n">
        <v>76033</v>
      </c>
      <c r="G2" s="4" t="n">
        <v>59972</v>
      </c>
      <c r="H2" s="4" t="n">
        <v>73795</v>
      </c>
      <c r="I2" s="4" t="n">
        <v>100118</v>
      </c>
      <c r="J2" s="4" t="n">
        <v>132170</v>
      </c>
      <c r="K2" s="5" t="n"/>
      <c r="L2" s="5" t="n"/>
      <c r="M2" s="5" t="n"/>
      <c r="N2" s="5" t="n"/>
      <c r="O2" s="5" t="n"/>
      <c r="P2" s="5" t="n"/>
    </row>
    <row r="3">
      <c r="A3" s="3" t="inlineStr">
        <is>
          <t>Depreciation and Impairment of PP&amp;E</t>
        </is>
      </c>
      <c r="B3" s="4" t="n">
        <v>6103</v>
      </c>
      <c r="C3" s="4" t="n">
        <v>8164</v>
      </c>
      <c r="D3" s="4" t="n">
        <v>10856</v>
      </c>
      <c r="E3" s="4" t="n">
        <v>12905</v>
      </c>
      <c r="F3" s="4" t="n">
        <v>11555</v>
      </c>
      <c r="G3" s="4" t="n">
        <v>15287</v>
      </c>
      <c r="H3" s="4" t="n">
        <v>0</v>
      </c>
      <c r="I3" s="4" t="n">
        <v>0</v>
      </c>
      <c r="J3" s="4" t="n">
        <v>0</v>
      </c>
      <c r="K3" s="5" t="n"/>
      <c r="L3" s="5" t="n"/>
      <c r="M3" s="5" t="n"/>
      <c r="N3" s="5" t="n"/>
      <c r="O3" s="5" t="n"/>
      <c r="P3" s="5" t="n"/>
    </row>
    <row r="4">
      <c r="A4" s="3" t="inlineStr">
        <is>
          <t>Amortization and Impairment of Intangibles</t>
        </is>
      </c>
      <c r="B4" s="4" t="n">
        <v>812</v>
      </c>
      <c r="C4" s="4" t="n">
        <v>871</v>
      </c>
      <c r="D4" s="4" t="n">
        <v>925</v>
      </c>
      <c r="E4" s="4" t="n">
        <v>792</v>
      </c>
      <c r="F4" s="4" t="n">
        <v>886</v>
      </c>
      <c r="G4" s="4" t="n">
        <v>641</v>
      </c>
      <c r="H4" s="4" t="n">
        <v>0</v>
      </c>
      <c r="I4" s="4" t="n">
        <v>0</v>
      </c>
      <c r="J4" s="4" t="n">
        <v>0</v>
      </c>
      <c r="K4" s="5" t="n"/>
      <c r="L4" s="5" t="n"/>
      <c r="M4" s="5" t="n"/>
      <c r="N4" s="5" t="n"/>
      <c r="O4" s="5" t="n"/>
      <c r="P4" s="5" t="n"/>
    </row>
    <row r="5">
      <c r="A5" s="3" t="inlineStr">
        <is>
          <t>Depreciation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11946</v>
      </c>
      <c r="I5" s="4" t="n">
        <v>15311</v>
      </c>
      <c r="J5" s="4" t="n">
        <v>21136</v>
      </c>
      <c r="K5" s="5" t="n"/>
      <c r="L5" s="5" t="n"/>
      <c r="M5" s="5" t="n"/>
      <c r="N5" s="5" t="n"/>
      <c r="O5" s="5" t="n"/>
      <c r="P5" s="5" t="n"/>
    </row>
    <row r="6">
      <c r="A6" s="3" t="inlineStr">
        <is>
          <t>Stock-Based Compensation</t>
        </is>
      </c>
      <c r="B6" s="4" t="n">
        <v>7679</v>
      </c>
      <c r="C6" s="4" t="n">
        <v>9353</v>
      </c>
      <c r="D6" s="4" t="n">
        <v>10794</v>
      </c>
      <c r="E6" s="4" t="n">
        <v>12991</v>
      </c>
      <c r="F6" s="4" t="n">
        <v>15376</v>
      </c>
      <c r="G6" s="4" t="n">
        <v>19362</v>
      </c>
      <c r="H6" s="4" t="n">
        <v>22460</v>
      </c>
      <c r="I6" s="4" t="n">
        <v>22785</v>
      </c>
      <c r="J6" s="4" t="n">
        <v>24953</v>
      </c>
      <c r="K6" s="5" t="n"/>
      <c r="L6" s="5" t="n"/>
      <c r="M6" s="5" t="n"/>
      <c r="N6" s="5" t="n"/>
      <c r="O6" s="5" t="n"/>
      <c r="P6" s="5" t="n"/>
    </row>
    <row r="7">
      <c r="A7" s="3" t="inlineStr">
        <is>
          <t>(Benefit) Provision for Deferred Income Taxes</t>
        </is>
      </c>
      <c r="B7" s="4" t="n">
        <v>258</v>
      </c>
      <c r="C7" s="4" t="n">
        <v>778</v>
      </c>
      <c r="D7" s="4" t="n">
        <v>173</v>
      </c>
      <c r="E7" s="4" t="n">
        <v>1390</v>
      </c>
      <c r="F7" s="4" t="n">
        <v>1808</v>
      </c>
      <c r="G7" s="4" t="n">
        <v>-8081</v>
      </c>
      <c r="H7" s="4" t="n">
        <v>-7763</v>
      </c>
      <c r="I7" s="4" t="n">
        <v>-5257</v>
      </c>
      <c r="J7" s="4" t="n">
        <v>8348</v>
      </c>
      <c r="K7" s="5" t="n"/>
      <c r="L7" s="5" t="n"/>
      <c r="M7" s="5" t="n"/>
      <c r="N7" s="5" t="n"/>
      <c r="O7" s="5" t="n"/>
      <c r="P7" s="5" t="n"/>
    </row>
    <row r="8">
      <c r="A8" s="3" t="inlineStr">
        <is>
          <t>Loss (Gain) on Equity and Debt Securities, Net</t>
        </is>
      </c>
      <c r="B8" s="4" t="n">
        <v>37</v>
      </c>
      <c r="C8" s="4" t="n">
        <v>-6650</v>
      </c>
      <c r="D8" s="4" t="n">
        <v>-2798</v>
      </c>
      <c r="E8" s="4" t="n">
        <v>-6317</v>
      </c>
      <c r="F8" s="4" t="n">
        <v>-12270</v>
      </c>
      <c r="G8" s="4" t="n">
        <v>5519</v>
      </c>
      <c r="H8" s="4" t="n">
        <v>823</v>
      </c>
      <c r="I8" s="4" t="n">
        <v>-2671</v>
      </c>
      <c r="J8" s="4" t="n">
        <v>-24620</v>
      </c>
      <c r="K8" s="5" t="n"/>
      <c r="L8" s="5" t="n"/>
      <c r="M8" s="5" t="n"/>
      <c r="N8" s="5" t="n"/>
      <c r="O8" s="5" t="n"/>
      <c r="P8" s="5" t="n"/>
    </row>
    <row r="9">
      <c r="A9" s="3" t="inlineStr">
        <is>
          <t>Other Operating Items</t>
        </is>
      </c>
      <c r="B9" s="4" t="n">
        <v>-1870</v>
      </c>
      <c r="C9" s="4" t="n">
        <v>-1396</v>
      </c>
      <c r="D9" s="4" t="n">
        <v>-1213</v>
      </c>
      <c r="E9" s="4" t="n">
        <v>-63</v>
      </c>
      <c r="F9" s="4" t="n">
        <v>-2059</v>
      </c>
      <c r="G9" s="4" t="n">
        <v>-4016</v>
      </c>
      <c r="H9" s="4" t="n">
        <v>2187</v>
      </c>
      <c r="I9" s="4" t="n">
        <v>2022</v>
      </c>
      <c r="J9" s="4" t="n">
        <v>-2434</v>
      </c>
      <c r="K9" s="5" t="n"/>
      <c r="L9" s="5" t="n"/>
      <c r="M9" s="5" t="n"/>
      <c r="N9" s="5" t="n"/>
      <c r="O9" s="5" t="n"/>
      <c r="P9" s="5" t="n"/>
    </row>
    <row r="10">
      <c r="A10" s="3" t="inlineStr">
        <is>
          <t>Accounts Receivable</t>
        </is>
      </c>
      <c r="B10" s="4" t="n">
        <v>-3768</v>
      </c>
      <c r="C10" s="4" t="n">
        <v>-2169</v>
      </c>
      <c r="D10" s="4" t="n">
        <v>-4340</v>
      </c>
      <c r="E10" s="4" t="n">
        <v>-6524</v>
      </c>
      <c r="F10" s="4" t="n">
        <v>-9095</v>
      </c>
      <c r="G10" s="4" t="n">
        <v>-2317</v>
      </c>
      <c r="H10" s="4" t="n">
        <v>-7833</v>
      </c>
      <c r="I10" s="4" t="n">
        <v>-5891</v>
      </c>
      <c r="J10" s="4" t="n">
        <v>-8779</v>
      </c>
      <c r="K10" s="5" t="n"/>
      <c r="L10" s="5" t="n"/>
      <c r="M10" s="5" t="n"/>
      <c r="N10" s="5" t="n"/>
      <c r="O10" s="5" t="n"/>
      <c r="P10" s="5" t="n"/>
    </row>
    <row r="11">
      <c r="A11" s="3" t="inlineStr">
        <is>
          <t>Change in Income Taxes</t>
        </is>
      </c>
      <c r="B11" s="4" t="n">
        <v>8211</v>
      </c>
      <c r="C11" s="4" t="n">
        <v>-2251</v>
      </c>
      <c r="D11" s="4" t="n">
        <v>-3128</v>
      </c>
      <c r="E11" s="4" t="n">
        <v>1209</v>
      </c>
      <c r="F11" s="4" t="n">
        <v>-625</v>
      </c>
      <c r="G11" s="4" t="n">
        <v>584</v>
      </c>
      <c r="H11" s="4" t="n">
        <v>523</v>
      </c>
      <c r="I11" s="4" t="n">
        <v>-2418</v>
      </c>
      <c r="J11" s="4" t="n">
        <v>-3226</v>
      </c>
      <c r="K11" s="5" t="n"/>
      <c r="L11" s="5" t="n"/>
      <c r="M11" s="5" t="n"/>
      <c r="N11" s="5" t="n"/>
      <c r="O11" s="5" t="n"/>
      <c r="P11" s="5" t="n"/>
    </row>
    <row r="12">
      <c r="A12" s="3" t="inlineStr">
        <is>
          <t>Accounts Payable</t>
        </is>
      </c>
      <c r="B12" s="4" t="n">
        <v>731</v>
      </c>
      <c r="C12" s="4" t="n">
        <v>1067</v>
      </c>
      <c r="D12" s="4" t="n">
        <v>428</v>
      </c>
      <c r="E12" s="4" t="n">
        <v>694</v>
      </c>
      <c r="F12" s="4" t="n">
        <v>283</v>
      </c>
      <c r="G12" s="4" t="n">
        <v>707</v>
      </c>
      <c r="H12" s="4" t="n">
        <v>664</v>
      </c>
      <c r="I12" s="4" t="n">
        <v>359</v>
      </c>
      <c r="J12" s="4" t="n">
        <v>907</v>
      </c>
      <c r="K12" s="5" t="n"/>
      <c r="L12" s="5" t="n"/>
      <c r="M12" s="5" t="n"/>
      <c r="N12" s="5" t="n"/>
      <c r="O12" s="5" t="n"/>
      <c r="P12" s="5" t="n"/>
    </row>
    <row r="13">
      <c r="A13" s="3" t="inlineStr">
        <is>
          <t>Accrued Expenses</t>
        </is>
      </c>
      <c r="B13" s="4" t="n">
        <v>4891</v>
      </c>
      <c r="C13" s="4" t="n">
        <v>8614</v>
      </c>
      <c r="D13" s="4" t="n">
        <v>7170</v>
      </c>
      <c r="E13" s="4" t="n">
        <v>5504</v>
      </c>
      <c r="F13" s="4" t="n">
        <v>7304</v>
      </c>
      <c r="G13" s="4" t="n">
        <v>3915</v>
      </c>
      <c r="H13" s="4" t="n">
        <v>3937</v>
      </c>
      <c r="I13" s="4" t="n">
        <v>-1161</v>
      </c>
      <c r="J13" s="4" t="n">
        <v>12939</v>
      </c>
      <c r="K13" s="5" t="n"/>
      <c r="L13" s="5" t="n"/>
      <c r="M13" s="5" t="n"/>
      <c r="N13" s="5" t="n"/>
      <c r="O13" s="5" t="n"/>
      <c r="P13" s="5" t="n"/>
    </row>
    <row r="14">
      <c r="A14" s="3" t="inlineStr">
        <is>
          <t>Accrued Revenue Share</t>
        </is>
      </c>
      <c r="B14" s="4" t="n">
        <v>955</v>
      </c>
      <c r="C14" s="4" t="n">
        <v>483</v>
      </c>
      <c r="D14" s="4" t="n">
        <v>1273</v>
      </c>
      <c r="E14" s="4" t="n">
        <v>1639</v>
      </c>
      <c r="F14" s="4" t="n">
        <v>1682</v>
      </c>
      <c r="G14" s="4" t="n">
        <v>-445</v>
      </c>
      <c r="H14" s="4" t="n">
        <v>482</v>
      </c>
      <c r="I14" s="4" t="n">
        <v>1059</v>
      </c>
      <c r="J14" s="4" t="n">
        <v>899</v>
      </c>
      <c r="K14" s="5" t="n"/>
      <c r="L14" s="5" t="n"/>
      <c r="M14" s="5" t="n"/>
      <c r="N14" s="5" t="n"/>
      <c r="O14" s="5" t="n"/>
      <c r="P14" s="5" t="n"/>
    </row>
    <row r="15">
      <c r="A15" s="3" t="inlineStr">
        <is>
          <t>Deferred Revenue</t>
        </is>
      </c>
      <c r="B15" s="4" t="n">
        <v>390</v>
      </c>
      <c r="C15" s="4" t="n">
        <v>371</v>
      </c>
      <c r="D15" s="4" t="n">
        <v>37</v>
      </c>
      <c r="E15" s="4" t="n">
        <v>635</v>
      </c>
      <c r="F15" s="4" t="n">
        <v>774</v>
      </c>
      <c r="G15" s="4" t="n">
        <v>367</v>
      </c>
      <c r="H15" s="4" t="n">
        <v>525</v>
      </c>
      <c r="I15" s="4" t="n">
        <v>1043</v>
      </c>
      <c r="J15" s="4" t="n">
        <v>2420</v>
      </c>
      <c r="K15" s="5" t="n"/>
      <c r="L15" s="5" t="n"/>
      <c r="M15" s="5" t="n"/>
      <c r="N15" s="5" t="n"/>
      <c r="O15" s="5" t="n"/>
      <c r="P15" s="5" t="n"/>
    </row>
    <row r="16">
      <c r="A16" s="3" t="inlineStr">
        <is>
          <t>Cash Flow from Operations</t>
        </is>
      </c>
      <c r="B16" s="6">
        <f>SUM(B2:B15)</f>
        <v/>
      </c>
      <c r="C16" s="6">
        <f>SUM(C2:C15)</f>
        <v/>
      </c>
      <c r="D16" s="6">
        <f>SUM(D2:D15)</f>
        <v/>
      </c>
      <c r="E16" s="6">
        <f>SUM(E2:E15)</f>
        <v/>
      </c>
      <c r="F16" s="6">
        <f>SUM(F2:F15)</f>
        <v/>
      </c>
      <c r="G16" s="6">
        <f>SUM(G2:G15)</f>
        <v/>
      </c>
      <c r="H16" s="6">
        <f>SUM(H2:H15)</f>
        <v/>
      </c>
      <c r="I16" s="6">
        <f>SUM(I2:I15)</f>
        <v/>
      </c>
      <c r="J16" s="6">
        <f>SUM(J2:J15)</f>
        <v/>
      </c>
      <c r="K16" s="7">
        <f>SUM(K2:K15)</f>
        <v/>
      </c>
      <c r="L16" s="7">
        <f>SUM(L2:L15)</f>
        <v/>
      </c>
      <c r="M16" s="7">
        <f>SUM(M2:M15)</f>
        <v/>
      </c>
      <c r="N16" s="7">
        <f>SUM(N2:N15)</f>
        <v/>
      </c>
      <c r="O16" s="7">
        <f>SUM(O2:O15)</f>
        <v/>
      </c>
      <c r="P16" s="7">
        <f>SUM(P2:P15)</f>
        <v/>
      </c>
    </row>
    <row r="17">
      <c r="A17" s="3" t="inlineStr">
        <is>
          <t>Purchase of PP&amp;E</t>
        </is>
      </c>
      <c r="B17" s="4" t="n">
        <v>-13184</v>
      </c>
      <c r="C17" s="4" t="n">
        <v>-25139</v>
      </c>
      <c r="D17" s="4" t="n">
        <v>-23548</v>
      </c>
      <c r="E17" s="4" t="n">
        <v>-22281</v>
      </c>
      <c r="F17" s="4" t="n">
        <v>-24640</v>
      </c>
      <c r="G17" s="4" t="n">
        <v>-31485</v>
      </c>
      <c r="H17" s="4" t="n">
        <v>-32251</v>
      </c>
      <c r="I17" s="4" t="n">
        <v>-52535</v>
      </c>
      <c r="J17" s="4" t="n">
        <v>-91447</v>
      </c>
      <c r="K17" s="5" t="n"/>
      <c r="L17" s="5" t="n"/>
      <c r="M17" s="5" t="n"/>
      <c r="N17" s="5" t="n"/>
      <c r="O17" s="5" t="n"/>
      <c r="P17" s="5" t="n"/>
    </row>
    <row r="18">
      <c r="A18" s="3" t="inlineStr">
        <is>
          <t>Net Change in Short-Term Investments</t>
        </is>
      </c>
      <c r="B18" s="4" t="n">
        <v>-18236</v>
      </c>
      <c r="C18" s="4" t="n">
        <v>-1651</v>
      </c>
      <c r="D18" s="4" t="n">
        <v>-2490</v>
      </c>
      <c r="E18" s="4" t="n">
        <v>-3670</v>
      </c>
      <c r="F18" s="4" t="n">
        <v>-6902</v>
      </c>
      <c r="G18" s="4" t="n">
        <v>18948</v>
      </c>
      <c r="H18" s="4" t="n">
        <v>8814</v>
      </c>
      <c r="I18" s="4" t="n">
        <v>16749</v>
      </c>
      <c r="J18" s="4" t="n">
        <v>-20533</v>
      </c>
      <c r="K18" s="5" t="n"/>
      <c r="L18" s="5" t="n"/>
      <c r="M18" s="5" t="n"/>
      <c r="N18" s="5" t="n"/>
      <c r="O18" s="5" t="n"/>
      <c r="P18" s="5" t="n"/>
    </row>
    <row r="19">
      <c r="A19" s="3" t="inlineStr">
        <is>
          <t>Net Change in Long-Term Investments</t>
        </is>
      </c>
      <c r="B19" s="4" t="n">
        <v>-1212</v>
      </c>
      <c r="C19" s="4" t="n">
        <v>-321</v>
      </c>
      <c r="D19" s="4" t="n">
        <v>-1527</v>
      </c>
      <c r="E19" s="4" t="n">
        <v>-6152</v>
      </c>
      <c r="F19" s="4" t="n">
        <v>-1904</v>
      </c>
      <c r="G19" s="4" t="n">
        <v>-2381</v>
      </c>
      <c r="H19" s="4" t="n">
        <v>-2080</v>
      </c>
      <c r="I19" s="4" t="n">
        <v>-4152</v>
      </c>
      <c r="J19" s="4" t="n">
        <v>-4349</v>
      </c>
      <c r="K19" s="5" t="n"/>
      <c r="L19" s="5" t="n"/>
      <c r="M19" s="5" t="n"/>
      <c r="N19" s="5" t="n"/>
      <c r="O19" s="5" t="n"/>
      <c r="P19" s="5" t="n"/>
    </row>
    <row r="20">
      <c r="A20" s="3" t="inlineStr">
        <is>
          <t>Acquisitions, Net of Cash Acquired</t>
        </is>
      </c>
      <c r="B20" s="4" t="n">
        <v>-287</v>
      </c>
      <c r="C20" s="4" t="n">
        <v>-1491</v>
      </c>
      <c r="D20" s="4" t="n">
        <v>-2515</v>
      </c>
      <c r="E20" s="4" t="n">
        <v>-738</v>
      </c>
      <c r="F20" s="4" t="n">
        <v>-2618</v>
      </c>
      <c r="G20" s="4" t="n">
        <v>-6969</v>
      </c>
      <c r="H20" s="4" t="n">
        <v>-495</v>
      </c>
      <c r="I20" s="4" t="n">
        <v>-2931</v>
      </c>
      <c r="J20" s="4" t="n">
        <v>-1592</v>
      </c>
      <c r="K20" s="5" t="n"/>
      <c r="L20" s="5" t="n"/>
      <c r="M20" s="5" t="n"/>
      <c r="N20" s="5" t="n"/>
      <c r="O20" s="5" t="n"/>
      <c r="P20" s="5" t="n"/>
    </row>
    <row r="21">
      <c r="A21" s="3" t="inlineStr">
        <is>
          <t>Collections from Note Receivable</t>
        </is>
      </c>
      <c r="B21" s="4" t="n">
        <v>1419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/>
      <c r="L21" s="5" t="n"/>
      <c r="M21" s="5" t="n"/>
      <c r="N21" s="5" t="n"/>
      <c r="O21" s="5" t="n"/>
      <c r="P21" s="5" t="n"/>
    </row>
    <row r="22">
      <c r="A22" s="3" t="inlineStr">
        <is>
          <t>Other Investing Activities</t>
        </is>
      </c>
      <c r="B22" s="4" t="n">
        <v>99</v>
      </c>
      <c r="C22" s="4" t="n">
        <v>98</v>
      </c>
      <c r="D22" s="4" t="n">
        <v>589</v>
      </c>
      <c r="E22" s="4" t="n">
        <v>68</v>
      </c>
      <c r="F22" s="4" t="n">
        <v>541</v>
      </c>
      <c r="G22" s="4" t="n">
        <v>1589</v>
      </c>
      <c r="H22" s="4" t="n">
        <v>-1051</v>
      </c>
      <c r="I22" s="4" t="n">
        <v>-2667</v>
      </c>
      <c r="J22" s="4" t="n">
        <v>-2370</v>
      </c>
      <c r="K22" s="5" t="n"/>
      <c r="L22" s="5" t="n"/>
      <c r="M22" s="5" t="n"/>
      <c r="N22" s="5" t="n"/>
      <c r="O22" s="5" t="n"/>
      <c r="P22" s="5" t="n"/>
    </row>
    <row r="23">
      <c r="A23" s="3" t="inlineStr">
        <is>
          <t>Cash Flow from Investing</t>
        </is>
      </c>
      <c r="B23" s="6">
        <f>SUM(B17:B22)</f>
        <v/>
      </c>
      <c r="C23" s="6">
        <f>SUM(C17:C22)</f>
        <v/>
      </c>
      <c r="D23" s="6">
        <f>SUM(D17:D22)</f>
        <v/>
      </c>
      <c r="E23" s="6">
        <f>SUM(E17:E22)</f>
        <v/>
      </c>
      <c r="F23" s="6">
        <f>SUM(F17:F22)</f>
        <v/>
      </c>
      <c r="G23" s="6">
        <f>SUM(G17:G22)</f>
        <v/>
      </c>
      <c r="H23" s="6">
        <f>SUM(H17:H22)</f>
        <v/>
      </c>
      <c r="I23" s="6">
        <f>SUM(I17:I22)</f>
        <v/>
      </c>
      <c r="J23" s="6">
        <f>SUM(J17:J22)</f>
        <v/>
      </c>
      <c r="K23" s="7">
        <f>SUM(K17:K22)</f>
        <v/>
      </c>
      <c r="L23" s="7">
        <f>SUM(L17:L22)</f>
        <v/>
      </c>
      <c r="M23" s="7">
        <f>SUM(M17:M22)</f>
        <v/>
      </c>
      <c r="N23" s="7">
        <f>SUM(N17:N22)</f>
        <v/>
      </c>
      <c r="O23" s="7">
        <f>SUM(O17:O22)</f>
        <v/>
      </c>
      <c r="P23" s="7">
        <f>SUM(P17:P22)</f>
        <v/>
      </c>
    </row>
    <row r="24">
      <c r="A24" s="3" t="inlineStr">
        <is>
          <t>Stock-Based Award Activities, Net</t>
        </is>
      </c>
      <c r="B24" s="4" t="n">
        <v>-4166</v>
      </c>
      <c r="C24" s="4" t="n">
        <v>-4993</v>
      </c>
      <c r="D24" s="4" t="n">
        <v>-4765</v>
      </c>
      <c r="E24" s="4" t="n">
        <v>-5720</v>
      </c>
      <c r="F24" s="4" t="n">
        <v>-10162</v>
      </c>
      <c r="G24" s="4" t="n">
        <v>-9300</v>
      </c>
      <c r="H24" s="4" t="n">
        <v>-9837</v>
      </c>
      <c r="I24" s="4" t="n">
        <v>-12190</v>
      </c>
      <c r="J24" s="4" t="n">
        <v>-14167</v>
      </c>
      <c r="K24" s="5" t="n"/>
      <c r="L24" s="5" t="n"/>
      <c r="M24" s="5" t="n"/>
      <c r="N24" s="5" t="n"/>
      <c r="O24" s="5" t="n"/>
      <c r="P24" s="5" t="n"/>
    </row>
    <row r="25">
      <c r="A25" s="3" t="inlineStr">
        <is>
          <t>Share Repurchases</t>
        </is>
      </c>
      <c r="B25" s="4" t="n">
        <v>-4846</v>
      </c>
      <c r="C25" s="4" t="n">
        <v>-9075</v>
      </c>
      <c r="D25" s="4" t="n">
        <v>-18396</v>
      </c>
      <c r="E25" s="4" t="n">
        <v>-31149</v>
      </c>
      <c r="F25" s="4" t="n">
        <v>-50274</v>
      </c>
      <c r="G25" s="4" t="n">
        <v>-59296</v>
      </c>
      <c r="H25" s="4" t="n">
        <v>-61504</v>
      </c>
      <c r="I25" s="4" t="n">
        <v>-62222</v>
      </c>
      <c r="J25" s="4" t="n">
        <v>-45709</v>
      </c>
      <c r="K25" s="5" t="n"/>
      <c r="L25" s="5" t="n"/>
      <c r="M25" s="5" t="n"/>
      <c r="N25" s="5" t="n"/>
      <c r="O25" s="5" t="n"/>
      <c r="P25" s="5" t="n"/>
    </row>
    <row r="26">
      <c r="A26" s="3" t="inlineStr">
        <is>
          <t>Common Dividends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-7363</v>
      </c>
      <c r="J26" s="4" t="n">
        <v>-10049</v>
      </c>
      <c r="K26" s="5" t="n"/>
      <c r="L26" s="5" t="n"/>
      <c r="M26" s="5" t="n"/>
      <c r="N26" s="5" t="n"/>
      <c r="O26" s="5" t="n"/>
      <c r="P26" s="5" t="n"/>
    </row>
    <row r="27">
      <c r="A27" s="3" t="inlineStr">
        <is>
          <t>Proceeds from Issuance of Long-Term Debt</t>
        </is>
      </c>
      <c r="B27" s="4" t="n">
        <v>4291</v>
      </c>
      <c r="C27" s="4" t="n">
        <v>6766</v>
      </c>
      <c r="D27" s="4" t="n">
        <v>317</v>
      </c>
      <c r="E27" s="4" t="n">
        <v>11761</v>
      </c>
      <c r="F27" s="4" t="n">
        <v>20199</v>
      </c>
      <c r="G27" s="4" t="n">
        <v>52872</v>
      </c>
      <c r="H27" s="4" t="n">
        <v>10790</v>
      </c>
      <c r="I27" s="4" t="n">
        <v>13589</v>
      </c>
      <c r="J27" s="4" t="n">
        <v>64564</v>
      </c>
      <c r="K27" s="5" t="n"/>
      <c r="L27" s="5" t="n"/>
      <c r="M27" s="5" t="n"/>
      <c r="N27" s="5" t="n"/>
      <c r="O27" s="5" t="n"/>
      <c r="P27" s="5" t="n"/>
    </row>
    <row r="28">
      <c r="A28" s="3" t="inlineStr">
        <is>
          <t>Net Change in Other Short-Term Debt</t>
        </is>
      </c>
      <c r="B28" s="4" t="n">
        <v>-4377</v>
      </c>
      <c r="C28" s="4" t="n">
        <v>-6827</v>
      </c>
      <c r="D28" s="4" t="n">
        <v>-585</v>
      </c>
      <c r="E28" s="4" t="n">
        <v>-2100</v>
      </c>
      <c r="F28" s="4" t="n">
        <v>-21435</v>
      </c>
      <c r="G28" s="4" t="n">
        <v>-54068</v>
      </c>
      <c r="H28" s="4" t="n">
        <v>-11550</v>
      </c>
      <c r="I28" s="4" t="n">
        <v>-12701</v>
      </c>
      <c r="J28" s="4" t="n">
        <v>-32427</v>
      </c>
      <c r="K28" s="5" t="n"/>
      <c r="L28" s="5" t="n"/>
      <c r="M28" s="5" t="n"/>
      <c r="N28" s="5" t="n"/>
      <c r="O28" s="5" t="n"/>
      <c r="P28" s="5" t="n"/>
    </row>
    <row r="29">
      <c r="A29" s="3" t="inlineStr">
        <is>
          <t>Proceeds from Sale of Interest in Consolidated Entities</t>
        </is>
      </c>
      <c r="B29" s="4" t="n">
        <v>800</v>
      </c>
      <c r="C29" s="4" t="n">
        <v>950</v>
      </c>
      <c r="D29" s="4" t="n">
        <v>220</v>
      </c>
      <c r="E29" s="4" t="n">
        <v>2800</v>
      </c>
      <c r="F29" s="4" t="n">
        <v>310</v>
      </c>
      <c r="G29" s="4" t="n">
        <v>35</v>
      </c>
      <c r="H29" s="4" t="n">
        <v>8</v>
      </c>
      <c r="I29" s="4" t="n">
        <v>1154</v>
      </c>
      <c r="J29" s="4" t="n">
        <v>400</v>
      </c>
      <c r="K29" s="5" t="n"/>
      <c r="L29" s="5" t="n"/>
      <c r="M29" s="5" t="n"/>
      <c r="N29" s="5" t="n"/>
      <c r="O29" s="5" t="n"/>
      <c r="P29" s="5" t="n"/>
    </row>
    <row r="30">
      <c r="A30" s="3" t="inlineStr">
        <is>
          <t>Cash Flow from Financing</t>
        </is>
      </c>
      <c r="B30" s="6">
        <f>SUM(B24:B29)</f>
        <v/>
      </c>
      <c r="C30" s="6">
        <f>SUM(C24:C29)</f>
        <v/>
      </c>
      <c r="D30" s="6">
        <f>SUM(D24:D29)</f>
        <v/>
      </c>
      <c r="E30" s="6">
        <f>SUM(E24:E29)</f>
        <v/>
      </c>
      <c r="F30" s="6">
        <f>SUM(F24:F29)</f>
        <v/>
      </c>
      <c r="G30" s="6">
        <f>SUM(G24:G29)</f>
        <v/>
      </c>
      <c r="H30" s="6">
        <f>SUM(H24:H29)</f>
        <v/>
      </c>
      <c r="I30" s="6">
        <f>SUM(I24:I29)</f>
        <v/>
      </c>
      <c r="J30" s="6">
        <f>SUM(J24:J29)</f>
        <v/>
      </c>
      <c r="K30" s="7">
        <f>SUM(K24:K29)</f>
        <v/>
      </c>
      <c r="L30" s="7">
        <f>SUM(L24:L29)</f>
        <v/>
      </c>
      <c r="M30" s="7">
        <f>SUM(M24:M29)</f>
        <v/>
      </c>
      <c r="N30" s="7">
        <f>SUM(N24:N29)</f>
        <v/>
      </c>
      <c r="O30" s="7">
        <f>SUM(O24:O29)</f>
        <v/>
      </c>
      <c r="P30" s="7">
        <f>SUM(P24:P29)</f>
        <v/>
      </c>
    </row>
    <row r="31">
      <c r="A31" s="3" t="inlineStr">
        <is>
          <t>FX Effect on Cash</t>
        </is>
      </c>
      <c r="B31" s="4" t="n">
        <v>405</v>
      </c>
      <c r="C31" s="4" t="n">
        <v>-302</v>
      </c>
      <c r="D31" s="4" t="n">
        <v>-23</v>
      </c>
      <c r="E31" s="4" t="n">
        <v>24</v>
      </c>
      <c r="F31" s="4" t="n">
        <v>-287</v>
      </c>
      <c r="G31" s="4" t="n">
        <v>-506</v>
      </c>
      <c r="H31" s="4" t="n">
        <v>-421</v>
      </c>
      <c r="I31" s="4" t="n">
        <v>-612</v>
      </c>
      <c r="J31" s="4" t="n">
        <v>208</v>
      </c>
      <c r="K31" s="5" t="n"/>
      <c r="L31" s="5" t="n"/>
      <c r="M31" s="5" t="n"/>
      <c r="N31" s="5" t="n"/>
      <c r="O31" s="5" t="n"/>
      <c r="P31" s="5" t="n"/>
    </row>
    <row r="32">
      <c r="A32" s="3" t="inlineStr">
        <is>
          <t>Net Change in Cash</t>
        </is>
      </c>
      <c r="B32" s="6">
        <f>B16+B23+B30+B31</f>
        <v/>
      </c>
      <c r="C32" s="6">
        <f>C16+C23+C30+C31</f>
        <v/>
      </c>
      <c r="D32" s="6">
        <f>D16+D23+D30+D31</f>
        <v/>
      </c>
      <c r="E32" s="6">
        <f>E16+E23+E30+E31</f>
        <v/>
      </c>
      <c r="F32" s="6">
        <f>F16+F23+F30+F31</f>
        <v/>
      </c>
      <c r="G32" s="6">
        <f>G16+G23+G30+G31</f>
        <v/>
      </c>
      <c r="H32" s="6">
        <f>H16+H23+H30+H31</f>
        <v/>
      </c>
      <c r="I32" s="6">
        <f>I16+I23+I30+I31</f>
        <v/>
      </c>
      <c r="J32" s="6">
        <f>J16+J23+J30+J31</f>
        <v/>
      </c>
      <c r="K32" s="7">
        <f>K16+K23+K30+K31</f>
        <v/>
      </c>
      <c r="L32" s="7">
        <f>L16+L23+L30+L31</f>
        <v/>
      </c>
      <c r="M32" s="7">
        <f>M16+M23+M30+M31</f>
        <v/>
      </c>
      <c r="N32" s="7">
        <f>N16+N23+N30+N31</f>
        <v/>
      </c>
      <c r="O32" s="7">
        <f>O16+O23+O30+O31</f>
        <v/>
      </c>
      <c r="P32" s="7">
        <f>P16+P23+P30+P31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/>
      <c r="B1" s="2" t="inlineStr">
        <is>
          <t>Q1 FY2018</t>
        </is>
      </c>
      <c r="C1" s="2" t="inlineStr">
        <is>
          <t>Q2 FY2018</t>
        </is>
      </c>
      <c r="D1" s="2" t="inlineStr">
        <is>
          <t>Q3 FY2018</t>
        </is>
      </c>
      <c r="E1" s="2" t="inlineStr">
        <is>
          <t>Q1 FY2019</t>
        </is>
      </c>
      <c r="F1" s="2" t="inlineStr">
        <is>
          <t>Q2 FY2019</t>
        </is>
      </c>
      <c r="G1" s="2" t="inlineStr">
        <is>
          <t>Q3 FY2019</t>
        </is>
      </c>
      <c r="H1" s="2" t="inlineStr">
        <is>
          <t>Q1 FY2020</t>
        </is>
      </c>
      <c r="I1" s="2" t="inlineStr">
        <is>
          <t>Q2 FY2020</t>
        </is>
      </c>
      <c r="J1" s="2" t="inlineStr">
        <is>
          <t>Q3 FY2020</t>
        </is>
      </c>
      <c r="K1" s="2" t="inlineStr">
        <is>
          <t>Q1 FY2021</t>
        </is>
      </c>
      <c r="L1" s="2" t="inlineStr">
        <is>
          <t>Q2 FY2021</t>
        </is>
      </c>
      <c r="M1" s="2" t="inlineStr">
        <is>
          <t>Q3 FY2021</t>
        </is>
      </c>
      <c r="N1" s="2" t="inlineStr">
        <is>
          <t>Q1 FY2022</t>
        </is>
      </c>
      <c r="O1" s="2" t="inlineStr">
        <is>
          <t>Q2 FY2022</t>
        </is>
      </c>
      <c r="P1" s="2" t="inlineStr">
        <is>
          <t>Q3 FY2022</t>
        </is>
      </c>
      <c r="Q1" s="2" t="inlineStr">
        <is>
          <t>Q1 FY2023</t>
        </is>
      </c>
      <c r="R1" s="2" t="inlineStr">
        <is>
          <t>Q2 FY2023</t>
        </is>
      </c>
      <c r="S1" s="2" t="inlineStr">
        <is>
          <t>Q3 FY2023</t>
        </is>
      </c>
      <c r="T1" s="2" t="inlineStr">
        <is>
          <t>Q1 FY2024</t>
        </is>
      </c>
      <c r="U1" s="2" t="inlineStr">
        <is>
          <t>Q2 FY2024</t>
        </is>
      </c>
      <c r="V1" s="2" t="inlineStr">
        <is>
          <t>Q3 FY2024</t>
        </is>
      </c>
      <c r="W1" s="2" t="inlineStr">
        <is>
          <t>Q1 FY2025</t>
        </is>
      </c>
      <c r="X1" s="2" t="inlineStr">
        <is>
          <t>Q2 FY2025</t>
        </is>
      </c>
      <c r="Y1" s="2" t="inlineStr">
        <is>
          <t>Q3 FY2025</t>
        </is>
      </c>
    </row>
    <row r="2">
      <c r="A2" s="3" t="inlineStr">
        <is>
          <t>Net Sales / Revenue</t>
        </is>
      </c>
      <c r="B2" s="4" t="n">
        <v>31146</v>
      </c>
      <c r="C2" s="4" t="n">
        <v>63803</v>
      </c>
      <c r="D2" s="4" t="n">
        <v>97543</v>
      </c>
      <c r="E2" s="4" t="n">
        <v>36339</v>
      </c>
      <c r="F2" s="4" t="n">
        <v>75283</v>
      </c>
      <c r="G2" s="4" t="n">
        <v>115782</v>
      </c>
      <c r="H2" s="4" t="n">
        <v>41159</v>
      </c>
      <c r="I2" s="4" t="n">
        <v>79456</v>
      </c>
      <c r="J2" s="4" t="n">
        <v>125629</v>
      </c>
      <c r="K2" s="4" t="n">
        <v>55314</v>
      </c>
      <c r="L2" s="4" t="n">
        <v>117194</v>
      </c>
      <c r="M2" s="4" t="n">
        <v>182312</v>
      </c>
      <c r="N2" s="4" t="n">
        <v>68011</v>
      </c>
      <c r="O2" s="4" t="n">
        <v>137696</v>
      </c>
      <c r="P2" s="4" t="n">
        <v>206788</v>
      </c>
      <c r="Q2" s="4" t="n">
        <v>69787</v>
      </c>
      <c r="R2" s="4" t="n">
        <v>144391</v>
      </c>
      <c r="S2" s="4" t="n">
        <v>221084</v>
      </c>
      <c r="T2" s="4" t="n">
        <v>80539</v>
      </c>
      <c r="U2" s="4" t="n">
        <v>165281</v>
      </c>
      <c r="V2" s="4" t="n">
        <v>253549</v>
      </c>
      <c r="W2" s="4" t="n">
        <v>90234</v>
      </c>
      <c r="X2" s="4" t="n">
        <v>186662</v>
      </c>
      <c r="Y2" s="4" t="n">
        <v>289007</v>
      </c>
    </row>
    <row r="3">
      <c r="A3" s="3" t="inlineStr">
        <is>
          <t>COGS</t>
        </is>
      </c>
      <c r="B3" s="4" t="n">
        <v>-13467</v>
      </c>
      <c r="C3" s="4" t="n">
        <v>-27350</v>
      </c>
      <c r="D3" s="4" t="n">
        <v>-41631</v>
      </c>
      <c r="E3" s="4" t="n">
        <v>-16012</v>
      </c>
      <c r="F3" s="4" t="n">
        <v>-33308</v>
      </c>
      <c r="G3" s="4" t="n">
        <v>-50876</v>
      </c>
      <c r="H3" s="4" t="n">
        <v>-18982</v>
      </c>
      <c r="I3" s="4" t="n">
        <v>-37535</v>
      </c>
      <c r="J3" s="4" t="n">
        <v>-58652</v>
      </c>
      <c r="K3" s="4" t="n">
        <v>-24103</v>
      </c>
      <c r="L3" s="4" t="n">
        <v>-50330</v>
      </c>
      <c r="M3" s="4" t="n">
        <v>-77951</v>
      </c>
      <c r="N3" s="4" t="n">
        <v>-29599</v>
      </c>
      <c r="O3" s="4" t="n">
        <v>-59703</v>
      </c>
      <c r="P3" s="4" t="n">
        <v>-90861</v>
      </c>
      <c r="Q3" s="4" t="n">
        <v>-30612</v>
      </c>
      <c r="R3" s="4" t="n">
        <v>-62528</v>
      </c>
      <c r="S3" s="4" t="n">
        <v>-95757</v>
      </c>
      <c r="T3" s="4" t="n">
        <v>-33712</v>
      </c>
      <c r="U3" s="4" t="n">
        <v>-69219</v>
      </c>
      <c r="V3" s="4" t="n">
        <v>-105693</v>
      </c>
      <c r="W3" s="4" t="n">
        <v>-36361</v>
      </c>
      <c r="X3" s="4" t="n">
        <v>-75400</v>
      </c>
      <c r="Y3" s="4" t="n">
        <v>-116768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  <c r="P4" s="6">
        <f>P2+P3</f>
        <v/>
      </c>
      <c r="Q4" s="6">
        <f>Q2+Q3</f>
        <v/>
      </c>
      <c r="R4" s="6">
        <f>R2+R3</f>
        <v/>
      </c>
      <c r="S4" s="6">
        <f>S2+S3</f>
        <v/>
      </c>
      <c r="T4" s="6">
        <f>T2+T3</f>
        <v/>
      </c>
      <c r="U4" s="6">
        <f>U2+U3</f>
        <v/>
      </c>
      <c r="V4" s="6">
        <f>V2+V3</f>
        <v/>
      </c>
      <c r="W4" s="6">
        <f>W2+W3</f>
        <v/>
      </c>
      <c r="X4" s="6">
        <f>X2+X3</f>
        <v/>
      </c>
      <c r="Y4" s="6">
        <f>Y2+Y3</f>
        <v/>
      </c>
    </row>
    <row r="5">
      <c r="A5" s="3" t="inlineStr">
        <is>
          <t>Research and Development</t>
        </is>
      </c>
      <c r="B5" s="4" t="n">
        <v>-5039</v>
      </c>
      <c r="C5" s="4" t="n">
        <v>-10153</v>
      </c>
      <c r="D5" s="4" t="n">
        <v>-15385</v>
      </c>
      <c r="E5" s="4" t="n">
        <v>-6029</v>
      </c>
      <c r="F5" s="4" t="n">
        <v>-12242</v>
      </c>
      <c r="G5" s="4" t="n">
        <v>-18796</v>
      </c>
      <c r="H5" s="4" t="n">
        <v>-6820</v>
      </c>
      <c r="I5" s="4" t="n">
        <v>-13695</v>
      </c>
      <c r="J5" s="4" t="n">
        <v>-20551</v>
      </c>
      <c r="K5" s="4" t="n">
        <v>-7485</v>
      </c>
      <c r="L5" s="4" t="n">
        <v>-15160</v>
      </c>
      <c r="M5" s="4" t="n">
        <v>-22854</v>
      </c>
      <c r="N5" s="4" t="n">
        <v>-9119</v>
      </c>
      <c r="O5" s="4" t="n">
        <v>-18960</v>
      </c>
      <c r="P5" s="4" t="n">
        <v>-29233</v>
      </c>
      <c r="Q5" s="4" t="n">
        <v>-11468</v>
      </c>
      <c r="R5" s="4" t="n">
        <v>-22056</v>
      </c>
      <c r="S5" s="4" t="n">
        <v>-33314</v>
      </c>
      <c r="T5" s="4" t="n">
        <v>-11903</v>
      </c>
      <c r="U5" s="4" t="n">
        <v>-23763</v>
      </c>
      <c r="V5" s="4" t="n">
        <v>-36210</v>
      </c>
      <c r="W5" s="4" t="n">
        <v>-13556</v>
      </c>
      <c r="X5" s="4" t="n">
        <v>-27364</v>
      </c>
      <c r="Y5" s="4" t="n">
        <v>-42515</v>
      </c>
    </row>
    <row r="6">
      <c r="A6" s="3" t="inlineStr">
        <is>
          <t>Sales and Marketing</t>
        </is>
      </c>
      <c r="B6" s="4" t="n">
        <v>-3604</v>
      </c>
      <c r="C6" s="4" t="n">
        <v>-7384</v>
      </c>
      <c r="D6" s="4" t="n">
        <v>-11233</v>
      </c>
      <c r="E6" s="4" t="n">
        <v>-3905</v>
      </c>
      <c r="F6" s="4" t="n">
        <v>-8117</v>
      </c>
      <c r="G6" s="4" t="n">
        <v>-12726</v>
      </c>
      <c r="H6" s="4" t="n">
        <v>-4500</v>
      </c>
      <c r="I6" s="4" t="n">
        <v>-8401</v>
      </c>
      <c r="J6" s="4" t="n">
        <v>-12632</v>
      </c>
      <c r="K6" s="4" t="n">
        <v>-4516</v>
      </c>
      <c r="L6" s="4" t="n">
        <v>-9792</v>
      </c>
      <c r="M6" s="4" t="n">
        <v>-15308</v>
      </c>
      <c r="N6" s="4" t="n">
        <v>-5825</v>
      </c>
      <c r="O6" s="4" t="n">
        <v>-12455</v>
      </c>
      <c r="P6" s="4" t="n">
        <v>-19384</v>
      </c>
      <c r="Q6" s="4" t="n">
        <v>-6533</v>
      </c>
      <c r="R6" s="4" t="n">
        <v>-13314</v>
      </c>
      <c r="S6" s="4" t="n">
        <v>-20198</v>
      </c>
      <c r="T6" s="4" t="n">
        <v>-6426</v>
      </c>
      <c r="U6" s="4" t="n">
        <v>-13218</v>
      </c>
      <c r="V6" s="4" t="n">
        <v>-20445</v>
      </c>
      <c r="W6" s="4" t="n">
        <v>-6172</v>
      </c>
      <c r="X6" s="4" t="n">
        <v>-13273</v>
      </c>
      <c r="Y6" s="4" t="n">
        <v>-20478</v>
      </c>
    </row>
    <row r="7">
      <c r="A7" s="3" t="inlineStr">
        <is>
          <t>General and Administrative</t>
        </is>
      </c>
      <c r="B7" s="4" t="n">
        <v>-1403</v>
      </c>
      <c r="C7" s="4" t="n">
        <v>-3167</v>
      </c>
      <c r="D7" s="4" t="n">
        <v>-4920</v>
      </c>
      <c r="E7" s="4" t="n">
        <v>-2088</v>
      </c>
      <c r="F7" s="4" t="n">
        <v>-4131</v>
      </c>
      <c r="G7" s="4" t="n">
        <v>-6722</v>
      </c>
      <c r="H7" s="4" t="n">
        <v>-2880</v>
      </c>
      <c r="I7" s="4" t="n">
        <v>-5465</v>
      </c>
      <c r="J7" s="4" t="n">
        <v>-8221</v>
      </c>
      <c r="K7" s="4" t="n">
        <v>-2773</v>
      </c>
      <c r="L7" s="4" t="n">
        <v>-6114</v>
      </c>
      <c r="M7" s="4" t="n">
        <v>-9370</v>
      </c>
      <c r="N7" s="4" t="n">
        <v>-3374</v>
      </c>
      <c r="O7" s="4" t="n">
        <v>-7031</v>
      </c>
      <c r="P7" s="4" t="n">
        <v>-10628</v>
      </c>
      <c r="Q7" s="4" t="n">
        <v>-3759</v>
      </c>
      <c r="R7" s="4" t="n">
        <v>-7240</v>
      </c>
      <c r="S7" s="4" t="n">
        <v>-11219</v>
      </c>
      <c r="T7" s="4" t="n">
        <v>-3026</v>
      </c>
      <c r="U7" s="4" t="n">
        <v>-6184</v>
      </c>
      <c r="V7" s="4" t="n">
        <v>-9783</v>
      </c>
      <c r="W7" s="4" t="n">
        <v>-3539</v>
      </c>
      <c r="X7" s="4" t="n">
        <v>-8748</v>
      </c>
      <c r="Y7" s="4" t="n">
        <v>-16141</v>
      </c>
    </row>
    <row r="8">
      <c r="A8" s="3" t="inlineStr">
        <is>
          <t>Litigation and Regulatory Charges</t>
        </is>
      </c>
      <c r="B8" s="4" t="n">
        <v>0</v>
      </c>
      <c r="C8" s="4" t="n">
        <v>-5071</v>
      </c>
      <c r="D8" s="4" t="n">
        <v>-5071</v>
      </c>
      <c r="E8" s="4" t="n">
        <v>-1697</v>
      </c>
      <c r="F8" s="4" t="n">
        <v>-1697</v>
      </c>
      <c r="G8" s="4" t="n">
        <v>-1697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</row>
    <row r="9">
      <c r="A9" s="3" t="inlineStr">
        <is>
          <t>Income (Loss) from Operations</t>
        </is>
      </c>
      <c r="B9" s="6">
        <f>B4+SUM(B5:B8)</f>
        <v/>
      </c>
      <c r="C9" s="6">
        <f>C4+SUM(C5:C8)</f>
        <v/>
      </c>
      <c r="D9" s="6">
        <f>D4+SUM(D5:D8)</f>
        <v/>
      </c>
      <c r="E9" s="6">
        <f>E4+SUM(E5:E8)</f>
        <v/>
      </c>
      <c r="F9" s="6">
        <f>F4+SUM(F5:F8)</f>
        <v/>
      </c>
      <c r="G9" s="6">
        <f>G4+SUM(G5:G8)</f>
        <v/>
      </c>
      <c r="H9" s="6">
        <f>H4+SUM(H5:H8)</f>
        <v/>
      </c>
      <c r="I9" s="6">
        <f>I4+SUM(I5:I8)</f>
        <v/>
      </c>
      <c r="J9" s="6">
        <f>J4+SUM(J5:J8)</f>
        <v/>
      </c>
      <c r="K9" s="6">
        <f>K4+SUM(K5:K8)</f>
        <v/>
      </c>
      <c r="L9" s="6">
        <f>L4+SUM(L5:L8)</f>
        <v/>
      </c>
      <c r="M9" s="6">
        <f>M4+SUM(M5:M8)</f>
        <v/>
      </c>
      <c r="N9" s="6">
        <f>N4+SUM(N5:N8)</f>
        <v/>
      </c>
      <c r="O9" s="6">
        <f>O4+SUM(O5:O8)</f>
        <v/>
      </c>
      <c r="P9" s="6">
        <f>P4+SUM(P5:P8)</f>
        <v/>
      </c>
      <c r="Q9" s="6">
        <f>Q4+SUM(Q5:Q8)</f>
        <v/>
      </c>
      <c r="R9" s="6">
        <f>R4+SUM(R5:R8)</f>
        <v/>
      </c>
      <c r="S9" s="6">
        <f>S4+SUM(S5:S8)</f>
        <v/>
      </c>
      <c r="T9" s="6">
        <f>T4+SUM(T5:T8)</f>
        <v/>
      </c>
      <c r="U9" s="6">
        <f>U4+SUM(U5:U8)</f>
        <v/>
      </c>
      <c r="V9" s="6">
        <f>V4+SUM(V5:V8)</f>
        <v/>
      </c>
      <c r="W9" s="6">
        <f>W4+SUM(W5:W8)</f>
        <v/>
      </c>
      <c r="X9" s="6">
        <f>X4+SUM(X5:X8)</f>
        <v/>
      </c>
      <c r="Y9" s="6">
        <f>Y4+SUM(Y5:Y8)</f>
        <v/>
      </c>
    </row>
    <row r="10">
      <c r="A10" s="3" t="inlineStr">
        <is>
          <t>Other Income (Expense)</t>
        </is>
      </c>
      <c r="B10" s="4" t="n">
        <v>2910</v>
      </c>
      <c r="C10" s="4" t="n">
        <v>4080</v>
      </c>
      <c r="D10" s="4" t="n">
        <v>5538</v>
      </c>
      <c r="E10" s="4" t="n">
        <v>1538</v>
      </c>
      <c r="F10" s="4" t="n">
        <v>4505</v>
      </c>
      <c r="G10" s="4" t="n">
        <v>3956</v>
      </c>
      <c r="H10" s="4" t="n">
        <v>-220</v>
      </c>
      <c r="I10" s="4" t="n">
        <v>1674</v>
      </c>
      <c r="J10" s="4" t="n">
        <v>3820</v>
      </c>
      <c r="K10" s="4" t="n">
        <v>4846</v>
      </c>
      <c r="L10" s="4" t="n">
        <v>7470</v>
      </c>
      <c r="M10" s="4" t="n">
        <v>9503</v>
      </c>
      <c r="N10" s="4" t="n">
        <v>-1160</v>
      </c>
      <c r="O10" s="4" t="n">
        <v>-1599</v>
      </c>
      <c r="P10" s="4" t="n">
        <v>-2501</v>
      </c>
      <c r="Q10" s="4" t="n">
        <v>790</v>
      </c>
      <c r="R10" s="4" t="n">
        <v>855</v>
      </c>
      <c r="S10" s="4" t="n">
        <v>709</v>
      </c>
      <c r="T10" s="4" t="n">
        <v>2843</v>
      </c>
      <c r="U10" s="4" t="n">
        <v>2969</v>
      </c>
      <c r="V10" s="4" t="n">
        <v>6154</v>
      </c>
      <c r="W10" s="4" t="n">
        <v>11183</v>
      </c>
      <c r="X10" s="4" t="n">
        <v>13845</v>
      </c>
      <c r="Y10" s="4" t="n">
        <v>26604</v>
      </c>
    </row>
    <row r="11">
      <c r="A11" s="3" t="inlineStr">
        <is>
          <t>Pre-Tax Income (Loss)</t>
        </is>
      </c>
      <c r="B11" s="6">
        <f>B9+B10</f>
        <v/>
      </c>
      <c r="C11" s="6">
        <f>C9+C10</f>
        <v/>
      </c>
      <c r="D11" s="6">
        <f>D9+D10</f>
        <v/>
      </c>
      <c r="E11" s="6">
        <f>E9+E10</f>
        <v/>
      </c>
      <c r="F11" s="6">
        <f>F9+F10</f>
        <v/>
      </c>
      <c r="G11" s="6">
        <f>G9+G10</f>
        <v/>
      </c>
      <c r="H11" s="6">
        <f>H9+H10</f>
        <v/>
      </c>
      <c r="I11" s="6">
        <f>I9+I10</f>
        <v/>
      </c>
      <c r="J11" s="6">
        <f>J9+J10</f>
        <v/>
      </c>
      <c r="K11" s="6">
        <f>K9+K10</f>
        <v/>
      </c>
      <c r="L11" s="6">
        <f>L9+L10</f>
        <v/>
      </c>
      <c r="M11" s="6">
        <f>M9+M10</f>
        <v/>
      </c>
      <c r="N11" s="6">
        <f>N9+N10</f>
        <v/>
      </c>
      <c r="O11" s="6">
        <f>O9+O10</f>
        <v/>
      </c>
      <c r="P11" s="6">
        <f>P9+P10</f>
        <v/>
      </c>
      <c r="Q11" s="6">
        <f>Q9+Q10</f>
        <v/>
      </c>
      <c r="R11" s="6">
        <f>R9+R10</f>
        <v/>
      </c>
      <c r="S11" s="6">
        <f>S9+S10</f>
        <v/>
      </c>
      <c r="T11" s="6">
        <f>T9+T10</f>
        <v/>
      </c>
      <c r="U11" s="6">
        <f>U9+U10</f>
        <v/>
      </c>
      <c r="V11" s="6">
        <f>V9+V10</f>
        <v/>
      </c>
      <c r="W11" s="6">
        <f>W9+W10</f>
        <v/>
      </c>
      <c r="X11" s="6">
        <f>X9+X10</f>
        <v/>
      </c>
      <c r="Y11" s="6">
        <f>Y9+Y10</f>
        <v/>
      </c>
    </row>
    <row r="12">
      <c r="A12" s="3" t="inlineStr">
        <is>
          <t>Income Tax (Expense) Benefit</t>
        </is>
      </c>
      <c r="B12" s="4" t="n">
        <v>-1142</v>
      </c>
      <c r="C12" s="4" t="n">
        <v>-2162</v>
      </c>
      <c r="D12" s="4" t="n">
        <v>-3053</v>
      </c>
      <c r="E12" s="4" t="n">
        <v>-1489</v>
      </c>
      <c r="F12" s="4" t="n">
        <v>-3689</v>
      </c>
      <c r="G12" s="4" t="n">
        <v>-5249</v>
      </c>
      <c r="H12" s="4" t="n">
        <v>-921</v>
      </c>
      <c r="I12" s="4" t="n">
        <v>-2239</v>
      </c>
      <c r="J12" s="4" t="n">
        <v>-4351</v>
      </c>
      <c r="K12" s="4" t="n">
        <v>-3353</v>
      </c>
      <c r="L12" s="4" t="n">
        <v>-6813</v>
      </c>
      <c r="M12" s="4" t="n">
        <v>-10941</v>
      </c>
      <c r="N12" s="4" t="n">
        <v>-2498</v>
      </c>
      <c r="O12" s="4" t="n">
        <v>-5510</v>
      </c>
      <c r="P12" s="4" t="n">
        <v>-7833</v>
      </c>
      <c r="Q12" s="4" t="n">
        <v>-3154</v>
      </c>
      <c r="R12" s="4" t="n">
        <v>-6689</v>
      </c>
      <c r="S12" s="4" t="n">
        <v>-8197</v>
      </c>
      <c r="T12" s="4" t="n">
        <v>-4653</v>
      </c>
      <c r="U12" s="4" t="n">
        <v>-8585</v>
      </c>
      <c r="V12" s="4" t="n">
        <v>-13990</v>
      </c>
      <c r="W12" s="4" t="n">
        <v>-7249</v>
      </c>
      <c r="X12" s="4" t="n">
        <v>-12986</v>
      </c>
      <c r="Y12" s="4" t="n">
        <v>-21994</v>
      </c>
    </row>
    <row r="13">
      <c r="A13" s="3" t="inlineStr">
        <is>
          <t>Net Income (Loss)</t>
        </is>
      </c>
      <c r="B13" s="6">
        <f>B11+B12</f>
        <v/>
      </c>
      <c r="C13" s="6">
        <f>C11+C12</f>
        <v/>
      </c>
      <c r="D13" s="6">
        <f>D11+D12</f>
        <v/>
      </c>
      <c r="E13" s="6">
        <f>E11+E12</f>
        <v/>
      </c>
      <c r="F13" s="6">
        <f>F11+F12</f>
        <v/>
      </c>
      <c r="G13" s="6">
        <f>G11+G12</f>
        <v/>
      </c>
      <c r="H13" s="6">
        <f>H11+H12</f>
        <v/>
      </c>
      <c r="I13" s="6">
        <f>I11+I12</f>
        <v/>
      </c>
      <c r="J13" s="6">
        <f>J11+J12</f>
        <v/>
      </c>
      <c r="K13" s="6">
        <f>K11+K12</f>
        <v/>
      </c>
      <c r="L13" s="6">
        <f>L11+L12</f>
        <v/>
      </c>
      <c r="M13" s="6">
        <f>M11+M12</f>
        <v/>
      </c>
      <c r="N13" s="6">
        <f>N11+N12</f>
        <v/>
      </c>
      <c r="O13" s="6">
        <f>O11+O12</f>
        <v/>
      </c>
      <c r="P13" s="6">
        <f>P11+P12</f>
        <v/>
      </c>
      <c r="Q13" s="6">
        <f>Q11+Q12</f>
        <v/>
      </c>
      <c r="R13" s="6">
        <f>R11+R12</f>
        <v/>
      </c>
      <c r="S13" s="6">
        <f>S11+S12</f>
        <v/>
      </c>
      <c r="T13" s="6">
        <f>T11+T12</f>
        <v/>
      </c>
      <c r="U13" s="6">
        <f>U11+U12</f>
        <v/>
      </c>
      <c r="V13" s="6">
        <f>V11+V12</f>
        <v/>
      </c>
      <c r="W13" s="6">
        <f>W11+W12</f>
        <v/>
      </c>
      <c r="X13" s="6">
        <f>X11+X12</f>
        <v/>
      </c>
      <c r="Y13" s="6">
        <f>Y11+Y12</f>
        <v/>
      </c>
    </row>
    <row r="14">
      <c r="A14" s="3" t="inlineStr">
        <is>
          <t>Basic Earnings (Loss) per Share</t>
        </is>
      </c>
      <c r="B14" s="8" t="n">
        <v>13.53</v>
      </c>
      <c r="C14" s="8" t="n">
        <v>18.13</v>
      </c>
      <c r="D14" s="8" t="n">
        <v>31.34</v>
      </c>
      <c r="E14" s="8" t="n">
        <v>9.58</v>
      </c>
      <c r="F14" s="8" t="n">
        <v>23.91</v>
      </c>
      <c r="G14" s="8" t="n">
        <v>34.12</v>
      </c>
      <c r="H14" s="8" t="n">
        <v>9.960000000000001</v>
      </c>
      <c r="I14" s="8" t="n">
        <v>20.16</v>
      </c>
      <c r="J14" s="8" t="n">
        <v>36.69</v>
      </c>
      <c r="K14" s="8" t="n">
        <v>26.63</v>
      </c>
      <c r="L14" s="8" t="n">
        <v>54.32</v>
      </c>
      <c r="M14" s="8" t="n">
        <v>82.76000000000001</v>
      </c>
      <c r="N14" s="8" t="n">
        <v>24.9</v>
      </c>
      <c r="O14" s="8" t="n">
        <v>2.46</v>
      </c>
      <c r="P14" s="8" t="n">
        <v>3.53</v>
      </c>
      <c r="Q14" s="8" t="n">
        <v>1.18</v>
      </c>
      <c r="R14" s="8" t="n">
        <v>2.63</v>
      </c>
      <c r="S14" s="8" t="n">
        <v>4.19</v>
      </c>
      <c r="T14" s="8" t="n">
        <v>1.91</v>
      </c>
      <c r="U14" s="8" t="n">
        <v>3.82</v>
      </c>
      <c r="V14" s="8" t="n">
        <v>5.96</v>
      </c>
      <c r="W14" s="8" t="n">
        <v>2.84</v>
      </c>
      <c r="X14" s="8" t="n">
        <v>5.16</v>
      </c>
      <c r="Y14" s="8" t="n">
        <v>8.06</v>
      </c>
    </row>
    <row r="15">
      <c r="A15" s="3" t="inlineStr">
        <is>
          <t>Diluted Earnings (Loss) per Share</t>
        </is>
      </c>
      <c r="B15" s="8" t="n">
        <v>13.33</v>
      </c>
      <c r="C15" s="8" t="n">
        <v>17.89</v>
      </c>
      <c r="D15" s="8" t="n">
        <v>30.95</v>
      </c>
      <c r="E15" s="8" t="n">
        <v>9.5</v>
      </c>
      <c r="F15" s="8" t="n">
        <v>23.71</v>
      </c>
      <c r="G15" s="8" t="n">
        <v>33.83</v>
      </c>
      <c r="H15" s="8" t="n">
        <v>9.869999999999999</v>
      </c>
      <c r="I15" s="8" t="n">
        <v>20</v>
      </c>
      <c r="J15" s="8" t="n">
        <v>36.38</v>
      </c>
      <c r="K15" s="8" t="n">
        <v>26.29</v>
      </c>
      <c r="L15" s="8" t="n">
        <v>53.54</v>
      </c>
      <c r="M15" s="8" t="n">
        <v>81.53</v>
      </c>
      <c r="N15" s="8" t="n">
        <v>24.62</v>
      </c>
      <c r="O15" s="8" t="n">
        <v>2.44</v>
      </c>
      <c r="P15" s="8" t="n">
        <v>3.5</v>
      </c>
      <c r="Q15" s="8" t="n">
        <v>1.17</v>
      </c>
      <c r="R15" s="8" t="n">
        <v>2.61</v>
      </c>
      <c r="S15" s="8" t="n">
        <v>4.16</v>
      </c>
      <c r="T15" s="8" t="n">
        <v>1.89</v>
      </c>
      <c r="U15" s="8" t="n">
        <v>3.78</v>
      </c>
      <c r="V15" s="8" t="n">
        <v>5.9</v>
      </c>
      <c r="W15" s="8" t="n">
        <v>2.81</v>
      </c>
      <c r="X15" s="8" t="n">
        <v>5.12</v>
      </c>
      <c r="Y15" s="8" t="n">
        <v>7.99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</cols>
  <sheetData>
    <row r="1">
      <c r="A1" s="1" t="inlineStr"/>
      <c r="B1" s="2" t="inlineStr">
        <is>
          <t>Q4 FY2018</t>
        </is>
      </c>
      <c r="C1" s="2" t="inlineStr">
        <is>
          <t>Q1 FY2019</t>
        </is>
      </c>
      <c r="D1" s="2" t="inlineStr">
        <is>
          <t>Q2 FY2019</t>
        </is>
      </c>
      <c r="E1" s="2" t="inlineStr">
        <is>
          <t>Q3 FY2019</t>
        </is>
      </c>
      <c r="F1" s="2" t="inlineStr">
        <is>
          <t>Q4 FY2019</t>
        </is>
      </c>
      <c r="G1" s="2" t="inlineStr">
        <is>
          <t>Q1 FY2020</t>
        </is>
      </c>
      <c r="H1" s="2" t="inlineStr">
        <is>
          <t>Q2 FY2020</t>
        </is>
      </c>
      <c r="I1" s="2" t="inlineStr">
        <is>
          <t>Q3 FY2020</t>
        </is>
      </c>
      <c r="J1" s="2" t="inlineStr">
        <is>
          <t>Q4 FY2020</t>
        </is>
      </c>
      <c r="K1" s="2" t="inlineStr">
        <is>
          <t>Q1 FY2021</t>
        </is>
      </c>
      <c r="L1" s="2" t="inlineStr">
        <is>
          <t>Q2 FY2021</t>
        </is>
      </c>
      <c r="M1" s="2" t="inlineStr">
        <is>
          <t>Q3 FY2021</t>
        </is>
      </c>
      <c r="N1" s="2" t="inlineStr">
        <is>
          <t>Q4 FY2021</t>
        </is>
      </c>
      <c r="O1" s="2" t="inlineStr">
        <is>
          <t>Q1 FY2022</t>
        </is>
      </c>
      <c r="P1" s="2" t="inlineStr">
        <is>
          <t>Q2 FY2022</t>
        </is>
      </c>
      <c r="Q1" s="2" t="inlineStr">
        <is>
          <t>Q3 FY2022</t>
        </is>
      </c>
      <c r="R1" s="2" t="inlineStr">
        <is>
          <t>Q4 FY2022</t>
        </is>
      </c>
      <c r="S1" s="2" t="inlineStr">
        <is>
          <t>Q1 FY2023</t>
        </is>
      </c>
      <c r="T1" s="2" t="inlineStr">
        <is>
          <t>Q2 FY2023</t>
        </is>
      </c>
      <c r="U1" s="2" t="inlineStr">
        <is>
          <t>Q3 FY2023</t>
        </is>
      </c>
      <c r="V1" s="2" t="inlineStr">
        <is>
          <t>Q4 FY2023</t>
        </is>
      </c>
      <c r="W1" s="2" t="inlineStr">
        <is>
          <t>Q1 FY2024</t>
        </is>
      </c>
      <c r="X1" s="2" t="inlineStr">
        <is>
          <t>Q2 FY2024</t>
        </is>
      </c>
      <c r="Y1" s="2" t="inlineStr">
        <is>
          <t>Q3 FY2024</t>
        </is>
      </c>
      <c r="Z1" s="2" t="inlineStr">
        <is>
          <t>Q4 FY2024</t>
        </is>
      </c>
      <c r="AA1" s="2" t="inlineStr">
        <is>
          <t>Q1 FY2025</t>
        </is>
      </c>
      <c r="AB1" s="2" t="inlineStr">
        <is>
          <t>Q2 FY2025</t>
        </is>
      </c>
      <c r="AC1" s="2" t="inlineStr">
        <is>
          <t>Q3 FY2025</t>
        </is>
      </c>
    </row>
    <row r="2">
      <c r="A2" s="3" t="inlineStr">
        <is>
          <t>Cash, Cash Equivalents &amp; Restricted Cash</t>
        </is>
      </c>
      <c r="B2" s="4" t="n">
        <v>16701</v>
      </c>
      <c r="C2" s="4" t="n">
        <v>19148</v>
      </c>
      <c r="D2" s="4" t="n">
        <v>16587</v>
      </c>
      <c r="E2" s="4" t="n">
        <v>16032</v>
      </c>
      <c r="F2" s="4" t="n">
        <v>18498</v>
      </c>
      <c r="G2" s="4" t="n">
        <v>19644</v>
      </c>
      <c r="H2" s="4" t="n">
        <v>17742</v>
      </c>
      <c r="I2" s="4" t="n">
        <v>20129</v>
      </c>
      <c r="J2" s="4" t="n">
        <v>26465</v>
      </c>
      <c r="K2" s="4" t="n">
        <v>26622</v>
      </c>
      <c r="L2" s="4" t="n">
        <v>23630</v>
      </c>
      <c r="M2" s="4" t="n">
        <v>23719</v>
      </c>
      <c r="N2" s="4" t="n">
        <v>20945</v>
      </c>
      <c r="O2" s="4" t="n">
        <v>20886</v>
      </c>
      <c r="P2" s="4" t="n">
        <v>17936</v>
      </c>
      <c r="Q2" s="4" t="n">
        <v>21984</v>
      </c>
      <c r="R2" s="4" t="n">
        <v>21879</v>
      </c>
      <c r="S2" s="4" t="n">
        <v>25924</v>
      </c>
      <c r="T2" s="4" t="n">
        <v>25929</v>
      </c>
      <c r="U2" s="4" t="n">
        <v>30702</v>
      </c>
      <c r="V2" s="4" t="n">
        <v>24048</v>
      </c>
      <c r="W2" s="4" t="n">
        <v>24493</v>
      </c>
      <c r="X2" s="4" t="n">
        <v>27225</v>
      </c>
      <c r="Y2" s="4" t="n">
        <v>19959</v>
      </c>
      <c r="Z2" s="4" t="n">
        <v>23466</v>
      </c>
      <c r="AA2" s="4" t="n">
        <v>23264</v>
      </c>
      <c r="AB2" s="4" t="n">
        <v>21036</v>
      </c>
      <c r="AC2" s="4" t="n">
        <v>23090</v>
      </c>
    </row>
    <row r="3">
      <c r="A3" s="3" t="inlineStr">
        <is>
          <t>Short-Term Investments</t>
        </is>
      </c>
      <c r="B3" s="4" t="n">
        <v>92439</v>
      </c>
      <c r="C3" s="4" t="n">
        <v>94340</v>
      </c>
      <c r="D3" s="4" t="n">
        <v>104469</v>
      </c>
      <c r="E3" s="4" t="n">
        <v>105145</v>
      </c>
      <c r="F3" s="4" t="n">
        <v>101177</v>
      </c>
      <c r="G3" s="4" t="n">
        <v>97585</v>
      </c>
      <c r="H3" s="4" t="n">
        <v>103338</v>
      </c>
      <c r="I3" s="4" t="n">
        <v>112467</v>
      </c>
      <c r="J3" s="4" t="n">
        <v>110229</v>
      </c>
      <c r="K3" s="4" t="n">
        <v>108482</v>
      </c>
      <c r="L3" s="4" t="n">
        <v>112233</v>
      </c>
      <c r="M3" s="4" t="n">
        <v>118284</v>
      </c>
      <c r="N3" s="4" t="n">
        <v>118704</v>
      </c>
      <c r="O3" s="4" t="n">
        <v>113084</v>
      </c>
      <c r="P3" s="4" t="n">
        <v>107061</v>
      </c>
      <c r="Q3" s="4" t="n">
        <v>94275</v>
      </c>
      <c r="R3" s="4" t="n">
        <v>91883</v>
      </c>
      <c r="S3" s="4" t="n">
        <v>89178</v>
      </c>
      <c r="T3" s="4" t="n">
        <v>92403</v>
      </c>
      <c r="U3" s="4" t="n">
        <v>89233</v>
      </c>
      <c r="V3" s="4" t="n">
        <v>86868</v>
      </c>
      <c r="W3" s="4" t="n">
        <v>83597</v>
      </c>
      <c r="X3" s="4" t="n">
        <v>73500</v>
      </c>
      <c r="Y3" s="4" t="n">
        <v>73271</v>
      </c>
      <c r="Z3" s="4" t="n">
        <v>72191</v>
      </c>
      <c r="AA3" s="4" t="n">
        <v>72064</v>
      </c>
      <c r="AB3" s="4" t="n">
        <v>74112</v>
      </c>
      <c r="AC3" s="4" t="n">
        <v>75406</v>
      </c>
    </row>
    <row r="4">
      <c r="A4" s="3" t="inlineStr">
        <is>
          <t>Accounts Receivable</t>
        </is>
      </c>
      <c r="B4" s="4" t="n">
        <v>20838</v>
      </c>
      <c r="C4" s="4" t="n">
        <v>19149</v>
      </c>
      <c r="D4" s="4" t="n">
        <v>20965</v>
      </c>
      <c r="E4" s="4" t="n">
        <v>20889</v>
      </c>
      <c r="F4" s="4" t="n">
        <v>25326</v>
      </c>
      <c r="G4" s="4" t="n">
        <v>21825</v>
      </c>
      <c r="H4" s="4" t="n">
        <v>21201</v>
      </c>
      <c r="I4" s="4" t="n">
        <v>24925</v>
      </c>
      <c r="J4" s="4" t="n">
        <v>30930</v>
      </c>
      <c r="K4" s="4" t="n">
        <v>28006</v>
      </c>
      <c r="L4" s="4" t="n">
        <v>31967</v>
      </c>
      <c r="M4" s="4" t="n">
        <v>34047</v>
      </c>
      <c r="N4" s="4" t="n">
        <v>39304</v>
      </c>
      <c r="O4" s="4" t="n">
        <v>34703</v>
      </c>
      <c r="P4" s="4" t="n">
        <v>35707</v>
      </c>
      <c r="Q4" s="4" t="n">
        <v>34697</v>
      </c>
      <c r="R4" s="4" t="n">
        <v>40258</v>
      </c>
      <c r="S4" s="4" t="n">
        <v>36036</v>
      </c>
      <c r="T4" s="4" t="n">
        <v>38804</v>
      </c>
      <c r="U4" s="4" t="n">
        <v>41020</v>
      </c>
      <c r="V4" s="4" t="n">
        <v>47964</v>
      </c>
      <c r="W4" s="4" t="n">
        <v>44552</v>
      </c>
      <c r="X4" s="4" t="n">
        <v>47087</v>
      </c>
      <c r="Y4" s="4" t="n">
        <v>49104</v>
      </c>
      <c r="Z4" s="4" t="n">
        <v>52340</v>
      </c>
      <c r="AA4" s="4" t="n">
        <v>51000</v>
      </c>
      <c r="AB4" s="4" t="n">
        <v>55048</v>
      </c>
      <c r="AC4" s="4" t="n">
        <v>57148</v>
      </c>
    </row>
    <row r="5">
      <c r="A5" s="3" t="inlineStr">
        <is>
          <t>Note Receivable - Current</t>
        </is>
      </c>
      <c r="B5" s="4" t="n">
        <v>355</v>
      </c>
      <c r="C5" s="4" t="n">
        <v>111</v>
      </c>
      <c r="D5" s="4" t="n">
        <v>352</v>
      </c>
      <c r="E5" s="4" t="n">
        <v>192</v>
      </c>
      <c r="F5" s="4" t="n">
        <v>2166</v>
      </c>
      <c r="G5" s="4" t="n">
        <v>1910</v>
      </c>
      <c r="H5" s="4" t="n">
        <v>394</v>
      </c>
      <c r="I5" s="4" t="n">
        <v>588</v>
      </c>
      <c r="J5" s="4" t="n">
        <v>454</v>
      </c>
      <c r="K5" s="4" t="n">
        <v>493</v>
      </c>
      <c r="L5" s="4" t="n">
        <v>884</v>
      </c>
      <c r="M5" s="4" t="n">
        <v>753</v>
      </c>
      <c r="N5" s="4" t="n">
        <v>966</v>
      </c>
      <c r="O5" s="4" t="n">
        <v>919</v>
      </c>
      <c r="P5" s="4" t="n">
        <v>1366</v>
      </c>
      <c r="Q5" s="4" t="n">
        <v>1479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</v>
      </c>
    </row>
    <row r="6">
      <c r="A6" s="3" t="inlineStr">
        <is>
          <t>Inventories</t>
        </is>
      </c>
      <c r="B6" s="4" t="n">
        <v>1107</v>
      </c>
      <c r="C6" s="4" t="n">
        <v>1053</v>
      </c>
      <c r="D6" s="4" t="n">
        <v>964</v>
      </c>
      <c r="E6" s="4" t="n">
        <v>1401</v>
      </c>
      <c r="F6" s="4" t="n">
        <v>999</v>
      </c>
      <c r="G6" s="4" t="n">
        <v>889</v>
      </c>
      <c r="H6" s="4" t="n">
        <v>815</v>
      </c>
      <c r="I6" s="4" t="n">
        <v>835</v>
      </c>
      <c r="J6" s="4" t="n">
        <v>728</v>
      </c>
      <c r="K6" s="4" t="n">
        <v>888</v>
      </c>
      <c r="L6" s="4" t="n">
        <v>907</v>
      </c>
      <c r="M6" s="4" t="n">
        <v>1278</v>
      </c>
      <c r="N6" s="4" t="n">
        <v>1170</v>
      </c>
      <c r="O6" s="4" t="n">
        <v>1369</v>
      </c>
      <c r="P6" s="4" t="n">
        <v>1980</v>
      </c>
      <c r="Q6" s="4" t="n">
        <v>3156</v>
      </c>
      <c r="R6" s="4" t="n">
        <v>2670</v>
      </c>
      <c r="S6" s="4" t="n">
        <v>2315</v>
      </c>
      <c r="T6" s="4" t="n">
        <v>2231</v>
      </c>
      <c r="U6" s="4" t="n">
        <v>2957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</row>
    <row r="7">
      <c r="A7" s="3" t="inlineStr">
        <is>
          <t>Other Current Assets</t>
        </is>
      </c>
      <c r="B7" s="4" t="n">
        <v>4236</v>
      </c>
      <c r="C7" s="4" t="n">
        <v>4406</v>
      </c>
      <c r="D7" s="4" t="n">
        <v>4100</v>
      </c>
      <c r="E7" s="4" t="n">
        <v>4699</v>
      </c>
      <c r="F7" s="4" t="n">
        <v>4412</v>
      </c>
      <c r="G7" s="4" t="n">
        <v>5165</v>
      </c>
      <c r="H7" s="4" t="n">
        <v>5579</v>
      </c>
      <c r="I7" s="4" t="n">
        <v>5425</v>
      </c>
      <c r="J7" s="4" t="n">
        <v>5490</v>
      </c>
      <c r="K7" s="4" t="n">
        <v>7646</v>
      </c>
      <c r="L7" s="4" t="n">
        <v>6076</v>
      </c>
      <c r="M7" s="4" t="n">
        <v>6029</v>
      </c>
      <c r="N7" s="4" t="n">
        <v>7054</v>
      </c>
      <c r="O7" s="4" t="n">
        <v>6892</v>
      </c>
      <c r="P7" s="4" t="n">
        <v>8321</v>
      </c>
      <c r="Q7" s="4" t="n">
        <v>10518</v>
      </c>
      <c r="R7" s="4" t="n">
        <v>8105</v>
      </c>
      <c r="S7" s="4" t="n">
        <v>8532</v>
      </c>
      <c r="T7" s="4" t="n">
        <v>9421</v>
      </c>
      <c r="U7" s="4" t="n">
        <v>12398</v>
      </c>
      <c r="V7" s="4" t="n">
        <v>12650</v>
      </c>
      <c r="W7" s="4" t="n">
        <v>12829</v>
      </c>
      <c r="X7" s="4" t="n">
        <v>14183</v>
      </c>
      <c r="Y7" s="4" t="n">
        <v>15207</v>
      </c>
      <c r="Z7" s="4" t="n">
        <v>15714</v>
      </c>
      <c r="AA7" s="4" t="n">
        <v>15724</v>
      </c>
      <c r="AB7" s="4" t="n">
        <v>16020</v>
      </c>
      <c r="AC7" s="4" t="n">
        <v>18303</v>
      </c>
    </row>
    <row r="8">
      <c r="A8" s="3" t="inlineStr">
        <is>
          <t>Total Current Assets</t>
        </is>
      </c>
      <c r="B8" s="6">
        <f>SUM(B2:B7)</f>
        <v/>
      </c>
      <c r="C8" s="6">
        <f>SUM(C2:C7)</f>
        <v/>
      </c>
      <c r="D8" s="6">
        <f>SUM(D2:D7)</f>
        <v/>
      </c>
      <c r="E8" s="6">
        <f>SUM(E2:E7)</f>
        <v/>
      </c>
      <c r="F8" s="6">
        <f>SUM(F2:F7)</f>
        <v/>
      </c>
      <c r="G8" s="6">
        <f>SUM(G2:G7)</f>
        <v/>
      </c>
      <c r="H8" s="6">
        <f>SUM(H2:H7)</f>
        <v/>
      </c>
      <c r="I8" s="6">
        <f>SUM(I2:I7)</f>
        <v/>
      </c>
      <c r="J8" s="6">
        <f>SUM(J2:J7)</f>
        <v/>
      </c>
      <c r="K8" s="6">
        <f>SUM(K2:K7)</f>
        <v/>
      </c>
      <c r="L8" s="6">
        <f>SUM(L2:L7)</f>
        <v/>
      </c>
      <c r="M8" s="6">
        <f>SUM(M2:M7)</f>
        <v/>
      </c>
      <c r="N8" s="6">
        <f>SUM(N2:N7)</f>
        <v/>
      </c>
      <c r="O8" s="6">
        <f>SUM(O2:O7)</f>
        <v/>
      </c>
      <c r="P8" s="6">
        <f>SUM(P2:P7)</f>
        <v/>
      </c>
      <c r="Q8" s="6">
        <f>SUM(Q2:Q7)</f>
        <v/>
      </c>
      <c r="R8" s="6">
        <f>SUM(R2:R7)</f>
        <v/>
      </c>
      <c r="S8" s="6">
        <f>SUM(S2:S7)</f>
        <v/>
      </c>
      <c r="T8" s="6">
        <f>SUM(T2:T7)</f>
        <v/>
      </c>
      <c r="U8" s="6">
        <f>SUM(U2:U7)</f>
        <v/>
      </c>
      <c r="V8" s="6">
        <f>SUM(V2:V7)</f>
        <v/>
      </c>
      <c r="W8" s="6">
        <f>SUM(W2:W7)</f>
        <v/>
      </c>
      <c r="X8" s="6">
        <f>SUM(X2:X7)</f>
        <v/>
      </c>
      <c r="Y8" s="6">
        <f>SUM(Y2:Y7)</f>
        <v/>
      </c>
      <c r="Z8" s="6">
        <f>SUM(Z2:Z7)</f>
        <v/>
      </c>
      <c r="AA8" s="6">
        <f>SUM(AA2:AA7)</f>
        <v/>
      </c>
      <c r="AB8" s="6">
        <f>SUM(AB2:AB7)</f>
        <v/>
      </c>
      <c r="AC8" s="6">
        <f>SUM(AC2:AC7)</f>
        <v/>
      </c>
    </row>
    <row r="9">
      <c r="A9" s="3" t="inlineStr">
        <is>
          <t>Long-Term Investments</t>
        </is>
      </c>
      <c r="B9" s="4" t="n">
        <v>13859</v>
      </c>
      <c r="C9" s="4" t="n">
        <v>14474</v>
      </c>
      <c r="D9" s="4" t="n">
        <v>12112</v>
      </c>
      <c r="E9" s="4" t="n">
        <v>12488</v>
      </c>
      <c r="F9" s="4" t="n">
        <v>13078</v>
      </c>
      <c r="G9" s="4" t="n">
        <v>12367</v>
      </c>
      <c r="H9" s="4" t="n">
        <v>12961</v>
      </c>
      <c r="I9" s="4" t="n">
        <v>14656</v>
      </c>
      <c r="J9" s="4" t="n">
        <v>20703</v>
      </c>
      <c r="K9" s="4" t="n">
        <v>25294</v>
      </c>
      <c r="L9" s="4" t="n">
        <v>25532</v>
      </c>
      <c r="M9" s="4" t="n">
        <v>26101</v>
      </c>
      <c r="N9" s="4" t="n">
        <v>29549</v>
      </c>
      <c r="O9" s="4" t="n">
        <v>30544</v>
      </c>
      <c r="P9" s="4" t="n">
        <v>30665</v>
      </c>
      <c r="Q9" s="4" t="n">
        <v>30419</v>
      </c>
      <c r="R9" s="4" t="n">
        <v>30492</v>
      </c>
      <c r="S9" s="4" t="n">
        <v>31213</v>
      </c>
      <c r="T9" s="4" t="n">
        <v>31224</v>
      </c>
      <c r="U9" s="4" t="n">
        <v>30907</v>
      </c>
      <c r="V9" s="4" t="n">
        <v>31008</v>
      </c>
      <c r="W9" s="4" t="n">
        <v>33994</v>
      </c>
      <c r="X9" s="4" t="n">
        <v>34172</v>
      </c>
      <c r="Y9" s="4" t="n">
        <v>36177</v>
      </c>
      <c r="Z9" s="4" t="n">
        <v>37982</v>
      </c>
      <c r="AA9" s="4" t="n">
        <v>51029</v>
      </c>
      <c r="AB9" s="4" t="n">
        <v>52574</v>
      </c>
      <c r="AC9" s="4" t="n">
        <v>63800</v>
      </c>
    </row>
    <row r="10">
      <c r="A10" s="3" t="inlineStr">
        <is>
          <t>Deferred Tax Assets</t>
        </is>
      </c>
      <c r="B10" s="4" t="n">
        <v>737</v>
      </c>
      <c r="C10" s="4" t="n">
        <v>750</v>
      </c>
      <c r="D10" s="4" t="n">
        <v>585</v>
      </c>
      <c r="E10" s="4" t="n">
        <v>564</v>
      </c>
      <c r="F10" s="4" t="n">
        <v>721</v>
      </c>
      <c r="G10" s="4" t="n">
        <v>730</v>
      </c>
      <c r="H10" s="4" t="n">
        <v>895</v>
      </c>
      <c r="I10" s="4" t="n">
        <v>972</v>
      </c>
      <c r="J10" s="4" t="n">
        <v>1084</v>
      </c>
      <c r="K10" s="4" t="n">
        <v>1129</v>
      </c>
      <c r="L10" s="4" t="n">
        <v>1153</v>
      </c>
      <c r="M10" s="4" t="n">
        <v>1195</v>
      </c>
      <c r="N10" s="4" t="n">
        <v>1284</v>
      </c>
      <c r="O10" s="4" t="n">
        <v>1388</v>
      </c>
      <c r="P10" s="4" t="n">
        <v>1490</v>
      </c>
      <c r="Q10" s="4" t="n">
        <v>2991</v>
      </c>
      <c r="R10" s="4" t="n">
        <v>5261</v>
      </c>
      <c r="S10" s="4" t="n">
        <v>6885</v>
      </c>
      <c r="T10" s="4" t="n">
        <v>9357</v>
      </c>
      <c r="U10" s="4" t="n">
        <v>10983</v>
      </c>
      <c r="V10" s="4" t="n">
        <v>12169</v>
      </c>
      <c r="W10" s="4" t="n">
        <v>11687</v>
      </c>
      <c r="X10" s="4" t="n">
        <v>14958</v>
      </c>
      <c r="Y10" s="4" t="n">
        <v>15915</v>
      </c>
      <c r="Z10" s="4" t="n">
        <v>17180</v>
      </c>
      <c r="AA10" s="4" t="n">
        <v>18386</v>
      </c>
      <c r="AB10" s="4" t="n">
        <v>19289</v>
      </c>
      <c r="AC10" s="4" t="n">
        <v>10331</v>
      </c>
    </row>
    <row r="11">
      <c r="A11" s="3" t="inlineStr">
        <is>
          <t>Net PP&amp;E</t>
        </is>
      </c>
      <c r="B11" s="4" t="n">
        <v>59719</v>
      </c>
      <c r="C11" s="4" t="n">
        <v>60528</v>
      </c>
      <c r="D11" s="4" t="n">
        <v>64891</v>
      </c>
      <c r="E11" s="4" t="n">
        <v>69252</v>
      </c>
      <c r="F11" s="4" t="n">
        <v>73646</v>
      </c>
      <c r="G11" s="4" t="n">
        <v>76747</v>
      </c>
      <c r="H11" s="4" t="n">
        <v>78748</v>
      </c>
      <c r="I11" s="4" t="n">
        <v>81636</v>
      </c>
      <c r="J11" s="4" t="n">
        <v>84749</v>
      </c>
      <c r="K11" s="4" t="n">
        <v>87606</v>
      </c>
      <c r="L11" s="4" t="n">
        <v>91697</v>
      </c>
      <c r="M11" s="4" t="n">
        <v>94631</v>
      </c>
      <c r="N11" s="4" t="n">
        <v>97599</v>
      </c>
      <c r="O11" s="4" t="n">
        <v>104218</v>
      </c>
      <c r="P11" s="4" t="n">
        <v>106223</v>
      </c>
      <c r="Q11" s="4" t="n">
        <v>108363</v>
      </c>
      <c r="R11" s="4" t="n">
        <v>112668</v>
      </c>
      <c r="S11" s="4" t="n">
        <v>117560</v>
      </c>
      <c r="T11" s="4" t="n">
        <v>121208</v>
      </c>
      <c r="U11" s="4" t="n">
        <v>125705</v>
      </c>
      <c r="V11" s="4" t="n">
        <v>134345</v>
      </c>
      <c r="W11" s="4" t="n">
        <v>143182</v>
      </c>
      <c r="X11" s="4" t="n">
        <v>151155</v>
      </c>
      <c r="Y11" s="4" t="n">
        <v>161270</v>
      </c>
      <c r="Z11" s="4" t="n">
        <v>171036</v>
      </c>
      <c r="AA11" s="4" t="n">
        <v>185062</v>
      </c>
      <c r="AB11" s="4" t="n">
        <v>203231</v>
      </c>
      <c r="AC11" s="4" t="n">
        <v>223787</v>
      </c>
    </row>
    <row r="12">
      <c r="A12" s="3" t="inlineStr">
        <is>
          <t>ROU Assets - Operating - Non-Current</t>
        </is>
      </c>
      <c r="B12" s="4" t="n">
        <v>0</v>
      </c>
      <c r="C12" s="4" t="n">
        <v>8837</v>
      </c>
      <c r="D12" s="4" t="n">
        <v>9713</v>
      </c>
      <c r="E12" s="4" t="n">
        <v>10341</v>
      </c>
      <c r="F12" s="4" t="n">
        <v>10941</v>
      </c>
      <c r="G12" s="4" t="n">
        <v>11219</v>
      </c>
      <c r="H12" s="4" t="n">
        <v>11567</v>
      </c>
      <c r="I12" s="4" t="n">
        <v>11946</v>
      </c>
      <c r="J12" s="4" t="n">
        <v>12211</v>
      </c>
      <c r="K12" s="4" t="n">
        <v>12598</v>
      </c>
      <c r="L12" s="4" t="n">
        <v>12978</v>
      </c>
      <c r="M12" s="4" t="n">
        <v>12918</v>
      </c>
      <c r="N12" s="4" t="n">
        <v>12959</v>
      </c>
      <c r="O12" s="4" t="n">
        <v>12992</v>
      </c>
      <c r="P12" s="4" t="n">
        <v>13398</v>
      </c>
      <c r="Q12" s="4" t="n">
        <v>13677</v>
      </c>
      <c r="R12" s="4" t="n">
        <v>14381</v>
      </c>
      <c r="S12" s="4" t="n">
        <v>14447</v>
      </c>
      <c r="T12" s="4" t="n">
        <v>14469</v>
      </c>
      <c r="U12" s="4" t="n">
        <v>14199</v>
      </c>
      <c r="V12" s="4" t="n">
        <v>14091</v>
      </c>
      <c r="W12" s="4" t="n">
        <v>13768</v>
      </c>
      <c r="X12" s="4" t="n">
        <v>13606</v>
      </c>
      <c r="Y12" s="4" t="n">
        <v>13561</v>
      </c>
      <c r="Z12" s="4" t="n">
        <v>13588</v>
      </c>
      <c r="AA12" s="4" t="n">
        <v>13722</v>
      </c>
      <c r="AB12" s="4" t="n">
        <v>14255</v>
      </c>
      <c r="AC12" s="4" t="n">
        <v>14524</v>
      </c>
    </row>
    <row r="13">
      <c r="A13" s="3" t="inlineStr">
        <is>
          <t>Intangible Assets</t>
        </is>
      </c>
      <c r="B13" s="4" t="n">
        <v>2220</v>
      </c>
      <c r="C13" s="4" t="n">
        <v>2063</v>
      </c>
      <c r="D13" s="4" t="n">
        <v>1902</v>
      </c>
      <c r="E13" s="4" t="n">
        <v>1747</v>
      </c>
      <c r="F13" s="4" t="n">
        <v>1979</v>
      </c>
      <c r="G13" s="4" t="n">
        <v>1840</v>
      </c>
      <c r="H13" s="4" t="n">
        <v>1697</v>
      </c>
      <c r="I13" s="4" t="n">
        <v>1520</v>
      </c>
      <c r="J13" s="4" t="n">
        <v>1445</v>
      </c>
      <c r="K13" s="4" t="n">
        <v>1823</v>
      </c>
      <c r="L13" s="4" t="n">
        <v>1626</v>
      </c>
      <c r="M13" s="4" t="n">
        <v>1549</v>
      </c>
      <c r="N13" s="4" t="n">
        <v>1417</v>
      </c>
      <c r="O13" s="4" t="n">
        <v>1313</v>
      </c>
      <c r="P13" s="4" t="n">
        <v>1377</v>
      </c>
      <c r="Q13" s="4" t="n">
        <v>2192</v>
      </c>
      <c r="R13" s="4" t="n">
        <v>2084</v>
      </c>
      <c r="S13" s="4" t="n">
        <v>1968</v>
      </c>
      <c r="T13" s="4" t="n">
        <v>1966</v>
      </c>
      <c r="U13" s="4" t="n">
        <v>1833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</row>
    <row r="14">
      <c r="A14" s="3" t="inlineStr">
        <is>
          <t>Goodwill</t>
        </is>
      </c>
      <c r="B14" s="4" t="n">
        <v>17888</v>
      </c>
      <c r="C14" s="4" t="n">
        <v>17943</v>
      </c>
      <c r="D14" s="4" t="n">
        <v>18000</v>
      </c>
      <c r="E14" s="4" t="n">
        <v>18069</v>
      </c>
      <c r="F14" s="4" t="n">
        <v>20624</v>
      </c>
      <c r="G14" s="4" t="n">
        <v>20734</v>
      </c>
      <c r="H14" s="4" t="n">
        <v>20824</v>
      </c>
      <c r="I14" s="4" t="n">
        <v>20870</v>
      </c>
      <c r="J14" s="4" t="n">
        <v>21175</v>
      </c>
      <c r="K14" s="4" t="n">
        <v>22341</v>
      </c>
      <c r="L14" s="4" t="n">
        <v>22406</v>
      </c>
      <c r="M14" s="4" t="n">
        <v>22623</v>
      </c>
      <c r="N14" s="4" t="n">
        <v>22956</v>
      </c>
      <c r="O14" s="4" t="n">
        <v>23010</v>
      </c>
      <c r="P14" s="4" t="n">
        <v>23949</v>
      </c>
      <c r="Q14" s="4" t="n">
        <v>28834</v>
      </c>
      <c r="R14" s="4" t="n">
        <v>28960</v>
      </c>
      <c r="S14" s="4" t="n">
        <v>28994</v>
      </c>
      <c r="T14" s="4" t="n">
        <v>29210</v>
      </c>
      <c r="U14" s="4" t="n">
        <v>29146</v>
      </c>
      <c r="V14" s="4" t="n">
        <v>29198</v>
      </c>
      <c r="W14" s="4" t="n">
        <v>29183</v>
      </c>
      <c r="X14" s="4" t="n">
        <v>29185</v>
      </c>
      <c r="Y14" s="4" t="n">
        <v>31935</v>
      </c>
      <c r="Z14" s="4" t="n">
        <v>31885</v>
      </c>
      <c r="AA14" s="4" t="n">
        <v>32173</v>
      </c>
      <c r="AB14" s="4" t="n">
        <v>32335</v>
      </c>
      <c r="AC14" s="4" t="n">
        <v>33269</v>
      </c>
    </row>
    <row r="15">
      <c r="A15" s="3" t="inlineStr">
        <is>
          <t>Other Non-Current Assets</t>
        </is>
      </c>
      <c r="B15" s="4" t="n">
        <v>2693</v>
      </c>
      <c r="C15" s="4" t="n">
        <v>2547</v>
      </c>
      <c r="D15" s="4" t="n">
        <v>2461</v>
      </c>
      <c r="E15" s="4" t="n">
        <v>2225</v>
      </c>
      <c r="F15" s="4" t="n">
        <v>2342</v>
      </c>
      <c r="G15" s="4" t="n">
        <v>2748</v>
      </c>
      <c r="H15" s="4" t="n">
        <v>2731</v>
      </c>
      <c r="I15" s="4" t="n">
        <v>3274</v>
      </c>
      <c r="J15" s="4" t="n">
        <v>3953</v>
      </c>
      <c r="K15" s="4" t="n">
        <v>4167</v>
      </c>
      <c r="L15" s="4" t="n">
        <v>4298</v>
      </c>
      <c r="M15" s="4" t="n">
        <v>4276</v>
      </c>
      <c r="N15" s="4" t="n">
        <v>5361</v>
      </c>
      <c r="O15" s="4" t="n">
        <v>5778</v>
      </c>
      <c r="P15" s="4" t="n">
        <v>5712</v>
      </c>
      <c r="Q15" s="4" t="n">
        <v>5670</v>
      </c>
      <c r="R15" s="4" t="n">
        <v>6623</v>
      </c>
      <c r="S15" s="4" t="n">
        <v>6439</v>
      </c>
      <c r="T15" s="4" t="n">
        <v>6822</v>
      </c>
      <c r="U15" s="4" t="n">
        <v>7628</v>
      </c>
      <c r="V15" s="4" t="n">
        <v>10051</v>
      </c>
      <c r="W15" s="4" t="n">
        <v>10065</v>
      </c>
      <c r="X15" s="4" t="n">
        <v>9699</v>
      </c>
      <c r="Y15" s="4" t="n">
        <v>13867</v>
      </c>
      <c r="Z15" s="4" t="n">
        <v>14874</v>
      </c>
      <c r="AA15" s="4" t="n">
        <v>12950</v>
      </c>
      <c r="AB15" s="4" t="n">
        <v>14153</v>
      </c>
      <c r="AC15" s="4" t="n">
        <v>16811</v>
      </c>
    </row>
    <row r="16">
      <c r="A16" s="3" t="inlineStr">
        <is>
          <t>Total Assets</t>
        </is>
      </c>
      <c r="B16" s="6">
        <f>B8+SUM(B9:B15)</f>
        <v/>
      </c>
      <c r="C16" s="6">
        <f>C8+SUM(C9:C15)</f>
        <v/>
      </c>
      <c r="D16" s="6">
        <f>D8+SUM(D9:D15)</f>
        <v/>
      </c>
      <c r="E16" s="6">
        <f>E8+SUM(E9:E15)</f>
        <v/>
      </c>
      <c r="F16" s="6">
        <f>F8+SUM(F9:F15)</f>
        <v/>
      </c>
      <c r="G16" s="6">
        <f>G8+SUM(G9:G15)</f>
        <v/>
      </c>
      <c r="H16" s="6">
        <f>H8+SUM(H9:H15)</f>
        <v/>
      </c>
      <c r="I16" s="6">
        <f>I8+SUM(I9:I15)</f>
        <v/>
      </c>
      <c r="J16" s="6">
        <f>J8+SUM(J9:J15)</f>
        <v/>
      </c>
      <c r="K16" s="6">
        <f>K8+SUM(K9:K15)</f>
        <v/>
      </c>
      <c r="L16" s="6">
        <f>L8+SUM(L9:L15)</f>
        <v/>
      </c>
      <c r="M16" s="6">
        <f>M8+SUM(M9:M15)</f>
        <v/>
      </c>
      <c r="N16" s="6">
        <f>N8+SUM(N9:N15)</f>
        <v/>
      </c>
      <c r="O16" s="6">
        <f>O8+SUM(O9:O15)</f>
        <v/>
      </c>
      <c r="P16" s="6">
        <f>P8+SUM(P9:P15)</f>
        <v/>
      </c>
      <c r="Q16" s="6">
        <f>Q8+SUM(Q9:Q15)</f>
        <v/>
      </c>
      <c r="R16" s="6">
        <f>R8+SUM(R9:R15)</f>
        <v/>
      </c>
      <c r="S16" s="6">
        <f>S8+SUM(S9:S15)</f>
        <v/>
      </c>
      <c r="T16" s="6">
        <f>T8+SUM(T9:T15)</f>
        <v/>
      </c>
      <c r="U16" s="6">
        <f>U8+SUM(U9:U15)</f>
        <v/>
      </c>
      <c r="V16" s="6">
        <f>V8+SUM(V9:V15)</f>
        <v/>
      </c>
      <c r="W16" s="6">
        <f>W8+SUM(W9:W15)</f>
        <v/>
      </c>
      <c r="X16" s="6">
        <f>X8+SUM(X9:X15)</f>
        <v/>
      </c>
      <c r="Y16" s="6">
        <f>Y8+SUM(Y9:Y15)</f>
        <v/>
      </c>
      <c r="Z16" s="6">
        <f>Z8+SUM(Z9:Z15)</f>
        <v/>
      </c>
      <c r="AA16" s="6">
        <f>AA8+SUM(AA9:AA15)</f>
        <v/>
      </c>
      <c r="AB16" s="6">
        <f>AB8+SUM(AB9:AB15)</f>
        <v/>
      </c>
      <c r="AC16" s="6">
        <f>AC8+SUM(AC9:AC15)</f>
        <v/>
      </c>
    </row>
    <row r="17">
      <c r="A17" s="3" t="inlineStr">
        <is>
          <t>Accounts Payable</t>
        </is>
      </c>
      <c r="B17" s="4" t="n">
        <v>4378</v>
      </c>
      <c r="C17" s="4" t="n">
        <v>3710</v>
      </c>
      <c r="D17" s="4" t="n">
        <v>3925</v>
      </c>
      <c r="E17" s="4" t="n">
        <v>4142</v>
      </c>
      <c r="F17" s="4" t="n">
        <v>5561</v>
      </c>
      <c r="G17" s="4" t="n">
        <v>4099</v>
      </c>
      <c r="H17" s="4" t="n">
        <v>4064</v>
      </c>
      <c r="I17" s="4" t="n">
        <v>4391</v>
      </c>
      <c r="J17" s="4" t="n">
        <v>5589</v>
      </c>
      <c r="K17" s="4" t="n">
        <v>4801</v>
      </c>
      <c r="L17" s="4" t="n">
        <v>4708</v>
      </c>
      <c r="M17" s="4" t="n">
        <v>4616</v>
      </c>
      <c r="N17" s="4" t="n">
        <v>6037</v>
      </c>
      <c r="O17" s="4" t="n">
        <v>3436</v>
      </c>
      <c r="P17" s="4" t="n">
        <v>4409</v>
      </c>
      <c r="Q17" s="4" t="n">
        <v>6303</v>
      </c>
      <c r="R17" s="4" t="n">
        <v>5128</v>
      </c>
      <c r="S17" s="4" t="n">
        <v>4184</v>
      </c>
      <c r="T17" s="4" t="n">
        <v>5313</v>
      </c>
      <c r="U17" s="4" t="n">
        <v>5803</v>
      </c>
      <c r="V17" s="4" t="n">
        <v>7493</v>
      </c>
      <c r="W17" s="4" t="n">
        <v>6198</v>
      </c>
      <c r="X17" s="4" t="n">
        <v>6092</v>
      </c>
      <c r="Y17" s="4" t="n">
        <v>7049</v>
      </c>
      <c r="Z17" s="4" t="n">
        <v>7987</v>
      </c>
      <c r="AA17" s="4" t="n">
        <v>8497</v>
      </c>
      <c r="AB17" s="4" t="n">
        <v>8347</v>
      </c>
      <c r="AC17" s="4" t="n">
        <v>10546</v>
      </c>
    </row>
    <row r="18">
      <c r="A18" s="3" t="inlineStr">
        <is>
          <t>Accrued Compensation</t>
        </is>
      </c>
      <c r="B18" s="4" t="n">
        <v>6839</v>
      </c>
      <c r="C18" s="4" t="n">
        <v>5072</v>
      </c>
      <c r="D18" s="4" t="n">
        <v>6432</v>
      </c>
      <c r="E18" s="4" t="n">
        <v>7399</v>
      </c>
      <c r="F18" s="4" t="n">
        <v>8495</v>
      </c>
      <c r="G18" s="4" t="n">
        <v>5656</v>
      </c>
      <c r="H18" s="4" t="n">
        <v>7127</v>
      </c>
      <c r="I18" s="4" t="n">
        <v>8747</v>
      </c>
      <c r="J18" s="4" t="n">
        <v>11086</v>
      </c>
      <c r="K18" s="4" t="n">
        <v>8375</v>
      </c>
      <c r="L18" s="4" t="n">
        <v>10088</v>
      </c>
      <c r="M18" s="4" t="n">
        <v>12170</v>
      </c>
      <c r="N18" s="4" t="n">
        <v>13889</v>
      </c>
      <c r="O18" s="4" t="n">
        <v>9803</v>
      </c>
      <c r="P18" s="4" t="n">
        <v>10852</v>
      </c>
      <c r="Q18" s="4" t="n">
        <v>12366</v>
      </c>
      <c r="R18" s="4" t="n">
        <v>14028</v>
      </c>
      <c r="S18" s="4" t="n">
        <v>9954</v>
      </c>
      <c r="T18" s="4" t="n">
        <v>11260</v>
      </c>
      <c r="U18" s="4" t="n">
        <v>12562</v>
      </c>
      <c r="V18" s="4" t="n">
        <v>15140</v>
      </c>
      <c r="W18" s="4" t="n">
        <v>9703</v>
      </c>
      <c r="X18" s="4" t="n">
        <v>11373</v>
      </c>
      <c r="Y18" s="4" t="n">
        <v>12908</v>
      </c>
      <c r="Z18" s="4" t="n">
        <v>15069</v>
      </c>
      <c r="AA18" s="4" t="n">
        <v>9984</v>
      </c>
      <c r="AB18" s="4" t="n">
        <v>12168</v>
      </c>
      <c r="AC18" s="4" t="n">
        <v>13944</v>
      </c>
    </row>
    <row r="19">
      <c r="A19" s="3" t="inlineStr">
        <is>
          <t>Accrued Expenses</t>
        </is>
      </c>
      <c r="B19" s="4" t="n">
        <v>16958</v>
      </c>
      <c r="C19" s="4" t="n">
        <v>19382</v>
      </c>
      <c r="D19" s="4" t="n">
        <v>19823</v>
      </c>
      <c r="E19" s="4" t="n">
        <v>21038</v>
      </c>
      <c r="F19" s="4" t="n">
        <v>23067</v>
      </c>
      <c r="G19" s="4" t="n">
        <v>22601</v>
      </c>
      <c r="H19" s="4" t="n">
        <v>24426</v>
      </c>
      <c r="I19" s="4" t="n">
        <v>25631</v>
      </c>
      <c r="J19" s="4" t="n">
        <v>28631</v>
      </c>
      <c r="K19" s="4" t="n">
        <v>30732</v>
      </c>
      <c r="L19" s="4" t="n">
        <v>28981</v>
      </c>
      <c r="M19" s="4" t="n">
        <v>30113</v>
      </c>
      <c r="N19" s="4" t="n">
        <v>31236</v>
      </c>
      <c r="O19" s="4" t="n">
        <v>33051</v>
      </c>
      <c r="P19" s="4" t="n">
        <v>32976</v>
      </c>
      <c r="Q19" s="4" t="n">
        <v>35038</v>
      </c>
      <c r="R19" s="4" t="n">
        <v>37866</v>
      </c>
      <c r="S19" s="4" t="n">
        <v>43185</v>
      </c>
      <c r="T19" s="4" t="n">
        <v>49300</v>
      </c>
      <c r="U19" s="4" t="n">
        <v>55602</v>
      </c>
      <c r="V19" s="4" t="n">
        <v>46168</v>
      </c>
      <c r="W19" s="4" t="n">
        <v>48603</v>
      </c>
      <c r="X19" s="4" t="n">
        <v>47298</v>
      </c>
      <c r="Y19" s="4" t="n">
        <v>46585</v>
      </c>
      <c r="Z19" s="4" t="n">
        <v>51228</v>
      </c>
      <c r="AA19" s="4" t="n">
        <v>58300</v>
      </c>
      <c r="AB19" s="4" t="n">
        <v>52039</v>
      </c>
      <c r="AC19" s="4" t="n">
        <v>59437</v>
      </c>
    </row>
    <row r="20">
      <c r="A20" s="3" t="inlineStr">
        <is>
          <t>Accrued Revenue Share</t>
        </is>
      </c>
      <c r="B20" s="4" t="n">
        <v>4592</v>
      </c>
      <c r="C20" s="4" t="n">
        <v>4318</v>
      </c>
      <c r="D20" s="4" t="n">
        <v>4567</v>
      </c>
      <c r="E20" s="4" t="n">
        <v>4835</v>
      </c>
      <c r="F20" s="4" t="n">
        <v>5916</v>
      </c>
      <c r="G20" s="4" t="n">
        <v>4982</v>
      </c>
      <c r="H20" s="4" t="n">
        <v>5005</v>
      </c>
      <c r="I20" s="4" t="n">
        <v>6030</v>
      </c>
      <c r="J20" s="4" t="n">
        <v>7500</v>
      </c>
      <c r="K20" s="4" t="n">
        <v>6962</v>
      </c>
      <c r="L20" s="4" t="n">
        <v>7438</v>
      </c>
      <c r="M20" s="4" t="n">
        <v>7745</v>
      </c>
      <c r="N20" s="4" t="n">
        <v>8996</v>
      </c>
      <c r="O20" s="4" t="n">
        <v>8116</v>
      </c>
      <c r="P20" s="4" t="n">
        <v>7889</v>
      </c>
      <c r="Q20" s="4" t="n">
        <v>7662</v>
      </c>
      <c r="R20" s="4" t="n">
        <v>8370</v>
      </c>
      <c r="S20" s="4" t="n">
        <v>7816</v>
      </c>
      <c r="T20" s="4" t="n">
        <v>7990</v>
      </c>
      <c r="U20" s="4" t="n">
        <v>8025</v>
      </c>
      <c r="V20" s="4" t="n">
        <v>8876</v>
      </c>
      <c r="W20" s="4" t="n">
        <v>8520</v>
      </c>
      <c r="X20" s="4" t="n">
        <v>8899</v>
      </c>
      <c r="Y20" s="4" t="n">
        <v>9365</v>
      </c>
      <c r="Z20" s="4" t="n">
        <v>9802</v>
      </c>
      <c r="AA20" s="4" t="n">
        <v>9965</v>
      </c>
      <c r="AB20" s="4" t="n">
        <v>9787</v>
      </c>
      <c r="AC20" s="4" t="n">
        <v>10081</v>
      </c>
    </row>
    <row r="21">
      <c r="A21" s="3" t="inlineStr">
        <is>
          <t>Deferred Revenue - Current</t>
        </is>
      </c>
      <c r="B21" s="4" t="n">
        <v>1784</v>
      </c>
      <c r="C21" s="4" t="n">
        <v>1667</v>
      </c>
      <c r="D21" s="4" t="n">
        <v>1717</v>
      </c>
      <c r="E21" s="4" t="n">
        <v>1679</v>
      </c>
      <c r="F21" s="4" t="n">
        <v>1908</v>
      </c>
      <c r="G21" s="4" t="n">
        <v>1938</v>
      </c>
      <c r="H21" s="4" t="n">
        <v>2061</v>
      </c>
      <c r="I21" s="4" t="n">
        <v>2302</v>
      </c>
      <c r="J21" s="4" t="n">
        <v>2543</v>
      </c>
      <c r="K21" s="4" t="n">
        <v>2690</v>
      </c>
      <c r="L21" s="4" t="n">
        <v>2715</v>
      </c>
      <c r="M21" s="4" t="n">
        <v>2968</v>
      </c>
      <c r="N21" s="4" t="n">
        <v>3288</v>
      </c>
      <c r="O21" s="4" t="n">
        <v>3198</v>
      </c>
      <c r="P21" s="4" t="n">
        <v>3272</v>
      </c>
      <c r="Q21" s="4" t="n">
        <v>3585</v>
      </c>
      <c r="R21" s="4" t="n">
        <v>3908</v>
      </c>
      <c r="S21" s="4" t="n">
        <v>3715</v>
      </c>
      <c r="T21" s="4" t="n">
        <v>3846</v>
      </c>
      <c r="U21" s="4" t="n">
        <v>4303</v>
      </c>
      <c r="V21" s="4" t="n">
        <v>4137</v>
      </c>
      <c r="W21" s="4" t="n">
        <v>3973</v>
      </c>
      <c r="X21" s="4" t="n">
        <v>4251</v>
      </c>
      <c r="Y21" s="4" t="n">
        <v>4896</v>
      </c>
      <c r="Z21" s="4" t="n">
        <v>5036</v>
      </c>
      <c r="AA21" s="4" t="n">
        <v>4908</v>
      </c>
      <c r="AB21" s="4" t="n">
        <v>4969</v>
      </c>
      <c r="AC21" s="4" t="n">
        <v>5542</v>
      </c>
    </row>
    <row r="22">
      <c r="A22" s="3" t="inlineStr">
        <is>
          <t>Income Taxes Payable</t>
        </is>
      </c>
      <c r="B22" s="4" t="n">
        <v>69</v>
      </c>
      <c r="C22" s="4" t="n">
        <v>761</v>
      </c>
      <c r="D22" s="4" t="n">
        <v>536</v>
      </c>
      <c r="E22" s="4" t="n">
        <v>131</v>
      </c>
      <c r="F22" s="4" t="n">
        <v>274</v>
      </c>
      <c r="G22" s="4" t="n">
        <v>913</v>
      </c>
      <c r="H22" s="4" t="n">
        <v>975</v>
      </c>
      <c r="I22" s="4" t="n">
        <v>1099</v>
      </c>
      <c r="J22" s="4" t="n">
        <v>1485</v>
      </c>
      <c r="K22" s="4" t="n">
        <v>1893</v>
      </c>
      <c r="L22" s="4" t="n">
        <v>1811</v>
      </c>
      <c r="M22" s="4" t="n">
        <v>4170</v>
      </c>
      <c r="N22" s="4" t="n">
        <v>808</v>
      </c>
      <c r="O22" s="4" t="n">
        <v>4344</v>
      </c>
      <c r="P22" s="4" t="n">
        <v>1956</v>
      </c>
      <c r="Q22" s="4" t="n">
        <v>1025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</row>
    <row r="23">
      <c r="A23" s="3" t="inlineStr">
        <is>
          <t>Total Current Liabilities</t>
        </is>
      </c>
      <c r="B23" s="6">
        <f>SUM(B17:B22)</f>
        <v/>
      </c>
      <c r="C23" s="6">
        <f>SUM(C17:C22)</f>
        <v/>
      </c>
      <c r="D23" s="6">
        <f>SUM(D17:D22)</f>
        <v/>
      </c>
      <c r="E23" s="6">
        <f>SUM(E17:E22)</f>
        <v/>
      </c>
      <c r="F23" s="6">
        <f>SUM(F17:F22)</f>
        <v/>
      </c>
      <c r="G23" s="6">
        <f>SUM(G17:G22)</f>
        <v/>
      </c>
      <c r="H23" s="6">
        <f>SUM(H17:H22)</f>
        <v/>
      </c>
      <c r="I23" s="6">
        <f>SUM(I17:I22)</f>
        <v/>
      </c>
      <c r="J23" s="6">
        <f>SUM(J17:J22)</f>
        <v/>
      </c>
      <c r="K23" s="6">
        <f>SUM(K17:K22)</f>
        <v/>
      </c>
      <c r="L23" s="6">
        <f>SUM(L17:L22)</f>
        <v/>
      </c>
      <c r="M23" s="6">
        <f>SUM(M17:M22)</f>
        <v/>
      </c>
      <c r="N23" s="6">
        <f>SUM(N17:N22)</f>
        <v/>
      </c>
      <c r="O23" s="6">
        <f>SUM(O17:O22)</f>
        <v/>
      </c>
      <c r="P23" s="6">
        <f>SUM(P17:P22)</f>
        <v/>
      </c>
      <c r="Q23" s="6">
        <f>SUM(Q17:Q22)</f>
        <v/>
      </c>
      <c r="R23" s="6">
        <f>SUM(R17:R22)</f>
        <v/>
      </c>
      <c r="S23" s="6">
        <f>SUM(S17:S22)</f>
        <v/>
      </c>
      <c r="T23" s="6">
        <f>SUM(T17:T22)</f>
        <v/>
      </c>
      <c r="U23" s="6">
        <f>SUM(U17:U22)</f>
        <v/>
      </c>
      <c r="V23" s="6">
        <f>SUM(V17:V22)</f>
        <v/>
      </c>
      <c r="W23" s="6">
        <f>SUM(W17:W22)</f>
        <v/>
      </c>
      <c r="X23" s="6">
        <f>SUM(X17:X22)</f>
        <v/>
      </c>
      <c r="Y23" s="6">
        <f>SUM(Y17:Y22)</f>
        <v/>
      </c>
      <c r="Z23" s="6">
        <f>SUM(Z17:Z22)</f>
        <v/>
      </c>
      <c r="AA23" s="6">
        <f>SUM(AA17:AA22)</f>
        <v/>
      </c>
      <c r="AB23" s="6">
        <f>SUM(AB17:AB22)</f>
        <v/>
      </c>
      <c r="AC23" s="6">
        <f>SUM(AC17:AC22)</f>
        <v/>
      </c>
    </row>
    <row r="24">
      <c r="A24" s="3" t="inlineStr">
        <is>
          <t>Long-Term Debt</t>
        </is>
      </c>
      <c r="B24" s="4" t="n">
        <v>15339</v>
      </c>
      <c r="C24" s="4" t="n">
        <v>15671</v>
      </c>
      <c r="D24" s="4" t="n">
        <v>15043</v>
      </c>
      <c r="E24" s="4" t="n">
        <v>15437</v>
      </c>
      <c r="F24" s="4" t="n">
        <v>14439</v>
      </c>
      <c r="G24" s="4" t="n">
        <v>14223</v>
      </c>
      <c r="H24" s="4" t="n">
        <v>12617</v>
      </c>
      <c r="I24" s="4" t="n">
        <v>22518</v>
      </c>
      <c r="J24" s="4" t="n">
        <v>22781</v>
      </c>
      <c r="K24" s="4" t="n">
        <v>23165</v>
      </c>
      <c r="L24" s="4" t="n">
        <v>22979</v>
      </c>
      <c r="M24" s="4" t="n">
        <v>23272</v>
      </c>
      <c r="N24" s="4" t="n">
        <v>23993</v>
      </c>
      <c r="O24" s="4" t="n">
        <v>24197</v>
      </c>
      <c r="P24" s="4" t="n">
        <v>22897</v>
      </c>
      <c r="Q24" s="4" t="n">
        <v>23225</v>
      </c>
      <c r="R24" s="4" t="n">
        <v>23959</v>
      </c>
      <c r="S24" s="4" t="n">
        <v>23419</v>
      </c>
      <c r="T24" s="4" t="n">
        <v>22458</v>
      </c>
      <c r="U24" s="4" t="n">
        <v>21819</v>
      </c>
      <c r="V24" s="4" t="n">
        <v>21727</v>
      </c>
      <c r="W24" s="4" t="n">
        <v>22462</v>
      </c>
      <c r="X24" s="4" t="n">
        <v>20941</v>
      </c>
      <c r="Y24" s="4" t="n">
        <v>20516</v>
      </c>
      <c r="Z24" s="4" t="n">
        <v>19665</v>
      </c>
      <c r="AA24" s="4" t="n">
        <v>20659</v>
      </c>
      <c r="AB24" s="4" t="n">
        <v>33634</v>
      </c>
      <c r="AC24" s="4" t="n">
        <v>31679</v>
      </c>
    </row>
    <row r="25">
      <c r="A25" s="3" t="inlineStr">
        <is>
          <t>Deferred Revenue - Non-Current</t>
        </is>
      </c>
      <c r="B25" s="4" t="n">
        <v>396</v>
      </c>
      <c r="C25" s="4" t="n">
        <v>391</v>
      </c>
      <c r="D25" s="4" t="n">
        <v>387</v>
      </c>
      <c r="E25" s="4" t="n">
        <v>364</v>
      </c>
      <c r="F25" s="4" t="n">
        <v>358</v>
      </c>
      <c r="G25" s="4" t="n">
        <v>350</v>
      </c>
      <c r="H25" s="4" t="n">
        <v>397</v>
      </c>
      <c r="I25" s="4" t="n">
        <v>454</v>
      </c>
      <c r="J25" s="4" t="n">
        <v>481</v>
      </c>
      <c r="K25" s="4" t="n">
        <v>530</v>
      </c>
      <c r="L25" s="4" t="n">
        <v>510</v>
      </c>
      <c r="M25" s="4" t="n">
        <v>510</v>
      </c>
      <c r="N25" s="4" t="n">
        <v>535</v>
      </c>
      <c r="O25" s="4" t="n">
        <v>499</v>
      </c>
      <c r="P25" s="4" t="n">
        <v>472</v>
      </c>
      <c r="Q25" s="4" t="n">
        <v>594</v>
      </c>
      <c r="R25" s="4" t="n">
        <v>599</v>
      </c>
      <c r="S25" s="4" t="n">
        <v>610</v>
      </c>
      <c r="T25" s="4" t="n">
        <v>667</v>
      </c>
      <c r="U25" s="4" t="n">
        <v>884</v>
      </c>
      <c r="V25" s="4" t="n">
        <v>911</v>
      </c>
      <c r="W25" s="4" t="n">
        <v>921</v>
      </c>
      <c r="X25" s="4" t="n">
        <v>985</v>
      </c>
      <c r="Y25" s="4" t="n">
        <v>1015</v>
      </c>
      <c r="Z25" s="4" t="n">
        <v>0</v>
      </c>
      <c r="AA25" s="4" t="n">
        <v>0</v>
      </c>
      <c r="AB25" s="4" t="n">
        <v>0</v>
      </c>
      <c r="AC25" s="4" t="n">
        <v>0</v>
      </c>
    </row>
    <row r="26">
      <c r="A26" s="3" t="inlineStr">
        <is>
          <t>Deferred Tax Liability</t>
        </is>
      </c>
      <c r="B26" s="4" t="n">
        <v>1264</v>
      </c>
      <c r="C26" s="4" t="n">
        <v>1282</v>
      </c>
      <c r="D26" s="4" t="n">
        <v>1892</v>
      </c>
      <c r="E26" s="4" t="n">
        <v>1747</v>
      </c>
      <c r="F26" s="4" t="n">
        <v>1701</v>
      </c>
      <c r="G26" s="4" t="n">
        <v>2079</v>
      </c>
      <c r="H26" s="4" t="n">
        <v>1797</v>
      </c>
      <c r="I26" s="4" t="n">
        <v>1973</v>
      </c>
      <c r="J26" s="4" t="n">
        <v>3561</v>
      </c>
      <c r="K26" s="4" t="n">
        <v>4406</v>
      </c>
      <c r="L26" s="4" t="n">
        <v>4703</v>
      </c>
      <c r="M26" s="4" t="n">
        <v>3551</v>
      </c>
      <c r="N26" s="4" t="n">
        <v>5257</v>
      </c>
      <c r="O26" s="4" t="n">
        <v>2843</v>
      </c>
      <c r="P26" s="4" t="n">
        <v>924</v>
      </c>
      <c r="Q26" s="4" t="n">
        <v>476</v>
      </c>
      <c r="R26" s="4" t="n">
        <v>514</v>
      </c>
      <c r="S26" s="4" t="n">
        <v>542</v>
      </c>
      <c r="T26" s="4" t="n">
        <v>558</v>
      </c>
      <c r="U26" s="4" t="n">
        <v>528</v>
      </c>
      <c r="V26" s="4" t="n">
        <v>485</v>
      </c>
      <c r="W26" s="4" t="n">
        <v>486</v>
      </c>
      <c r="X26" s="4" t="n">
        <v>717</v>
      </c>
      <c r="Y26" s="4" t="n">
        <v>706</v>
      </c>
      <c r="Z26" s="4" t="n">
        <v>0</v>
      </c>
      <c r="AA26" s="4" t="n">
        <v>0</v>
      </c>
      <c r="AB26" s="4" t="n">
        <v>0</v>
      </c>
      <c r="AC26" s="4" t="n">
        <v>0</v>
      </c>
    </row>
    <row r="27">
      <c r="A27" s="3" t="inlineStr">
        <is>
          <t>Lease Liability - Operating - Non-Current</t>
        </is>
      </c>
      <c r="B27" s="4" t="n">
        <v>0</v>
      </c>
      <c r="C27" s="4" t="n">
        <v>8206</v>
      </c>
      <c r="D27" s="4" t="n">
        <v>9088</v>
      </c>
      <c r="E27" s="4" t="n">
        <v>9666</v>
      </c>
      <c r="F27" s="4" t="n">
        <v>10214</v>
      </c>
      <c r="G27" s="4" t="n">
        <v>10476</v>
      </c>
      <c r="H27" s="4" t="n">
        <v>10709</v>
      </c>
      <c r="I27" s="4" t="n">
        <v>10984</v>
      </c>
      <c r="J27" s="4" t="n">
        <v>11146</v>
      </c>
      <c r="K27" s="4" t="n">
        <v>11382</v>
      </c>
      <c r="L27" s="4" t="n">
        <v>11619</v>
      </c>
      <c r="M27" s="4" t="n">
        <v>11471</v>
      </c>
      <c r="N27" s="4" t="n">
        <v>11389</v>
      </c>
      <c r="O27" s="4" t="n">
        <v>11363</v>
      </c>
      <c r="P27" s="4" t="n">
        <v>11697</v>
      </c>
      <c r="Q27" s="4" t="n">
        <v>11984</v>
      </c>
      <c r="R27" s="4" t="n">
        <v>12501</v>
      </c>
      <c r="S27" s="4" t="n">
        <v>12799</v>
      </c>
      <c r="T27" s="4" t="n">
        <v>12746</v>
      </c>
      <c r="U27" s="4" t="n">
        <v>12550</v>
      </c>
      <c r="V27" s="4" t="n">
        <v>12460</v>
      </c>
      <c r="W27" s="4" t="n">
        <v>11957</v>
      </c>
      <c r="X27" s="4" t="n">
        <v>11708</v>
      </c>
      <c r="Y27" s="4" t="n">
        <v>11654</v>
      </c>
      <c r="Z27" s="4" t="n">
        <v>11691</v>
      </c>
      <c r="AA27" s="4" t="n">
        <v>11678</v>
      </c>
      <c r="AB27" s="4" t="n">
        <v>11952</v>
      </c>
      <c r="AC27" s="4" t="n">
        <v>12106</v>
      </c>
    </row>
    <row r="28">
      <c r="A28" s="3" t="inlineStr">
        <is>
          <t>Other Non-Current Liabilities</t>
        </is>
      </c>
      <c r="B28" s="4" t="n">
        <v>3545</v>
      </c>
      <c r="C28" s="4" t="n">
        <v>1417</v>
      </c>
      <c r="D28" s="4" t="n">
        <v>1499</v>
      </c>
      <c r="E28" s="4" t="n">
        <v>1637</v>
      </c>
      <c r="F28" s="4" t="n">
        <v>2534</v>
      </c>
      <c r="G28" s="4" t="n">
        <v>2427</v>
      </c>
      <c r="H28" s="4" t="n">
        <v>1992</v>
      </c>
      <c r="I28" s="4" t="n">
        <v>2194</v>
      </c>
      <c r="J28" s="4" t="n">
        <v>2269</v>
      </c>
      <c r="K28" s="4" t="n">
        <v>2146</v>
      </c>
      <c r="L28" s="4" t="n">
        <v>2270</v>
      </c>
      <c r="M28" s="4" t="n">
        <v>2250</v>
      </c>
      <c r="N28" s="4" t="n">
        <v>2205</v>
      </c>
      <c r="O28" s="4" t="n">
        <v>2242</v>
      </c>
      <c r="P28" s="4" t="n">
        <v>2422</v>
      </c>
      <c r="Q28" s="4" t="n">
        <v>2371</v>
      </c>
      <c r="R28" s="4" t="n">
        <v>2247</v>
      </c>
      <c r="S28" s="4" t="n">
        <v>2373</v>
      </c>
      <c r="T28" s="4" t="n">
        <v>1765</v>
      </c>
      <c r="U28" s="4" t="n">
        <v>1433</v>
      </c>
      <c r="V28" s="4" t="n">
        <v>1616</v>
      </c>
      <c r="W28" s="4" t="n">
        <v>1683</v>
      </c>
      <c r="X28" s="4" t="n">
        <v>1753</v>
      </c>
      <c r="Y28" s="4" t="n">
        <v>1453</v>
      </c>
      <c r="Z28" s="4" t="n">
        <v>4694</v>
      </c>
      <c r="AA28" s="4" t="n">
        <v>6116</v>
      </c>
      <c r="AB28" s="4" t="n">
        <v>6241</v>
      </c>
      <c r="AC28" s="4" t="n">
        <v>6267</v>
      </c>
    </row>
    <row r="29">
      <c r="A29" s="3" t="inlineStr">
        <is>
          <t>Total Liabilities</t>
        </is>
      </c>
      <c r="B29" s="6">
        <f>B23+SUM(B24:B28)</f>
        <v/>
      </c>
      <c r="C29" s="6">
        <f>C23+SUM(C24:C28)</f>
        <v/>
      </c>
      <c r="D29" s="6">
        <f>D23+SUM(D24:D28)</f>
        <v/>
      </c>
      <c r="E29" s="6">
        <f>E23+SUM(E24:E28)</f>
        <v/>
      </c>
      <c r="F29" s="6">
        <f>F23+SUM(F24:F28)</f>
        <v/>
      </c>
      <c r="G29" s="6">
        <f>G23+SUM(G24:G28)</f>
        <v/>
      </c>
      <c r="H29" s="6">
        <f>H23+SUM(H24:H28)</f>
        <v/>
      </c>
      <c r="I29" s="6">
        <f>I23+SUM(I24:I28)</f>
        <v/>
      </c>
      <c r="J29" s="6">
        <f>J23+SUM(J24:J28)</f>
        <v/>
      </c>
      <c r="K29" s="6">
        <f>K23+SUM(K24:K28)</f>
        <v/>
      </c>
      <c r="L29" s="6">
        <f>L23+SUM(L24:L28)</f>
        <v/>
      </c>
      <c r="M29" s="6">
        <f>M23+SUM(M24:M28)</f>
        <v/>
      </c>
      <c r="N29" s="6">
        <f>N23+SUM(N24:N28)</f>
        <v/>
      </c>
      <c r="O29" s="6">
        <f>O23+SUM(O24:O28)</f>
        <v/>
      </c>
      <c r="P29" s="6">
        <f>P23+SUM(P24:P28)</f>
        <v/>
      </c>
      <c r="Q29" s="6">
        <f>Q23+SUM(Q24:Q28)</f>
        <v/>
      </c>
      <c r="R29" s="6">
        <f>R23+SUM(R24:R28)</f>
        <v/>
      </c>
      <c r="S29" s="6">
        <f>S23+SUM(S24:S28)</f>
        <v/>
      </c>
      <c r="T29" s="6">
        <f>T23+SUM(T24:T28)</f>
        <v/>
      </c>
      <c r="U29" s="6">
        <f>U23+SUM(U24:U28)</f>
        <v/>
      </c>
      <c r="V29" s="6">
        <f>V23+SUM(V24:V28)</f>
        <v/>
      </c>
      <c r="W29" s="6">
        <f>W23+SUM(W24:W28)</f>
        <v/>
      </c>
      <c r="X29" s="6">
        <f>X23+SUM(X24:X28)</f>
        <v/>
      </c>
      <c r="Y29" s="6">
        <f>Y23+SUM(Y24:Y28)</f>
        <v/>
      </c>
      <c r="Z29" s="6">
        <f>Z23+SUM(Z24:Z28)</f>
        <v/>
      </c>
      <c r="AA29" s="6">
        <f>AA23+SUM(AA24:AA28)</f>
        <v/>
      </c>
      <c r="AB29" s="6">
        <f>AB23+SUM(AB24:AB28)</f>
        <v/>
      </c>
      <c r="AC29" s="6">
        <f>AC23+SUM(AC24:AC28)</f>
        <v/>
      </c>
    </row>
    <row r="30">
      <c r="A30" s="3" t="inlineStr">
        <is>
          <t>Convertible Preferred Stock</t>
        </is>
      </c>
      <c r="B30" s="4" t="n">
        <v>0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</row>
    <row r="31">
      <c r="A31" s="3" t="inlineStr">
        <is>
          <t>Common Stock and Additional Paid-in Capital</t>
        </is>
      </c>
      <c r="B31" s="4" t="n">
        <v>45049</v>
      </c>
      <c r="C31" s="4" t="n">
        <v>46532</v>
      </c>
      <c r="D31" s="4" t="n">
        <v>47937</v>
      </c>
      <c r="E31" s="4" t="n">
        <v>49040</v>
      </c>
      <c r="F31" s="4" t="n">
        <v>50552</v>
      </c>
      <c r="G31" s="4" t="n">
        <v>53688</v>
      </c>
      <c r="H31" s="4" t="n">
        <v>55937</v>
      </c>
      <c r="I31" s="4" t="n">
        <v>57307</v>
      </c>
      <c r="J31" s="4" t="n">
        <v>58510</v>
      </c>
      <c r="K31" s="4" t="n">
        <v>59436</v>
      </c>
      <c r="L31" s="4" t="n">
        <v>60436</v>
      </c>
      <c r="M31" s="4" t="n">
        <v>61193</v>
      </c>
      <c r="N31" s="4" t="n">
        <v>61774</v>
      </c>
      <c r="O31" s="4" t="n">
        <v>62832</v>
      </c>
      <c r="P31" s="4" t="n">
        <v>64402</v>
      </c>
      <c r="Q31" s="4" t="n">
        <v>66258</v>
      </c>
      <c r="R31" s="4" t="n">
        <v>68184</v>
      </c>
      <c r="S31" s="4" t="n">
        <v>70269</v>
      </c>
      <c r="T31" s="4" t="n">
        <v>72248</v>
      </c>
      <c r="U31" s="4" t="n">
        <v>74591</v>
      </c>
      <c r="V31" s="4" t="n">
        <v>76534</v>
      </c>
      <c r="W31" s="4" t="n">
        <v>77913</v>
      </c>
      <c r="X31" s="4" t="n">
        <v>79732</v>
      </c>
      <c r="Y31" s="4" t="n">
        <v>82030</v>
      </c>
      <c r="Z31" s="4" t="n">
        <v>84800</v>
      </c>
      <c r="AA31" s="4" t="n">
        <v>86725</v>
      </c>
      <c r="AB31" s="4" t="n">
        <v>89283</v>
      </c>
      <c r="AC31" s="4" t="n">
        <v>91695</v>
      </c>
    </row>
    <row r="32">
      <c r="A32" s="3" t="inlineStr">
        <is>
          <t>Accumulated Other Comprehensive Income (Loss)</t>
        </is>
      </c>
      <c r="B32" s="4" t="n">
        <v>-2306</v>
      </c>
      <c r="C32" s="4" t="n">
        <v>-1780</v>
      </c>
      <c r="D32" s="4" t="n">
        <v>-1091</v>
      </c>
      <c r="E32" s="4" t="n">
        <v>-1196</v>
      </c>
      <c r="F32" s="4" t="n">
        <v>-1232</v>
      </c>
      <c r="G32" s="4" t="n">
        <v>-1097</v>
      </c>
      <c r="H32" s="4" t="n">
        <v>-296</v>
      </c>
      <c r="I32" s="4" t="n">
        <v>46</v>
      </c>
      <c r="J32" s="4" t="n">
        <v>633</v>
      </c>
      <c r="K32" s="4" t="n">
        <v>-3</v>
      </c>
      <c r="L32" s="4" t="n">
        <v>190</v>
      </c>
      <c r="M32" s="4" t="n">
        <v>-408</v>
      </c>
      <c r="N32" s="4" t="n">
        <v>-1623</v>
      </c>
      <c r="O32" s="4" t="n">
        <v>-4049</v>
      </c>
      <c r="P32" s="4" t="n">
        <v>-5828</v>
      </c>
      <c r="Q32" s="4" t="n">
        <v>-8852</v>
      </c>
      <c r="R32" s="4" t="n">
        <v>-7603</v>
      </c>
      <c r="S32" s="4" t="n">
        <v>-6000</v>
      </c>
      <c r="T32" s="4" t="n">
        <v>-5991</v>
      </c>
      <c r="U32" s="4" t="n">
        <v>-7036</v>
      </c>
      <c r="V32" s="4" t="n">
        <v>-4402</v>
      </c>
      <c r="W32" s="4" t="n">
        <v>-4839</v>
      </c>
      <c r="X32" s="4" t="n">
        <v>-5012</v>
      </c>
      <c r="Y32" s="4" t="n">
        <v>-3228</v>
      </c>
      <c r="Z32" s="4" t="n">
        <v>-4800</v>
      </c>
      <c r="AA32" s="4" t="n">
        <v>-4086</v>
      </c>
      <c r="AB32" s="4" t="n">
        <v>-2127</v>
      </c>
      <c r="AC32" s="4" t="n">
        <v>-2054</v>
      </c>
    </row>
    <row r="33">
      <c r="A33" s="3" t="inlineStr">
        <is>
          <t>Retained Earnings (Accumulated Deficit)</t>
        </is>
      </c>
      <c r="B33" s="4" t="n">
        <v>134885</v>
      </c>
      <c r="C33" s="4" t="n">
        <v>138720</v>
      </c>
      <c r="D33" s="4" t="n">
        <v>145346</v>
      </c>
      <c r="E33" s="4" t="n">
        <v>147125</v>
      </c>
      <c r="F33" s="4" t="n">
        <v>152122</v>
      </c>
      <c r="G33" s="4" t="n">
        <v>151068</v>
      </c>
      <c r="H33" s="4" t="n">
        <v>151681</v>
      </c>
      <c r="I33" s="4" t="n">
        <v>155567</v>
      </c>
      <c r="J33" s="4" t="n">
        <v>163401</v>
      </c>
      <c r="K33" s="4" t="n">
        <v>170580</v>
      </c>
      <c r="L33" s="4" t="n">
        <v>176939</v>
      </c>
      <c r="M33" s="4" t="n">
        <v>183782</v>
      </c>
      <c r="N33" s="4" t="n">
        <v>191484</v>
      </c>
      <c r="O33" s="4" t="n">
        <v>195221</v>
      </c>
      <c r="P33" s="4" t="n">
        <v>196845</v>
      </c>
      <c r="Q33" s="4" t="n">
        <v>196220</v>
      </c>
      <c r="R33" s="4" t="n">
        <v>195563</v>
      </c>
      <c r="S33" s="4" t="n">
        <v>196625</v>
      </c>
      <c r="T33" s="4" t="n">
        <v>200884</v>
      </c>
      <c r="U33" s="4" t="n">
        <v>205647</v>
      </c>
      <c r="V33" s="4" t="n">
        <v>211247</v>
      </c>
      <c r="W33" s="4" t="n">
        <v>219770</v>
      </c>
      <c r="X33" s="4" t="n">
        <v>226033</v>
      </c>
      <c r="Y33" s="4" t="n">
        <v>235317</v>
      </c>
      <c r="Z33" s="4" t="n">
        <v>245084</v>
      </c>
      <c r="AA33" s="4" t="n">
        <v>262628</v>
      </c>
      <c r="AB33" s="4" t="n">
        <v>275760</v>
      </c>
      <c r="AC33" s="4" t="n">
        <v>297226</v>
      </c>
    </row>
    <row r="34">
      <c r="A34" s="3" t="inlineStr">
        <is>
          <t>Total Stockholders' Equity</t>
        </is>
      </c>
      <c r="B34" s="6">
        <f>SUM(B30:B33)</f>
        <v/>
      </c>
      <c r="C34" s="6">
        <f>SUM(C30:C33)</f>
        <v/>
      </c>
      <c r="D34" s="6">
        <f>SUM(D30:D33)</f>
        <v/>
      </c>
      <c r="E34" s="6">
        <f>SUM(E30:E33)</f>
        <v/>
      </c>
      <c r="F34" s="6">
        <f>SUM(F30:F33)</f>
        <v/>
      </c>
      <c r="G34" s="6">
        <f>SUM(G30:G33)</f>
        <v/>
      </c>
      <c r="H34" s="6">
        <f>SUM(H30:H33)</f>
        <v/>
      </c>
      <c r="I34" s="6">
        <f>SUM(I30:I33)</f>
        <v/>
      </c>
      <c r="J34" s="6">
        <f>SUM(J30:J33)</f>
        <v/>
      </c>
      <c r="K34" s="6">
        <f>SUM(K30:K33)</f>
        <v/>
      </c>
      <c r="L34" s="6">
        <f>SUM(L30:L33)</f>
        <v/>
      </c>
      <c r="M34" s="6">
        <f>SUM(M30:M33)</f>
        <v/>
      </c>
      <c r="N34" s="6">
        <f>SUM(N30:N33)</f>
        <v/>
      </c>
      <c r="O34" s="6">
        <f>SUM(O30:O33)</f>
        <v/>
      </c>
      <c r="P34" s="6">
        <f>SUM(P30:P33)</f>
        <v/>
      </c>
      <c r="Q34" s="6">
        <f>SUM(Q30:Q33)</f>
        <v/>
      </c>
      <c r="R34" s="6">
        <f>SUM(R30:R33)</f>
        <v/>
      </c>
      <c r="S34" s="6">
        <f>SUM(S30:S33)</f>
        <v/>
      </c>
      <c r="T34" s="6">
        <f>SUM(T30:T33)</f>
        <v/>
      </c>
      <c r="U34" s="6">
        <f>SUM(U30:U33)</f>
        <v/>
      </c>
      <c r="V34" s="6">
        <f>SUM(V30:V33)</f>
        <v/>
      </c>
      <c r="W34" s="6">
        <f>SUM(W30:W33)</f>
        <v/>
      </c>
      <c r="X34" s="6">
        <f>SUM(X30:X33)</f>
        <v/>
      </c>
      <c r="Y34" s="6">
        <f>SUM(Y30:Y33)</f>
        <v/>
      </c>
      <c r="Z34" s="6">
        <f>SUM(Z30:Z33)</f>
        <v/>
      </c>
      <c r="AA34" s="6">
        <f>SUM(AA30:AA33)</f>
        <v/>
      </c>
      <c r="AB34" s="6">
        <f>SUM(AB30:AB33)</f>
        <v/>
      </c>
      <c r="AC34" s="6">
        <f>SUM(AC30:AC33)</f>
        <v/>
      </c>
    </row>
    <row r="35">
      <c r="A35" s="3" t="inlineStr">
        <is>
          <t>Total Liabilities, Mezzanine &amp; Stockholders' Equity</t>
        </is>
      </c>
      <c r="B35" s="6">
        <f>B29+B34</f>
        <v/>
      </c>
      <c r="C35" s="6">
        <f>C29+C34</f>
        <v/>
      </c>
      <c r="D35" s="6">
        <f>D29+D34</f>
        <v/>
      </c>
      <c r="E35" s="6">
        <f>E29+E34</f>
        <v/>
      </c>
      <c r="F35" s="6">
        <f>F29+F34</f>
        <v/>
      </c>
      <c r="G35" s="6">
        <f>G29+G34</f>
        <v/>
      </c>
      <c r="H35" s="6">
        <f>H29+H34</f>
        <v/>
      </c>
      <c r="I35" s="6">
        <f>I29+I34</f>
        <v/>
      </c>
      <c r="J35" s="6">
        <f>J29+J34</f>
        <v/>
      </c>
      <c r="K35" s="6">
        <f>K29+K34</f>
        <v/>
      </c>
      <c r="L35" s="6">
        <f>L29+L34</f>
        <v/>
      </c>
      <c r="M35" s="6">
        <f>M29+M34</f>
        <v/>
      </c>
      <c r="N35" s="6">
        <f>N29+N34</f>
        <v/>
      </c>
      <c r="O35" s="6">
        <f>O29+O34</f>
        <v/>
      </c>
      <c r="P35" s="6">
        <f>P29+P34</f>
        <v/>
      </c>
      <c r="Q35" s="6">
        <f>Q29+Q34</f>
        <v/>
      </c>
      <c r="R35" s="6">
        <f>R29+R34</f>
        <v/>
      </c>
      <c r="S35" s="6">
        <f>S29+S34</f>
        <v/>
      </c>
      <c r="T35" s="6">
        <f>T29+T34</f>
        <v/>
      </c>
      <c r="U35" s="6">
        <f>U29+U34</f>
        <v/>
      </c>
      <c r="V35" s="6">
        <f>V29+V34</f>
        <v/>
      </c>
      <c r="W35" s="6">
        <f>W29+W34</f>
        <v/>
      </c>
      <c r="X35" s="6">
        <f>X29+X34</f>
        <v/>
      </c>
      <c r="Y35" s="6">
        <f>Y29+Y34</f>
        <v/>
      </c>
      <c r="Z35" s="6">
        <f>Z29+Z34</f>
        <v/>
      </c>
      <c r="AA35" s="6">
        <f>AA29+AA34</f>
        <v/>
      </c>
      <c r="AB35" s="6">
        <f>AB29+AB34</f>
        <v/>
      </c>
      <c r="AC35" s="6">
        <f>AC29+AC34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/>
      <c r="B1" s="2" t="inlineStr">
        <is>
          <t>Q1 FY2018</t>
        </is>
      </c>
      <c r="C1" s="2" t="inlineStr">
        <is>
          <t>Q2 FY2018</t>
        </is>
      </c>
      <c r="D1" s="2" t="inlineStr">
        <is>
          <t>Q3 FY2018</t>
        </is>
      </c>
      <c r="E1" s="2" t="inlineStr">
        <is>
          <t>Q1 FY2019</t>
        </is>
      </c>
      <c r="F1" s="2" t="inlineStr">
        <is>
          <t>Q2 FY2019</t>
        </is>
      </c>
      <c r="G1" s="2" t="inlineStr">
        <is>
          <t>Q3 FY2019</t>
        </is>
      </c>
      <c r="H1" s="2" t="inlineStr">
        <is>
          <t>Q1 FY2020</t>
        </is>
      </c>
      <c r="I1" s="2" t="inlineStr">
        <is>
          <t>Q2 FY2020</t>
        </is>
      </c>
      <c r="J1" s="2" t="inlineStr">
        <is>
          <t>Q3 FY2020</t>
        </is>
      </c>
      <c r="K1" s="2" t="inlineStr">
        <is>
          <t>Q1 FY2021</t>
        </is>
      </c>
      <c r="L1" s="2" t="inlineStr">
        <is>
          <t>Q2 FY2021</t>
        </is>
      </c>
      <c r="M1" s="2" t="inlineStr">
        <is>
          <t>Q3 FY2021</t>
        </is>
      </c>
      <c r="N1" s="2" t="inlineStr">
        <is>
          <t>Q1 FY2022</t>
        </is>
      </c>
      <c r="O1" s="2" t="inlineStr">
        <is>
          <t>Q2 FY2022</t>
        </is>
      </c>
      <c r="P1" s="2" t="inlineStr">
        <is>
          <t>Q3 FY2022</t>
        </is>
      </c>
      <c r="Q1" s="2" t="inlineStr">
        <is>
          <t>Q1 FY2023</t>
        </is>
      </c>
      <c r="R1" s="2" t="inlineStr">
        <is>
          <t>Q2 FY2023</t>
        </is>
      </c>
      <c r="S1" s="2" t="inlineStr">
        <is>
          <t>Q3 FY2023</t>
        </is>
      </c>
      <c r="T1" s="2" t="inlineStr">
        <is>
          <t>Q1 FY2024</t>
        </is>
      </c>
      <c r="U1" s="2" t="inlineStr">
        <is>
          <t>Q2 FY2024</t>
        </is>
      </c>
      <c r="V1" s="2" t="inlineStr">
        <is>
          <t>Q3 FY2024</t>
        </is>
      </c>
      <c r="W1" s="2" t="inlineStr">
        <is>
          <t>Q1 FY2025</t>
        </is>
      </c>
      <c r="X1" s="2" t="inlineStr">
        <is>
          <t>Q2 FY2025</t>
        </is>
      </c>
      <c r="Y1" s="2" t="inlineStr">
        <is>
          <t>Q3 FY2025</t>
        </is>
      </c>
    </row>
    <row r="2">
      <c r="A2" s="3" t="inlineStr">
        <is>
          <t>Net Income (Loss)</t>
        </is>
      </c>
      <c r="B2" s="4" t="n">
        <v>9401</v>
      </c>
      <c r="C2" s="4" t="n">
        <v>12596</v>
      </c>
      <c r="D2" s="4" t="n">
        <v>21788</v>
      </c>
      <c r="E2" s="4" t="n">
        <v>6657</v>
      </c>
      <c r="F2" s="4" t="n">
        <v>16604</v>
      </c>
      <c r="G2" s="4" t="n">
        <v>23672</v>
      </c>
      <c r="H2" s="4" t="n">
        <v>6836</v>
      </c>
      <c r="I2" s="4" t="n">
        <v>13795</v>
      </c>
      <c r="J2" s="4" t="n">
        <v>25042</v>
      </c>
      <c r="K2" s="4" t="n">
        <v>17930</v>
      </c>
      <c r="L2" s="4" t="n">
        <v>36455</v>
      </c>
      <c r="M2" s="4" t="n">
        <v>55391</v>
      </c>
      <c r="N2" s="4" t="n">
        <v>16436</v>
      </c>
      <c r="O2" s="4" t="n">
        <v>32438</v>
      </c>
      <c r="P2" s="4" t="n">
        <v>46348</v>
      </c>
      <c r="Q2" s="4" t="n">
        <v>15051</v>
      </c>
      <c r="R2" s="4" t="n">
        <v>33419</v>
      </c>
      <c r="S2" s="4" t="n">
        <v>53108</v>
      </c>
      <c r="T2" s="4" t="n">
        <v>23662</v>
      </c>
      <c r="U2" s="4" t="n">
        <v>47281</v>
      </c>
      <c r="V2" s="4" t="n">
        <v>73582</v>
      </c>
      <c r="W2" s="4" t="n">
        <v>34540</v>
      </c>
      <c r="X2" s="4" t="n">
        <v>62736</v>
      </c>
      <c r="Y2" s="4" t="n">
        <v>97715</v>
      </c>
    </row>
    <row r="3">
      <c r="A3" s="3" t="inlineStr">
        <is>
          <t>Depreciation and Impairment of PP&amp;E</t>
        </is>
      </c>
      <c r="B3" s="4" t="n">
        <v>1791</v>
      </c>
      <c r="C3" s="4" t="n">
        <v>3653</v>
      </c>
      <c r="D3" s="4" t="n">
        <v>5791</v>
      </c>
      <c r="E3" s="4" t="n">
        <v>2416</v>
      </c>
      <c r="F3" s="4" t="n">
        <v>5042</v>
      </c>
      <c r="G3" s="4" t="n">
        <v>7774</v>
      </c>
      <c r="H3" s="4" t="n">
        <v>2899</v>
      </c>
      <c r="I3" s="4" t="n">
        <v>6077</v>
      </c>
      <c r="J3" s="4" t="n">
        <v>9366</v>
      </c>
      <c r="K3" s="4" t="n">
        <v>2525</v>
      </c>
      <c r="L3" s="4" t="n">
        <v>5255</v>
      </c>
      <c r="M3" s="4" t="n">
        <v>8340</v>
      </c>
      <c r="N3" s="4" t="n">
        <v>3591</v>
      </c>
      <c r="O3" s="4" t="n">
        <v>7289</v>
      </c>
      <c r="P3" s="4" t="n">
        <v>11222</v>
      </c>
      <c r="Q3" s="4" t="n">
        <v>3060</v>
      </c>
      <c r="R3" s="4" t="n">
        <v>6339</v>
      </c>
      <c r="S3" s="4" t="n">
        <v>10010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</row>
    <row r="4">
      <c r="A4" s="3" t="inlineStr">
        <is>
          <t>Amortization and Impairment of Intangibles</t>
        </is>
      </c>
      <c r="B4" s="4" t="n">
        <v>195</v>
      </c>
      <c r="C4" s="4" t="n">
        <v>447</v>
      </c>
      <c r="D4" s="4" t="n">
        <v>664</v>
      </c>
      <c r="E4" s="4" t="n">
        <v>197</v>
      </c>
      <c r="F4" s="4" t="n">
        <v>406</v>
      </c>
      <c r="G4" s="4" t="n">
        <v>594</v>
      </c>
      <c r="H4" s="4" t="n">
        <v>209</v>
      </c>
      <c r="I4" s="4" t="n">
        <v>417</v>
      </c>
      <c r="J4" s="4" t="n">
        <v>606</v>
      </c>
      <c r="K4" s="4" t="n">
        <v>228</v>
      </c>
      <c r="L4" s="4" t="n">
        <v>443</v>
      </c>
      <c r="M4" s="4" t="n">
        <v>662</v>
      </c>
      <c r="N4" s="4" t="n">
        <v>191</v>
      </c>
      <c r="O4" s="4" t="n">
        <v>392</v>
      </c>
      <c r="P4" s="4" t="n">
        <v>505</v>
      </c>
      <c r="Q4" s="4" t="n">
        <v>126</v>
      </c>
      <c r="R4" s="4" t="n">
        <v>244</v>
      </c>
      <c r="S4" s="4" t="n">
        <v>373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</row>
    <row r="5">
      <c r="A5" s="3" t="inlineStr">
        <is>
          <t>Depreciation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3413</v>
      </c>
      <c r="U5" s="4" t="n">
        <v>7121</v>
      </c>
      <c r="V5" s="4" t="n">
        <v>11106</v>
      </c>
      <c r="W5" s="4" t="n">
        <v>4487</v>
      </c>
      <c r="X5" s="4" t="n">
        <v>9485</v>
      </c>
      <c r="Y5" s="4" t="n">
        <v>15096</v>
      </c>
    </row>
    <row r="6">
      <c r="A6" s="3" t="inlineStr">
        <is>
          <t>Stock-Based Compensation</t>
        </is>
      </c>
      <c r="B6" s="4" t="n">
        <v>2457</v>
      </c>
      <c r="C6" s="4" t="n">
        <v>4870</v>
      </c>
      <c r="D6" s="4" t="n">
        <v>7100</v>
      </c>
      <c r="E6" s="4" t="n">
        <v>2769</v>
      </c>
      <c r="F6" s="4" t="n">
        <v>5525</v>
      </c>
      <c r="G6" s="4" t="n">
        <v>8149</v>
      </c>
      <c r="H6" s="4" t="n">
        <v>3191</v>
      </c>
      <c r="I6" s="4" t="n">
        <v>6573</v>
      </c>
      <c r="J6" s="4" t="n">
        <v>9768</v>
      </c>
      <c r="K6" s="4" t="n">
        <v>3745</v>
      </c>
      <c r="L6" s="4" t="n">
        <v>7548</v>
      </c>
      <c r="M6" s="4" t="n">
        <v>11422</v>
      </c>
      <c r="N6" s="4" t="n">
        <v>4504</v>
      </c>
      <c r="O6" s="4" t="n">
        <v>9286</v>
      </c>
      <c r="P6" s="4" t="n">
        <v>14262</v>
      </c>
      <c r="Q6" s="4" t="n">
        <v>5284</v>
      </c>
      <c r="R6" s="4" t="n">
        <v>11058</v>
      </c>
      <c r="S6" s="4" t="n">
        <v>16801</v>
      </c>
      <c r="T6" s="4" t="n">
        <v>5264</v>
      </c>
      <c r="U6" s="4" t="n">
        <v>11129</v>
      </c>
      <c r="V6" s="4" t="n">
        <v>16975</v>
      </c>
      <c r="W6" s="4" t="n">
        <v>5516</v>
      </c>
      <c r="X6" s="4" t="n">
        <v>11514</v>
      </c>
      <c r="Y6" s="4" t="n">
        <v>17882</v>
      </c>
    </row>
    <row r="7">
      <c r="A7" s="3" t="inlineStr">
        <is>
          <t>(Benefit) Provision for Deferred Income Taxes</t>
        </is>
      </c>
      <c r="B7" s="4" t="n">
        <v>-18</v>
      </c>
      <c r="C7" s="4" t="n">
        <v>-157</v>
      </c>
      <c r="D7" s="4" t="n">
        <v>723</v>
      </c>
      <c r="E7" s="4" t="n">
        <v>-73</v>
      </c>
      <c r="F7" s="4" t="n">
        <v>620</v>
      </c>
      <c r="G7" s="4" t="n">
        <v>381</v>
      </c>
      <c r="H7" s="4" t="n">
        <v>175</v>
      </c>
      <c r="I7" s="4" t="n">
        <v>-416</v>
      </c>
      <c r="J7" s="4" t="n">
        <v>-280</v>
      </c>
      <c r="K7" s="4" t="n">
        <v>1100</v>
      </c>
      <c r="L7" s="4" t="n">
        <v>1479</v>
      </c>
      <c r="M7" s="4" t="n">
        <v>192</v>
      </c>
      <c r="N7" s="4" t="n">
        <v>-2090</v>
      </c>
      <c r="O7" s="4" t="n">
        <v>-4237</v>
      </c>
      <c r="P7" s="4" t="n">
        <v>-6157</v>
      </c>
      <c r="Q7" s="4" t="n">
        <v>-1854</v>
      </c>
      <c r="R7" s="4" t="n">
        <v>-4269</v>
      </c>
      <c r="S7" s="4" t="n">
        <v>-6093</v>
      </c>
      <c r="T7" s="4" t="n">
        <v>419</v>
      </c>
      <c r="U7" s="4" t="n">
        <v>-2738</v>
      </c>
      <c r="V7" s="4" t="n">
        <v>-3809</v>
      </c>
      <c r="W7" s="4" t="n">
        <v>-1152</v>
      </c>
      <c r="X7" s="4" t="n">
        <v>-1596</v>
      </c>
      <c r="Y7" s="4" t="n">
        <v>7130</v>
      </c>
    </row>
    <row r="8">
      <c r="A8" s="3" t="inlineStr">
        <is>
          <t>Loss (Gain) on Equity and Debt Securities, Net</t>
        </is>
      </c>
      <c r="B8" s="4" t="n">
        <v>-2992</v>
      </c>
      <c r="C8" s="4" t="n">
        <v>-4060</v>
      </c>
      <c r="D8" s="4" t="n">
        <v>-5413</v>
      </c>
      <c r="E8" s="4" t="n">
        <v>-1081</v>
      </c>
      <c r="F8" s="4" t="n">
        <v>-3878</v>
      </c>
      <c r="G8" s="4" t="n">
        <v>-2399</v>
      </c>
      <c r="H8" s="4" t="n">
        <v>802</v>
      </c>
      <c r="I8" s="4" t="n">
        <v>-1040</v>
      </c>
      <c r="J8" s="4" t="n">
        <v>-3055</v>
      </c>
      <c r="K8" s="4" t="n">
        <v>-4751</v>
      </c>
      <c r="L8" s="4" t="n">
        <v>-7634</v>
      </c>
      <c r="M8" s="4" t="n">
        <v>-9792</v>
      </c>
      <c r="N8" s="4" t="n">
        <v>1437</v>
      </c>
      <c r="O8" s="4" t="n">
        <v>2478</v>
      </c>
      <c r="P8" s="4" t="n">
        <v>3856</v>
      </c>
      <c r="Q8" s="4" t="n">
        <v>-84</v>
      </c>
      <c r="R8" s="4" t="n">
        <v>425</v>
      </c>
      <c r="S8" s="4" t="n">
        <v>1294</v>
      </c>
      <c r="T8" s="4" t="n">
        <v>-1781</v>
      </c>
      <c r="U8" s="4" t="n">
        <v>-757</v>
      </c>
      <c r="V8" s="4" t="n">
        <v>-2738</v>
      </c>
      <c r="W8" s="4" t="n">
        <v>-9960</v>
      </c>
      <c r="X8" s="4" t="n">
        <v>-11411</v>
      </c>
      <c r="Y8" s="4" t="n">
        <v>-22266</v>
      </c>
    </row>
    <row r="9">
      <c r="A9" s="3" t="inlineStr">
        <is>
          <t>Other Operating Items</t>
        </is>
      </c>
      <c r="B9" s="4" t="n">
        <v>-498</v>
      </c>
      <c r="C9" s="4" t="n">
        <v>-876</v>
      </c>
      <c r="D9" s="4" t="n">
        <v>-1322</v>
      </c>
      <c r="E9" s="4" t="n">
        <v>-243</v>
      </c>
      <c r="F9" s="4" t="n">
        <v>-224</v>
      </c>
      <c r="G9" s="4" t="n">
        <v>-906</v>
      </c>
      <c r="H9" s="4" t="n">
        <v>182</v>
      </c>
      <c r="I9" s="4" t="n">
        <v>310</v>
      </c>
      <c r="J9" s="4" t="n">
        <v>283</v>
      </c>
      <c r="K9" s="4" t="n">
        <v>-248</v>
      </c>
      <c r="L9" s="4" t="n">
        <v>-455</v>
      </c>
      <c r="M9" s="4" t="n">
        <v>-1646</v>
      </c>
      <c r="N9" s="4" t="n">
        <v>-636</v>
      </c>
      <c r="O9" s="4" t="n">
        <v>-1419</v>
      </c>
      <c r="P9" s="4" t="n">
        <v>-3899</v>
      </c>
      <c r="Q9" s="4" t="n">
        <v>-193</v>
      </c>
      <c r="R9" s="4" t="n">
        <v>-609</v>
      </c>
      <c r="S9" s="4" t="n">
        <v>-1971</v>
      </c>
      <c r="T9" s="4" t="n">
        <v>-666</v>
      </c>
      <c r="U9" s="4" t="n">
        <v>-347</v>
      </c>
      <c r="V9" s="4" t="n">
        <v>258</v>
      </c>
      <c r="W9" s="4" t="n">
        <v>-807</v>
      </c>
      <c r="X9" s="4" t="n">
        <v>-1726</v>
      </c>
      <c r="Y9" s="4" t="n">
        <v>-3217</v>
      </c>
    </row>
    <row r="10">
      <c r="A10" s="3" t="inlineStr">
        <is>
          <t>Accounts Receivable</t>
        </is>
      </c>
      <c r="B10" s="4" t="n">
        <v>1700</v>
      </c>
      <c r="C10" s="4" t="n">
        <v>1388</v>
      </c>
      <c r="D10" s="4" t="n">
        <v>718</v>
      </c>
      <c r="E10" s="4" t="n">
        <v>1172</v>
      </c>
      <c r="F10" s="4" t="n">
        <v>26</v>
      </c>
      <c r="G10" s="4" t="n">
        <v>25</v>
      </c>
      <c r="H10" s="4" t="n">
        <v>2602</v>
      </c>
      <c r="I10" s="4" t="n">
        <v>2522</v>
      </c>
      <c r="J10" s="4" t="n">
        <v>-1079</v>
      </c>
      <c r="K10" s="4" t="n">
        <v>2794</v>
      </c>
      <c r="L10" s="4" t="n">
        <v>-867</v>
      </c>
      <c r="M10" s="4" t="n">
        <v>-3276</v>
      </c>
      <c r="N10" s="4" t="n">
        <v>4364</v>
      </c>
      <c r="O10" s="4" t="n">
        <v>2395</v>
      </c>
      <c r="P10" s="4" t="n">
        <v>2298</v>
      </c>
      <c r="Q10" s="4" t="n">
        <v>4454</v>
      </c>
      <c r="R10" s="4" t="n">
        <v>1506</v>
      </c>
      <c r="S10" s="4" t="n">
        <v>-1315</v>
      </c>
      <c r="T10" s="4" t="n">
        <v>3167</v>
      </c>
      <c r="U10" s="4" t="n">
        <v>110</v>
      </c>
      <c r="V10" s="4" t="n">
        <v>-1321</v>
      </c>
      <c r="W10" s="4" t="n">
        <v>1638</v>
      </c>
      <c r="X10" s="4" t="n">
        <v>-1201</v>
      </c>
      <c r="Y10" s="4" t="n">
        <v>-3582</v>
      </c>
    </row>
    <row r="11">
      <c r="A11" s="3" t="inlineStr">
        <is>
          <t>Change in Income Taxes</t>
        </is>
      </c>
      <c r="B11" s="4" t="n">
        <v>782</v>
      </c>
      <c r="C11" s="4" t="n">
        <v>-656</v>
      </c>
      <c r="D11" s="4" t="n">
        <v>-1891</v>
      </c>
      <c r="E11" s="4" t="n">
        <v>1068</v>
      </c>
      <c r="F11" s="4" t="n">
        <v>25</v>
      </c>
      <c r="G11" s="4" t="n">
        <v>210</v>
      </c>
      <c r="H11" s="4" t="n">
        <v>-245</v>
      </c>
      <c r="I11" s="4" t="n">
        <v>538</v>
      </c>
      <c r="J11" s="4" t="n">
        <v>469</v>
      </c>
      <c r="K11" s="4" t="n">
        <v>785</v>
      </c>
      <c r="L11" s="4" t="n">
        <v>-297</v>
      </c>
      <c r="M11" s="4" t="n">
        <v>2744</v>
      </c>
      <c r="N11" s="4" t="n">
        <v>3820</v>
      </c>
      <c r="O11" s="4" t="n">
        <v>-253</v>
      </c>
      <c r="P11" s="4" t="n">
        <v>-862</v>
      </c>
      <c r="Q11" s="4" t="n">
        <v>4069</v>
      </c>
      <c r="R11" s="4" t="n">
        <v>8520</v>
      </c>
      <c r="S11" s="4" t="n">
        <v>10392</v>
      </c>
      <c r="T11" s="4" t="n">
        <v>3011</v>
      </c>
      <c r="U11" s="4" t="n">
        <v>-889</v>
      </c>
      <c r="V11" s="4" t="n">
        <v>-2797</v>
      </c>
      <c r="W11" s="4" t="n">
        <v>7197</v>
      </c>
      <c r="X11" s="4" t="n">
        <v>-2434</v>
      </c>
      <c r="Y11" s="4" t="n">
        <v>-3292</v>
      </c>
    </row>
    <row r="12">
      <c r="A12" s="3" t="inlineStr">
        <is>
          <t>Accounts Payable</t>
        </is>
      </c>
      <c r="B12" s="4" t="n">
        <v>122</v>
      </c>
      <c r="C12" s="4" t="n">
        <v>-23</v>
      </c>
      <c r="D12" s="4" t="n">
        <v>293</v>
      </c>
      <c r="E12" s="4" t="n">
        <v>-425</v>
      </c>
      <c r="F12" s="4" t="n">
        <v>-443</v>
      </c>
      <c r="G12" s="4" t="n">
        <v>-386</v>
      </c>
      <c r="H12" s="4" t="n">
        <v>-835</v>
      </c>
      <c r="I12" s="4" t="n">
        <v>-689</v>
      </c>
      <c r="J12" s="4" t="n">
        <v>-269</v>
      </c>
      <c r="K12" s="4" t="n">
        <v>-982</v>
      </c>
      <c r="L12" s="4" t="n">
        <v>-1112</v>
      </c>
      <c r="M12" s="4" t="n">
        <v>-874</v>
      </c>
      <c r="N12" s="4" t="n">
        <v>-2373</v>
      </c>
      <c r="O12" s="4" t="n">
        <v>-1172</v>
      </c>
      <c r="P12" s="4" t="n">
        <v>735</v>
      </c>
      <c r="Q12" s="4" t="n">
        <v>-1105</v>
      </c>
      <c r="R12" s="4" t="n">
        <v>14</v>
      </c>
      <c r="S12" s="4" t="n">
        <v>237</v>
      </c>
      <c r="T12" s="4" t="n">
        <v>-2124</v>
      </c>
      <c r="U12" s="4" t="n">
        <v>-563</v>
      </c>
      <c r="V12" s="4" t="n">
        <v>-42</v>
      </c>
      <c r="W12" s="4" t="n">
        <v>-880</v>
      </c>
      <c r="X12" s="4" t="n">
        <v>-327</v>
      </c>
      <c r="Y12" s="4" t="n">
        <v>-771</v>
      </c>
    </row>
    <row r="13">
      <c r="A13" s="3" t="inlineStr">
        <is>
          <t>Accrued Expenses</t>
        </is>
      </c>
      <c r="B13" s="4" t="n">
        <v>-1142</v>
      </c>
      <c r="C13" s="4" t="n">
        <v>4600</v>
      </c>
      <c r="D13" s="4" t="n">
        <v>6457</v>
      </c>
      <c r="E13" s="4" t="n">
        <v>-229</v>
      </c>
      <c r="F13" s="4" t="n">
        <v>1074</v>
      </c>
      <c r="G13" s="4" t="n">
        <v>2927</v>
      </c>
      <c r="H13" s="4" t="n">
        <v>-3531</v>
      </c>
      <c r="I13" s="4" t="n">
        <v>-2099</v>
      </c>
      <c r="J13" s="4" t="n">
        <v>891</v>
      </c>
      <c r="K13" s="4" t="n">
        <v>-3530</v>
      </c>
      <c r="L13" s="4" t="n">
        <v>201</v>
      </c>
      <c r="M13" s="4" t="n">
        <v>2763</v>
      </c>
      <c r="N13" s="4" t="n">
        <v>-3216</v>
      </c>
      <c r="O13" s="4" t="n">
        <v>-1719</v>
      </c>
      <c r="P13" s="4" t="n">
        <v>491</v>
      </c>
      <c r="Q13" s="4" t="n">
        <v>-4496</v>
      </c>
      <c r="R13" s="4" t="n">
        <v>-4037</v>
      </c>
      <c r="S13" s="4" t="n">
        <v>-380</v>
      </c>
      <c r="T13" s="4" t="n">
        <v>-5054</v>
      </c>
      <c r="U13" s="4" t="n">
        <v>-5176</v>
      </c>
      <c r="V13" s="4" t="n">
        <v>-6366</v>
      </c>
      <c r="W13" s="4" t="n">
        <v>-5045</v>
      </c>
      <c r="X13" s="4" t="n">
        <v>-1560</v>
      </c>
      <c r="Y13" s="4" t="n">
        <v>6199</v>
      </c>
    </row>
    <row r="14">
      <c r="A14" s="3" t="inlineStr">
        <is>
          <t>Accrued Revenue Share</t>
        </is>
      </c>
      <c r="B14" s="4" t="n">
        <v>-286</v>
      </c>
      <c r="C14" s="4" t="n">
        <v>-303</v>
      </c>
      <c r="D14" s="4" t="n">
        <v>-196</v>
      </c>
      <c r="E14" s="4" t="n">
        <v>-147</v>
      </c>
      <c r="F14" s="4" t="n">
        <v>-60</v>
      </c>
      <c r="G14" s="4" t="n">
        <v>201</v>
      </c>
      <c r="H14" s="4" t="n">
        <v>-871</v>
      </c>
      <c r="I14" s="4" t="n">
        <v>-692</v>
      </c>
      <c r="J14" s="4" t="n">
        <v>277</v>
      </c>
      <c r="K14" s="4" t="n">
        <v>-444</v>
      </c>
      <c r="L14" s="4" t="n">
        <v>29</v>
      </c>
      <c r="M14" s="4" t="n">
        <v>386</v>
      </c>
      <c r="N14" s="4" t="n">
        <v>-828</v>
      </c>
      <c r="O14" s="4" t="n">
        <v>-942</v>
      </c>
      <c r="P14" s="4" t="n">
        <v>-1022</v>
      </c>
      <c r="Q14" s="4" t="n">
        <v>-602</v>
      </c>
      <c r="R14" s="4" t="n">
        <v>-418</v>
      </c>
      <c r="S14" s="4" t="n">
        <v>-315</v>
      </c>
      <c r="T14" s="4" t="n">
        <v>-322</v>
      </c>
      <c r="U14" s="4" t="n">
        <v>97</v>
      </c>
      <c r="V14" s="4" t="n">
        <v>478</v>
      </c>
      <c r="W14" s="4" t="n">
        <v>116</v>
      </c>
      <c r="X14" s="4" t="n">
        <v>-219</v>
      </c>
      <c r="Y14" s="4" t="n">
        <v>100</v>
      </c>
    </row>
    <row r="15">
      <c r="A15" s="3" t="inlineStr">
        <is>
          <t>Deferred Revenue</t>
        </is>
      </c>
      <c r="B15" s="4" t="n">
        <v>130</v>
      </c>
      <c r="C15" s="4" t="n">
        <v>295</v>
      </c>
      <c r="D15" s="4" t="n">
        <v>272</v>
      </c>
      <c r="E15" s="4" t="n">
        <v>-81</v>
      </c>
      <c r="F15" s="4" t="n">
        <v>-90</v>
      </c>
      <c r="G15" s="4" t="n">
        <v>-149</v>
      </c>
      <c r="H15" s="4" t="n">
        <v>37</v>
      </c>
      <c r="I15" s="4" t="n">
        <v>148</v>
      </c>
      <c r="J15" s="4" t="n">
        <v>428</v>
      </c>
      <c r="K15" s="4" t="n">
        <v>137</v>
      </c>
      <c r="L15" s="4" t="n">
        <v>134</v>
      </c>
      <c r="M15" s="4" t="n">
        <v>406</v>
      </c>
      <c r="N15" s="4" t="n">
        <v>-94</v>
      </c>
      <c r="O15" s="4" t="n">
        <v>-8</v>
      </c>
      <c r="P15" s="4" t="n">
        <v>104</v>
      </c>
      <c r="Q15" s="4" t="n">
        <v>-201</v>
      </c>
      <c r="R15" s="4" t="n">
        <v>-17</v>
      </c>
      <c r="S15" s="4" t="n">
        <v>690</v>
      </c>
      <c r="T15" s="4" t="n">
        <v>-141</v>
      </c>
      <c r="U15" s="4" t="n">
        <v>220</v>
      </c>
      <c r="V15" s="4" t="n">
        <v>860</v>
      </c>
      <c r="W15" s="4" t="n">
        <v>500</v>
      </c>
      <c r="X15" s="4" t="n">
        <v>636</v>
      </c>
      <c r="Y15" s="4" t="n">
        <v>1317</v>
      </c>
    </row>
    <row r="16">
      <c r="A16" s="3" t="inlineStr">
        <is>
          <t>Cash Flow from Operations</t>
        </is>
      </c>
      <c r="B16" s="6">
        <f>SUM(B2:B15)</f>
        <v/>
      </c>
      <c r="C16" s="6">
        <f>SUM(C2:C15)</f>
        <v/>
      </c>
      <c r="D16" s="6">
        <f>SUM(D2:D15)</f>
        <v/>
      </c>
      <c r="E16" s="6">
        <f>SUM(E2:E15)</f>
        <v/>
      </c>
      <c r="F16" s="6">
        <f>SUM(F2:F15)</f>
        <v/>
      </c>
      <c r="G16" s="6">
        <f>SUM(G2:G15)</f>
        <v/>
      </c>
      <c r="H16" s="6">
        <f>SUM(H2:H15)</f>
        <v/>
      </c>
      <c r="I16" s="6">
        <f>SUM(I2:I15)</f>
        <v/>
      </c>
      <c r="J16" s="6">
        <f>SUM(J2:J15)</f>
        <v/>
      </c>
      <c r="K16" s="6">
        <f>SUM(K2:K15)</f>
        <v/>
      </c>
      <c r="L16" s="6">
        <f>SUM(L2:L15)</f>
        <v/>
      </c>
      <c r="M16" s="6">
        <f>SUM(M2:M15)</f>
        <v/>
      </c>
      <c r="N16" s="6">
        <f>SUM(N2:N15)</f>
        <v/>
      </c>
      <c r="O16" s="6">
        <f>SUM(O2:O15)</f>
        <v/>
      </c>
      <c r="P16" s="6">
        <f>SUM(P2:P15)</f>
        <v/>
      </c>
      <c r="Q16" s="6">
        <f>SUM(Q2:Q15)</f>
        <v/>
      </c>
      <c r="R16" s="6">
        <f>SUM(R2:R15)</f>
        <v/>
      </c>
      <c r="S16" s="6">
        <f>SUM(S2:S15)</f>
        <v/>
      </c>
      <c r="T16" s="6">
        <f>SUM(T2:T15)</f>
        <v/>
      </c>
      <c r="U16" s="6">
        <f>SUM(U2:U15)</f>
        <v/>
      </c>
      <c r="V16" s="6">
        <f>SUM(V2:V15)</f>
        <v/>
      </c>
      <c r="W16" s="6">
        <f>SUM(W2:W15)</f>
        <v/>
      </c>
      <c r="X16" s="6">
        <f>SUM(X2:X15)</f>
        <v/>
      </c>
      <c r="Y16" s="6">
        <f>SUM(Y2:Y15)</f>
        <v/>
      </c>
    </row>
    <row r="17">
      <c r="A17" s="3" t="inlineStr">
        <is>
          <t>Purchase of PP&amp;E</t>
        </is>
      </c>
      <c r="B17" s="4" t="n">
        <v>-7299</v>
      </c>
      <c r="C17" s="4" t="n">
        <v>-12776</v>
      </c>
      <c r="D17" s="4" t="n">
        <v>-18058</v>
      </c>
      <c r="E17" s="4" t="n">
        <v>-4638</v>
      </c>
      <c r="F17" s="4" t="n">
        <v>-10764</v>
      </c>
      <c r="G17" s="4" t="n">
        <v>-17496</v>
      </c>
      <c r="H17" s="4" t="n">
        <v>-6005</v>
      </c>
      <c r="I17" s="4" t="n">
        <v>-11396</v>
      </c>
      <c r="J17" s="4" t="n">
        <v>-16802</v>
      </c>
      <c r="K17" s="4" t="n">
        <v>-5942</v>
      </c>
      <c r="L17" s="4" t="n">
        <v>-11438</v>
      </c>
      <c r="M17" s="4" t="n">
        <v>-18257</v>
      </c>
      <c r="N17" s="4" t="n">
        <v>-9786</v>
      </c>
      <c r="O17" s="4" t="n">
        <v>-16614</v>
      </c>
      <c r="P17" s="4" t="n">
        <v>-23890</v>
      </c>
      <c r="Q17" s="4" t="n">
        <v>-6289</v>
      </c>
      <c r="R17" s="4" t="n">
        <v>-13177</v>
      </c>
      <c r="S17" s="4" t="n">
        <v>-21232</v>
      </c>
      <c r="T17" s="4" t="n">
        <v>-12012</v>
      </c>
      <c r="U17" s="4" t="n">
        <v>-25198</v>
      </c>
      <c r="V17" s="4" t="n">
        <v>-38259</v>
      </c>
      <c r="W17" s="4" t="n">
        <v>-17197</v>
      </c>
      <c r="X17" s="4" t="n">
        <v>-39643</v>
      </c>
      <c r="Y17" s="4" t="n">
        <v>-63596</v>
      </c>
    </row>
    <row r="18">
      <c r="A18" s="3" t="inlineStr">
        <is>
          <t>Proceeds from Sale of Assets</t>
        </is>
      </c>
      <c r="B18" s="4" t="n">
        <v>30</v>
      </c>
      <c r="C18" s="4" t="n">
        <v>0</v>
      </c>
      <c r="D18" s="4" t="n">
        <v>0</v>
      </c>
      <c r="E18" s="4" t="n">
        <v>34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</row>
    <row r="19">
      <c r="A19" s="3" t="inlineStr">
        <is>
          <t>Net Change in Short-Term Investments</t>
        </is>
      </c>
      <c r="B19" s="4" t="n">
        <v>502</v>
      </c>
      <c r="C19" s="4" t="n">
        <v>2482</v>
      </c>
      <c r="D19" s="4" t="n">
        <v>-2414</v>
      </c>
      <c r="E19" s="4" t="n">
        <v>123</v>
      </c>
      <c r="F19" s="4" t="n">
        <v>-4032</v>
      </c>
      <c r="G19" s="4" t="n">
        <v>-6185</v>
      </c>
      <c r="H19" s="4" t="n">
        <v>4248</v>
      </c>
      <c r="I19" s="4" t="n">
        <v>1763</v>
      </c>
      <c r="J19" s="4" t="n">
        <v>-7181</v>
      </c>
      <c r="K19" s="4" t="n">
        <v>2822</v>
      </c>
      <c r="L19" s="4" t="n">
        <v>58</v>
      </c>
      <c r="M19" s="4" t="n">
        <v>-2980</v>
      </c>
      <c r="N19" s="4" t="n">
        <v>1317</v>
      </c>
      <c r="O19" s="4" t="n">
        <v>5175</v>
      </c>
      <c r="P19" s="4" t="n">
        <v>16834</v>
      </c>
      <c r="Q19" s="4" t="n">
        <v>4100</v>
      </c>
      <c r="R19" s="4" t="n">
        <v>1460</v>
      </c>
      <c r="S19" s="4" t="n">
        <v>3220</v>
      </c>
      <c r="T19" s="4" t="n">
        <v>4301</v>
      </c>
      <c r="U19" s="4" t="n">
        <v>15566</v>
      </c>
      <c r="V19" s="4" t="n">
        <v>16745</v>
      </c>
      <c r="W19" s="4" t="n">
        <v>1892</v>
      </c>
      <c r="X19" s="4" t="n">
        <v>1060</v>
      </c>
      <c r="Y19" s="4" t="n">
        <v>467</v>
      </c>
    </row>
    <row r="20">
      <c r="A20" s="3" t="inlineStr">
        <is>
          <t>Net Change in Long-Term Investments</t>
        </is>
      </c>
      <c r="B20" s="4" t="n">
        <v>171</v>
      </c>
      <c r="C20" s="4" t="n">
        <v>459</v>
      </c>
      <c r="D20" s="4" t="n">
        <v>227</v>
      </c>
      <c r="E20" s="4" t="n">
        <v>-808</v>
      </c>
      <c r="F20" s="4" t="n">
        <v>-889</v>
      </c>
      <c r="G20" s="4" t="n">
        <v>-1202</v>
      </c>
      <c r="H20" s="4" t="n">
        <v>-312</v>
      </c>
      <c r="I20" s="4" t="n">
        <v>-838</v>
      </c>
      <c r="J20" s="4" t="n">
        <v>-1266</v>
      </c>
      <c r="K20" s="4" t="n">
        <v>-627</v>
      </c>
      <c r="L20" s="4" t="n">
        <v>-1156</v>
      </c>
      <c r="M20" s="4" t="n">
        <v>-1478</v>
      </c>
      <c r="N20" s="4" t="n">
        <v>-764</v>
      </c>
      <c r="O20" s="4" t="n">
        <v>-1139</v>
      </c>
      <c r="P20" s="4" t="n">
        <v>-1497</v>
      </c>
      <c r="Q20" s="4" t="n">
        <v>-590</v>
      </c>
      <c r="R20" s="4" t="n">
        <v>-1332</v>
      </c>
      <c r="S20" s="4" t="n">
        <v>-1433</v>
      </c>
      <c r="T20" s="4" t="n">
        <v>-893</v>
      </c>
      <c r="U20" s="4" t="n">
        <v>-1594</v>
      </c>
      <c r="V20" s="4" t="n">
        <v>-2502</v>
      </c>
      <c r="W20" s="4" t="n">
        <v>-699</v>
      </c>
      <c r="X20" s="4" t="n">
        <v>-1439</v>
      </c>
      <c r="Y20" s="4" t="n">
        <v>-2116</v>
      </c>
    </row>
    <row r="21">
      <c r="A21" s="3" t="inlineStr">
        <is>
          <t>Acquisitions, Net of Cash Acquired</t>
        </is>
      </c>
      <c r="B21" s="4" t="n">
        <v>-1250</v>
      </c>
      <c r="C21" s="4" t="n">
        <v>-1434</v>
      </c>
      <c r="D21" s="4" t="n">
        <v>-1452</v>
      </c>
      <c r="E21" s="4" t="n">
        <v>-99</v>
      </c>
      <c r="F21" s="4" t="n">
        <v>-247</v>
      </c>
      <c r="G21" s="4" t="n">
        <v>-373</v>
      </c>
      <c r="H21" s="4" t="n">
        <v>-190</v>
      </c>
      <c r="I21" s="4" t="n">
        <v>-355</v>
      </c>
      <c r="J21" s="4" t="n">
        <v>-368</v>
      </c>
      <c r="K21" s="4" t="n">
        <v>-1666</v>
      </c>
      <c r="L21" s="4" t="n">
        <v>-1974</v>
      </c>
      <c r="M21" s="4" t="n">
        <v>-2233</v>
      </c>
      <c r="N21" s="4" t="n">
        <v>-173</v>
      </c>
      <c r="O21" s="4" t="n">
        <v>-1236</v>
      </c>
      <c r="P21" s="4" t="n">
        <v>-6885</v>
      </c>
      <c r="Q21" s="4" t="n">
        <v>-42</v>
      </c>
      <c r="R21" s="4" t="n">
        <v>-340</v>
      </c>
      <c r="S21" s="4" t="n">
        <v>-466</v>
      </c>
      <c r="T21" s="4" t="n">
        <v>-61</v>
      </c>
      <c r="U21" s="4" t="n">
        <v>-87</v>
      </c>
      <c r="V21" s="4" t="n">
        <v>-2840</v>
      </c>
      <c r="W21" s="4" t="n">
        <v>-340</v>
      </c>
      <c r="X21" s="4" t="n">
        <v>-353</v>
      </c>
      <c r="Y21" s="4" t="n">
        <v>-1425</v>
      </c>
    </row>
    <row r="22">
      <c r="A22" s="3" t="inlineStr">
        <is>
          <t>Collections from Note Receivable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</row>
    <row r="23">
      <c r="A23" s="3" t="inlineStr">
        <is>
          <t>Other Investing Activities</t>
        </is>
      </c>
      <c r="B23" s="4" t="n">
        <v>0</v>
      </c>
      <c r="C23" s="4" t="n">
        <v>49</v>
      </c>
      <c r="D23" s="4" t="n">
        <v>69</v>
      </c>
      <c r="E23" s="4" t="n">
        <v>0</v>
      </c>
      <c r="F23" s="4" t="n">
        <v>89</v>
      </c>
      <c r="G23" s="4" t="n">
        <v>468</v>
      </c>
      <c r="H23" s="4" t="n">
        <v>412</v>
      </c>
      <c r="I23" s="4" t="n">
        <v>531</v>
      </c>
      <c r="J23" s="4" t="n">
        <v>125</v>
      </c>
      <c r="K23" s="4" t="n">
        <v>30</v>
      </c>
      <c r="L23" s="4" t="n">
        <v>53</v>
      </c>
      <c r="M23" s="4" t="n">
        <v>441</v>
      </c>
      <c r="N23" s="4" t="n">
        <v>355</v>
      </c>
      <c r="O23" s="4" t="n">
        <v>576</v>
      </c>
      <c r="P23" s="4" t="n">
        <v>1367</v>
      </c>
      <c r="Q23" s="4" t="n">
        <v>-125</v>
      </c>
      <c r="R23" s="4" t="n">
        <v>-357</v>
      </c>
      <c r="S23" s="4" t="n">
        <v>-985</v>
      </c>
      <c r="T23" s="4" t="n">
        <v>101</v>
      </c>
      <c r="U23" s="4" t="n">
        <v>-32</v>
      </c>
      <c r="V23" s="4" t="n">
        <v>-2500</v>
      </c>
      <c r="W23" s="4" t="n">
        <v>150</v>
      </c>
      <c r="X23" s="4" t="n">
        <v>-363</v>
      </c>
      <c r="Y23" s="4" t="n">
        <v>-1845</v>
      </c>
    </row>
    <row r="24">
      <c r="A24" s="3" t="inlineStr">
        <is>
          <t>Cash Flow from Investing</t>
        </is>
      </c>
      <c r="B24" s="6">
        <f>SUM(B17:B23)</f>
        <v/>
      </c>
      <c r="C24" s="6">
        <f>SUM(C17:C23)</f>
        <v/>
      </c>
      <c r="D24" s="6">
        <f>SUM(D17:D23)</f>
        <v/>
      </c>
      <c r="E24" s="6">
        <f>SUM(E17:E23)</f>
        <v/>
      </c>
      <c r="F24" s="6">
        <f>SUM(F17:F23)</f>
        <v/>
      </c>
      <c r="G24" s="6">
        <f>SUM(G17:G23)</f>
        <v/>
      </c>
      <c r="H24" s="6">
        <f>SUM(H17:H23)</f>
        <v/>
      </c>
      <c r="I24" s="6">
        <f>SUM(I17:I23)</f>
        <v/>
      </c>
      <c r="J24" s="6">
        <f>SUM(J17:J23)</f>
        <v/>
      </c>
      <c r="K24" s="6">
        <f>SUM(K17:K23)</f>
        <v/>
      </c>
      <c r="L24" s="6">
        <f>SUM(L17:L23)</f>
        <v/>
      </c>
      <c r="M24" s="6">
        <f>SUM(M17:M23)</f>
        <v/>
      </c>
      <c r="N24" s="6">
        <f>SUM(N17:N23)</f>
        <v/>
      </c>
      <c r="O24" s="6">
        <f>SUM(O17:O23)</f>
        <v/>
      </c>
      <c r="P24" s="6">
        <f>SUM(P17:P23)</f>
        <v/>
      </c>
      <c r="Q24" s="6">
        <f>SUM(Q17:Q23)</f>
        <v/>
      </c>
      <c r="R24" s="6">
        <f>SUM(R17:R23)</f>
        <v/>
      </c>
      <c r="S24" s="6">
        <f>SUM(S17:S23)</f>
        <v/>
      </c>
      <c r="T24" s="6">
        <f>SUM(T17:T23)</f>
        <v/>
      </c>
      <c r="U24" s="6">
        <f>SUM(U17:U23)</f>
        <v/>
      </c>
      <c r="V24" s="6">
        <f>SUM(V17:V23)</f>
        <v/>
      </c>
      <c r="W24" s="6">
        <f>SUM(W17:W23)</f>
        <v/>
      </c>
      <c r="X24" s="6">
        <f>SUM(X17:X23)</f>
        <v/>
      </c>
      <c r="Y24" s="6">
        <f>SUM(Y17:Y23)</f>
        <v/>
      </c>
    </row>
    <row r="25">
      <c r="A25" s="3" t="inlineStr">
        <is>
          <t>Stock-Based Award Activities, Net</t>
        </is>
      </c>
      <c r="B25" s="4" t="n">
        <v>-1158</v>
      </c>
      <c r="C25" s="4" t="n">
        <v>-2699</v>
      </c>
      <c r="D25" s="4" t="n">
        <v>-3952</v>
      </c>
      <c r="E25" s="4" t="n">
        <v>-1175</v>
      </c>
      <c r="F25" s="4" t="n">
        <v>-2435</v>
      </c>
      <c r="G25" s="4" t="n">
        <v>-3566</v>
      </c>
      <c r="H25" s="4" t="n">
        <v>-1241</v>
      </c>
      <c r="I25" s="4" t="n">
        <v>-2716</v>
      </c>
      <c r="J25" s="4" t="n">
        <v>-4073</v>
      </c>
      <c r="K25" s="4" t="n">
        <v>-2184</v>
      </c>
      <c r="L25" s="4" t="n">
        <v>-4637</v>
      </c>
      <c r="M25" s="4" t="n">
        <v>-7239</v>
      </c>
      <c r="N25" s="4" t="n">
        <v>-2916</v>
      </c>
      <c r="O25" s="4" t="n">
        <v>-5180</v>
      </c>
      <c r="P25" s="4" t="n">
        <v>-7221</v>
      </c>
      <c r="Q25" s="4" t="n">
        <v>-1989</v>
      </c>
      <c r="R25" s="4" t="n">
        <v>-4725</v>
      </c>
      <c r="S25" s="4" t="n">
        <v>-7157</v>
      </c>
      <c r="T25" s="4" t="n">
        <v>-2929</v>
      </c>
      <c r="U25" s="4" t="n">
        <v>-6138</v>
      </c>
      <c r="V25" s="4" t="n">
        <v>-9141</v>
      </c>
      <c r="W25" s="4" t="n">
        <v>-3110</v>
      </c>
      <c r="X25" s="4" t="n">
        <v>-5731</v>
      </c>
      <c r="Y25" s="4" t="n">
        <v>-9001</v>
      </c>
    </row>
    <row r="26">
      <c r="A26" s="3" t="inlineStr">
        <is>
          <t>Share Repurchases</t>
        </is>
      </c>
      <c r="B26" s="4" t="n">
        <v>-2173</v>
      </c>
      <c r="C26" s="4" t="n">
        <v>-4225</v>
      </c>
      <c r="D26" s="4" t="n">
        <v>-6425</v>
      </c>
      <c r="E26" s="4" t="n">
        <v>-3025</v>
      </c>
      <c r="F26" s="4" t="n">
        <v>-6602</v>
      </c>
      <c r="G26" s="4" t="n">
        <v>-12298</v>
      </c>
      <c r="H26" s="4" t="n">
        <v>-8496</v>
      </c>
      <c r="I26" s="4" t="n">
        <v>-15348</v>
      </c>
      <c r="J26" s="4" t="n">
        <v>-23245</v>
      </c>
      <c r="K26" s="4" t="n">
        <v>-11395</v>
      </c>
      <c r="L26" s="4" t="n">
        <v>-24191</v>
      </c>
      <c r="M26" s="4" t="n">
        <v>-36801</v>
      </c>
      <c r="N26" s="4" t="n">
        <v>-13300</v>
      </c>
      <c r="O26" s="4" t="n">
        <v>-28497</v>
      </c>
      <c r="P26" s="4" t="n">
        <v>-43889</v>
      </c>
      <c r="Q26" s="4" t="n">
        <v>-14557</v>
      </c>
      <c r="R26" s="4" t="n">
        <v>-29526</v>
      </c>
      <c r="S26" s="4" t="n">
        <v>-45313</v>
      </c>
      <c r="T26" s="4" t="n">
        <v>-15696</v>
      </c>
      <c r="U26" s="4" t="n">
        <v>-31380</v>
      </c>
      <c r="V26" s="4" t="n">
        <v>-46671</v>
      </c>
      <c r="W26" s="4" t="n">
        <v>-15068</v>
      </c>
      <c r="X26" s="4" t="n">
        <v>-28706</v>
      </c>
      <c r="Y26" s="4" t="n">
        <v>-40210</v>
      </c>
    </row>
    <row r="27">
      <c r="A27" s="3" t="inlineStr">
        <is>
          <t>Common Dividends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-2466</v>
      </c>
      <c r="V27" s="4" t="n">
        <v>-4921</v>
      </c>
      <c r="W27" s="4" t="n">
        <v>-2434</v>
      </c>
      <c r="X27" s="4" t="n">
        <v>-4977</v>
      </c>
      <c r="Y27" s="4" t="n">
        <v>-7513</v>
      </c>
    </row>
    <row r="28">
      <c r="A28" s="3" t="inlineStr">
        <is>
          <t>Proceeds from Issuance of Long-Term Debt</t>
        </is>
      </c>
      <c r="B28" s="4" t="n">
        <v>4691</v>
      </c>
      <c r="C28" s="4" t="n">
        <v>6236</v>
      </c>
      <c r="D28" s="4" t="n">
        <v>6766</v>
      </c>
      <c r="E28" s="4" t="n">
        <v>315</v>
      </c>
      <c r="F28" s="4" t="n">
        <v>317</v>
      </c>
      <c r="G28" s="4" t="n">
        <v>317</v>
      </c>
      <c r="H28" s="4" t="n">
        <v>1898</v>
      </c>
      <c r="I28" s="4" t="n">
        <v>1898</v>
      </c>
      <c r="J28" s="4" t="n">
        <v>11761</v>
      </c>
      <c r="K28" s="4" t="n">
        <v>900</v>
      </c>
      <c r="L28" s="4" t="n">
        <v>7599</v>
      </c>
      <c r="M28" s="4" t="n">
        <v>13949</v>
      </c>
      <c r="N28" s="4" t="n">
        <v>16422</v>
      </c>
      <c r="O28" s="4" t="n">
        <v>29228</v>
      </c>
      <c r="P28" s="4" t="n">
        <v>44322</v>
      </c>
      <c r="Q28" s="4" t="n">
        <v>6927</v>
      </c>
      <c r="R28" s="4" t="n">
        <v>8050</v>
      </c>
      <c r="S28" s="4" t="n">
        <v>9298</v>
      </c>
      <c r="T28" s="4" t="n">
        <v>1982</v>
      </c>
      <c r="U28" s="4" t="n">
        <v>4875</v>
      </c>
      <c r="V28" s="4" t="n">
        <v>8694</v>
      </c>
      <c r="W28" s="4" t="n">
        <v>4532</v>
      </c>
      <c r="X28" s="4" t="n">
        <v>31378</v>
      </c>
      <c r="Y28" s="4" t="n">
        <v>38002</v>
      </c>
    </row>
    <row r="29">
      <c r="A29" s="3" t="inlineStr">
        <is>
          <t>Net Change in Other Short-Term Debt</t>
        </is>
      </c>
      <c r="B29" s="4" t="n">
        <v>-3378</v>
      </c>
      <c r="C29" s="4" t="n">
        <v>-6267</v>
      </c>
      <c r="D29" s="4" t="n">
        <v>-6822</v>
      </c>
      <c r="E29" s="4" t="n">
        <v>-345</v>
      </c>
      <c r="F29" s="4" t="n">
        <v>-393</v>
      </c>
      <c r="G29" s="4" t="n">
        <v>-538</v>
      </c>
      <c r="H29" s="4" t="n">
        <v>-1947</v>
      </c>
      <c r="I29" s="4" t="n">
        <v>-1982</v>
      </c>
      <c r="J29" s="4" t="n">
        <v>-2043</v>
      </c>
      <c r="K29" s="4" t="n">
        <v>-937</v>
      </c>
      <c r="L29" s="4" t="n">
        <v>-8678</v>
      </c>
      <c r="M29" s="4" t="n">
        <v>-15070</v>
      </c>
      <c r="N29" s="4" t="n">
        <v>-16420</v>
      </c>
      <c r="O29" s="4" t="n">
        <v>-29582</v>
      </c>
      <c r="P29" s="4" t="n">
        <v>-45350</v>
      </c>
      <c r="Q29" s="4" t="n">
        <v>-6952</v>
      </c>
      <c r="R29" s="4" t="n">
        <v>-8207</v>
      </c>
      <c r="S29" s="4" t="n">
        <v>-9621</v>
      </c>
      <c r="T29" s="4" t="n">
        <v>-3079</v>
      </c>
      <c r="U29" s="4" t="n">
        <v>-5502</v>
      </c>
      <c r="V29" s="4" t="n">
        <v>-8951</v>
      </c>
      <c r="W29" s="4" t="n">
        <v>-4521</v>
      </c>
      <c r="X29" s="4" t="n">
        <v>-18397</v>
      </c>
      <c r="Y29" s="4" t="n">
        <v>-26094</v>
      </c>
    </row>
    <row r="30">
      <c r="A30" s="3" t="inlineStr">
        <is>
          <t>Proceeds from Sale of Interest in Consolidated Entities</t>
        </is>
      </c>
      <c r="B30" s="4" t="n">
        <v>0</v>
      </c>
      <c r="C30" s="4" t="n">
        <v>0</v>
      </c>
      <c r="D30" s="4" t="n">
        <v>0</v>
      </c>
      <c r="E30" s="4" t="n">
        <v>47</v>
      </c>
      <c r="F30" s="4" t="n">
        <v>184</v>
      </c>
      <c r="G30" s="4" t="n">
        <v>202</v>
      </c>
      <c r="H30" s="4" t="n">
        <v>1600</v>
      </c>
      <c r="I30" s="4" t="n">
        <v>2464</v>
      </c>
      <c r="J30" s="4" t="n">
        <v>2462</v>
      </c>
      <c r="K30" s="4" t="n">
        <v>10</v>
      </c>
      <c r="L30" s="4" t="n">
        <v>310</v>
      </c>
      <c r="M30" s="4" t="n">
        <v>310</v>
      </c>
      <c r="N30" s="4" t="n">
        <v>0</v>
      </c>
      <c r="O30" s="4" t="n">
        <v>0</v>
      </c>
      <c r="P30" s="4" t="n">
        <v>10</v>
      </c>
      <c r="Q30" s="4" t="n">
        <v>3</v>
      </c>
      <c r="R30" s="4" t="n">
        <v>5</v>
      </c>
      <c r="S30" s="4" t="n">
        <v>8</v>
      </c>
      <c r="T30" s="4" t="n">
        <v>8</v>
      </c>
      <c r="U30" s="4" t="n">
        <v>8</v>
      </c>
      <c r="V30" s="4" t="n">
        <v>293</v>
      </c>
      <c r="W30" s="4" t="n">
        <v>400</v>
      </c>
      <c r="X30" s="4" t="n">
        <v>400</v>
      </c>
      <c r="Y30" s="4" t="n">
        <v>400</v>
      </c>
    </row>
    <row r="31">
      <c r="A31" s="3" t="inlineStr">
        <is>
          <t>Cash Flow from Financing</t>
        </is>
      </c>
      <c r="B31" s="6">
        <f>SUM(B25:B30)</f>
        <v/>
      </c>
      <c r="C31" s="6">
        <f>SUM(C25:C30)</f>
        <v/>
      </c>
      <c r="D31" s="6">
        <f>SUM(D25:D30)</f>
        <v/>
      </c>
      <c r="E31" s="6">
        <f>SUM(E25:E30)</f>
        <v/>
      </c>
      <c r="F31" s="6">
        <f>SUM(F25:F30)</f>
        <v/>
      </c>
      <c r="G31" s="6">
        <f>SUM(G25:G30)</f>
        <v/>
      </c>
      <c r="H31" s="6">
        <f>SUM(H25:H30)</f>
        <v/>
      </c>
      <c r="I31" s="6">
        <f>SUM(I25:I30)</f>
        <v/>
      </c>
      <c r="J31" s="6">
        <f>SUM(J25:J30)</f>
        <v/>
      </c>
      <c r="K31" s="6">
        <f>SUM(K25:K30)</f>
        <v/>
      </c>
      <c r="L31" s="6">
        <f>SUM(L25:L30)</f>
        <v/>
      </c>
      <c r="M31" s="6">
        <f>SUM(M25:M30)</f>
        <v/>
      </c>
      <c r="N31" s="6">
        <f>SUM(N25:N30)</f>
        <v/>
      </c>
      <c r="O31" s="6">
        <f>SUM(O25:O30)</f>
        <v/>
      </c>
      <c r="P31" s="6">
        <f>SUM(P25:P30)</f>
        <v/>
      </c>
      <c r="Q31" s="6">
        <f>SUM(Q25:Q30)</f>
        <v/>
      </c>
      <c r="R31" s="6">
        <f>SUM(R25:R30)</f>
        <v/>
      </c>
      <c r="S31" s="6">
        <f>SUM(S25:S30)</f>
        <v/>
      </c>
      <c r="T31" s="6">
        <f>SUM(T25:T30)</f>
        <v/>
      </c>
      <c r="U31" s="6">
        <f>SUM(U25:U30)</f>
        <v/>
      </c>
      <c r="V31" s="6">
        <f>SUM(V25:V30)</f>
        <v/>
      </c>
      <c r="W31" s="6">
        <f>SUM(W25:W30)</f>
        <v/>
      </c>
      <c r="X31" s="6">
        <f>SUM(X25:X30)</f>
        <v/>
      </c>
      <c r="Y31" s="6">
        <f>SUM(Y25:Y30)</f>
        <v/>
      </c>
    </row>
    <row r="32">
      <c r="A32" s="3" t="inlineStr">
        <is>
          <t>FX Effect on Cash</t>
        </is>
      </c>
      <c r="B32" s="4" t="n">
        <v>165</v>
      </c>
      <c r="C32" s="4" t="n">
        <v>-166</v>
      </c>
      <c r="D32" s="4" t="n">
        <v>-195</v>
      </c>
      <c r="E32" s="4" t="n">
        <v>18</v>
      </c>
      <c r="F32" s="4" t="n">
        <v>31</v>
      </c>
      <c r="G32" s="4" t="n">
        <v>-91</v>
      </c>
      <c r="H32" s="4" t="n">
        <v>-272</v>
      </c>
      <c r="I32" s="4" t="n">
        <v>-221</v>
      </c>
      <c r="J32" s="4" t="n">
        <v>-186</v>
      </c>
      <c r="K32" s="4" t="n">
        <v>-143</v>
      </c>
      <c r="L32" s="4" t="n">
        <v>40</v>
      </c>
      <c r="M32" s="4" t="n">
        <v>-106</v>
      </c>
      <c r="N32" s="4" t="n">
        <v>100</v>
      </c>
      <c r="O32" s="4" t="n">
        <v>-268</v>
      </c>
      <c r="P32" s="4" t="n">
        <v>-643</v>
      </c>
      <c r="Q32" s="4" t="n">
        <v>50</v>
      </c>
      <c r="R32" s="4" t="n">
        <v>24</v>
      </c>
      <c r="S32" s="4" t="n">
        <v>-327</v>
      </c>
      <c r="T32" s="4" t="n">
        <v>-125</v>
      </c>
      <c r="U32" s="4" t="n">
        <v>-363</v>
      </c>
      <c r="V32" s="4" t="n">
        <v>-222</v>
      </c>
      <c r="W32" s="4" t="n">
        <v>43</v>
      </c>
      <c r="X32" s="4" t="n">
        <v>444</v>
      </c>
      <c r="Y32" s="4" t="n">
        <v>244</v>
      </c>
    </row>
    <row r="33">
      <c r="A33" s="3" t="inlineStr">
        <is>
          <t>Net Change in Cash</t>
        </is>
      </c>
      <c r="B33" s="6">
        <f>B16+B24+B31+B32</f>
        <v/>
      </c>
      <c r="C33" s="6">
        <f>C16+C24+C31+C32</f>
        <v/>
      </c>
      <c r="D33" s="6">
        <f>D16+D24+D31+D32</f>
        <v/>
      </c>
      <c r="E33" s="6">
        <f>E16+E24+E31+E32</f>
        <v/>
      </c>
      <c r="F33" s="6">
        <f>F16+F24+F31+F32</f>
        <v/>
      </c>
      <c r="G33" s="6">
        <f>G16+G24+G31+G32</f>
        <v/>
      </c>
      <c r="H33" s="6">
        <f>H16+H24+H31+H32</f>
        <v/>
      </c>
      <c r="I33" s="6">
        <f>I16+I24+I31+I32</f>
        <v/>
      </c>
      <c r="J33" s="6">
        <f>J16+J24+J31+J32</f>
        <v/>
      </c>
      <c r="K33" s="6">
        <f>K16+K24+K31+K32</f>
        <v/>
      </c>
      <c r="L33" s="6">
        <f>L16+L24+L31+L32</f>
        <v/>
      </c>
      <c r="M33" s="6">
        <f>M16+M24+M31+M32</f>
        <v/>
      </c>
      <c r="N33" s="6">
        <f>N16+N24+N31+N32</f>
        <v/>
      </c>
      <c r="O33" s="6">
        <f>O16+O24+O31+O32</f>
        <v/>
      </c>
      <c r="P33" s="6">
        <f>P16+P24+P31+P32</f>
        <v/>
      </c>
      <c r="Q33" s="6">
        <f>Q16+Q24+Q31+Q32</f>
        <v/>
      </c>
      <c r="R33" s="6">
        <f>R16+R24+R31+R32</f>
        <v/>
      </c>
      <c r="S33" s="6">
        <f>S16+S24+S31+S32</f>
        <v/>
      </c>
      <c r="T33" s="6">
        <f>T16+T24+T31+T32</f>
        <v/>
      </c>
      <c r="U33" s="6">
        <f>U16+U24+U31+U32</f>
        <v/>
      </c>
      <c r="V33" s="6">
        <f>V16+V24+V31+V32</f>
        <v/>
      </c>
      <c r="W33" s="6">
        <f>W16+W24+W31+W32</f>
        <v/>
      </c>
      <c r="X33" s="6">
        <f>X16+X24+X31+X32</f>
        <v/>
      </c>
      <c r="Y33" s="6">
        <f>Y16+Y24+Y31+Y32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2026-04-30T19:06:12Z</dcterms:created>
  <dcterms:modified xmlns:dcterms="http://purl.org/dc/terms/" xmlns:xsi="http://www.w3.org/2001/XMLSchema-instance" xsi:type="dcterms:W3CDTF">2026-04-30T19:06:12Z</dcterms:modified>
</cp:coreProperties>
</file>