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L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YTD P&amp;L" sheetId="4" state="visible" r:id="rId4"/>
    <sheet xmlns:r="http://schemas.openxmlformats.org/officeDocument/2006/relationships" name="YTD BS" sheetId="5" state="visible" r:id="rId5"/>
    <sheet xmlns:r="http://schemas.openxmlformats.org/officeDocument/2006/relationships" name="YTD CF" sheetId="6" state="visible" r:id="rId6"/>
    <sheet xmlns:r="http://schemas.openxmlformats.org/officeDocument/2006/relationships" name="QTR P&amp;L" sheetId="7" state="visible" r:id="rId7"/>
    <sheet xmlns:r="http://schemas.openxmlformats.org/officeDocument/2006/relationships" name="QTR BS" sheetId="8" state="visible" r:id="rId8"/>
    <sheet xmlns:r="http://schemas.openxmlformats.org/officeDocument/2006/relationships" name="QTR C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-&quot;"/>
    <numFmt numFmtId="165" formatCode="$#,##0_);($#,##0);&quot;$--&quot;_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  <c r="L1" s="2" t="inlineStr">
        <is>
          <t>FY2031E</t>
        </is>
      </c>
    </row>
    <row r="2">
      <c r="A2" s="3" t="inlineStr">
        <is>
          <t>Net Sales / Revenue</t>
        </is>
      </c>
      <c r="B2" s="4" t="n">
        <v>314272</v>
      </c>
      <c r="C2" s="4" t="n">
        <v>653604</v>
      </c>
      <c r="D2" s="4" t="n">
        <v>1318014</v>
      </c>
      <c r="E2" s="4" t="n">
        <v>1355630</v>
      </c>
      <c r="F2" s="4" t="n">
        <v>2515269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COGS</t>
        </is>
      </c>
      <c r="B3" s="4" t="n">
        <v>-186103</v>
      </c>
      <c r="C3" s="4" t="n">
        <v>-382735</v>
      </c>
      <c r="D3" s="4" t="n">
        <v>-684875</v>
      </c>
      <c r="E3" s="4" t="n">
        <v>-675423</v>
      </c>
      <c r="F3" s="4" t="n">
        <v>-1247936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-132259</v>
      </c>
      <c r="C5" s="4" t="n">
        <v>-428670</v>
      </c>
      <c r="D5" s="4" t="n">
        <v>-366773</v>
      </c>
      <c r="E5" s="4" t="n">
        <v>-524479</v>
      </c>
      <c r="F5" s="4" t="n">
        <v>-798810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Distributor Termination Fees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-327461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7">
        <f>G4+SUM(G5:G6)</f>
        <v/>
      </c>
      <c r="H7" s="7">
        <f>H4+SUM(H5:H6)</f>
        <v/>
      </c>
      <c r="I7" s="7">
        <f>I4+SUM(I5:I6)</f>
        <v/>
      </c>
      <c r="J7" s="7">
        <f>J4+SUM(J5:J6)</f>
        <v/>
      </c>
      <c r="K7" s="7">
        <f>K4+SUM(K5:K6)</f>
        <v/>
      </c>
      <c r="L7" s="7">
        <f>L4+SUM(L5:L6)</f>
        <v/>
      </c>
    </row>
    <row r="8">
      <c r="A8" s="3" t="inlineStr">
        <is>
          <t>Interest Income (Expense)</t>
        </is>
      </c>
      <c r="B8" s="4" t="n">
        <v>307</v>
      </c>
      <c r="C8" s="4" t="n">
        <v>5529</v>
      </c>
      <c r="D8" s="4" t="n">
        <v>26629</v>
      </c>
      <c r="E8" s="4" t="n">
        <v>39263</v>
      </c>
      <c r="F8" s="4" t="n">
        <v>-27892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Foreign Currency Gain (Loss)</t>
        </is>
      </c>
      <c r="B9" s="4" t="n">
        <v>-276</v>
      </c>
      <c r="C9" s="4" t="n">
        <v>-392</v>
      </c>
      <c r="D9" s="4" t="n">
        <v>-1246</v>
      </c>
      <c r="E9" s="4" t="n">
        <v>-1734</v>
      </c>
      <c r="F9" s="4" t="n">
        <v>0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Other Income (Expense)</t>
        </is>
      </c>
      <c r="B10" s="4" t="n">
        <v>0</v>
      </c>
      <c r="C10" s="4" t="n">
        <v>0</v>
      </c>
      <c r="D10" s="4" t="n">
        <v>0</v>
      </c>
      <c r="E10" s="4" t="n">
        <v>1793</v>
      </c>
      <c r="F10" s="4" t="n">
        <v>11863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7">
        <f>G7+SUM(G8:G10)</f>
        <v/>
      </c>
      <c r="H11" s="7">
        <f>H7+SUM(H8:H10)</f>
        <v/>
      </c>
      <c r="I11" s="7">
        <f>I7+SUM(I8:I10)</f>
        <v/>
      </c>
      <c r="J11" s="7">
        <f>J7+SUM(J8:J10)</f>
        <v/>
      </c>
      <c r="K11" s="7">
        <f>K7+SUM(K8:K10)</f>
        <v/>
      </c>
      <c r="L11" s="7">
        <f>L7+SUM(L8:L10)</f>
        <v/>
      </c>
    </row>
    <row r="12">
      <c r="A12" s="3" t="inlineStr">
        <is>
          <t>Income Tax (Expense) Benefit</t>
        </is>
      </c>
      <c r="B12" s="4" t="n">
        <v>7996</v>
      </c>
      <c r="C12" s="4" t="n">
        <v>-34618</v>
      </c>
      <c r="D12" s="4" t="n">
        <v>-64948</v>
      </c>
      <c r="E12" s="4" t="n">
        <v>-49976</v>
      </c>
      <c r="F12" s="4" t="n">
        <v>-17034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Preferred Dividends</t>
        </is>
      </c>
      <c r="B14" s="4" t="n">
        <v>0</v>
      </c>
      <c r="C14" s="4" t="n">
        <v>-11526</v>
      </c>
      <c r="D14" s="4" t="n">
        <v>-27462</v>
      </c>
      <c r="E14" s="4" t="n">
        <v>-27500</v>
      </c>
      <c r="F14" s="4" t="n">
        <v>-37608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Income Allocated to Participating Preferred</t>
        </is>
      </c>
      <c r="B15" s="4" t="n">
        <v>0</v>
      </c>
      <c r="C15" s="4" t="n">
        <v>0</v>
      </c>
      <c r="D15" s="4" t="n">
        <v>-17348</v>
      </c>
      <c r="E15" s="4" t="n">
        <v>-10117</v>
      </c>
      <c r="F15" s="4" t="n">
        <v>-6554</v>
      </c>
      <c r="G15" s="5" t="n"/>
      <c r="H15" s="5" t="n"/>
      <c r="I15" s="5" t="n"/>
      <c r="J15" s="5" t="n"/>
      <c r="K15" s="5" t="n"/>
      <c r="L15" s="5" t="n"/>
    </row>
    <row r="16">
      <c r="A16" s="3" t="inlineStr">
        <is>
          <t>Net Income (Loss) Attributable to Common Shareholders</t>
        </is>
      </c>
      <c r="B16" s="6">
        <f>B13+B14+B15</f>
        <v/>
      </c>
      <c r="C16" s="6">
        <f>C13+C14+C15</f>
        <v/>
      </c>
      <c r="D16" s="6">
        <f>D13+D14+D15</f>
        <v/>
      </c>
      <c r="E16" s="6">
        <f>E13+E14+E15</f>
        <v/>
      </c>
      <c r="F16" s="6">
        <f>F13+F14+F15</f>
        <v/>
      </c>
      <c r="G16" s="7">
        <f>G13+G14+G15</f>
        <v/>
      </c>
      <c r="H16" s="7">
        <f>H13+H14+H15</f>
        <v/>
      </c>
      <c r="I16" s="7">
        <f>I13+I14+I15</f>
        <v/>
      </c>
      <c r="J16" s="7">
        <f>J13+J14+J15</f>
        <v/>
      </c>
      <c r="K16" s="7">
        <f>K13+K14+K15</f>
        <v/>
      </c>
      <c r="L16" s="7">
        <f>L13+L14+L15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FY2026E</t>
        </is>
      </c>
      <c r="G1" s="2" t="inlineStr">
        <is>
          <t>FY2027E</t>
        </is>
      </c>
      <c r="H1" s="2" t="inlineStr">
        <is>
          <t>FY2028E</t>
        </is>
      </c>
      <c r="I1" s="2" t="inlineStr">
        <is>
          <t>FY2029E</t>
        </is>
      </c>
      <c r="J1" s="2" t="inlineStr">
        <is>
          <t>FY2030E</t>
        </is>
      </c>
      <c r="K1" s="2" t="inlineStr">
        <is>
          <t>FY2031E</t>
        </is>
      </c>
    </row>
    <row r="2">
      <c r="A2" s="3" t="inlineStr">
        <is>
          <t>Cash &amp; Cash Equivalents</t>
        </is>
      </c>
      <c r="B2" s="4" t="n">
        <v>614159</v>
      </c>
      <c r="C2" s="4" t="n">
        <v>755981</v>
      </c>
      <c r="D2" s="4" t="n">
        <v>890190</v>
      </c>
      <c r="E2" s="4" t="n">
        <v>398866</v>
      </c>
      <c r="F2" s="5" t="n"/>
      <c r="G2" s="5" t="n"/>
      <c r="H2" s="5" t="n"/>
      <c r="I2" s="5" t="n"/>
      <c r="J2" s="5" t="n"/>
      <c r="K2" s="5" t="n"/>
    </row>
    <row r="3">
      <c r="A3" s="3" t="inlineStr">
        <is>
          <t>Restricted Cash</t>
        </is>
      </c>
      <c r="B3" s="4" t="n">
        <v>38768</v>
      </c>
      <c r="C3" s="4" t="n">
        <v>0</v>
      </c>
      <c r="D3" s="4" t="n">
        <v>0</v>
      </c>
      <c r="E3" s="4" t="n">
        <v>141121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Accounts Receivable</t>
        </is>
      </c>
      <c r="B4" s="4" t="n">
        <v>63311</v>
      </c>
      <c r="C4" s="4" t="n">
        <v>183703</v>
      </c>
      <c r="D4" s="4" t="n">
        <v>270342</v>
      </c>
      <c r="E4" s="4" t="n">
        <v>755499</v>
      </c>
      <c r="F4" s="5" t="n"/>
      <c r="G4" s="5" t="n"/>
      <c r="H4" s="5" t="n"/>
      <c r="I4" s="5" t="n"/>
      <c r="J4" s="5" t="n"/>
      <c r="K4" s="5" t="n"/>
    </row>
    <row r="5">
      <c r="A5" s="3" t="inlineStr">
        <is>
          <t>Note Receivable - Current</t>
        </is>
      </c>
      <c r="B5" s="4" t="n">
        <v>2979</v>
      </c>
      <c r="C5" s="4" t="n">
        <v>2318</v>
      </c>
      <c r="D5" s="4" t="n">
        <v>0</v>
      </c>
      <c r="E5" s="4" t="n">
        <v>0</v>
      </c>
      <c r="F5" s="5" t="n"/>
      <c r="G5" s="5" t="n"/>
      <c r="H5" s="5" t="n"/>
      <c r="I5" s="5" t="n"/>
      <c r="J5" s="5" t="n"/>
      <c r="K5" s="5" t="n"/>
    </row>
    <row r="6">
      <c r="A6" s="3" t="inlineStr">
        <is>
          <t>Inventories</t>
        </is>
      </c>
      <c r="B6" s="4" t="n">
        <v>173289</v>
      </c>
      <c r="C6" s="4" t="n">
        <v>229275</v>
      </c>
      <c r="D6" s="4" t="n">
        <v>131165</v>
      </c>
      <c r="E6" s="4" t="n">
        <v>337698</v>
      </c>
      <c r="F6" s="5" t="n"/>
      <c r="G6" s="5" t="n"/>
      <c r="H6" s="5" t="n"/>
      <c r="I6" s="5" t="n"/>
      <c r="J6" s="5" t="n"/>
      <c r="K6" s="5" t="n"/>
    </row>
    <row r="7">
      <c r="A7" s="3" t="inlineStr">
        <is>
          <t>Prepaid Expenses</t>
        </is>
      </c>
      <c r="B7" s="4" t="n">
        <v>11341</v>
      </c>
      <c r="C7" s="4" t="n">
        <v>19503</v>
      </c>
      <c r="D7" s="4" t="n">
        <v>18759</v>
      </c>
      <c r="E7" s="4" t="n">
        <v>128806</v>
      </c>
      <c r="F7" s="5" t="n"/>
      <c r="G7" s="5" t="n"/>
      <c r="H7" s="5" t="n"/>
      <c r="I7" s="5" t="n"/>
      <c r="J7" s="5" t="n"/>
      <c r="K7" s="5" t="n"/>
    </row>
    <row r="8">
      <c r="A8" s="3" t="inlineStr">
        <is>
          <t>Deferred Other Costs - Current</t>
        </is>
      </c>
      <c r="B8" s="4" t="n">
        <v>14124</v>
      </c>
      <c r="C8" s="4" t="n">
        <v>14124</v>
      </c>
      <c r="D8" s="4" t="n">
        <v>14124</v>
      </c>
      <c r="E8" s="4" t="n">
        <v>49164</v>
      </c>
      <c r="F8" s="5" t="n"/>
      <c r="G8" s="5" t="n"/>
      <c r="H8" s="5" t="n"/>
      <c r="I8" s="5" t="n"/>
      <c r="J8" s="5" t="n"/>
      <c r="K8" s="5" t="n"/>
    </row>
    <row r="9">
      <c r="A9" s="3" t="inlineStr">
        <is>
          <t>Total Current Assets</t>
        </is>
      </c>
      <c r="B9" s="6">
        <f>SUM(B2:B8)</f>
        <v/>
      </c>
      <c r="C9" s="6">
        <f>SUM(C2:C8)</f>
        <v/>
      </c>
      <c r="D9" s="6">
        <f>SUM(D2:D8)</f>
        <v/>
      </c>
      <c r="E9" s="6">
        <f>SUM(E2:E8)</f>
        <v/>
      </c>
      <c r="F9" s="7">
        <f>SUM(F2:F8)</f>
        <v/>
      </c>
      <c r="G9" s="7">
        <f>SUM(G2:G8)</f>
        <v/>
      </c>
      <c r="H9" s="7">
        <f>SUM(H2:H8)</f>
        <v/>
      </c>
      <c r="I9" s="7">
        <f>SUM(I2:I8)</f>
        <v/>
      </c>
      <c r="J9" s="7">
        <f>SUM(J2:J8)</f>
        <v/>
      </c>
      <c r="K9" s="7">
        <f>SUM(K2:K8)</f>
        <v/>
      </c>
    </row>
    <row r="10">
      <c r="A10" s="3" t="inlineStr">
        <is>
          <t>Note Receivable - Non-Current</t>
        </is>
      </c>
      <c r="B10" s="4" t="n">
        <v>3574</v>
      </c>
      <c r="C10" s="4" t="n">
        <v>0</v>
      </c>
      <c r="D10" s="4" t="n">
        <v>0</v>
      </c>
      <c r="E10" s="4" t="n">
        <v>0</v>
      </c>
      <c r="F10" s="5" t="n"/>
      <c r="G10" s="5" t="n"/>
      <c r="H10" s="5" t="n"/>
      <c r="I10" s="5" t="n"/>
      <c r="J10" s="5" t="n"/>
      <c r="K10" s="5" t="n"/>
    </row>
    <row r="11">
      <c r="A11" s="3" t="inlineStr">
        <is>
          <t>Net PP&amp;E</t>
        </is>
      </c>
      <c r="B11" s="4" t="n">
        <v>10185</v>
      </c>
      <c r="C11" s="4" t="n">
        <v>24868</v>
      </c>
      <c r="D11" s="4" t="n">
        <v>55602</v>
      </c>
      <c r="E11" s="4" t="n">
        <v>87910</v>
      </c>
      <c r="F11" s="5" t="n"/>
      <c r="G11" s="5" t="n"/>
      <c r="H11" s="5" t="n"/>
      <c r="I11" s="5" t="n"/>
      <c r="J11" s="5" t="n"/>
      <c r="K11" s="5" t="n"/>
    </row>
    <row r="12">
      <c r="A12" s="3" t="inlineStr">
        <is>
          <t>ROU Assets - Operating - Non-Current</t>
        </is>
      </c>
      <c r="B12" s="4" t="n">
        <v>972</v>
      </c>
      <c r="C12" s="4" t="n">
        <v>1957</v>
      </c>
      <c r="D12" s="4" t="n">
        <v>21606</v>
      </c>
      <c r="E12" s="4" t="n">
        <v>0</v>
      </c>
      <c r="F12" s="5" t="n"/>
      <c r="G12" s="5" t="n"/>
      <c r="H12" s="5" t="n"/>
      <c r="I12" s="5" t="n"/>
      <c r="J12" s="5" t="n"/>
      <c r="K12" s="5" t="n"/>
    </row>
    <row r="13">
      <c r="A13" s="3" t="inlineStr">
        <is>
          <t>ROU Assets - Finance - Non-Current</t>
        </is>
      </c>
      <c r="B13" s="4" t="n">
        <v>208</v>
      </c>
      <c r="C13" s="4" t="n">
        <v>208</v>
      </c>
      <c r="D13" s="4" t="n">
        <v>230</v>
      </c>
      <c r="E13" s="4" t="n">
        <v>0</v>
      </c>
      <c r="F13" s="5" t="n"/>
      <c r="G13" s="5" t="n"/>
      <c r="H13" s="5" t="n"/>
      <c r="I13" s="5" t="n"/>
      <c r="J13" s="5" t="n"/>
      <c r="K13" s="5" t="n"/>
    </row>
    <row r="14">
      <c r="A14" s="3" t="inlineStr">
        <is>
          <t>Intangible Assets</t>
        </is>
      </c>
      <c r="B14" s="4" t="n">
        <v>12254</v>
      </c>
      <c r="C14" s="4" t="n">
        <v>12139</v>
      </c>
      <c r="D14" s="4" t="n">
        <v>12213</v>
      </c>
      <c r="E14" s="4" t="n">
        <v>1391915</v>
      </c>
      <c r="F14" s="5" t="n"/>
      <c r="G14" s="5" t="n"/>
      <c r="H14" s="5" t="n"/>
      <c r="I14" s="5" t="n"/>
      <c r="J14" s="5" t="n"/>
      <c r="K14" s="5" t="n"/>
    </row>
    <row r="15">
      <c r="A15" s="3" t="inlineStr">
        <is>
          <t>Goodwill</t>
        </is>
      </c>
      <c r="B15" s="4" t="n">
        <v>13679</v>
      </c>
      <c r="C15" s="4" t="n">
        <v>14173</v>
      </c>
      <c r="D15" s="4" t="n">
        <v>71582</v>
      </c>
      <c r="E15" s="4" t="n">
        <v>917560</v>
      </c>
      <c r="F15" s="5" t="n"/>
      <c r="G15" s="5" t="n"/>
      <c r="H15" s="5" t="n"/>
      <c r="I15" s="5" t="n"/>
      <c r="J15" s="5" t="n"/>
      <c r="K15" s="5" t="n"/>
    </row>
    <row r="16">
      <c r="A16" s="3" t="inlineStr">
        <is>
          <t>Deferred Other Costs - Non-Current</t>
        </is>
      </c>
      <c r="B16" s="4" t="n">
        <v>262462</v>
      </c>
      <c r="C16" s="4" t="n">
        <v>248338</v>
      </c>
      <c r="D16" s="4" t="n">
        <v>234215</v>
      </c>
      <c r="E16" s="4" t="n">
        <v>771635</v>
      </c>
      <c r="F16" s="5" t="n"/>
      <c r="G16" s="5" t="n"/>
      <c r="H16" s="5" t="n"/>
      <c r="I16" s="5" t="n"/>
      <c r="J16" s="5" t="n"/>
      <c r="K16" s="5" t="n"/>
    </row>
    <row r="17">
      <c r="A17" s="3" t="inlineStr">
        <is>
          <t>Deferred Tax Assets</t>
        </is>
      </c>
      <c r="B17" s="4" t="n">
        <v>501</v>
      </c>
      <c r="C17" s="4" t="n">
        <v>29518</v>
      </c>
      <c r="D17" s="4" t="n">
        <v>38699</v>
      </c>
      <c r="E17" s="4" t="n">
        <v>96013</v>
      </c>
      <c r="F17" s="5" t="n"/>
      <c r="G17" s="5" t="n"/>
      <c r="H17" s="5" t="n"/>
      <c r="I17" s="5" t="n"/>
      <c r="J17" s="5" t="n"/>
      <c r="K17" s="5" t="n"/>
    </row>
    <row r="18">
      <c r="A18" s="3" t="inlineStr">
        <is>
          <t>Other Non-Current Assets</t>
        </is>
      </c>
      <c r="B18" s="4" t="n">
        <v>263</v>
      </c>
      <c r="C18" s="4" t="n">
        <v>291</v>
      </c>
      <c r="D18" s="4" t="n">
        <v>8154</v>
      </c>
      <c r="E18" s="4" t="n">
        <v>43434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Total Assets</t>
        </is>
      </c>
      <c r="B19" s="6">
        <f>B9+SUM(B10:B18)</f>
        <v/>
      </c>
      <c r="C19" s="6">
        <f>C9+SUM(C10:C18)</f>
        <v/>
      </c>
      <c r="D19" s="6">
        <f>D9+SUM(D10:D18)</f>
        <v/>
      </c>
      <c r="E19" s="6">
        <f>E9+SUM(E10:E18)</f>
        <v/>
      </c>
      <c r="F19" s="7">
        <f>F9+SUM(F10:F18)</f>
        <v/>
      </c>
      <c r="G19" s="7">
        <f>G9+SUM(G10:G18)</f>
        <v/>
      </c>
      <c r="H19" s="7">
        <f>H9+SUM(H10:H18)</f>
        <v/>
      </c>
      <c r="I19" s="7">
        <f>I9+SUM(I10:I18)</f>
        <v/>
      </c>
      <c r="J19" s="7">
        <f>J9+SUM(J10:J18)</f>
        <v/>
      </c>
      <c r="K19" s="7">
        <f>K9+SUM(K10:K18)</f>
        <v/>
      </c>
    </row>
    <row r="20">
      <c r="A20" s="3" t="inlineStr">
        <is>
          <t>Accounts Payable</t>
        </is>
      </c>
      <c r="B20" s="4" t="n">
        <v>36248</v>
      </c>
      <c r="C20" s="4" t="n">
        <v>42840</v>
      </c>
      <c r="D20" s="4" t="n">
        <v>41287</v>
      </c>
      <c r="E20" s="4" t="n">
        <v>137930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Accrued Expenses</t>
        </is>
      </c>
      <c r="B21" s="4" t="n">
        <v>69899</v>
      </c>
      <c r="C21" s="4" t="n">
        <v>62120</v>
      </c>
      <c r="D21" s="4" t="n">
        <v>148780</v>
      </c>
      <c r="E21" s="4" t="n">
        <v>230721</v>
      </c>
      <c r="F21" s="5" t="n"/>
      <c r="G21" s="5" t="n"/>
      <c r="H21" s="5" t="n"/>
      <c r="I21" s="5" t="n"/>
      <c r="J21" s="5" t="n"/>
      <c r="K21" s="5" t="n"/>
    </row>
    <row r="22">
      <c r="A22" s="3" t="inlineStr">
        <is>
          <t>Income Taxes Payable</t>
        </is>
      </c>
      <c r="B22" s="4" t="n">
        <v>1193</v>
      </c>
      <c r="C22" s="4" t="n">
        <v>50424</v>
      </c>
      <c r="D22" s="4" t="n">
        <v>10834</v>
      </c>
      <c r="E22" s="4" t="n">
        <v>49612</v>
      </c>
      <c r="F22" s="5" t="n"/>
      <c r="G22" s="5" t="n"/>
      <c r="H22" s="5" t="n"/>
      <c r="I22" s="5" t="n"/>
      <c r="J22" s="5" t="n"/>
      <c r="K22" s="5" t="n"/>
    </row>
    <row r="23">
      <c r="A23" s="3" t="inlineStr">
        <is>
          <t>Accrued Distributor Termination Fees</t>
        </is>
      </c>
      <c r="B23" s="4" t="n">
        <v>3986</v>
      </c>
      <c r="C23" s="4" t="n">
        <v>0</v>
      </c>
      <c r="D23" s="4" t="n">
        <v>0</v>
      </c>
      <c r="E23" s="4" t="n">
        <v>264088</v>
      </c>
      <c r="F23" s="5" t="n"/>
      <c r="G23" s="5" t="n"/>
      <c r="H23" s="5" t="n"/>
      <c r="I23" s="5" t="n"/>
      <c r="J23" s="5" t="n"/>
      <c r="K23" s="5" t="n"/>
    </row>
    <row r="24">
      <c r="A24" s="3" t="inlineStr">
        <is>
          <t>Accrued Promotional Allowance</t>
        </is>
      </c>
      <c r="B24" s="4" t="n">
        <v>35977</v>
      </c>
      <c r="C24" s="4" t="n">
        <v>99787</v>
      </c>
      <c r="D24" s="4" t="n">
        <v>135948</v>
      </c>
      <c r="E24" s="4" t="n">
        <v>307922</v>
      </c>
      <c r="F24" s="5" t="n"/>
      <c r="G24" s="5" t="n"/>
      <c r="H24" s="5" t="n"/>
      <c r="I24" s="5" t="n"/>
      <c r="J24" s="5" t="n"/>
      <c r="K24" s="5" t="n"/>
    </row>
    <row r="25">
      <c r="A25" s="3" t="inlineStr">
        <is>
          <t>Lease Liability - Operating - Current</t>
        </is>
      </c>
      <c r="B25" s="4" t="n">
        <v>661</v>
      </c>
      <c r="C25" s="4" t="n">
        <v>980</v>
      </c>
      <c r="D25" s="4" t="n">
        <v>3265</v>
      </c>
      <c r="E25" s="4" t="n">
        <v>0</v>
      </c>
      <c r="F25" s="5" t="n"/>
      <c r="G25" s="5" t="n"/>
      <c r="H25" s="5" t="n"/>
      <c r="I25" s="5" t="n"/>
      <c r="J25" s="5" t="n"/>
      <c r="K25" s="5" t="n"/>
    </row>
    <row r="26">
      <c r="A26" s="3" t="inlineStr">
        <is>
          <t>Lease Liability - Finance - Current</t>
        </is>
      </c>
      <c r="B26" s="4" t="n">
        <v>70</v>
      </c>
      <c r="C26" s="4" t="n">
        <v>59</v>
      </c>
      <c r="D26" s="4" t="n">
        <v>100</v>
      </c>
      <c r="E26" s="4" t="n">
        <v>0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Contingent Consideration - Current</t>
        </is>
      </c>
      <c r="B27" s="4" t="n">
        <v>0</v>
      </c>
      <c r="C27" s="4" t="n">
        <v>0</v>
      </c>
      <c r="D27" s="4" t="n">
        <v>0</v>
      </c>
      <c r="E27" s="4" t="n">
        <v>25000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Deferred Revenue - Current</t>
        </is>
      </c>
      <c r="B28" s="4" t="n">
        <v>9675</v>
      </c>
      <c r="C28" s="4" t="n">
        <v>9513</v>
      </c>
      <c r="D28" s="4" t="n">
        <v>9513</v>
      </c>
      <c r="E28" s="4" t="n">
        <v>26988</v>
      </c>
      <c r="F28" s="5" t="n"/>
      <c r="G28" s="5" t="n"/>
      <c r="H28" s="5" t="n"/>
      <c r="I28" s="5" t="n"/>
      <c r="J28" s="5" t="n"/>
      <c r="K28" s="5" t="n"/>
    </row>
    <row r="29">
      <c r="A29" s="3" t="inlineStr">
        <is>
          <t>Other Current Liabilities</t>
        </is>
      </c>
      <c r="B29" s="4" t="n">
        <v>3586</v>
      </c>
      <c r="C29" s="4" t="n">
        <v>10890</v>
      </c>
      <c r="D29" s="4" t="n">
        <v>15808</v>
      </c>
      <c r="E29" s="4" t="n">
        <v>36465</v>
      </c>
      <c r="F29" s="5" t="n"/>
      <c r="G29" s="5" t="n"/>
      <c r="H29" s="5" t="n"/>
      <c r="I29" s="5" t="n"/>
      <c r="J29" s="5" t="n"/>
      <c r="K29" s="5" t="n"/>
    </row>
    <row r="30">
      <c r="A30" s="3" t="inlineStr">
        <is>
          <t>Total Current Liabilities</t>
        </is>
      </c>
      <c r="B30" s="6">
        <f>SUM(B20:B29)</f>
        <v/>
      </c>
      <c r="C30" s="6">
        <f>SUM(C20:C29)</f>
        <v/>
      </c>
      <c r="D30" s="6">
        <f>SUM(D20:D29)</f>
        <v/>
      </c>
      <c r="E30" s="6">
        <f>SUM(E20:E29)</f>
        <v/>
      </c>
      <c r="F30" s="7">
        <f>SUM(F20:F29)</f>
        <v/>
      </c>
      <c r="G30" s="7">
        <f>SUM(G20:G29)</f>
        <v/>
      </c>
      <c r="H30" s="7">
        <f>SUM(H20:H29)</f>
        <v/>
      </c>
      <c r="I30" s="7">
        <f>SUM(I20:I29)</f>
        <v/>
      </c>
      <c r="J30" s="7">
        <f>SUM(J20:J29)</f>
        <v/>
      </c>
      <c r="K30" s="7">
        <f>SUM(K20:K29)</f>
        <v/>
      </c>
    </row>
    <row r="31">
      <c r="A31" s="3" t="inlineStr">
        <is>
          <t>Lease Liability - Operating - Non-Current</t>
        </is>
      </c>
      <c r="B31" s="4" t="n">
        <v>326</v>
      </c>
      <c r="C31" s="4" t="n">
        <v>955</v>
      </c>
      <c r="D31" s="4" t="n">
        <v>16674</v>
      </c>
      <c r="E31" s="4" t="n">
        <v>0</v>
      </c>
      <c r="F31" s="5" t="n"/>
      <c r="G31" s="5" t="n"/>
      <c r="H31" s="5" t="n"/>
      <c r="I31" s="5" t="n"/>
      <c r="J31" s="5" t="n"/>
      <c r="K31" s="5" t="n"/>
    </row>
    <row r="32">
      <c r="A32" s="3" t="inlineStr">
        <is>
          <t>Lease Liability - Finance - Non-Current</t>
        </is>
      </c>
      <c r="B32" s="4" t="n">
        <v>162</v>
      </c>
      <c r="C32" s="4" t="n">
        <v>193</v>
      </c>
      <c r="D32" s="4" t="n">
        <v>211</v>
      </c>
      <c r="E32" s="4" t="n">
        <v>0</v>
      </c>
      <c r="F32" s="5" t="n"/>
      <c r="G32" s="5" t="n"/>
      <c r="H32" s="5" t="n"/>
      <c r="I32" s="5" t="n"/>
      <c r="J32" s="5" t="n"/>
      <c r="K32" s="5" t="n"/>
    </row>
    <row r="33">
      <c r="A33" s="3" t="inlineStr">
        <is>
          <t>Deferred Tax Liability</t>
        </is>
      </c>
      <c r="B33" s="4" t="n">
        <v>15919</v>
      </c>
      <c r="C33" s="4" t="n">
        <v>2880</v>
      </c>
      <c r="D33" s="4" t="n">
        <v>2330</v>
      </c>
      <c r="E33" s="4" t="n">
        <v>0</v>
      </c>
      <c r="F33" s="5" t="n"/>
      <c r="G33" s="5" t="n"/>
      <c r="H33" s="5" t="n"/>
      <c r="I33" s="5" t="n"/>
      <c r="J33" s="5" t="n"/>
      <c r="K33" s="5" t="n"/>
    </row>
    <row r="34">
      <c r="A34" s="3" t="inlineStr">
        <is>
          <t>Long-Term Debt</t>
        </is>
      </c>
      <c r="B34" s="4" t="n">
        <v>0</v>
      </c>
      <c r="C34" s="4" t="n">
        <v>0</v>
      </c>
      <c r="D34" s="4" t="n">
        <v>0</v>
      </c>
      <c r="E34" s="4" t="n">
        <v>669926</v>
      </c>
      <c r="F34" s="5" t="n"/>
      <c r="G34" s="5" t="n"/>
      <c r="H34" s="5" t="n"/>
      <c r="I34" s="5" t="n"/>
      <c r="J34" s="5" t="n"/>
      <c r="K34" s="5" t="n"/>
    </row>
    <row r="35">
      <c r="A35" s="3" t="inlineStr">
        <is>
          <t>Deferred Revenue - Non-Current</t>
        </is>
      </c>
      <c r="B35" s="4" t="n">
        <v>179788</v>
      </c>
      <c r="C35" s="4" t="n">
        <v>167227</v>
      </c>
      <c r="D35" s="4" t="n">
        <v>157714</v>
      </c>
      <c r="E35" s="4" t="n">
        <v>401155</v>
      </c>
      <c r="F35" s="5" t="n"/>
      <c r="G35" s="5" t="n"/>
      <c r="H35" s="5" t="n"/>
      <c r="I35" s="5" t="n"/>
      <c r="J35" s="5" t="n"/>
      <c r="K35" s="5" t="n"/>
    </row>
    <row r="36">
      <c r="A36" s="3" t="inlineStr">
        <is>
          <t>Other Non-Current Liabilities</t>
        </is>
      </c>
      <c r="B36" s="4" t="n">
        <v>0</v>
      </c>
      <c r="C36" s="4" t="n">
        <v>0</v>
      </c>
      <c r="D36" s="4" t="n">
        <v>0</v>
      </c>
      <c r="E36" s="4" t="n">
        <v>28372</v>
      </c>
      <c r="F36" s="5" t="n"/>
      <c r="G36" s="5" t="n"/>
      <c r="H36" s="5" t="n"/>
      <c r="I36" s="5" t="n"/>
      <c r="J36" s="5" t="n"/>
      <c r="K36" s="5" t="n"/>
    </row>
    <row r="37">
      <c r="A37" s="3" t="inlineStr">
        <is>
          <t>Total Liabilities</t>
        </is>
      </c>
      <c r="B37" s="6">
        <f>B30+SUM(B31:B36)</f>
        <v/>
      </c>
      <c r="C37" s="6">
        <f>C30+SUM(C31:C36)</f>
        <v/>
      </c>
      <c r="D37" s="6">
        <f>D30+SUM(D31:D36)</f>
        <v/>
      </c>
      <c r="E37" s="6">
        <f>E30+SUM(E31:E36)</f>
        <v/>
      </c>
      <c r="F37" s="7">
        <f>F30+SUM(F31:F36)</f>
        <v/>
      </c>
      <c r="G37" s="7">
        <f>G30+SUM(G31:G36)</f>
        <v/>
      </c>
      <c r="H37" s="7">
        <f>H30+SUM(H31:H36)</f>
        <v/>
      </c>
      <c r="I37" s="7">
        <f>I30+SUM(I31:I36)</f>
        <v/>
      </c>
      <c r="J37" s="7">
        <f>J30+SUM(J31:J36)</f>
        <v/>
      </c>
      <c r="K37" s="7">
        <f>K30+SUM(K31:K36)</f>
        <v/>
      </c>
    </row>
    <row r="38">
      <c r="A38" s="3" t="inlineStr">
        <is>
          <t>Convertible Preferred Stock</t>
        </is>
      </c>
      <c r="B38" s="4" t="n">
        <v>824488</v>
      </c>
      <c r="C38" s="4" t="n">
        <v>824488</v>
      </c>
      <c r="D38" s="4" t="n">
        <v>824488</v>
      </c>
      <c r="E38" s="4" t="n">
        <v>1759975</v>
      </c>
      <c r="F38" s="5" t="n"/>
      <c r="G38" s="5" t="n"/>
      <c r="H38" s="5" t="n"/>
      <c r="I38" s="5" t="n"/>
      <c r="J38" s="5" t="n"/>
      <c r="K38" s="5" t="n"/>
    </row>
    <row r="39">
      <c r="A39" s="3" t="inlineStr">
        <is>
          <t>Common Stock</t>
        </is>
      </c>
      <c r="B39" s="4" t="n">
        <v>76</v>
      </c>
      <c r="C39" s="4" t="n">
        <v>77</v>
      </c>
      <c r="D39" s="4" t="n">
        <v>79</v>
      </c>
      <c r="E39" s="4" t="n">
        <v>101</v>
      </c>
      <c r="F39" s="5" t="n"/>
      <c r="G39" s="5" t="n"/>
      <c r="H39" s="5" t="n"/>
      <c r="I39" s="5" t="n"/>
      <c r="J39" s="5" t="n"/>
      <c r="K39" s="5" t="n"/>
    </row>
    <row r="40">
      <c r="A40" s="3" t="inlineStr">
        <is>
          <t>Treasury Stock</t>
        </is>
      </c>
      <c r="B40" s="4" t="n">
        <v>0</v>
      </c>
      <c r="C40" s="4" t="n">
        <v>0</v>
      </c>
      <c r="D40" s="4" t="n">
        <v>0</v>
      </c>
      <c r="E40" s="4" t="n">
        <v>-48226</v>
      </c>
      <c r="F40" s="5" t="n"/>
      <c r="G40" s="5" t="n"/>
      <c r="H40" s="5" t="n"/>
      <c r="I40" s="5" t="n"/>
      <c r="J40" s="5" t="n"/>
      <c r="K40" s="5" t="n"/>
    </row>
    <row r="41">
      <c r="A41" s="3" t="inlineStr">
        <is>
          <t>Additional Paid-in Capital</t>
        </is>
      </c>
      <c r="B41" s="4" t="n">
        <v>280668</v>
      </c>
      <c r="C41" s="4" t="n">
        <v>276717</v>
      </c>
      <c r="D41" s="4" t="n">
        <v>297579</v>
      </c>
      <c r="E41" s="4" t="n">
        <v>1050518</v>
      </c>
      <c r="F41" s="5" t="n"/>
      <c r="G41" s="5" t="n"/>
      <c r="H41" s="5" t="n"/>
      <c r="I41" s="5" t="n"/>
      <c r="J41" s="5" t="n"/>
      <c r="K41" s="5" t="n"/>
    </row>
    <row r="42">
      <c r="A42" s="3" t="inlineStr">
        <is>
          <t>Accumulated Other Comprehensive Income (Loss)</t>
        </is>
      </c>
      <c r="B42" s="4" t="n">
        <v>-1881</v>
      </c>
      <c r="C42" s="4" t="n">
        <v>-701</v>
      </c>
      <c r="D42" s="4" t="n">
        <v>-3250</v>
      </c>
      <c r="E42" s="4" t="n">
        <v>3162</v>
      </c>
      <c r="F42" s="5" t="n"/>
      <c r="G42" s="5" t="n"/>
      <c r="H42" s="5" t="n"/>
      <c r="I42" s="5" t="n"/>
      <c r="J42" s="5" t="n"/>
      <c r="K42" s="5" t="n"/>
    </row>
    <row r="43">
      <c r="A43" s="3" t="inlineStr">
        <is>
          <t>Retained Earnings (Accumulated Deficit)</t>
        </is>
      </c>
      <c r="B43" s="4" t="n">
        <v>-238772</v>
      </c>
      <c r="C43" s="4" t="n">
        <v>-12053</v>
      </c>
      <c r="D43" s="4" t="n">
        <v>105521</v>
      </c>
      <c r="E43" s="4" t="n">
        <v>175912</v>
      </c>
      <c r="F43" s="5" t="n"/>
      <c r="G43" s="5" t="n"/>
      <c r="H43" s="5" t="n"/>
      <c r="I43" s="5" t="n"/>
      <c r="J43" s="5" t="n"/>
      <c r="K43" s="5" t="n"/>
    </row>
    <row r="44">
      <c r="A44" s="3" t="inlineStr">
        <is>
          <t>Total Stockholders' Equity</t>
        </is>
      </c>
      <c r="B44" s="6">
        <f>SUM(B38:B43)</f>
        <v/>
      </c>
      <c r="C44" s="6">
        <f>SUM(C38:C43)</f>
        <v/>
      </c>
      <c r="D44" s="6">
        <f>SUM(D38:D43)</f>
        <v/>
      </c>
      <c r="E44" s="6">
        <f>SUM(E38:E43)</f>
        <v/>
      </c>
      <c r="F44" s="7">
        <f>SUM(F38:F43)</f>
        <v/>
      </c>
      <c r="G44" s="7">
        <f>SUM(G38:G43)</f>
        <v/>
      </c>
      <c r="H44" s="7">
        <f>SUM(H38:H43)</f>
        <v/>
      </c>
      <c r="I44" s="7">
        <f>SUM(I38:I43)</f>
        <v/>
      </c>
      <c r="J44" s="7">
        <f>SUM(J38:J43)</f>
        <v/>
      </c>
      <c r="K44" s="7">
        <f>SUM(K38:K43)</f>
        <v/>
      </c>
    </row>
    <row r="45">
      <c r="A45" s="3" t="inlineStr">
        <is>
          <t>Total Liabilities, Mezzanine &amp; Stockholders' Equity</t>
        </is>
      </c>
      <c r="B45" s="6">
        <f>B37+B44</f>
        <v/>
      </c>
      <c r="C45" s="6">
        <f>C37+C44</f>
        <v/>
      </c>
      <c r="D45" s="6">
        <f>D37+D44</f>
        <v/>
      </c>
      <c r="E45" s="6">
        <f>E37+E44</f>
        <v/>
      </c>
      <c r="F45" s="7">
        <f>F37+F44</f>
        <v/>
      </c>
      <c r="G45" s="7">
        <f>G37+G44</f>
        <v/>
      </c>
      <c r="H45" s="7">
        <f>H37+H44</f>
        <v/>
      </c>
      <c r="I45" s="7">
        <f>I37+I44</f>
        <v/>
      </c>
      <c r="J45" s="7">
        <f>J37+J44</f>
        <v/>
      </c>
      <c r="K45" s="7">
        <f>K37+K44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  <c r="L1" s="2" t="inlineStr">
        <is>
          <t>FY2031E</t>
        </is>
      </c>
    </row>
    <row r="2">
      <c r="A2" s="3" t="inlineStr">
        <is>
          <t>Net Income (Loss)</t>
        </is>
      </c>
      <c r="B2" s="4" t="n">
        <v>3937</v>
      </c>
      <c r="C2" s="4" t="n">
        <v>-187282</v>
      </c>
      <c r="D2" s="4" t="n">
        <v>226801</v>
      </c>
      <c r="E2" s="4" t="n">
        <v>145074</v>
      </c>
      <c r="F2" s="4" t="n">
        <v>107999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Depreciation &amp; Amortization</t>
        </is>
      </c>
      <c r="B3" s="4" t="n">
        <v>1264</v>
      </c>
      <c r="C3" s="4" t="n">
        <v>1917</v>
      </c>
      <c r="D3" s="4" t="n">
        <v>3226</v>
      </c>
      <c r="E3" s="4" t="n">
        <v>7274</v>
      </c>
      <c r="F3" s="4" t="n">
        <v>29451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Impairment of Intangibles</t>
        </is>
      </c>
      <c r="B4" s="4" t="n">
        <v>0</v>
      </c>
      <c r="C4" s="4" t="n">
        <v>2379</v>
      </c>
      <c r="D4" s="4" t="n">
        <v>0</v>
      </c>
      <c r="E4" s="4" t="n">
        <v>0</v>
      </c>
      <c r="F4" s="4" t="n">
        <v>0</v>
      </c>
      <c r="G4" s="5" t="n"/>
      <c r="H4" s="5" t="n"/>
      <c r="I4" s="5" t="n"/>
      <c r="J4" s="5" t="n"/>
      <c r="K4" s="5" t="n"/>
      <c r="L4" s="5" t="n"/>
    </row>
    <row r="5">
      <c r="A5" s="3" t="inlineStr">
        <is>
          <t>Allowance for Credit Losses</t>
        </is>
      </c>
      <c r="B5" s="4" t="n">
        <v>1494</v>
      </c>
      <c r="C5" s="4" t="n">
        <v>2352</v>
      </c>
      <c r="D5" s="4" t="n">
        <v>2128</v>
      </c>
      <c r="E5" s="4" t="n">
        <v>3294</v>
      </c>
      <c r="F5" s="4" t="n">
        <v>10600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Amortization of Deferred Other Costs</t>
        </is>
      </c>
      <c r="B6" s="4" t="n">
        <v>0</v>
      </c>
      <c r="C6" s="4" t="n">
        <v>5885</v>
      </c>
      <c r="D6" s="4" t="n">
        <v>14124</v>
      </c>
      <c r="E6" s="4" t="n">
        <v>14124</v>
      </c>
      <c r="F6" s="4" t="n">
        <v>26326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Inventory Write-Down</t>
        </is>
      </c>
      <c r="B7" s="4" t="n">
        <v>2355</v>
      </c>
      <c r="C7" s="4" t="n">
        <v>6131</v>
      </c>
      <c r="D7" s="4" t="n">
        <v>7312</v>
      </c>
      <c r="E7" s="4" t="n">
        <v>19086</v>
      </c>
      <c r="F7" s="4" t="n">
        <v>29190</v>
      </c>
      <c r="G7" s="5" t="n"/>
      <c r="H7" s="5" t="n"/>
      <c r="I7" s="5" t="n"/>
      <c r="J7" s="5" t="n"/>
      <c r="K7" s="5" t="n"/>
      <c r="L7" s="5" t="n"/>
    </row>
    <row r="8">
      <c r="A8" s="3" t="inlineStr">
        <is>
          <t>Gain (Loss) on Disposal of PP&amp;E</t>
        </is>
      </c>
      <c r="B8" s="4" t="n">
        <v>0</v>
      </c>
      <c r="C8" s="4" t="n">
        <v>0</v>
      </c>
      <c r="D8" s="4" t="n">
        <v>198</v>
      </c>
      <c r="E8" s="4" t="n">
        <v>173</v>
      </c>
      <c r="F8" s="4" t="n">
        <v>0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Stock-Based Compensation</t>
        </is>
      </c>
      <c r="B9" s="4" t="n">
        <v>36475</v>
      </c>
      <c r="C9" s="4" t="n">
        <v>20665</v>
      </c>
      <c r="D9" s="4" t="n">
        <v>21226</v>
      </c>
      <c r="E9" s="4" t="n">
        <v>19591</v>
      </c>
      <c r="F9" s="4" t="n">
        <v>28050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(Benefit) Provision for Deferred Income Taxes</t>
        </is>
      </c>
      <c r="B10" s="4" t="n">
        <v>-9201</v>
      </c>
      <c r="C10" s="4" t="n">
        <v>20244</v>
      </c>
      <c r="D10" s="4" t="n">
        <v>-42055</v>
      </c>
      <c r="E10" s="4" t="n">
        <v>-9730</v>
      </c>
      <c r="F10" s="4" t="n">
        <v>-57336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Foreign Currency Gain (Loss)</t>
        </is>
      </c>
      <c r="B11" s="4" t="n">
        <v>880</v>
      </c>
      <c r="C11" s="4" t="n">
        <v>483</v>
      </c>
      <c r="D11" s="4" t="n">
        <v>1246</v>
      </c>
      <c r="E11" s="4" t="n">
        <v>1734</v>
      </c>
      <c r="F11" s="4" t="n">
        <v>0</v>
      </c>
      <c r="G11" s="5" t="n"/>
      <c r="H11" s="5" t="n"/>
      <c r="I11" s="5" t="n"/>
      <c r="J11" s="5" t="n"/>
      <c r="K11" s="5" t="n"/>
      <c r="L11" s="5" t="n"/>
    </row>
    <row r="12">
      <c r="A12" s="3" t="inlineStr">
        <is>
          <t>Gain (Loss) on Lease Cancellations</t>
        </is>
      </c>
      <c r="B12" s="4" t="n">
        <v>-28</v>
      </c>
      <c r="C12" s="4" t="n">
        <v>0</v>
      </c>
      <c r="D12" s="4" t="n">
        <v>0</v>
      </c>
      <c r="E12" s="4" t="n">
        <v>0</v>
      </c>
      <c r="F12" s="4" t="n">
        <v>0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Change in Fair Value of Contingent Consideration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13800</v>
      </c>
      <c r="G13" s="5" t="n"/>
      <c r="H13" s="5" t="n"/>
      <c r="I13" s="5" t="n"/>
      <c r="J13" s="5" t="n"/>
      <c r="K13" s="5" t="n"/>
      <c r="L13" s="5" t="n"/>
    </row>
    <row r="14">
      <c r="A14" s="3" t="inlineStr">
        <is>
          <t>Gain (Loss) on Extinguishment of Debt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6003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Other Operating Items</t>
        </is>
      </c>
      <c r="B15" s="4" t="n">
        <v>0</v>
      </c>
      <c r="C15" s="4" t="n">
        <v>37</v>
      </c>
      <c r="D15" s="4" t="n">
        <v>-28</v>
      </c>
      <c r="E15" s="4" t="n">
        <v>-324</v>
      </c>
      <c r="F15" s="4" t="n">
        <v>-1687</v>
      </c>
      <c r="G15" s="5" t="n"/>
      <c r="H15" s="5" t="n"/>
      <c r="I15" s="5" t="n"/>
      <c r="J15" s="5" t="n"/>
      <c r="K15" s="5" t="n"/>
      <c r="L15" s="5" t="n"/>
    </row>
    <row r="16">
      <c r="A16" s="3" t="inlineStr">
        <is>
          <t>Accounts Receivable</t>
        </is>
      </c>
      <c r="B16" s="4" t="n">
        <v>-25249</v>
      </c>
      <c r="C16" s="4" t="n">
        <v>-26369</v>
      </c>
      <c r="D16" s="4" t="n">
        <v>-121558</v>
      </c>
      <c r="E16" s="4" t="n">
        <v>-89665</v>
      </c>
      <c r="F16" s="4" t="n">
        <v>-412091</v>
      </c>
      <c r="G16" s="5" t="n"/>
      <c r="H16" s="5" t="n"/>
      <c r="I16" s="5" t="n"/>
      <c r="J16" s="5" t="n"/>
      <c r="K16" s="5" t="n"/>
      <c r="L16" s="5" t="n"/>
    </row>
    <row r="17">
      <c r="A17" s="3" t="inlineStr">
        <is>
          <t>Note Receivable</t>
        </is>
      </c>
      <c r="B17" s="4" t="n">
        <v>0</v>
      </c>
      <c r="C17" s="4" t="n">
        <v>0</v>
      </c>
      <c r="D17" s="4" t="n">
        <v>0</v>
      </c>
      <c r="E17" s="4" t="n">
        <v>2318</v>
      </c>
      <c r="F17" s="4" t="n">
        <v>0</v>
      </c>
      <c r="G17" s="5" t="n"/>
      <c r="H17" s="5" t="n"/>
      <c r="I17" s="5" t="n"/>
      <c r="J17" s="5" t="n"/>
      <c r="K17" s="5" t="n"/>
      <c r="L17" s="5" t="n"/>
    </row>
    <row r="18">
      <c r="A18" s="3" t="inlineStr">
        <is>
          <t>Inventories</t>
        </is>
      </c>
      <c r="B18" s="4" t="n">
        <v>-175174</v>
      </c>
      <c r="C18" s="4" t="n">
        <v>11802</v>
      </c>
      <c r="D18" s="4" t="n">
        <v>-63299</v>
      </c>
      <c r="E18" s="4" t="n">
        <v>77190</v>
      </c>
      <c r="F18" s="4" t="n">
        <v>-129777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Prepaid Expenses</t>
        </is>
      </c>
      <c r="B19" s="4" t="n">
        <v>1072</v>
      </c>
      <c r="C19" s="4" t="n">
        <v>2214</v>
      </c>
      <c r="D19" s="4" t="n">
        <v>-7980</v>
      </c>
      <c r="E19" s="4" t="n">
        <v>1074</v>
      </c>
      <c r="F19" s="4" t="n">
        <v>-108321</v>
      </c>
      <c r="G19" s="5" t="n"/>
      <c r="H19" s="5" t="n"/>
      <c r="I19" s="5" t="n"/>
      <c r="J19" s="5" t="n"/>
      <c r="K19" s="5" t="n"/>
      <c r="L19" s="5" t="n"/>
    </row>
    <row r="20">
      <c r="A20" s="3" t="inlineStr">
        <is>
          <t>Other Non-Current Assets</t>
        </is>
      </c>
      <c r="B20" s="4" t="n">
        <v>0</v>
      </c>
      <c r="C20" s="4" t="n">
        <v>0</v>
      </c>
      <c r="D20" s="4" t="n">
        <v>0</v>
      </c>
      <c r="E20" s="4" t="n">
        <v>-4862</v>
      </c>
      <c r="F20" s="4" t="n">
        <v>2857</v>
      </c>
      <c r="G20" s="5" t="n"/>
      <c r="H20" s="5" t="n"/>
      <c r="I20" s="5" t="n"/>
      <c r="J20" s="5" t="n"/>
      <c r="K20" s="5" t="n"/>
      <c r="L20" s="5" t="n"/>
    </row>
    <row r="21">
      <c r="A21" s="3" t="inlineStr">
        <is>
          <t>Accounts Payable</t>
        </is>
      </c>
      <c r="B21" s="4" t="n">
        <v>23966</v>
      </c>
      <c r="C21" s="4" t="n">
        <v>428</v>
      </c>
      <c r="D21" s="4" t="n">
        <v>5249</v>
      </c>
      <c r="E21" s="4" t="n">
        <v>-1170</v>
      </c>
      <c r="F21" s="4" t="n">
        <v>51252</v>
      </c>
      <c r="G21" s="5" t="n"/>
      <c r="H21" s="5" t="n"/>
      <c r="I21" s="5" t="n"/>
      <c r="J21" s="5" t="n"/>
      <c r="K21" s="5" t="n"/>
      <c r="L21" s="5" t="n"/>
    </row>
    <row r="22">
      <c r="A22" s="3" t="inlineStr">
        <is>
          <t>Accrued Expenses</t>
        </is>
      </c>
      <c r="B22" s="4" t="n">
        <v>26484</v>
      </c>
      <c r="C22" s="4" t="n">
        <v>34644</v>
      </c>
      <c r="D22" s="4" t="n">
        <v>-8025</v>
      </c>
      <c r="E22" s="4" t="n">
        <v>85398</v>
      </c>
      <c r="F22" s="4" t="n">
        <v>45618</v>
      </c>
      <c r="G22" s="5" t="n"/>
      <c r="H22" s="5" t="n"/>
      <c r="I22" s="5" t="n"/>
      <c r="J22" s="5" t="n"/>
      <c r="K22" s="5" t="n"/>
      <c r="L22" s="5" t="n"/>
    </row>
    <row r="23">
      <c r="A23" s="3" t="inlineStr">
        <is>
          <t>Other Current Liabilities</t>
        </is>
      </c>
      <c r="B23" s="4" t="n">
        <v>1731</v>
      </c>
      <c r="C23" s="4" t="n">
        <v>2446</v>
      </c>
      <c r="D23" s="4" t="n">
        <v>55407</v>
      </c>
      <c r="E23" s="4" t="n">
        <v>-34616</v>
      </c>
      <c r="F23" s="4" t="n">
        <v>48687</v>
      </c>
      <c r="G23" s="5" t="n"/>
      <c r="H23" s="5" t="n"/>
      <c r="I23" s="5" t="n"/>
      <c r="J23" s="5" t="n"/>
      <c r="K23" s="5" t="n"/>
      <c r="L23" s="5" t="n"/>
    </row>
    <row r="24">
      <c r="A24" s="3" t="inlineStr">
        <is>
          <t>Accrued Promotional Allowance</t>
        </is>
      </c>
      <c r="B24" s="4" t="n">
        <v>13379</v>
      </c>
      <c r="C24" s="4" t="n">
        <v>16940</v>
      </c>
      <c r="D24" s="4" t="n">
        <v>63810</v>
      </c>
      <c r="E24" s="4" t="n">
        <v>36161</v>
      </c>
      <c r="F24" s="4" t="n">
        <v>153635</v>
      </c>
      <c r="G24" s="5" t="n"/>
      <c r="H24" s="5" t="n"/>
      <c r="I24" s="5" t="n"/>
      <c r="J24" s="5" t="n"/>
      <c r="K24" s="5" t="n"/>
      <c r="L24" s="5" t="n"/>
    </row>
    <row r="25">
      <c r="A25" s="3" t="inlineStr">
        <is>
          <t>Accrued Distributor Termination</t>
        </is>
      </c>
      <c r="B25" s="4" t="n">
        <v>0</v>
      </c>
      <c r="C25" s="4" t="n">
        <v>3986</v>
      </c>
      <c r="D25" s="4" t="n">
        <v>-3739</v>
      </c>
      <c r="E25" s="4" t="n">
        <v>-248</v>
      </c>
      <c r="F25" s="4" t="n">
        <v>257595</v>
      </c>
      <c r="G25" s="5" t="n"/>
      <c r="H25" s="5" t="n"/>
      <c r="I25" s="5" t="n"/>
      <c r="J25" s="5" t="n"/>
      <c r="K25" s="5" t="n"/>
      <c r="L25" s="5" t="n"/>
    </row>
    <row r="26">
      <c r="A26" s="3" t="inlineStr">
        <is>
          <t>ROU &amp; Lease Liability, Net</t>
        </is>
      </c>
      <c r="B26" s="4" t="n">
        <v>29</v>
      </c>
      <c r="C26" s="4" t="n">
        <v>-183</v>
      </c>
      <c r="D26" s="4" t="n">
        <v>-102</v>
      </c>
      <c r="E26" s="4" t="n">
        <v>535</v>
      </c>
      <c r="F26" s="4" t="n">
        <v>0</v>
      </c>
      <c r="G26" s="5" t="n"/>
      <c r="H26" s="5" t="n"/>
      <c r="I26" s="5" t="n"/>
      <c r="J26" s="5" t="n"/>
      <c r="K26" s="5" t="n"/>
      <c r="L26" s="5" t="n"/>
    </row>
    <row r="27">
      <c r="A27" s="3" t="inlineStr">
        <is>
          <t>Deferred Revenue</t>
        </is>
      </c>
      <c r="B27" s="4" t="n">
        <v>0</v>
      </c>
      <c r="C27" s="4" t="n">
        <v>189463</v>
      </c>
      <c r="D27" s="4" t="n">
        <v>-12723</v>
      </c>
      <c r="E27" s="4" t="n">
        <v>-9513</v>
      </c>
      <c r="F27" s="4" t="n">
        <v>255110</v>
      </c>
      <c r="G27" s="5" t="n"/>
      <c r="H27" s="5" t="n"/>
      <c r="I27" s="5" t="n"/>
      <c r="J27" s="5" t="n"/>
      <c r="K27" s="5" t="n"/>
      <c r="L27" s="5" t="n"/>
    </row>
    <row r="28">
      <c r="A28" s="3" t="inlineStr">
        <is>
          <t>Net Change in Other Working Capital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2481</v>
      </c>
      <c r="G28" s="5" t="n"/>
      <c r="H28" s="5" t="n"/>
      <c r="I28" s="5" t="n"/>
      <c r="J28" s="5" t="n"/>
      <c r="K28" s="5" t="n"/>
      <c r="L28" s="5" t="n"/>
    </row>
    <row r="29">
      <c r="A29" s="3" t="inlineStr">
        <is>
          <t>Cash Flow from Operations</t>
        </is>
      </c>
      <c r="B29" s="6">
        <f>SUM(B2:B28)</f>
        <v/>
      </c>
      <c r="C29" s="6">
        <f>SUM(C2:C28)</f>
        <v/>
      </c>
      <c r="D29" s="6">
        <f>SUM(D2:D28)</f>
        <v/>
      </c>
      <c r="E29" s="6">
        <f>SUM(E2:E28)</f>
        <v/>
      </c>
      <c r="F29" s="6">
        <f>SUM(F2:F28)</f>
        <v/>
      </c>
      <c r="G29" s="7">
        <f>SUM(G2:G28)</f>
        <v/>
      </c>
      <c r="H29" s="7">
        <f>SUM(H2:H28)</f>
        <v/>
      </c>
      <c r="I29" s="7">
        <f>SUM(I2:I28)</f>
        <v/>
      </c>
      <c r="J29" s="7">
        <f>SUM(J2:J28)</f>
        <v/>
      </c>
      <c r="K29" s="7">
        <f>SUM(K2:K28)</f>
        <v/>
      </c>
      <c r="L29" s="7">
        <f>SUM(L2:L28)</f>
        <v/>
      </c>
    </row>
    <row r="30">
      <c r="A30" s="3" t="inlineStr">
        <is>
          <t>Collections from Note Receivable</t>
        </is>
      </c>
      <c r="B30" s="4" t="n">
        <v>1886</v>
      </c>
      <c r="C30" s="4" t="n">
        <v>2592</v>
      </c>
      <c r="D30" s="4" t="n">
        <v>3233</v>
      </c>
      <c r="E30" s="4" t="n">
        <v>0</v>
      </c>
      <c r="F30" s="4" t="n">
        <v>0</v>
      </c>
      <c r="G30" s="5" t="n"/>
      <c r="H30" s="5" t="n"/>
      <c r="I30" s="5" t="n"/>
      <c r="J30" s="5" t="n"/>
      <c r="K30" s="5" t="n"/>
      <c r="L30" s="5" t="n"/>
    </row>
    <row r="31">
      <c r="A31" s="3" t="inlineStr">
        <is>
          <t>Purchase of PP&amp;E</t>
        </is>
      </c>
      <c r="B31" s="4" t="n">
        <v>-3150</v>
      </c>
      <c r="C31" s="4" t="n">
        <v>-8264</v>
      </c>
      <c r="D31" s="4" t="n">
        <v>-17433</v>
      </c>
      <c r="E31" s="4" t="n">
        <v>-23390</v>
      </c>
      <c r="F31" s="4" t="n">
        <v>-36067</v>
      </c>
      <c r="G31" s="5" t="n"/>
      <c r="H31" s="5" t="n"/>
      <c r="I31" s="5" t="n"/>
      <c r="J31" s="5" t="n"/>
      <c r="K31" s="5" t="n"/>
      <c r="L31" s="5" t="n"/>
    </row>
    <row r="32">
      <c r="A32" s="3" t="inlineStr">
        <is>
          <t>Purchase of Non-Marketable Equity Securities</t>
        </is>
      </c>
      <c r="B32" s="4" t="n">
        <v>0</v>
      </c>
      <c r="C32" s="4" t="n">
        <v>0</v>
      </c>
      <c r="D32" s="4" t="n">
        <v>0</v>
      </c>
      <c r="E32" s="4" t="n">
        <v>-3000</v>
      </c>
      <c r="F32" s="4" t="n">
        <v>-10000</v>
      </c>
      <c r="G32" s="5" t="n"/>
      <c r="H32" s="5" t="n"/>
      <c r="I32" s="5" t="n"/>
      <c r="J32" s="5" t="n"/>
      <c r="K32" s="5" t="n"/>
      <c r="L32" s="5" t="n"/>
    </row>
    <row r="33">
      <c r="A33" s="3" t="inlineStr">
        <is>
          <t>Acquisition of Big Beverages</t>
        </is>
      </c>
      <c r="B33" s="4" t="n">
        <v>0</v>
      </c>
      <c r="C33" s="4" t="n">
        <v>0</v>
      </c>
      <c r="D33" s="4" t="n">
        <v>0</v>
      </c>
      <c r="E33" s="4" t="n">
        <v>-75336</v>
      </c>
      <c r="F33" s="4" t="n">
        <v>0</v>
      </c>
      <c r="G33" s="5" t="n"/>
      <c r="H33" s="5" t="n"/>
      <c r="I33" s="5" t="n"/>
      <c r="J33" s="5" t="n"/>
      <c r="K33" s="5" t="n"/>
      <c r="L33" s="5" t="n"/>
    </row>
    <row r="34">
      <c r="A34" s="3" t="inlineStr">
        <is>
          <t>Acquisitions, Net of Cash Acquired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-1278769</v>
      </c>
      <c r="G34" s="5" t="n"/>
      <c r="H34" s="5" t="n"/>
      <c r="I34" s="5" t="n"/>
      <c r="J34" s="5" t="n"/>
      <c r="K34" s="5" t="n"/>
      <c r="L34" s="5" t="n"/>
    </row>
    <row r="35">
      <c r="A35" s="3" t="inlineStr">
        <is>
          <t>Working Capital Estimate from Pepsi (Rockstar)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29156</v>
      </c>
      <c r="G35" s="5" t="n"/>
      <c r="H35" s="5" t="n"/>
      <c r="I35" s="5" t="n"/>
      <c r="J35" s="5" t="n"/>
      <c r="K35" s="5" t="n"/>
      <c r="L35" s="5" t="n"/>
    </row>
    <row r="36">
      <c r="A36" s="3" t="inlineStr">
        <is>
          <t>Cash Flow from Investing</t>
        </is>
      </c>
      <c r="B36" s="6">
        <f>SUM(B30:B35)</f>
        <v/>
      </c>
      <c r="C36" s="6">
        <f>SUM(C30:C35)</f>
        <v/>
      </c>
      <c r="D36" s="6">
        <f>SUM(D30:D35)</f>
        <v/>
      </c>
      <c r="E36" s="6">
        <f>SUM(E30:E35)</f>
        <v/>
      </c>
      <c r="F36" s="6">
        <f>SUM(F30:F35)</f>
        <v/>
      </c>
      <c r="G36" s="7">
        <f>SUM(G30:G35)</f>
        <v/>
      </c>
      <c r="H36" s="7">
        <f>SUM(H30:H35)</f>
        <v/>
      </c>
      <c r="I36" s="7">
        <f>SUM(I30:I35)</f>
        <v/>
      </c>
      <c r="J36" s="7">
        <f>SUM(J30:J35)</f>
        <v/>
      </c>
      <c r="K36" s="7">
        <f>SUM(K30:K35)</f>
        <v/>
      </c>
      <c r="L36" s="7">
        <f>SUM(L30:L35)</f>
        <v/>
      </c>
    </row>
    <row r="37">
      <c r="A37" s="3" t="inlineStr">
        <is>
          <t>Finance Lease Payments</t>
        </is>
      </c>
      <c r="B37" s="4" t="n">
        <v>-94</v>
      </c>
      <c r="C37" s="4" t="n">
        <v>-63</v>
      </c>
      <c r="D37" s="4" t="n">
        <v>-44</v>
      </c>
      <c r="E37" s="4" t="n">
        <v>-61</v>
      </c>
      <c r="F37" s="4" t="n">
        <v>0</v>
      </c>
      <c r="G37" s="5" t="n"/>
      <c r="H37" s="5" t="n"/>
      <c r="I37" s="5" t="n"/>
      <c r="J37" s="5" t="n"/>
      <c r="K37" s="5" t="n"/>
      <c r="L37" s="5" t="n"/>
    </row>
    <row r="38">
      <c r="A38" s="3" t="inlineStr">
        <is>
          <t>Proceeds from Exercise of Stock Options</t>
        </is>
      </c>
      <c r="B38" s="4" t="n">
        <v>3720</v>
      </c>
      <c r="C38" s="4" t="n">
        <v>3683</v>
      </c>
      <c r="D38" s="4" t="n">
        <v>2285</v>
      </c>
      <c r="E38" s="4" t="n">
        <v>3856</v>
      </c>
      <c r="F38" s="4" t="n">
        <v>0</v>
      </c>
      <c r="G38" s="5" t="n"/>
      <c r="H38" s="5" t="n"/>
      <c r="I38" s="5" t="n"/>
      <c r="J38" s="5" t="n"/>
      <c r="K38" s="5" t="n"/>
      <c r="L38" s="5" t="n"/>
    </row>
    <row r="39">
      <c r="A39" s="3" t="inlineStr">
        <is>
          <t>Proceeds from Issuance of Common Stock</t>
        </is>
      </c>
      <c r="B39" s="4" t="n">
        <v>67769</v>
      </c>
      <c r="C39" s="4" t="n">
        <v>0</v>
      </c>
      <c r="D39" s="4" t="n">
        <v>0</v>
      </c>
      <c r="E39" s="4" t="n">
        <v>0</v>
      </c>
      <c r="F39" s="4" t="n">
        <v>0</v>
      </c>
      <c r="G39" s="5" t="n"/>
      <c r="H39" s="5" t="n"/>
      <c r="I39" s="5" t="n"/>
      <c r="J39" s="5" t="n"/>
      <c r="K39" s="5" t="n"/>
      <c r="L39" s="5" t="n"/>
    </row>
    <row r="40">
      <c r="A40" s="3" t="inlineStr">
        <is>
          <t>Proceeds from Issuance of Preferred Stock</t>
        </is>
      </c>
      <c r="B40" s="4" t="n">
        <v>0</v>
      </c>
      <c r="C40" s="4" t="n">
        <v>542018</v>
      </c>
      <c r="D40" s="4" t="n">
        <v>0</v>
      </c>
      <c r="E40" s="4" t="n">
        <v>0</v>
      </c>
      <c r="F40" s="4" t="n">
        <v>0</v>
      </c>
      <c r="G40" s="5" t="n"/>
      <c r="H40" s="5" t="n"/>
      <c r="I40" s="5" t="n"/>
      <c r="J40" s="5" t="n"/>
      <c r="K40" s="5" t="n"/>
      <c r="L40" s="5" t="n"/>
    </row>
    <row r="41">
      <c r="A41" s="3" t="inlineStr">
        <is>
          <t>Preferred Dividends</t>
        </is>
      </c>
      <c r="B41" s="4" t="n">
        <v>0</v>
      </c>
      <c r="C41" s="4" t="n">
        <v>-11526</v>
      </c>
      <c r="D41" s="4" t="n">
        <v>-27462</v>
      </c>
      <c r="E41" s="4" t="n">
        <v>-27500</v>
      </c>
      <c r="F41" s="4" t="n">
        <v>-37608</v>
      </c>
      <c r="G41" s="5" t="n"/>
      <c r="H41" s="5" t="n"/>
      <c r="I41" s="5" t="n"/>
      <c r="J41" s="5" t="n"/>
      <c r="K41" s="5" t="n"/>
      <c r="L41" s="5" t="n"/>
    </row>
    <row r="42">
      <c r="A42" s="3" t="inlineStr">
        <is>
          <t>Share Repurchases</t>
        </is>
      </c>
      <c r="B42" s="4" t="n">
        <v>0</v>
      </c>
      <c r="C42" s="4" t="n">
        <v>0</v>
      </c>
      <c r="D42" s="4" t="n">
        <v>0</v>
      </c>
      <c r="E42" s="4" t="n">
        <v>-2261</v>
      </c>
      <c r="F42" s="4" t="n">
        <v>-45504</v>
      </c>
      <c r="G42" s="5" t="n"/>
      <c r="H42" s="5" t="n"/>
      <c r="I42" s="5" t="n"/>
      <c r="J42" s="5" t="n"/>
      <c r="K42" s="5" t="n"/>
      <c r="L42" s="5" t="n"/>
    </row>
    <row r="43">
      <c r="A43" s="3" t="inlineStr">
        <is>
          <t>Proceeds from Issuance of Long-Term Debt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900000</v>
      </c>
      <c r="G43" s="5" t="n"/>
      <c r="H43" s="5" t="n"/>
      <c r="I43" s="5" t="n"/>
      <c r="J43" s="5" t="n"/>
      <c r="K43" s="5" t="n"/>
      <c r="L43" s="5" t="n"/>
    </row>
    <row r="44">
      <c r="A44" s="3" t="inlineStr">
        <is>
          <t>Repayments of Long-Term Debt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-201750</v>
      </c>
      <c r="G44" s="5" t="n"/>
      <c r="H44" s="5" t="n"/>
      <c r="I44" s="5" t="n"/>
      <c r="J44" s="5" t="n"/>
      <c r="K44" s="5" t="n"/>
      <c r="L44" s="5" t="n"/>
    </row>
    <row r="45">
      <c r="A45" s="3" t="inlineStr">
        <is>
          <t>Debt Issuance Fees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-32367</v>
      </c>
      <c r="G45" s="5" t="n"/>
      <c r="H45" s="5" t="n"/>
      <c r="I45" s="5" t="n"/>
      <c r="J45" s="5" t="n"/>
      <c r="K45" s="5" t="n"/>
      <c r="L45" s="5" t="n"/>
    </row>
    <row r="46">
      <c r="A46" s="3" t="inlineStr">
        <is>
          <t>Other Financing Activities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-7</v>
      </c>
      <c r="G46" s="5" t="n"/>
      <c r="H46" s="5" t="n"/>
      <c r="I46" s="5" t="n"/>
      <c r="J46" s="5" t="n"/>
      <c r="K46" s="5" t="n"/>
      <c r="L46" s="5" t="n"/>
    </row>
    <row r="47">
      <c r="A47" s="3" t="inlineStr">
        <is>
          <t>Cash Flow from Financing</t>
        </is>
      </c>
      <c r="B47" s="6">
        <f>SUM(B37:B46)</f>
        <v/>
      </c>
      <c r="C47" s="6">
        <f>SUM(C37:C46)</f>
        <v/>
      </c>
      <c r="D47" s="6">
        <f>SUM(D37:D46)</f>
        <v/>
      </c>
      <c r="E47" s="6">
        <f>SUM(E37:E46)</f>
        <v/>
      </c>
      <c r="F47" s="6">
        <f>SUM(F37:F46)</f>
        <v/>
      </c>
      <c r="G47" s="7">
        <f>SUM(G37:G46)</f>
        <v/>
      </c>
      <c r="H47" s="7">
        <f>SUM(H37:H46)</f>
        <v/>
      </c>
      <c r="I47" s="7">
        <f>SUM(I37:I46)</f>
        <v/>
      </c>
      <c r="J47" s="7">
        <f>SUM(J37:J46)</f>
        <v/>
      </c>
      <c r="K47" s="7">
        <f>SUM(K37:K46)</f>
        <v/>
      </c>
      <c r="L47" s="7">
        <f>SUM(L37:L46)</f>
        <v/>
      </c>
    </row>
    <row r="48">
      <c r="A48" s="3" t="inlineStr">
        <is>
          <t>FX Effect on Cash</t>
        </is>
      </c>
      <c r="B48" s="4" t="n">
        <v>-538</v>
      </c>
      <c r="C48" s="4" t="n">
        <v>50</v>
      </c>
      <c r="D48" s="4" t="n">
        <v>1257</v>
      </c>
      <c r="E48" s="4" t="n">
        <v>-997</v>
      </c>
      <c r="F48" s="4" t="n">
        <v>3271</v>
      </c>
      <c r="G48" s="5" t="n"/>
      <c r="H48" s="5" t="n"/>
      <c r="I48" s="5" t="n"/>
      <c r="J48" s="5" t="n"/>
      <c r="K48" s="5" t="n"/>
      <c r="L48" s="5" t="n"/>
    </row>
    <row r="49">
      <c r="A49" s="3" t="inlineStr">
        <is>
          <t>Net Change in Cash</t>
        </is>
      </c>
      <c r="B49" s="6">
        <f>B29+B36+B47+B48</f>
        <v/>
      </c>
      <c r="C49" s="6">
        <f>C29+C36+C47+C48</f>
        <v/>
      </c>
      <c r="D49" s="6">
        <f>D29+D36+D47+D48</f>
        <v/>
      </c>
      <c r="E49" s="6">
        <f>E29+E36+E47+E48</f>
        <v/>
      </c>
      <c r="F49" s="6">
        <f>F29+F36+F47+F48</f>
        <v/>
      </c>
      <c r="G49" s="7">
        <f>G29+G36+G47+G48</f>
        <v/>
      </c>
      <c r="H49" s="7">
        <f>H29+H36+H47+H48</f>
        <v/>
      </c>
      <c r="I49" s="7">
        <f>I29+I36+I47+I48</f>
        <v/>
      </c>
      <c r="J49" s="7">
        <f>J29+J36+J47+J48</f>
        <v/>
      </c>
      <c r="K49" s="7">
        <f>K29+K36+K47+K48</f>
        <v/>
      </c>
      <c r="L49" s="7">
        <f>L29+L36+L47+L48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</row>
    <row r="2">
      <c r="A2" s="3" t="inlineStr">
        <is>
          <t>Net Sales / Revenue</t>
        </is>
      </c>
      <c r="B2" s="4" t="n">
        <v>133388</v>
      </c>
      <c r="C2" s="4" t="n">
        <v>287408</v>
      </c>
      <c r="D2" s="4" t="n">
        <v>475640</v>
      </c>
      <c r="E2" s="4" t="n">
        <v>259939</v>
      </c>
      <c r="F2" s="4" t="n">
        <v>585822</v>
      </c>
      <c r="G2" s="4" t="n">
        <v>970579</v>
      </c>
      <c r="H2" s="4" t="n">
        <v>355708</v>
      </c>
      <c r="I2" s="4" t="n">
        <v>757685</v>
      </c>
      <c r="J2" s="4" t="n">
        <v>1023433</v>
      </c>
      <c r="K2" s="4" t="n">
        <v>329276</v>
      </c>
      <c r="L2" s="4" t="n">
        <v>1068535</v>
      </c>
      <c r="M2" s="4" t="n">
        <v>1793641</v>
      </c>
    </row>
    <row r="3">
      <c r="A3" s="3" t="inlineStr">
        <is>
          <t>COGS</t>
        </is>
      </c>
      <c r="B3" s="4" t="n">
        <v>-79494</v>
      </c>
      <c r="C3" s="4" t="n">
        <v>-174195</v>
      </c>
      <c r="D3" s="4" t="n">
        <v>-283778</v>
      </c>
      <c r="E3" s="4" t="n">
        <v>-146121</v>
      </c>
      <c r="F3" s="4" t="n">
        <v>-313010</v>
      </c>
      <c r="G3" s="4" t="n">
        <v>-503685</v>
      </c>
      <c r="H3" s="4" t="n">
        <v>-173501</v>
      </c>
      <c r="I3" s="4" t="n">
        <v>-366380</v>
      </c>
      <c r="J3" s="4" t="n">
        <v>-509899</v>
      </c>
      <c r="K3" s="4" t="n">
        <v>-156903</v>
      </c>
      <c r="L3" s="4" t="n">
        <v>-515311</v>
      </c>
      <c r="M3" s="4" t="n">
        <v>-868138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</row>
    <row r="5">
      <c r="A5" s="3" t="inlineStr">
        <is>
          <t>SG&amp;A</t>
        </is>
      </c>
      <c r="B5" s="4" t="n">
        <v>-43778</v>
      </c>
      <c r="C5" s="4" t="n">
        <v>-90667</v>
      </c>
      <c r="D5" s="4" t="n">
        <v>-316917</v>
      </c>
      <c r="E5" s="4" t="n">
        <v>-68905</v>
      </c>
      <c r="F5" s="4" t="n">
        <v>-163086</v>
      </c>
      <c r="G5" s="4" t="n">
        <v>-259471</v>
      </c>
      <c r="H5" s="4" t="n">
        <v>-99017</v>
      </c>
      <c r="I5" s="4" t="n">
        <v>-213867</v>
      </c>
      <c r="J5" s="4" t="n">
        <v>-339310</v>
      </c>
      <c r="K5" s="4" t="n">
        <v>-120342</v>
      </c>
      <c r="L5" s="4" t="n">
        <v>-358228</v>
      </c>
      <c r="M5" s="4" t="n">
        <v>-563799</v>
      </c>
    </row>
    <row r="6">
      <c r="A6" s="3" t="inlineStr">
        <is>
          <t>Distributor Termination Fees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-246707</v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6">
        <f>G4+SUM(G5:G6)</f>
        <v/>
      </c>
      <c r="H7" s="6">
        <f>H4+SUM(H5:H6)</f>
        <v/>
      </c>
      <c r="I7" s="6">
        <f>I4+SUM(I5:I6)</f>
        <v/>
      </c>
      <c r="J7" s="6">
        <f>J4+SUM(J5:J6)</f>
        <v/>
      </c>
      <c r="K7" s="6">
        <f>K4+SUM(K5:K6)</f>
        <v/>
      </c>
      <c r="L7" s="6">
        <f>L4+SUM(L5:L6)</f>
        <v/>
      </c>
      <c r="M7" s="6">
        <f>M4+SUM(M5:M6)</f>
        <v/>
      </c>
    </row>
    <row r="8">
      <c r="A8" s="3" t="inlineStr">
        <is>
          <t>Interest Income (Expense)</t>
        </is>
      </c>
      <c r="B8" s="4" t="n">
        <v>76</v>
      </c>
      <c r="C8" s="4" t="n">
        <v>129</v>
      </c>
      <c r="D8" s="4" t="n">
        <v>1579</v>
      </c>
      <c r="E8" s="4" t="n">
        <v>4969</v>
      </c>
      <c r="F8" s="4" t="n">
        <v>10542</v>
      </c>
      <c r="G8" s="4" t="n">
        <v>17767</v>
      </c>
      <c r="H8" s="4" t="n">
        <v>9640</v>
      </c>
      <c r="I8" s="4" t="n">
        <v>20287</v>
      </c>
      <c r="J8" s="4" t="n">
        <v>31399</v>
      </c>
      <c r="K8" s="4" t="n">
        <v>7846</v>
      </c>
      <c r="L8" s="4" t="n">
        <v>-6196</v>
      </c>
      <c r="M8" s="4" t="n">
        <v>-19592</v>
      </c>
    </row>
    <row r="9">
      <c r="A9" s="3" t="inlineStr">
        <is>
          <t>Foreign Currency Gain (Loss)</t>
        </is>
      </c>
      <c r="B9" s="4" t="n">
        <v>-162</v>
      </c>
      <c r="C9" s="4" t="n">
        <v>-676</v>
      </c>
      <c r="D9" s="4" t="n">
        <v>-930</v>
      </c>
      <c r="E9" s="4" t="n">
        <v>-118</v>
      </c>
      <c r="F9" s="4" t="n">
        <v>-1049</v>
      </c>
      <c r="G9" s="4" t="n">
        <v>-1226</v>
      </c>
      <c r="H9" s="4" t="n">
        <v>-369</v>
      </c>
      <c r="I9" s="4" t="n">
        <v>-633</v>
      </c>
      <c r="J9" s="4" t="n">
        <v>-356</v>
      </c>
      <c r="K9" s="4" t="n">
        <v>0</v>
      </c>
      <c r="L9" s="4" t="n">
        <v>0</v>
      </c>
      <c r="M9" s="4" t="n">
        <v>0</v>
      </c>
    </row>
    <row r="10">
      <c r="A10" s="3" t="inlineStr">
        <is>
          <t>Other Income (Expense)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1116</v>
      </c>
      <c r="L10" s="4" t="n">
        <v>1658</v>
      </c>
      <c r="M10" s="4" t="n">
        <v>7022</v>
      </c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6">
        <f>G7+SUM(G8:G10)</f>
        <v/>
      </c>
      <c r="H11" s="6">
        <f>H7+SUM(H8:H10)</f>
        <v/>
      </c>
      <c r="I11" s="6">
        <f>I7+SUM(I8:I10)</f>
        <v/>
      </c>
      <c r="J11" s="6">
        <f>J7+SUM(J8:J10)</f>
        <v/>
      </c>
      <c r="K11" s="6">
        <f>K7+SUM(K8:K10)</f>
        <v/>
      </c>
      <c r="L11" s="6">
        <f>L7+SUM(L8:L10)</f>
        <v/>
      </c>
      <c r="M11" s="6">
        <f>M7+SUM(M8:M10)</f>
        <v/>
      </c>
    </row>
    <row r="12">
      <c r="A12" s="3" t="inlineStr">
        <is>
          <t>Income Tax (Expense) Benefit</t>
        </is>
      </c>
      <c r="B12" s="4" t="n">
        <v>-3351</v>
      </c>
      <c r="C12" s="4" t="n">
        <v>-6161</v>
      </c>
      <c r="D12" s="4" t="n">
        <v>-41653</v>
      </c>
      <c r="E12" s="4" t="n">
        <v>-8537</v>
      </c>
      <c r="F12" s="4" t="n">
        <v>-26483</v>
      </c>
      <c r="G12" s="4" t="n">
        <v>-47279</v>
      </c>
      <c r="H12" s="4" t="n">
        <v>-14650</v>
      </c>
      <c r="I12" s="4" t="n">
        <v>-39498</v>
      </c>
      <c r="J12" s="4" t="n">
        <v>-41317</v>
      </c>
      <c r="K12" s="4" t="n">
        <v>-16574</v>
      </c>
      <c r="L12" s="4" t="n">
        <v>-46184</v>
      </c>
      <c r="M12" s="4" t="n">
        <v>-19167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</row>
    <row r="14">
      <c r="A14" s="3" t="inlineStr">
        <is>
          <t>Preferred Dividends</t>
        </is>
      </c>
      <c r="B14" s="4" t="n">
        <v>0</v>
      </c>
      <c r="C14" s="4" t="n">
        <v>0</v>
      </c>
      <c r="D14" s="4" t="n">
        <v>-4596</v>
      </c>
      <c r="E14" s="4" t="n">
        <v>-6781</v>
      </c>
      <c r="F14" s="4" t="n">
        <v>-13637</v>
      </c>
      <c r="G14" s="4" t="n">
        <v>-20512</v>
      </c>
      <c r="H14" s="4" t="n">
        <v>-6837</v>
      </c>
      <c r="I14" s="4" t="n">
        <v>-13675</v>
      </c>
      <c r="J14" s="4" t="n">
        <v>-20588</v>
      </c>
      <c r="K14" s="4" t="n">
        <v>-6781</v>
      </c>
      <c r="L14" s="4" t="n">
        <v>-13632</v>
      </c>
      <c r="M14" s="4" t="n">
        <v>-23289</v>
      </c>
    </row>
    <row r="15">
      <c r="A15" s="3" t="inlineStr">
        <is>
          <t>Income Allocated to Participating Preferred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-6727</v>
      </c>
      <c r="G15" s="4" t="n">
        <v>-13263</v>
      </c>
      <c r="H15" s="4" t="n">
        <v>-6128</v>
      </c>
      <c r="I15" s="4" t="n">
        <v>-12417</v>
      </c>
      <c r="J15" s="4" t="n">
        <v>-12357</v>
      </c>
      <c r="K15" s="4" t="n">
        <v>-3219</v>
      </c>
      <c r="L15" s="4" t="n">
        <v>-10703</v>
      </c>
      <c r="M15" s="4" t="n">
        <v>-5272</v>
      </c>
    </row>
    <row r="16">
      <c r="A16" s="3" t="inlineStr">
        <is>
          <t>Net Income (Loss) Attributable to Common Shareholders</t>
        </is>
      </c>
      <c r="B16" s="6">
        <f>B13+B14+B15</f>
        <v/>
      </c>
      <c r="C16" s="6">
        <f>C13+C14+C15</f>
        <v/>
      </c>
      <c r="D16" s="6">
        <f>D13+D14+D15</f>
        <v/>
      </c>
      <c r="E16" s="6">
        <f>E13+E14+E15</f>
        <v/>
      </c>
      <c r="F16" s="6">
        <f>F13+F14+F15</f>
        <v/>
      </c>
      <c r="G16" s="6">
        <f>G13+G14+G15</f>
        <v/>
      </c>
      <c r="H16" s="6">
        <f>H13+H14+H15</f>
        <v/>
      </c>
      <c r="I16" s="6">
        <f>I13+I14+I15</f>
        <v/>
      </c>
      <c r="J16" s="6">
        <f>J13+J14+J15</f>
        <v/>
      </c>
      <c r="K16" s="6">
        <f>K13+K14+K15</f>
        <v/>
      </c>
      <c r="L16" s="6">
        <f>L13+L14+L15</f>
        <v/>
      </c>
      <c r="M16" s="6">
        <f>M13+M14+M15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</row>
    <row r="2">
      <c r="A2" s="3" t="inlineStr">
        <is>
          <t>Cash &amp; Cash Equivalents</t>
        </is>
      </c>
      <c r="B2" s="4" t="n">
        <v>614159</v>
      </c>
      <c r="C2" s="4" t="n">
        <v>595476</v>
      </c>
      <c r="D2" s="4" t="n">
        <v>681054</v>
      </c>
      <c r="E2" s="4" t="n">
        <v>760022</v>
      </c>
      <c r="F2" s="4" t="n">
        <v>755981</v>
      </c>
      <c r="G2" s="4" t="n">
        <v>879498</v>
      </c>
      <c r="H2" s="4" t="n">
        <v>903210</v>
      </c>
      <c r="I2" s="4" t="n">
        <v>903748</v>
      </c>
      <c r="J2" s="4" t="n">
        <v>890190</v>
      </c>
      <c r="K2" s="4" t="n">
        <v>977285</v>
      </c>
      <c r="L2" s="4" t="n">
        <v>615233</v>
      </c>
      <c r="M2" s="4" t="n">
        <v>805955</v>
      </c>
    </row>
    <row r="3">
      <c r="A3" s="3" t="inlineStr">
        <is>
          <t>Restricted Cash</t>
        </is>
      </c>
      <c r="B3" s="4" t="n">
        <v>38768</v>
      </c>
      <c r="C3" s="4" t="n">
        <v>38105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126508</v>
      </c>
    </row>
    <row r="4">
      <c r="A4" s="3" t="inlineStr">
        <is>
          <t>Accounts Receivable</t>
        </is>
      </c>
      <c r="B4" s="4" t="n">
        <v>63311</v>
      </c>
      <c r="C4" s="4" t="n">
        <v>172032</v>
      </c>
      <c r="D4" s="4" t="n">
        <v>197811</v>
      </c>
      <c r="E4" s="4" t="n">
        <v>215243</v>
      </c>
      <c r="F4" s="4" t="n">
        <v>183703</v>
      </c>
      <c r="G4" s="4" t="n">
        <v>200117</v>
      </c>
      <c r="H4" s="4" t="n">
        <v>262920</v>
      </c>
      <c r="I4" s="4" t="n">
        <v>208774</v>
      </c>
      <c r="J4" s="4" t="n">
        <v>270342</v>
      </c>
      <c r="K4" s="4" t="n">
        <v>256424</v>
      </c>
      <c r="L4" s="4" t="n">
        <v>490389</v>
      </c>
      <c r="M4" s="4" t="n">
        <v>513682</v>
      </c>
    </row>
    <row r="5">
      <c r="A5" s="3" t="inlineStr">
        <is>
          <t>Note Receivable - Current</t>
        </is>
      </c>
      <c r="B5" s="4" t="n">
        <v>2979</v>
      </c>
      <c r="C5" s="4" t="n">
        <v>3587</v>
      </c>
      <c r="D5" s="4" t="n">
        <v>3323</v>
      </c>
      <c r="E5" s="4" t="n">
        <v>3309</v>
      </c>
      <c r="F5" s="4" t="n">
        <v>2318</v>
      </c>
      <c r="G5" s="4" t="n">
        <v>2259</v>
      </c>
      <c r="H5" s="4" t="n">
        <v>1166</v>
      </c>
      <c r="I5" s="4" t="n">
        <v>1025</v>
      </c>
      <c r="J5" s="4" t="n">
        <v>0</v>
      </c>
      <c r="K5" s="4" t="n">
        <v>0</v>
      </c>
      <c r="L5" s="4" t="n">
        <v>0</v>
      </c>
      <c r="M5" s="4" t="n">
        <v>0</v>
      </c>
    </row>
    <row r="6">
      <c r="A6" s="3" t="inlineStr">
        <is>
          <t>Inventories</t>
        </is>
      </c>
      <c r="B6" s="4" t="n">
        <v>173289</v>
      </c>
      <c r="C6" s="4" t="n">
        <v>154280</v>
      </c>
      <c r="D6" s="4" t="n">
        <v>152545</v>
      </c>
      <c r="E6" s="4" t="n">
        <v>198704</v>
      </c>
      <c r="F6" s="4" t="n">
        <v>229275</v>
      </c>
      <c r="G6" s="4" t="n">
        <v>197504</v>
      </c>
      <c r="H6" s="4" t="n">
        <v>180669</v>
      </c>
      <c r="I6" s="4" t="n">
        <v>197572</v>
      </c>
      <c r="J6" s="4" t="n">
        <v>131165</v>
      </c>
      <c r="K6" s="4" t="n">
        <v>141159</v>
      </c>
      <c r="L6" s="4" t="n">
        <v>230046</v>
      </c>
      <c r="M6" s="4" t="n">
        <v>282514</v>
      </c>
    </row>
    <row r="7">
      <c r="A7" s="3" t="inlineStr">
        <is>
          <t>Prepaid Expenses</t>
        </is>
      </c>
      <c r="B7" s="4" t="n">
        <v>11341</v>
      </c>
      <c r="C7" s="4" t="n">
        <v>15507</v>
      </c>
      <c r="D7" s="4" t="n">
        <v>23398</v>
      </c>
      <c r="E7" s="4" t="n">
        <v>23747</v>
      </c>
      <c r="F7" s="4" t="n">
        <v>19503</v>
      </c>
      <c r="G7" s="4" t="n">
        <v>21523</v>
      </c>
      <c r="H7" s="4" t="n">
        <v>22900</v>
      </c>
      <c r="I7" s="4" t="n">
        <v>38227</v>
      </c>
      <c r="J7" s="4" t="n">
        <v>18759</v>
      </c>
      <c r="K7" s="4" t="n">
        <v>22464</v>
      </c>
      <c r="L7" s="4" t="n">
        <v>41420</v>
      </c>
      <c r="M7" s="4" t="n">
        <v>163395</v>
      </c>
    </row>
    <row r="8">
      <c r="A8" s="3" t="inlineStr">
        <is>
          <t>Deferred Other Costs - Current</t>
        </is>
      </c>
      <c r="B8" s="4" t="n">
        <v>14124</v>
      </c>
      <c r="C8" s="4" t="n">
        <v>14124</v>
      </c>
      <c r="D8" s="4" t="n">
        <v>14124</v>
      </c>
      <c r="E8" s="4" t="n">
        <v>14124</v>
      </c>
      <c r="F8" s="4" t="n">
        <v>14124</v>
      </c>
      <c r="G8" s="4" t="n">
        <v>14124</v>
      </c>
      <c r="H8" s="4" t="n">
        <v>14124</v>
      </c>
      <c r="I8" s="4" t="n">
        <v>14124</v>
      </c>
      <c r="J8" s="4" t="n">
        <v>14124</v>
      </c>
      <c r="K8" s="4" t="n">
        <v>14124</v>
      </c>
      <c r="L8" s="4" t="n">
        <v>14124</v>
      </c>
      <c r="M8" s="4" t="n">
        <v>49520</v>
      </c>
    </row>
    <row r="9">
      <c r="A9" s="3" t="inlineStr">
        <is>
          <t>Total Current Assets</t>
        </is>
      </c>
      <c r="B9" s="6">
        <f>SUM(B2:B8)</f>
        <v/>
      </c>
      <c r="C9" s="6">
        <f>SUM(C2:C8)</f>
        <v/>
      </c>
      <c r="D9" s="6">
        <f>SUM(D2:D8)</f>
        <v/>
      </c>
      <c r="E9" s="6">
        <f>SUM(E2:E8)</f>
        <v/>
      </c>
      <c r="F9" s="6">
        <f>SUM(F2:F8)</f>
        <v/>
      </c>
      <c r="G9" s="6">
        <f>SUM(G2:G8)</f>
        <v/>
      </c>
      <c r="H9" s="6">
        <f>SUM(H2:H8)</f>
        <v/>
      </c>
      <c r="I9" s="6">
        <f>SUM(I2:I8)</f>
        <v/>
      </c>
      <c r="J9" s="6">
        <f>SUM(J2:J8)</f>
        <v/>
      </c>
      <c r="K9" s="6">
        <f>SUM(K2:K8)</f>
        <v/>
      </c>
      <c r="L9" s="6">
        <f>SUM(L2:L8)</f>
        <v/>
      </c>
      <c r="M9" s="6">
        <f>SUM(M2:M8)</f>
        <v/>
      </c>
    </row>
    <row r="10">
      <c r="A10" s="3" t="inlineStr">
        <is>
          <t>Note Receivable - Non-Current</t>
        </is>
      </c>
      <c r="B10" s="4" t="n">
        <v>3574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</row>
    <row r="11">
      <c r="A11" s="3" t="inlineStr">
        <is>
          <t>Net PP&amp;E</t>
        </is>
      </c>
      <c r="B11" s="4" t="n">
        <v>10185</v>
      </c>
      <c r="C11" s="4" t="n">
        <v>12054</v>
      </c>
      <c r="D11" s="4" t="n">
        <v>15892</v>
      </c>
      <c r="E11" s="4" t="n">
        <v>21061</v>
      </c>
      <c r="F11" s="4" t="n">
        <v>24868</v>
      </c>
      <c r="G11" s="4" t="n">
        <v>28350</v>
      </c>
      <c r="H11" s="4" t="n">
        <v>36282</v>
      </c>
      <c r="I11" s="4" t="n">
        <v>38370</v>
      </c>
      <c r="J11" s="4" t="n">
        <v>55602</v>
      </c>
      <c r="K11" s="4" t="n">
        <v>58698</v>
      </c>
      <c r="L11" s="4" t="n">
        <v>72516</v>
      </c>
      <c r="M11" s="4" t="n">
        <v>80925</v>
      </c>
    </row>
    <row r="12">
      <c r="A12" s="3" t="inlineStr">
        <is>
          <t>ROU Assets - Operating - Non-Current</t>
        </is>
      </c>
      <c r="B12" s="4" t="n">
        <v>972</v>
      </c>
      <c r="C12" s="4" t="n">
        <v>931</v>
      </c>
      <c r="D12" s="4" t="n">
        <v>756</v>
      </c>
      <c r="E12" s="4" t="n">
        <v>1152</v>
      </c>
      <c r="F12" s="4" t="n">
        <v>1957</v>
      </c>
      <c r="G12" s="4" t="n">
        <v>1688</v>
      </c>
      <c r="H12" s="4" t="n">
        <v>1507</v>
      </c>
      <c r="I12" s="4" t="n">
        <v>5506</v>
      </c>
      <c r="J12" s="4" t="n">
        <v>21606</v>
      </c>
      <c r="K12" s="4" t="n">
        <v>20866</v>
      </c>
      <c r="L12" s="4" t="n">
        <v>0</v>
      </c>
      <c r="M12" s="4" t="n">
        <v>0</v>
      </c>
    </row>
    <row r="13">
      <c r="A13" s="3" t="inlineStr">
        <is>
          <t>Intangible Assets</t>
        </is>
      </c>
      <c r="B13" s="4" t="n">
        <v>12254</v>
      </c>
      <c r="C13" s="4" t="n">
        <v>12359</v>
      </c>
      <c r="D13" s="4" t="n">
        <v>12211</v>
      </c>
      <c r="E13" s="4" t="n">
        <v>11772</v>
      </c>
      <c r="F13" s="4" t="n">
        <v>12139</v>
      </c>
      <c r="G13" s="4" t="n">
        <v>11741</v>
      </c>
      <c r="H13" s="4" t="n">
        <v>11491</v>
      </c>
      <c r="I13" s="4" t="n">
        <v>11877</v>
      </c>
      <c r="J13" s="4" t="n">
        <v>12213</v>
      </c>
      <c r="K13" s="4" t="n">
        <v>12444</v>
      </c>
      <c r="L13" s="4" t="n">
        <v>1222115</v>
      </c>
      <c r="M13" s="4" t="n">
        <v>1397819</v>
      </c>
    </row>
    <row r="14">
      <c r="A14" s="3" t="inlineStr">
        <is>
          <t>Goodwill</t>
        </is>
      </c>
      <c r="B14" s="4" t="n">
        <v>13679</v>
      </c>
      <c r="C14" s="4" t="n">
        <v>13949</v>
      </c>
      <c r="D14" s="4" t="n">
        <v>13937</v>
      </c>
      <c r="E14" s="4" t="n">
        <v>13588</v>
      </c>
      <c r="F14" s="4" t="n">
        <v>14173</v>
      </c>
      <c r="G14" s="4" t="n">
        <v>13866</v>
      </c>
      <c r="H14" s="4" t="n">
        <v>13730</v>
      </c>
      <c r="I14" s="4" t="n">
        <v>14360</v>
      </c>
      <c r="J14" s="4" t="n">
        <v>71582</v>
      </c>
      <c r="K14" s="4" t="n">
        <v>72128</v>
      </c>
      <c r="L14" s="4" t="n">
        <v>802234</v>
      </c>
      <c r="M14" s="4" t="n">
        <v>914957</v>
      </c>
    </row>
    <row r="15">
      <c r="A15" s="3" t="inlineStr">
        <is>
          <t>Deferred Other Costs - Non-Current</t>
        </is>
      </c>
      <c r="B15" s="4" t="n">
        <v>262462</v>
      </c>
      <c r="C15" s="4" t="n">
        <v>258931</v>
      </c>
      <c r="D15" s="4" t="n">
        <v>255400</v>
      </c>
      <c r="E15" s="4" t="n">
        <v>251869</v>
      </c>
      <c r="F15" s="4" t="n">
        <v>248338</v>
      </c>
      <c r="G15" s="4" t="n">
        <v>244807</v>
      </c>
      <c r="H15" s="4" t="n">
        <v>241276</v>
      </c>
      <c r="I15" s="4" t="n">
        <v>237746</v>
      </c>
      <c r="J15" s="4" t="n">
        <v>234215</v>
      </c>
      <c r="K15" s="4" t="n">
        <v>230684</v>
      </c>
      <c r="L15" s="4" t="n">
        <v>227153</v>
      </c>
      <c r="M15" s="4" t="n">
        <v>784214</v>
      </c>
    </row>
    <row r="16">
      <c r="A16" s="3" t="inlineStr">
        <is>
          <t>Deferred Tax Assets</t>
        </is>
      </c>
      <c r="B16" s="4" t="n">
        <v>501</v>
      </c>
      <c r="C16" s="4" t="n">
        <v>482</v>
      </c>
      <c r="D16" s="4" t="n">
        <v>28373</v>
      </c>
      <c r="E16" s="4" t="n">
        <v>30614</v>
      </c>
      <c r="F16" s="4" t="n">
        <v>29518</v>
      </c>
      <c r="G16" s="4" t="n">
        <v>22437</v>
      </c>
      <c r="H16" s="4" t="n">
        <v>22727</v>
      </c>
      <c r="I16" s="4" t="n">
        <v>24186</v>
      </c>
      <c r="J16" s="4" t="n">
        <v>38699</v>
      </c>
      <c r="K16" s="4" t="n">
        <v>38525</v>
      </c>
      <c r="L16" s="4" t="n">
        <v>43158</v>
      </c>
      <c r="M16" s="4" t="n">
        <v>110410</v>
      </c>
    </row>
    <row r="17">
      <c r="A17" s="3" t="inlineStr">
        <is>
          <t>ROU Assets - Finance - Non-Current</t>
        </is>
      </c>
      <c r="B17" s="4" t="n">
        <v>208</v>
      </c>
      <c r="C17" s="4" t="n">
        <v>191</v>
      </c>
      <c r="D17" s="4" t="n">
        <v>171</v>
      </c>
      <c r="E17" s="4" t="n">
        <v>148</v>
      </c>
      <c r="F17" s="4" t="n">
        <v>208</v>
      </c>
      <c r="G17" s="4" t="n">
        <v>263</v>
      </c>
      <c r="H17" s="4" t="n">
        <v>233</v>
      </c>
      <c r="I17" s="4" t="n">
        <v>214</v>
      </c>
      <c r="J17" s="4" t="n">
        <v>0</v>
      </c>
      <c r="K17" s="4" t="n">
        <v>0</v>
      </c>
      <c r="L17" s="4" t="n">
        <v>0</v>
      </c>
      <c r="M17" s="4" t="n">
        <v>0</v>
      </c>
    </row>
    <row r="18">
      <c r="A18" s="3" t="inlineStr">
        <is>
          <t>Other Non-Current Assets</t>
        </is>
      </c>
      <c r="B18" s="4" t="n">
        <v>263</v>
      </c>
      <c r="C18" s="4" t="n">
        <v>263</v>
      </c>
      <c r="D18" s="4" t="n">
        <v>254</v>
      </c>
      <c r="E18" s="4" t="n">
        <v>265</v>
      </c>
      <c r="F18" s="4" t="n">
        <v>291</v>
      </c>
      <c r="G18" s="4" t="n">
        <v>7963</v>
      </c>
      <c r="H18" s="4" t="n">
        <v>6653</v>
      </c>
      <c r="I18" s="4" t="n">
        <v>8594</v>
      </c>
      <c r="J18" s="4" t="n">
        <v>8384</v>
      </c>
      <c r="K18" s="4" t="n">
        <v>14717</v>
      </c>
      <c r="L18" s="4" t="n">
        <v>36755</v>
      </c>
      <c r="M18" s="4" t="n">
        <v>35809</v>
      </c>
    </row>
    <row r="19">
      <c r="A19" s="3" t="inlineStr">
        <is>
          <t>Total Assets</t>
        </is>
      </c>
      <c r="B19" s="6">
        <f>B9+SUM(B10:B18)</f>
        <v/>
      </c>
      <c r="C19" s="6">
        <f>C9+SUM(C10:C18)</f>
        <v/>
      </c>
      <c r="D19" s="6">
        <f>D9+SUM(D10:D18)</f>
        <v/>
      </c>
      <c r="E19" s="6">
        <f>E9+SUM(E10:E18)</f>
        <v/>
      </c>
      <c r="F19" s="6">
        <f>F9+SUM(F10:F18)</f>
        <v/>
      </c>
      <c r="G19" s="6">
        <f>G9+SUM(G10:G18)</f>
        <v/>
      </c>
      <c r="H19" s="6">
        <f>H9+SUM(H10:H18)</f>
        <v/>
      </c>
      <c r="I19" s="6">
        <f>I9+SUM(I10:I18)</f>
        <v/>
      </c>
      <c r="J19" s="6">
        <f>J9+SUM(J10:J18)</f>
        <v/>
      </c>
      <c r="K19" s="6">
        <f>K9+SUM(K10:K18)</f>
        <v/>
      </c>
      <c r="L19" s="6">
        <f>L9+SUM(L10:L18)</f>
        <v/>
      </c>
      <c r="M19" s="6">
        <f>M9+SUM(M10:M18)</f>
        <v/>
      </c>
    </row>
    <row r="20">
      <c r="A20" s="3" t="inlineStr">
        <is>
          <t>Accounts Payable</t>
        </is>
      </c>
      <c r="B20" s="4" t="n">
        <v>107340</v>
      </c>
      <c r="C20" s="4" t="n">
        <v>107112</v>
      </c>
      <c r="D20" s="4" t="n">
        <v>94313</v>
      </c>
      <c r="E20" s="4" t="n">
        <v>121088</v>
      </c>
      <c r="F20" s="4" t="n">
        <v>42840</v>
      </c>
      <c r="G20" s="4" t="n">
        <v>40196</v>
      </c>
      <c r="H20" s="4" t="n">
        <v>47423</v>
      </c>
      <c r="I20" s="4" t="n">
        <v>30938</v>
      </c>
      <c r="J20" s="4" t="n">
        <v>41287</v>
      </c>
      <c r="K20" s="4" t="n">
        <v>61052</v>
      </c>
      <c r="L20" s="4" t="n">
        <v>120962</v>
      </c>
      <c r="M20" s="4" t="n">
        <v>97794</v>
      </c>
    </row>
    <row r="21">
      <c r="A21" s="3" t="inlineStr">
        <is>
          <t>Accrued Expenses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62120</v>
      </c>
      <c r="G21" s="4" t="n">
        <v>63871</v>
      </c>
      <c r="H21" s="4" t="n">
        <v>79633</v>
      </c>
      <c r="I21" s="4" t="n">
        <v>73024</v>
      </c>
      <c r="J21" s="4" t="n">
        <v>148780</v>
      </c>
      <c r="K21" s="4" t="n">
        <v>152046</v>
      </c>
      <c r="L21" s="4" t="n">
        <v>225859</v>
      </c>
      <c r="M21" s="4" t="n">
        <v>311768</v>
      </c>
    </row>
    <row r="22">
      <c r="A22" s="3" t="inlineStr">
        <is>
          <t>Income Taxes Payable</t>
        </is>
      </c>
      <c r="B22" s="4" t="n">
        <v>0</v>
      </c>
      <c r="C22" s="4" t="n">
        <v>0</v>
      </c>
      <c r="D22" s="4" t="n">
        <v>58798</v>
      </c>
      <c r="E22" s="4" t="n">
        <v>58855</v>
      </c>
      <c r="F22" s="4" t="n">
        <v>50424</v>
      </c>
      <c r="G22" s="4" t="n">
        <v>58619</v>
      </c>
      <c r="H22" s="4" t="n">
        <v>5374</v>
      </c>
      <c r="I22" s="4" t="n">
        <v>739</v>
      </c>
      <c r="J22" s="4" t="n">
        <v>10834</v>
      </c>
      <c r="K22" s="4" t="n">
        <v>26206</v>
      </c>
      <c r="L22" s="4" t="n">
        <v>21765</v>
      </c>
      <c r="M22" s="4" t="n">
        <v>49590</v>
      </c>
    </row>
    <row r="23">
      <c r="A23" s="3" t="inlineStr">
        <is>
          <t>Accrued Distributor Termination Fees</t>
        </is>
      </c>
      <c r="B23" s="4" t="n">
        <v>3986</v>
      </c>
      <c r="C23" s="4" t="n">
        <v>1063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252953</v>
      </c>
    </row>
    <row r="24">
      <c r="A24" s="3" t="inlineStr">
        <is>
          <t>Accrued Promotional Allowance</t>
        </is>
      </c>
      <c r="B24" s="4" t="n">
        <v>35977</v>
      </c>
      <c r="C24" s="4" t="n">
        <v>68225</v>
      </c>
      <c r="D24" s="4" t="n">
        <v>98933</v>
      </c>
      <c r="E24" s="4" t="n">
        <v>136557</v>
      </c>
      <c r="F24" s="4" t="n">
        <v>99787</v>
      </c>
      <c r="G24" s="4" t="n">
        <v>129201</v>
      </c>
      <c r="H24" s="4" t="n">
        <v>156479</v>
      </c>
      <c r="I24" s="4" t="n">
        <v>158810</v>
      </c>
      <c r="J24" s="4" t="n">
        <v>135948</v>
      </c>
      <c r="K24" s="4" t="n">
        <v>151327</v>
      </c>
      <c r="L24" s="4" t="n">
        <v>200169</v>
      </c>
      <c r="M24" s="4" t="n">
        <v>234068</v>
      </c>
    </row>
    <row r="25">
      <c r="A25" s="3" t="inlineStr">
        <is>
          <t>Lease Liability - Operating - Current</t>
        </is>
      </c>
      <c r="B25" s="4" t="n">
        <v>661</v>
      </c>
      <c r="C25" s="4" t="n">
        <v>605</v>
      </c>
      <c r="D25" s="4" t="n">
        <v>505</v>
      </c>
      <c r="E25" s="4" t="n">
        <v>628</v>
      </c>
      <c r="F25" s="4" t="n">
        <v>980</v>
      </c>
      <c r="G25" s="4" t="n">
        <v>821</v>
      </c>
      <c r="H25" s="4" t="n">
        <v>729</v>
      </c>
      <c r="I25" s="4" t="n">
        <v>1358</v>
      </c>
      <c r="J25" s="4" t="n">
        <v>3265</v>
      </c>
      <c r="K25" s="4" t="n">
        <v>3550</v>
      </c>
      <c r="L25" s="4" t="n">
        <v>0</v>
      </c>
      <c r="M25" s="4" t="n">
        <v>0</v>
      </c>
    </row>
    <row r="26">
      <c r="A26" s="3" t="inlineStr">
        <is>
          <t>Lease Liability - Finance - Current</t>
        </is>
      </c>
      <c r="B26" s="4" t="n">
        <v>70</v>
      </c>
      <c r="C26" s="4" t="n">
        <v>69</v>
      </c>
      <c r="D26" s="4" t="n">
        <v>67</v>
      </c>
      <c r="E26" s="4" t="n">
        <v>63</v>
      </c>
      <c r="F26" s="4" t="n">
        <v>59</v>
      </c>
      <c r="G26" s="4" t="n">
        <v>61</v>
      </c>
      <c r="H26" s="4" t="n">
        <v>61</v>
      </c>
      <c r="I26" s="4" t="n">
        <v>99</v>
      </c>
      <c r="J26" s="4" t="n">
        <v>0</v>
      </c>
      <c r="K26" s="4" t="n">
        <v>0</v>
      </c>
      <c r="L26" s="4" t="n">
        <v>0</v>
      </c>
      <c r="M26" s="4" t="n">
        <v>0</v>
      </c>
    </row>
    <row r="27">
      <c r="A27" s="3" t="inlineStr">
        <is>
          <t>Contingent Consideration - Current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25000</v>
      </c>
      <c r="M27" s="4" t="n">
        <v>25000</v>
      </c>
    </row>
    <row r="28">
      <c r="A28" s="3" t="inlineStr">
        <is>
          <t>Deferred Revenue - Current</t>
        </is>
      </c>
      <c r="B28" s="4" t="n">
        <v>9675</v>
      </c>
      <c r="C28" s="4" t="n">
        <v>9563</v>
      </c>
      <c r="D28" s="4" t="n">
        <v>9500</v>
      </c>
      <c r="E28" s="4" t="n">
        <v>9500</v>
      </c>
      <c r="F28" s="4" t="n">
        <v>9513</v>
      </c>
      <c r="G28" s="4" t="n">
        <v>9513</v>
      </c>
      <c r="H28" s="4" t="n">
        <v>9513</v>
      </c>
      <c r="I28" s="4" t="n">
        <v>9513</v>
      </c>
      <c r="J28" s="4" t="n">
        <v>9513</v>
      </c>
      <c r="K28" s="4" t="n">
        <v>9513</v>
      </c>
      <c r="L28" s="4" t="n">
        <v>16071</v>
      </c>
      <c r="M28" s="4" t="n">
        <v>25557</v>
      </c>
    </row>
    <row r="29">
      <c r="A29" s="3" t="inlineStr">
        <is>
          <t>Other Current Liabilities</t>
        </is>
      </c>
      <c r="B29" s="4" t="n">
        <v>3586</v>
      </c>
      <c r="C29" s="4" t="n">
        <v>5094</v>
      </c>
      <c r="D29" s="4" t="n">
        <v>7109</v>
      </c>
      <c r="E29" s="4" t="n">
        <v>8826</v>
      </c>
      <c r="F29" s="4" t="n">
        <v>10890</v>
      </c>
      <c r="G29" s="4" t="n">
        <v>12987</v>
      </c>
      <c r="H29" s="4" t="n">
        <v>13772</v>
      </c>
      <c r="I29" s="4" t="n">
        <v>14979</v>
      </c>
      <c r="J29" s="4" t="n">
        <v>15908</v>
      </c>
      <c r="K29" s="4" t="n">
        <v>14160</v>
      </c>
      <c r="L29" s="4" t="n">
        <v>49949</v>
      </c>
      <c r="M29" s="4" t="n">
        <v>32258</v>
      </c>
    </row>
    <row r="30">
      <c r="A30" s="3" t="inlineStr">
        <is>
          <t>Total Current Liabilities</t>
        </is>
      </c>
      <c r="B30" s="6">
        <f>SUM(B20:B29)</f>
        <v/>
      </c>
      <c r="C30" s="6">
        <f>SUM(C20:C29)</f>
        <v/>
      </c>
      <c r="D30" s="6">
        <f>SUM(D20:D29)</f>
        <v/>
      </c>
      <c r="E30" s="6">
        <f>SUM(E20:E29)</f>
        <v/>
      </c>
      <c r="F30" s="6">
        <f>SUM(F20:F29)</f>
        <v/>
      </c>
      <c r="G30" s="6">
        <f>SUM(G20:G29)</f>
        <v/>
      </c>
      <c r="H30" s="6">
        <f>SUM(H20:H29)</f>
        <v/>
      </c>
      <c r="I30" s="6">
        <f>SUM(I20:I29)</f>
        <v/>
      </c>
      <c r="J30" s="6">
        <f>SUM(J20:J29)</f>
        <v/>
      </c>
      <c r="K30" s="6">
        <f>SUM(K20:K29)</f>
        <v/>
      </c>
      <c r="L30" s="6">
        <f>SUM(L20:L29)</f>
        <v/>
      </c>
      <c r="M30" s="6">
        <f>SUM(M20:M29)</f>
        <v/>
      </c>
    </row>
    <row r="31">
      <c r="A31" s="3" t="inlineStr">
        <is>
          <t>Lease Liability - Operating - Non-Current</t>
        </is>
      </c>
      <c r="B31" s="4" t="n">
        <v>326</v>
      </c>
      <c r="C31" s="4" t="n">
        <v>336</v>
      </c>
      <c r="D31" s="4" t="n">
        <v>249</v>
      </c>
      <c r="E31" s="4" t="n">
        <v>512</v>
      </c>
      <c r="F31" s="4" t="n">
        <v>955</v>
      </c>
      <c r="G31" s="4" t="n">
        <v>850</v>
      </c>
      <c r="H31" s="4" t="n">
        <v>762</v>
      </c>
      <c r="I31" s="4" t="n">
        <v>4193</v>
      </c>
      <c r="J31" s="4" t="n">
        <v>16674</v>
      </c>
      <c r="K31" s="4" t="n">
        <v>16152</v>
      </c>
      <c r="L31" s="4" t="n">
        <v>0</v>
      </c>
      <c r="M31" s="4" t="n">
        <v>0</v>
      </c>
    </row>
    <row r="32">
      <c r="A32" s="3" t="inlineStr">
        <is>
          <t>Lease Liability - Finance - Non-Current</t>
        </is>
      </c>
      <c r="B32" s="4" t="n">
        <v>162</v>
      </c>
      <c r="C32" s="4" t="n">
        <v>156</v>
      </c>
      <c r="D32" s="4" t="n">
        <v>147</v>
      </c>
      <c r="E32" s="4" t="n">
        <v>135</v>
      </c>
      <c r="F32" s="4" t="n">
        <v>193</v>
      </c>
      <c r="G32" s="4" t="n">
        <v>245</v>
      </c>
      <c r="H32" s="4" t="n">
        <v>228</v>
      </c>
      <c r="I32" s="4" t="n">
        <v>189</v>
      </c>
      <c r="J32" s="4" t="n">
        <v>0</v>
      </c>
      <c r="K32" s="4" t="n">
        <v>0</v>
      </c>
      <c r="L32" s="4" t="n">
        <v>0</v>
      </c>
      <c r="M32" s="4" t="n">
        <v>0</v>
      </c>
    </row>
    <row r="33">
      <c r="A33" s="3" t="inlineStr">
        <is>
          <t>Deferred Tax Liability</t>
        </is>
      </c>
      <c r="B33" s="4" t="n">
        <v>15919</v>
      </c>
      <c r="C33" s="4" t="n">
        <v>19250</v>
      </c>
      <c r="D33" s="4" t="n">
        <v>2333</v>
      </c>
      <c r="E33" s="4" t="n">
        <v>2249</v>
      </c>
      <c r="F33" s="4" t="n">
        <v>2880</v>
      </c>
      <c r="G33" s="4" t="n">
        <v>2248</v>
      </c>
      <c r="H33" s="4" t="n">
        <v>2201</v>
      </c>
      <c r="I33" s="4" t="n">
        <v>2275</v>
      </c>
      <c r="J33" s="4" t="n">
        <v>0</v>
      </c>
      <c r="K33" s="4" t="n">
        <v>0</v>
      </c>
      <c r="L33" s="4" t="n">
        <v>0</v>
      </c>
      <c r="M33" s="4" t="n">
        <v>0</v>
      </c>
    </row>
    <row r="34">
      <c r="A34" s="3" t="inlineStr">
        <is>
          <t>Long-Term Debt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862917</v>
      </c>
      <c r="M34" s="4" t="n">
        <v>861472</v>
      </c>
    </row>
    <row r="35">
      <c r="A35" s="3" t="inlineStr">
        <is>
          <t>Deferred Revenue - Non-Current</t>
        </is>
      </c>
      <c r="B35" s="4" t="n">
        <v>179788</v>
      </c>
      <c r="C35" s="4" t="n">
        <v>175275</v>
      </c>
      <c r="D35" s="4" t="n">
        <v>171745</v>
      </c>
      <c r="E35" s="4" t="n">
        <v>169370</v>
      </c>
      <c r="F35" s="4" t="n">
        <v>167227</v>
      </c>
      <c r="G35" s="4" t="n">
        <v>164849</v>
      </c>
      <c r="H35" s="4" t="n">
        <v>162471</v>
      </c>
      <c r="I35" s="4" t="n">
        <v>160092</v>
      </c>
      <c r="J35" s="4" t="n">
        <v>157714</v>
      </c>
      <c r="K35" s="4" t="n">
        <v>155336</v>
      </c>
      <c r="L35" s="4" t="n">
        <v>156135</v>
      </c>
      <c r="M35" s="4" t="n">
        <v>387432</v>
      </c>
    </row>
    <row r="36">
      <c r="A36" s="3" t="inlineStr">
        <is>
          <t>Other Non-Current Liabilities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2541</v>
      </c>
      <c r="K36" s="4" t="n">
        <v>2574</v>
      </c>
      <c r="L36" s="4" t="n">
        <v>25002</v>
      </c>
      <c r="M36" s="4" t="n">
        <v>24431</v>
      </c>
    </row>
    <row r="37">
      <c r="A37" s="3" t="inlineStr">
        <is>
          <t>Total Liabilities</t>
        </is>
      </c>
      <c r="B37" s="6">
        <f>B30+SUM(B31:B36)</f>
        <v/>
      </c>
      <c r="C37" s="6">
        <f>C30+SUM(C31:C36)</f>
        <v/>
      </c>
      <c r="D37" s="6">
        <f>D30+SUM(D31:D36)</f>
        <v/>
      </c>
      <c r="E37" s="6">
        <f>E30+SUM(E31:E36)</f>
        <v/>
      </c>
      <c r="F37" s="6">
        <f>F30+SUM(F31:F36)</f>
        <v/>
      </c>
      <c r="G37" s="6">
        <f>G30+SUM(G31:G36)</f>
        <v/>
      </c>
      <c r="H37" s="6">
        <f>H30+SUM(H31:H36)</f>
        <v/>
      </c>
      <c r="I37" s="6">
        <f>I30+SUM(I31:I36)</f>
        <v/>
      </c>
      <c r="J37" s="6">
        <f>J30+SUM(J31:J36)</f>
        <v/>
      </c>
      <c r="K37" s="6">
        <f>K30+SUM(K31:K36)</f>
        <v/>
      </c>
      <c r="L37" s="6">
        <f>L30+SUM(L31:L36)</f>
        <v/>
      </c>
      <c r="M37" s="6">
        <f>M30+SUM(M31:M36)</f>
        <v/>
      </c>
    </row>
    <row r="38">
      <c r="A38" s="3" t="inlineStr">
        <is>
          <t>Convertible Preferred Stock</t>
        </is>
      </c>
      <c r="B38" s="4" t="n">
        <v>824488</v>
      </c>
      <c r="C38" s="4" t="n">
        <v>824488</v>
      </c>
      <c r="D38" s="4" t="n">
        <v>824488</v>
      </c>
      <c r="E38" s="4" t="n">
        <v>824488</v>
      </c>
      <c r="F38" s="4" t="n">
        <v>824488</v>
      </c>
      <c r="G38" s="4" t="n">
        <v>824488</v>
      </c>
      <c r="H38" s="4" t="n">
        <v>824488</v>
      </c>
      <c r="I38" s="4" t="n">
        <v>824488</v>
      </c>
      <c r="J38" s="4" t="n">
        <v>824488</v>
      </c>
      <c r="K38" s="4" t="n">
        <v>824488</v>
      </c>
      <c r="L38" s="4" t="n">
        <v>824488</v>
      </c>
      <c r="M38" s="4" t="n">
        <v>1760275</v>
      </c>
    </row>
    <row r="39">
      <c r="A39" s="3" t="inlineStr">
        <is>
          <t>Common Stock</t>
        </is>
      </c>
      <c r="B39" s="4" t="n">
        <v>76</v>
      </c>
      <c r="C39" s="4" t="n">
        <v>77</v>
      </c>
      <c r="D39" s="4" t="n">
        <v>77</v>
      </c>
      <c r="E39" s="4" t="n">
        <v>77</v>
      </c>
      <c r="F39" s="4" t="n">
        <v>77</v>
      </c>
      <c r="G39" s="4" t="n">
        <v>78</v>
      </c>
      <c r="H39" s="4" t="n">
        <v>78</v>
      </c>
      <c r="I39" s="4" t="n">
        <v>79</v>
      </c>
      <c r="J39" s="4" t="n">
        <v>79</v>
      </c>
      <c r="K39" s="4" t="n">
        <v>79</v>
      </c>
      <c r="L39" s="4" t="n">
        <v>101</v>
      </c>
      <c r="M39" s="4" t="n">
        <v>101</v>
      </c>
    </row>
    <row r="40">
      <c r="A40" s="3" t="inlineStr">
        <is>
          <t>Treasury Stock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</row>
    <row r="41">
      <c r="A41" s="3" t="inlineStr">
        <is>
          <t>Additional Paid-in Capital</t>
        </is>
      </c>
      <c r="B41" s="4" t="n">
        <v>280668</v>
      </c>
      <c r="C41" s="4" t="n">
        <v>279872</v>
      </c>
      <c r="D41" s="4" t="n">
        <v>278980</v>
      </c>
      <c r="E41" s="4" t="n">
        <v>277980</v>
      </c>
      <c r="F41" s="4" t="n">
        <v>276717</v>
      </c>
      <c r="G41" s="4" t="n">
        <v>281247</v>
      </c>
      <c r="H41" s="4" t="n">
        <v>286173</v>
      </c>
      <c r="I41" s="4" t="n">
        <v>292576</v>
      </c>
      <c r="J41" s="4" t="n">
        <v>297579</v>
      </c>
      <c r="K41" s="4" t="n">
        <v>300877</v>
      </c>
      <c r="L41" s="4" t="n">
        <v>1028384</v>
      </c>
      <c r="M41" s="4" t="n">
        <v>1035021</v>
      </c>
    </row>
    <row r="42">
      <c r="A42" s="3" t="inlineStr">
        <is>
          <t>Accumulated Other Comprehensive Income (Loss)</t>
        </is>
      </c>
      <c r="B42" s="4" t="n">
        <v>-1881</v>
      </c>
      <c r="C42" s="4" t="n">
        <v>-1287</v>
      </c>
      <c r="D42" s="4" t="n">
        <v>-1877</v>
      </c>
      <c r="E42" s="4" t="n">
        <v>-2541</v>
      </c>
      <c r="F42" s="4" t="n">
        <v>-701</v>
      </c>
      <c r="G42" s="4" t="n">
        <v>-2055</v>
      </c>
      <c r="H42" s="4" t="n">
        <v>-2363</v>
      </c>
      <c r="I42" s="4" t="n">
        <v>-338</v>
      </c>
      <c r="J42" s="4" t="n">
        <v>-3250</v>
      </c>
      <c r="K42" s="4" t="n">
        <v>-1001</v>
      </c>
      <c r="L42" s="4" t="n">
        <v>2178</v>
      </c>
      <c r="M42" s="4" t="n">
        <v>2508</v>
      </c>
    </row>
    <row r="43">
      <c r="A43" s="3" t="inlineStr">
        <is>
          <t>Retained Earnings (Accumulated Deficit)</t>
        </is>
      </c>
      <c r="B43" s="4" t="n">
        <v>-238772</v>
      </c>
      <c r="C43" s="4" t="n">
        <v>-197627</v>
      </c>
      <c r="D43" s="4" t="n">
        <v>-146118</v>
      </c>
      <c r="E43" s="4" t="n">
        <v>-62169</v>
      </c>
      <c r="F43" s="4" t="n">
        <v>-12053</v>
      </c>
      <c r="G43" s="4" t="n">
        <v>58921</v>
      </c>
      <c r="H43" s="4" t="n">
        <v>131866</v>
      </c>
      <c r="I43" s="4" t="n">
        <v>131309</v>
      </c>
      <c r="J43" s="4" t="n">
        <v>105521</v>
      </c>
      <c r="K43" s="4" t="n">
        <v>143159</v>
      </c>
      <c r="L43" s="4" t="n">
        <v>236163</v>
      </c>
      <c r="M43" s="4" t="n">
        <v>165480</v>
      </c>
    </row>
    <row r="44">
      <c r="A44" s="3" t="inlineStr">
        <is>
          <t>Total Stockholders' Equity</t>
        </is>
      </c>
      <c r="B44" s="6">
        <f>SUM(B38:B43)</f>
        <v/>
      </c>
      <c r="C44" s="6">
        <f>SUM(C38:C43)</f>
        <v/>
      </c>
      <c r="D44" s="6">
        <f>SUM(D38:D43)</f>
        <v/>
      </c>
      <c r="E44" s="6">
        <f>SUM(E38:E43)</f>
        <v/>
      </c>
      <c r="F44" s="6">
        <f>SUM(F38:F43)</f>
        <v/>
      </c>
      <c r="G44" s="6">
        <f>SUM(G38:G43)</f>
        <v/>
      </c>
      <c r="H44" s="6">
        <f>SUM(H38:H43)</f>
        <v/>
      </c>
      <c r="I44" s="6">
        <f>SUM(I38:I43)</f>
        <v/>
      </c>
      <c r="J44" s="6">
        <f>SUM(J38:J43)</f>
        <v/>
      </c>
      <c r="K44" s="6">
        <f>SUM(K38:K43)</f>
        <v/>
      </c>
      <c r="L44" s="6">
        <f>SUM(L38:L43)</f>
        <v/>
      </c>
      <c r="M44" s="6">
        <f>SUM(M38:M43)</f>
        <v/>
      </c>
    </row>
    <row r="45">
      <c r="A45" s="3" t="inlineStr">
        <is>
          <t>Total Liabilities, Mezzanine &amp; Stockholders' Equity</t>
        </is>
      </c>
      <c r="B45" s="6">
        <f>B37+B44</f>
        <v/>
      </c>
      <c r="C45" s="6">
        <f>C37+C44</f>
        <v/>
      </c>
      <c r="D45" s="6">
        <f>D37+D44</f>
        <v/>
      </c>
      <c r="E45" s="6">
        <f>E37+E44</f>
        <v/>
      </c>
      <c r="F45" s="6">
        <f>F37+F44</f>
        <v/>
      </c>
      <c r="G45" s="6">
        <f>G37+G44</f>
        <v/>
      </c>
      <c r="H45" s="6">
        <f>H37+H44</f>
        <v/>
      </c>
      <c r="I45" s="6">
        <f>I37+I44</f>
        <v/>
      </c>
      <c r="J45" s="6">
        <f>J37+J44</f>
        <v/>
      </c>
      <c r="K45" s="6">
        <f>K37+K44</f>
        <v/>
      </c>
      <c r="L45" s="6">
        <f>L37+L44</f>
        <v/>
      </c>
      <c r="M45" s="6">
        <f>M37+M44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</row>
    <row r="2">
      <c r="A2" s="3" t="inlineStr">
        <is>
          <t>Net Income (Loss)</t>
        </is>
      </c>
      <c r="B2" s="4" t="n">
        <v>6679</v>
      </c>
      <c r="C2" s="4" t="n">
        <v>15838</v>
      </c>
      <c r="D2" s="4" t="n">
        <v>-166059</v>
      </c>
      <c r="E2" s="4" t="n">
        <v>41227</v>
      </c>
      <c r="F2" s="4" t="n">
        <v>92736</v>
      </c>
      <c r="G2" s="4" t="n">
        <v>176685</v>
      </c>
      <c r="H2" s="4" t="n">
        <v>77811</v>
      </c>
      <c r="I2" s="4" t="n">
        <v>157594</v>
      </c>
      <c r="J2" s="4" t="n">
        <v>163950</v>
      </c>
      <c r="K2" s="4" t="n">
        <v>44419</v>
      </c>
      <c r="L2" s="4" t="n">
        <v>144274</v>
      </c>
      <c r="M2" s="4" t="n">
        <v>83260</v>
      </c>
    </row>
    <row r="3">
      <c r="A3" s="3" t="inlineStr">
        <is>
          <t>Depreciation</t>
        </is>
      </c>
      <c r="B3" s="4" t="n">
        <v>245</v>
      </c>
      <c r="C3" s="4" t="n">
        <v>556</v>
      </c>
      <c r="D3" s="4" t="n">
        <v>952</v>
      </c>
      <c r="E3" s="4" t="n">
        <v>404</v>
      </c>
      <c r="F3" s="4" t="n">
        <v>953</v>
      </c>
      <c r="G3" s="4" t="n">
        <v>1676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</row>
    <row r="4">
      <c r="A4" s="3" t="inlineStr">
        <is>
          <t>Amortization</t>
        </is>
      </c>
      <c r="B4" s="4" t="n">
        <v>141</v>
      </c>
      <c r="C4" s="4" t="n">
        <v>275</v>
      </c>
      <c r="D4" s="4" t="n">
        <v>402</v>
      </c>
      <c r="E4" s="4" t="n">
        <v>145</v>
      </c>
      <c r="F4" s="4" t="n">
        <v>294</v>
      </c>
      <c r="G4" s="4" t="n">
        <v>445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</row>
    <row r="5">
      <c r="A5" s="3" t="inlineStr">
        <is>
          <t>Impairment of Intangibles</t>
        </is>
      </c>
      <c r="B5" s="4" t="n">
        <v>0</v>
      </c>
      <c r="C5" s="4" t="n">
        <v>0</v>
      </c>
      <c r="D5" s="4" t="n">
        <v>2379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</row>
    <row r="6">
      <c r="A6" s="3" t="inlineStr">
        <is>
          <t>Depreciation &amp; Amortization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1229</v>
      </c>
      <c r="I6" s="4" t="n">
        <v>2648</v>
      </c>
      <c r="J6" s="4" t="n">
        <v>4888</v>
      </c>
      <c r="K6" s="4" t="n">
        <v>2611</v>
      </c>
      <c r="L6" s="4" t="n">
        <v>11730</v>
      </c>
      <c r="M6" s="4" t="n">
        <v>20516</v>
      </c>
    </row>
    <row r="7">
      <c r="A7" s="3" t="inlineStr">
        <is>
          <t>Allowance for Credit Losses</t>
        </is>
      </c>
      <c r="B7" s="4" t="n">
        <v>455</v>
      </c>
      <c r="C7" s="4" t="n">
        <v>466</v>
      </c>
      <c r="D7" s="4" t="n">
        <v>705</v>
      </c>
      <c r="E7" s="4" t="n">
        <v>837</v>
      </c>
      <c r="F7" s="4" t="n">
        <v>1088</v>
      </c>
      <c r="G7" s="4" t="n">
        <v>1880</v>
      </c>
      <c r="H7" s="4" t="n">
        <v>2250</v>
      </c>
      <c r="I7" s="4" t="n">
        <v>4072</v>
      </c>
      <c r="J7" s="4" t="n">
        <v>4279</v>
      </c>
      <c r="K7" s="4" t="n">
        <v>2077</v>
      </c>
      <c r="L7" s="4" t="n">
        <v>5529</v>
      </c>
      <c r="M7" s="4" t="n">
        <v>3226</v>
      </c>
    </row>
    <row r="8">
      <c r="A8" s="3" t="inlineStr">
        <is>
          <t>Amortization of Deferred Other Costs</t>
        </is>
      </c>
      <c r="B8" s="4" t="n">
        <v>0</v>
      </c>
      <c r="C8" s="4" t="n">
        <v>0</v>
      </c>
      <c r="D8" s="4" t="n">
        <v>2354</v>
      </c>
      <c r="E8" s="4" t="n">
        <v>3531</v>
      </c>
      <c r="F8" s="4" t="n">
        <v>7062</v>
      </c>
      <c r="G8" s="4" t="n">
        <v>10593</v>
      </c>
      <c r="H8" s="4" t="n">
        <v>3531</v>
      </c>
      <c r="I8" s="4" t="n">
        <v>7062</v>
      </c>
      <c r="J8" s="4" t="n">
        <v>10593</v>
      </c>
      <c r="K8" s="4" t="n">
        <v>3531</v>
      </c>
      <c r="L8" s="4" t="n">
        <v>7062</v>
      </c>
      <c r="M8" s="4" t="n">
        <v>13391</v>
      </c>
    </row>
    <row r="9">
      <c r="A9" s="3" t="inlineStr">
        <is>
          <t>Inventory Write-Down</t>
        </is>
      </c>
      <c r="B9" s="4" t="n">
        <v>2596</v>
      </c>
      <c r="C9" s="4" t="n">
        <v>331</v>
      </c>
      <c r="D9" s="4" t="n">
        <v>1078</v>
      </c>
      <c r="E9" s="4" t="n">
        <v>1672</v>
      </c>
      <c r="F9" s="4" t="n">
        <v>-3888</v>
      </c>
      <c r="G9" s="4" t="n">
        <v>2677</v>
      </c>
      <c r="H9" s="4" t="n">
        <v>2386</v>
      </c>
      <c r="I9" s="4" t="n">
        <v>11554</v>
      </c>
      <c r="J9" s="4" t="n">
        <v>17118</v>
      </c>
      <c r="K9" s="4" t="n">
        <v>5337</v>
      </c>
      <c r="L9" s="4" t="n">
        <v>15262</v>
      </c>
      <c r="M9" s="4" t="n">
        <v>22313</v>
      </c>
    </row>
    <row r="10">
      <c r="A10" s="3" t="inlineStr">
        <is>
          <t>Gain (Loss) on Disposal of PP&amp;E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191</v>
      </c>
      <c r="G10" s="4" t="n">
        <v>195</v>
      </c>
      <c r="H10" s="4" t="n">
        <v>-8</v>
      </c>
      <c r="I10" s="4" t="n">
        <v>31</v>
      </c>
      <c r="J10" s="4" t="n">
        <v>126</v>
      </c>
      <c r="K10" s="4" t="n">
        <v>0</v>
      </c>
      <c r="L10" s="4" t="n">
        <v>0</v>
      </c>
      <c r="M10" s="4" t="n">
        <v>0</v>
      </c>
    </row>
    <row r="11">
      <c r="A11" s="3" t="inlineStr">
        <is>
          <t>Stock-Based Compensation</t>
        </is>
      </c>
      <c r="B11" s="4" t="n">
        <v>4310</v>
      </c>
      <c r="C11" s="4" t="n">
        <v>8517</v>
      </c>
      <c r="D11" s="4" t="n">
        <v>14780</v>
      </c>
      <c r="E11" s="4" t="n">
        <v>5507</v>
      </c>
      <c r="F11" s="4" t="n">
        <v>11242</v>
      </c>
      <c r="G11" s="4" t="n">
        <v>16221</v>
      </c>
      <c r="H11" s="4" t="n">
        <v>3563</v>
      </c>
      <c r="I11" s="4" t="n">
        <v>8309</v>
      </c>
      <c r="J11" s="4" t="n">
        <v>13685</v>
      </c>
      <c r="K11" s="4" t="n">
        <v>5029</v>
      </c>
      <c r="L11" s="4" t="n">
        <v>11463</v>
      </c>
      <c r="M11" s="4" t="n">
        <v>18847</v>
      </c>
    </row>
    <row r="12">
      <c r="A12" s="3" t="inlineStr">
        <is>
          <t>(Benefit) Provision for Deferred Income Taxes</t>
        </is>
      </c>
      <c r="B12" s="4" t="n">
        <v>2561</v>
      </c>
      <c r="C12" s="4" t="n">
        <v>1072</v>
      </c>
      <c r="D12" s="4" t="n">
        <v>31329</v>
      </c>
      <c r="E12" s="4" t="n">
        <v>2873</v>
      </c>
      <c r="F12" s="4" t="n">
        <v>-41044</v>
      </c>
      <c r="G12" s="4" t="n">
        <v>-44303</v>
      </c>
      <c r="H12" s="4" t="n">
        <v>6450</v>
      </c>
      <c r="I12" s="4" t="n">
        <v>6112</v>
      </c>
      <c r="J12" s="4" t="n">
        <v>4727</v>
      </c>
      <c r="K12" s="4" t="n">
        <v>269</v>
      </c>
      <c r="L12" s="4" t="n">
        <v>-4161</v>
      </c>
      <c r="M12" s="4" t="n">
        <v>-71408</v>
      </c>
    </row>
    <row r="13">
      <c r="A13" s="3" t="inlineStr">
        <is>
          <t>Foreign Currency Gain (Loss)</t>
        </is>
      </c>
      <c r="B13" s="4" t="n">
        <v>85</v>
      </c>
      <c r="C13" s="4" t="n">
        <v>602</v>
      </c>
      <c r="D13" s="4" t="n">
        <v>1007</v>
      </c>
      <c r="E13" s="4" t="n">
        <v>69</v>
      </c>
      <c r="F13" s="4" t="n">
        <v>206</v>
      </c>
      <c r="G13" s="4" t="n">
        <v>258</v>
      </c>
      <c r="H13" s="4" t="n">
        <v>369</v>
      </c>
      <c r="I13" s="4" t="n">
        <v>633</v>
      </c>
      <c r="J13" s="4" t="n">
        <v>356</v>
      </c>
      <c r="K13" s="4" t="n">
        <v>0</v>
      </c>
      <c r="L13" s="4" t="n">
        <v>0</v>
      </c>
      <c r="M13" s="4" t="n">
        <v>0</v>
      </c>
    </row>
    <row r="14">
      <c r="A14" s="3" t="inlineStr">
        <is>
          <t>Gain (Loss) on Lease Cancellations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</row>
    <row r="15">
      <c r="A15" s="3" t="inlineStr">
        <is>
          <t>Change in Fair Value of Contingent Consideration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13800</v>
      </c>
      <c r="M15" s="4" t="n">
        <v>13800</v>
      </c>
    </row>
    <row r="16">
      <c r="A16" s="3" t="inlineStr">
        <is>
          <t>Gain (Loss) on Extinguishment of Debt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</row>
    <row r="17">
      <c r="A17" s="3" t="inlineStr">
        <is>
          <t>Other Operating Items</t>
        </is>
      </c>
      <c r="B17" s="4" t="n">
        <v>0</v>
      </c>
      <c r="C17" s="4" t="n">
        <v>0</v>
      </c>
      <c r="D17" s="4" t="n">
        <v>56</v>
      </c>
      <c r="E17" s="4" t="n">
        <v>-4</v>
      </c>
      <c r="F17" s="4" t="n">
        <v>8</v>
      </c>
      <c r="G17" s="4" t="n">
        <v>-2</v>
      </c>
      <c r="H17" s="4" t="n">
        <v>-7672</v>
      </c>
      <c r="I17" s="4" t="n">
        <v>0</v>
      </c>
      <c r="J17" s="4" t="n">
        <v>0</v>
      </c>
      <c r="K17" s="4" t="n">
        <v>-1014</v>
      </c>
      <c r="L17" s="4" t="n">
        <v>-257</v>
      </c>
      <c r="M17" s="4" t="n">
        <v>1964</v>
      </c>
    </row>
    <row r="18">
      <c r="A18" s="3" t="inlineStr">
        <is>
          <t>Accounts Receivable</t>
        </is>
      </c>
      <c r="B18" s="4" t="n">
        <v>-34420</v>
      </c>
      <c r="C18" s="4" t="n">
        <v>-27920</v>
      </c>
      <c r="D18" s="4" t="n">
        <v>-78967</v>
      </c>
      <c r="E18" s="4" t="n">
        <v>-109639</v>
      </c>
      <c r="F18" s="4" t="n">
        <v>-135600</v>
      </c>
      <c r="G18" s="4" t="n">
        <v>-153271</v>
      </c>
      <c r="H18" s="4" t="n">
        <v>-18664</v>
      </c>
      <c r="I18" s="4" t="n">
        <v>-82213</v>
      </c>
      <c r="J18" s="4" t="n">
        <v>-26529</v>
      </c>
      <c r="K18" s="4" t="n">
        <v>11841</v>
      </c>
      <c r="L18" s="4" t="n">
        <v>-143153</v>
      </c>
      <c r="M18" s="4" t="n">
        <v>-164133</v>
      </c>
    </row>
    <row r="19">
      <c r="A19" s="3" t="inlineStr">
        <is>
          <t>Note Receivable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</row>
    <row r="20">
      <c r="A20" s="3" t="inlineStr">
        <is>
          <t>Inventories</t>
        </is>
      </c>
      <c r="B20" s="4" t="n">
        <v>4531</v>
      </c>
      <c r="C20" s="4" t="n">
        <v>28753</v>
      </c>
      <c r="D20" s="4" t="n">
        <v>36211</v>
      </c>
      <c r="E20" s="4" t="n">
        <v>17338</v>
      </c>
      <c r="F20" s="4" t="n">
        <v>24632</v>
      </c>
      <c r="G20" s="4" t="n">
        <v>-28092</v>
      </c>
      <c r="H20" s="4" t="n">
        <v>29386</v>
      </c>
      <c r="I20" s="4" t="n">
        <v>37052</v>
      </c>
      <c r="J20" s="4" t="n">
        <v>14585</v>
      </c>
      <c r="K20" s="4" t="n">
        <v>4794</v>
      </c>
      <c r="L20" s="4" t="n">
        <v>23039</v>
      </c>
      <c r="M20" s="4" t="n">
        <v>31132</v>
      </c>
    </row>
    <row r="21">
      <c r="A21" s="3" t="inlineStr">
        <is>
          <t>Prepaid Expenses</t>
        </is>
      </c>
      <c r="B21" s="4" t="n">
        <v>3513</v>
      </c>
      <c r="C21" s="4" t="n">
        <v>1257</v>
      </c>
      <c r="D21" s="4" t="n">
        <v>1459</v>
      </c>
      <c r="E21" s="4" t="n">
        <v>-4166</v>
      </c>
      <c r="F21" s="4" t="n">
        <v>-12058</v>
      </c>
      <c r="G21" s="4" t="n">
        <v>-12406</v>
      </c>
      <c r="H21" s="4" t="n">
        <v>-2076</v>
      </c>
      <c r="I21" s="4" t="n">
        <v>-3469</v>
      </c>
      <c r="J21" s="4" t="n">
        <v>-20261</v>
      </c>
      <c r="K21" s="4" t="n">
        <v>-3687</v>
      </c>
      <c r="L21" s="4" t="n">
        <v>-20645</v>
      </c>
      <c r="M21" s="4" t="n">
        <v>-142920</v>
      </c>
    </row>
    <row r="22">
      <c r="A22" s="3" t="inlineStr">
        <is>
          <t>Change in A/P and Accrued (legacy)</t>
        </is>
      </c>
      <c r="B22" s="4" t="n">
        <v>5552</v>
      </c>
      <c r="C22" s="4" t="n">
        <v>-7176</v>
      </c>
      <c r="D22" s="4" t="n">
        <v>-3050</v>
      </c>
      <c r="E22" s="4" t="n">
        <v>182</v>
      </c>
      <c r="F22" s="4" t="n">
        <v>-12491</v>
      </c>
      <c r="G22" s="4" t="n">
        <v>14652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</row>
    <row r="23">
      <c r="A23" s="3" t="inlineStr">
        <is>
          <t>Other Non-Current Assets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-6362</v>
      </c>
      <c r="J23" s="4" t="n">
        <v>-5303</v>
      </c>
      <c r="K23" s="4" t="n">
        <v>-1700</v>
      </c>
      <c r="L23" s="4" t="n">
        <v>742</v>
      </c>
      <c r="M23" s="4" t="n">
        <v>1511</v>
      </c>
    </row>
    <row r="24">
      <c r="A24" s="3" t="inlineStr">
        <is>
          <t>Accounts Payable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-3013</v>
      </c>
      <c r="I24" s="4" t="n">
        <v>3950</v>
      </c>
      <c r="J24" s="4" t="n">
        <v>-12259</v>
      </c>
      <c r="K24" s="4" t="n">
        <v>11679</v>
      </c>
      <c r="L24" s="4" t="n">
        <v>20789</v>
      </c>
      <c r="M24" s="4" t="n">
        <v>4081</v>
      </c>
    </row>
    <row r="25">
      <c r="A25" s="3" t="inlineStr">
        <is>
          <t>Accrued Expenses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1998</v>
      </c>
      <c r="I25" s="4" t="n">
        <v>17760</v>
      </c>
      <c r="J25" s="4" t="n">
        <v>11151</v>
      </c>
      <c r="K25" s="4" t="n">
        <v>-8673</v>
      </c>
      <c r="L25" s="4" t="n">
        <v>-7013</v>
      </c>
      <c r="M25" s="4" t="n">
        <v>32961</v>
      </c>
    </row>
    <row r="26">
      <c r="A26" s="3" t="inlineStr">
        <is>
          <t>Other Current Liabilities</t>
        </is>
      </c>
      <c r="B26" s="4" t="n">
        <v>765</v>
      </c>
      <c r="C26" s="4" t="n">
        <v>1820</v>
      </c>
      <c r="D26" s="4" t="n">
        <v>32590</v>
      </c>
      <c r="E26" s="4" t="n">
        <v>1508</v>
      </c>
      <c r="F26" s="4" t="n">
        <v>61128</v>
      </c>
      <c r="G26" s="4" t="n">
        <v>62901</v>
      </c>
      <c r="H26" s="4" t="n">
        <v>10344</v>
      </c>
      <c r="I26" s="4" t="n">
        <v>-42094</v>
      </c>
      <c r="J26" s="4" t="n">
        <v>-45537</v>
      </c>
      <c r="K26" s="4" t="n">
        <v>13705</v>
      </c>
      <c r="L26" s="4" t="n">
        <v>12927</v>
      </c>
      <c r="M26" s="4" t="n">
        <v>42433</v>
      </c>
    </row>
    <row r="27">
      <c r="A27" s="3" t="inlineStr">
        <is>
          <t>Accrued Promotional Allowance</t>
        </is>
      </c>
      <c r="B27" s="4" t="n">
        <v>12190</v>
      </c>
      <c r="C27" s="4" t="n">
        <v>17512</v>
      </c>
      <c r="D27" s="4" t="n">
        <v>24213</v>
      </c>
      <c r="E27" s="4" t="n">
        <v>32248</v>
      </c>
      <c r="F27" s="4" t="n">
        <v>62995</v>
      </c>
      <c r="G27" s="4" t="n">
        <v>100580</v>
      </c>
      <c r="H27" s="4" t="n">
        <v>29414</v>
      </c>
      <c r="I27" s="4" t="n">
        <v>56692</v>
      </c>
      <c r="J27" s="4" t="n">
        <v>59023</v>
      </c>
      <c r="K27" s="4" t="n">
        <v>15379</v>
      </c>
      <c r="L27" s="4" t="n">
        <v>64221</v>
      </c>
      <c r="M27" s="4" t="n">
        <v>83276</v>
      </c>
    </row>
    <row r="28">
      <c r="A28" s="3" t="inlineStr">
        <is>
          <t>Accrued Distributor Termination</t>
        </is>
      </c>
      <c r="B28" s="4" t="n">
        <v>0</v>
      </c>
      <c r="C28" s="4" t="n">
        <v>0</v>
      </c>
      <c r="D28" s="4" t="n">
        <v>115551</v>
      </c>
      <c r="E28" s="4" t="n">
        <v>-2923</v>
      </c>
      <c r="F28" s="4" t="n">
        <v>-3986</v>
      </c>
      <c r="G28" s="4" t="n">
        <v>-3986</v>
      </c>
      <c r="H28" s="4" t="n">
        <v>-248</v>
      </c>
      <c r="I28" s="4" t="n">
        <v>-248</v>
      </c>
      <c r="J28" s="4" t="n">
        <v>-248</v>
      </c>
      <c r="K28" s="4" t="n">
        <v>0</v>
      </c>
      <c r="L28" s="4" t="n">
        <v>0</v>
      </c>
      <c r="M28" s="4" t="n">
        <v>252953</v>
      </c>
    </row>
    <row r="29">
      <c r="A29" s="3" t="inlineStr">
        <is>
          <t>ROU &amp; Lease Liability, Net</t>
        </is>
      </c>
      <c r="B29" s="4" t="n">
        <v>-78</v>
      </c>
      <c r="C29" s="4" t="n">
        <v>-95</v>
      </c>
      <c r="D29" s="4" t="n">
        <v>-126</v>
      </c>
      <c r="E29" s="4" t="n">
        <v>-15</v>
      </c>
      <c r="F29" s="4" t="n">
        <v>-38</v>
      </c>
      <c r="G29" s="4" t="n">
        <v>-64</v>
      </c>
      <c r="H29" s="4" t="n">
        <v>-23</v>
      </c>
      <c r="I29" s="4" t="n">
        <v>-34</v>
      </c>
      <c r="J29" s="4" t="n">
        <v>17</v>
      </c>
      <c r="K29" s="4" t="n">
        <v>0</v>
      </c>
      <c r="L29" s="4" t="n">
        <v>0</v>
      </c>
      <c r="M29" s="4" t="n">
        <v>0</v>
      </c>
    </row>
    <row r="30">
      <c r="A30" s="3" t="inlineStr">
        <is>
          <t>Deferred Revenue</t>
        </is>
      </c>
      <c r="B30" s="4" t="n">
        <v>0</v>
      </c>
      <c r="C30" s="4" t="n">
        <v>0</v>
      </c>
      <c r="D30" s="4" t="n">
        <v>154103</v>
      </c>
      <c r="E30" s="4" t="n">
        <v>-4625</v>
      </c>
      <c r="F30" s="4" t="n">
        <v>-8219</v>
      </c>
      <c r="G30" s="4" t="n">
        <v>-10593</v>
      </c>
      <c r="H30" s="4" t="n">
        <v>-2378</v>
      </c>
      <c r="I30" s="4" t="n">
        <v>-4757</v>
      </c>
      <c r="J30" s="4" t="n">
        <v>-7135</v>
      </c>
      <c r="K30" s="4" t="n">
        <v>-2378</v>
      </c>
      <c r="L30" s="4" t="n">
        <v>-7320</v>
      </c>
      <c r="M30" s="4" t="n">
        <v>233463</v>
      </c>
    </row>
    <row r="31">
      <c r="A31" s="3" t="inlineStr">
        <is>
          <t>Net Change in Other Working Capital</t>
        </is>
      </c>
      <c r="B31" s="4" t="n">
        <v>0</v>
      </c>
      <c r="C31" s="4" t="n">
        <v>488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148</v>
      </c>
      <c r="L31" s="4" t="n">
        <v>-1210</v>
      </c>
      <c r="M31" s="4" t="n">
        <v>-1786</v>
      </c>
    </row>
    <row r="32">
      <c r="A32" s="3" t="inlineStr">
        <is>
          <t>Cash Flow from Operations</t>
        </is>
      </c>
      <c r="B32" s="6">
        <f>SUM(B2:B31)</f>
        <v/>
      </c>
      <c r="C32" s="6">
        <f>SUM(C2:C31)</f>
        <v/>
      </c>
      <c r="D32" s="6">
        <f>SUM(D2:D31)</f>
        <v/>
      </c>
      <c r="E32" s="6">
        <f>SUM(E2:E31)</f>
        <v/>
      </c>
      <c r="F32" s="6">
        <f>SUM(F2:F31)</f>
        <v/>
      </c>
      <c r="G32" s="6">
        <f>SUM(G2:G31)</f>
        <v/>
      </c>
      <c r="H32" s="6">
        <f>SUM(H2:H31)</f>
        <v/>
      </c>
      <c r="I32" s="6">
        <f>SUM(I2:I31)</f>
        <v/>
      </c>
      <c r="J32" s="6">
        <f>SUM(J2:J31)</f>
        <v/>
      </c>
      <c r="K32" s="6">
        <f>SUM(K2:K31)</f>
        <v/>
      </c>
      <c r="L32" s="6">
        <f>SUM(L2:L31)</f>
        <v/>
      </c>
      <c r="M32" s="6">
        <f>SUM(M2:M31)</f>
        <v/>
      </c>
    </row>
    <row r="33">
      <c r="A33" s="3" t="inlineStr">
        <is>
          <t>Collections from Note Receivable</t>
        </is>
      </c>
      <c r="B33" s="4" t="n">
        <v>0</v>
      </c>
      <c r="C33" s="4" t="n">
        <v>2592</v>
      </c>
      <c r="D33" s="4" t="n">
        <v>2592</v>
      </c>
      <c r="E33" s="4" t="n">
        <v>3233</v>
      </c>
      <c r="F33" s="4" t="n">
        <v>3233</v>
      </c>
      <c r="G33" s="4" t="n">
        <v>3233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</row>
    <row r="34">
      <c r="A34" s="3" t="inlineStr">
        <is>
          <t>Purchase of PP&amp;E</t>
        </is>
      </c>
      <c r="B34" s="4" t="n">
        <v>-742</v>
      </c>
      <c r="C34" s="4" t="n">
        <v>-2456</v>
      </c>
      <c r="D34" s="4" t="n">
        <v>-3477</v>
      </c>
      <c r="E34" s="4" t="n">
        <v>-2253</v>
      </c>
      <c r="F34" s="4" t="n">
        <v>-6810</v>
      </c>
      <c r="G34" s="4" t="n">
        <v>-12687</v>
      </c>
      <c r="H34" s="4" t="n">
        <v>-4525</v>
      </c>
      <c r="I34" s="4" t="n">
        <v>-13739</v>
      </c>
      <c r="J34" s="4" t="n">
        <v>-17983</v>
      </c>
      <c r="K34" s="4" t="n">
        <v>-6944</v>
      </c>
      <c r="L34" s="4" t="n">
        <v>-15194</v>
      </c>
      <c r="M34" s="4" t="n">
        <v>-25539</v>
      </c>
    </row>
    <row r="35">
      <c r="A35" s="3" t="inlineStr">
        <is>
          <t>Purchase of Non-Marketable Equity Securities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-3000</v>
      </c>
      <c r="K35" s="4" t="n">
        <v>0</v>
      </c>
      <c r="L35" s="4" t="n">
        <v>-5000</v>
      </c>
      <c r="M35" s="4" t="n">
        <v>-5000</v>
      </c>
    </row>
    <row r="36">
      <c r="A36" s="3" t="inlineStr">
        <is>
          <t>Acquisition of Big Beverages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</row>
    <row r="37">
      <c r="A37" s="3" t="inlineStr">
        <is>
          <t>Acquisitions, Net of Cash Acquired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-1256351</v>
      </c>
      <c r="M37" s="4" t="n">
        <v>-1278769</v>
      </c>
    </row>
    <row r="38">
      <c r="A38" s="3" t="inlineStr">
        <is>
          <t>Working Capital Estimate from Pepsi (Rockstar)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30617</v>
      </c>
    </row>
    <row r="39">
      <c r="A39" s="3" t="inlineStr">
        <is>
          <t>Cash Flow from Investing</t>
        </is>
      </c>
      <c r="B39" s="6">
        <f>SUM(B33:B38)</f>
        <v/>
      </c>
      <c r="C39" s="6">
        <f>SUM(C33:C38)</f>
        <v/>
      </c>
      <c r="D39" s="6">
        <f>SUM(D33:D38)</f>
        <v/>
      </c>
      <c r="E39" s="6">
        <f>SUM(E33:E38)</f>
        <v/>
      </c>
      <c r="F39" s="6">
        <f>SUM(F33:F38)</f>
        <v/>
      </c>
      <c r="G39" s="6">
        <f>SUM(G33:G38)</f>
        <v/>
      </c>
      <c r="H39" s="6">
        <f>SUM(H33:H38)</f>
        <v/>
      </c>
      <c r="I39" s="6">
        <f>SUM(I33:I38)</f>
        <v/>
      </c>
      <c r="J39" s="6">
        <f>SUM(J33:J38)</f>
        <v/>
      </c>
      <c r="K39" s="6">
        <f>SUM(K33:K38)</f>
        <v/>
      </c>
      <c r="L39" s="6">
        <f>SUM(L33:L38)</f>
        <v/>
      </c>
      <c r="M39" s="6">
        <f>SUM(M33:M38)</f>
        <v/>
      </c>
    </row>
    <row r="40">
      <c r="A40" s="3" t="inlineStr">
        <is>
          <t>Finance Lease Payments</t>
        </is>
      </c>
      <c r="B40" s="4" t="n">
        <v>-20</v>
      </c>
      <c r="C40" s="4" t="n">
        <v>-37</v>
      </c>
      <c r="D40" s="4" t="n">
        <v>-49</v>
      </c>
      <c r="E40" s="4" t="n">
        <v>-11</v>
      </c>
      <c r="F40" s="4" t="n">
        <v>-22</v>
      </c>
      <c r="G40" s="4" t="n">
        <v>-33</v>
      </c>
      <c r="H40" s="4" t="n">
        <v>-15</v>
      </c>
      <c r="I40" s="4" t="n">
        <v>-30</v>
      </c>
      <c r="J40" s="4" t="n">
        <v>-46</v>
      </c>
      <c r="K40" s="4" t="n">
        <v>0</v>
      </c>
      <c r="L40" s="4" t="n">
        <v>0</v>
      </c>
      <c r="M40" s="4" t="n">
        <v>0</v>
      </c>
    </row>
    <row r="41">
      <c r="A41" s="3" t="inlineStr">
        <is>
          <t>Proceeds from Exercise of Stock Options</t>
        </is>
      </c>
      <c r="B41" s="4" t="n">
        <v>810</v>
      </c>
      <c r="C41" s="4" t="n">
        <v>1260</v>
      </c>
      <c r="D41" s="4" t="n">
        <v>3104</v>
      </c>
      <c r="E41" s="4" t="n">
        <v>478</v>
      </c>
      <c r="F41" s="4" t="n">
        <v>707</v>
      </c>
      <c r="G41" s="4" t="n">
        <v>1603</v>
      </c>
      <c r="H41" s="4" t="n">
        <v>967</v>
      </c>
      <c r="I41" s="4" t="n">
        <v>1147</v>
      </c>
      <c r="J41" s="4" t="n">
        <v>3832</v>
      </c>
      <c r="K41" s="4" t="n">
        <v>0</v>
      </c>
      <c r="L41" s="4" t="n">
        <v>0</v>
      </c>
      <c r="M41" s="4" t="n">
        <v>0</v>
      </c>
    </row>
    <row r="42">
      <c r="A42" s="3" t="inlineStr">
        <is>
          <t>Proceeds from Issuance of Common Stock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</row>
    <row r="43">
      <c r="A43" s="3" t="inlineStr">
        <is>
          <t>Proceeds from Issuance of Preferred Stock</t>
        </is>
      </c>
      <c r="B43" s="4" t="n">
        <v>0</v>
      </c>
      <c r="C43" s="4" t="n">
        <v>0</v>
      </c>
      <c r="D43" s="4" t="n">
        <v>542018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</row>
    <row r="44">
      <c r="A44" s="3" t="inlineStr">
        <is>
          <t>Preferred Dividends</t>
        </is>
      </c>
      <c r="B44" s="4" t="n">
        <v>0</v>
      </c>
      <c r="C44" s="4" t="n">
        <v>0</v>
      </c>
      <c r="D44" s="4" t="n">
        <v>-4596</v>
      </c>
      <c r="E44" s="4" t="n">
        <v>-6781</v>
      </c>
      <c r="F44" s="4" t="n">
        <v>-13637</v>
      </c>
      <c r="G44" s="4" t="n">
        <v>-20512</v>
      </c>
      <c r="H44" s="4" t="n">
        <v>-6837</v>
      </c>
      <c r="I44" s="4" t="n">
        <v>-13675</v>
      </c>
      <c r="J44" s="4" t="n">
        <v>-20588</v>
      </c>
      <c r="K44" s="4" t="n">
        <v>-6781</v>
      </c>
      <c r="L44" s="4" t="n">
        <v>-13632</v>
      </c>
      <c r="M44" s="4" t="n">
        <v>-23301</v>
      </c>
    </row>
    <row r="45">
      <c r="A45" s="3" t="inlineStr">
        <is>
          <t>Share Repurchases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-1658</v>
      </c>
      <c r="K45" s="4" t="n">
        <v>-1932</v>
      </c>
      <c r="L45" s="4" t="n">
        <v>-2811</v>
      </c>
      <c r="M45" s="4" t="n">
        <v>-3259</v>
      </c>
    </row>
    <row r="46">
      <c r="A46" s="3" t="inlineStr">
        <is>
          <t>Proceeds from Issuance of Long-Term Debt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900000</v>
      </c>
      <c r="M46" s="4" t="n">
        <v>900000</v>
      </c>
    </row>
    <row r="47">
      <c r="A47" s="3" t="inlineStr">
        <is>
          <t>Repayments of Long-Term Debt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-2250</v>
      </c>
    </row>
    <row r="48">
      <c r="A48" s="3" t="inlineStr">
        <is>
          <t>Debt Issuance Fees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-2195</v>
      </c>
      <c r="L48" s="4" t="n">
        <v>-31581</v>
      </c>
      <c r="M48" s="4" t="n">
        <v>-31581</v>
      </c>
    </row>
    <row r="49">
      <c r="A49" s="3" t="inlineStr">
        <is>
          <t>Other Financing Activities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321</v>
      </c>
      <c r="L49" s="4" t="n">
        <v>319</v>
      </c>
      <c r="M49" s="4" t="n">
        <v>301</v>
      </c>
    </row>
    <row r="50">
      <c r="A50" s="3" t="inlineStr">
        <is>
          <t>Cash Flow from Financing</t>
        </is>
      </c>
      <c r="B50" s="6">
        <f>SUM(B40:B49)</f>
        <v/>
      </c>
      <c r="C50" s="6">
        <f>SUM(C40:C49)</f>
        <v/>
      </c>
      <c r="D50" s="6">
        <f>SUM(D40:D49)</f>
        <v/>
      </c>
      <c r="E50" s="6">
        <f>SUM(E40:E49)</f>
        <v/>
      </c>
      <c r="F50" s="6">
        <f>SUM(F40:F49)</f>
        <v/>
      </c>
      <c r="G50" s="6">
        <f>SUM(G40:G49)</f>
        <v/>
      </c>
      <c r="H50" s="6">
        <f>SUM(H40:H49)</f>
        <v/>
      </c>
      <c r="I50" s="6">
        <f>SUM(I40:I49)</f>
        <v/>
      </c>
      <c r="J50" s="6">
        <f>SUM(J40:J49)</f>
        <v/>
      </c>
      <c r="K50" s="6">
        <f>SUM(K40:K49)</f>
        <v/>
      </c>
      <c r="L50" s="6">
        <f>SUM(L40:L49)</f>
        <v/>
      </c>
      <c r="M50" s="6">
        <f>SUM(M40:M49)</f>
        <v/>
      </c>
    </row>
    <row r="51">
      <c r="A51" s="3" t="inlineStr">
        <is>
          <t>FX Effect on Cash</t>
        </is>
      </c>
      <c r="B51" s="4" t="n">
        <v>104</v>
      </c>
      <c r="C51" s="4" t="n">
        <v>121</v>
      </c>
      <c r="D51" s="4" t="n">
        <v>158</v>
      </c>
      <c r="E51" s="4" t="n">
        <v>-181</v>
      </c>
      <c r="F51" s="4" t="n">
        <v>-555</v>
      </c>
      <c r="G51" s="4" t="n">
        <v>-555</v>
      </c>
      <c r="H51" s="4" t="n">
        <v>-722</v>
      </c>
      <c r="I51" s="4" t="n">
        <v>-766</v>
      </c>
      <c r="J51" s="4" t="n">
        <v>-16</v>
      </c>
      <c r="K51" s="4" t="n">
        <v>1259</v>
      </c>
      <c r="L51" s="4" t="n">
        <v>2214</v>
      </c>
      <c r="M51" s="4" t="n">
        <v>2174</v>
      </c>
    </row>
    <row r="52">
      <c r="A52" s="3" t="inlineStr">
        <is>
          <t>Net Change in Cash</t>
        </is>
      </c>
      <c r="B52" s="6">
        <f>B32+B39+B50+B51</f>
        <v/>
      </c>
      <c r="C52" s="6">
        <f>C32+C39+C50+C51</f>
        <v/>
      </c>
      <c r="D52" s="6">
        <f>D32+D39+D50+D51</f>
        <v/>
      </c>
      <c r="E52" s="6">
        <f>E32+E39+E50+E51</f>
        <v/>
      </c>
      <c r="F52" s="6">
        <f>F32+F39+F50+F51</f>
        <v/>
      </c>
      <c r="G52" s="6">
        <f>G32+G39+G50+G51</f>
        <v/>
      </c>
      <c r="H52" s="6">
        <f>H32+H39+H50+H51</f>
        <v/>
      </c>
      <c r="I52" s="6">
        <f>I32+I39+I50+I51</f>
        <v/>
      </c>
      <c r="J52" s="6">
        <f>J32+J39+J50+J51</f>
        <v/>
      </c>
      <c r="K52" s="6">
        <f>K32+K39+K50+K51</f>
        <v/>
      </c>
      <c r="L52" s="6">
        <f>L32+L39+L50+L51</f>
        <v/>
      </c>
      <c r="M52" s="6">
        <f>M32+M39+M50+M51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</row>
    <row r="2">
      <c r="A2" s="3" t="inlineStr">
        <is>
          <t>Net Sales / Revenue</t>
        </is>
      </c>
      <c r="B2" s="4">
        <f>'YTD P&amp;L'!B2</f>
        <v/>
      </c>
      <c r="C2" s="4">
        <f>'YTD P&amp;L'!C2-'YTD P&amp;L'!B2</f>
        <v/>
      </c>
      <c r="D2" s="4">
        <f>'YTD P&amp;L'!D2-'YTD P&amp;L'!C2</f>
        <v/>
      </c>
      <c r="E2" s="4">
        <f>'ANNL P&amp;L'!C2-'YTD P&amp;L'!D2</f>
        <v/>
      </c>
      <c r="F2" s="4">
        <f>'YTD P&amp;L'!E2</f>
        <v/>
      </c>
      <c r="G2" s="4">
        <f>'YTD P&amp;L'!F2-'YTD P&amp;L'!E2</f>
        <v/>
      </c>
      <c r="H2" s="4">
        <f>'YTD P&amp;L'!G2-'YTD P&amp;L'!F2</f>
        <v/>
      </c>
      <c r="I2" s="4">
        <f>'ANNL P&amp;L'!D2-'YTD P&amp;L'!G2</f>
        <v/>
      </c>
      <c r="J2" s="4">
        <f>'YTD P&amp;L'!H2</f>
        <v/>
      </c>
      <c r="K2" s="4">
        <f>'YTD P&amp;L'!I2-'YTD P&amp;L'!H2</f>
        <v/>
      </c>
      <c r="L2" s="4">
        <f>'YTD P&amp;L'!J2-'YTD P&amp;L'!I2</f>
        <v/>
      </c>
      <c r="M2" s="4">
        <f>'ANNL P&amp;L'!E2-'YTD P&amp;L'!J2</f>
        <v/>
      </c>
      <c r="N2" s="4">
        <f>'YTD P&amp;L'!K2</f>
        <v/>
      </c>
      <c r="O2" s="4">
        <f>'YTD P&amp;L'!L2-'YTD P&amp;L'!K2</f>
        <v/>
      </c>
      <c r="P2" s="4">
        <f>'YTD P&amp;L'!M2-'YTD P&amp;L'!L2</f>
        <v/>
      </c>
      <c r="Q2" s="4">
        <f>'ANNL P&amp;L'!F2-'YTD P&amp;L'!M2</f>
        <v/>
      </c>
    </row>
    <row r="3">
      <c r="A3" s="3" t="inlineStr">
        <is>
          <t>COGS</t>
        </is>
      </c>
      <c r="B3" s="4">
        <f>'YTD P&amp;L'!B3</f>
        <v/>
      </c>
      <c r="C3" s="4">
        <f>'YTD P&amp;L'!C3-'YTD P&amp;L'!B3</f>
        <v/>
      </c>
      <c r="D3" s="4">
        <f>'YTD P&amp;L'!D3-'YTD P&amp;L'!C3</f>
        <v/>
      </c>
      <c r="E3" s="4">
        <f>'ANNL P&amp;L'!C3-'YTD P&amp;L'!D3</f>
        <v/>
      </c>
      <c r="F3" s="4">
        <f>'YTD P&amp;L'!E3</f>
        <v/>
      </c>
      <c r="G3" s="4">
        <f>'YTD P&amp;L'!F3-'YTD P&amp;L'!E3</f>
        <v/>
      </c>
      <c r="H3" s="4">
        <f>'YTD P&amp;L'!G3-'YTD P&amp;L'!F3</f>
        <v/>
      </c>
      <c r="I3" s="4">
        <f>'ANNL P&amp;L'!D3-'YTD P&amp;L'!G3</f>
        <v/>
      </c>
      <c r="J3" s="4">
        <f>'YTD P&amp;L'!H3</f>
        <v/>
      </c>
      <c r="K3" s="4">
        <f>'YTD P&amp;L'!I3-'YTD P&amp;L'!H3</f>
        <v/>
      </c>
      <c r="L3" s="4">
        <f>'YTD P&amp;L'!J3-'YTD P&amp;L'!I3</f>
        <v/>
      </c>
      <c r="M3" s="4">
        <f>'ANNL P&amp;L'!E3-'YTD P&amp;L'!J3</f>
        <v/>
      </c>
      <c r="N3" s="4">
        <f>'YTD P&amp;L'!K3</f>
        <v/>
      </c>
      <c r="O3" s="4">
        <f>'YTD P&amp;L'!L3-'YTD P&amp;L'!K3</f>
        <v/>
      </c>
      <c r="P3" s="4">
        <f>'YTD P&amp;L'!M3-'YTD P&amp;L'!L3</f>
        <v/>
      </c>
      <c r="Q3" s="4">
        <f>'ANNL P&amp;L'!F3-'YTD P&amp;L'!M3</f>
        <v/>
      </c>
    </row>
    <row r="4">
      <c r="A4" s="3" t="inlineStr">
        <is>
          <t>Gross Profit (Loss)</t>
        </is>
      </c>
      <c r="B4" s="6">
        <f>'YTD P&amp;L'!B4</f>
        <v/>
      </c>
      <c r="C4" s="6">
        <f>'YTD P&amp;L'!C4-'YTD P&amp;L'!B4</f>
        <v/>
      </c>
      <c r="D4" s="6">
        <f>'YTD P&amp;L'!D4-'YTD P&amp;L'!C4</f>
        <v/>
      </c>
      <c r="E4" s="6">
        <f>'ANNL P&amp;L'!C4-'YTD P&amp;L'!D4</f>
        <v/>
      </c>
      <c r="F4" s="6">
        <f>'YTD P&amp;L'!E4</f>
        <v/>
      </c>
      <c r="G4" s="6">
        <f>'YTD P&amp;L'!F4-'YTD P&amp;L'!E4</f>
        <v/>
      </c>
      <c r="H4" s="6">
        <f>'YTD P&amp;L'!G4-'YTD P&amp;L'!F4</f>
        <v/>
      </c>
      <c r="I4" s="6">
        <f>'ANNL P&amp;L'!D4-'YTD P&amp;L'!G4</f>
        <v/>
      </c>
      <c r="J4" s="6">
        <f>'YTD P&amp;L'!H4</f>
        <v/>
      </c>
      <c r="K4" s="6">
        <f>'YTD P&amp;L'!I4-'YTD P&amp;L'!H4</f>
        <v/>
      </c>
      <c r="L4" s="6">
        <f>'YTD P&amp;L'!J4-'YTD P&amp;L'!I4</f>
        <v/>
      </c>
      <c r="M4" s="6">
        <f>'ANNL P&amp;L'!E4-'YTD P&amp;L'!J4</f>
        <v/>
      </c>
      <c r="N4" s="6">
        <f>'YTD P&amp;L'!K4</f>
        <v/>
      </c>
      <c r="O4" s="6">
        <f>'YTD P&amp;L'!L4-'YTD P&amp;L'!K4</f>
        <v/>
      </c>
      <c r="P4" s="6">
        <f>'YTD P&amp;L'!M4-'YTD P&amp;L'!L4</f>
        <v/>
      </c>
      <c r="Q4" s="6">
        <f>'ANNL P&amp;L'!F4-'YTD P&amp;L'!M4</f>
        <v/>
      </c>
    </row>
    <row r="5">
      <c r="A5" s="3" t="inlineStr">
        <is>
          <t>SG&amp;A</t>
        </is>
      </c>
      <c r="B5" s="4">
        <f>'YTD P&amp;L'!B5</f>
        <v/>
      </c>
      <c r="C5" s="4">
        <f>'YTD P&amp;L'!C5-'YTD P&amp;L'!B5</f>
        <v/>
      </c>
      <c r="D5" s="4">
        <f>'YTD P&amp;L'!D5-'YTD P&amp;L'!C5</f>
        <v/>
      </c>
      <c r="E5" s="4">
        <f>'ANNL P&amp;L'!C5-'YTD P&amp;L'!D5</f>
        <v/>
      </c>
      <c r="F5" s="4">
        <f>'YTD P&amp;L'!E5</f>
        <v/>
      </c>
      <c r="G5" s="4">
        <f>'YTD P&amp;L'!F5-'YTD P&amp;L'!E5</f>
        <v/>
      </c>
      <c r="H5" s="4">
        <f>'YTD P&amp;L'!G5-'YTD P&amp;L'!F5</f>
        <v/>
      </c>
      <c r="I5" s="4">
        <f>'ANNL P&amp;L'!D5-'YTD P&amp;L'!G5</f>
        <v/>
      </c>
      <c r="J5" s="4">
        <f>'YTD P&amp;L'!H5</f>
        <v/>
      </c>
      <c r="K5" s="4">
        <f>'YTD P&amp;L'!I5-'YTD P&amp;L'!H5</f>
        <v/>
      </c>
      <c r="L5" s="4">
        <f>'YTD P&amp;L'!J5-'YTD P&amp;L'!I5</f>
        <v/>
      </c>
      <c r="M5" s="4">
        <f>'ANNL P&amp;L'!E5-'YTD P&amp;L'!J5</f>
        <v/>
      </c>
      <c r="N5" s="4">
        <f>'YTD P&amp;L'!K5</f>
        <v/>
      </c>
      <c r="O5" s="4">
        <f>'YTD P&amp;L'!L5-'YTD P&amp;L'!K5</f>
        <v/>
      </c>
      <c r="P5" s="4">
        <f>'YTD P&amp;L'!M5-'YTD P&amp;L'!L5</f>
        <v/>
      </c>
      <c r="Q5" s="4">
        <f>'ANNL P&amp;L'!F5-'YTD P&amp;L'!M5</f>
        <v/>
      </c>
    </row>
    <row r="6">
      <c r="A6" s="3" t="inlineStr">
        <is>
          <t>Distributor Termination Fees</t>
        </is>
      </c>
      <c r="B6" s="4">
        <f>'YTD P&amp;L'!B6</f>
        <v/>
      </c>
      <c r="C6" s="4">
        <f>'YTD P&amp;L'!C6-'YTD P&amp;L'!B6</f>
        <v/>
      </c>
      <c r="D6" s="4">
        <f>'YTD P&amp;L'!D6-'YTD P&amp;L'!C6</f>
        <v/>
      </c>
      <c r="E6" s="4">
        <f>'ANNL P&amp;L'!C6-'YTD P&amp;L'!D6</f>
        <v/>
      </c>
      <c r="F6" s="4">
        <f>'YTD P&amp;L'!E6</f>
        <v/>
      </c>
      <c r="G6" s="4">
        <f>'YTD P&amp;L'!F6-'YTD P&amp;L'!E6</f>
        <v/>
      </c>
      <c r="H6" s="4">
        <f>'YTD P&amp;L'!G6-'YTD P&amp;L'!F6</f>
        <v/>
      </c>
      <c r="I6" s="4">
        <f>'ANNL P&amp;L'!D6-'YTD P&amp;L'!G6</f>
        <v/>
      </c>
      <c r="J6" s="4">
        <f>'YTD P&amp;L'!H6</f>
        <v/>
      </c>
      <c r="K6" s="4">
        <f>'YTD P&amp;L'!I6-'YTD P&amp;L'!H6</f>
        <v/>
      </c>
      <c r="L6" s="4">
        <f>'YTD P&amp;L'!J6-'YTD P&amp;L'!I6</f>
        <v/>
      </c>
      <c r="M6" s="4">
        <f>'ANNL P&amp;L'!E6-'YTD P&amp;L'!J6</f>
        <v/>
      </c>
      <c r="N6" s="4">
        <f>'YTD P&amp;L'!K6</f>
        <v/>
      </c>
      <c r="O6" s="4">
        <f>'YTD P&amp;L'!L6-'YTD P&amp;L'!K6</f>
        <v/>
      </c>
      <c r="P6" s="4">
        <f>'YTD P&amp;L'!M6-'YTD P&amp;L'!L6</f>
        <v/>
      </c>
      <c r="Q6" s="4">
        <f>'ANNL P&amp;L'!F6-'YTD P&amp;L'!M6</f>
        <v/>
      </c>
    </row>
    <row r="7">
      <c r="A7" s="3" t="inlineStr">
        <is>
          <t>Income (Loss) from Operations</t>
        </is>
      </c>
      <c r="B7" s="6">
        <f>'YTD P&amp;L'!B7</f>
        <v/>
      </c>
      <c r="C7" s="6">
        <f>'YTD P&amp;L'!C7-'YTD P&amp;L'!B7</f>
        <v/>
      </c>
      <c r="D7" s="6">
        <f>'YTD P&amp;L'!D7-'YTD P&amp;L'!C7</f>
        <v/>
      </c>
      <c r="E7" s="6">
        <f>'ANNL P&amp;L'!C7-'YTD P&amp;L'!D7</f>
        <v/>
      </c>
      <c r="F7" s="6">
        <f>'YTD P&amp;L'!E7</f>
        <v/>
      </c>
      <c r="G7" s="6">
        <f>'YTD P&amp;L'!F7-'YTD P&amp;L'!E7</f>
        <v/>
      </c>
      <c r="H7" s="6">
        <f>'YTD P&amp;L'!G7-'YTD P&amp;L'!F7</f>
        <v/>
      </c>
      <c r="I7" s="6">
        <f>'ANNL P&amp;L'!D7-'YTD P&amp;L'!G7</f>
        <v/>
      </c>
      <c r="J7" s="6">
        <f>'YTD P&amp;L'!H7</f>
        <v/>
      </c>
      <c r="K7" s="6">
        <f>'YTD P&amp;L'!I7-'YTD P&amp;L'!H7</f>
        <v/>
      </c>
      <c r="L7" s="6">
        <f>'YTD P&amp;L'!J7-'YTD P&amp;L'!I7</f>
        <v/>
      </c>
      <c r="M7" s="6">
        <f>'ANNL P&amp;L'!E7-'YTD P&amp;L'!J7</f>
        <v/>
      </c>
      <c r="N7" s="6">
        <f>'YTD P&amp;L'!K7</f>
        <v/>
      </c>
      <c r="O7" s="6">
        <f>'YTD P&amp;L'!L7-'YTD P&amp;L'!K7</f>
        <v/>
      </c>
      <c r="P7" s="6">
        <f>'YTD P&amp;L'!M7-'YTD P&amp;L'!L7</f>
        <v/>
      </c>
      <c r="Q7" s="6">
        <f>'ANNL P&amp;L'!F7-'YTD P&amp;L'!M7</f>
        <v/>
      </c>
    </row>
    <row r="8">
      <c r="A8" s="3" t="inlineStr">
        <is>
          <t>Interest Income (Expense)</t>
        </is>
      </c>
      <c r="B8" s="4">
        <f>'YTD P&amp;L'!B8</f>
        <v/>
      </c>
      <c r="C8" s="4">
        <f>'YTD P&amp;L'!C8-'YTD P&amp;L'!B8</f>
        <v/>
      </c>
      <c r="D8" s="4">
        <f>'YTD P&amp;L'!D8-'YTD P&amp;L'!C8</f>
        <v/>
      </c>
      <c r="E8" s="4">
        <f>'ANNL P&amp;L'!C8-'YTD P&amp;L'!D8</f>
        <v/>
      </c>
      <c r="F8" s="4">
        <f>'YTD P&amp;L'!E8</f>
        <v/>
      </c>
      <c r="G8" s="4">
        <f>'YTD P&amp;L'!F8-'YTD P&amp;L'!E8</f>
        <v/>
      </c>
      <c r="H8" s="4">
        <f>'YTD P&amp;L'!G8-'YTD P&amp;L'!F8</f>
        <v/>
      </c>
      <c r="I8" s="4">
        <f>'ANNL P&amp;L'!D8-'YTD P&amp;L'!G8</f>
        <v/>
      </c>
      <c r="J8" s="4">
        <f>'YTD P&amp;L'!H8</f>
        <v/>
      </c>
      <c r="K8" s="4">
        <f>'YTD P&amp;L'!I8-'YTD P&amp;L'!H8</f>
        <v/>
      </c>
      <c r="L8" s="4">
        <f>'YTD P&amp;L'!J8-'YTD P&amp;L'!I8</f>
        <v/>
      </c>
      <c r="M8" s="4">
        <f>'ANNL P&amp;L'!E8-'YTD P&amp;L'!J8</f>
        <v/>
      </c>
      <c r="N8" s="4">
        <f>'YTD P&amp;L'!K8</f>
        <v/>
      </c>
      <c r="O8" s="4">
        <f>'YTD P&amp;L'!L8-'YTD P&amp;L'!K8</f>
        <v/>
      </c>
      <c r="P8" s="4">
        <f>'YTD P&amp;L'!M8-'YTD P&amp;L'!L8</f>
        <v/>
      </c>
      <c r="Q8" s="4">
        <f>'ANNL P&amp;L'!F8-'YTD P&amp;L'!M8</f>
        <v/>
      </c>
    </row>
    <row r="9">
      <c r="A9" s="3" t="inlineStr">
        <is>
          <t>Foreign Currency Gain (Loss)</t>
        </is>
      </c>
      <c r="B9" s="4">
        <f>'YTD P&amp;L'!B9</f>
        <v/>
      </c>
      <c r="C9" s="4">
        <f>'YTD P&amp;L'!C9-'YTD P&amp;L'!B9</f>
        <v/>
      </c>
      <c r="D9" s="4">
        <f>'YTD P&amp;L'!D9-'YTD P&amp;L'!C9</f>
        <v/>
      </c>
      <c r="E9" s="4">
        <f>'ANNL P&amp;L'!C9-'YTD P&amp;L'!D9</f>
        <v/>
      </c>
      <c r="F9" s="4">
        <f>'YTD P&amp;L'!E9</f>
        <v/>
      </c>
      <c r="G9" s="4">
        <f>'YTD P&amp;L'!F9-'YTD P&amp;L'!E9</f>
        <v/>
      </c>
      <c r="H9" s="4">
        <f>'YTD P&amp;L'!G9-'YTD P&amp;L'!F9</f>
        <v/>
      </c>
      <c r="I9" s="4">
        <f>'ANNL P&amp;L'!D9-'YTD P&amp;L'!G9</f>
        <v/>
      </c>
      <c r="J9" s="4">
        <f>'YTD P&amp;L'!H9</f>
        <v/>
      </c>
      <c r="K9" s="4">
        <f>'YTD P&amp;L'!I9-'YTD P&amp;L'!H9</f>
        <v/>
      </c>
      <c r="L9" s="4">
        <f>'YTD P&amp;L'!J9-'YTD P&amp;L'!I9</f>
        <v/>
      </c>
      <c r="M9" s="4">
        <f>'ANNL P&amp;L'!E9-'YTD P&amp;L'!J9</f>
        <v/>
      </c>
      <c r="N9" s="4">
        <f>'YTD P&amp;L'!K9</f>
        <v/>
      </c>
      <c r="O9" s="4">
        <f>'YTD P&amp;L'!L9-'YTD P&amp;L'!K9</f>
        <v/>
      </c>
      <c r="P9" s="4">
        <f>'YTD P&amp;L'!M9-'YTD P&amp;L'!L9</f>
        <v/>
      </c>
      <c r="Q9" s="4">
        <f>'ANNL P&amp;L'!F9-'YTD P&amp;L'!M9</f>
        <v/>
      </c>
    </row>
    <row r="10">
      <c r="A10" s="3" t="inlineStr">
        <is>
          <t>Other Income (Expense)</t>
        </is>
      </c>
      <c r="B10" s="4">
        <f>'YTD P&amp;L'!B10</f>
        <v/>
      </c>
      <c r="C10" s="4">
        <f>'YTD P&amp;L'!C10-'YTD P&amp;L'!B10</f>
        <v/>
      </c>
      <c r="D10" s="4">
        <f>'YTD P&amp;L'!D10-'YTD P&amp;L'!C10</f>
        <v/>
      </c>
      <c r="E10" s="4">
        <f>'ANNL P&amp;L'!C10-'YTD P&amp;L'!D10</f>
        <v/>
      </c>
      <c r="F10" s="4">
        <f>'YTD P&amp;L'!E10</f>
        <v/>
      </c>
      <c r="G10" s="4">
        <f>'YTD P&amp;L'!F10-'YTD P&amp;L'!E10</f>
        <v/>
      </c>
      <c r="H10" s="4">
        <f>'YTD P&amp;L'!G10-'YTD P&amp;L'!F10</f>
        <v/>
      </c>
      <c r="I10" s="4">
        <f>'ANNL P&amp;L'!D10-'YTD P&amp;L'!G10</f>
        <v/>
      </c>
      <c r="J10" s="4">
        <f>'YTD P&amp;L'!H10</f>
        <v/>
      </c>
      <c r="K10" s="4">
        <f>'YTD P&amp;L'!I10-'YTD P&amp;L'!H10</f>
        <v/>
      </c>
      <c r="L10" s="4">
        <f>'YTD P&amp;L'!J10-'YTD P&amp;L'!I10</f>
        <v/>
      </c>
      <c r="M10" s="4">
        <f>'ANNL P&amp;L'!E10-'YTD P&amp;L'!J10</f>
        <v/>
      </c>
      <c r="N10" s="4">
        <f>'YTD P&amp;L'!K10</f>
        <v/>
      </c>
      <c r="O10" s="4">
        <f>'YTD P&amp;L'!L10-'YTD P&amp;L'!K10</f>
        <v/>
      </c>
      <c r="P10" s="4">
        <f>'YTD P&amp;L'!M10-'YTD P&amp;L'!L10</f>
        <v/>
      </c>
      <c r="Q10" s="4">
        <f>'ANNL P&amp;L'!F10-'YTD P&amp;L'!M10</f>
        <v/>
      </c>
    </row>
    <row r="11">
      <c r="A11" s="3" t="inlineStr">
        <is>
          <t>Pre-Tax Income (Loss)</t>
        </is>
      </c>
      <c r="B11" s="6">
        <f>'YTD P&amp;L'!B11</f>
        <v/>
      </c>
      <c r="C11" s="6">
        <f>'YTD P&amp;L'!C11-'YTD P&amp;L'!B11</f>
        <v/>
      </c>
      <c r="D11" s="6">
        <f>'YTD P&amp;L'!D11-'YTD P&amp;L'!C11</f>
        <v/>
      </c>
      <c r="E11" s="6">
        <f>'ANNL P&amp;L'!C11-'YTD P&amp;L'!D11</f>
        <v/>
      </c>
      <c r="F11" s="6">
        <f>'YTD P&amp;L'!E11</f>
        <v/>
      </c>
      <c r="G11" s="6">
        <f>'YTD P&amp;L'!F11-'YTD P&amp;L'!E11</f>
        <v/>
      </c>
      <c r="H11" s="6">
        <f>'YTD P&amp;L'!G11-'YTD P&amp;L'!F11</f>
        <v/>
      </c>
      <c r="I11" s="6">
        <f>'ANNL P&amp;L'!D11-'YTD P&amp;L'!G11</f>
        <v/>
      </c>
      <c r="J11" s="6">
        <f>'YTD P&amp;L'!H11</f>
        <v/>
      </c>
      <c r="K11" s="6">
        <f>'YTD P&amp;L'!I11-'YTD P&amp;L'!H11</f>
        <v/>
      </c>
      <c r="L11" s="6">
        <f>'YTD P&amp;L'!J11-'YTD P&amp;L'!I11</f>
        <v/>
      </c>
      <c r="M11" s="6">
        <f>'ANNL P&amp;L'!E11-'YTD P&amp;L'!J11</f>
        <v/>
      </c>
      <c r="N11" s="6">
        <f>'YTD P&amp;L'!K11</f>
        <v/>
      </c>
      <c r="O11" s="6">
        <f>'YTD P&amp;L'!L11-'YTD P&amp;L'!K11</f>
        <v/>
      </c>
      <c r="P11" s="6">
        <f>'YTD P&amp;L'!M11-'YTD P&amp;L'!L11</f>
        <v/>
      </c>
      <c r="Q11" s="6">
        <f>'ANNL P&amp;L'!F11-'YTD P&amp;L'!M11</f>
        <v/>
      </c>
    </row>
    <row r="12">
      <c r="A12" s="3" t="inlineStr">
        <is>
          <t>Income Tax (Expense) Benefit</t>
        </is>
      </c>
      <c r="B12" s="4">
        <f>'YTD P&amp;L'!B12</f>
        <v/>
      </c>
      <c r="C12" s="4">
        <f>'YTD P&amp;L'!C12-'YTD P&amp;L'!B12</f>
        <v/>
      </c>
      <c r="D12" s="4">
        <f>'YTD P&amp;L'!D12-'YTD P&amp;L'!C12</f>
        <v/>
      </c>
      <c r="E12" s="4">
        <f>'ANNL P&amp;L'!C12-'YTD P&amp;L'!D12</f>
        <v/>
      </c>
      <c r="F12" s="4">
        <f>'YTD P&amp;L'!E12</f>
        <v/>
      </c>
      <c r="G12" s="4">
        <f>'YTD P&amp;L'!F12-'YTD P&amp;L'!E12</f>
        <v/>
      </c>
      <c r="H12" s="4">
        <f>'YTD P&amp;L'!G12-'YTD P&amp;L'!F12</f>
        <v/>
      </c>
      <c r="I12" s="4">
        <f>'ANNL P&amp;L'!D12-'YTD P&amp;L'!G12</f>
        <v/>
      </c>
      <c r="J12" s="4">
        <f>'YTD P&amp;L'!H12</f>
        <v/>
      </c>
      <c r="K12" s="4">
        <f>'YTD P&amp;L'!I12-'YTD P&amp;L'!H12</f>
        <v/>
      </c>
      <c r="L12" s="4">
        <f>'YTD P&amp;L'!J12-'YTD P&amp;L'!I12</f>
        <v/>
      </c>
      <c r="M12" s="4">
        <f>'ANNL P&amp;L'!E12-'YTD P&amp;L'!J12</f>
        <v/>
      </c>
      <c r="N12" s="4">
        <f>'YTD P&amp;L'!K12</f>
        <v/>
      </c>
      <c r="O12" s="4">
        <f>'YTD P&amp;L'!L12-'YTD P&amp;L'!K12</f>
        <v/>
      </c>
      <c r="P12" s="4">
        <f>'YTD P&amp;L'!M12-'YTD P&amp;L'!L12</f>
        <v/>
      </c>
      <c r="Q12" s="4">
        <f>'ANNL P&amp;L'!F12-'YTD P&amp;L'!M12</f>
        <v/>
      </c>
    </row>
    <row r="13">
      <c r="A13" s="3" t="inlineStr">
        <is>
          <t>Net Income (Loss)</t>
        </is>
      </c>
      <c r="B13" s="6">
        <f>'YTD P&amp;L'!B13</f>
        <v/>
      </c>
      <c r="C13" s="6">
        <f>'YTD P&amp;L'!C13-'YTD P&amp;L'!B13</f>
        <v/>
      </c>
      <c r="D13" s="6">
        <f>'YTD P&amp;L'!D13-'YTD P&amp;L'!C13</f>
        <v/>
      </c>
      <c r="E13" s="6">
        <f>'ANNL P&amp;L'!C13-'YTD P&amp;L'!D13</f>
        <v/>
      </c>
      <c r="F13" s="6">
        <f>'YTD P&amp;L'!E13</f>
        <v/>
      </c>
      <c r="G13" s="6">
        <f>'YTD P&amp;L'!F13-'YTD P&amp;L'!E13</f>
        <v/>
      </c>
      <c r="H13" s="6">
        <f>'YTD P&amp;L'!G13-'YTD P&amp;L'!F13</f>
        <v/>
      </c>
      <c r="I13" s="6">
        <f>'ANNL P&amp;L'!D13-'YTD P&amp;L'!G13</f>
        <v/>
      </c>
      <c r="J13" s="6">
        <f>'YTD P&amp;L'!H13</f>
        <v/>
      </c>
      <c r="K13" s="6">
        <f>'YTD P&amp;L'!I13-'YTD P&amp;L'!H13</f>
        <v/>
      </c>
      <c r="L13" s="6">
        <f>'YTD P&amp;L'!J13-'YTD P&amp;L'!I13</f>
        <v/>
      </c>
      <c r="M13" s="6">
        <f>'ANNL P&amp;L'!E13-'YTD P&amp;L'!J13</f>
        <v/>
      </c>
      <c r="N13" s="6">
        <f>'YTD P&amp;L'!K13</f>
        <v/>
      </c>
      <c r="O13" s="6">
        <f>'YTD P&amp;L'!L13-'YTD P&amp;L'!K13</f>
        <v/>
      </c>
      <c r="P13" s="6">
        <f>'YTD P&amp;L'!M13-'YTD P&amp;L'!L13</f>
        <v/>
      </c>
      <c r="Q13" s="6">
        <f>'ANNL P&amp;L'!F13-'YTD P&amp;L'!M13</f>
        <v/>
      </c>
    </row>
    <row r="14">
      <c r="A14" s="3" t="inlineStr">
        <is>
          <t>Preferred Dividends</t>
        </is>
      </c>
      <c r="B14" s="4">
        <f>'YTD P&amp;L'!B14</f>
        <v/>
      </c>
      <c r="C14" s="4">
        <f>'YTD P&amp;L'!C14-'YTD P&amp;L'!B14</f>
        <v/>
      </c>
      <c r="D14" s="4">
        <f>'YTD P&amp;L'!D14-'YTD P&amp;L'!C14</f>
        <v/>
      </c>
      <c r="E14" s="4">
        <f>'ANNL P&amp;L'!C14-'YTD P&amp;L'!D14</f>
        <v/>
      </c>
      <c r="F14" s="4">
        <f>'YTD P&amp;L'!E14</f>
        <v/>
      </c>
      <c r="G14" s="4">
        <f>'YTD P&amp;L'!F14-'YTD P&amp;L'!E14</f>
        <v/>
      </c>
      <c r="H14" s="4">
        <f>'YTD P&amp;L'!G14-'YTD P&amp;L'!F14</f>
        <v/>
      </c>
      <c r="I14" s="4">
        <f>'ANNL P&amp;L'!D14-'YTD P&amp;L'!G14</f>
        <v/>
      </c>
      <c r="J14" s="4">
        <f>'YTD P&amp;L'!H14</f>
        <v/>
      </c>
      <c r="K14" s="4">
        <f>'YTD P&amp;L'!I14-'YTD P&amp;L'!H14</f>
        <v/>
      </c>
      <c r="L14" s="4">
        <f>'YTD P&amp;L'!J14-'YTD P&amp;L'!I14</f>
        <v/>
      </c>
      <c r="M14" s="4">
        <f>'ANNL P&amp;L'!E14-'YTD P&amp;L'!J14</f>
        <v/>
      </c>
      <c r="N14" s="4">
        <f>'YTD P&amp;L'!K14</f>
        <v/>
      </c>
      <c r="O14" s="4">
        <f>'YTD P&amp;L'!L14-'YTD P&amp;L'!K14</f>
        <v/>
      </c>
      <c r="P14" s="4">
        <f>'YTD P&amp;L'!M14-'YTD P&amp;L'!L14</f>
        <v/>
      </c>
      <c r="Q14" s="4">
        <f>'ANNL P&amp;L'!F14-'YTD P&amp;L'!M14</f>
        <v/>
      </c>
    </row>
    <row r="15">
      <c r="A15" s="3" t="inlineStr">
        <is>
          <t>Income Allocated to Participating Preferred</t>
        </is>
      </c>
      <c r="B15" s="4">
        <f>'YTD P&amp;L'!B15</f>
        <v/>
      </c>
      <c r="C15" s="4">
        <f>'YTD P&amp;L'!C15-'YTD P&amp;L'!B15</f>
        <v/>
      </c>
      <c r="D15" s="4">
        <f>'YTD P&amp;L'!D15-'YTD P&amp;L'!C15</f>
        <v/>
      </c>
      <c r="E15" s="4">
        <f>'ANNL P&amp;L'!C15-'YTD P&amp;L'!D15</f>
        <v/>
      </c>
      <c r="F15" s="4">
        <f>'YTD P&amp;L'!E15</f>
        <v/>
      </c>
      <c r="G15" s="4">
        <f>'YTD P&amp;L'!F15-'YTD P&amp;L'!E15</f>
        <v/>
      </c>
      <c r="H15" s="4">
        <f>'YTD P&amp;L'!G15-'YTD P&amp;L'!F15</f>
        <v/>
      </c>
      <c r="I15" s="4">
        <f>'ANNL P&amp;L'!D15-'YTD P&amp;L'!G15</f>
        <v/>
      </c>
      <c r="J15" s="4">
        <f>'YTD P&amp;L'!H15</f>
        <v/>
      </c>
      <c r="K15" s="4">
        <f>'YTD P&amp;L'!I15-'YTD P&amp;L'!H15</f>
        <v/>
      </c>
      <c r="L15" s="4">
        <f>'YTD P&amp;L'!J15-'YTD P&amp;L'!I15</f>
        <v/>
      </c>
      <c r="M15" s="4">
        <f>'ANNL P&amp;L'!E15-'YTD P&amp;L'!J15</f>
        <v/>
      </c>
      <c r="N15" s="4">
        <f>'YTD P&amp;L'!K15</f>
        <v/>
      </c>
      <c r="O15" s="4">
        <f>'YTD P&amp;L'!L15-'YTD P&amp;L'!K15</f>
        <v/>
      </c>
      <c r="P15" s="4">
        <f>'YTD P&amp;L'!M15-'YTD P&amp;L'!L15</f>
        <v/>
      </c>
      <c r="Q15" s="4">
        <f>'ANNL P&amp;L'!F15-'YTD P&amp;L'!M15</f>
        <v/>
      </c>
    </row>
    <row r="16">
      <c r="A16" s="3" t="inlineStr">
        <is>
          <t>Net Income (Loss) Attributable to Common Shareholders</t>
        </is>
      </c>
      <c r="B16" s="6">
        <f>'YTD P&amp;L'!B16</f>
        <v/>
      </c>
      <c r="C16" s="6">
        <f>'YTD P&amp;L'!C16-'YTD P&amp;L'!B16</f>
        <v/>
      </c>
      <c r="D16" s="6">
        <f>'YTD P&amp;L'!D16-'YTD P&amp;L'!C16</f>
        <v/>
      </c>
      <c r="E16" s="6">
        <f>'ANNL P&amp;L'!C16-'YTD P&amp;L'!D16</f>
        <v/>
      </c>
      <c r="F16" s="6">
        <f>'YTD P&amp;L'!E16</f>
        <v/>
      </c>
      <c r="G16" s="6">
        <f>'YTD P&amp;L'!F16-'YTD P&amp;L'!E16</f>
        <v/>
      </c>
      <c r="H16" s="6">
        <f>'YTD P&amp;L'!G16-'YTD P&amp;L'!F16</f>
        <v/>
      </c>
      <c r="I16" s="6">
        <f>'ANNL P&amp;L'!D16-'YTD P&amp;L'!G16</f>
        <v/>
      </c>
      <c r="J16" s="6">
        <f>'YTD P&amp;L'!H16</f>
        <v/>
      </c>
      <c r="K16" s="6">
        <f>'YTD P&amp;L'!I16-'YTD P&amp;L'!H16</f>
        <v/>
      </c>
      <c r="L16" s="6">
        <f>'YTD P&amp;L'!J16-'YTD P&amp;L'!I16</f>
        <v/>
      </c>
      <c r="M16" s="6">
        <f>'ANNL P&amp;L'!E16-'YTD P&amp;L'!J16</f>
        <v/>
      </c>
      <c r="N16" s="6">
        <f>'YTD P&amp;L'!K16</f>
        <v/>
      </c>
      <c r="O16" s="6">
        <f>'YTD P&amp;L'!L16-'YTD P&amp;L'!K16</f>
        <v/>
      </c>
      <c r="P16" s="6">
        <f>'YTD P&amp;L'!M16-'YTD P&amp;L'!L16</f>
        <v/>
      </c>
      <c r="Q16" s="6">
        <f>'ANNL P&amp;L'!F16-'YTD P&amp;L'!M16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</row>
    <row r="2">
      <c r="A2" s="3" t="inlineStr">
        <is>
          <t>Cash &amp; Cash Equivalents</t>
        </is>
      </c>
      <c r="B2" s="4">
        <f>'BALANCE SHEET'!B2</f>
        <v/>
      </c>
      <c r="C2" s="4">
        <f>'YTD BS'!C2</f>
        <v/>
      </c>
      <c r="D2" s="4">
        <f>'YTD BS'!D2</f>
        <v/>
      </c>
      <c r="E2" s="4">
        <f>'YTD BS'!E2</f>
        <v/>
      </c>
      <c r="F2" s="4">
        <f>'BALANCE SHEET'!C2</f>
        <v/>
      </c>
      <c r="G2" s="4">
        <f>'YTD BS'!G2</f>
        <v/>
      </c>
      <c r="H2" s="4">
        <f>'YTD BS'!H2</f>
        <v/>
      </c>
      <c r="I2" s="4">
        <f>'YTD BS'!I2</f>
        <v/>
      </c>
      <c r="J2" s="4">
        <f>'BALANCE SHEET'!D2</f>
        <v/>
      </c>
      <c r="K2" s="4">
        <f>'YTD BS'!K2</f>
        <v/>
      </c>
      <c r="L2" s="4">
        <f>'YTD BS'!L2</f>
        <v/>
      </c>
      <c r="M2" s="4">
        <f>'YTD BS'!M2</f>
        <v/>
      </c>
      <c r="N2" s="4">
        <f>'BALANCE SHEET'!E2</f>
        <v/>
      </c>
    </row>
    <row r="3">
      <c r="A3" s="3" t="inlineStr">
        <is>
          <t>Restricted Cash</t>
        </is>
      </c>
      <c r="B3" s="4">
        <f>'BALANCE SHEET'!B3</f>
        <v/>
      </c>
      <c r="C3" s="4">
        <f>'YTD BS'!C3</f>
        <v/>
      </c>
      <c r="D3" s="4">
        <f>'YTD BS'!D3</f>
        <v/>
      </c>
      <c r="E3" s="4">
        <f>'YTD BS'!E3</f>
        <v/>
      </c>
      <c r="F3" s="4">
        <f>'BALANCE SHEET'!C3</f>
        <v/>
      </c>
      <c r="G3" s="4">
        <f>'YTD BS'!G3</f>
        <v/>
      </c>
      <c r="H3" s="4">
        <f>'YTD BS'!H3</f>
        <v/>
      </c>
      <c r="I3" s="4">
        <f>'YTD BS'!I3</f>
        <v/>
      </c>
      <c r="J3" s="4">
        <f>'BALANCE SHEET'!D3</f>
        <v/>
      </c>
      <c r="K3" s="4">
        <f>'YTD BS'!K3</f>
        <v/>
      </c>
      <c r="L3" s="4">
        <f>'YTD BS'!L3</f>
        <v/>
      </c>
      <c r="M3" s="4">
        <f>'YTD BS'!M3</f>
        <v/>
      </c>
      <c r="N3" s="4">
        <f>'BALANCE SHEET'!E3</f>
        <v/>
      </c>
    </row>
    <row r="4">
      <c r="A4" s="3" t="inlineStr">
        <is>
          <t>Accounts Receivable</t>
        </is>
      </c>
      <c r="B4" s="4">
        <f>'BALANCE SHEET'!B4</f>
        <v/>
      </c>
      <c r="C4" s="4">
        <f>'YTD BS'!C4</f>
        <v/>
      </c>
      <c r="D4" s="4">
        <f>'YTD BS'!D4</f>
        <v/>
      </c>
      <c r="E4" s="4">
        <f>'YTD BS'!E4</f>
        <v/>
      </c>
      <c r="F4" s="4">
        <f>'BALANCE SHEET'!C4</f>
        <v/>
      </c>
      <c r="G4" s="4">
        <f>'YTD BS'!G4</f>
        <v/>
      </c>
      <c r="H4" s="4">
        <f>'YTD BS'!H4</f>
        <v/>
      </c>
      <c r="I4" s="4">
        <f>'YTD BS'!I4</f>
        <v/>
      </c>
      <c r="J4" s="4">
        <f>'BALANCE SHEET'!D4</f>
        <v/>
      </c>
      <c r="K4" s="4">
        <f>'YTD BS'!K4</f>
        <v/>
      </c>
      <c r="L4" s="4">
        <f>'YTD BS'!L4</f>
        <v/>
      </c>
      <c r="M4" s="4">
        <f>'YTD BS'!M4</f>
        <v/>
      </c>
      <c r="N4" s="4">
        <f>'BALANCE SHEET'!E4</f>
        <v/>
      </c>
    </row>
    <row r="5">
      <c r="A5" s="3" t="inlineStr">
        <is>
          <t>Note Receivable - Current</t>
        </is>
      </c>
      <c r="B5" s="4">
        <f>'BALANCE SHEET'!B5</f>
        <v/>
      </c>
      <c r="C5" s="4">
        <f>'YTD BS'!C5</f>
        <v/>
      </c>
      <c r="D5" s="4">
        <f>'YTD BS'!D5</f>
        <v/>
      </c>
      <c r="E5" s="4">
        <f>'YTD BS'!E5</f>
        <v/>
      </c>
      <c r="F5" s="4">
        <f>'BALANCE SHEET'!C5</f>
        <v/>
      </c>
      <c r="G5" s="4">
        <f>'YTD BS'!G5</f>
        <v/>
      </c>
      <c r="H5" s="4">
        <f>'YTD BS'!H5</f>
        <v/>
      </c>
      <c r="I5" s="4">
        <f>'YTD BS'!I5</f>
        <v/>
      </c>
      <c r="J5" s="4">
        <f>'BALANCE SHEET'!D5</f>
        <v/>
      </c>
      <c r="K5" s="4">
        <f>'YTD BS'!K5</f>
        <v/>
      </c>
      <c r="L5" s="4">
        <f>'YTD BS'!L5</f>
        <v/>
      </c>
      <c r="M5" s="4">
        <f>'YTD BS'!M5</f>
        <v/>
      </c>
      <c r="N5" s="4">
        <f>'BALANCE SHEET'!E5</f>
        <v/>
      </c>
    </row>
    <row r="6">
      <c r="A6" s="3" t="inlineStr">
        <is>
          <t>Inventories</t>
        </is>
      </c>
      <c r="B6" s="4">
        <f>'BALANCE SHEET'!B6</f>
        <v/>
      </c>
      <c r="C6" s="4">
        <f>'YTD BS'!C6</f>
        <v/>
      </c>
      <c r="D6" s="4">
        <f>'YTD BS'!D6</f>
        <v/>
      </c>
      <c r="E6" s="4">
        <f>'YTD BS'!E6</f>
        <v/>
      </c>
      <c r="F6" s="4">
        <f>'BALANCE SHEET'!C6</f>
        <v/>
      </c>
      <c r="G6" s="4">
        <f>'YTD BS'!G6</f>
        <v/>
      </c>
      <c r="H6" s="4">
        <f>'YTD BS'!H6</f>
        <v/>
      </c>
      <c r="I6" s="4">
        <f>'YTD BS'!I6</f>
        <v/>
      </c>
      <c r="J6" s="4">
        <f>'BALANCE SHEET'!D6</f>
        <v/>
      </c>
      <c r="K6" s="4">
        <f>'YTD BS'!K6</f>
        <v/>
      </c>
      <c r="L6" s="4">
        <f>'YTD BS'!L6</f>
        <v/>
      </c>
      <c r="M6" s="4">
        <f>'YTD BS'!M6</f>
        <v/>
      </c>
      <c r="N6" s="4">
        <f>'BALANCE SHEET'!E6</f>
        <v/>
      </c>
    </row>
    <row r="7">
      <c r="A7" s="3" t="inlineStr">
        <is>
          <t>Prepaid Expenses</t>
        </is>
      </c>
      <c r="B7" s="4">
        <f>'BALANCE SHEET'!B7</f>
        <v/>
      </c>
      <c r="C7" s="4">
        <f>'YTD BS'!C7</f>
        <v/>
      </c>
      <c r="D7" s="4">
        <f>'YTD BS'!D7</f>
        <v/>
      </c>
      <c r="E7" s="4">
        <f>'YTD BS'!E7</f>
        <v/>
      </c>
      <c r="F7" s="4">
        <f>'BALANCE SHEET'!C7</f>
        <v/>
      </c>
      <c r="G7" s="4">
        <f>'YTD BS'!G7</f>
        <v/>
      </c>
      <c r="H7" s="4">
        <f>'YTD BS'!H7</f>
        <v/>
      </c>
      <c r="I7" s="4">
        <f>'YTD BS'!I7</f>
        <v/>
      </c>
      <c r="J7" s="4">
        <f>'BALANCE SHEET'!D7</f>
        <v/>
      </c>
      <c r="K7" s="4">
        <f>'YTD BS'!K7</f>
        <v/>
      </c>
      <c r="L7" s="4">
        <f>'YTD BS'!L7</f>
        <v/>
      </c>
      <c r="M7" s="4">
        <f>'YTD BS'!M7</f>
        <v/>
      </c>
      <c r="N7" s="4">
        <f>'BALANCE SHEET'!E7</f>
        <v/>
      </c>
    </row>
    <row r="8">
      <c r="A8" s="3" t="inlineStr">
        <is>
          <t>Deferred Other Costs - Current</t>
        </is>
      </c>
      <c r="B8" s="4">
        <f>'BALANCE SHEET'!B8</f>
        <v/>
      </c>
      <c r="C8" s="4">
        <f>'YTD BS'!C8</f>
        <v/>
      </c>
      <c r="D8" s="4">
        <f>'YTD BS'!D8</f>
        <v/>
      </c>
      <c r="E8" s="4">
        <f>'YTD BS'!E8</f>
        <v/>
      </c>
      <c r="F8" s="4">
        <f>'BALANCE SHEET'!C8</f>
        <v/>
      </c>
      <c r="G8" s="4">
        <f>'YTD BS'!G8</f>
        <v/>
      </c>
      <c r="H8" s="4">
        <f>'YTD BS'!H8</f>
        <v/>
      </c>
      <c r="I8" s="4">
        <f>'YTD BS'!I8</f>
        <v/>
      </c>
      <c r="J8" s="4">
        <f>'BALANCE SHEET'!D8</f>
        <v/>
      </c>
      <c r="K8" s="4">
        <f>'YTD BS'!K8</f>
        <v/>
      </c>
      <c r="L8" s="4">
        <f>'YTD BS'!L8</f>
        <v/>
      </c>
      <c r="M8" s="4">
        <f>'YTD BS'!M8</f>
        <v/>
      </c>
      <c r="N8" s="4">
        <f>'BALANCE SHEET'!E8</f>
        <v/>
      </c>
    </row>
    <row r="9">
      <c r="A9" s="3" t="inlineStr">
        <is>
          <t>Total Current Assets</t>
        </is>
      </c>
      <c r="B9" s="6">
        <f>'BALANCE SHEET'!B9</f>
        <v/>
      </c>
      <c r="C9" s="6">
        <f>'YTD BS'!C9</f>
        <v/>
      </c>
      <c r="D9" s="6">
        <f>'YTD BS'!D9</f>
        <v/>
      </c>
      <c r="E9" s="6">
        <f>'YTD BS'!E9</f>
        <v/>
      </c>
      <c r="F9" s="6">
        <f>'BALANCE SHEET'!C9</f>
        <v/>
      </c>
      <c r="G9" s="6">
        <f>'YTD BS'!G9</f>
        <v/>
      </c>
      <c r="H9" s="6">
        <f>'YTD BS'!H9</f>
        <v/>
      </c>
      <c r="I9" s="6">
        <f>'YTD BS'!I9</f>
        <v/>
      </c>
      <c r="J9" s="6">
        <f>'BALANCE SHEET'!D9</f>
        <v/>
      </c>
      <c r="K9" s="6">
        <f>'YTD BS'!K9</f>
        <v/>
      </c>
      <c r="L9" s="6">
        <f>'YTD BS'!L9</f>
        <v/>
      </c>
      <c r="M9" s="6">
        <f>'YTD BS'!M9</f>
        <v/>
      </c>
      <c r="N9" s="6">
        <f>'BALANCE SHEET'!E9</f>
        <v/>
      </c>
    </row>
    <row r="10">
      <c r="A10" s="3" t="inlineStr">
        <is>
          <t>Note Receivable - Non-Current</t>
        </is>
      </c>
      <c r="B10" s="4">
        <f>'BALANCE SHEET'!B10</f>
        <v/>
      </c>
      <c r="C10" s="4">
        <f>'YTD BS'!C10</f>
        <v/>
      </c>
      <c r="D10" s="4">
        <f>'YTD BS'!D10</f>
        <v/>
      </c>
      <c r="E10" s="4">
        <f>'YTD BS'!E10</f>
        <v/>
      </c>
      <c r="F10" s="4">
        <f>'BALANCE SHEET'!C10</f>
        <v/>
      </c>
      <c r="G10" s="4">
        <f>'YTD BS'!G10</f>
        <v/>
      </c>
      <c r="H10" s="4">
        <f>'YTD BS'!H10</f>
        <v/>
      </c>
      <c r="I10" s="4">
        <f>'YTD BS'!I10</f>
        <v/>
      </c>
      <c r="J10" s="4">
        <f>'BALANCE SHEET'!D10</f>
        <v/>
      </c>
      <c r="K10" s="4">
        <f>'YTD BS'!K10</f>
        <v/>
      </c>
      <c r="L10" s="4">
        <f>'YTD BS'!L10</f>
        <v/>
      </c>
      <c r="M10" s="4">
        <f>'YTD BS'!M10</f>
        <v/>
      </c>
      <c r="N10" s="4">
        <f>'BALANCE SHEET'!E10</f>
        <v/>
      </c>
    </row>
    <row r="11">
      <c r="A11" s="3" t="inlineStr">
        <is>
          <t>Net PP&amp;E</t>
        </is>
      </c>
      <c r="B11" s="4">
        <f>'BALANCE SHEET'!B11</f>
        <v/>
      </c>
      <c r="C11" s="4">
        <f>'YTD BS'!C11</f>
        <v/>
      </c>
      <c r="D11" s="4">
        <f>'YTD BS'!D11</f>
        <v/>
      </c>
      <c r="E11" s="4">
        <f>'YTD BS'!E11</f>
        <v/>
      </c>
      <c r="F11" s="4">
        <f>'BALANCE SHEET'!C11</f>
        <v/>
      </c>
      <c r="G11" s="4">
        <f>'YTD BS'!G11</f>
        <v/>
      </c>
      <c r="H11" s="4">
        <f>'YTD BS'!H11</f>
        <v/>
      </c>
      <c r="I11" s="4">
        <f>'YTD BS'!I11</f>
        <v/>
      </c>
      <c r="J11" s="4">
        <f>'BALANCE SHEET'!D11</f>
        <v/>
      </c>
      <c r="K11" s="4">
        <f>'YTD BS'!K11</f>
        <v/>
      </c>
      <c r="L11" s="4">
        <f>'YTD BS'!L11</f>
        <v/>
      </c>
      <c r="M11" s="4">
        <f>'YTD BS'!M11</f>
        <v/>
      </c>
      <c r="N11" s="4">
        <f>'BALANCE SHEET'!E11</f>
        <v/>
      </c>
    </row>
    <row r="12">
      <c r="A12" s="3" t="inlineStr">
        <is>
          <t>ROU Assets - Operating - Non-Current</t>
        </is>
      </c>
      <c r="B12" s="4">
        <f>'BALANCE SHEET'!B12</f>
        <v/>
      </c>
      <c r="C12" s="4">
        <f>'YTD BS'!C12</f>
        <v/>
      </c>
      <c r="D12" s="4">
        <f>'YTD BS'!D12</f>
        <v/>
      </c>
      <c r="E12" s="4">
        <f>'YTD BS'!E12</f>
        <v/>
      </c>
      <c r="F12" s="4">
        <f>'BALANCE SHEET'!C12</f>
        <v/>
      </c>
      <c r="G12" s="4">
        <f>'YTD BS'!G12</f>
        <v/>
      </c>
      <c r="H12" s="4">
        <f>'YTD BS'!H12</f>
        <v/>
      </c>
      <c r="I12" s="4">
        <f>'YTD BS'!I12</f>
        <v/>
      </c>
      <c r="J12" s="4">
        <f>'BALANCE SHEET'!D12</f>
        <v/>
      </c>
      <c r="K12" s="4">
        <f>'YTD BS'!K12</f>
        <v/>
      </c>
      <c r="L12" s="4">
        <f>'YTD BS'!L12</f>
        <v/>
      </c>
      <c r="M12" s="4">
        <f>'YTD BS'!M12</f>
        <v/>
      </c>
      <c r="N12" s="4">
        <f>'BALANCE SHEET'!E12</f>
        <v/>
      </c>
    </row>
    <row r="13">
      <c r="A13" s="3" t="inlineStr">
        <is>
          <t>Intangible Assets</t>
        </is>
      </c>
      <c r="B13" s="4">
        <f>'BALANCE SHEET'!B14</f>
        <v/>
      </c>
      <c r="C13" s="4">
        <f>'YTD BS'!C13</f>
        <v/>
      </c>
      <c r="D13" s="4">
        <f>'YTD BS'!D13</f>
        <v/>
      </c>
      <c r="E13" s="4">
        <f>'YTD BS'!E13</f>
        <v/>
      </c>
      <c r="F13" s="4">
        <f>'BALANCE SHEET'!C14</f>
        <v/>
      </c>
      <c r="G13" s="4">
        <f>'YTD BS'!G13</f>
        <v/>
      </c>
      <c r="H13" s="4">
        <f>'YTD BS'!H13</f>
        <v/>
      </c>
      <c r="I13" s="4">
        <f>'YTD BS'!I13</f>
        <v/>
      </c>
      <c r="J13" s="4">
        <f>'BALANCE SHEET'!D14</f>
        <v/>
      </c>
      <c r="K13" s="4">
        <f>'YTD BS'!K13</f>
        <v/>
      </c>
      <c r="L13" s="4">
        <f>'YTD BS'!L13</f>
        <v/>
      </c>
      <c r="M13" s="4">
        <f>'YTD BS'!M13</f>
        <v/>
      </c>
      <c r="N13" s="4">
        <f>'BALANCE SHEET'!E14</f>
        <v/>
      </c>
    </row>
    <row r="14">
      <c r="A14" s="3" t="inlineStr">
        <is>
          <t>Goodwill</t>
        </is>
      </c>
      <c r="B14" s="4">
        <f>'BALANCE SHEET'!B15</f>
        <v/>
      </c>
      <c r="C14" s="4">
        <f>'YTD BS'!C14</f>
        <v/>
      </c>
      <c r="D14" s="4">
        <f>'YTD BS'!D14</f>
        <v/>
      </c>
      <c r="E14" s="4">
        <f>'YTD BS'!E14</f>
        <v/>
      </c>
      <c r="F14" s="4">
        <f>'BALANCE SHEET'!C15</f>
        <v/>
      </c>
      <c r="G14" s="4">
        <f>'YTD BS'!G14</f>
        <v/>
      </c>
      <c r="H14" s="4">
        <f>'YTD BS'!H14</f>
        <v/>
      </c>
      <c r="I14" s="4">
        <f>'YTD BS'!I14</f>
        <v/>
      </c>
      <c r="J14" s="4">
        <f>'BALANCE SHEET'!D15</f>
        <v/>
      </c>
      <c r="K14" s="4">
        <f>'YTD BS'!K14</f>
        <v/>
      </c>
      <c r="L14" s="4">
        <f>'YTD BS'!L14</f>
        <v/>
      </c>
      <c r="M14" s="4">
        <f>'YTD BS'!M14</f>
        <v/>
      </c>
      <c r="N14" s="4">
        <f>'BALANCE SHEET'!E15</f>
        <v/>
      </c>
    </row>
    <row r="15">
      <c r="A15" s="3" t="inlineStr">
        <is>
          <t>Deferred Other Costs - Non-Current</t>
        </is>
      </c>
      <c r="B15" s="4">
        <f>'BALANCE SHEET'!B16</f>
        <v/>
      </c>
      <c r="C15" s="4">
        <f>'YTD BS'!C15</f>
        <v/>
      </c>
      <c r="D15" s="4">
        <f>'YTD BS'!D15</f>
        <v/>
      </c>
      <c r="E15" s="4">
        <f>'YTD BS'!E15</f>
        <v/>
      </c>
      <c r="F15" s="4">
        <f>'BALANCE SHEET'!C16</f>
        <v/>
      </c>
      <c r="G15" s="4">
        <f>'YTD BS'!G15</f>
        <v/>
      </c>
      <c r="H15" s="4">
        <f>'YTD BS'!H15</f>
        <v/>
      </c>
      <c r="I15" s="4">
        <f>'YTD BS'!I15</f>
        <v/>
      </c>
      <c r="J15" s="4">
        <f>'BALANCE SHEET'!D16</f>
        <v/>
      </c>
      <c r="K15" s="4">
        <f>'YTD BS'!K15</f>
        <v/>
      </c>
      <c r="L15" s="4">
        <f>'YTD BS'!L15</f>
        <v/>
      </c>
      <c r="M15" s="4">
        <f>'YTD BS'!M15</f>
        <v/>
      </c>
      <c r="N15" s="4">
        <f>'BALANCE SHEET'!E16</f>
        <v/>
      </c>
    </row>
    <row r="16">
      <c r="A16" s="3" t="inlineStr">
        <is>
          <t>Deferred Tax Assets</t>
        </is>
      </c>
      <c r="B16" s="4">
        <f>'BALANCE SHEET'!B17</f>
        <v/>
      </c>
      <c r="C16" s="4">
        <f>'YTD BS'!C16</f>
        <v/>
      </c>
      <c r="D16" s="4">
        <f>'YTD BS'!D16</f>
        <v/>
      </c>
      <c r="E16" s="4">
        <f>'YTD BS'!E16</f>
        <v/>
      </c>
      <c r="F16" s="4">
        <f>'BALANCE SHEET'!C17</f>
        <v/>
      </c>
      <c r="G16" s="4">
        <f>'YTD BS'!G16</f>
        <v/>
      </c>
      <c r="H16" s="4">
        <f>'YTD BS'!H16</f>
        <v/>
      </c>
      <c r="I16" s="4">
        <f>'YTD BS'!I16</f>
        <v/>
      </c>
      <c r="J16" s="4">
        <f>'BALANCE SHEET'!D17</f>
        <v/>
      </c>
      <c r="K16" s="4">
        <f>'YTD BS'!K16</f>
        <v/>
      </c>
      <c r="L16" s="4">
        <f>'YTD BS'!L16</f>
        <v/>
      </c>
      <c r="M16" s="4">
        <f>'YTD BS'!M16</f>
        <v/>
      </c>
      <c r="N16" s="4">
        <f>'BALANCE SHEET'!E17</f>
        <v/>
      </c>
    </row>
    <row r="17">
      <c r="A17" s="3" t="inlineStr">
        <is>
          <t>ROU Assets - Finance - Non-Current</t>
        </is>
      </c>
      <c r="B17" s="4">
        <f>'BALANCE SHEET'!B13</f>
        <v/>
      </c>
      <c r="C17" s="4">
        <f>'YTD BS'!C17</f>
        <v/>
      </c>
      <c r="D17" s="4">
        <f>'YTD BS'!D17</f>
        <v/>
      </c>
      <c r="E17" s="4">
        <f>'YTD BS'!E17</f>
        <v/>
      </c>
      <c r="F17" s="4">
        <f>'BALANCE SHEET'!C13</f>
        <v/>
      </c>
      <c r="G17" s="4">
        <f>'YTD BS'!G17</f>
        <v/>
      </c>
      <c r="H17" s="4">
        <f>'YTD BS'!H17</f>
        <v/>
      </c>
      <c r="I17" s="4">
        <f>'YTD BS'!I17</f>
        <v/>
      </c>
      <c r="J17" s="4">
        <f>'BALANCE SHEET'!D13</f>
        <v/>
      </c>
      <c r="K17" s="4">
        <f>'YTD BS'!K17</f>
        <v/>
      </c>
      <c r="L17" s="4">
        <f>'YTD BS'!L17</f>
        <v/>
      </c>
      <c r="M17" s="4">
        <f>'YTD BS'!M17</f>
        <v/>
      </c>
      <c r="N17" s="4">
        <f>'BALANCE SHEET'!E13</f>
        <v/>
      </c>
    </row>
    <row r="18">
      <c r="A18" s="3" t="inlineStr">
        <is>
          <t>Other Non-Current Assets</t>
        </is>
      </c>
      <c r="B18" s="4">
        <f>'BALANCE SHEET'!B18</f>
        <v/>
      </c>
      <c r="C18" s="4">
        <f>'YTD BS'!C18</f>
        <v/>
      </c>
      <c r="D18" s="4">
        <f>'YTD BS'!D18</f>
        <v/>
      </c>
      <c r="E18" s="4">
        <f>'YTD BS'!E18</f>
        <v/>
      </c>
      <c r="F18" s="4">
        <f>'BALANCE SHEET'!C18</f>
        <v/>
      </c>
      <c r="G18" s="4">
        <f>'YTD BS'!G18</f>
        <v/>
      </c>
      <c r="H18" s="4">
        <f>'YTD BS'!H18</f>
        <v/>
      </c>
      <c r="I18" s="4">
        <f>'YTD BS'!I18</f>
        <v/>
      </c>
      <c r="J18" s="4">
        <f>'BALANCE SHEET'!D18</f>
        <v/>
      </c>
      <c r="K18" s="4">
        <f>'YTD BS'!K18</f>
        <v/>
      </c>
      <c r="L18" s="4">
        <f>'YTD BS'!L18</f>
        <v/>
      </c>
      <c r="M18" s="4">
        <f>'YTD BS'!M18</f>
        <v/>
      </c>
      <c r="N18" s="4">
        <f>'BALANCE SHEET'!E18</f>
        <v/>
      </c>
    </row>
    <row r="19">
      <c r="A19" s="3" t="inlineStr">
        <is>
          <t>Total Assets</t>
        </is>
      </c>
      <c r="B19" s="6">
        <f>'BALANCE SHEET'!B19</f>
        <v/>
      </c>
      <c r="C19" s="6">
        <f>'YTD BS'!C19</f>
        <v/>
      </c>
      <c r="D19" s="6">
        <f>'YTD BS'!D19</f>
        <v/>
      </c>
      <c r="E19" s="6">
        <f>'YTD BS'!E19</f>
        <v/>
      </c>
      <c r="F19" s="6">
        <f>'BALANCE SHEET'!C19</f>
        <v/>
      </c>
      <c r="G19" s="6">
        <f>'YTD BS'!G19</f>
        <v/>
      </c>
      <c r="H19" s="6">
        <f>'YTD BS'!H19</f>
        <v/>
      </c>
      <c r="I19" s="6">
        <f>'YTD BS'!I19</f>
        <v/>
      </c>
      <c r="J19" s="6">
        <f>'BALANCE SHEET'!D19</f>
        <v/>
      </c>
      <c r="K19" s="6">
        <f>'YTD BS'!K19</f>
        <v/>
      </c>
      <c r="L19" s="6">
        <f>'YTD BS'!L19</f>
        <v/>
      </c>
      <c r="M19" s="6">
        <f>'YTD BS'!M19</f>
        <v/>
      </c>
      <c r="N19" s="6">
        <f>'BALANCE SHEET'!E19</f>
        <v/>
      </c>
    </row>
    <row r="20">
      <c r="A20" s="3" t="inlineStr">
        <is>
          <t>Accounts Payable</t>
        </is>
      </c>
      <c r="B20" s="4">
        <f>'BALANCE SHEET'!B20</f>
        <v/>
      </c>
      <c r="C20" s="4">
        <f>'YTD BS'!C20</f>
        <v/>
      </c>
      <c r="D20" s="4">
        <f>'YTD BS'!D20</f>
        <v/>
      </c>
      <c r="E20" s="4">
        <f>'YTD BS'!E20</f>
        <v/>
      </c>
      <c r="F20" s="4">
        <f>'BALANCE SHEET'!C20</f>
        <v/>
      </c>
      <c r="G20" s="4">
        <f>'YTD BS'!G20</f>
        <v/>
      </c>
      <c r="H20" s="4">
        <f>'YTD BS'!H20</f>
        <v/>
      </c>
      <c r="I20" s="4">
        <f>'YTD BS'!I20</f>
        <v/>
      </c>
      <c r="J20" s="4">
        <f>'BALANCE SHEET'!D20</f>
        <v/>
      </c>
      <c r="K20" s="4">
        <f>'YTD BS'!K20</f>
        <v/>
      </c>
      <c r="L20" s="4">
        <f>'YTD BS'!L20</f>
        <v/>
      </c>
      <c r="M20" s="4">
        <f>'YTD BS'!M20</f>
        <v/>
      </c>
      <c r="N20" s="4">
        <f>'BALANCE SHEET'!E20</f>
        <v/>
      </c>
    </row>
    <row r="21">
      <c r="A21" s="3" t="inlineStr">
        <is>
          <t>Accrued Expenses</t>
        </is>
      </c>
      <c r="B21" s="4">
        <f>'BALANCE SHEET'!B21</f>
        <v/>
      </c>
      <c r="C21" s="4">
        <f>'YTD BS'!C21</f>
        <v/>
      </c>
      <c r="D21" s="4">
        <f>'YTD BS'!D21</f>
        <v/>
      </c>
      <c r="E21" s="4">
        <f>'YTD BS'!E21</f>
        <v/>
      </c>
      <c r="F21" s="4">
        <f>'BALANCE SHEET'!C21</f>
        <v/>
      </c>
      <c r="G21" s="4">
        <f>'YTD BS'!G21</f>
        <v/>
      </c>
      <c r="H21" s="4">
        <f>'YTD BS'!H21</f>
        <v/>
      </c>
      <c r="I21" s="4">
        <f>'YTD BS'!I21</f>
        <v/>
      </c>
      <c r="J21" s="4">
        <f>'BALANCE SHEET'!D21</f>
        <v/>
      </c>
      <c r="K21" s="4">
        <f>'YTD BS'!K21</f>
        <v/>
      </c>
      <c r="L21" s="4">
        <f>'YTD BS'!L21</f>
        <v/>
      </c>
      <c r="M21" s="4">
        <f>'YTD BS'!M21</f>
        <v/>
      </c>
      <c r="N21" s="4">
        <f>'BALANCE SHEET'!E21</f>
        <v/>
      </c>
    </row>
    <row r="22">
      <c r="A22" s="3" t="inlineStr">
        <is>
          <t>Income Taxes Payable</t>
        </is>
      </c>
      <c r="B22" s="4">
        <f>'BALANCE SHEET'!B22</f>
        <v/>
      </c>
      <c r="C22" s="4">
        <f>'YTD BS'!C22</f>
        <v/>
      </c>
      <c r="D22" s="4">
        <f>'YTD BS'!D22</f>
        <v/>
      </c>
      <c r="E22" s="4">
        <f>'YTD BS'!E22</f>
        <v/>
      </c>
      <c r="F22" s="4">
        <f>'BALANCE SHEET'!C22</f>
        <v/>
      </c>
      <c r="G22" s="4">
        <f>'YTD BS'!G22</f>
        <v/>
      </c>
      <c r="H22" s="4">
        <f>'YTD BS'!H22</f>
        <v/>
      </c>
      <c r="I22" s="4">
        <f>'YTD BS'!I22</f>
        <v/>
      </c>
      <c r="J22" s="4">
        <f>'BALANCE SHEET'!D22</f>
        <v/>
      </c>
      <c r="K22" s="4">
        <f>'YTD BS'!K22</f>
        <v/>
      </c>
      <c r="L22" s="4">
        <f>'YTD BS'!L22</f>
        <v/>
      </c>
      <c r="M22" s="4">
        <f>'YTD BS'!M22</f>
        <v/>
      </c>
      <c r="N22" s="4">
        <f>'BALANCE SHEET'!E22</f>
        <v/>
      </c>
    </row>
    <row r="23">
      <c r="A23" s="3" t="inlineStr">
        <is>
          <t>Accrued Distributor Termination Fees</t>
        </is>
      </c>
      <c r="B23" s="4">
        <f>'BALANCE SHEET'!B23</f>
        <v/>
      </c>
      <c r="C23" s="4">
        <f>'YTD BS'!C23</f>
        <v/>
      </c>
      <c r="D23" s="4">
        <f>'YTD BS'!D23</f>
        <v/>
      </c>
      <c r="E23" s="4">
        <f>'YTD BS'!E23</f>
        <v/>
      </c>
      <c r="F23" s="4">
        <f>'BALANCE SHEET'!C23</f>
        <v/>
      </c>
      <c r="G23" s="4">
        <f>'YTD BS'!G23</f>
        <v/>
      </c>
      <c r="H23" s="4">
        <f>'YTD BS'!H23</f>
        <v/>
      </c>
      <c r="I23" s="4">
        <f>'YTD BS'!I23</f>
        <v/>
      </c>
      <c r="J23" s="4">
        <f>'BALANCE SHEET'!D23</f>
        <v/>
      </c>
      <c r="K23" s="4">
        <f>'YTD BS'!K23</f>
        <v/>
      </c>
      <c r="L23" s="4">
        <f>'YTD BS'!L23</f>
        <v/>
      </c>
      <c r="M23" s="4">
        <f>'YTD BS'!M23</f>
        <v/>
      </c>
      <c r="N23" s="4">
        <f>'BALANCE SHEET'!E23</f>
        <v/>
      </c>
    </row>
    <row r="24">
      <c r="A24" s="3" t="inlineStr">
        <is>
          <t>Accrued Promotional Allowance</t>
        </is>
      </c>
      <c r="B24" s="4">
        <f>'BALANCE SHEET'!B24</f>
        <v/>
      </c>
      <c r="C24" s="4">
        <f>'YTD BS'!C24</f>
        <v/>
      </c>
      <c r="D24" s="4">
        <f>'YTD BS'!D24</f>
        <v/>
      </c>
      <c r="E24" s="4">
        <f>'YTD BS'!E24</f>
        <v/>
      </c>
      <c r="F24" s="4">
        <f>'BALANCE SHEET'!C24</f>
        <v/>
      </c>
      <c r="G24" s="4">
        <f>'YTD BS'!G24</f>
        <v/>
      </c>
      <c r="H24" s="4">
        <f>'YTD BS'!H24</f>
        <v/>
      </c>
      <c r="I24" s="4">
        <f>'YTD BS'!I24</f>
        <v/>
      </c>
      <c r="J24" s="4">
        <f>'BALANCE SHEET'!D24</f>
        <v/>
      </c>
      <c r="K24" s="4">
        <f>'YTD BS'!K24</f>
        <v/>
      </c>
      <c r="L24" s="4">
        <f>'YTD BS'!L24</f>
        <v/>
      </c>
      <c r="M24" s="4">
        <f>'YTD BS'!M24</f>
        <v/>
      </c>
      <c r="N24" s="4">
        <f>'BALANCE SHEET'!E24</f>
        <v/>
      </c>
    </row>
    <row r="25">
      <c r="A25" s="3" t="inlineStr">
        <is>
          <t>Lease Liability - Operating - Current</t>
        </is>
      </c>
      <c r="B25" s="4">
        <f>'BALANCE SHEET'!B25</f>
        <v/>
      </c>
      <c r="C25" s="4">
        <f>'YTD BS'!C25</f>
        <v/>
      </c>
      <c r="D25" s="4">
        <f>'YTD BS'!D25</f>
        <v/>
      </c>
      <c r="E25" s="4">
        <f>'YTD BS'!E25</f>
        <v/>
      </c>
      <c r="F25" s="4">
        <f>'BALANCE SHEET'!C25</f>
        <v/>
      </c>
      <c r="G25" s="4">
        <f>'YTD BS'!G25</f>
        <v/>
      </c>
      <c r="H25" s="4">
        <f>'YTD BS'!H25</f>
        <v/>
      </c>
      <c r="I25" s="4">
        <f>'YTD BS'!I25</f>
        <v/>
      </c>
      <c r="J25" s="4">
        <f>'BALANCE SHEET'!D25</f>
        <v/>
      </c>
      <c r="K25" s="4">
        <f>'YTD BS'!K25</f>
        <v/>
      </c>
      <c r="L25" s="4">
        <f>'YTD BS'!L25</f>
        <v/>
      </c>
      <c r="M25" s="4">
        <f>'YTD BS'!M25</f>
        <v/>
      </c>
      <c r="N25" s="4">
        <f>'BALANCE SHEET'!E25</f>
        <v/>
      </c>
    </row>
    <row r="26">
      <c r="A26" s="3" t="inlineStr">
        <is>
          <t>Lease Liability - Finance - Current</t>
        </is>
      </c>
      <c r="B26" s="4">
        <f>'BALANCE SHEET'!B26</f>
        <v/>
      </c>
      <c r="C26" s="4">
        <f>'YTD BS'!C26</f>
        <v/>
      </c>
      <c r="D26" s="4">
        <f>'YTD BS'!D26</f>
        <v/>
      </c>
      <c r="E26" s="4">
        <f>'YTD BS'!E26</f>
        <v/>
      </c>
      <c r="F26" s="4">
        <f>'BALANCE SHEET'!C26</f>
        <v/>
      </c>
      <c r="G26" s="4">
        <f>'YTD BS'!G26</f>
        <v/>
      </c>
      <c r="H26" s="4">
        <f>'YTD BS'!H26</f>
        <v/>
      </c>
      <c r="I26" s="4">
        <f>'YTD BS'!I26</f>
        <v/>
      </c>
      <c r="J26" s="4">
        <f>'BALANCE SHEET'!D26</f>
        <v/>
      </c>
      <c r="K26" s="4">
        <f>'YTD BS'!K26</f>
        <v/>
      </c>
      <c r="L26" s="4">
        <f>'YTD BS'!L26</f>
        <v/>
      </c>
      <c r="M26" s="4">
        <f>'YTD BS'!M26</f>
        <v/>
      </c>
      <c r="N26" s="4">
        <f>'BALANCE SHEET'!E26</f>
        <v/>
      </c>
    </row>
    <row r="27">
      <c r="A27" s="3" t="inlineStr">
        <is>
          <t>Contingent Consideration - Current</t>
        </is>
      </c>
      <c r="B27" s="4">
        <f>'BALANCE SHEET'!B27</f>
        <v/>
      </c>
      <c r="C27" s="4">
        <f>'YTD BS'!C27</f>
        <v/>
      </c>
      <c r="D27" s="4">
        <f>'YTD BS'!D27</f>
        <v/>
      </c>
      <c r="E27" s="4">
        <f>'YTD BS'!E27</f>
        <v/>
      </c>
      <c r="F27" s="4">
        <f>'BALANCE SHEET'!C27</f>
        <v/>
      </c>
      <c r="G27" s="4">
        <f>'YTD BS'!G27</f>
        <v/>
      </c>
      <c r="H27" s="4">
        <f>'YTD BS'!H27</f>
        <v/>
      </c>
      <c r="I27" s="4">
        <f>'YTD BS'!I27</f>
        <v/>
      </c>
      <c r="J27" s="4">
        <f>'BALANCE SHEET'!D27</f>
        <v/>
      </c>
      <c r="K27" s="4">
        <f>'YTD BS'!K27</f>
        <v/>
      </c>
      <c r="L27" s="4">
        <f>'YTD BS'!L27</f>
        <v/>
      </c>
      <c r="M27" s="4">
        <f>'YTD BS'!M27</f>
        <v/>
      </c>
      <c r="N27" s="4">
        <f>'BALANCE SHEET'!E27</f>
        <v/>
      </c>
    </row>
    <row r="28">
      <c r="A28" s="3" t="inlineStr">
        <is>
          <t>Deferred Revenue - Current</t>
        </is>
      </c>
      <c r="B28" s="4">
        <f>'BALANCE SHEET'!B28</f>
        <v/>
      </c>
      <c r="C28" s="4">
        <f>'YTD BS'!C28</f>
        <v/>
      </c>
      <c r="D28" s="4">
        <f>'YTD BS'!D28</f>
        <v/>
      </c>
      <c r="E28" s="4">
        <f>'YTD BS'!E28</f>
        <v/>
      </c>
      <c r="F28" s="4">
        <f>'BALANCE SHEET'!C28</f>
        <v/>
      </c>
      <c r="G28" s="4">
        <f>'YTD BS'!G28</f>
        <v/>
      </c>
      <c r="H28" s="4">
        <f>'YTD BS'!H28</f>
        <v/>
      </c>
      <c r="I28" s="4">
        <f>'YTD BS'!I28</f>
        <v/>
      </c>
      <c r="J28" s="4">
        <f>'BALANCE SHEET'!D28</f>
        <v/>
      </c>
      <c r="K28" s="4">
        <f>'YTD BS'!K28</f>
        <v/>
      </c>
      <c r="L28" s="4">
        <f>'YTD BS'!L28</f>
        <v/>
      </c>
      <c r="M28" s="4">
        <f>'YTD BS'!M28</f>
        <v/>
      </c>
      <c r="N28" s="4">
        <f>'BALANCE SHEET'!E28</f>
        <v/>
      </c>
    </row>
    <row r="29">
      <c r="A29" s="3" t="inlineStr">
        <is>
          <t>Other Current Liabilities</t>
        </is>
      </c>
      <c r="B29" s="4">
        <f>'BALANCE SHEET'!B29</f>
        <v/>
      </c>
      <c r="C29" s="4">
        <f>'YTD BS'!C29</f>
        <v/>
      </c>
      <c r="D29" s="4">
        <f>'YTD BS'!D29</f>
        <v/>
      </c>
      <c r="E29" s="4">
        <f>'YTD BS'!E29</f>
        <v/>
      </c>
      <c r="F29" s="4">
        <f>'BALANCE SHEET'!C29</f>
        <v/>
      </c>
      <c r="G29" s="4">
        <f>'YTD BS'!G29</f>
        <v/>
      </c>
      <c r="H29" s="4">
        <f>'YTD BS'!H29</f>
        <v/>
      </c>
      <c r="I29" s="4">
        <f>'YTD BS'!I29</f>
        <v/>
      </c>
      <c r="J29" s="4">
        <f>'BALANCE SHEET'!D29</f>
        <v/>
      </c>
      <c r="K29" s="4">
        <f>'YTD BS'!K29</f>
        <v/>
      </c>
      <c r="L29" s="4">
        <f>'YTD BS'!L29</f>
        <v/>
      </c>
      <c r="M29" s="4">
        <f>'YTD BS'!M29</f>
        <v/>
      </c>
      <c r="N29" s="4">
        <f>'BALANCE SHEET'!E29</f>
        <v/>
      </c>
    </row>
    <row r="30">
      <c r="A30" s="3" t="inlineStr">
        <is>
          <t>Total Current Liabilities</t>
        </is>
      </c>
      <c r="B30" s="6">
        <f>'BALANCE SHEET'!B30</f>
        <v/>
      </c>
      <c r="C30" s="6">
        <f>'YTD BS'!C30</f>
        <v/>
      </c>
      <c r="D30" s="6">
        <f>'YTD BS'!D30</f>
        <v/>
      </c>
      <c r="E30" s="6">
        <f>'YTD BS'!E30</f>
        <v/>
      </c>
      <c r="F30" s="6">
        <f>'BALANCE SHEET'!C30</f>
        <v/>
      </c>
      <c r="G30" s="6">
        <f>'YTD BS'!G30</f>
        <v/>
      </c>
      <c r="H30" s="6">
        <f>'YTD BS'!H30</f>
        <v/>
      </c>
      <c r="I30" s="6">
        <f>'YTD BS'!I30</f>
        <v/>
      </c>
      <c r="J30" s="6">
        <f>'BALANCE SHEET'!D30</f>
        <v/>
      </c>
      <c r="K30" s="6">
        <f>'YTD BS'!K30</f>
        <v/>
      </c>
      <c r="L30" s="6">
        <f>'YTD BS'!L30</f>
        <v/>
      </c>
      <c r="M30" s="6">
        <f>'YTD BS'!M30</f>
        <v/>
      </c>
      <c r="N30" s="6">
        <f>'BALANCE SHEET'!E30</f>
        <v/>
      </c>
    </row>
    <row r="31">
      <c r="A31" s="3" t="inlineStr">
        <is>
          <t>Lease Liability - Operating - Non-Current</t>
        </is>
      </c>
      <c r="B31" s="4">
        <f>'BALANCE SHEET'!B31</f>
        <v/>
      </c>
      <c r="C31" s="4">
        <f>'YTD BS'!C31</f>
        <v/>
      </c>
      <c r="D31" s="4">
        <f>'YTD BS'!D31</f>
        <v/>
      </c>
      <c r="E31" s="4">
        <f>'YTD BS'!E31</f>
        <v/>
      </c>
      <c r="F31" s="4">
        <f>'BALANCE SHEET'!C31</f>
        <v/>
      </c>
      <c r="G31" s="4">
        <f>'YTD BS'!G31</f>
        <v/>
      </c>
      <c r="H31" s="4">
        <f>'YTD BS'!H31</f>
        <v/>
      </c>
      <c r="I31" s="4">
        <f>'YTD BS'!I31</f>
        <v/>
      </c>
      <c r="J31" s="4">
        <f>'BALANCE SHEET'!D31</f>
        <v/>
      </c>
      <c r="K31" s="4">
        <f>'YTD BS'!K31</f>
        <v/>
      </c>
      <c r="L31" s="4">
        <f>'YTD BS'!L31</f>
        <v/>
      </c>
      <c r="M31" s="4">
        <f>'YTD BS'!M31</f>
        <v/>
      </c>
      <c r="N31" s="4">
        <f>'BALANCE SHEET'!E31</f>
        <v/>
      </c>
    </row>
    <row r="32">
      <c r="A32" s="3" t="inlineStr">
        <is>
          <t>Lease Liability - Finance - Non-Current</t>
        </is>
      </c>
      <c r="B32" s="4">
        <f>'BALANCE SHEET'!B32</f>
        <v/>
      </c>
      <c r="C32" s="4">
        <f>'YTD BS'!C32</f>
        <v/>
      </c>
      <c r="D32" s="4">
        <f>'YTD BS'!D32</f>
        <v/>
      </c>
      <c r="E32" s="4">
        <f>'YTD BS'!E32</f>
        <v/>
      </c>
      <c r="F32" s="4">
        <f>'BALANCE SHEET'!C32</f>
        <v/>
      </c>
      <c r="G32" s="4">
        <f>'YTD BS'!G32</f>
        <v/>
      </c>
      <c r="H32" s="4">
        <f>'YTD BS'!H32</f>
        <v/>
      </c>
      <c r="I32" s="4">
        <f>'YTD BS'!I32</f>
        <v/>
      </c>
      <c r="J32" s="4">
        <f>'BALANCE SHEET'!D32</f>
        <v/>
      </c>
      <c r="K32" s="4">
        <f>'YTD BS'!K32</f>
        <v/>
      </c>
      <c r="L32" s="4">
        <f>'YTD BS'!L32</f>
        <v/>
      </c>
      <c r="M32" s="4">
        <f>'YTD BS'!M32</f>
        <v/>
      </c>
      <c r="N32" s="4">
        <f>'BALANCE SHEET'!E32</f>
        <v/>
      </c>
    </row>
    <row r="33">
      <c r="A33" s="3" t="inlineStr">
        <is>
          <t>Deferred Tax Liability</t>
        </is>
      </c>
      <c r="B33" s="4">
        <f>'BALANCE SHEET'!B33</f>
        <v/>
      </c>
      <c r="C33" s="4">
        <f>'YTD BS'!C33</f>
        <v/>
      </c>
      <c r="D33" s="4">
        <f>'YTD BS'!D33</f>
        <v/>
      </c>
      <c r="E33" s="4">
        <f>'YTD BS'!E33</f>
        <v/>
      </c>
      <c r="F33" s="4">
        <f>'BALANCE SHEET'!C33</f>
        <v/>
      </c>
      <c r="G33" s="4">
        <f>'YTD BS'!G33</f>
        <v/>
      </c>
      <c r="H33" s="4">
        <f>'YTD BS'!H33</f>
        <v/>
      </c>
      <c r="I33" s="4">
        <f>'YTD BS'!I33</f>
        <v/>
      </c>
      <c r="J33" s="4">
        <f>'BALANCE SHEET'!D33</f>
        <v/>
      </c>
      <c r="K33" s="4">
        <f>'YTD BS'!K33</f>
        <v/>
      </c>
      <c r="L33" s="4">
        <f>'YTD BS'!L33</f>
        <v/>
      </c>
      <c r="M33" s="4">
        <f>'YTD BS'!M33</f>
        <v/>
      </c>
      <c r="N33" s="4">
        <f>'BALANCE SHEET'!E33</f>
        <v/>
      </c>
    </row>
    <row r="34">
      <c r="A34" s="3" t="inlineStr">
        <is>
          <t>Long-Term Debt</t>
        </is>
      </c>
      <c r="B34" s="4">
        <f>'BALANCE SHEET'!B34</f>
        <v/>
      </c>
      <c r="C34" s="4">
        <f>'YTD BS'!C34</f>
        <v/>
      </c>
      <c r="D34" s="4">
        <f>'YTD BS'!D34</f>
        <v/>
      </c>
      <c r="E34" s="4">
        <f>'YTD BS'!E34</f>
        <v/>
      </c>
      <c r="F34" s="4">
        <f>'BALANCE SHEET'!C34</f>
        <v/>
      </c>
      <c r="G34" s="4">
        <f>'YTD BS'!G34</f>
        <v/>
      </c>
      <c r="H34" s="4">
        <f>'YTD BS'!H34</f>
        <v/>
      </c>
      <c r="I34" s="4">
        <f>'YTD BS'!I34</f>
        <v/>
      </c>
      <c r="J34" s="4">
        <f>'BALANCE SHEET'!D34</f>
        <v/>
      </c>
      <c r="K34" s="4">
        <f>'YTD BS'!K34</f>
        <v/>
      </c>
      <c r="L34" s="4">
        <f>'YTD BS'!L34</f>
        <v/>
      </c>
      <c r="M34" s="4">
        <f>'YTD BS'!M34</f>
        <v/>
      </c>
      <c r="N34" s="4">
        <f>'BALANCE SHEET'!E34</f>
        <v/>
      </c>
    </row>
    <row r="35">
      <c r="A35" s="3" t="inlineStr">
        <is>
          <t>Deferred Revenue - Non-Current</t>
        </is>
      </c>
      <c r="B35" s="4">
        <f>'BALANCE SHEET'!B35</f>
        <v/>
      </c>
      <c r="C35" s="4">
        <f>'YTD BS'!C35</f>
        <v/>
      </c>
      <c r="D35" s="4">
        <f>'YTD BS'!D35</f>
        <v/>
      </c>
      <c r="E35" s="4">
        <f>'YTD BS'!E35</f>
        <v/>
      </c>
      <c r="F35" s="4">
        <f>'BALANCE SHEET'!C35</f>
        <v/>
      </c>
      <c r="G35" s="4">
        <f>'YTD BS'!G35</f>
        <v/>
      </c>
      <c r="H35" s="4">
        <f>'YTD BS'!H35</f>
        <v/>
      </c>
      <c r="I35" s="4">
        <f>'YTD BS'!I35</f>
        <v/>
      </c>
      <c r="J35" s="4">
        <f>'BALANCE SHEET'!D35</f>
        <v/>
      </c>
      <c r="K35" s="4">
        <f>'YTD BS'!K35</f>
        <v/>
      </c>
      <c r="L35" s="4">
        <f>'YTD BS'!L35</f>
        <v/>
      </c>
      <c r="M35" s="4">
        <f>'YTD BS'!M35</f>
        <v/>
      </c>
      <c r="N35" s="4">
        <f>'BALANCE SHEET'!E35</f>
        <v/>
      </c>
    </row>
    <row r="36">
      <c r="A36" s="3" t="inlineStr">
        <is>
          <t>Other Non-Current Liabilities</t>
        </is>
      </c>
      <c r="B36" s="4">
        <f>'BALANCE SHEET'!B36</f>
        <v/>
      </c>
      <c r="C36" s="4">
        <f>'YTD BS'!C36</f>
        <v/>
      </c>
      <c r="D36" s="4">
        <f>'YTD BS'!D36</f>
        <v/>
      </c>
      <c r="E36" s="4">
        <f>'YTD BS'!E36</f>
        <v/>
      </c>
      <c r="F36" s="4">
        <f>'BALANCE SHEET'!C36</f>
        <v/>
      </c>
      <c r="G36" s="4">
        <f>'YTD BS'!G36</f>
        <v/>
      </c>
      <c r="H36" s="4">
        <f>'YTD BS'!H36</f>
        <v/>
      </c>
      <c r="I36" s="4">
        <f>'YTD BS'!I36</f>
        <v/>
      </c>
      <c r="J36" s="4">
        <f>'BALANCE SHEET'!D36</f>
        <v/>
      </c>
      <c r="K36" s="4">
        <f>'YTD BS'!K36</f>
        <v/>
      </c>
      <c r="L36" s="4">
        <f>'YTD BS'!L36</f>
        <v/>
      </c>
      <c r="M36" s="4">
        <f>'YTD BS'!M36</f>
        <v/>
      </c>
      <c r="N36" s="4">
        <f>'BALANCE SHEET'!E36</f>
        <v/>
      </c>
    </row>
    <row r="37">
      <c r="A37" s="3" t="inlineStr">
        <is>
          <t>Total Liabilities</t>
        </is>
      </c>
      <c r="B37" s="6">
        <f>'BALANCE SHEET'!B37</f>
        <v/>
      </c>
      <c r="C37" s="6">
        <f>'YTD BS'!C37</f>
        <v/>
      </c>
      <c r="D37" s="6">
        <f>'YTD BS'!D37</f>
        <v/>
      </c>
      <c r="E37" s="6">
        <f>'YTD BS'!E37</f>
        <v/>
      </c>
      <c r="F37" s="6">
        <f>'BALANCE SHEET'!C37</f>
        <v/>
      </c>
      <c r="G37" s="6">
        <f>'YTD BS'!G37</f>
        <v/>
      </c>
      <c r="H37" s="6">
        <f>'YTD BS'!H37</f>
        <v/>
      </c>
      <c r="I37" s="6">
        <f>'YTD BS'!I37</f>
        <v/>
      </c>
      <c r="J37" s="6">
        <f>'BALANCE SHEET'!D37</f>
        <v/>
      </c>
      <c r="K37" s="6">
        <f>'YTD BS'!K37</f>
        <v/>
      </c>
      <c r="L37" s="6">
        <f>'YTD BS'!L37</f>
        <v/>
      </c>
      <c r="M37" s="6">
        <f>'YTD BS'!M37</f>
        <v/>
      </c>
      <c r="N37" s="6">
        <f>'BALANCE SHEET'!E37</f>
        <v/>
      </c>
    </row>
    <row r="38">
      <c r="A38" s="3" t="inlineStr">
        <is>
          <t>Convertible Preferred Stock</t>
        </is>
      </c>
      <c r="B38" s="4">
        <f>'BALANCE SHEET'!B38</f>
        <v/>
      </c>
      <c r="C38" s="4">
        <f>'YTD BS'!C38</f>
        <v/>
      </c>
      <c r="D38" s="4">
        <f>'YTD BS'!D38</f>
        <v/>
      </c>
      <c r="E38" s="4">
        <f>'YTD BS'!E38</f>
        <v/>
      </c>
      <c r="F38" s="4">
        <f>'BALANCE SHEET'!C38</f>
        <v/>
      </c>
      <c r="G38" s="4">
        <f>'YTD BS'!G38</f>
        <v/>
      </c>
      <c r="H38" s="4">
        <f>'YTD BS'!H38</f>
        <v/>
      </c>
      <c r="I38" s="4">
        <f>'YTD BS'!I38</f>
        <v/>
      </c>
      <c r="J38" s="4">
        <f>'BALANCE SHEET'!D38</f>
        <v/>
      </c>
      <c r="K38" s="4">
        <f>'YTD BS'!K38</f>
        <v/>
      </c>
      <c r="L38" s="4">
        <f>'YTD BS'!L38</f>
        <v/>
      </c>
      <c r="M38" s="4">
        <f>'YTD BS'!M38</f>
        <v/>
      </c>
      <c r="N38" s="4">
        <f>'BALANCE SHEET'!E38</f>
        <v/>
      </c>
    </row>
    <row r="39">
      <c r="A39" s="3" t="inlineStr">
        <is>
          <t>Common Stock</t>
        </is>
      </c>
      <c r="B39" s="4">
        <f>'BALANCE SHEET'!B39</f>
        <v/>
      </c>
      <c r="C39" s="4">
        <f>'YTD BS'!C39</f>
        <v/>
      </c>
      <c r="D39" s="4">
        <f>'YTD BS'!D39</f>
        <v/>
      </c>
      <c r="E39" s="4">
        <f>'YTD BS'!E39</f>
        <v/>
      </c>
      <c r="F39" s="4">
        <f>'BALANCE SHEET'!C39</f>
        <v/>
      </c>
      <c r="G39" s="4">
        <f>'YTD BS'!G39</f>
        <v/>
      </c>
      <c r="H39" s="4">
        <f>'YTD BS'!H39</f>
        <v/>
      </c>
      <c r="I39" s="4">
        <f>'YTD BS'!I39</f>
        <v/>
      </c>
      <c r="J39" s="4">
        <f>'BALANCE SHEET'!D39</f>
        <v/>
      </c>
      <c r="K39" s="4">
        <f>'YTD BS'!K39</f>
        <v/>
      </c>
      <c r="L39" s="4">
        <f>'YTD BS'!L39</f>
        <v/>
      </c>
      <c r="M39" s="4">
        <f>'YTD BS'!M39</f>
        <v/>
      </c>
      <c r="N39" s="4">
        <f>'BALANCE SHEET'!E39</f>
        <v/>
      </c>
    </row>
    <row r="40">
      <c r="A40" s="3" t="inlineStr">
        <is>
          <t>Treasury Stock</t>
        </is>
      </c>
      <c r="B40" s="4">
        <f>'BALANCE SHEET'!B40</f>
        <v/>
      </c>
      <c r="C40" s="4">
        <f>'YTD BS'!C40</f>
        <v/>
      </c>
      <c r="D40" s="4">
        <f>'YTD BS'!D40</f>
        <v/>
      </c>
      <c r="E40" s="4">
        <f>'YTD BS'!E40</f>
        <v/>
      </c>
      <c r="F40" s="4">
        <f>'BALANCE SHEET'!C40</f>
        <v/>
      </c>
      <c r="G40" s="4">
        <f>'YTD BS'!G40</f>
        <v/>
      </c>
      <c r="H40" s="4">
        <f>'YTD BS'!H40</f>
        <v/>
      </c>
      <c r="I40" s="4">
        <f>'YTD BS'!I40</f>
        <v/>
      </c>
      <c r="J40" s="4">
        <f>'BALANCE SHEET'!D40</f>
        <v/>
      </c>
      <c r="K40" s="4">
        <f>'YTD BS'!K40</f>
        <v/>
      </c>
      <c r="L40" s="4">
        <f>'YTD BS'!L40</f>
        <v/>
      </c>
      <c r="M40" s="4">
        <f>'YTD BS'!M40</f>
        <v/>
      </c>
      <c r="N40" s="4">
        <f>'BALANCE SHEET'!E40</f>
        <v/>
      </c>
    </row>
    <row r="41">
      <c r="A41" s="3" t="inlineStr">
        <is>
          <t>Additional Paid-in Capital</t>
        </is>
      </c>
      <c r="B41" s="4">
        <f>'BALANCE SHEET'!B41</f>
        <v/>
      </c>
      <c r="C41" s="4">
        <f>'YTD BS'!C41</f>
        <v/>
      </c>
      <c r="D41" s="4">
        <f>'YTD BS'!D41</f>
        <v/>
      </c>
      <c r="E41" s="4">
        <f>'YTD BS'!E41</f>
        <v/>
      </c>
      <c r="F41" s="4">
        <f>'BALANCE SHEET'!C41</f>
        <v/>
      </c>
      <c r="G41" s="4">
        <f>'YTD BS'!G41</f>
        <v/>
      </c>
      <c r="H41" s="4">
        <f>'YTD BS'!H41</f>
        <v/>
      </c>
      <c r="I41" s="4">
        <f>'YTD BS'!I41</f>
        <v/>
      </c>
      <c r="J41" s="4">
        <f>'BALANCE SHEET'!D41</f>
        <v/>
      </c>
      <c r="K41" s="4">
        <f>'YTD BS'!K41</f>
        <v/>
      </c>
      <c r="L41" s="4">
        <f>'YTD BS'!L41</f>
        <v/>
      </c>
      <c r="M41" s="4">
        <f>'YTD BS'!M41</f>
        <v/>
      </c>
      <c r="N41" s="4">
        <f>'BALANCE SHEET'!E41</f>
        <v/>
      </c>
    </row>
    <row r="42">
      <c r="A42" s="3" t="inlineStr">
        <is>
          <t>Accumulated Other Comprehensive Income (Loss)</t>
        </is>
      </c>
      <c r="B42" s="4">
        <f>'BALANCE SHEET'!B42</f>
        <v/>
      </c>
      <c r="C42" s="4">
        <f>'YTD BS'!C42</f>
        <v/>
      </c>
      <c r="D42" s="4">
        <f>'YTD BS'!D42</f>
        <v/>
      </c>
      <c r="E42" s="4">
        <f>'YTD BS'!E42</f>
        <v/>
      </c>
      <c r="F42" s="4">
        <f>'BALANCE SHEET'!C42</f>
        <v/>
      </c>
      <c r="G42" s="4">
        <f>'YTD BS'!G42</f>
        <v/>
      </c>
      <c r="H42" s="4">
        <f>'YTD BS'!H42</f>
        <v/>
      </c>
      <c r="I42" s="4">
        <f>'YTD BS'!I42</f>
        <v/>
      </c>
      <c r="J42" s="4">
        <f>'BALANCE SHEET'!D42</f>
        <v/>
      </c>
      <c r="K42" s="4">
        <f>'YTD BS'!K42</f>
        <v/>
      </c>
      <c r="L42" s="4">
        <f>'YTD BS'!L42</f>
        <v/>
      </c>
      <c r="M42" s="4">
        <f>'YTD BS'!M42</f>
        <v/>
      </c>
      <c r="N42" s="4">
        <f>'BALANCE SHEET'!E42</f>
        <v/>
      </c>
    </row>
    <row r="43">
      <c r="A43" s="3" t="inlineStr">
        <is>
          <t>Retained Earnings (Accumulated Deficit)</t>
        </is>
      </c>
      <c r="B43" s="4">
        <f>'BALANCE SHEET'!B43</f>
        <v/>
      </c>
      <c r="C43" s="4">
        <f>'YTD BS'!C43</f>
        <v/>
      </c>
      <c r="D43" s="4">
        <f>'YTD BS'!D43</f>
        <v/>
      </c>
      <c r="E43" s="4">
        <f>'YTD BS'!E43</f>
        <v/>
      </c>
      <c r="F43" s="4">
        <f>'BALANCE SHEET'!C43</f>
        <v/>
      </c>
      <c r="G43" s="4">
        <f>'YTD BS'!G43</f>
        <v/>
      </c>
      <c r="H43" s="4">
        <f>'YTD BS'!H43</f>
        <v/>
      </c>
      <c r="I43" s="4">
        <f>'YTD BS'!I43</f>
        <v/>
      </c>
      <c r="J43" s="4">
        <f>'BALANCE SHEET'!D43</f>
        <v/>
      </c>
      <c r="K43" s="4">
        <f>'YTD BS'!K43</f>
        <v/>
      </c>
      <c r="L43" s="4">
        <f>'YTD BS'!L43</f>
        <v/>
      </c>
      <c r="M43" s="4">
        <f>'YTD BS'!M43</f>
        <v/>
      </c>
      <c r="N43" s="4">
        <f>'BALANCE SHEET'!E43</f>
        <v/>
      </c>
    </row>
    <row r="44">
      <c r="A44" s="3" t="inlineStr">
        <is>
          <t>Total Stockholders' Equity</t>
        </is>
      </c>
      <c r="B44" s="6">
        <f>'BALANCE SHEET'!B44</f>
        <v/>
      </c>
      <c r="C44" s="6">
        <f>'YTD BS'!C44</f>
        <v/>
      </c>
      <c r="D44" s="6">
        <f>'YTD BS'!D44</f>
        <v/>
      </c>
      <c r="E44" s="6">
        <f>'YTD BS'!E44</f>
        <v/>
      </c>
      <c r="F44" s="6">
        <f>'BALANCE SHEET'!C44</f>
        <v/>
      </c>
      <c r="G44" s="6">
        <f>'YTD BS'!G44</f>
        <v/>
      </c>
      <c r="H44" s="6">
        <f>'YTD BS'!H44</f>
        <v/>
      </c>
      <c r="I44" s="6">
        <f>'YTD BS'!I44</f>
        <v/>
      </c>
      <c r="J44" s="6">
        <f>'BALANCE SHEET'!D44</f>
        <v/>
      </c>
      <c r="K44" s="6">
        <f>'YTD BS'!K44</f>
        <v/>
      </c>
      <c r="L44" s="6">
        <f>'YTD BS'!L44</f>
        <v/>
      </c>
      <c r="M44" s="6">
        <f>'YTD BS'!M44</f>
        <v/>
      </c>
      <c r="N44" s="6">
        <f>'BALANCE SHEET'!E44</f>
        <v/>
      </c>
    </row>
    <row r="45">
      <c r="A45" s="3" t="inlineStr">
        <is>
          <t>Total Liabilities, Mezzanine &amp; Stockholders' Equity</t>
        </is>
      </c>
      <c r="B45" s="6">
        <f>'BALANCE SHEET'!B45</f>
        <v/>
      </c>
      <c r="C45" s="6">
        <f>'YTD BS'!C45</f>
        <v/>
      </c>
      <c r="D45" s="6">
        <f>'YTD BS'!D45</f>
        <v/>
      </c>
      <c r="E45" s="6">
        <f>'YTD BS'!E45</f>
        <v/>
      </c>
      <c r="F45" s="6">
        <f>'BALANCE SHEET'!C45</f>
        <v/>
      </c>
      <c r="G45" s="6">
        <f>'YTD BS'!G45</f>
        <v/>
      </c>
      <c r="H45" s="6">
        <f>'YTD BS'!H45</f>
        <v/>
      </c>
      <c r="I45" s="6">
        <f>'YTD BS'!I45</f>
        <v/>
      </c>
      <c r="J45" s="6">
        <f>'BALANCE SHEET'!D45</f>
        <v/>
      </c>
      <c r="K45" s="6">
        <f>'YTD BS'!K45</f>
        <v/>
      </c>
      <c r="L45" s="6">
        <f>'YTD BS'!L45</f>
        <v/>
      </c>
      <c r="M45" s="6">
        <f>'YTD BS'!M45</f>
        <v/>
      </c>
      <c r="N45" s="6">
        <f>'BALANCE SHEET'!E45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</row>
    <row r="2">
      <c r="A2" s="3" t="inlineStr">
        <is>
          <t>Net Income (Loss)</t>
        </is>
      </c>
      <c r="B2" s="4">
        <f>'YTD CF'!B2</f>
        <v/>
      </c>
      <c r="C2" s="4">
        <f>'YTD CF'!C2-'YTD CF'!B2</f>
        <v/>
      </c>
      <c r="D2" s="4">
        <f>'YTD CF'!D2-'YTD CF'!C2</f>
        <v/>
      </c>
      <c r="E2" s="4">
        <f>'CASH FLOW'!C2-'YTD CF'!D2</f>
        <v/>
      </c>
      <c r="F2" s="4">
        <f>'YTD CF'!E2</f>
        <v/>
      </c>
      <c r="G2" s="4">
        <f>'YTD CF'!F2-'YTD CF'!E2</f>
        <v/>
      </c>
      <c r="H2" s="4">
        <f>'YTD CF'!G2-'YTD CF'!F2</f>
        <v/>
      </c>
      <c r="I2" s="4">
        <f>'CASH FLOW'!D2-'YTD CF'!G2</f>
        <v/>
      </c>
      <c r="J2" s="4">
        <f>'YTD CF'!H2</f>
        <v/>
      </c>
      <c r="K2" s="4">
        <f>'YTD CF'!I2-'YTD CF'!H2</f>
        <v/>
      </c>
      <c r="L2" s="4">
        <f>'YTD CF'!J2-'YTD CF'!I2</f>
        <v/>
      </c>
      <c r="M2" s="4">
        <f>'CASH FLOW'!E2-'YTD CF'!J2</f>
        <v/>
      </c>
      <c r="N2" s="4">
        <f>'YTD CF'!K2</f>
        <v/>
      </c>
      <c r="O2" s="4">
        <f>'YTD CF'!L2-'YTD CF'!K2</f>
        <v/>
      </c>
      <c r="P2" s="4">
        <f>'YTD CF'!M2-'YTD CF'!L2</f>
        <v/>
      </c>
      <c r="Q2" s="4">
        <f>'CASH FLOW'!F2-'YTD CF'!M2</f>
        <v/>
      </c>
    </row>
    <row r="3">
      <c r="A3" s="3" t="inlineStr">
        <is>
          <t>Depreciation</t>
        </is>
      </c>
      <c r="B3" s="4">
        <f>'YTD CF'!B3</f>
        <v/>
      </c>
      <c r="C3" s="4">
        <f>'YTD CF'!C3-'YTD CF'!B3</f>
        <v/>
      </c>
      <c r="D3" s="4">
        <f>'YTD CF'!D3-'YTD CF'!C3</f>
        <v/>
      </c>
      <c r="F3" s="4">
        <f>'YTD CF'!E3</f>
        <v/>
      </c>
      <c r="G3" s="4">
        <f>'YTD CF'!F3-'YTD CF'!E3</f>
        <v/>
      </c>
      <c r="H3" s="4">
        <f>'YTD CF'!G3-'YTD CF'!F3</f>
        <v/>
      </c>
      <c r="J3" s="4">
        <f>'YTD CF'!H3</f>
        <v/>
      </c>
      <c r="K3" s="4">
        <f>'YTD CF'!I3-'YTD CF'!H3</f>
        <v/>
      </c>
      <c r="L3" s="4">
        <f>'YTD CF'!J3-'YTD CF'!I3</f>
        <v/>
      </c>
      <c r="N3" s="4">
        <f>'YTD CF'!K3</f>
        <v/>
      </c>
      <c r="O3" s="4">
        <f>'YTD CF'!L3-'YTD CF'!K3</f>
        <v/>
      </c>
      <c r="P3" s="4">
        <f>'YTD CF'!M3-'YTD CF'!L3</f>
        <v/>
      </c>
    </row>
    <row r="4">
      <c r="A4" s="3" t="inlineStr">
        <is>
          <t>Amortization</t>
        </is>
      </c>
      <c r="B4" s="4">
        <f>'YTD CF'!B4</f>
        <v/>
      </c>
      <c r="C4" s="4">
        <f>'YTD CF'!C4-'YTD CF'!B4</f>
        <v/>
      </c>
      <c r="D4" s="4">
        <f>'YTD CF'!D4-'YTD CF'!C4</f>
        <v/>
      </c>
      <c r="F4" s="4">
        <f>'YTD CF'!E4</f>
        <v/>
      </c>
      <c r="G4" s="4">
        <f>'YTD CF'!F4-'YTD CF'!E4</f>
        <v/>
      </c>
      <c r="H4" s="4">
        <f>'YTD CF'!G4-'YTD CF'!F4</f>
        <v/>
      </c>
      <c r="J4" s="4">
        <f>'YTD CF'!H4</f>
        <v/>
      </c>
      <c r="K4" s="4">
        <f>'YTD CF'!I4-'YTD CF'!H4</f>
        <v/>
      </c>
      <c r="L4" s="4">
        <f>'YTD CF'!J4-'YTD CF'!I4</f>
        <v/>
      </c>
      <c r="N4" s="4">
        <f>'YTD CF'!K4</f>
        <v/>
      </c>
      <c r="O4" s="4">
        <f>'YTD CF'!L4-'YTD CF'!K4</f>
        <v/>
      </c>
      <c r="P4" s="4">
        <f>'YTD CF'!M4-'YTD CF'!L4</f>
        <v/>
      </c>
    </row>
    <row r="5">
      <c r="A5" s="3" t="inlineStr">
        <is>
          <t>Impairment of Intangibles</t>
        </is>
      </c>
      <c r="B5" s="4">
        <f>'YTD CF'!B5</f>
        <v/>
      </c>
      <c r="C5" s="4">
        <f>'YTD CF'!C5-'YTD CF'!B5</f>
        <v/>
      </c>
      <c r="D5" s="4">
        <f>'YTD CF'!D5-'YTD CF'!C5</f>
        <v/>
      </c>
      <c r="E5" s="4">
        <f>'CASH FLOW'!C4-'YTD CF'!D5</f>
        <v/>
      </c>
      <c r="F5" s="4">
        <f>'YTD CF'!E5</f>
        <v/>
      </c>
      <c r="G5" s="4">
        <f>'YTD CF'!F5-'YTD CF'!E5</f>
        <v/>
      </c>
      <c r="H5" s="4">
        <f>'YTD CF'!G5-'YTD CF'!F5</f>
        <v/>
      </c>
      <c r="I5" s="4">
        <f>'CASH FLOW'!D4-'YTD CF'!G5</f>
        <v/>
      </c>
      <c r="J5" s="4">
        <f>'YTD CF'!H5</f>
        <v/>
      </c>
      <c r="K5" s="4">
        <f>'YTD CF'!I5-'YTD CF'!H5</f>
        <v/>
      </c>
      <c r="L5" s="4">
        <f>'YTD CF'!J5-'YTD CF'!I5</f>
        <v/>
      </c>
      <c r="M5" s="4">
        <f>'CASH FLOW'!E4-'YTD CF'!J5</f>
        <v/>
      </c>
      <c r="N5" s="4">
        <f>'YTD CF'!K5</f>
        <v/>
      </c>
      <c r="O5" s="4">
        <f>'YTD CF'!L5-'YTD CF'!K5</f>
        <v/>
      </c>
      <c r="P5" s="4">
        <f>'YTD CF'!M5-'YTD CF'!L5</f>
        <v/>
      </c>
      <c r="Q5" s="4">
        <f>'CASH FLOW'!F4-'YTD CF'!M5</f>
        <v/>
      </c>
    </row>
    <row r="6">
      <c r="A6" s="3" t="inlineStr">
        <is>
          <t>Depreciation &amp; Amortization</t>
        </is>
      </c>
      <c r="B6" s="4">
        <f>'YTD CF'!B6</f>
        <v/>
      </c>
      <c r="C6" s="4">
        <f>'YTD CF'!C6-'YTD CF'!B6</f>
        <v/>
      </c>
      <c r="D6" s="4">
        <f>'YTD CF'!D6-'YTD CF'!C6</f>
        <v/>
      </c>
      <c r="E6" s="4">
        <f>'CASH FLOW'!C3-'YTD CF'!D6</f>
        <v/>
      </c>
      <c r="F6" s="4">
        <f>'YTD CF'!E6</f>
        <v/>
      </c>
      <c r="G6" s="4">
        <f>'YTD CF'!F6-'YTD CF'!E6</f>
        <v/>
      </c>
      <c r="H6" s="4">
        <f>'YTD CF'!G6-'YTD CF'!F6</f>
        <v/>
      </c>
      <c r="I6" s="4">
        <f>'CASH FLOW'!D3-'YTD CF'!G6</f>
        <v/>
      </c>
      <c r="J6" s="4">
        <f>'YTD CF'!H6</f>
        <v/>
      </c>
      <c r="K6" s="4">
        <f>'YTD CF'!I6-'YTD CF'!H6</f>
        <v/>
      </c>
      <c r="L6" s="4">
        <f>'YTD CF'!J6-'YTD CF'!I6</f>
        <v/>
      </c>
      <c r="M6" s="4">
        <f>'CASH FLOW'!E3-'YTD CF'!J6</f>
        <v/>
      </c>
      <c r="N6" s="4">
        <f>'YTD CF'!K6</f>
        <v/>
      </c>
      <c r="O6" s="4">
        <f>'YTD CF'!L6-'YTD CF'!K6</f>
        <v/>
      </c>
      <c r="P6" s="4">
        <f>'YTD CF'!M6-'YTD CF'!L6</f>
        <v/>
      </c>
      <c r="Q6" s="4">
        <f>'CASH FLOW'!F3-'YTD CF'!M6</f>
        <v/>
      </c>
    </row>
    <row r="7">
      <c r="A7" s="3" t="inlineStr">
        <is>
          <t>Allowance for Credit Losses</t>
        </is>
      </c>
      <c r="B7" s="4">
        <f>'YTD CF'!B7</f>
        <v/>
      </c>
      <c r="C7" s="4">
        <f>'YTD CF'!C7-'YTD CF'!B7</f>
        <v/>
      </c>
      <c r="D7" s="4">
        <f>'YTD CF'!D7-'YTD CF'!C7</f>
        <v/>
      </c>
      <c r="E7" s="4">
        <f>'CASH FLOW'!C5-'YTD CF'!D7</f>
        <v/>
      </c>
      <c r="F7" s="4">
        <f>'YTD CF'!E7</f>
        <v/>
      </c>
      <c r="G7" s="4">
        <f>'YTD CF'!F7-'YTD CF'!E7</f>
        <v/>
      </c>
      <c r="H7" s="4">
        <f>'YTD CF'!G7-'YTD CF'!F7</f>
        <v/>
      </c>
      <c r="I7" s="4">
        <f>'CASH FLOW'!D5-'YTD CF'!G7</f>
        <v/>
      </c>
      <c r="J7" s="4">
        <f>'YTD CF'!H7</f>
        <v/>
      </c>
      <c r="K7" s="4">
        <f>'YTD CF'!I7-'YTD CF'!H7</f>
        <v/>
      </c>
      <c r="L7" s="4">
        <f>'YTD CF'!J7-'YTD CF'!I7</f>
        <v/>
      </c>
      <c r="M7" s="4">
        <f>'CASH FLOW'!E5-'YTD CF'!J7</f>
        <v/>
      </c>
      <c r="N7" s="4">
        <f>'YTD CF'!K7</f>
        <v/>
      </c>
      <c r="O7" s="4">
        <f>'YTD CF'!L7-'YTD CF'!K7</f>
        <v/>
      </c>
      <c r="P7" s="4">
        <f>'YTD CF'!M7-'YTD CF'!L7</f>
        <v/>
      </c>
      <c r="Q7" s="4">
        <f>'CASH FLOW'!F5-'YTD CF'!M7</f>
        <v/>
      </c>
    </row>
    <row r="8">
      <c r="A8" s="3" t="inlineStr">
        <is>
          <t>Amortization of Deferred Other Costs</t>
        </is>
      </c>
      <c r="B8" s="4">
        <f>'YTD CF'!B8</f>
        <v/>
      </c>
      <c r="C8" s="4">
        <f>'YTD CF'!C8-'YTD CF'!B8</f>
        <v/>
      </c>
      <c r="D8" s="4">
        <f>'YTD CF'!D8-'YTD CF'!C8</f>
        <v/>
      </c>
      <c r="E8" s="4">
        <f>'CASH FLOW'!C6-'YTD CF'!D8</f>
        <v/>
      </c>
      <c r="F8" s="4">
        <f>'YTD CF'!E8</f>
        <v/>
      </c>
      <c r="G8" s="4">
        <f>'YTD CF'!F8-'YTD CF'!E8</f>
        <v/>
      </c>
      <c r="H8" s="4">
        <f>'YTD CF'!G8-'YTD CF'!F8</f>
        <v/>
      </c>
      <c r="I8" s="4">
        <f>'CASH FLOW'!D6-'YTD CF'!G8</f>
        <v/>
      </c>
      <c r="J8" s="4">
        <f>'YTD CF'!H8</f>
        <v/>
      </c>
      <c r="K8" s="4">
        <f>'YTD CF'!I8-'YTD CF'!H8</f>
        <v/>
      </c>
      <c r="L8" s="4">
        <f>'YTD CF'!J8-'YTD CF'!I8</f>
        <v/>
      </c>
      <c r="M8" s="4">
        <f>'CASH FLOW'!E6-'YTD CF'!J8</f>
        <v/>
      </c>
      <c r="N8" s="4">
        <f>'YTD CF'!K8</f>
        <v/>
      </c>
      <c r="O8" s="4">
        <f>'YTD CF'!L8-'YTD CF'!K8</f>
        <v/>
      </c>
      <c r="P8" s="4">
        <f>'YTD CF'!M8-'YTD CF'!L8</f>
        <v/>
      </c>
      <c r="Q8" s="4">
        <f>'CASH FLOW'!F6-'YTD CF'!M8</f>
        <v/>
      </c>
    </row>
    <row r="9">
      <c r="A9" s="3" t="inlineStr">
        <is>
          <t>Inventory Write-Down</t>
        </is>
      </c>
      <c r="B9" s="4">
        <f>'YTD CF'!B9</f>
        <v/>
      </c>
      <c r="C9" s="4">
        <f>'YTD CF'!C9-'YTD CF'!B9</f>
        <v/>
      </c>
      <c r="D9" s="4">
        <f>'YTD CF'!D9-'YTD CF'!C9</f>
        <v/>
      </c>
      <c r="E9" s="4">
        <f>'CASH FLOW'!C7-'YTD CF'!D9</f>
        <v/>
      </c>
      <c r="F9" s="4">
        <f>'YTD CF'!E9</f>
        <v/>
      </c>
      <c r="G9" s="4">
        <f>'YTD CF'!F9-'YTD CF'!E9</f>
        <v/>
      </c>
      <c r="H9" s="4">
        <f>'YTD CF'!G9-'YTD CF'!F9</f>
        <v/>
      </c>
      <c r="I9" s="4">
        <f>'CASH FLOW'!D7-'YTD CF'!G9</f>
        <v/>
      </c>
      <c r="J9" s="4">
        <f>'YTD CF'!H9</f>
        <v/>
      </c>
      <c r="K9" s="4">
        <f>'YTD CF'!I9-'YTD CF'!H9</f>
        <v/>
      </c>
      <c r="L9" s="4">
        <f>'YTD CF'!J9-'YTD CF'!I9</f>
        <v/>
      </c>
      <c r="M9" s="4">
        <f>'CASH FLOW'!E7-'YTD CF'!J9</f>
        <v/>
      </c>
      <c r="N9" s="4">
        <f>'YTD CF'!K9</f>
        <v/>
      </c>
      <c r="O9" s="4">
        <f>'YTD CF'!L9-'YTD CF'!K9</f>
        <v/>
      </c>
      <c r="P9" s="4">
        <f>'YTD CF'!M9-'YTD CF'!L9</f>
        <v/>
      </c>
      <c r="Q9" s="4">
        <f>'CASH FLOW'!F7-'YTD CF'!M9</f>
        <v/>
      </c>
    </row>
    <row r="10">
      <c r="A10" s="3" t="inlineStr">
        <is>
          <t>Gain (Loss) on Disposal of PP&amp;E</t>
        </is>
      </c>
      <c r="B10" s="4">
        <f>'YTD CF'!B10</f>
        <v/>
      </c>
      <c r="C10" s="4">
        <f>'YTD CF'!C10-'YTD CF'!B10</f>
        <v/>
      </c>
      <c r="D10" s="4">
        <f>'YTD CF'!D10-'YTD CF'!C10</f>
        <v/>
      </c>
      <c r="E10" s="4">
        <f>'CASH FLOW'!C8-'YTD CF'!D10</f>
        <v/>
      </c>
      <c r="F10" s="4">
        <f>'YTD CF'!E10</f>
        <v/>
      </c>
      <c r="G10" s="4">
        <f>'YTD CF'!F10-'YTD CF'!E10</f>
        <v/>
      </c>
      <c r="H10" s="4">
        <f>'YTD CF'!G10-'YTD CF'!F10</f>
        <v/>
      </c>
      <c r="I10" s="4">
        <f>'CASH FLOW'!D8-'YTD CF'!G10</f>
        <v/>
      </c>
      <c r="J10" s="4">
        <f>'YTD CF'!H10</f>
        <v/>
      </c>
      <c r="K10" s="4">
        <f>'YTD CF'!I10-'YTD CF'!H10</f>
        <v/>
      </c>
      <c r="L10" s="4">
        <f>'YTD CF'!J10-'YTD CF'!I10</f>
        <v/>
      </c>
      <c r="M10" s="4">
        <f>'CASH FLOW'!E8-'YTD CF'!J10</f>
        <v/>
      </c>
      <c r="N10" s="4">
        <f>'YTD CF'!K10</f>
        <v/>
      </c>
      <c r="O10" s="4">
        <f>'YTD CF'!L10-'YTD CF'!K10</f>
        <v/>
      </c>
      <c r="P10" s="4">
        <f>'YTD CF'!M10-'YTD CF'!L10</f>
        <v/>
      </c>
      <c r="Q10" s="4">
        <f>'CASH FLOW'!F8-'YTD CF'!M10</f>
        <v/>
      </c>
    </row>
    <row r="11">
      <c r="A11" s="3" t="inlineStr">
        <is>
          <t>Stock-Based Compensation</t>
        </is>
      </c>
      <c r="B11" s="4">
        <f>'YTD CF'!B11</f>
        <v/>
      </c>
      <c r="C11" s="4">
        <f>'YTD CF'!C11-'YTD CF'!B11</f>
        <v/>
      </c>
      <c r="D11" s="4">
        <f>'YTD CF'!D11-'YTD CF'!C11</f>
        <v/>
      </c>
      <c r="E11" s="4">
        <f>'CASH FLOW'!C9-'YTD CF'!D11</f>
        <v/>
      </c>
      <c r="F11" s="4">
        <f>'YTD CF'!E11</f>
        <v/>
      </c>
      <c r="G11" s="4">
        <f>'YTD CF'!F11-'YTD CF'!E11</f>
        <v/>
      </c>
      <c r="H11" s="4">
        <f>'YTD CF'!G11-'YTD CF'!F11</f>
        <v/>
      </c>
      <c r="I11" s="4">
        <f>'CASH FLOW'!D9-'YTD CF'!G11</f>
        <v/>
      </c>
      <c r="J11" s="4">
        <f>'YTD CF'!H11</f>
        <v/>
      </c>
      <c r="K11" s="4">
        <f>'YTD CF'!I11-'YTD CF'!H11</f>
        <v/>
      </c>
      <c r="L11" s="4">
        <f>'YTD CF'!J11-'YTD CF'!I11</f>
        <v/>
      </c>
      <c r="M11" s="4">
        <f>'CASH FLOW'!E9-'YTD CF'!J11</f>
        <v/>
      </c>
      <c r="N11" s="4">
        <f>'YTD CF'!K11</f>
        <v/>
      </c>
      <c r="O11" s="4">
        <f>'YTD CF'!L11-'YTD CF'!K11</f>
        <v/>
      </c>
      <c r="P11" s="4">
        <f>'YTD CF'!M11-'YTD CF'!L11</f>
        <v/>
      </c>
      <c r="Q11" s="4">
        <f>'CASH FLOW'!F9-'YTD CF'!M11</f>
        <v/>
      </c>
    </row>
    <row r="12">
      <c r="A12" s="3" t="inlineStr">
        <is>
          <t>(Benefit) Provision for Deferred Income Taxes</t>
        </is>
      </c>
      <c r="B12" s="4">
        <f>'YTD CF'!B12</f>
        <v/>
      </c>
      <c r="C12" s="4">
        <f>'YTD CF'!C12-'YTD CF'!B12</f>
        <v/>
      </c>
      <c r="D12" s="4">
        <f>'YTD CF'!D12-'YTD CF'!C12</f>
        <v/>
      </c>
      <c r="E12" s="4">
        <f>'CASH FLOW'!C10-'YTD CF'!D12</f>
        <v/>
      </c>
      <c r="F12" s="4">
        <f>'YTD CF'!E12</f>
        <v/>
      </c>
      <c r="G12" s="4">
        <f>'YTD CF'!F12-'YTD CF'!E12</f>
        <v/>
      </c>
      <c r="H12" s="4">
        <f>'YTD CF'!G12-'YTD CF'!F12</f>
        <v/>
      </c>
      <c r="I12" s="4">
        <f>'CASH FLOW'!D10-'YTD CF'!G12</f>
        <v/>
      </c>
      <c r="J12" s="4">
        <f>'YTD CF'!H12</f>
        <v/>
      </c>
      <c r="K12" s="4">
        <f>'YTD CF'!I12-'YTD CF'!H12</f>
        <v/>
      </c>
      <c r="L12" s="4">
        <f>'YTD CF'!J12-'YTD CF'!I12</f>
        <v/>
      </c>
      <c r="M12" s="4">
        <f>'CASH FLOW'!E10-'YTD CF'!J12</f>
        <v/>
      </c>
      <c r="N12" s="4">
        <f>'YTD CF'!K12</f>
        <v/>
      </c>
      <c r="O12" s="4">
        <f>'YTD CF'!L12-'YTD CF'!K12</f>
        <v/>
      </c>
      <c r="P12" s="4">
        <f>'YTD CF'!M12-'YTD CF'!L12</f>
        <v/>
      </c>
      <c r="Q12" s="4">
        <f>'CASH FLOW'!F10-'YTD CF'!M12</f>
        <v/>
      </c>
    </row>
    <row r="13">
      <c r="A13" s="3" t="inlineStr">
        <is>
          <t>Foreign Currency Gain (Loss)</t>
        </is>
      </c>
      <c r="B13" s="4">
        <f>'YTD CF'!B13</f>
        <v/>
      </c>
      <c r="C13" s="4">
        <f>'YTD CF'!C13-'YTD CF'!B13</f>
        <v/>
      </c>
      <c r="D13" s="4">
        <f>'YTD CF'!D13-'YTD CF'!C13</f>
        <v/>
      </c>
      <c r="E13" s="4">
        <f>'CASH FLOW'!C11-'YTD CF'!D13</f>
        <v/>
      </c>
      <c r="F13" s="4">
        <f>'YTD CF'!E13</f>
        <v/>
      </c>
      <c r="G13" s="4">
        <f>'YTD CF'!F13-'YTD CF'!E13</f>
        <v/>
      </c>
      <c r="H13" s="4">
        <f>'YTD CF'!G13-'YTD CF'!F13</f>
        <v/>
      </c>
      <c r="I13" s="4">
        <f>'CASH FLOW'!D11-'YTD CF'!G13</f>
        <v/>
      </c>
      <c r="J13" s="4">
        <f>'YTD CF'!H13</f>
        <v/>
      </c>
      <c r="K13" s="4">
        <f>'YTD CF'!I13-'YTD CF'!H13</f>
        <v/>
      </c>
      <c r="L13" s="4">
        <f>'YTD CF'!J13-'YTD CF'!I13</f>
        <v/>
      </c>
      <c r="M13" s="4">
        <f>'CASH FLOW'!E11-'YTD CF'!J13</f>
        <v/>
      </c>
      <c r="N13" s="4">
        <f>'YTD CF'!K13</f>
        <v/>
      </c>
      <c r="O13" s="4">
        <f>'YTD CF'!L13-'YTD CF'!K13</f>
        <v/>
      </c>
      <c r="P13" s="4">
        <f>'YTD CF'!M13-'YTD CF'!L13</f>
        <v/>
      </c>
      <c r="Q13" s="4">
        <f>'CASH FLOW'!F11-'YTD CF'!M13</f>
        <v/>
      </c>
    </row>
    <row r="14">
      <c r="A14" s="3" t="inlineStr">
        <is>
          <t>Gain (Loss) on Lease Cancellations</t>
        </is>
      </c>
      <c r="B14" s="4">
        <f>'YTD CF'!B14</f>
        <v/>
      </c>
      <c r="C14" s="4">
        <f>'YTD CF'!C14-'YTD CF'!B14</f>
        <v/>
      </c>
      <c r="D14" s="4">
        <f>'YTD CF'!D14-'YTD CF'!C14</f>
        <v/>
      </c>
      <c r="E14" s="4">
        <f>'CASH FLOW'!C12-'YTD CF'!D14</f>
        <v/>
      </c>
      <c r="F14" s="4">
        <f>'YTD CF'!E14</f>
        <v/>
      </c>
      <c r="G14" s="4">
        <f>'YTD CF'!F14-'YTD CF'!E14</f>
        <v/>
      </c>
      <c r="H14" s="4">
        <f>'YTD CF'!G14-'YTD CF'!F14</f>
        <v/>
      </c>
      <c r="I14" s="4">
        <f>'CASH FLOW'!D12-'YTD CF'!G14</f>
        <v/>
      </c>
      <c r="J14" s="4">
        <f>'YTD CF'!H14</f>
        <v/>
      </c>
      <c r="K14" s="4">
        <f>'YTD CF'!I14-'YTD CF'!H14</f>
        <v/>
      </c>
      <c r="L14" s="4">
        <f>'YTD CF'!J14-'YTD CF'!I14</f>
        <v/>
      </c>
      <c r="M14" s="4">
        <f>'CASH FLOW'!E12-'YTD CF'!J14</f>
        <v/>
      </c>
      <c r="N14" s="4">
        <f>'YTD CF'!K14</f>
        <v/>
      </c>
      <c r="O14" s="4">
        <f>'YTD CF'!L14-'YTD CF'!K14</f>
        <v/>
      </c>
      <c r="P14" s="4">
        <f>'YTD CF'!M14-'YTD CF'!L14</f>
        <v/>
      </c>
      <c r="Q14" s="4">
        <f>'CASH FLOW'!F12-'YTD CF'!M14</f>
        <v/>
      </c>
    </row>
    <row r="15">
      <c r="A15" s="3" t="inlineStr">
        <is>
          <t>Change in Fair Value of Contingent Consideration</t>
        </is>
      </c>
      <c r="B15" s="4">
        <f>'YTD CF'!B15</f>
        <v/>
      </c>
      <c r="C15" s="4">
        <f>'YTD CF'!C15-'YTD CF'!B15</f>
        <v/>
      </c>
      <c r="D15" s="4">
        <f>'YTD CF'!D15-'YTD CF'!C15</f>
        <v/>
      </c>
      <c r="E15" s="4">
        <f>'CASH FLOW'!C13-'YTD CF'!D15</f>
        <v/>
      </c>
      <c r="F15" s="4">
        <f>'YTD CF'!E15</f>
        <v/>
      </c>
      <c r="G15" s="4">
        <f>'YTD CF'!F15-'YTD CF'!E15</f>
        <v/>
      </c>
      <c r="H15" s="4">
        <f>'YTD CF'!G15-'YTD CF'!F15</f>
        <v/>
      </c>
      <c r="I15" s="4">
        <f>'CASH FLOW'!D13-'YTD CF'!G15</f>
        <v/>
      </c>
      <c r="J15" s="4">
        <f>'YTD CF'!H15</f>
        <v/>
      </c>
      <c r="K15" s="4">
        <f>'YTD CF'!I15-'YTD CF'!H15</f>
        <v/>
      </c>
      <c r="L15" s="4">
        <f>'YTD CF'!J15-'YTD CF'!I15</f>
        <v/>
      </c>
      <c r="M15" s="4">
        <f>'CASH FLOW'!E13-'YTD CF'!J15</f>
        <v/>
      </c>
      <c r="N15" s="4">
        <f>'YTD CF'!K15</f>
        <v/>
      </c>
      <c r="O15" s="4">
        <f>'YTD CF'!L15-'YTD CF'!K15</f>
        <v/>
      </c>
      <c r="P15" s="4">
        <f>'YTD CF'!M15-'YTD CF'!L15</f>
        <v/>
      </c>
      <c r="Q15" s="4">
        <f>'CASH FLOW'!F13-'YTD CF'!M15</f>
        <v/>
      </c>
    </row>
    <row r="16">
      <c r="A16" s="3" t="inlineStr">
        <is>
          <t>Gain (Loss) on Extinguishment of Debt</t>
        </is>
      </c>
      <c r="B16" s="4">
        <f>'YTD CF'!B16</f>
        <v/>
      </c>
      <c r="C16" s="4">
        <f>'YTD CF'!C16-'YTD CF'!B16</f>
        <v/>
      </c>
      <c r="D16" s="4">
        <f>'YTD CF'!D16-'YTD CF'!C16</f>
        <v/>
      </c>
      <c r="E16" s="4">
        <f>'CASH FLOW'!C14-'YTD CF'!D16</f>
        <v/>
      </c>
      <c r="F16" s="4">
        <f>'YTD CF'!E16</f>
        <v/>
      </c>
      <c r="G16" s="4">
        <f>'YTD CF'!F16-'YTD CF'!E16</f>
        <v/>
      </c>
      <c r="H16" s="4">
        <f>'YTD CF'!G16-'YTD CF'!F16</f>
        <v/>
      </c>
      <c r="I16" s="4">
        <f>'CASH FLOW'!D14-'YTD CF'!G16</f>
        <v/>
      </c>
      <c r="J16" s="4">
        <f>'YTD CF'!H16</f>
        <v/>
      </c>
      <c r="K16" s="4">
        <f>'YTD CF'!I16-'YTD CF'!H16</f>
        <v/>
      </c>
      <c r="L16" s="4">
        <f>'YTD CF'!J16-'YTD CF'!I16</f>
        <v/>
      </c>
      <c r="M16" s="4">
        <f>'CASH FLOW'!E14-'YTD CF'!J16</f>
        <v/>
      </c>
      <c r="N16" s="4">
        <f>'YTD CF'!K16</f>
        <v/>
      </c>
      <c r="O16" s="4">
        <f>'YTD CF'!L16-'YTD CF'!K16</f>
        <v/>
      </c>
      <c r="P16" s="4">
        <f>'YTD CF'!M16-'YTD CF'!L16</f>
        <v/>
      </c>
      <c r="Q16" s="4">
        <f>'CASH FLOW'!F14-'YTD CF'!M16</f>
        <v/>
      </c>
    </row>
    <row r="17">
      <c r="A17" s="3" t="inlineStr">
        <is>
          <t>Other Operating Items</t>
        </is>
      </c>
      <c r="B17" s="4">
        <f>'YTD CF'!B17</f>
        <v/>
      </c>
      <c r="C17" s="4">
        <f>'YTD CF'!C17-'YTD CF'!B17</f>
        <v/>
      </c>
      <c r="D17" s="4">
        <f>'YTD CF'!D17-'YTD CF'!C17</f>
        <v/>
      </c>
      <c r="E17" s="4">
        <f>'CASH FLOW'!C15-'YTD CF'!D17</f>
        <v/>
      </c>
      <c r="F17" s="4">
        <f>'YTD CF'!E17</f>
        <v/>
      </c>
      <c r="G17" s="4">
        <f>'YTD CF'!F17-'YTD CF'!E17</f>
        <v/>
      </c>
      <c r="H17" s="4">
        <f>'YTD CF'!G17-'YTD CF'!F17</f>
        <v/>
      </c>
      <c r="I17" s="4">
        <f>'CASH FLOW'!D15-'YTD CF'!G17</f>
        <v/>
      </c>
      <c r="J17" s="4">
        <f>'YTD CF'!H17</f>
        <v/>
      </c>
      <c r="K17" s="4">
        <f>'YTD CF'!I17-'YTD CF'!H17</f>
        <v/>
      </c>
      <c r="L17" s="4">
        <f>'YTD CF'!J17-'YTD CF'!I17</f>
        <v/>
      </c>
      <c r="M17" s="4">
        <f>'CASH FLOW'!E15-'YTD CF'!J17</f>
        <v/>
      </c>
      <c r="N17" s="4">
        <f>'YTD CF'!K17</f>
        <v/>
      </c>
      <c r="O17" s="4">
        <f>'YTD CF'!L17-'YTD CF'!K17</f>
        <v/>
      </c>
      <c r="P17" s="4">
        <f>'YTD CF'!M17-'YTD CF'!L17</f>
        <v/>
      </c>
      <c r="Q17" s="4">
        <f>'CASH FLOW'!F15-'YTD CF'!M17</f>
        <v/>
      </c>
    </row>
    <row r="18">
      <c r="A18" s="3" t="inlineStr">
        <is>
          <t>Accounts Receivable</t>
        </is>
      </c>
      <c r="B18" s="4">
        <f>'YTD CF'!B18</f>
        <v/>
      </c>
      <c r="C18" s="4">
        <f>'YTD CF'!C18-'YTD CF'!B18</f>
        <v/>
      </c>
      <c r="D18" s="4">
        <f>'YTD CF'!D18-'YTD CF'!C18</f>
        <v/>
      </c>
      <c r="E18" s="4">
        <f>'CASH FLOW'!C16-'YTD CF'!D18</f>
        <v/>
      </c>
      <c r="F18" s="4">
        <f>'YTD CF'!E18</f>
        <v/>
      </c>
      <c r="G18" s="4">
        <f>'YTD CF'!F18-'YTD CF'!E18</f>
        <v/>
      </c>
      <c r="H18" s="4">
        <f>'YTD CF'!G18-'YTD CF'!F18</f>
        <v/>
      </c>
      <c r="I18" s="4">
        <f>'CASH FLOW'!D16-'YTD CF'!G18</f>
        <v/>
      </c>
      <c r="J18" s="4">
        <f>'YTD CF'!H18</f>
        <v/>
      </c>
      <c r="K18" s="4">
        <f>'YTD CF'!I18-'YTD CF'!H18</f>
        <v/>
      </c>
      <c r="L18" s="4">
        <f>'YTD CF'!J18-'YTD CF'!I18</f>
        <v/>
      </c>
      <c r="M18" s="4">
        <f>'CASH FLOW'!E16-'YTD CF'!J18</f>
        <v/>
      </c>
      <c r="N18" s="4">
        <f>'YTD CF'!K18</f>
        <v/>
      </c>
      <c r="O18" s="4">
        <f>'YTD CF'!L18-'YTD CF'!K18</f>
        <v/>
      </c>
      <c r="P18" s="4">
        <f>'YTD CF'!M18-'YTD CF'!L18</f>
        <v/>
      </c>
      <c r="Q18" s="4">
        <f>'CASH FLOW'!F16-'YTD CF'!M18</f>
        <v/>
      </c>
    </row>
    <row r="19">
      <c r="A19" s="3" t="inlineStr">
        <is>
          <t>Note Receivable</t>
        </is>
      </c>
      <c r="B19" s="4">
        <f>'YTD CF'!B19</f>
        <v/>
      </c>
      <c r="C19" s="4">
        <f>'YTD CF'!C19-'YTD CF'!B19</f>
        <v/>
      </c>
      <c r="D19" s="4">
        <f>'YTD CF'!D19-'YTD CF'!C19</f>
        <v/>
      </c>
      <c r="E19" s="4">
        <f>'CASH FLOW'!C17-'YTD CF'!D19</f>
        <v/>
      </c>
      <c r="F19" s="4">
        <f>'YTD CF'!E19</f>
        <v/>
      </c>
      <c r="G19" s="4">
        <f>'YTD CF'!F19-'YTD CF'!E19</f>
        <v/>
      </c>
      <c r="H19" s="4">
        <f>'YTD CF'!G19-'YTD CF'!F19</f>
        <v/>
      </c>
      <c r="I19" s="4">
        <f>'CASH FLOW'!D17-'YTD CF'!G19</f>
        <v/>
      </c>
      <c r="J19" s="4">
        <f>'YTD CF'!H19</f>
        <v/>
      </c>
      <c r="K19" s="4">
        <f>'YTD CF'!I19-'YTD CF'!H19</f>
        <v/>
      </c>
      <c r="L19" s="4">
        <f>'YTD CF'!J19-'YTD CF'!I19</f>
        <v/>
      </c>
      <c r="M19" s="4">
        <f>'CASH FLOW'!E17-'YTD CF'!J19</f>
        <v/>
      </c>
      <c r="N19" s="4">
        <f>'YTD CF'!K19</f>
        <v/>
      </c>
      <c r="O19" s="4">
        <f>'YTD CF'!L19-'YTD CF'!K19</f>
        <v/>
      </c>
      <c r="P19" s="4">
        <f>'YTD CF'!M19-'YTD CF'!L19</f>
        <v/>
      </c>
      <c r="Q19" s="4">
        <f>'CASH FLOW'!F17-'YTD CF'!M19</f>
        <v/>
      </c>
    </row>
    <row r="20">
      <c r="A20" s="3" t="inlineStr">
        <is>
          <t>Inventories</t>
        </is>
      </c>
      <c r="B20" s="4">
        <f>'YTD CF'!B20</f>
        <v/>
      </c>
      <c r="C20" s="4">
        <f>'YTD CF'!C20-'YTD CF'!B20</f>
        <v/>
      </c>
      <c r="D20" s="4">
        <f>'YTD CF'!D20-'YTD CF'!C20</f>
        <v/>
      </c>
      <c r="E20" s="4">
        <f>'CASH FLOW'!C18-'YTD CF'!D20</f>
        <v/>
      </c>
      <c r="F20" s="4">
        <f>'YTD CF'!E20</f>
        <v/>
      </c>
      <c r="G20" s="4">
        <f>'YTD CF'!F20-'YTD CF'!E20</f>
        <v/>
      </c>
      <c r="H20" s="4">
        <f>'YTD CF'!G20-'YTD CF'!F20</f>
        <v/>
      </c>
      <c r="I20" s="4">
        <f>'CASH FLOW'!D18-'YTD CF'!G20</f>
        <v/>
      </c>
      <c r="J20" s="4">
        <f>'YTD CF'!H20</f>
        <v/>
      </c>
      <c r="K20" s="4">
        <f>'YTD CF'!I20-'YTD CF'!H20</f>
        <v/>
      </c>
      <c r="L20" s="4">
        <f>'YTD CF'!J20-'YTD CF'!I20</f>
        <v/>
      </c>
      <c r="M20" s="4">
        <f>'CASH FLOW'!E18-'YTD CF'!J20</f>
        <v/>
      </c>
      <c r="N20" s="4">
        <f>'YTD CF'!K20</f>
        <v/>
      </c>
      <c r="O20" s="4">
        <f>'YTD CF'!L20-'YTD CF'!K20</f>
        <v/>
      </c>
      <c r="P20" s="4">
        <f>'YTD CF'!M20-'YTD CF'!L20</f>
        <v/>
      </c>
      <c r="Q20" s="4">
        <f>'CASH FLOW'!F18-'YTD CF'!M20</f>
        <v/>
      </c>
    </row>
    <row r="21">
      <c r="A21" s="3" t="inlineStr">
        <is>
          <t>Prepaid Expenses</t>
        </is>
      </c>
      <c r="B21" s="4">
        <f>'YTD CF'!B21</f>
        <v/>
      </c>
      <c r="C21" s="4">
        <f>'YTD CF'!C21-'YTD CF'!B21</f>
        <v/>
      </c>
      <c r="D21" s="4">
        <f>'YTD CF'!D21-'YTD CF'!C21</f>
        <v/>
      </c>
      <c r="E21" s="4">
        <f>'CASH FLOW'!C19-'YTD CF'!D21</f>
        <v/>
      </c>
      <c r="F21" s="4">
        <f>'YTD CF'!E21</f>
        <v/>
      </c>
      <c r="G21" s="4">
        <f>'YTD CF'!F21-'YTD CF'!E21</f>
        <v/>
      </c>
      <c r="H21" s="4">
        <f>'YTD CF'!G21-'YTD CF'!F21</f>
        <v/>
      </c>
      <c r="I21" s="4">
        <f>'CASH FLOW'!D19-'YTD CF'!G21</f>
        <v/>
      </c>
      <c r="J21" s="4">
        <f>'YTD CF'!H21</f>
        <v/>
      </c>
      <c r="K21" s="4">
        <f>'YTD CF'!I21-'YTD CF'!H21</f>
        <v/>
      </c>
      <c r="L21" s="4">
        <f>'YTD CF'!J21-'YTD CF'!I21</f>
        <v/>
      </c>
      <c r="M21" s="4">
        <f>'CASH FLOW'!E19-'YTD CF'!J21</f>
        <v/>
      </c>
      <c r="N21" s="4">
        <f>'YTD CF'!K21</f>
        <v/>
      </c>
      <c r="O21" s="4">
        <f>'YTD CF'!L21-'YTD CF'!K21</f>
        <v/>
      </c>
      <c r="P21" s="4">
        <f>'YTD CF'!M21-'YTD CF'!L21</f>
        <v/>
      </c>
      <c r="Q21" s="4">
        <f>'CASH FLOW'!F19-'YTD CF'!M21</f>
        <v/>
      </c>
    </row>
    <row r="22">
      <c r="A22" s="3" t="inlineStr">
        <is>
          <t>Change in A/P and Accrued (legacy)</t>
        </is>
      </c>
      <c r="B22" s="4">
        <f>'YTD CF'!B22</f>
        <v/>
      </c>
      <c r="C22" s="4">
        <f>'YTD CF'!C22-'YTD CF'!B22</f>
        <v/>
      </c>
      <c r="D22" s="4">
        <f>'YTD CF'!D22-'YTD CF'!C22</f>
        <v/>
      </c>
      <c r="F22" s="4">
        <f>'YTD CF'!E22</f>
        <v/>
      </c>
      <c r="G22" s="4">
        <f>'YTD CF'!F22-'YTD CF'!E22</f>
        <v/>
      </c>
      <c r="H22" s="4">
        <f>'YTD CF'!G22-'YTD CF'!F22</f>
        <v/>
      </c>
      <c r="J22" s="4">
        <f>'YTD CF'!H22</f>
        <v/>
      </c>
      <c r="K22" s="4">
        <f>'YTD CF'!I22-'YTD CF'!H22</f>
        <v/>
      </c>
      <c r="L22" s="4">
        <f>'YTD CF'!J22-'YTD CF'!I22</f>
        <v/>
      </c>
      <c r="N22" s="4">
        <f>'YTD CF'!K22</f>
        <v/>
      </c>
      <c r="O22" s="4">
        <f>'YTD CF'!L22-'YTD CF'!K22</f>
        <v/>
      </c>
      <c r="P22" s="4">
        <f>'YTD CF'!M22-'YTD CF'!L22</f>
        <v/>
      </c>
    </row>
    <row r="23">
      <c r="A23" s="3" t="inlineStr">
        <is>
          <t>Other Non-Current Assets</t>
        </is>
      </c>
      <c r="B23" s="4">
        <f>'YTD CF'!B23</f>
        <v/>
      </c>
      <c r="C23" s="4">
        <f>'YTD CF'!C23-'YTD CF'!B23</f>
        <v/>
      </c>
      <c r="D23" s="4">
        <f>'YTD CF'!D23-'YTD CF'!C23</f>
        <v/>
      </c>
      <c r="E23" s="4">
        <f>'CASH FLOW'!C20-'YTD CF'!D23</f>
        <v/>
      </c>
      <c r="F23" s="4">
        <f>'YTD CF'!E23</f>
        <v/>
      </c>
      <c r="G23" s="4">
        <f>'YTD CF'!F23-'YTD CF'!E23</f>
        <v/>
      </c>
      <c r="H23" s="4">
        <f>'YTD CF'!G23-'YTD CF'!F23</f>
        <v/>
      </c>
      <c r="I23" s="4">
        <f>'CASH FLOW'!D20-'YTD CF'!G23</f>
        <v/>
      </c>
      <c r="J23" s="4">
        <f>'YTD CF'!H23</f>
        <v/>
      </c>
      <c r="K23" s="4">
        <f>'YTD CF'!I23-'YTD CF'!H23</f>
        <v/>
      </c>
      <c r="L23" s="4">
        <f>'YTD CF'!J23-'YTD CF'!I23</f>
        <v/>
      </c>
      <c r="M23" s="4">
        <f>'CASH FLOW'!E20-'YTD CF'!J23</f>
        <v/>
      </c>
      <c r="N23" s="4">
        <f>'YTD CF'!K23</f>
        <v/>
      </c>
      <c r="O23" s="4">
        <f>'YTD CF'!L23-'YTD CF'!K23</f>
        <v/>
      </c>
      <c r="P23" s="4">
        <f>'YTD CF'!M23-'YTD CF'!L23</f>
        <v/>
      </c>
      <c r="Q23" s="4">
        <f>'CASH FLOW'!F20-'YTD CF'!M23</f>
        <v/>
      </c>
    </row>
    <row r="24">
      <c r="A24" s="3" t="inlineStr">
        <is>
          <t>Accounts Payable</t>
        </is>
      </c>
      <c r="B24" s="4">
        <f>'YTD CF'!B24</f>
        <v/>
      </c>
      <c r="C24" s="4">
        <f>'YTD CF'!C24-'YTD CF'!B24</f>
        <v/>
      </c>
      <c r="D24" s="4">
        <f>'YTD CF'!D24-'YTD CF'!C24</f>
        <v/>
      </c>
      <c r="E24" s="4">
        <f>'CASH FLOW'!C21-'YTD CF'!D24</f>
        <v/>
      </c>
      <c r="F24" s="4">
        <f>'YTD CF'!E24</f>
        <v/>
      </c>
      <c r="G24" s="4">
        <f>'YTD CF'!F24-'YTD CF'!E24</f>
        <v/>
      </c>
      <c r="H24" s="4">
        <f>'YTD CF'!G24-'YTD CF'!F24</f>
        <v/>
      </c>
      <c r="I24" s="4">
        <f>'CASH FLOW'!D21-'YTD CF'!G24</f>
        <v/>
      </c>
      <c r="J24" s="4">
        <f>'YTD CF'!H24</f>
        <v/>
      </c>
      <c r="K24" s="4">
        <f>'YTD CF'!I24-'YTD CF'!H24</f>
        <v/>
      </c>
      <c r="L24" s="4">
        <f>'YTD CF'!J24-'YTD CF'!I24</f>
        <v/>
      </c>
      <c r="M24" s="4">
        <f>'CASH FLOW'!E21-'YTD CF'!J24</f>
        <v/>
      </c>
      <c r="N24" s="4">
        <f>'YTD CF'!K24</f>
        <v/>
      </c>
      <c r="O24" s="4">
        <f>'YTD CF'!L24-'YTD CF'!K24</f>
        <v/>
      </c>
      <c r="P24" s="4">
        <f>'YTD CF'!M24-'YTD CF'!L24</f>
        <v/>
      </c>
      <c r="Q24" s="4">
        <f>'CASH FLOW'!F21-'YTD CF'!M24</f>
        <v/>
      </c>
    </row>
    <row r="25">
      <c r="A25" s="3" t="inlineStr">
        <is>
          <t>Accrued Expenses</t>
        </is>
      </c>
      <c r="B25" s="4">
        <f>'YTD CF'!B25</f>
        <v/>
      </c>
      <c r="C25" s="4">
        <f>'YTD CF'!C25-'YTD CF'!B25</f>
        <v/>
      </c>
      <c r="D25" s="4">
        <f>'YTD CF'!D25-'YTD CF'!C25</f>
        <v/>
      </c>
      <c r="E25" s="4">
        <f>'CASH FLOW'!C22-'YTD CF'!D25</f>
        <v/>
      </c>
      <c r="F25" s="4">
        <f>'YTD CF'!E25</f>
        <v/>
      </c>
      <c r="G25" s="4">
        <f>'YTD CF'!F25-'YTD CF'!E25</f>
        <v/>
      </c>
      <c r="H25" s="4">
        <f>'YTD CF'!G25-'YTD CF'!F25</f>
        <v/>
      </c>
      <c r="I25" s="4">
        <f>'CASH FLOW'!D22-'YTD CF'!G25</f>
        <v/>
      </c>
      <c r="J25" s="4">
        <f>'YTD CF'!H25</f>
        <v/>
      </c>
      <c r="K25" s="4">
        <f>'YTD CF'!I25-'YTD CF'!H25</f>
        <v/>
      </c>
      <c r="L25" s="4">
        <f>'YTD CF'!J25-'YTD CF'!I25</f>
        <v/>
      </c>
      <c r="M25" s="4">
        <f>'CASH FLOW'!E22-'YTD CF'!J25</f>
        <v/>
      </c>
      <c r="N25" s="4">
        <f>'YTD CF'!K25</f>
        <v/>
      </c>
      <c r="O25" s="4">
        <f>'YTD CF'!L25-'YTD CF'!K25</f>
        <v/>
      </c>
      <c r="P25" s="4">
        <f>'YTD CF'!M25-'YTD CF'!L25</f>
        <v/>
      </c>
      <c r="Q25" s="4">
        <f>'CASH FLOW'!F22-'YTD CF'!M25</f>
        <v/>
      </c>
    </row>
    <row r="26">
      <c r="A26" s="3" t="inlineStr">
        <is>
          <t>Other Current Liabilities</t>
        </is>
      </c>
      <c r="B26" s="4">
        <f>'YTD CF'!B26</f>
        <v/>
      </c>
      <c r="C26" s="4">
        <f>'YTD CF'!C26-'YTD CF'!B26</f>
        <v/>
      </c>
      <c r="D26" s="4">
        <f>'YTD CF'!D26-'YTD CF'!C26</f>
        <v/>
      </c>
      <c r="E26" s="4">
        <f>'CASH FLOW'!C23-'YTD CF'!D26</f>
        <v/>
      </c>
      <c r="F26" s="4">
        <f>'YTD CF'!E26</f>
        <v/>
      </c>
      <c r="G26" s="4">
        <f>'YTD CF'!F26-'YTD CF'!E26</f>
        <v/>
      </c>
      <c r="H26" s="4">
        <f>'YTD CF'!G26-'YTD CF'!F26</f>
        <v/>
      </c>
      <c r="I26" s="4">
        <f>'CASH FLOW'!D23-'YTD CF'!G26</f>
        <v/>
      </c>
      <c r="J26" s="4">
        <f>'YTD CF'!H26</f>
        <v/>
      </c>
      <c r="K26" s="4">
        <f>'YTD CF'!I26-'YTD CF'!H26</f>
        <v/>
      </c>
      <c r="L26" s="4">
        <f>'YTD CF'!J26-'YTD CF'!I26</f>
        <v/>
      </c>
      <c r="M26" s="4">
        <f>'CASH FLOW'!E23-'YTD CF'!J26</f>
        <v/>
      </c>
      <c r="N26" s="4">
        <f>'YTD CF'!K26</f>
        <v/>
      </c>
      <c r="O26" s="4">
        <f>'YTD CF'!L26-'YTD CF'!K26</f>
        <v/>
      </c>
      <c r="P26" s="4">
        <f>'YTD CF'!M26-'YTD CF'!L26</f>
        <v/>
      </c>
      <c r="Q26" s="4">
        <f>'CASH FLOW'!F23-'YTD CF'!M26</f>
        <v/>
      </c>
    </row>
    <row r="27">
      <c r="A27" s="3" t="inlineStr">
        <is>
          <t>Accrued Promotional Allowance</t>
        </is>
      </c>
      <c r="B27" s="4">
        <f>'YTD CF'!B27</f>
        <v/>
      </c>
      <c r="C27" s="4">
        <f>'YTD CF'!C27-'YTD CF'!B27</f>
        <v/>
      </c>
      <c r="D27" s="4">
        <f>'YTD CF'!D27-'YTD CF'!C27</f>
        <v/>
      </c>
      <c r="E27" s="4">
        <f>'CASH FLOW'!C24-'YTD CF'!D27</f>
        <v/>
      </c>
      <c r="F27" s="4">
        <f>'YTD CF'!E27</f>
        <v/>
      </c>
      <c r="G27" s="4">
        <f>'YTD CF'!F27-'YTD CF'!E27</f>
        <v/>
      </c>
      <c r="H27" s="4">
        <f>'YTD CF'!G27-'YTD CF'!F27</f>
        <v/>
      </c>
      <c r="I27" s="4">
        <f>'CASH FLOW'!D24-'YTD CF'!G27</f>
        <v/>
      </c>
      <c r="J27" s="4">
        <f>'YTD CF'!H27</f>
        <v/>
      </c>
      <c r="K27" s="4">
        <f>'YTD CF'!I27-'YTD CF'!H27</f>
        <v/>
      </c>
      <c r="L27" s="4">
        <f>'YTD CF'!J27-'YTD CF'!I27</f>
        <v/>
      </c>
      <c r="M27" s="4">
        <f>'CASH FLOW'!E24-'YTD CF'!J27</f>
        <v/>
      </c>
      <c r="N27" s="4">
        <f>'YTD CF'!K27</f>
        <v/>
      </c>
      <c r="O27" s="4">
        <f>'YTD CF'!L27-'YTD CF'!K27</f>
        <v/>
      </c>
      <c r="P27" s="4">
        <f>'YTD CF'!M27-'YTD CF'!L27</f>
        <v/>
      </c>
      <c r="Q27" s="4">
        <f>'CASH FLOW'!F24-'YTD CF'!M27</f>
        <v/>
      </c>
    </row>
    <row r="28">
      <c r="A28" s="3" t="inlineStr">
        <is>
          <t>Accrued Distributor Termination</t>
        </is>
      </c>
      <c r="B28" s="4">
        <f>'YTD CF'!B28</f>
        <v/>
      </c>
      <c r="C28" s="4">
        <f>'YTD CF'!C28-'YTD CF'!B28</f>
        <v/>
      </c>
      <c r="D28" s="4">
        <f>'YTD CF'!D28-'YTD CF'!C28</f>
        <v/>
      </c>
      <c r="E28" s="4">
        <f>'CASH FLOW'!C25-'YTD CF'!D28</f>
        <v/>
      </c>
      <c r="F28" s="4">
        <f>'YTD CF'!E28</f>
        <v/>
      </c>
      <c r="G28" s="4">
        <f>'YTD CF'!F28-'YTD CF'!E28</f>
        <v/>
      </c>
      <c r="H28" s="4">
        <f>'YTD CF'!G28-'YTD CF'!F28</f>
        <v/>
      </c>
      <c r="I28" s="4">
        <f>'CASH FLOW'!D25-'YTD CF'!G28</f>
        <v/>
      </c>
      <c r="J28" s="4">
        <f>'YTD CF'!H28</f>
        <v/>
      </c>
      <c r="K28" s="4">
        <f>'YTD CF'!I28-'YTD CF'!H28</f>
        <v/>
      </c>
      <c r="L28" s="4">
        <f>'YTD CF'!J28-'YTD CF'!I28</f>
        <v/>
      </c>
      <c r="M28" s="4">
        <f>'CASH FLOW'!E25-'YTD CF'!J28</f>
        <v/>
      </c>
      <c r="N28" s="4">
        <f>'YTD CF'!K28</f>
        <v/>
      </c>
      <c r="O28" s="4">
        <f>'YTD CF'!L28-'YTD CF'!K28</f>
        <v/>
      </c>
      <c r="P28" s="4">
        <f>'YTD CF'!M28-'YTD CF'!L28</f>
        <v/>
      </c>
      <c r="Q28" s="4">
        <f>'CASH FLOW'!F25-'YTD CF'!M28</f>
        <v/>
      </c>
    </row>
    <row r="29">
      <c r="A29" s="3" t="inlineStr">
        <is>
          <t>ROU &amp; Lease Liability, Net</t>
        </is>
      </c>
      <c r="B29" s="4">
        <f>'YTD CF'!B29</f>
        <v/>
      </c>
      <c r="C29" s="4">
        <f>'YTD CF'!C29-'YTD CF'!B29</f>
        <v/>
      </c>
      <c r="D29" s="4">
        <f>'YTD CF'!D29-'YTD CF'!C29</f>
        <v/>
      </c>
      <c r="E29" s="4">
        <f>'CASH FLOW'!C26-'YTD CF'!D29</f>
        <v/>
      </c>
      <c r="F29" s="4">
        <f>'YTD CF'!E29</f>
        <v/>
      </c>
      <c r="G29" s="4">
        <f>'YTD CF'!F29-'YTD CF'!E29</f>
        <v/>
      </c>
      <c r="H29" s="4">
        <f>'YTD CF'!G29-'YTD CF'!F29</f>
        <v/>
      </c>
      <c r="I29" s="4">
        <f>'CASH FLOW'!D26-'YTD CF'!G29</f>
        <v/>
      </c>
      <c r="J29" s="4">
        <f>'YTD CF'!H29</f>
        <v/>
      </c>
      <c r="K29" s="4">
        <f>'YTD CF'!I29-'YTD CF'!H29</f>
        <v/>
      </c>
      <c r="L29" s="4">
        <f>'YTD CF'!J29-'YTD CF'!I29</f>
        <v/>
      </c>
      <c r="M29" s="4">
        <f>'CASH FLOW'!E26-'YTD CF'!J29</f>
        <v/>
      </c>
      <c r="N29" s="4">
        <f>'YTD CF'!K29</f>
        <v/>
      </c>
      <c r="O29" s="4">
        <f>'YTD CF'!L29-'YTD CF'!K29</f>
        <v/>
      </c>
      <c r="P29" s="4">
        <f>'YTD CF'!M29-'YTD CF'!L29</f>
        <v/>
      </c>
      <c r="Q29" s="4">
        <f>'CASH FLOW'!F26-'YTD CF'!M29</f>
        <v/>
      </c>
    </row>
    <row r="30">
      <c r="A30" s="3" t="inlineStr">
        <is>
          <t>Deferred Revenue</t>
        </is>
      </c>
      <c r="B30" s="4">
        <f>'YTD CF'!B30</f>
        <v/>
      </c>
      <c r="C30" s="4">
        <f>'YTD CF'!C30-'YTD CF'!B30</f>
        <v/>
      </c>
      <c r="D30" s="4">
        <f>'YTD CF'!D30-'YTD CF'!C30</f>
        <v/>
      </c>
      <c r="E30" s="4">
        <f>'CASH FLOW'!C27-'YTD CF'!D30</f>
        <v/>
      </c>
      <c r="F30" s="4">
        <f>'YTD CF'!E30</f>
        <v/>
      </c>
      <c r="G30" s="4">
        <f>'YTD CF'!F30-'YTD CF'!E30</f>
        <v/>
      </c>
      <c r="H30" s="4">
        <f>'YTD CF'!G30-'YTD CF'!F30</f>
        <v/>
      </c>
      <c r="I30" s="4">
        <f>'CASH FLOW'!D27-'YTD CF'!G30</f>
        <v/>
      </c>
      <c r="J30" s="4">
        <f>'YTD CF'!H30</f>
        <v/>
      </c>
      <c r="K30" s="4">
        <f>'YTD CF'!I30-'YTD CF'!H30</f>
        <v/>
      </c>
      <c r="L30" s="4">
        <f>'YTD CF'!J30-'YTD CF'!I30</f>
        <v/>
      </c>
      <c r="M30" s="4">
        <f>'CASH FLOW'!E27-'YTD CF'!J30</f>
        <v/>
      </c>
      <c r="N30" s="4">
        <f>'YTD CF'!K30</f>
        <v/>
      </c>
      <c r="O30" s="4">
        <f>'YTD CF'!L30-'YTD CF'!K30</f>
        <v/>
      </c>
      <c r="P30" s="4">
        <f>'YTD CF'!M30-'YTD CF'!L30</f>
        <v/>
      </c>
      <c r="Q30" s="4">
        <f>'CASH FLOW'!F27-'YTD CF'!M30</f>
        <v/>
      </c>
    </row>
    <row r="31">
      <c r="A31" s="3" t="inlineStr">
        <is>
          <t>Net Change in Other Working Capital</t>
        </is>
      </c>
      <c r="B31" s="4">
        <f>'YTD CF'!B31</f>
        <v/>
      </c>
      <c r="C31" s="4">
        <f>'YTD CF'!C31-'YTD CF'!B31</f>
        <v/>
      </c>
      <c r="D31" s="4">
        <f>'YTD CF'!D31-'YTD CF'!C31</f>
        <v/>
      </c>
      <c r="E31" s="4">
        <f>'CASH FLOW'!C28-'YTD CF'!D31</f>
        <v/>
      </c>
      <c r="F31" s="4">
        <f>'YTD CF'!E31</f>
        <v/>
      </c>
      <c r="G31" s="4">
        <f>'YTD CF'!F31-'YTD CF'!E31</f>
        <v/>
      </c>
      <c r="H31" s="4">
        <f>'YTD CF'!G31-'YTD CF'!F31</f>
        <v/>
      </c>
      <c r="I31" s="4">
        <f>'CASH FLOW'!D28-'YTD CF'!G31</f>
        <v/>
      </c>
      <c r="J31" s="4">
        <f>'YTD CF'!H31</f>
        <v/>
      </c>
      <c r="K31" s="4">
        <f>'YTD CF'!I31-'YTD CF'!H31</f>
        <v/>
      </c>
      <c r="L31" s="4">
        <f>'YTD CF'!J31-'YTD CF'!I31</f>
        <v/>
      </c>
      <c r="M31" s="4">
        <f>'CASH FLOW'!E28-'YTD CF'!J31</f>
        <v/>
      </c>
      <c r="N31" s="4">
        <f>'YTD CF'!K31</f>
        <v/>
      </c>
      <c r="O31" s="4">
        <f>'YTD CF'!L31-'YTD CF'!K31</f>
        <v/>
      </c>
      <c r="P31" s="4">
        <f>'YTD CF'!M31-'YTD CF'!L31</f>
        <v/>
      </c>
      <c r="Q31" s="4">
        <f>'CASH FLOW'!F28-'YTD CF'!M31</f>
        <v/>
      </c>
    </row>
    <row r="32">
      <c r="A32" s="3" t="inlineStr">
        <is>
          <t>Cash Flow from Operations</t>
        </is>
      </c>
      <c r="B32" s="6">
        <f>'YTD CF'!B32</f>
        <v/>
      </c>
      <c r="C32" s="6">
        <f>'YTD CF'!C32-'YTD CF'!B32</f>
        <v/>
      </c>
      <c r="D32" s="6">
        <f>'YTD CF'!D32-'YTD CF'!C32</f>
        <v/>
      </c>
      <c r="E32" s="6">
        <f>'CASH FLOW'!C29-'YTD CF'!D32</f>
        <v/>
      </c>
      <c r="F32" s="6">
        <f>'YTD CF'!E32</f>
        <v/>
      </c>
      <c r="G32" s="6">
        <f>'YTD CF'!F32-'YTD CF'!E32</f>
        <v/>
      </c>
      <c r="H32" s="6">
        <f>'YTD CF'!G32-'YTD CF'!F32</f>
        <v/>
      </c>
      <c r="I32" s="6">
        <f>'CASH FLOW'!D29-'YTD CF'!G32</f>
        <v/>
      </c>
      <c r="J32" s="6">
        <f>'YTD CF'!H32</f>
        <v/>
      </c>
      <c r="K32" s="6">
        <f>'YTD CF'!I32-'YTD CF'!H32</f>
        <v/>
      </c>
      <c r="L32" s="6">
        <f>'YTD CF'!J32-'YTD CF'!I32</f>
        <v/>
      </c>
      <c r="M32" s="6">
        <f>'CASH FLOW'!E29-'YTD CF'!J32</f>
        <v/>
      </c>
      <c r="N32" s="6">
        <f>'YTD CF'!K32</f>
        <v/>
      </c>
      <c r="O32" s="6">
        <f>'YTD CF'!L32-'YTD CF'!K32</f>
        <v/>
      </c>
      <c r="P32" s="6">
        <f>'YTD CF'!M32-'YTD CF'!L32</f>
        <v/>
      </c>
      <c r="Q32" s="6">
        <f>'CASH FLOW'!F29-'YTD CF'!M32</f>
        <v/>
      </c>
    </row>
    <row r="33">
      <c r="A33" s="3" t="inlineStr">
        <is>
          <t>Collections from Note Receivable</t>
        </is>
      </c>
      <c r="B33" s="4">
        <f>'YTD CF'!B33</f>
        <v/>
      </c>
      <c r="C33" s="4">
        <f>'YTD CF'!C33-'YTD CF'!B33</f>
        <v/>
      </c>
      <c r="D33" s="4">
        <f>'YTD CF'!D33-'YTD CF'!C33</f>
        <v/>
      </c>
      <c r="E33" s="4">
        <f>'CASH FLOW'!C30-'YTD CF'!D33</f>
        <v/>
      </c>
      <c r="F33" s="4">
        <f>'YTD CF'!E33</f>
        <v/>
      </c>
      <c r="G33" s="4">
        <f>'YTD CF'!F33-'YTD CF'!E33</f>
        <v/>
      </c>
      <c r="H33" s="4">
        <f>'YTD CF'!G33-'YTD CF'!F33</f>
        <v/>
      </c>
      <c r="I33" s="4">
        <f>'CASH FLOW'!D30-'YTD CF'!G33</f>
        <v/>
      </c>
      <c r="J33" s="4">
        <f>'YTD CF'!H33</f>
        <v/>
      </c>
      <c r="K33" s="4">
        <f>'YTD CF'!I33-'YTD CF'!H33</f>
        <v/>
      </c>
      <c r="L33" s="4">
        <f>'YTD CF'!J33-'YTD CF'!I33</f>
        <v/>
      </c>
      <c r="M33" s="4">
        <f>'CASH FLOW'!E30-'YTD CF'!J33</f>
        <v/>
      </c>
      <c r="N33" s="4">
        <f>'YTD CF'!K33</f>
        <v/>
      </c>
      <c r="O33" s="4">
        <f>'YTD CF'!L33-'YTD CF'!K33</f>
        <v/>
      </c>
      <c r="P33" s="4">
        <f>'YTD CF'!M33-'YTD CF'!L33</f>
        <v/>
      </c>
      <c r="Q33" s="4">
        <f>'CASH FLOW'!F30-'YTD CF'!M33</f>
        <v/>
      </c>
    </row>
    <row r="34">
      <c r="A34" s="3" t="inlineStr">
        <is>
          <t>Purchase of PP&amp;E</t>
        </is>
      </c>
      <c r="B34" s="4">
        <f>'YTD CF'!B34</f>
        <v/>
      </c>
      <c r="C34" s="4">
        <f>'YTD CF'!C34-'YTD CF'!B34</f>
        <v/>
      </c>
      <c r="D34" s="4">
        <f>'YTD CF'!D34-'YTD CF'!C34</f>
        <v/>
      </c>
      <c r="E34" s="4">
        <f>'CASH FLOW'!C31-'YTD CF'!D34</f>
        <v/>
      </c>
      <c r="F34" s="4">
        <f>'YTD CF'!E34</f>
        <v/>
      </c>
      <c r="G34" s="4">
        <f>'YTD CF'!F34-'YTD CF'!E34</f>
        <v/>
      </c>
      <c r="H34" s="4">
        <f>'YTD CF'!G34-'YTD CF'!F34</f>
        <v/>
      </c>
      <c r="I34" s="4">
        <f>'CASH FLOW'!D31-'YTD CF'!G34</f>
        <v/>
      </c>
      <c r="J34" s="4">
        <f>'YTD CF'!H34</f>
        <v/>
      </c>
      <c r="K34" s="4">
        <f>'YTD CF'!I34-'YTD CF'!H34</f>
        <v/>
      </c>
      <c r="L34" s="4">
        <f>'YTD CF'!J34-'YTD CF'!I34</f>
        <v/>
      </c>
      <c r="M34" s="4">
        <f>'CASH FLOW'!E31-'YTD CF'!J34</f>
        <v/>
      </c>
      <c r="N34" s="4">
        <f>'YTD CF'!K34</f>
        <v/>
      </c>
      <c r="O34" s="4">
        <f>'YTD CF'!L34-'YTD CF'!K34</f>
        <v/>
      </c>
      <c r="P34" s="4">
        <f>'YTD CF'!M34-'YTD CF'!L34</f>
        <v/>
      </c>
      <c r="Q34" s="4">
        <f>'CASH FLOW'!F31-'YTD CF'!M34</f>
        <v/>
      </c>
    </row>
    <row r="35">
      <c r="A35" s="3" t="inlineStr">
        <is>
          <t>Purchase of Non-Marketable Equity Securities</t>
        </is>
      </c>
      <c r="B35" s="4">
        <f>'YTD CF'!B35</f>
        <v/>
      </c>
      <c r="C35" s="4">
        <f>'YTD CF'!C35-'YTD CF'!B35</f>
        <v/>
      </c>
      <c r="D35" s="4">
        <f>'YTD CF'!D35-'YTD CF'!C35</f>
        <v/>
      </c>
      <c r="E35" s="4">
        <f>'CASH FLOW'!C32-'YTD CF'!D35</f>
        <v/>
      </c>
      <c r="F35" s="4">
        <f>'YTD CF'!E35</f>
        <v/>
      </c>
      <c r="G35" s="4">
        <f>'YTD CF'!F35-'YTD CF'!E35</f>
        <v/>
      </c>
      <c r="H35" s="4">
        <f>'YTD CF'!G35-'YTD CF'!F35</f>
        <v/>
      </c>
      <c r="I35" s="4">
        <f>'CASH FLOW'!D32-'YTD CF'!G35</f>
        <v/>
      </c>
      <c r="J35" s="4">
        <f>'YTD CF'!H35</f>
        <v/>
      </c>
      <c r="K35" s="4">
        <f>'YTD CF'!I35-'YTD CF'!H35</f>
        <v/>
      </c>
      <c r="L35" s="4">
        <f>'YTD CF'!J35-'YTD CF'!I35</f>
        <v/>
      </c>
      <c r="M35" s="4">
        <f>'CASH FLOW'!E32-'YTD CF'!J35</f>
        <v/>
      </c>
      <c r="N35" s="4">
        <f>'YTD CF'!K35</f>
        <v/>
      </c>
      <c r="O35" s="4">
        <f>'YTD CF'!L35-'YTD CF'!K35</f>
        <v/>
      </c>
      <c r="P35" s="4">
        <f>'YTD CF'!M35-'YTD CF'!L35</f>
        <v/>
      </c>
      <c r="Q35" s="4">
        <f>'CASH FLOW'!F32-'YTD CF'!M35</f>
        <v/>
      </c>
    </row>
    <row r="36">
      <c r="A36" s="3" t="inlineStr">
        <is>
          <t>Acquisition of Big Beverages</t>
        </is>
      </c>
      <c r="B36" s="4">
        <f>'YTD CF'!B36</f>
        <v/>
      </c>
      <c r="C36" s="4">
        <f>'YTD CF'!C36-'YTD CF'!B36</f>
        <v/>
      </c>
      <c r="D36" s="4">
        <f>'YTD CF'!D36-'YTD CF'!C36</f>
        <v/>
      </c>
      <c r="E36" s="4">
        <f>'CASH FLOW'!C33-'YTD CF'!D36</f>
        <v/>
      </c>
      <c r="F36" s="4">
        <f>'YTD CF'!E36</f>
        <v/>
      </c>
      <c r="G36" s="4">
        <f>'YTD CF'!F36-'YTD CF'!E36</f>
        <v/>
      </c>
      <c r="H36" s="4">
        <f>'YTD CF'!G36-'YTD CF'!F36</f>
        <v/>
      </c>
      <c r="I36" s="4">
        <f>'CASH FLOW'!D33-'YTD CF'!G36</f>
        <v/>
      </c>
      <c r="J36" s="4">
        <f>'YTD CF'!H36</f>
        <v/>
      </c>
      <c r="K36" s="4">
        <f>'YTD CF'!I36-'YTD CF'!H36</f>
        <v/>
      </c>
      <c r="L36" s="4">
        <f>'YTD CF'!J36-'YTD CF'!I36</f>
        <v/>
      </c>
      <c r="M36" s="4">
        <f>'CASH FLOW'!E33-'YTD CF'!J36</f>
        <v/>
      </c>
      <c r="N36" s="4">
        <f>'YTD CF'!K36</f>
        <v/>
      </c>
      <c r="O36" s="4">
        <f>'YTD CF'!L36-'YTD CF'!K36</f>
        <v/>
      </c>
      <c r="P36" s="4">
        <f>'YTD CF'!M36-'YTD CF'!L36</f>
        <v/>
      </c>
      <c r="Q36" s="4">
        <f>'CASH FLOW'!F33-'YTD CF'!M36</f>
        <v/>
      </c>
    </row>
    <row r="37">
      <c r="A37" s="3" t="inlineStr">
        <is>
          <t>Acquisitions, Net of Cash Acquired</t>
        </is>
      </c>
      <c r="B37" s="4">
        <f>'YTD CF'!B37</f>
        <v/>
      </c>
      <c r="C37" s="4">
        <f>'YTD CF'!C37-'YTD CF'!B37</f>
        <v/>
      </c>
      <c r="D37" s="4">
        <f>'YTD CF'!D37-'YTD CF'!C37</f>
        <v/>
      </c>
      <c r="E37" s="4">
        <f>'CASH FLOW'!C34-'YTD CF'!D37</f>
        <v/>
      </c>
      <c r="F37" s="4">
        <f>'YTD CF'!E37</f>
        <v/>
      </c>
      <c r="G37" s="4">
        <f>'YTD CF'!F37-'YTD CF'!E37</f>
        <v/>
      </c>
      <c r="H37" s="4">
        <f>'YTD CF'!G37-'YTD CF'!F37</f>
        <v/>
      </c>
      <c r="I37" s="4">
        <f>'CASH FLOW'!D34-'YTD CF'!G37</f>
        <v/>
      </c>
      <c r="J37" s="4">
        <f>'YTD CF'!H37</f>
        <v/>
      </c>
      <c r="K37" s="4">
        <f>'YTD CF'!I37-'YTD CF'!H37</f>
        <v/>
      </c>
      <c r="L37" s="4">
        <f>'YTD CF'!J37-'YTD CF'!I37</f>
        <v/>
      </c>
      <c r="M37" s="4">
        <f>'CASH FLOW'!E34-'YTD CF'!J37</f>
        <v/>
      </c>
      <c r="N37" s="4">
        <f>'YTD CF'!K37</f>
        <v/>
      </c>
      <c r="O37" s="4">
        <f>'YTD CF'!L37-'YTD CF'!K37</f>
        <v/>
      </c>
      <c r="P37" s="4">
        <f>'YTD CF'!M37-'YTD CF'!L37</f>
        <v/>
      </c>
      <c r="Q37" s="4">
        <f>'CASH FLOW'!F34-'YTD CF'!M37</f>
        <v/>
      </c>
    </row>
    <row r="38">
      <c r="A38" s="3" t="inlineStr">
        <is>
          <t>Working Capital Estimate from Pepsi (Rockstar)</t>
        </is>
      </c>
    </row>
    <row r="39">
      <c r="A39" s="3" t="inlineStr">
        <is>
          <t>Cash Flow from Investing</t>
        </is>
      </c>
      <c r="B39" s="6">
        <f>'YTD CF'!B39</f>
        <v/>
      </c>
      <c r="C39" s="6">
        <f>'YTD CF'!C39-'YTD CF'!B39</f>
        <v/>
      </c>
      <c r="D39" s="6">
        <f>'YTD CF'!D39-'YTD CF'!C39</f>
        <v/>
      </c>
      <c r="E39" s="6">
        <f>'CASH FLOW'!C36-'YTD CF'!D39</f>
        <v/>
      </c>
      <c r="F39" s="6">
        <f>'YTD CF'!E39</f>
        <v/>
      </c>
      <c r="G39" s="6">
        <f>'YTD CF'!F39-'YTD CF'!E39</f>
        <v/>
      </c>
      <c r="H39" s="6">
        <f>'YTD CF'!G39-'YTD CF'!F39</f>
        <v/>
      </c>
      <c r="I39" s="6">
        <f>'CASH FLOW'!D36-'YTD CF'!G39</f>
        <v/>
      </c>
      <c r="J39" s="6">
        <f>'YTD CF'!H39</f>
        <v/>
      </c>
      <c r="K39" s="6">
        <f>'YTD CF'!I39-'YTD CF'!H39</f>
        <v/>
      </c>
      <c r="L39" s="6">
        <f>'YTD CF'!J39-'YTD CF'!I39</f>
        <v/>
      </c>
      <c r="M39" s="6">
        <f>'CASH FLOW'!E36-'YTD CF'!J39</f>
        <v/>
      </c>
      <c r="N39" s="6">
        <f>'YTD CF'!K39</f>
        <v/>
      </c>
      <c r="O39" s="6">
        <f>'YTD CF'!L39-'YTD CF'!K39</f>
        <v/>
      </c>
      <c r="P39" s="6">
        <f>'YTD CF'!M39-'YTD CF'!L39</f>
        <v/>
      </c>
      <c r="Q39" s="6">
        <f>'CASH FLOW'!F36-'YTD CF'!M39</f>
        <v/>
      </c>
    </row>
    <row r="40">
      <c r="A40" s="3" t="inlineStr">
        <is>
          <t>Finance Lease Payments</t>
        </is>
      </c>
      <c r="B40" s="4">
        <f>'YTD CF'!B40</f>
        <v/>
      </c>
      <c r="C40" s="4">
        <f>'YTD CF'!C40-'YTD CF'!B40</f>
        <v/>
      </c>
      <c r="D40" s="4">
        <f>'YTD CF'!D40-'YTD CF'!C40</f>
        <v/>
      </c>
      <c r="E40" s="4">
        <f>'CASH FLOW'!C37-'YTD CF'!D40</f>
        <v/>
      </c>
      <c r="F40" s="4">
        <f>'YTD CF'!E40</f>
        <v/>
      </c>
      <c r="G40" s="4">
        <f>'YTD CF'!F40-'YTD CF'!E40</f>
        <v/>
      </c>
      <c r="H40" s="4">
        <f>'YTD CF'!G40-'YTD CF'!F40</f>
        <v/>
      </c>
      <c r="I40" s="4">
        <f>'CASH FLOW'!D37-'YTD CF'!G40</f>
        <v/>
      </c>
      <c r="J40" s="4">
        <f>'YTD CF'!H40</f>
        <v/>
      </c>
      <c r="K40" s="4">
        <f>'YTD CF'!I40-'YTD CF'!H40</f>
        <v/>
      </c>
      <c r="L40" s="4">
        <f>'YTD CF'!J40-'YTD CF'!I40</f>
        <v/>
      </c>
      <c r="M40" s="4">
        <f>'CASH FLOW'!E37-'YTD CF'!J40</f>
        <v/>
      </c>
      <c r="N40" s="4">
        <f>'YTD CF'!K40</f>
        <v/>
      </c>
      <c r="O40" s="4">
        <f>'YTD CF'!L40-'YTD CF'!K40</f>
        <v/>
      </c>
      <c r="P40" s="4">
        <f>'YTD CF'!M40-'YTD CF'!L40</f>
        <v/>
      </c>
      <c r="Q40" s="4">
        <f>'CASH FLOW'!F37-'YTD CF'!M40</f>
        <v/>
      </c>
    </row>
    <row r="41">
      <c r="A41" s="3" t="inlineStr">
        <is>
          <t>Proceeds from Exercise of Stock Options</t>
        </is>
      </c>
      <c r="B41" s="4">
        <f>'YTD CF'!B41</f>
        <v/>
      </c>
      <c r="C41" s="4">
        <f>'YTD CF'!C41-'YTD CF'!B41</f>
        <v/>
      </c>
      <c r="D41" s="4">
        <f>'YTD CF'!D41-'YTD CF'!C41</f>
        <v/>
      </c>
      <c r="E41" s="4">
        <f>'CASH FLOW'!C38-'YTD CF'!D41</f>
        <v/>
      </c>
      <c r="F41" s="4">
        <f>'YTD CF'!E41</f>
        <v/>
      </c>
      <c r="G41" s="4">
        <f>'YTD CF'!F41-'YTD CF'!E41</f>
        <v/>
      </c>
      <c r="H41" s="4">
        <f>'YTD CF'!G41-'YTD CF'!F41</f>
        <v/>
      </c>
      <c r="I41" s="4">
        <f>'CASH FLOW'!D38-'YTD CF'!G41</f>
        <v/>
      </c>
      <c r="J41" s="4">
        <f>'YTD CF'!H41</f>
        <v/>
      </c>
      <c r="K41" s="4">
        <f>'YTD CF'!I41-'YTD CF'!H41</f>
        <v/>
      </c>
      <c r="L41" s="4">
        <f>'YTD CF'!J41-'YTD CF'!I41</f>
        <v/>
      </c>
      <c r="M41" s="4">
        <f>'CASH FLOW'!E38-'YTD CF'!J41</f>
        <v/>
      </c>
      <c r="N41" s="4">
        <f>'YTD CF'!K41</f>
        <v/>
      </c>
      <c r="O41" s="4">
        <f>'YTD CF'!L41-'YTD CF'!K41</f>
        <v/>
      </c>
      <c r="P41" s="4">
        <f>'YTD CF'!M41-'YTD CF'!L41</f>
        <v/>
      </c>
      <c r="Q41" s="4">
        <f>'CASH FLOW'!F38-'YTD CF'!M41</f>
        <v/>
      </c>
    </row>
    <row r="42">
      <c r="A42" s="3" t="inlineStr">
        <is>
          <t>Proceeds from Issuance of Common Stock</t>
        </is>
      </c>
      <c r="B42" s="4">
        <f>'YTD CF'!B42</f>
        <v/>
      </c>
      <c r="C42" s="4">
        <f>'YTD CF'!C42-'YTD CF'!B42</f>
        <v/>
      </c>
      <c r="D42" s="4">
        <f>'YTD CF'!D42-'YTD CF'!C42</f>
        <v/>
      </c>
      <c r="E42" s="4">
        <f>'CASH FLOW'!C39-'YTD CF'!D42</f>
        <v/>
      </c>
      <c r="F42" s="4">
        <f>'YTD CF'!E42</f>
        <v/>
      </c>
      <c r="G42" s="4">
        <f>'YTD CF'!F42-'YTD CF'!E42</f>
        <v/>
      </c>
      <c r="H42" s="4">
        <f>'YTD CF'!G42-'YTD CF'!F42</f>
        <v/>
      </c>
      <c r="I42" s="4">
        <f>'CASH FLOW'!D39-'YTD CF'!G42</f>
        <v/>
      </c>
      <c r="J42" s="4">
        <f>'YTD CF'!H42</f>
        <v/>
      </c>
      <c r="K42" s="4">
        <f>'YTD CF'!I42-'YTD CF'!H42</f>
        <v/>
      </c>
      <c r="L42" s="4">
        <f>'YTD CF'!J42-'YTD CF'!I42</f>
        <v/>
      </c>
      <c r="M42" s="4">
        <f>'CASH FLOW'!E39-'YTD CF'!J42</f>
        <v/>
      </c>
      <c r="N42" s="4">
        <f>'YTD CF'!K42</f>
        <v/>
      </c>
      <c r="O42" s="4">
        <f>'YTD CF'!L42-'YTD CF'!K42</f>
        <v/>
      </c>
      <c r="P42" s="4">
        <f>'YTD CF'!M42-'YTD CF'!L42</f>
        <v/>
      </c>
      <c r="Q42" s="4">
        <f>'CASH FLOW'!F39-'YTD CF'!M42</f>
        <v/>
      </c>
    </row>
    <row r="43">
      <c r="A43" s="3" t="inlineStr">
        <is>
          <t>Proceeds from Issuance of Preferred Stock</t>
        </is>
      </c>
      <c r="B43" s="4">
        <f>'YTD CF'!B43</f>
        <v/>
      </c>
      <c r="C43" s="4">
        <f>'YTD CF'!C43-'YTD CF'!B43</f>
        <v/>
      </c>
      <c r="D43" s="4">
        <f>'YTD CF'!D43-'YTD CF'!C43</f>
        <v/>
      </c>
      <c r="E43" s="4">
        <f>'CASH FLOW'!C40-'YTD CF'!D43</f>
        <v/>
      </c>
      <c r="F43" s="4">
        <f>'YTD CF'!E43</f>
        <v/>
      </c>
      <c r="G43" s="4">
        <f>'YTD CF'!F43-'YTD CF'!E43</f>
        <v/>
      </c>
      <c r="H43" s="4">
        <f>'YTD CF'!G43-'YTD CF'!F43</f>
        <v/>
      </c>
      <c r="I43" s="4">
        <f>'CASH FLOW'!D40-'YTD CF'!G43</f>
        <v/>
      </c>
      <c r="J43" s="4">
        <f>'YTD CF'!H43</f>
        <v/>
      </c>
      <c r="K43" s="4">
        <f>'YTD CF'!I43-'YTD CF'!H43</f>
        <v/>
      </c>
      <c r="L43" s="4">
        <f>'YTD CF'!J43-'YTD CF'!I43</f>
        <v/>
      </c>
      <c r="M43" s="4">
        <f>'CASH FLOW'!E40-'YTD CF'!J43</f>
        <v/>
      </c>
      <c r="N43" s="4">
        <f>'YTD CF'!K43</f>
        <v/>
      </c>
      <c r="O43" s="4">
        <f>'YTD CF'!L43-'YTD CF'!K43</f>
        <v/>
      </c>
      <c r="P43" s="4">
        <f>'YTD CF'!M43-'YTD CF'!L43</f>
        <v/>
      </c>
      <c r="Q43" s="4">
        <f>'CASH FLOW'!F40-'YTD CF'!M43</f>
        <v/>
      </c>
    </row>
    <row r="44">
      <c r="A44" s="3" t="inlineStr">
        <is>
          <t>Preferred Dividends</t>
        </is>
      </c>
      <c r="B44" s="4">
        <f>'YTD CF'!B44</f>
        <v/>
      </c>
      <c r="C44" s="4">
        <f>'YTD CF'!C44-'YTD CF'!B44</f>
        <v/>
      </c>
      <c r="D44" s="4">
        <f>'YTD CF'!D44-'YTD CF'!C44</f>
        <v/>
      </c>
      <c r="E44" s="4">
        <f>'CASH FLOW'!C41-'YTD CF'!D44</f>
        <v/>
      </c>
      <c r="F44" s="4">
        <f>'YTD CF'!E44</f>
        <v/>
      </c>
      <c r="G44" s="4">
        <f>'YTD CF'!F44-'YTD CF'!E44</f>
        <v/>
      </c>
      <c r="H44" s="4">
        <f>'YTD CF'!G44-'YTD CF'!F44</f>
        <v/>
      </c>
      <c r="I44" s="4">
        <f>'CASH FLOW'!D41-'YTD CF'!G44</f>
        <v/>
      </c>
      <c r="J44" s="4">
        <f>'YTD CF'!H44</f>
        <v/>
      </c>
      <c r="K44" s="4">
        <f>'YTD CF'!I44-'YTD CF'!H44</f>
        <v/>
      </c>
      <c r="L44" s="4">
        <f>'YTD CF'!J44-'YTD CF'!I44</f>
        <v/>
      </c>
      <c r="M44" s="4">
        <f>'CASH FLOW'!E41-'YTD CF'!J44</f>
        <v/>
      </c>
      <c r="N44" s="4">
        <f>'YTD CF'!K44</f>
        <v/>
      </c>
      <c r="O44" s="4">
        <f>'YTD CF'!L44-'YTD CF'!K44</f>
        <v/>
      </c>
      <c r="P44" s="4">
        <f>'YTD CF'!M44-'YTD CF'!L44</f>
        <v/>
      </c>
      <c r="Q44" s="4">
        <f>'CASH FLOW'!F41-'YTD CF'!M44</f>
        <v/>
      </c>
    </row>
    <row r="45">
      <c r="A45" s="3" t="inlineStr">
        <is>
          <t>Share Repurchases</t>
        </is>
      </c>
      <c r="B45" s="4">
        <f>'YTD CF'!B45</f>
        <v/>
      </c>
      <c r="C45" s="4">
        <f>'YTD CF'!C45-'YTD CF'!B45</f>
        <v/>
      </c>
      <c r="D45" s="4">
        <f>'YTD CF'!D45-'YTD CF'!C45</f>
        <v/>
      </c>
      <c r="E45" s="4">
        <f>'CASH FLOW'!C42-'YTD CF'!D45</f>
        <v/>
      </c>
      <c r="F45" s="4">
        <f>'YTD CF'!E45</f>
        <v/>
      </c>
      <c r="G45" s="4">
        <f>'YTD CF'!F45-'YTD CF'!E45</f>
        <v/>
      </c>
      <c r="H45" s="4">
        <f>'YTD CF'!G45-'YTD CF'!F45</f>
        <v/>
      </c>
      <c r="I45" s="4">
        <f>'CASH FLOW'!D42-'YTD CF'!G45</f>
        <v/>
      </c>
      <c r="J45" s="4">
        <f>'YTD CF'!H45</f>
        <v/>
      </c>
      <c r="K45" s="4">
        <f>'YTD CF'!I45-'YTD CF'!H45</f>
        <v/>
      </c>
      <c r="L45" s="4">
        <f>'YTD CF'!J45-'YTD CF'!I45</f>
        <v/>
      </c>
      <c r="M45" s="4">
        <f>'CASH FLOW'!E42-'YTD CF'!J45</f>
        <v/>
      </c>
      <c r="N45" s="4">
        <f>'YTD CF'!K45</f>
        <v/>
      </c>
      <c r="O45" s="4">
        <f>'YTD CF'!L45-'YTD CF'!K45</f>
        <v/>
      </c>
      <c r="P45" s="4">
        <f>'YTD CF'!M45-'YTD CF'!L45</f>
        <v/>
      </c>
      <c r="Q45" s="4">
        <f>'CASH FLOW'!F42-'YTD CF'!M45</f>
        <v/>
      </c>
    </row>
    <row r="46">
      <c r="A46" s="3" t="inlineStr">
        <is>
          <t>Proceeds from Issuance of Long-Term Debt</t>
        </is>
      </c>
      <c r="B46" s="4">
        <f>'YTD CF'!B46</f>
        <v/>
      </c>
      <c r="C46" s="4">
        <f>'YTD CF'!C46-'YTD CF'!B46</f>
        <v/>
      </c>
      <c r="D46" s="4">
        <f>'YTD CF'!D46-'YTD CF'!C46</f>
        <v/>
      </c>
      <c r="E46" s="4">
        <f>'CASH FLOW'!C43-'YTD CF'!D46</f>
        <v/>
      </c>
      <c r="F46" s="4">
        <f>'YTD CF'!E46</f>
        <v/>
      </c>
      <c r="G46" s="4">
        <f>'YTD CF'!F46-'YTD CF'!E46</f>
        <v/>
      </c>
      <c r="H46" s="4">
        <f>'YTD CF'!G46-'YTD CF'!F46</f>
        <v/>
      </c>
      <c r="I46" s="4">
        <f>'CASH FLOW'!D43-'YTD CF'!G46</f>
        <v/>
      </c>
      <c r="J46" s="4">
        <f>'YTD CF'!H46</f>
        <v/>
      </c>
      <c r="K46" s="4">
        <f>'YTD CF'!I46-'YTD CF'!H46</f>
        <v/>
      </c>
      <c r="L46" s="4">
        <f>'YTD CF'!J46-'YTD CF'!I46</f>
        <v/>
      </c>
      <c r="M46" s="4">
        <f>'CASH FLOW'!E43-'YTD CF'!J46</f>
        <v/>
      </c>
      <c r="N46" s="4">
        <f>'YTD CF'!K46</f>
        <v/>
      </c>
      <c r="O46" s="4">
        <f>'YTD CF'!L46-'YTD CF'!K46</f>
        <v/>
      </c>
      <c r="P46" s="4">
        <f>'YTD CF'!M46-'YTD CF'!L46</f>
        <v/>
      </c>
      <c r="Q46" s="4">
        <f>'CASH FLOW'!F43-'YTD CF'!M46</f>
        <v/>
      </c>
    </row>
    <row r="47">
      <c r="A47" s="3" t="inlineStr">
        <is>
          <t>Repayments of Long-Term Debt</t>
        </is>
      </c>
      <c r="B47" s="4">
        <f>'YTD CF'!B47</f>
        <v/>
      </c>
      <c r="C47" s="4">
        <f>'YTD CF'!C47-'YTD CF'!B47</f>
        <v/>
      </c>
      <c r="D47" s="4">
        <f>'YTD CF'!D47-'YTD CF'!C47</f>
        <v/>
      </c>
      <c r="E47" s="4">
        <f>'CASH FLOW'!C44-'YTD CF'!D47</f>
        <v/>
      </c>
      <c r="F47" s="4">
        <f>'YTD CF'!E47</f>
        <v/>
      </c>
      <c r="G47" s="4">
        <f>'YTD CF'!F47-'YTD CF'!E47</f>
        <v/>
      </c>
      <c r="H47" s="4">
        <f>'YTD CF'!G47-'YTD CF'!F47</f>
        <v/>
      </c>
      <c r="I47" s="4">
        <f>'CASH FLOW'!D44-'YTD CF'!G47</f>
        <v/>
      </c>
      <c r="J47" s="4">
        <f>'YTD CF'!H47</f>
        <v/>
      </c>
      <c r="K47" s="4">
        <f>'YTD CF'!I47-'YTD CF'!H47</f>
        <v/>
      </c>
      <c r="L47" s="4">
        <f>'YTD CF'!J47-'YTD CF'!I47</f>
        <v/>
      </c>
      <c r="M47" s="4">
        <f>'CASH FLOW'!E44-'YTD CF'!J47</f>
        <v/>
      </c>
      <c r="N47" s="4">
        <f>'YTD CF'!K47</f>
        <v/>
      </c>
      <c r="O47" s="4">
        <f>'YTD CF'!L47-'YTD CF'!K47</f>
        <v/>
      </c>
      <c r="P47" s="4">
        <f>'YTD CF'!M47-'YTD CF'!L47</f>
        <v/>
      </c>
      <c r="Q47" s="4">
        <f>'CASH FLOW'!F44-'YTD CF'!M47</f>
        <v/>
      </c>
    </row>
    <row r="48">
      <c r="A48" s="3" t="inlineStr">
        <is>
          <t>Debt Issuance Fees</t>
        </is>
      </c>
      <c r="B48" s="4">
        <f>'YTD CF'!B48</f>
        <v/>
      </c>
      <c r="C48" s="4">
        <f>'YTD CF'!C48-'YTD CF'!B48</f>
        <v/>
      </c>
      <c r="D48" s="4">
        <f>'YTD CF'!D48-'YTD CF'!C48</f>
        <v/>
      </c>
      <c r="E48" s="4">
        <f>'CASH FLOW'!C45-'YTD CF'!D48</f>
        <v/>
      </c>
      <c r="F48" s="4">
        <f>'YTD CF'!E48</f>
        <v/>
      </c>
      <c r="G48" s="4">
        <f>'YTD CF'!F48-'YTD CF'!E48</f>
        <v/>
      </c>
      <c r="H48" s="4">
        <f>'YTD CF'!G48-'YTD CF'!F48</f>
        <v/>
      </c>
      <c r="I48" s="4">
        <f>'CASH FLOW'!D45-'YTD CF'!G48</f>
        <v/>
      </c>
      <c r="J48" s="4">
        <f>'YTD CF'!H48</f>
        <v/>
      </c>
      <c r="K48" s="4">
        <f>'YTD CF'!I48-'YTD CF'!H48</f>
        <v/>
      </c>
      <c r="L48" s="4">
        <f>'YTD CF'!J48-'YTD CF'!I48</f>
        <v/>
      </c>
      <c r="M48" s="4">
        <f>'CASH FLOW'!E45-'YTD CF'!J48</f>
        <v/>
      </c>
      <c r="N48" s="4">
        <f>'YTD CF'!K48</f>
        <v/>
      </c>
      <c r="O48" s="4">
        <f>'YTD CF'!L48-'YTD CF'!K48</f>
        <v/>
      </c>
      <c r="P48" s="4">
        <f>'YTD CF'!M48-'YTD CF'!L48</f>
        <v/>
      </c>
      <c r="Q48" s="4">
        <f>'CASH FLOW'!F45-'YTD CF'!M48</f>
        <v/>
      </c>
    </row>
    <row r="49">
      <c r="A49" s="3" t="inlineStr">
        <is>
          <t>Other Financing Activities</t>
        </is>
      </c>
      <c r="B49" s="4">
        <f>'YTD CF'!B49</f>
        <v/>
      </c>
      <c r="C49" s="4">
        <f>'YTD CF'!C49-'YTD CF'!B49</f>
        <v/>
      </c>
      <c r="D49" s="4">
        <f>'YTD CF'!D49-'YTD CF'!C49</f>
        <v/>
      </c>
      <c r="E49" s="4">
        <f>'CASH FLOW'!C46-'YTD CF'!D49</f>
        <v/>
      </c>
      <c r="F49" s="4">
        <f>'YTD CF'!E49</f>
        <v/>
      </c>
      <c r="G49" s="4">
        <f>'YTD CF'!F49-'YTD CF'!E49</f>
        <v/>
      </c>
      <c r="H49" s="4">
        <f>'YTD CF'!G49-'YTD CF'!F49</f>
        <v/>
      </c>
      <c r="I49" s="4">
        <f>'CASH FLOW'!D46-'YTD CF'!G49</f>
        <v/>
      </c>
      <c r="J49" s="4">
        <f>'YTD CF'!H49</f>
        <v/>
      </c>
      <c r="K49" s="4">
        <f>'YTD CF'!I49-'YTD CF'!H49</f>
        <v/>
      </c>
      <c r="L49" s="4">
        <f>'YTD CF'!J49-'YTD CF'!I49</f>
        <v/>
      </c>
      <c r="M49" s="4">
        <f>'CASH FLOW'!E46-'YTD CF'!J49</f>
        <v/>
      </c>
      <c r="N49" s="4">
        <f>'YTD CF'!K49</f>
        <v/>
      </c>
      <c r="O49" s="4">
        <f>'YTD CF'!L49-'YTD CF'!K49</f>
        <v/>
      </c>
      <c r="P49" s="4">
        <f>'YTD CF'!M49-'YTD CF'!L49</f>
        <v/>
      </c>
      <c r="Q49" s="4">
        <f>'CASH FLOW'!F46-'YTD CF'!M49</f>
        <v/>
      </c>
    </row>
    <row r="50">
      <c r="A50" s="3" t="inlineStr">
        <is>
          <t>Cash Flow from Financing</t>
        </is>
      </c>
      <c r="B50" s="6">
        <f>'YTD CF'!B50</f>
        <v/>
      </c>
      <c r="C50" s="6">
        <f>'YTD CF'!C50-'YTD CF'!B50</f>
        <v/>
      </c>
      <c r="D50" s="6">
        <f>'YTD CF'!D50-'YTD CF'!C50</f>
        <v/>
      </c>
      <c r="E50" s="6">
        <f>'CASH FLOW'!C47-'YTD CF'!D50</f>
        <v/>
      </c>
      <c r="F50" s="6">
        <f>'YTD CF'!E50</f>
        <v/>
      </c>
      <c r="G50" s="6">
        <f>'YTD CF'!F50-'YTD CF'!E50</f>
        <v/>
      </c>
      <c r="H50" s="6">
        <f>'YTD CF'!G50-'YTD CF'!F50</f>
        <v/>
      </c>
      <c r="I50" s="6">
        <f>'CASH FLOW'!D47-'YTD CF'!G50</f>
        <v/>
      </c>
      <c r="J50" s="6">
        <f>'YTD CF'!H50</f>
        <v/>
      </c>
      <c r="K50" s="6">
        <f>'YTD CF'!I50-'YTD CF'!H50</f>
        <v/>
      </c>
      <c r="L50" s="6">
        <f>'YTD CF'!J50-'YTD CF'!I50</f>
        <v/>
      </c>
      <c r="M50" s="6">
        <f>'CASH FLOW'!E47-'YTD CF'!J50</f>
        <v/>
      </c>
      <c r="N50" s="6">
        <f>'YTD CF'!K50</f>
        <v/>
      </c>
      <c r="O50" s="6">
        <f>'YTD CF'!L50-'YTD CF'!K50</f>
        <v/>
      </c>
      <c r="P50" s="6">
        <f>'YTD CF'!M50-'YTD CF'!L50</f>
        <v/>
      </c>
      <c r="Q50" s="6">
        <f>'CASH FLOW'!F47-'YTD CF'!M50</f>
        <v/>
      </c>
    </row>
    <row r="51">
      <c r="A51" s="3" t="inlineStr">
        <is>
          <t>FX Effect on Cash</t>
        </is>
      </c>
      <c r="B51" s="4">
        <f>'YTD CF'!B51</f>
        <v/>
      </c>
      <c r="C51" s="4">
        <f>'YTD CF'!C51-'YTD CF'!B51</f>
        <v/>
      </c>
      <c r="D51" s="4">
        <f>'YTD CF'!D51-'YTD CF'!C51</f>
        <v/>
      </c>
      <c r="E51" s="4">
        <f>'CASH FLOW'!C48-'YTD CF'!D51</f>
        <v/>
      </c>
      <c r="F51" s="4">
        <f>'YTD CF'!E51</f>
        <v/>
      </c>
      <c r="G51" s="4">
        <f>'YTD CF'!F51-'YTD CF'!E51</f>
        <v/>
      </c>
      <c r="H51" s="4">
        <f>'YTD CF'!G51-'YTD CF'!F51</f>
        <v/>
      </c>
      <c r="I51" s="4">
        <f>'CASH FLOW'!D48-'YTD CF'!G51</f>
        <v/>
      </c>
      <c r="J51" s="4">
        <f>'YTD CF'!H51</f>
        <v/>
      </c>
      <c r="K51" s="4">
        <f>'YTD CF'!I51-'YTD CF'!H51</f>
        <v/>
      </c>
      <c r="L51" s="4">
        <f>'YTD CF'!J51-'YTD CF'!I51</f>
        <v/>
      </c>
      <c r="M51" s="4">
        <f>'CASH FLOW'!E48-'YTD CF'!J51</f>
        <v/>
      </c>
      <c r="N51" s="4">
        <f>'YTD CF'!K51</f>
        <v/>
      </c>
      <c r="O51" s="4">
        <f>'YTD CF'!L51-'YTD CF'!K51</f>
        <v/>
      </c>
      <c r="P51" s="4">
        <f>'YTD CF'!M51-'YTD CF'!L51</f>
        <v/>
      </c>
      <c r="Q51" s="4">
        <f>'CASH FLOW'!F48-'YTD CF'!M51</f>
        <v/>
      </c>
    </row>
    <row r="52">
      <c r="A52" s="3" t="inlineStr">
        <is>
          <t>Net Change in Cash</t>
        </is>
      </c>
      <c r="B52" s="6">
        <f>'YTD CF'!B52</f>
        <v/>
      </c>
      <c r="C52" s="6">
        <f>'YTD CF'!C52-'YTD CF'!B52</f>
        <v/>
      </c>
      <c r="D52" s="6">
        <f>'YTD CF'!D52-'YTD CF'!C52</f>
        <v/>
      </c>
      <c r="E52" s="6">
        <f>'CASH FLOW'!C49-'YTD CF'!D52</f>
        <v/>
      </c>
      <c r="F52" s="6">
        <f>'YTD CF'!E52</f>
        <v/>
      </c>
      <c r="G52" s="6">
        <f>'YTD CF'!F52-'YTD CF'!E52</f>
        <v/>
      </c>
      <c r="H52" s="6">
        <f>'YTD CF'!G52-'YTD CF'!F52</f>
        <v/>
      </c>
      <c r="I52" s="6">
        <f>'CASH FLOW'!D49-'YTD CF'!G52</f>
        <v/>
      </c>
      <c r="J52" s="6">
        <f>'YTD CF'!H52</f>
        <v/>
      </c>
      <c r="K52" s="6">
        <f>'YTD CF'!I52-'YTD CF'!H52</f>
        <v/>
      </c>
      <c r="L52" s="6">
        <f>'YTD CF'!J52-'YTD CF'!I52</f>
        <v/>
      </c>
      <c r="M52" s="6">
        <f>'CASH FLOW'!E49-'YTD CF'!J52</f>
        <v/>
      </c>
      <c r="N52" s="6">
        <f>'YTD CF'!K52</f>
        <v/>
      </c>
      <c r="O52" s="6">
        <f>'YTD CF'!L52-'YTD CF'!K52</f>
        <v/>
      </c>
      <c r="P52" s="6">
        <f>'YTD CF'!M52-'YTD CF'!L52</f>
        <v/>
      </c>
      <c r="Q52" s="6">
        <f>'CASH FLOW'!F49-'YTD CF'!M52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2026-04-29T16:07:48Z</dcterms:created>
  <dcterms:modified xmlns:dcterms="http://purl.org/dc/terms/" xmlns:xsi="http://www.w3.org/2001/XMLSchema-instance" xsi:type="dcterms:W3CDTF">2026-04-29T16:07:48Z</dcterms:modified>
</cp:coreProperties>
</file>