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YTD P&amp;L" sheetId="4" state="visible" r:id="rId4"/>
    <sheet xmlns:r="http://schemas.openxmlformats.org/officeDocument/2006/relationships" name="YTD BS" sheetId="5" state="visible" r:id="rId5"/>
    <sheet xmlns:r="http://schemas.openxmlformats.org/officeDocument/2006/relationships" name="YTD CF" sheetId="6" state="visible" r:id="rId6"/>
    <sheet xmlns:r="http://schemas.openxmlformats.org/officeDocument/2006/relationships" name="QTR P&amp;L" sheetId="7" state="visible" r:id="rId7"/>
    <sheet xmlns:r="http://schemas.openxmlformats.org/officeDocument/2006/relationships" name="QTR BS" sheetId="8" state="visible" r:id="rId8"/>
    <sheet xmlns:r="http://schemas.openxmlformats.org/officeDocument/2006/relationships" name="QTR C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FY2019</t>
        </is>
      </c>
      <c r="C1" s="2" t="inlineStr">
        <is>
          <t>FY2020</t>
        </is>
      </c>
      <c r="D1" s="2" t="inlineStr">
        <is>
          <t>FY2021</t>
        </is>
      </c>
      <c r="E1" s="2" t="inlineStr">
        <is>
          <t>FY2022</t>
        </is>
      </c>
      <c r="F1" s="2" t="inlineStr">
        <is>
          <t>FY2023</t>
        </is>
      </c>
      <c r="G1" s="2" t="inlineStr">
        <is>
          <t>FY2024</t>
        </is>
      </c>
      <c r="H1" s="2" t="inlineStr">
        <is>
          <t>FY2025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  <c r="N1" s="2" t="inlineStr">
        <is>
          <t>FY2031E</t>
        </is>
      </c>
    </row>
    <row r="2">
      <c r="A2" s="3" t="inlineStr">
        <is>
          <t>Net Sales / Revenue</t>
        </is>
      </c>
      <c r="B2" s="4" t="n">
        <v>4200819</v>
      </c>
      <c r="C2" s="4" t="n">
        <v>4598638</v>
      </c>
      <c r="D2" s="4" t="n">
        <v>5541352</v>
      </c>
      <c r="E2" s="4" t="n">
        <v>6311050</v>
      </c>
      <c r="F2" s="4" t="n">
        <v>7140027</v>
      </c>
      <c r="G2" s="4" t="n">
        <v>7492709</v>
      </c>
      <c r="H2" s="4" t="n">
        <v>8294343</v>
      </c>
      <c r="I2" s="5" t="n"/>
      <c r="J2" s="5" t="n"/>
      <c r="K2" s="5" t="n"/>
      <c r="L2" s="5" t="n"/>
      <c r="M2" s="5" t="n"/>
      <c r="N2" s="5" t="n"/>
    </row>
    <row r="3">
      <c r="A3" s="3" t="inlineStr">
        <is>
          <t>COGS</t>
        </is>
      </c>
      <c r="B3" s="4" t="n">
        <v>-1682234</v>
      </c>
      <c r="C3" s="4" t="n">
        <v>-1874758</v>
      </c>
      <c r="D3" s="4" t="n">
        <v>-2432839</v>
      </c>
      <c r="E3" s="4" t="n">
        <v>-3136483</v>
      </c>
      <c r="F3" s="4" t="n">
        <v>-3345821</v>
      </c>
      <c r="G3" s="4" t="n">
        <v>-3443831</v>
      </c>
      <c r="H3" s="4" t="n">
        <v>-3662148</v>
      </c>
      <c r="I3" s="5" t="n"/>
      <c r="J3" s="5" t="n"/>
      <c r="K3" s="5" t="n"/>
      <c r="L3" s="5" t="n"/>
      <c r="M3" s="5" t="n"/>
      <c r="N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  <c r="M4" s="7">
        <f>M2+M3</f>
        <v/>
      </c>
      <c r="N4" s="7">
        <f>N2+N3</f>
        <v/>
      </c>
    </row>
    <row r="5">
      <c r="A5" s="3" t="inlineStr">
        <is>
          <t>Operating Expenses</t>
        </is>
      </c>
      <c r="B5" s="4" t="n">
        <v>-1115646</v>
      </c>
      <c r="C5" s="4" t="n">
        <v>-1090727</v>
      </c>
      <c r="D5" s="4" t="n">
        <v>-1311046</v>
      </c>
      <c r="E5" s="4" t="n">
        <v>-1589846</v>
      </c>
      <c r="F5" s="4" t="n">
        <v>-1840851</v>
      </c>
      <c r="G5" s="4" t="n">
        <v>-2118584</v>
      </c>
      <c r="H5" s="4" t="n">
        <v>-2212841</v>
      </c>
      <c r="I5" s="5" t="n"/>
      <c r="J5" s="5" t="n"/>
      <c r="K5" s="5" t="n"/>
      <c r="L5" s="5" t="n"/>
      <c r="M5" s="5" t="n"/>
      <c r="N5" s="5" t="n"/>
    </row>
    <row r="6">
      <c r="A6" s="3" t="inlineStr">
        <is>
          <t>Income (Loss) from Operations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  <c r="G6" s="6">
        <f>G4+G5</f>
        <v/>
      </c>
      <c r="H6" s="6">
        <f>H4+H5</f>
        <v/>
      </c>
      <c r="I6" s="7">
        <f>I4+I5</f>
        <v/>
      </c>
      <c r="J6" s="7">
        <f>J4+J5</f>
        <v/>
      </c>
      <c r="K6" s="7">
        <f>K4+K5</f>
        <v/>
      </c>
      <c r="L6" s="7">
        <f>L4+L5</f>
        <v/>
      </c>
      <c r="M6" s="7">
        <f>M4+M5</f>
        <v/>
      </c>
      <c r="N6" s="7">
        <f>N4+N5</f>
        <v/>
      </c>
    </row>
    <row r="7">
      <c r="A7" s="3" t="inlineStr">
        <is>
          <t>Other Income (Expense)</t>
        </is>
      </c>
      <c r="B7" s="4" t="n">
        <v>13023</v>
      </c>
      <c r="C7" s="4" t="n">
        <v>-6996</v>
      </c>
      <c r="D7" s="4" t="n">
        <v>3952</v>
      </c>
      <c r="E7" s="4" t="n">
        <v>-12757</v>
      </c>
      <c r="F7" s="4" t="n">
        <v>115127</v>
      </c>
      <c r="G7" s="4" t="n">
        <v>59165</v>
      </c>
      <c r="H7" s="4" t="n">
        <v>63175</v>
      </c>
      <c r="I7" s="5" t="n"/>
      <c r="J7" s="5" t="n"/>
      <c r="K7" s="5" t="n"/>
      <c r="L7" s="5" t="n"/>
      <c r="M7" s="5" t="n"/>
      <c r="N7" s="5" t="n"/>
    </row>
    <row r="8">
      <c r="A8" s="3" t="inlineStr">
        <is>
          <t>Pre-Tax Income (Loss)</t>
        </is>
      </c>
      <c r="B8" s="6">
        <f>B6+B7</f>
        <v/>
      </c>
      <c r="C8" s="6">
        <f>C6+C7</f>
        <v/>
      </c>
      <c r="D8" s="6">
        <f>D6+D7</f>
        <v/>
      </c>
      <c r="E8" s="6">
        <f>E6+E7</f>
        <v/>
      </c>
      <c r="F8" s="6">
        <f>F6+F7</f>
        <v/>
      </c>
      <c r="G8" s="6">
        <f>G6+G7</f>
        <v/>
      </c>
      <c r="H8" s="6">
        <f>H6+H7</f>
        <v/>
      </c>
      <c r="I8" s="7">
        <f>I6+I7</f>
        <v/>
      </c>
      <c r="J8" s="7">
        <f>J6+J7</f>
        <v/>
      </c>
      <c r="K8" s="7">
        <f>K6+K7</f>
        <v/>
      </c>
      <c r="L8" s="7">
        <f>L6+L7</f>
        <v/>
      </c>
      <c r="M8" s="7">
        <f>M6+M7</f>
        <v/>
      </c>
      <c r="N8" s="7">
        <f>N6+N7</f>
        <v/>
      </c>
    </row>
    <row r="9">
      <c r="A9" s="3" t="inlineStr">
        <is>
          <t>Income Tax (Expense) Benefit</t>
        </is>
      </c>
      <c r="B9" s="4" t="n">
        <v>-308127</v>
      </c>
      <c r="C9" s="4" t="n">
        <v>-216563</v>
      </c>
      <c r="D9" s="4" t="n">
        <v>-423944</v>
      </c>
      <c r="E9" s="4" t="n">
        <v>-380340</v>
      </c>
      <c r="F9" s="4" t="n">
        <v>-437494</v>
      </c>
      <c r="G9" s="4" t="n">
        <v>-480411</v>
      </c>
      <c r="H9" s="4" t="n">
        <v>-577097</v>
      </c>
      <c r="I9" s="5" t="n"/>
      <c r="J9" s="5" t="n"/>
      <c r="K9" s="5" t="n"/>
      <c r="L9" s="5" t="n"/>
      <c r="M9" s="5" t="n"/>
      <c r="N9" s="5" t="n"/>
    </row>
    <row r="10">
      <c r="A10" s="3" t="inlineStr">
        <is>
          <t>Net Income (Loss)</t>
        </is>
      </c>
      <c r="B10" s="6">
        <f>B8+B9</f>
        <v/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  <c r="H10" s="6">
        <f>H8+H9</f>
        <v/>
      </c>
      <c r="I10" s="7">
        <f>I8+I9</f>
        <v/>
      </c>
      <c r="J10" s="7">
        <f>J8+J9</f>
        <v/>
      </c>
      <c r="K10" s="7">
        <f>K8+K9</f>
        <v/>
      </c>
      <c r="L10" s="7">
        <f>L8+L9</f>
        <v/>
      </c>
      <c r="M10" s="7">
        <f>M8+M9</f>
        <v/>
      </c>
      <c r="N10" s="7">
        <f>N8+N9</f>
        <v/>
      </c>
    </row>
    <row r="11">
      <c r="A11" s="3" t="inlineStr">
        <is>
          <t>Basic Earnings (Loss) per Share</t>
        </is>
      </c>
      <c r="B11" s="8" t="n">
        <v>2.04</v>
      </c>
      <c r="C11" s="8" t="n">
        <v>2.66</v>
      </c>
      <c r="D11" s="8" t="n">
        <v>2.61</v>
      </c>
      <c r="E11" s="8" t="n">
        <v>2.26</v>
      </c>
      <c r="F11" s="8" t="n">
        <v>1.56</v>
      </c>
      <c r="G11" s="8" t="n">
        <v>1.5</v>
      </c>
      <c r="H11" s="8" t="n">
        <v>1.95</v>
      </c>
      <c r="I11" s="9" t="n"/>
      <c r="J11" s="9" t="n"/>
      <c r="K11" s="9" t="n"/>
      <c r="L11" s="9" t="n"/>
      <c r="M11" s="9" t="n"/>
      <c r="N11" s="9" t="n"/>
    </row>
    <row r="12">
      <c r="A12" s="3" t="inlineStr">
        <is>
          <t>Diluted Earnings (Loss) per Share</t>
        </is>
      </c>
      <c r="B12" s="8" t="n">
        <v>2.03</v>
      </c>
      <c r="C12" s="8" t="n">
        <v>2.64</v>
      </c>
      <c r="D12" s="8" t="n">
        <v>2.57</v>
      </c>
      <c r="E12" s="8" t="n">
        <v>2.23</v>
      </c>
      <c r="F12" s="8" t="n">
        <v>1.54</v>
      </c>
      <c r="G12" s="8" t="n">
        <v>1.49</v>
      </c>
      <c r="H12" s="8" t="n">
        <v>1.94</v>
      </c>
      <c r="I12" s="9" t="n"/>
      <c r="J12" s="9" t="n"/>
      <c r="K12" s="9" t="n"/>
      <c r="L12" s="9" t="n"/>
      <c r="M12" s="9" t="n"/>
      <c r="N12" s="9" t="n"/>
    </row>
    <row r="13">
      <c r="A13" s="3" t="inlineStr">
        <is>
          <t>Weighted Average Shares Outstanding (Basic)</t>
        </is>
      </c>
      <c r="B13" s="4" t="n">
        <v>542191000</v>
      </c>
      <c r="C13" s="4" t="n">
        <v>529639000</v>
      </c>
      <c r="D13" s="4" t="n">
        <v>528763000</v>
      </c>
      <c r="E13" s="4" t="n">
        <v>526779000</v>
      </c>
      <c r="F13" s="4" t="n">
        <v>1044887000</v>
      </c>
      <c r="G13" s="4" t="n">
        <v>1004566000</v>
      </c>
      <c r="H13" s="4" t="n">
        <v>975887000</v>
      </c>
      <c r="I13" s="5" t="n"/>
      <c r="J13" s="5" t="n"/>
      <c r="K13" s="5" t="n"/>
      <c r="L13" s="5" t="n"/>
      <c r="M13" s="5" t="n"/>
      <c r="N13" s="5" t="n"/>
    </row>
    <row r="14">
      <c r="A14" s="3" t="inlineStr">
        <is>
          <t>Weighted Average Shares Outstanding (Diluted)</t>
        </is>
      </c>
      <c r="B14" s="4" t="n">
        <v>546608000</v>
      </c>
      <c r="C14" s="4" t="n">
        <v>534807000</v>
      </c>
      <c r="D14" s="4" t="n">
        <v>535639000</v>
      </c>
      <c r="E14" s="4" t="n">
        <v>533221000</v>
      </c>
      <c r="F14" s="4" t="n">
        <v>1057981000</v>
      </c>
      <c r="G14" s="4" t="n">
        <v>1013107000</v>
      </c>
      <c r="H14" s="4" t="n">
        <v>984451000</v>
      </c>
      <c r="I14" s="5" t="n"/>
      <c r="J14" s="5" t="n"/>
      <c r="K14" s="5" t="n"/>
      <c r="L14" s="5" t="n"/>
      <c r="M14" s="5" t="n"/>
      <c r="N14" s="5" t="n"/>
    </row>
    <row r="15">
      <c r="A15" s="3" t="inlineStr">
        <is>
          <t>Net Income (Loss) Attributable to Common Shareholders</t>
        </is>
      </c>
      <c r="B15" s="6">
        <f>B10</f>
        <v/>
      </c>
      <c r="C15" s="6">
        <f>C10</f>
        <v/>
      </c>
      <c r="D15" s="6">
        <f>D10</f>
        <v/>
      </c>
      <c r="E15" s="6">
        <f>E10</f>
        <v/>
      </c>
      <c r="F15" s="6">
        <f>F10</f>
        <v/>
      </c>
      <c r="G15" s="6">
        <f>G10</f>
        <v/>
      </c>
      <c r="H15" s="6">
        <f>H10</f>
        <v/>
      </c>
      <c r="I15" s="7">
        <f>I10</f>
        <v/>
      </c>
      <c r="J15" s="7">
        <f>J10</f>
        <v/>
      </c>
      <c r="K15" s="7">
        <f>K10</f>
        <v/>
      </c>
      <c r="L15" s="7">
        <f>L10</f>
        <v/>
      </c>
      <c r="M15" s="7">
        <f>M10</f>
        <v/>
      </c>
      <c r="N15" s="7">
        <f>N10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  <c r="M1" s="2" t="inlineStr">
        <is>
          <t>FY2031E</t>
        </is>
      </c>
    </row>
    <row r="2">
      <c r="A2" s="3" t="inlineStr">
        <is>
          <t>Cash &amp; Cash Equivalents</t>
        </is>
      </c>
      <c r="B2" s="4" t="n">
        <v>1180413</v>
      </c>
      <c r="C2" s="4" t="n">
        <v>1326462</v>
      </c>
      <c r="D2" s="4" t="n">
        <v>1307141</v>
      </c>
      <c r="E2" s="4" t="n">
        <v>2297675</v>
      </c>
      <c r="F2" s="4" t="n">
        <v>1533287</v>
      </c>
      <c r="G2" s="4" t="n">
        <v>2088117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Short-Term Investments</t>
        </is>
      </c>
      <c r="B3" s="4" t="n">
        <v>881354</v>
      </c>
      <c r="C3" s="4" t="n">
        <v>1749727</v>
      </c>
      <c r="D3" s="4" t="n">
        <v>1362314</v>
      </c>
      <c r="E3" s="4" t="n">
        <v>955605</v>
      </c>
      <c r="F3" s="4" t="n">
        <v>0</v>
      </c>
      <c r="G3" s="4" t="n">
        <v>677084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Accounts Receivable</t>
        </is>
      </c>
      <c r="B4" s="4" t="n">
        <v>666012</v>
      </c>
      <c r="C4" s="4" t="n">
        <v>896658</v>
      </c>
      <c r="D4" s="4" t="n">
        <v>1016203</v>
      </c>
      <c r="E4" s="4" t="n">
        <v>1193964</v>
      </c>
      <c r="F4" s="4" t="n">
        <v>1221646</v>
      </c>
      <c r="G4" s="4" t="n">
        <v>1618072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Inventories</t>
        </is>
      </c>
      <c r="B5" s="4" t="n">
        <v>333085</v>
      </c>
      <c r="C5" s="4" t="n">
        <v>593357</v>
      </c>
      <c r="D5" s="4" t="n">
        <v>935631</v>
      </c>
      <c r="E5" s="4" t="n">
        <v>971406</v>
      </c>
      <c r="F5" s="4" t="n">
        <v>737107</v>
      </c>
      <c r="G5" s="4" t="n">
        <v>799623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Prepaid Expenses</t>
        </is>
      </c>
      <c r="B6" s="4" t="n">
        <v>55358</v>
      </c>
      <c r="C6" s="4" t="n">
        <v>82668</v>
      </c>
      <c r="D6" s="4" t="n">
        <v>109823</v>
      </c>
      <c r="E6" s="4" t="n">
        <v>116195</v>
      </c>
      <c r="F6" s="4" t="n">
        <v>107262</v>
      </c>
      <c r="G6" s="4" t="n">
        <v>103551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Prepaid Income Taxes</t>
        </is>
      </c>
      <c r="B7" s="4" t="n">
        <v>24733</v>
      </c>
      <c r="C7" s="4" t="n">
        <v>33238</v>
      </c>
      <c r="D7" s="4" t="n">
        <v>33785</v>
      </c>
      <c r="E7" s="4" t="n">
        <v>54151</v>
      </c>
      <c r="F7" s="4" t="n">
        <v>42202</v>
      </c>
      <c r="G7" s="4" t="n">
        <v>74637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Total Current Assets</t>
        </is>
      </c>
      <c r="B8" s="6">
        <f>SUM(B2:B7)</f>
        <v/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7">
        <f>SUM(H2:H7)</f>
        <v/>
      </c>
      <c r="I8" s="7">
        <f>SUM(I2:I7)</f>
        <v/>
      </c>
      <c r="J8" s="7">
        <f>SUM(J2:J7)</f>
        <v/>
      </c>
      <c r="K8" s="7">
        <f>SUM(K2:K7)</f>
        <v/>
      </c>
      <c r="L8" s="7">
        <f>SUM(L2:L7)</f>
        <v/>
      </c>
      <c r="M8" s="7">
        <f>SUM(M2:M7)</f>
        <v/>
      </c>
    </row>
    <row r="9">
      <c r="A9" s="3" t="inlineStr">
        <is>
          <t>Long-Term Investments</t>
        </is>
      </c>
      <c r="B9" s="4" t="n">
        <v>44291</v>
      </c>
      <c r="C9" s="4" t="n">
        <v>99419</v>
      </c>
      <c r="D9" s="4" t="n">
        <v>61443</v>
      </c>
      <c r="E9" s="4" t="n">
        <v>76431</v>
      </c>
      <c r="F9" s="4" t="n">
        <v>0</v>
      </c>
      <c r="G9" s="4" t="n">
        <v>487329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Net PP&amp;E</t>
        </is>
      </c>
      <c r="B10" s="4" t="n">
        <v>314656</v>
      </c>
      <c r="C10" s="4" t="n">
        <v>313753</v>
      </c>
      <c r="D10" s="4" t="n">
        <v>516897</v>
      </c>
      <c r="E10" s="4" t="n">
        <v>890796</v>
      </c>
      <c r="F10" s="4" t="n">
        <v>1047024</v>
      </c>
      <c r="G10" s="4" t="n">
        <v>1081544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Deferred Tax Assets</t>
        </is>
      </c>
      <c r="B11" s="4" t="n">
        <v>241650</v>
      </c>
      <c r="C11" s="4" t="n">
        <v>225221</v>
      </c>
      <c r="D11" s="4" t="n">
        <v>177039</v>
      </c>
      <c r="E11" s="4" t="n">
        <v>175003</v>
      </c>
      <c r="F11" s="4" t="n">
        <v>184260</v>
      </c>
      <c r="G11" s="4" t="n">
        <v>188646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Goodwill</t>
        </is>
      </c>
      <c r="B12" s="4" t="n">
        <v>1331643</v>
      </c>
      <c r="C12" s="4" t="n">
        <v>1331643</v>
      </c>
      <c r="D12" s="4" t="n">
        <v>1417941</v>
      </c>
      <c r="E12" s="4" t="n">
        <v>1417941</v>
      </c>
      <c r="F12" s="4" t="n">
        <v>1331643</v>
      </c>
      <c r="G12" s="4" t="n">
        <v>1331643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Intangible Assets</t>
        </is>
      </c>
      <c r="B13" s="4" t="n">
        <v>1059046</v>
      </c>
      <c r="C13" s="4" t="n">
        <v>1072386</v>
      </c>
      <c r="D13" s="4" t="n">
        <v>1220410</v>
      </c>
      <c r="E13" s="4" t="n">
        <v>1427139</v>
      </c>
      <c r="F13" s="4" t="n">
        <v>1414252</v>
      </c>
      <c r="G13" s="4" t="n">
        <v>1379268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Other Non-Current Assets</t>
        </is>
      </c>
      <c r="B14" s="4" t="n">
        <v>70475</v>
      </c>
      <c r="C14" s="4" t="n">
        <v>80252</v>
      </c>
      <c r="D14" s="4" t="n">
        <v>134478</v>
      </c>
      <c r="E14" s="4" t="n">
        <v>110216</v>
      </c>
      <c r="F14" s="4" t="n">
        <v>100406</v>
      </c>
      <c r="G14" s="4" t="n">
        <v>159431</v>
      </c>
      <c r="H14" s="5" t="n"/>
      <c r="I14" s="5" t="n"/>
      <c r="J14" s="5" t="n"/>
      <c r="K14" s="5" t="n"/>
      <c r="L14" s="5" t="n"/>
      <c r="M14" s="5" t="n"/>
    </row>
    <row r="15">
      <c r="A15" s="3" t="inlineStr">
        <is>
          <t>Total Assets</t>
        </is>
      </c>
      <c r="B15" s="6">
        <f>B8+SUM(B9:B14)</f>
        <v/>
      </c>
      <c r="C15" s="6">
        <f>C8+SUM(C9:C14)</f>
        <v/>
      </c>
      <c r="D15" s="6">
        <f>D8+SUM(D9:D14)</f>
        <v/>
      </c>
      <c r="E15" s="6">
        <f>E8+SUM(E9:E14)</f>
        <v/>
      </c>
      <c r="F15" s="6">
        <f>F8+SUM(F9:F14)</f>
        <v/>
      </c>
      <c r="G15" s="6">
        <f>G8+SUM(G9:G14)</f>
        <v/>
      </c>
      <c r="H15" s="7">
        <f>H8+SUM(H9:H14)</f>
        <v/>
      </c>
      <c r="I15" s="7">
        <f>I8+SUM(I9:I14)</f>
        <v/>
      </c>
      <c r="J15" s="7">
        <f>J8+SUM(J9:J14)</f>
        <v/>
      </c>
      <c r="K15" s="7">
        <f>K8+SUM(K9:K14)</f>
        <v/>
      </c>
      <c r="L15" s="7">
        <f>L8+SUM(L9:L14)</f>
        <v/>
      </c>
      <c r="M15" s="7">
        <f>M8+SUM(M9:M14)</f>
        <v/>
      </c>
    </row>
    <row r="16">
      <c r="A16" s="3" t="inlineStr">
        <is>
          <t>Accounts Payable</t>
        </is>
      </c>
      <c r="B16" s="4" t="n">
        <v>296800</v>
      </c>
      <c r="C16" s="4" t="n">
        <v>404263</v>
      </c>
      <c r="D16" s="4" t="n">
        <v>444265</v>
      </c>
      <c r="E16" s="4" t="n">
        <v>564379</v>
      </c>
      <c r="F16" s="4" t="n">
        <v>466775</v>
      </c>
      <c r="G16" s="4" t="n">
        <v>565974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Accrued Expenses</t>
        </is>
      </c>
      <c r="B17" s="4" t="n">
        <v>142653</v>
      </c>
      <c r="C17" s="4" t="n">
        <v>210964</v>
      </c>
      <c r="D17" s="4" t="n">
        <v>172991</v>
      </c>
      <c r="E17" s="4" t="n">
        <v>183988</v>
      </c>
      <c r="F17" s="4" t="n">
        <v>220764</v>
      </c>
      <c r="G17" s="4" t="n">
        <v>306085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Accrued Promotional Allowance</t>
        </is>
      </c>
      <c r="B18" s="4" t="n">
        <v>186658</v>
      </c>
      <c r="C18" s="4" t="n">
        <v>211461</v>
      </c>
      <c r="D18" s="4" t="n">
        <v>255631</v>
      </c>
      <c r="E18" s="4" t="n">
        <v>269061</v>
      </c>
      <c r="F18" s="4" t="n">
        <v>267711</v>
      </c>
      <c r="G18" s="4" t="n">
        <v>384070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Deferred Revenue - Current</t>
        </is>
      </c>
      <c r="B19" s="4" t="n">
        <v>45429</v>
      </c>
      <c r="C19" s="4" t="n">
        <v>42530</v>
      </c>
      <c r="D19" s="4" t="n">
        <v>43311</v>
      </c>
      <c r="E19" s="4" t="n">
        <v>41914</v>
      </c>
      <c r="F19" s="4" t="n">
        <v>45809</v>
      </c>
      <c r="G19" s="4" t="n">
        <v>45323</v>
      </c>
      <c r="H19" s="5" t="n"/>
      <c r="I19" s="5" t="n"/>
      <c r="J19" s="5" t="n"/>
      <c r="K19" s="5" t="n"/>
      <c r="L19" s="5" t="n"/>
      <c r="M19" s="5" t="n"/>
    </row>
    <row r="20">
      <c r="A20" s="3" t="inlineStr">
        <is>
          <t>Accrued Compensation</t>
        </is>
      </c>
      <c r="B20" s="4" t="n">
        <v>55015</v>
      </c>
      <c r="C20" s="4" t="n">
        <v>65459</v>
      </c>
      <c r="D20" s="4" t="n">
        <v>72463</v>
      </c>
      <c r="E20" s="4" t="n">
        <v>87392</v>
      </c>
      <c r="F20" s="4" t="n">
        <v>92454</v>
      </c>
      <c r="G20" s="4" t="n">
        <v>114023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Income Taxes Payable</t>
        </is>
      </c>
      <c r="B21" s="4" t="n">
        <v>23433</v>
      </c>
      <c r="C21" s="4" t="n">
        <v>30399</v>
      </c>
      <c r="D21" s="4" t="n">
        <v>13317</v>
      </c>
      <c r="E21" s="4" t="n">
        <v>14955</v>
      </c>
      <c r="F21" s="4" t="n">
        <v>4006</v>
      </c>
      <c r="G21" s="4" t="n">
        <v>32305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Total Current Liabilities</t>
        </is>
      </c>
      <c r="B22" s="6">
        <f>SUM(B16:B21)</f>
        <v/>
      </c>
      <c r="C22" s="6">
        <f>SUM(C16:C21)</f>
        <v/>
      </c>
      <c r="D22" s="6">
        <f>SUM(D16:D21)</f>
        <v/>
      </c>
      <c r="E22" s="6">
        <f>SUM(E16:E21)</f>
        <v/>
      </c>
      <c r="F22" s="6">
        <f>SUM(F16:F21)</f>
        <v/>
      </c>
      <c r="G22" s="6">
        <f>SUM(G16:G21)</f>
        <v/>
      </c>
      <c r="H22" s="7">
        <f>SUM(H16:H21)</f>
        <v/>
      </c>
      <c r="I22" s="7">
        <f>SUM(I16:I21)</f>
        <v/>
      </c>
      <c r="J22" s="7">
        <f>SUM(J16:J21)</f>
        <v/>
      </c>
      <c r="K22" s="7">
        <f>SUM(K16:K21)</f>
        <v/>
      </c>
      <c r="L22" s="7">
        <f>SUM(L16:L21)</f>
        <v/>
      </c>
      <c r="M22" s="7">
        <f>SUM(M16:M21)</f>
        <v/>
      </c>
    </row>
    <row r="23">
      <c r="A23" s="3" t="inlineStr">
        <is>
          <t>Deferred Revenue - Non-Current</t>
        </is>
      </c>
      <c r="B23" s="4" t="n">
        <v>264436</v>
      </c>
      <c r="C23" s="4" t="n">
        <v>243249</v>
      </c>
      <c r="D23" s="4" t="n">
        <v>223800</v>
      </c>
      <c r="E23" s="4" t="n">
        <v>204251</v>
      </c>
      <c r="F23" s="4" t="n">
        <v>179008</v>
      </c>
      <c r="G23" s="4" t="n">
        <v>159991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Other Non-Current Liabilities</t>
        </is>
      </c>
      <c r="B24" s="4" t="n">
        <v>27432</v>
      </c>
      <c r="C24" s="4" t="n">
        <v>29508</v>
      </c>
      <c r="D24" s="4" t="n">
        <v>42286</v>
      </c>
      <c r="E24" s="4" t="n">
        <v>91838</v>
      </c>
      <c r="F24" s="4" t="n">
        <v>110893</v>
      </c>
      <c r="G24" s="4" t="n">
        <v>127066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Long-Term Debt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373951</v>
      </c>
      <c r="G25" s="4" t="n">
        <v>0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Total Liabilities</t>
        </is>
      </c>
      <c r="B26" s="6">
        <f>B22+SUM(B23:B25)</f>
        <v/>
      </c>
      <c r="C26" s="6">
        <f>C22+SUM(C23:C25)</f>
        <v/>
      </c>
      <c r="D26" s="6">
        <f>D22+SUM(D23:D25)</f>
        <v/>
      </c>
      <c r="E26" s="6">
        <f>E22+SUM(E23:E25)</f>
        <v/>
      </c>
      <c r="F26" s="6">
        <f>F22+SUM(F23:F25)</f>
        <v/>
      </c>
      <c r="G26" s="6">
        <f>G22+SUM(G23:G25)</f>
        <v/>
      </c>
      <c r="H26" s="7">
        <f>H22+SUM(H23:H25)</f>
        <v/>
      </c>
      <c r="I26" s="7">
        <f>I22+SUM(I23:I25)</f>
        <v/>
      </c>
      <c r="J26" s="7">
        <f>J22+SUM(J23:J25)</f>
        <v/>
      </c>
      <c r="K26" s="7">
        <f>K22+SUM(K23:K25)</f>
        <v/>
      </c>
      <c r="L26" s="7">
        <f>L22+SUM(L23:L25)</f>
        <v/>
      </c>
      <c r="M26" s="7">
        <f>M22+SUM(M23:M25)</f>
        <v/>
      </c>
    </row>
    <row r="27">
      <c r="A27" s="3" t="inlineStr">
        <is>
          <t>Common Stock</t>
        </is>
      </c>
      <c r="B27" s="4" t="n">
        <v>3193</v>
      </c>
      <c r="C27" s="4" t="n">
        <v>3200</v>
      </c>
      <c r="D27" s="4" t="n">
        <v>3209</v>
      </c>
      <c r="E27" s="4" t="n">
        <v>5613</v>
      </c>
      <c r="F27" s="4" t="n">
        <v>5632</v>
      </c>
      <c r="G27" s="4" t="n">
        <v>5665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Additional Paid-in Capital</t>
        </is>
      </c>
      <c r="B28" s="4" t="n">
        <v>4537982</v>
      </c>
      <c r="C28" s="4" t="n">
        <v>4652620</v>
      </c>
      <c r="D28" s="4" t="n">
        <v>4780013</v>
      </c>
      <c r="E28" s="4" t="n">
        <v>4975115</v>
      </c>
      <c r="F28" s="4" t="n">
        <v>5144922</v>
      </c>
      <c r="G28" s="4" t="n">
        <v>5430847</v>
      </c>
      <c r="H28" s="5" t="n"/>
      <c r="I28" s="5" t="n"/>
      <c r="J28" s="5" t="n"/>
      <c r="K28" s="5" t="n"/>
      <c r="L28" s="5" t="n"/>
      <c r="M28" s="5" t="n"/>
    </row>
    <row r="29">
      <c r="A29" s="3" t="inlineStr">
        <is>
          <t>Retained Earnings (Accumulated Deficit)</t>
        </is>
      </c>
      <c r="B29" s="4" t="n">
        <v>6432074</v>
      </c>
      <c r="C29" s="4" t="n">
        <v>7809549</v>
      </c>
      <c r="D29" s="4" t="n">
        <v>9001173</v>
      </c>
      <c r="E29" s="4" t="n">
        <v>5939736</v>
      </c>
      <c r="F29" s="4" t="n">
        <v>7448784</v>
      </c>
      <c r="G29" s="4" t="n">
        <v>9354216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Accumulated Other Comprehensive Income (Loss)</t>
        </is>
      </c>
      <c r="B30" s="4" t="n">
        <v>3034</v>
      </c>
      <c r="C30" s="4" t="n">
        <v>-69165</v>
      </c>
      <c r="D30" s="4" t="n">
        <v>-159073</v>
      </c>
      <c r="E30" s="4" t="n">
        <v>-125337</v>
      </c>
      <c r="F30" s="4" t="n">
        <v>-269487</v>
      </c>
      <c r="G30" s="4" t="n">
        <v>-60841</v>
      </c>
      <c r="H30" s="5" t="n"/>
      <c r="I30" s="5" t="n"/>
      <c r="J30" s="5" t="n"/>
      <c r="K30" s="5" t="n"/>
      <c r="L30" s="5" t="n"/>
      <c r="M30" s="5" t="n"/>
    </row>
    <row r="31">
      <c r="A31" s="3" t="inlineStr">
        <is>
          <t>Treasury Stock</t>
        </is>
      </c>
      <c r="B31" s="4" t="n">
        <v>-5815423</v>
      </c>
      <c r="C31" s="4" t="n">
        <v>-5829253</v>
      </c>
      <c r="D31" s="4" t="n">
        <v>-6600281</v>
      </c>
      <c r="E31" s="4" t="n">
        <v>-2566383</v>
      </c>
      <c r="F31" s="4" t="n">
        <v>-6372133</v>
      </c>
      <c r="G31" s="4" t="n">
        <v>-6475779</v>
      </c>
      <c r="H31" s="5" t="n"/>
      <c r="I31" s="5" t="n"/>
      <c r="J31" s="5" t="n"/>
      <c r="K31" s="5" t="n"/>
      <c r="L31" s="5" t="n"/>
      <c r="M31" s="5" t="n"/>
    </row>
    <row r="32">
      <c r="A32" s="3" t="inlineStr">
        <is>
          <t>Total Stockholders' Equity</t>
        </is>
      </c>
      <c r="B32" s="6">
        <f>SUM(B27:B31)</f>
        <v/>
      </c>
      <c r="C32" s="6">
        <f>SUM(C27:C31)</f>
        <v/>
      </c>
      <c r="D32" s="6">
        <f>SUM(D27:D31)</f>
        <v/>
      </c>
      <c r="E32" s="6">
        <f>SUM(E27:E31)</f>
        <v/>
      </c>
      <c r="F32" s="6">
        <f>SUM(F27:F31)</f>
        <v/>
      </c>
      <c r="G32" s="6">
        <f>SUM(G27:G31)</f>
        <v/>
      </c>
      <c r="H32" s="7">
        <f>SUM(H27:H31)</f>
        <v/>
      </c>
      <c r="I32" s="7">
        <f>SUM(I27:I31)</f>
        <v/>
      </c>
      <c r="J32" s="7">
        <f>SUM(J27:J31)</f>
        <v/>
      </c>
      <c r="K32" s="7">
        <f>SUM(K27:K31)</f>
        <v/>
      </c>
      <c r="L32" s="7">
        <f>SUM(L27:L31)</f>
        <v/>
      </c>
      <c r="M32" s="7">
        <f>SUM(M27:M31)</f>
        <v/>
      </c>
    </row>
    <row r="33">
      <c r="A33" s="3" t="inlineStr">
        <is>
          <t>Total Liabilities, Mezzanine &amp; Stockholders' Equity</t>
        </is>
      </c>
      <c r="B33" s="6">
        <f>B26+B32</f>
        <v/>
      </c>
      <c r="C33" s="6">
        <f>C26+C32</f>
        <v/>
      </c>
      <c r="D33" s="6">
        <f>D26+D32</f>
        <v/>
      </c>
      <c r="E33" s="6">
        <f>E26+E32</f>
        <v/>
      </c>
      <c r="F33" s="6">
        <f>F26+F32</f>
        <v/>
      </c>
      <c r="G33" s="6">
        <f>G26+G32</f>
        <v/>
      </c>
      <c r="H33" s="7">
        <f>H26+H32</f>
        <v/>
      </c>
      <c r="I33" s="7">
        <f>I26+I32</f>
        <v/>
      </c>
      <c r="J33" s="7">
        <f>J26+J32</f>
        <v/>
      </c>
      <c r="K33" s="7">
        <f>K26+K32</f>
        <v/>
      </c>
      <c r="L33" s="7">
        <f>L26+L32</f>
        <v/>
      </c>
      <c r="M33" s="7">
        <f>M26+M32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FY2019</t>
        </is>
      </c>
      <c r="C1" s="2" t="inlineStr">
        <is>
          <t>FY2020</t>
        </is>
      </c>
      <c r="D1" s="2" t="inlineStr">
        <is>
          <t>FY2021</t>
        </is>
      </c>
      <c r="E1" s="2" t="inlineStr">
        <is>
          <t>FY2022</t>
        </is>
      </c>
      <c r="F1" s="2" t="inlineStr">
        <is>
          <t>FY2023</t>
        </is>
      </c>
      <c r="G1" s="2" t="inlineStr">
        <is>
          <t>FY2024</t>
        </is>
      </c>
      <c r="H1" s="2" t="inlineStr">
        <is>
          <t>FY2025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  <c r="N1" s="2" t="inlineStr">
        <is>
          <t>FY2031E</t>
        </is>
      </c>
    </row>
    <row r="2">
      <c r="A2" s="3" t="inlineStr">
        <is>
          <t>Net Income (Loss)</t>
        </is>
      </c>
      <c r="B2" s="4" t="n">
        <v>1107835</v>
      </c>
      <c r="C2" s="4" t="n">
        <v>1409594</v>
      </c>
      <c r="D2" s="4" t="n">
        <v>1377475</v>
      </c>
      <c r="E2" s="4" t="n">
        <v>1191624</v>
      </c>
      <c r="F2" s="4" t="n">
        <v>1630988</v>
      </c>
      <c r="G2" s="4" t="n">
        <v>1509048</v>
      </c>
      <c r="H2" s="4" t="n">
        <v>1905432</v>
      </c>
      <c r="I2" s="5" t="n"/>
      <c r="J2" s="5" t="n"/>
      <c r="K2" s="5" t="n"/>
      <c r="L2" s="5" t="n"/>
      <c r="M2" s="5" t="n"/>
      <c r="N2" s="5" t="n"/>
    </row>
    <row r="3">
      <c r="A3" s="3" t="inlineStr">
        <is>
          <t>Depreciation &amp; Amortization</t>
        </is>
      </c>
      <c r="B3" s="4" t="n">
        <v>60727</v>
      </c>
      <c r="C3" s="4" t="n">
        <v>57030</v>
      </c>
      <c r="D3" s="4" t="n">
        <v>50155</v>
      </c>
      <c r="E3" s="4" t="n">
        <v>61241</v>
      </c>
      <c r="F3" s="4" t="n">
        <v>68898</v>
      </c>
      <c r="G3" s="4" t="n">
        <v>80434</v>
      </c>
      <c r="H3" s="4" t="n">
        <v>114441</v>
      </c>
      <c r="I3" s="5" t="n"/>
      <c r="J3" s="5" t="n"/>
      <c r="K3" s="5" t="n"/>
      <c r="L3" s="5" t="n"/>
      <c r="M3" s="5" t="n"/>
      <c r="N3" s="5" t="n"/>
    </row>
    <row r="4">
      <c r="A4" s="3" t="inlineStr">
        <is>
          <t>Non-Cash Lease Expense</t>
        </is>
      </c>
      <c r="B4" s="4" t="n">
        <v>4087</v>
      </c>
      <c r="C4" s="4" t="n">
        <v>3943</v>
      </c>
      <c r="D4" s="4" t="n">
        <v>4107</v>
      </c>
      <c r="E4" s="4" t="n">
        <v>7337</v>
      </c>
      <c r="F4" s="4" t="n">
        <v>9043</v>
      </c>
      <c r="G4" s="4" t="n">
        <v>13521</v>
      </c>
      <c r="H4" s="4" t="n">
        <v>15398</v>
      </c>
      <c r="I4" s="5" t="n"/>
      <c r="J4" s="5" t="n"/>
      <c r="K4" s="5" t="n"/>
      <c r="L4" s="5" t="n"/>
      <c r="M4" s="5" t="n"/>
      <c r="N4" s="5" t="n"/>
    </row>
    <row r="5">
      <c r="A5" s="3" t="inlineStr">
        <is>
          <t>Gain (Loss) on Disposal of PP&amp;E</t>
        </is>
      </c>
      <c r="B5" s="4" t="n">
        <v>-252</v>
      </c>
      <c r="C5" s="4" t="n">
        <v>-350</v>
      </c>
      <c r="D5" s="4" t="n">
        <v>-1013</v>
      </c>
      <c r="E5" s="4" t="n">
        <v>-185</v>
      </c>
      <c r="F5" s="4" t="n">
        <v>166</v>
      </c>
      <c r="G5" s="4" t="n">
        <v>3328</v>
      </c>
      <c r="H5" s="4" t="n">
        <v>2781</v>
      </c>
      <c r="I5" s="5" t="n"/>
      <c r="J5" s="5" t="n"/>
      <c r="K5" s="5" t="n"/>
      <c r="L5" s="5" t="n"/>
      <c r="M5" s="5" t="n"/>
      <c r="N5" s="5" t="n"/>
    </row>
    <row r="6">
      <c r="A6" s="3" t="inlineStr">
        <is>
          <t>Gain on Bang Transaction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-45382</v>
      </c>
      <c r="G6" s="4" t="n">
        <v>0</v>
      </c>
      <c r="H6" s="4" t="n">
        <v>0</v>
      </c>
      <c r="I6" s="5" t="n"/>
      <c r="J6" s="5" t="n"/>
      <c r="K6" s="5" t="n"/>
      <c r="L6" s="5" t="n"/>
      <c r="M6" s="5" t="n"/>
      <c r="N6" s="5" t="n"/>
    </row>
    <row r="7">
      <c r="A7" s="3" t="inlineStr">
        <is>
          <t>Impairment of Intangibles</t>
        </is>
      </c>
      <c r="B7" s="4" t="n">
        <v>0</v>
      </c>
      <c r="C7" s="4" t="n">
        <v>8700</v>
      </c>
      <c r="D7" s="4" t="n">
        <v>0</v>
      </c>
      <c r="E7" s="4" t="n">
        <v>2200</v>
      </c>
      <c r="F7" s="4" t="n">
        <v>38700</v>
      </c>
      <c r="G7" s="4" t="n">
        <v>127098</v>
      </c>
      <c r="H7" s="4" t="n">
        <v>38411</v>
      </c>
      <c r="I7" s="5" t="n"/>
      <c r="J7" s="5" t="n"/>
      <c r="K7" s="5" t="n"/>
      <c r="L7" s="5" t="n"/>
      <c r="M7" s="5" t="n"/>
      <c r="N7" s="5" t="n"/>
    </row>
    <row r="8">
      <c r="A8" s="3" t="inlineStr">
        <is>
          <t>Impairment of Long-Lived Assets (PP&amp;E)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4336</v>
      </c>
      <c r="G8" s="4" t="n">
        <v>8184</v>
      </c>
      <c r="H8" s="4" t="n">
        <v>12029</v>
      </c>
      <c r="I8" s="5" t="n"/>
      <c r="J8" s="5" t="n"/>
      <c r="K8" s="5" t="n"/>
      <c r="L8" s="5" t="n"/>
      <c r="M8" s="5" t="n"/>
      <c r="N8" s="5" t="n"/>
    </row>
    <row r="9">
      <c r="A9" s="3" t="inlineStr">
        <is>
          <t>Stock-Based Compensation</t>
        </is>
      </c>
      <c r="B9" s="4" t="n">
        <v>63356</v>
      </c>
      <c r="C9" s="4" t="n">
        <v>70289</v>
      </c>
      <c r="D9" s="4" t="n">
        <v>70483</v>
      </c>
      <c r="E9" s="4" t="n">
        <v>64109</v>
      </c>
      <c r="F9" s="4" t="n">
        <v>68836</v>
      </c>
      <c r="G9" s="4" t="n">
        <v>90985</v>
      </c>
      <c r="H9" s="4" t="n">
        <v>125687</v>
      </c>
      <c r="I9" s="5" t="n"/>
      <c r="J9" s="5" t="n"/>
      <c r="K9" s="5" t="n"/>
      <c r="L9" s="5" t="n"/>
      <c r="M9" s="5" t="n"/>
      <c r="N9" s="5" t="n"/>
    </row>
    <row r="10">
      <c r="A10" s="3" t="inlineStr">
        <is>
          <t>(Benefit) Provision for Deferred Income Taxes</t>
        </is>
      </c>
      <c r="B10" s="4" t="n">
        <v>1263</v>
      </c>
      <c r="C10" s="4" t="n">
        <v>-156873</v>
      </c>
      <c r="D10" s="4" t="n">
        <v>16429</v>
      </c>
      <c r="E10" s="4" t="n">
        <v>48182</v>
      </c>
      <c r="F10" s="4" t="n">
        <v>2040</v>
      </c>
      <c r="G10" s="4" t="n">
        <v>-11705</v>
      </c>
      <c r="H10" s="4" t="n">
        <v>4210</v>
      </c>
      <c r="I10" s="5" t="n"/>
      <c r="J10" s="5" t="n"/>
      <c r="K10" s="5" t="n"/>
      <c r="L10" s="5" t="n"/>
      <c r="M10" s="5" t="n"/>
      <c r="N10" s="5" t="n"/>
    </row>
    <row r="11">
      <c r="A11" s="3" t="inlineStr">
        <is>
          <t>Accounts Receivable</t>
        </is>
      </c>
      <c r="B11" s="4" t="n">
        <v>-59941</v>
      </c>
      <c r="C11" s="4" t="n">
        <v>-119672</v>
      </c>
      <c r="D11" s="4" t="n">
        <v>-254228</v>
      </c>
      <c r="E11" s="4" t="n">
        <v>-128981</v>
      </c>
      <c r="F11" s="4" t="n">
        <v>-163158</v>
      </c>
      <c r="G11" s="4" t="n">
        <v>-93915</v>
      </c>
      <c r="H11" s="4" t="n">
        <v>-300600</v>
      </c>
      <c r="I11" s="5" t="n"/>
      <c r="J11" s="5" t="n"/>
      <c r="K11" s="5" t="n"/>
      <c r="L11" s="5" t="n"/>
      <c r="M11" s="5" t="n"/>
      <c r="N11" s="5" t="n"/>
    </row>
    <row r="12">
      <c r="A12" s="3" t="inlineStr">
        <is>
          <t>Inventories</t>
        </is>
      </c>
      <c r="B12" s="4" t="n">
        <v>-85222</v>
      </c>
      <c r="C12" s="4" t="n">
        <v>30304</v>
      </c>
      <c r="D12" s="4" t="n">
        <v>-277793</v>
      </c>
      <c r="E12" s="4" t="n">
        <v>-347712</v>
      </c>
      <c r="F12" s="4" t="n">
        <v>7898</v>
      </c>
      <c r="G12" s="4" t="n">
        <v>211503</v>
      </c>
      <c r="H12" s="4" t="n">
        <v>-34918</v>
      </c>
      <c r="I12" s="5" t="n"/>
      <c r="J12" s="5" t="n"/>
      <c r="K12" s="5" t="n"/>
      <c r="L12" s="5" t="n"/>
      <c r="M12" s="5" t="n"/>
      <c r="N12" s="5" t="n"/>
    </row>
    <row r="13">
      <c r="A13" s="3" t="inlineStr">
        <is>
          <t>Prepaid Expenses</t>
        </is>
      </c>
      <c r="B13" s="4" t="n">
        <v>-13774</v>
      </c>
      <c r="C13" s="4" t="n">
        <v>1024</v>
      </c>
      <c r="D13" s="4" t="n">
        <v>-29341</v>
      </c>
      <c r="E13" s="4" t="n">
        <v>-38268</v>
      </c>
      <c r="F13" s="4" t="n">
        <v>-10215</v>
      </c>
      <c r="G13" s="4" t="n">
        <v>8959</v>
      </c>
      <c r="H13" s="4" t="n">
        <v>-39307</v>
      </c>
      <c r="I13" s="5" t="n"/>
      <c r="J13" s="5" t="n"/>
      <c r="K13" s="5" t="n"/>
      <c r="L13" s="5" t="n"/>
      <c r="M13" s="5" t="n"/>
      <c r="N13" s="5" t="n"/>
    </row>
    <row r="14">
      <c r="A14" s="3" t="inlineStr">
        <is>
          <t>Change in Prepaid Income Taxes</t>
        </is>
      </c>
      <c r="B14" s="4" t="n">
        <v>9481</v>
      </c>
      <c r="C14" s="4" t="n">
        <v>5516</v>
      </c>
      <c r="D14" s="4" t="n">
        <v>-10919</v>
      </c>
      <c r="E14" s="4" t="n">
        <v>-4439</v>
      </c>
      <c r="F14" s="4" t="n">
        <v>-18833</v>
      </c>
      <c r="G14" s="4" t="n">
        <v>3062</v>
      </c>
      <c r="H14" s="4" t="n">
        <v>-21094</v>
      </c>
      <c r="I14" s="5" t="n"/>
      <c r="J14" s="5" t="n"/>
      <c r="K14" s="5" t="n"/>
      <c r="L14" s="5" t="n"/>
      <c r="M14" s="5" t="n"/>
      <c r="N14" s="5" t="n"/>
    </row>
    <row r="15">
      <c r="A15" s="3" t="inlineStr">
        <is>
          <t>Accounts Payable</t>
        </is>
      </c>
      <c r="B15" s="4" t="n">
        <v>28832</v>
      </c>
      <c r="C15" s="4" t="n">
        <v>18696</v>
      </c>
      <c r="D15" s="4" t="n">
        <v>114297</v>
      </c>
      <c r="E15" s="4" t="n">
        <v>49765</v>
      </c>
      <c r="F15" s="4" t="n">
        <v>112786</v>
      </c>
      <c r="G15" s="4" t="n">
        <v>-61491</v>
      </c>
      <c r="H15" s="4" t="n">
        <v>78460</v>
      </c>
      <c r="I15" s="5" t="n"/>
      <c r="J15" s="5" t="n"/>
      <c r="K15" s="5" t="n"/>
      <c r="L15" s="5" t="n"/>
      <c r="M15" s="5" t="n"/>
      <c r="N15" s="5" t="n"/>
    </row>
    <row r="16">
      <c r="A16" s="3" t="inlineStr">
        <is>
          <t>Accrued Expenses</t>
        </is>
      </c>
      <c r="B16" s="4" t="n">
        <v>-14018</v>
      </c>
      <c r="C16" s="4" t="n">
        <v>26113</v>
      </c>
      <c r="D16" s="4" t="n">
        <v>71586</v>
      </c>
      <c r="E16" s="4" t="n">
        <v>-30419</v>
      </c>
      <c r="F16" s="4" t="n">
        <v>-10393</v>
      </c>
      <c r="G16" s="4" t="n">
        <v>18371</v>
      </c>
      <c r="H16" s="4" t="n">
        <v>81341</v>
      </c>
      <c r="I16" s="5" t="n"/>
      <c r="J16" s="5" t="n"/>
      <c r="K16" s="5" t="n"/>
      <c r="L16" s="5" t="n"/>
      <c r="M16" s="5" t="n"/>
      <c r="N16" s="5" t="n"/>
    </row>
    <row r="17">
      <c r="A17" s="3" t="inlineStr">
        <is>
          <t>Accrued Promotional Allowance</t>
        </is>
      </c>
      <c r="B17" s="4" t="n">
        <v>21943</v>
      </c>
      <c r="C17" s="4" t="n">
        <v>13762</v>
      </c>
      <c r="D17" s="4" t="n">
        <v>31498</v>
      </c>
      <c r="E17" s="4" t="n">
        <v>50821</v>
      </c>
      <c r="F17" s="4" t="n">
        <v>8418</v>
      </c>
      <c r="G17" s="4" t="n">
        <v>9736</v>
      </c>
      <c r="H17" s="4" t="n">
        <v>98266</v>
      </c>
      <c r="I17" s="5" t="n"/>
      <c r="J17" s="5" t="n"/>
      <c r="K17" s="5" t="n"/>
      <c r="L17" s="5" t="n"/>
      <c r="M17" s="5" t="n"/>
      <c r="N17" s="5" t="n"/>
    </row>
    <row r="18">
      <c r="A18" s="3" t="inlineStr">
        <is>
          <t>Change in Accrued Compensation</t>
        </is>
      </c>
      <c r="B18" s="4" t="n">
        <v>7228</v>
      </c>
      <c r="C18" s="4" t="n">
        <v>7501</v>
      </c>
      <c r="D18" s="4" t="n">
        <v>7950</v>
      </c>
      <c r="E18" s="4" t="n">
        <v>3729</v>
      </c>
      <c r="F18" s="4" t="n">
        <v>13398</v>
      </c>
      <c r="G18" s="4" t="n">
        <v>5947</v>
      </c>
      <c r="H18" s="4" t="n">
        <v>17801</v>
      </c>
      <c r="I18" s="5" t="n"/>
      <c r="J18" s="5" t="n"/>
      <c r="K18" s="5" t="n"/>
      <c r="L18" s="5" t="n"/>
      <c r="M18" s="5" t="n"/>
      <c r="N18" s="5" t="n"/>
    </row>
    <row r="19">
      <c r="A19" s="3" t="inlineStr">
        <is>
          <t>Other Current Liabilities</t>
        </is>
      </c>
      <c r="B19" s="4" t="n">
        <v>8105</v>
      </c>
      <c r="C19" s="4" t="n">
        <v>10422</v>
      </c>
      <c r="D19" s="4" t="n">
        <v>7221</v>
      </c>
      <c r="E19" s="4" t="n">
        <v>-16860</v>
      </c>
      <c r="F19" s="4" t="n">
        <v>1748</v>
      </c>
      <c r="G19" s="4" t="n">
        <v>9438</v>
      </c>
      <c r="H19" s="4" t="n">
        <v>27779</v>
      </c>
      <c r="I19" s="5" t="n"/>
      <c r="J19" s="5" t="n"/>
      <c r="K19" s="5" t="n"/>
      <c r="L19" s="5" t="n"/>
      <c r="M19" s="5" t="n"/>
      <c r="N19" s="5" t="n"/>
    </row>
    <row r="20">
      <c r="A20" s="3" t="inlineStr">
        <is>
          <t>Net Change in Other Working Capital</t>
        </is>
      </c>
      <c r="B20" s="4" t="n">
        <v>-1030</v>
      </c>
      <c r="C20" s="4" t="n">
        <v>-356</v>
      </c>
      <c r="D20" s="4" t="n">
        <v>492</v>
      </c>
      <c r="E20" s="4" t="n">
        <v>-4540</v>
      </c>
      <c r="F20" s="4" t="n">
        <v>22951</v>
      </c>
      <c r="G20" s="4" t="n">
        <v>13390</v>
      </c>
      <c r="H20" s="4" t="n">
        <v>-4935</v>
      </c>
      <c r="I20" s="5" t="n"/>
      <c r="J20" s="5" t="n"/>
      <c r="K20" s="5" t="n"/>
      <c r="L20" s="5" t="n"/>
      <c r="M20" s="5" t="n"/>
      <c r="N20" s="5" t="n"/>
    </row>
    <row r="21">
      <c r="A21" s="3" t="inlineStr">
        <is>
          <t>Deferred Revenue</t>
        </is>
      </c>
      <c r="B21" s="4" t="n">
        <v>-24858</v>
      </c>
      <c r="C21" s="4" t="n">
        <v>-21480</v>
      </c>
      <c r="D21" s="4" t="n">
        <v>-22658</v>
      </c>
      <c r="E21" s="4" t="n">
        <v>-19905</v>
      </c>
      <c r="F21" s="4" t="n">
        <v>-24472</v>
      </c>
      <c r="G21" s="4" t="n">
        <v>-17360</v>
      </c>
      <c r="H21" s="4" t="n">
        <v>-23005</v>
      </c>
      <c r="I21" s="5" t="n"/>
      <c r="J21" s="5" t="n"/>
      <c r="K21" s="5" t="n"/>
      <c r="L21" s="5" t="n"/>
      <c r="M21" s="5" t="n"/>
      <c r="N21" s="5" t="n"/>
    </row>
    <row r="22">
      <c r="A22" s="3" t="inlineStr">
        <is>
          <t>Cash Flow from Operations</t>
        </is>
      </c>
      <c r="B22" s="6">
        <f>SUM(B2:B21)</f>
        <v/>
      </c>
      <c r="C22" s="6">
        <f>SUM(C2:C21)</f>
        <v/>
      </c>
      <c r="D22" s="6">
        <f>SUM(D2:D21)</f>
        <v/>
      </c>
      <c r="E22" s="6">
        <f>SUM(E2:E21)</f>
        <v/>
      </c>
      <c r="F22" s="6">
        <f>SUM(F2:F21)</f>
        <v/>
      </c>
      <c r="G22" s="6">
        <f>SUM(G2:G21)</f>
        <v/>
      </c>
      <c r="H22" s="6">
        <f>SUM(H2:H21)</f>
        <v/>
      </c>
      <c r="I22" s="7">
        <f>SUM(I2:I21)</f>
        <v/>
      </c>
      <c r="J22" s="7">
        <f>SUM(J2:J21)</f>
        <v/>
      </c>
      <c r="K22" s="7">
        <f>SUM(K2:K21)</f>
        <v/>
      </c>
      <c r="L22" s="7">
        <f>SUM(L2:L21)</f>
        <v/>
      </c>
      <c r="M22" s="7">
        <f>SUM(M2:M21)</f>
        <v/>
      </c>
      <c r="N22" s="7">
        <f>SUM(N2:N21)</f>
        <v/>
      </c>
    </row>
    <row r="23">
      <c r="A23" s="3" t="inlineStr">
        <is>
          <t>Net Change in Long-Term Investments</t>
        </is>
      </c>
      <c r="B23" s="4" t="n">
        <v>-216300</v>
      </c>
      <c r="C23" s="4" t="n">
        <v>-379785</v>
      </c>
      <c r="D23" s="4" t="n">
        <v>-924544</v>
      </c>
      <c r="E23" s="4" t="n">
        <v>405288</v>
      </c>
      <c r="F23" s="4" t="n">
        <v>409019</v>
      </c>
      <c r="G23" s="4" t="n">
        <v>1035794</v>
      </c>
      <c r="H23" s="4" t="n">
        <v>-1163150</v>
      </c>
      <c r="I23" s="5" t="n"/>
      <c r="J23" s="5" t="n"/>
      <c r="K23" s="5" t="n"/>
      <c r="L23" s="5" t="n"/>
      <c r="M23" s="5" t="n"/>
      <c r="N23" s="5" t="n"/>
    </row>
    <row r="24">
      <c r="A24" s="3" t="inlineStr">
        <is>
          <t>Acquisition of CANarchy</t>
        </is>
      </c>
      <c r="B24" s="4" t="n">
        <v>0</v>
      </c>
      <c r="C24" s="4" t="n">
        <v>0</v>
      </c>
      <c r="D24" s="4" t="n">
        <v>0</v>
      </c>
      <c r="E24" s="4" t="n">
        <v>-329472</v>
      </c>
      <c r="F24" s="4" t="n">
        <v>0</v>
      </c>
      <c r="G24" s="4" t="n">
        <v>0</v>
      </c>
      <c r="H24" s="4" t="n">
        <v>0</v>
      </c>
      <c r="I24" s="5" t="n"/>
      <c r="J24" s="5" t="n"/>
      <c r="K24" s="5" t="n"/>
      <c r="L24" s="5" t="n"/>
      <c r="M24" s="5" t="n"/>
      <c r="N24" s="5" t="n"/>
    </row>
    <row r="25">
      <c r="A25" s="3" t="inlineStr">
        <is>
          <t>Acquisition of Monster Brewing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5" t="n"/>
      <c r="J25" s="5" t="n"/>
      <c r="K25" s="5" t="n"/>
      <c r="L25" s="5" t="n"/>
      <c r="M25" s="5" t="n"/>
      <c r="N25" s="5" t="n"/>
    </row>
    <row r="26">
      <c r="A26" s="3" t="inlineStr">
        <is>
          <t>Acquisition of Bang Energy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-363385</v>
      </c>
      <c r="G26" s="4" t="n">
        <v>0</v>
      </c>
      <c r="H26" s="4" t="n">
        <v>0</v>
      </c>
      <c r="I26" s="5" t="n"/>
      <c r="J26" s="5" t="n"/>
      <c r="K26" s="5" t="n"/>
      <c r="L26" s="5" t="n"/>
      <c r="M26" s="5" t="n"/>
      <c r="N26" s="5" t="n"/>
    </row>
    <row r="27">
      <c r="A27" s="3" t="inlineStr">
        <is>
          <t>Purchase of PP&amp;E</t>
        </is>
      </c>
      <c r="B27" s="4" t="n">
        <v>-101661</v>
      </c>
      <c r="C27" s="4" t="n">
        <v>-48722</v>
      </c>
      <c r="D27" s="4" t="n">
        <v>-43868</v>
      </c>
      <c r="E27" s="4" t="n">
        <v>-188726</v>
      </c>
      <c r="F27" s="4" t="n">
        <v>-221428</v>
      </c>
      <c r="G27" s="4" t="n">
        <v>-264074</v>
      </c>
      <c r="H27" s="4" t="n">
        <v>-132275</v>
      </c>
      <c r="I27" s="5" t="n"/>
      <c r="J27" s="5" t="n"/>
      <c r="K27" s="5" t="n"/>
      <c r="L27" s="5" t="n"/>
      <c r="M27" s="5" t="n"/>
      <c r="N27" s="5" t="n"/>
    </row>
    <row r="28">
      <c r="A28" s="3" t="inlineStr">
        <is>
          <t>Proceeds from Sale of Assets</t>
        </is>
      </c>
      <c r="B28" s="4" t="n">
        <v>1239</v>
      </c>
      <c r="C28" s="4" t="n">
        <v>993</v>
      </c>
      <c r="D28" s="4" t="n">
        <v>1328</v>
      </c>
      <c r="E28" s="4" t="n">
        <v>1313</v>
      </c>
      <c r="F28" s="4" t="n">
        <v>2520</v>
      </c>
      <c r="G28" s="4" t="n">
        <v>2732</v>
      </c>
      <c r="H28" s="4" t="n">
        <v>4299</v>
      </c>
      <c r="I28" s="5" t="n"/>
      <c r="J28" s="5" t="n"/>
      <c r="K28" s="5" t="n"/>
      <c r="L28" s="5" t="n"/>
      <c r="M28" s="5" t="n"/>
      <c r="N28" s="5" t="n"/>
    </row>
    <row r="29">
      <c r="A29" s="3" t="inlineStr">
        <is>
          <t>Additions to Intangibles</t>
        </is>
      </c>
      <c r="B29" s="4" t="n">
        <v>-8737</v>
      </c>
      <c r="C29" s="4" t="n">
        <v>-18550</v>
      </c>
      <c r="D29" s="4" t="n">
        <v>-13585</v>
      </c>
      <c r="E29" s="4" t="n">
        <v>-23427</v>
      </c>
      <c r="F29" s="4" t="n">
        <v>-13296</v>
      </c>
      <c r="G29" s="4" t="n">
        <v>-42360</v>
      </c>
      <c r="H29" s="4" t="n">
        <v>-25254</v>
      </c>
      <c r="I29" s="5" t="n"/>
      <c r="J29" s="5" t="n"/>
      <c r="K29" s="5" t="n"/>
      <c r="L29" s="5" t="n"/>
      <c r="M29" s="5" t="n"/>
      <c r="N29" s="5" t="n"/>
    </row>
    <row r="30">
      <c r="A30" s="3" t="inlineStr">
        <is>
          <t>Other Investing Activities</t>
        </is>
      </c>
      <c r="B30" s="4" t="n">
        <v>-1265</v>
      </c>
      <c r="C30" s="4" t="n">
        <v>-26423</v>
      </c>
      <c r="D30" s="4" t="n">
        <v>-11353</v>
      </c>
      <c r="E30" s="4" t="n">
        <v>-26343</v>
      </c>
      <c r="F30" s="4" t="n">
        <v>-6825</v>
      </c>
      <c r="G30" s="4" t="n">
        <v>1635</v>
      </c>
      <c r="H30" s="4" t="n">
        <v>-398</v>
      </c>
      <c r="I30" s="5" t="n"/>
      <c r="J30" s="5" t="n"/>
      <c r="K30" s="5" t="n"/>
      <c r="L30" s="5" t="n"/>
      <c r="M30" s="5" t="n"/>
      <c r="N30" s="5" t="n"/>
    </row>
    <row r="31">
      <c r="A31" s="3" t="inlineStr">
        <is>
          <t>Cash Flow from Investing</t>
        </is>
      </c>
      <c r="B31" s="6">
        <f>SUM(B23:B30)</f>
        <v/>
      </c>
      <c r="C31" s="6">
        <f>SUM(C23:C30)</f>
        <v/>
      </c>
      <c r="D31" s="6">
        <f>SUM(D23:D30)</f>
        <v/>
      </c>
      <c r="E31" s="6">
        <f>SUM(E23:E30)</f>
        <v/>
      </c>
      <c r="F31" s="6">
        <f>SUM(F23:F30)</f>
        <v/>
      </c>
      <c r="G31" s="6">
        <f>SUM(G23:G30)</f>
        <v/>
      </c>
      <c r="H31" s="6">
        <f>SUM(H23:H30)</f>
        <v/>
      </c>
      <c r="I31" s="7">
        <f>SUM(I23:I30)</f>
        <v/>
      </c>
      <c r="J31" s="7">
        <f>SUM(J23:J30)</f>
        <v/>
      </c>
      <c r="K31" s="7">
        <f>SUM(K23:K30)</f>
        <v/>
      </c>
      <c r="L31" s="7">
        <f>SUM(L23:L30)</f>
        <v/>
      </c>
      <c r="M31" s="7">
        <f>SUM(M23:M30)</f>
        <v/>
      </c>
      <c r="N31" s="7">
        <f>SUM(N23:N30)</f>
        <v/>
      </c>
    </row>
    <row r="32">
      <c r="A32" s="3" t="inlineStr">
        <is>
          <t>Net Change in Other Short-Term Debt</t>
        </is>
      </c>
      <c r="B32" s="4" t="n">
        <v>-13569</v>
      </c>
      <c r="C32" s="4" t="n">
        <v>-3086</v>
      </c>
      <c r="D32" s="4" t="n">
        <v>2928</v>
      </c>
      <c r="E32" s="4" t="n">
        <v>75</v>
      </c>
      <c r="F32" s="4" t="n">
        <v>-13914</v>
      </c>
      <c r="G32" s="4" t="n">
        <v>-8223</v>
      </c>
      <c r="H32" s="4" t="n">
        <v>-10344</v>
      </c>
      <c r="I32" s="5" t="n"/>
      <c r="J32" s="5" t="n"/>
      <c r="K32" s="5" t="n"/>
      <c r="L32" s="5" t="n"/>
      <c r="M32" s="5" t="n"/>
      <c r="N32" s="5" t="n"/>
    </row>
    <row r="33">
      <c r="A33" s="3" t="inlineStr">
        <is>
          <t>Proceeds from Issuance of Long-Term Debt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750000</v>
      </c>
      <c r="H33" s="4" t="n">
        <v>0</v>
      </c>
      <c r="I33" s="5" t="n"/>
      <c r="J33" s="5" t="n"/>
      <c r="K33" s="5" t="n"/>
      <c r="L33" s="5" t="n"/>
      <c r="M33" s="5" t="n"/>
      <c r="N33" s="5" t="n"/>
    </row>
    <row r="34">
      <c r="A34" s="3" t="inlineStr">
        <is>
          <t>Repayments of 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-375000</v>
      </c>
      <c r="H34" s="4" t="n">
        <v>-375000</v>
      </c>
      <c r="I34" s="5" t="n"/>
      <c r="J34" s="5" t="n"/>
      <c r="K34" s="5" t="n"/>
      <c r="L34" s="5" t="n"/>
      <c r="M34" s="5" t="n"/>
      <c r="N34" s="5" t="n"/>
    </row>
    <row r="35">
      <c r="A35" s="3" t="inlineStr">
        <is>
          <t>Debt Issuance Fees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-2904</v>
      </c>
      <c r="H35" s="4" t="n">
        <v>0</v>
      </c>
      <c r="I35" s="5" t="n"/>
      <c r="J35" s="5" t="n"/>
      <c r="K35" s="5" t="n"/>
      <c r="L35" s="5" t="n"/>
      <c r="M35" s="5" t="n"/>
      <c r="N35" s="5" t="n"/>
    </row>
    <row r="36">
      <c r="A36" s="3" t="inlineStr">
        <is>
          <t>Proceeds from Issuance of Common Stock</t>
        </is>
      </c>
      <c r="B36" s="4" t="n">
        <v>92363</v>
      </c>
      <c r="C36" s="4" t="n">
        <v>72936</v>
      </c>
      <c r="D36" s="4" t="n">
        <v>45723</v>
      </c>
      <c r="E36" s="4" t="n">
        <v>64015</v>
      </c>
      <c r="F36" s="4" t="n">
        <v>130267</v>
      </c>
      <c r="G36" s="4" t="n">
        <v>78973</v>
      </c>
      <c r="H36" s="4" t="n">
        <v>164568</v>
      </c>
      <c r="I36" s="5" t="n"/>
      <c r="J36" s="5" t="n"/>
      <c r="K36" s="5" t="n"/>
      <c r="L36" s="5" t="n"/>
      <c r="M36" s="5" t="n"/>
      <c r="N36" s="5" t="n"/>
    </row>
    <row r="37">
      <c r="A37" s="3" t="inlineStr">
        <is>
          <t>Share Repurchases</t>
        </is>
      </c>
      <c r="B37" s="4" t="n">
        <v>-707300</v>
      </c>
      <c r="C37" s="4" t="n">
        <v>-595918</v>
      </c>
      <c r="D37" s="4" t="n">
        <v>-13830</v>
      </c>
      <c r="E37" s="4" t="n">
        <v>-771028</v>
      </c>
      <c r="F37" s="4" t="n">
        <v>-658952</v>
      </c>
      <c r="G37" s="4" t="n">
        <v>-3771875</v>
      </c>
      <c r="H37" s="4" t="n">
        <v>-103646</v>
      </c>
      <c r="I37" s="5" t="n"/>
      <c r="J37" s="5" t="n"/>
      <c r="K37" s="5" t="n"/>
      <c r="L37" s="5" t="n"/>
      <c r="M37" s="5" t="n"/>
      <c r="N37" s="5" t="n"/>
    </row>
    <row r="38">
      <c r="A38" s="3" t="inlineStr">
        <is>
          <t>Cash Flow from Financing</t>
        </is>
      </c>
      <c r="B38" s="6">
        <f>SUM(B32:B37)</f>
        <v/>
      </c>
      <c r="C38" s="6">
        <f>SUM(C32:C37)</f>
        <v/>
      </c>
      <c r="D38" s="6">
        <f>SUM(D32:D37)</f>
        <v/>
      </c>
      <c r="E38" s="6">
        <f>SUM(E32:E37)</f>
        <v/>
      </c>
      <c r="F38" s="6">
        <f>SUM(F32:F37)</f>
        <v/>
      </c>
      <c r="G38" s="6">
        <f>SUM(G32:G37)</f>
        <v/>
      </c>
      <c r="H38" s="6">
        <f>SUM(H32:H37)</f>
        <v/>
      </c>
      <c r="I38" s="7">
        <f>SUM(I32:I37)</f>
        <v/>
      </c>
      <c r="J38" s="7">
        <f>SUM(J32:J37)</f>
        <v/>
      </c>
      <c r="K38" s="7">
        <f>SUM(K32:K37)</f>
        <v/>
      </c>
      <c r="L38" s="7">
        <f>SUM(L32:L37)</f>
        <v/>
      </c>
      <c r="M38" s="7">
        <f>SUM(M32:M37)</f>
        <v/>
      </c>
      <c r="N38" s="7">
        <f>SUM(N32:N37)</f>
        <v/>
      </c>
    </row>
    <row r="39">
      <c r="A39" s="3" t="inlineStr">
        <is>
          <t>FX Effect on Cash</t>
        </is>
      </c>
      <c r="B39" s="4" t="n">
        <v>1912</v>
      </c>
      <c r="C39" s="4" t="n">
        <v>16848</v>
      </c>
      <c r="D39" s="4" t="n">
        <v>-52491</v>
      </c>
      <c r="E39" s="4" t="n">
        <v>-38715</v>
      </c>
      <c r="F39" s="4" t="n">
        <v>8775</v>
      </c>
      <c r="G39" s="4" t="n">
        <v>-97619</v>
      </c>
      <c r="H39" s="4" t="n">
        <v>97853</v>
      </c>
      <c r="I39" s="5" t="n"/>
      <c r="J39" s="5" t="n"/>
      <c r="K39" s="5" t="n"/>
      <c r="L39" s="5" t="n"/>
      <c r="M39" s="5" t="n"/>
      <c r="N39" s="5" t="n"/>
    </row>
    <row r="40">
      <c r="A40" s="3" t="inlineStr">
        <is>
          <t>Net Change in Cash</t>
        </is>
      </c>
      <c r="B40" s="6">
        <f>B22+B31+B38+B39</f>
        <v/>
      </c>
      <c r="C40" s="6">
        <f>C22+C31+C38+C39</f>
        <v/>
      </c>
      <c r="D40" s="6">
        <f>D22+D31+D38+D39</f>
        <v/>
      </c>
      <c r="E40" s="6">
        <f>E22+E31+E38+E39</f>
        <v/>
      </c>
      <c r="F40" s="6">
        <f>F22+F31+F38+F39</f>
        <v/>
      </c>
      <c r="G40" s="6">
        <f>G22+G31+G38+G39</f>
        <v/>
      </c>
      <c r="H40" s="6">
        <f>H22+H31+H38+H39</f>
        <v/>
      </c>
      <c r="I40" s="7">
        <f>I22+I31+I38+I39</f>
        <v/>
      </c>
      <c r="J40" s="7">
        <f>J22+J31+J38+J39</f>
        <v/>
      </c>
      <c r="K40" s="7">
        <f>K22+K31+K38+K39</f>
        <v/>
      </c>
      <c r="L40" s="7">
        <f>L22+L31+L38+L39</f>
        <v/>
      </c>
      <c r="M40" s="7">
        <f>M22+M31+M38+M39</f>
        <v/>
      </c>
      <c r="N40" s="7">
        <f>N22+N31+N38+N39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/>
      <c r="B1" s="2" t="inlineStr">
        <is>
          <t>Q1 FY2020</t>
        </is>
      </c>
      <c r="C1" s="2" t="inlineStr">
        <is>
          <t>Q2 FY2020</t>
        </is>
      </c>
      <c r="D1" s="2" t="inlineStr">
        <is>
          <t>Q3 FY2020</t>
        </is>
      </c>
      <c r="E1" s="2" t="inlineStr">
        <is>
          <t>Q1 FY2021</t>
        </is>
      </c>
      <c r="F1" s="2" t="inlineStr">
        <is>
          <t>Q2 FY2021</t>
        </is>
      </c>
      <c r="G1" s="2" t="inlineStr">
        <is>
          <t>Q3 FY2021</t>
        </is>
      </c>
      <c r="H1" s="2" t="inlineStr">
        <is>
          <t>Q1 FY2022</t>
        </is>
      </c>
      <c r="I1" s="2" t="inlineStr">
        <is>
          <t>Q2 FY2022</t>
        </is>
      </c>
      <c r="J1" s="2" t="inlineStr">
        <is>
          <t>Q3 FY2022</t>
        </is>
      </c>
      <c r="K1" s="2" t="inlineStr">
        <is>
          <t>Q1 FY2023</t>
        </is>
      </c>
      <c r="L1" s="2" t="inlineStr">
        <is>
          <t>Q2 FY2023</t>
        </is>
      </c>
      <c r="M1" s="2" t="inlineStr">
        <is>
          <t>Q3 FY2023</t>
        </is>
      </c>
      <c r="N1" s="2" t="inlineStr">
        <is>
          <t>Q1 FY2024</t>
        </is>
      </c>
      <c r="O1" s="2" t="inlineStr">
        <is>
          <t>Q2 FY2024</t>
        </is>
      </c>
      <c r="P1" s="2" t="inlineStr">
        <is>
          <t>Q3 FY2024</t>
        </is>
      </c>
      <c r="Q1" s="2" t="inlineStr">
        <is>
          <t>Q1 FY2025</t>
        </is>
      </c>
      <c r="R1" s="2" t="inlineStr">
        <is>
          <t>Q2 FY2025</t>
        </is>
      </c>
      <c r="S1" s="2" t="inlineStr">
        <is>
          <t>Q3 FY2025</t>
        </is>
      </c>
    </row>
    <row r="2">
      <c r="A2" s="3" t="inlineStr">
        <is>
          <t>Net Sales / Revenue</t>
        </is>
      </c>
      <c r="B2" s="4" t="n">
        <v>1062097</v>
      </c>
      <c r="C2" s="4" t="n">
        <v>2155993</v>
      </c>
      <c r="D2" s="4" t="n">
        <v>3402355</v>
      </c>
      <c r="E2" s="4" t="n">
        <v>1243816</v>
      </c>
      <c r="F2" s="4" t="n">
        <v>2705751</v>
      </c>
      <c r="G2" s="4" t="n">
        <v>4116308</v>
      </c>
      <c r="H2" s="4" t="n">
        <v>1518574</v>
      </c>
      <c r="I2" s="4" t="n">
        <v>3173833</v>
      </c>
      <c r="J2" s="4" t="n">
        <v>4798119</v>
      </c>
      <c r="K2" s="4" t="n">
        <v>1698930</v>
      </c>
      <c r="L2" s="4" t="n">
        <v>3553891</v>
      </c>
      <c r="M2" s="4" t="n">
        <v>5409919</v>
      </c>
      <c r="N2" s="4" t="n">
        <v>1899098</v>
      </c>
      <c r="O2" s="4" t="n">
        <v>3799695</v>
      </c>
      <c r="P2" s="4" t="n">
        <v>5680668</v>
      </c>
      <c r="Q2" s="4" t="n">
        <v>1854558</v>
      </c>
      <c r="R2" s="4" t="n">
        <v>3966150</v>
      </c>
      <c r="S2" s="4" t="n">
        <v>6163290</v>
      </c>
    </row>
    <row r="3">
      <c r="A3" s="3" t="inlineStr">
        <is>
          <t>COGS</t>
        </is>
      </c>
      <c r="B3" s="4" t="n">
        <v>-424901</v>
      </c>
      <c r="C3" s="4" t="n">
        <v>-859329</v>
      </c>
      <c r="D3" s="4" t="n">
        <v>-1369160</v>
      </c>
      <c r="E3" s="4" t="n">
        <v>-528881</v>
      </c>
      <c r="F3" s="4" t="n">
        <v>-1153976</v>
      </c>
      <c r="G3" s="4" t="n">
        <v>-1775375</v>
      </c>
      <c r="H3" s="4" t="n">
        <v>-741907</v>
      </c>
      <c r="I3" s="4" t="n">
        <v>-1617306</v>
      </c>
      <c r="J3" s="4" t="n">
        <v>-2407867</v>
      </c>
      <c r="K3" s="4" t="n">
        <v>-801081</v>
      </c>
      <c r="L3" s="4" t="n">
        <v>-1681820</v>
      </c>
      <c r="M3" s="4" t="n">
        <v>-2554086</v>
      </c>
      <c r="N3" s="4" t="n">
        <v>-871969</v>
      </c>
      <c r="O3" s="4" t="n">
        <v>-1753061</v>
      </c>
      <c r="P3" s="4" t="n">
        <v>-2634235</v>
      </c>
      <c r="Q3" s="4" t="n">
        <v>-806596</v>
      </c>
      <c r="R3" s="4" t="n">
        <v>-1741775</v>
      </c>
      <c r="S3" s="4" t="n">
        <v>-2714428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  <c r="P4" s="6">
        <f>P2+P3</f>
        <v/>
      </c>
      <c r="Q4" s="6">
        <f>Q2+Q3</f>
        <v/>
      </c>
      <c r="R4" s="6">
        <f>R2+R3</f>
        <v/>
      </c>
      <c r="S4" s="6">
        <f>S2+S3</f>
        <v/>
      </c>
    </row>
    <row r="5">
      <c r="A5" s="3" t="inlineStr">
        <is>
          <t>Operating Expenses</t>
        </is>
      </c>
      <c r="B5" s="4" t="n">
        <v>-272208</v>
      </c>
      <c r="C5" s="4" t="n">
        <v>-524412</v>
      </c>
      <c r="D5" s="4" t="n">
        <v>-802343</v>
      </c>
      <c r="E5" s="4" t="n">
        <v>-300789</v>
      </c>
      <c r="F5" s="4" t="n">
        <v>-611652</v>
      </c>
      <c r="G5" s="4" t="n">
        <v>-956346</v>
      </c>
      <c r="H5" s="4" t="n">
        <v>-377178</v>
      </c>
      <c r="I5" s="4" t="n">
        <v>-784088</v>
      </c>
      <c r="J5" s="4" t="n">
        <v>-1199883</v>
      </c>
      <c r="K5" s="4" t="n">
        <v>-412785</v>
      </c>
      <c r="L5" s="4" t="n">
        <v>-863201</v>
      </c>
      <c r="M5" s="4" t="n">
        <v>-1336437</v>
      </c>
      <c r="N5" s="4" t="n">
        <v>-485138</v>
      </c>
      <c r="O5" s="4" t="n">
        <v>-977480</v>
      </c>
      <c r="P5" s="4" t="n">
        <v>-1497363</v>
      </c>
      <c r="Q5" s="4" t="n">
        <v>-478217</v>
      </c>
      <c r="R5" s="4" t="n">
        <v>-1023008</v>
      </c>
      <c r="S5" s="4" t="n">
        <v>-1572142</v>
      </c>
    </row>
    <row r="6">
      <c r="A6" s="3" t="inlineStr">
        <is>
          <t>Income (Loss) from Operations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  <c r="G6" s="6">
        <f>G4+G5</f>
        <v/>
      </c>
      <c r="H6" s="6">
        <f>H4+H5</f>
        <v/>
      </c>
      <c r="I6" s="6">
        <f>I4+I5</f>
        <v/>
      </c>
      <c r="J6" s="6">
        <f>J4+J5</f>
        <v/>
      </c>
      <c r="K6" s="6">
        <f>K4+K5</f>
        <v/>
      </c>
      <c r="L6" s="6">
        <f>L4+L5</f>
        <v/>
      </c>
      <c r="M6" s="6">
        <f>M4+M5</f>
        <v/>
      </c>
      <c r="N6" s="6">
        <f>N4+N5</f>
        <v/>
      </c>
      <c r="O6" s="6">
        <f>O4+O5</f>
        <v/>
      </c>
      <c r="P6" s="6">
        <f>P4+P5</f>
        <v/>
      </c>
      <c r="Q6" s="6">
        <f>Q4+Q5</f>
        <v/>
      </c>
      <c r="R6" s="6">
        <f>R4+R5</f>
        <v/>
      </c>
      <c r="S6" s="6">
        <f>S4+S5</f>
        <v/>
      </c>
    </row>
    <row r="7">
      <c r="A7" s="3" t="inlineStr">
        <is>
          <t>Other Income (Expense)</t>
        </is>
      </c>
      <c r="B7" s="4" t="n">
        <v>872</v>
      </c>
      <c r="C7" s="4" t="n">
        <v>-923</v>
      </c>
      <c r="D7" s="4" t="n">
        <v>-5491</v>
      </c>
      <c r="E7" s="4" t="n">
        <v>-759</v>
      </c>
      <c r="F7" s="4" t="n">
        <v>111</v>
      </c>
      <c r="G7" s="4" t="n">
        <v>-2179</v>
      </c>
      <c r="H7" s="4" t="n">
        <v>-7300</v>
      </c>
      <c r="I7" s="4" t="n">
        <v>-14080</v>
      </c>
      <c r="J7" s="4" t="n">
        <v>-11932</v>
      </c>
      <c r="K7" s="4" t="n">
        <v>12496</v>
      </c>
      <c r="L7" s="4" t="n">
        <v>27653</v>
      </c>
      <c r="M7" s="4" t="n">
        <v>99010</v>
      </c>
      <c r="N7" s="4" t="n">
        <v>35754</v>
      </c>
      <c r="O7" s="4" t="n">
        <v>60131</v>
      </c>
      <c r="P7" s="4" t="n">
        <v>54311</v>
      </c>
      <c r="Q7" s="4" t="n">
        <v>8272</v>
      </c>
      <c r="R7" s="4" t="n">
        <v>23337</v>
      </c>
      <c r="S7" s="4" t="n">
        <v>37522</v>
      </c>
    </row>
    <row r="8">
      <c r="A8" s="3" t="inlineStr">
        <is>
          <t>Pre-Tax Income (Loss)</t>
        </is>
      </c>
      <c r="B8" s="6">
        <f>B6+B7</f>
        <v/>
      </c>
      <c r="C8" s="6">
        <f>C6+C7</f>
        <v/>
      </c>
      <c r="D8" s="6">
        <f>D6+D7</f>
        <v/>
      </c>
      <c r="E8" s="6">
        <f>E6+E7</f>
        <v/>
      </c>
      <c r="F8" s="6">
        <f>F6+F7</f>
        <v/>
      </c>
      <c r="G8" s="6">
        <f>G6+G7</f>
        <v/>
      </c>
      <c r="H8" s="6">
        <f>H6+H7</f>
        <v/>
      </c>
      <c r="I8" s="6">
        <f>I6+I7</f>
        <v/>
      </c>
      <c r="J8" s="6">
        <f>J6+J7</f>
        <v/>
      </c>
      <c r="K8" s="6">
        <f>K6+K7</f>
        <v/>
      </c>
      <c r="L8" s="6">
        <f>L6+L7</f>
        <v/>
      </c>
      <c r="M8" s="6">
        <f>M6+M7</f>
        <v/>
      </c>
      <c r="N8" s="6">
        <f>N6+N7</f>
        <v/>
      </c>
      <c r="O8" s="6">
        <f>O6+O7</f>
        <v/>
      </c>
      <c r="P8" s="6">
        <f>P6+P7</f>
        <v/>
      </c>
      <c r="Q8" s="6">
        <f>Q6+Q7</f>
        <v/>
      </c>
      <c r="R8" s="6">
        <f>R6+R7</f>
        <v/>
      </c>
      <c r="S8" s="6">
        <f>S6+S7</f>
        <v/>
      </c>
    </row>
    <row r="9">
      <c r="A9" s="3" t="inlineStr">
        <is>
          <t>Income Tax (Expense) Benefit</t>
        </is>
      </c>
      <c r="B9" s="4" t="n">
        <v>-87025</v>
      </c>
      <c r="C9" s="4" t="n">
        <v>-181125</v>
      </c>
      <c r="D9" s="4" t="n">
        <v>-287503</v>
      </c>
      <c r="E9" s="4" t="n">
        <v>-98193</v>
      </c>
      <c r="F9" s="4" t="n">
        <v>-221278</v>
      </c>
      <c r="G9" s="4" t="n">
        <v>-326247</v>
      </c>
      <c r="H9" s="4" t="n">
        <v>-97986</v>
      </c>
      <c r="I9" s="4" t="n">
        <v>-190796</v>
      </c>
      <c r="J9" s="4" t="n">
        <v>-288487</v>
      </c>
      <c r="K9" s="4" t="n">
        <v>-100116</v>
      </c>
      <c r="L9" s="4" t="n">
        <v>-225208</v>
      </c>
      <c r="M9" s="4" t="n">
        <v>-354397</v>
      </c>
      <c r="N9" s="4" t="n">
        <v>-135696</v>
      </c>
      <c r="O9" s="4" t="n">
        <v>-261867</v>
      </c>
      <c r="P9" s="4" t="n">
        <v>-365044</v>
      </c>
      <c r="Q9" s="4" t="n">
        <v>-135024</v>
      </c>
      <c r="R9" s="4" t="n">
        <v>-292917</v>
      </c>
      <c r="S9" s="4" t="n">
        <v>-458000</v>
      </c>
    </row>
    <row r="10">
      <c r="A10" s="3" t="inlineStr">
        <is>
          <t>Net Income (Loss)</t>
        </is>
      </c>
      <c r="B10" s="6">
        <f>B8+B9</f>
        <v/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  <c r="H10" s="6">
        <f>H8+H9</f>
        <v/>
      </c>
      <c r="I10" s="6">
        <f>I8+I9</f>
        <v/>
      </c>
      <c r="J10" s="6">
        <f>J8+J9</f>
        <v/>
      </c>
      <c r="K10" s="6">
        <f>K8+K9</f>
        <v/>
      </c>
      <c r="L10" s="6">
        <f>L8+L9</f>
        <v/>
      </c>
      <c r="M10" s="6">
        <f>M8+M9</f>
        <v/>
      </c>
      <c r="N10" s="6">
        <f>N8+N9</f>
        <v/>
      </c>
      <c r="O10" s="6">
        <f>O8+O9</f>
        <v/>
      </c>
      <c r="P10" s="6">
        <f>P8+P9</f>
        <v/>
      </c>
      <c r="Q10" s="6">
        <f>Q8+Q9</f>
        <v/>
      </c>
      <c r="R10" s="6">
        <f>R8+R9</f>
        <v/>
      </c>
      <c r="S10" s="6">
        <f>S8+S9</f>
        <v/>
      </c>
    </row>
    <row r="11">
      <c r="A11" s="3" t="inlineStr">
        <is>
          <t>Basic Earnings (Loss) per Share</t>
        </is>
      </c>
      <c r="B11" s="8" t="n">
        <v>0.52</v>
      </c>
      <c r="C11" s="8" t="n">
        <v>1.11</v>
      </c>
      <c r="D11" s="8" t="n">
        <v>1.77</v>
      </c>
      <c r="E11" s="8" t="n">
        <v>0.6</v>
      </c>
      <c r="F11" s="8" t="n">
        <v>1.36</v>
      </c>
      <c r="G11" s="8" t="n">
        <v>2</v>
      </c>
      <c r="H11" s="8" t="n">
        <v>0.5600000000000001</v>
      </c>
      <c r="I11" s="8" t="n">
        <v>1.07</v>
      </c>
      <c r="J11" s="8" t="n">
        <v>1.68</v>
      </c>
      <c r="K11" s="8" t="n">
        <v>0.38</v>
      </c>
      <c r="L11" s="8" t="n">
        <v>0.78</v>
      </c>
      <c r="M11" s="8" t="n">
        <v>1.21</v>
      </c>
      <c r="N11" s="8" t="n">
        <v>0.42</v>
      </c>
      <c r="O11" s="8" t="n">
        <v>0.84</v>
      </c>
      <c r="P11" s="8" t="n">
        <v>1.22</v>
      </c>
      <c r="Q11" s="8" t="n">
        <v>0.45</v>
      </c>
      <c r="R11" s="8" t="n">
        <v>0.96</v>
      </c>
      <c r="S11" s="8" t="n">
        <v>1.49</v>
      </c>
    </row>
    <row r="12">
      <c r="A12" s="3" t="inlineStr">
        <is>
          <t>Diluted Earnings (Loss) per Share</t>
        </is>
      </c>
      <c r="B12" s="8" t="n">
        <v>0.52</v>
      </c>
      <c r="C12" s="8" t="n">
        <v>1.1</v>
      </c>
      <c r="D12" s="8" t="n">
        <v>1.75</v>
      </c>
      <c r="E12" s="8" t="n">
        <v>0.59</v>
      </c>
      <c r="F12" s="8" t="n">
        <v>1.34</v>
      </c>
      <c r="G12" s="8" t="n">
        <v>1.97</v>
      </c>
      <c r="H12" s="8" t="n">
        <v>0.55</v>
      </c>
      <c r="I12" s="8" t="n">
        <v>1.06</v>
      </c>
      <c r="J12" s="8" t="n">
        <v>1.66</v>
      </c>
      <c r="K12" s="8" t="n">
        <v>0.38</v>
      </c>
      <c r="L12" s="8" t="n">
        <v>0.77</v>
      </c>
      <c r="M12" s="8" t="n">
        <v>1.19</v>
      </c>
      <c r="N12" s="8" t="n">
        <v>0.42</v>
      </c>
      <c r="O12" s="8" t="n">
        <v>0.83</v>
      </c>
      <c r="P12" s="8" t="n">
        <v>1.21</v>
      </c>
      <c r="Q12" s="8" t="n">
        <v>0.45</v>
      </c>
      <c r="R12" s="8" t="n">
        <v>0.95</v>
      </c>
      <c r="S12" s="8" t="n">
        <v>1.48</v>
      </c>
    </row>
    <row r="13">
      <c r="A13" s="3" t="inlineStr">
        <is>
          <t>Weighted Average Shares Outstanding (Basic)</t>
        </is>
      </c>
      <c r="B13" s="4" t="n">
        <v>536061000</v>
      </c>
      <c r="C13" s="4" t="n">
        <v>531486000</v>
      </c>
      <c r="D13" s="4" t="n">
        <v>530194000</v>
      </c>
      <c r="E13" s="4" t="n">
        <v>528195000</v>
      </c>
      <c r="F13" s="4" t="n">
        <v>528425000</v>
      </c>
      <c r="G13" s="4" t="n">
        <v>528618000</v>
      </c>
      <c r="H13" s="4" t="n">
        <v>529405000</v>
      </c>
      <c r="I13" s="4" t="n">
        <v>529009000</v>
      </c>
      <c r="J13" s="4" t="n">
        <v>528263000</v>
      </c>
      <c r="K13" s="4" t="n">
        <v>1044909000</v>
      </c>
      <c r="L13" s="4" t="n">
        <v>1045993000</v>
      </c>
      <c r="M13" s="4" t="n">
        <v>1046337000</v>
      </c>
      <c r="N13" s="4" t="n">
        <v>1041081000</v>
      </c>
      <c r="O13" s="4" t="n">
        <v>1035175000</v>
      </c>
      <c r="P13" s="4" t="n">
        <v>1015252000</v>
      </c>
      <c r="Q13" s="4" t="n">
        <v>973622000</v>
      </c>
      <c r="R13" s="4" t="n">
        <v>974691000</v>
      </c>
      <c r="S13" s="4" t="n">
        <v>975337000</v>
      </c>
    </row>
    <row r="14">
      <c r="A14" s="3" t="inlineStr">
        <is>
          <t>Weighted Average Shares Outstanding (Diluted)</t>
        </is>
      </c>
      <c r="B14" s="4" t="n">
        <v>540518000</v>
      </c>
      <c r="C14" s="4" t="n">
        <v>535897000</v>
      </c>
      <c r="D14" s="4" t="n">
        <v>535011000</v>
      </c>
      <c r="E14" s="4" t="n">
        <v>534982000</v>
      </c>
      <c r="F14" s="4" t="n">
        <v>535324000</v>
      </c>
      <c r="G14" s="4" t="n">
        <v>535554000</v>
      </c>
      <c r="H14" s="4" t="n">
        <v>535554000</v>
      </c>
      <c r="I14" s="4" t="n">
        <v>535209000</v>
      </c>
      <c r="J14" s="4" t="n">
        <v>534599000</v>
      </c>
      <c r="K14" s="4" t="n">
        <v>1059069000</v>
      </c>
      <c r="L14" s="4" t="n">
        <v>1059667000</v>
      </c>
      <c r="M14" s="4" t="n">
        <v>1059809000</v>
      </c>
      <c r="N14" s="4" t="n">
        <v>1051282000</v>
      </c>
      <c r="O14" s="4" t="n">
        <v>1044363000</v>
      </c>
      <c r="P14" s="4" t="n">
        <v>1023912000</v>
      </c>
      <c r="Q14" s="4" t="n">
        <v>981282000</v>
      </c>
      <c r="R14" s="4" t="n">
        <v>982748000</v>
      </c>
      <c r="S14" s="4" t="n">
        <v>983532000</v>
      </c>
    </row>
    <row r="15">
      <c r="A15" s="3" t="inlineStr">
        <is>
          <t>Net Income (Loss) Attributable to Common Shareholders</t>
        </is>
      </c>
      <c r="B15" s="6">
        <f>B10</f>
        <v/>
      </c>
      <c r="C15" s="6">
        <f>C10</f>
        <v/>
      </c>
      <c r="D15" s="6">
        <f>D10</f>
        <v/>
      </c>
      <c r="E15" s="6">
        <f>E10</f>
        <v/>
      </c>
      <c r="F15" s="6">
        <f>F10</f>
        <v/>
      </c>
      <c r="G15" s="6">
        <f>G10</f>
        <v/>
      </c>
      <c r="H15" s="6">
        <f>H10</f>
        <v/>
      </c>
      <c r="I15" s="6">
        <f>I10</f>
        <v/>
      </c>
      <c r="J15" s="6">
        <f>J10</f>
        <v/>
      </c>
      <c r="K15" s="6">
        <f>K10</f>
        <v/>
      </c>
      <c r="L15" s="6">
        <f>L10</f>
        <v/>
      </c>
      <c r="M15" s="6">
        <f>M10</f>
        <v/>
      </c>
      <c r="N15" s="6">
        <f>N10</f>
        <v/>
      </c>
      <c r="O15" s="6">
        <f>O10</f>
        <v/>
      </c>
      <c r="P15" s="6">
        <f>P10</f>
        <v/>
      </c>
      <c r="Q15" s="6">
        <f>Q10</f>
        <v/>
      </c>
      <c r="R15" s="6">
        <f>R10</f>
        <v/>
      </c>
      <c r="S15" s="6">
        <f>S10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/>
      <c r="B1" s="2" t="inlineStr">
        <is>
          <t>Q4 FY2020</t>
        </is>
      </c>
      <c r="C1" s="2" t="inlineStr">
        <is>
          <t>Q1 FY2021</t>
        </is>
      </c>
      <c r="D1" s="2" t="inlineStr">
        <is>
          <t>Q2 FY2021</t>
        </is>
      </c>
      <c r="E1" s="2" t="inlineStr">
        <is>
          <t>Q3 FY2021</t>
        </is>
      </c>
      <c r="F1" s="2" t="inlineStr">
        <is>
          <t>Q4 FY2021</t>
        </is>
      </c>
      <c r="G1" s="2" t="inlineStr">
        <is>
          <t>Q1 FY2022</t>
        </is>
      </c>
      <c r="H1" s="2" t="inlineStr">
        <is>
          <t>Q2 FY2022</t>
        </is>
      </c>
      <c r="I1" s="2" t="inlineStr">
        <is>
          <t>Q3 FY2022</t>
        </is>
      </c>
      <c r="J1" s="2" t="inlineStr">
        <is>
          <t>Q4 FY2022</t>
        </is>
      </c>
      <c r="K1" s="2" t="inlineStr">
        <is>
          <t>Q1 FY2023</t>
        </is>
      </c>
      <c r="L1" s="2" t="inlineStr">
        <is>
          <t>Q2 FY2023</t>
        </is>
      </c>
      <c r="M1" s="2" t="inlineStr">
        <is>
          <t>Q3 FY2023</t>
        </is>
      </c>
      <c r="N1" s="2" t="inlineStr">
        <is>
          <t>Q4 FY2023</t>
        </is>
      </c>
      <c r="O1" s="2" t="inlineStr">
        <is>
          <t>Q1 FY2024</t>
        </is>
      </c>
      <c r="P1" s="2" t="inlineStr">
        <is>
          <t>Q2 FY2024</t>
        </is>
      </c>
      <c r="Q1" s="2" t="inlineStr">
        <is>
          <t>Q3 FY2024</t>
        </is>
      </c>
      <c r="R1" s="2" t="inlineStr">
        <is>
          <t>Q4 FY2024</t>
        </is>
      </c>
      <c r="S1" s="2" t="inlineStr">
        <is>
          <t>Q1 FY2025</t>
        </is>
      </c>
      <c r="T1" s="2" t="inlineStr">
        <is>
          <t>Q2 FY2025</t>
        </is>
      </c>
      <c r="U1" s="2" t="inlineStr">
        <is>
          <t>Q3 FY2025</t>
        </is>
      </c>
    </row>
    <row r="2">
      <c r="A2" s="3" t="inlineStr">
        <is>
          <t>Cash &amp; Cash Equivalents</t>
        </is>
      </c>
      <c r="B2" s="4" t="n">
        <v>1180413</v>
      </c>
      <c r="C2" s="4" t="n">
        <v>1178879</v>
      </c>
      <c r="D2" s="4" t="n">
        <v>1584239</v>
      </c>
      <c r="E2" s="4" t="n">
        <v>1712671</v>
      </c>
      <c r="F2" s="4" t="n">
        <v>1326462</v>
      </c>
      <c r="G2" s="4" t="n">
        <v>1014786</v>
      </c>
      <c r="H2" s="4" t="n">
        <v>1132039</v>
      </c>
      <c r="I2" s="4" t="n">
        <v>1303048</v>
      </c>
      <c r="J2" s="4" t="n">
        <v>1307141</v>
      </c>
      <c r="K2" s="4" t="n">
        <v>1672660</v>
      </c>
      <c r="L2" s="4" t="n">
        <v>1869774</v>
      </c>
      <c r="M2" s="4" t="n">
        <v>1773849</v>
      </c>
      <c r="N2" s="4" t="n">
        <v>2297675</v>
      </c>
      <c r="O2" s="4" t="n">
        <v>2576524</v>
      </c>
      <c r="P2" s="4" t="n">
        <v>1564734</v>
      </c>
      <c r="Q2" s="4" t="n">
        <v>1625339</v>
      </c>
      <c r="R2" s="4" t="n">
        <v>1533287</v>
      </c>
      <c r="S2" s="4" t="n">
        <v>1903419</v>
      </c>
      <c r="T2" s="4" t="n">
        <v>1926927</v>
      </c>
      <c r="U2" s="4" t="n">
        <v>2292939</v>
      </c>
    </row>
    <row r="3">
      <c r="A3" s="3" t="inlineStr">
        <is>
          <t>Short-Term Investments</t>
        </is>
      </c>
      <c r="B3" s="4" t="n">
        <v>881354</v>
      </c>
      <c r="C3" s="4" t="n">
        <v>980108</v>
      </c>
      <c r="D3" s="4" t="n">
        <v>968952</v>
      </c>
      <c r="E3" s="4" t="n">
        <v>1224066</v>
      </c>
      <c r="F3" s="4" t="n">
        <v>1749727</v>
      </c>
      <c r="G3" s="4" t="n">
        <v>1717648</v>
      </c>
      <c r="H3" s="4" t="n">
        <v>1337792</v>
      </c>
      <c r="I3" s="4" t="n">
        <v>1346781</v>
      </c>
      <c r="J3" s="4" t="n">
        <v>1362314</v>
      </c>
      <c r="K3" s="4" t="n">
        <v>1383028</v>
      </c>
      <c r="L3" s="4" t="n">
        <v>1417239</v>
      </c>
      <c r="M3" s="4" t="n">
        <v>1236752</v>
      </c>
      <c r="N3" s="4" t="n">
        <v>955605</v>
      </c>
      <c r="O3" s="4" t="n">
        <v>984201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145253</v>
      </c>
      <c r="U3" s="4" t="n">
        <v>286391</v>
      </c>
    </row>
    <row r="4">
      <c r="A4" s="3" t="inlineStr">
        <is>
          <t>Accounts Receivable</t>
        </is>
      </c>
      <c r="B4" s="4" t="n">
        <v>666012</v>
      </c>
      <c r="C4" s="4" t="n">
        <v>802509</v>
      </c>
      <c r="D4" s="4" t="n">
        <v>909169</v>
      </c>
      <c r="E4" s="4" t="n">
        <v>849157</v>
      </c>
      <c r="F4" s="4" t="n">
        <v>896658</v>
      </c>
      <c r="G4" s="4" t="n">
        <v>1039780</v>
      </c>
      <c r="H4" s="4" t="n">
        <v>1175587</v>
      </c>
      <c r="I4" s="4" t="n">
        <v>1051642</v>
      </c>
      <c r="J4" s="4" t="n">
        <v>1016203</v>
      </c>
      <c r="K4" s="4" t="n">
        <v>1190351</v>
      </c>
      <c r="L4" s="4" t="n">
        <v>1333004</v>
      </c>
      <c r="M4" s="4" t="n">
        <v>1231188</v>
      </c>
      <c r="N4" s="4" t="n">
        <v>1193964</v>
      </c>
      <c r="O4" s="4" t="n">
        <v>1370239</v>
      </c>
      <c r="P4" s="4" t="n">
        <v>1362398</v>
      </c>
      <c r="Q4" s="4" t="n">
        <v>1285397</v>
      </c>
      <c r="R4" s="4" t="n">
        <v>1221646</v>
      </c>
      <c r="S4" s="4" t="n">
        <v>1360233</v>
      </c>
      <c r="T4" s="4" t="n">
        <v>1522702</v>
      </c>
      <c r="U4" s="4" t="n">
        <v>1601216</v>
      </c>
    </row>
    <row r="5">
      <c r="A5" s="3" t="inlineStr">
        <is>
          <t>Inventories</t>
        </is>
      </c>
      <c r="B5" s="4" t="n">
        <v>333085</v>
      </c>
      <c r="C5" s="4" t="n">
        <v>368402</v>
      </c>
      <c r="D5" s="4" t="n">
        <v>382890</v>
      </c>
      <c r="E5" s="4" t="n">
        <v>471553</v>
      </c>
      <c r="F5" s="4" t="n">
        <v>593357</v>
      </c>
      <c r="G5" s="4" t="n">
        <v>821132</v>
      </c>
      <c r="H5" s="4" t="n">
        <v>885948</v>
      </c>
      <c r="I5" s="4" t="n">
        <v>862977</v>
      </c>
      <c r="J5" s="4" t="n">
        <v>935631</v>
      </c>
      <c r="K5" s="4" t="n">
        <v>906723</v>
      </c>
      <c r="L5" s="4" t="n">
        <v>846812</v>
      </c>
      <c r="M5" s="4" t="n">
        <v>883582</v>
      </c>
      <c r="N5" s="4" t="n">
        <v>971406</v>
      </c>
      <c r="O5" s="4" t="n">
        <v>939630</v>
      </c>
      <c r="P5" s="4" t="n">
        <v>834404</v>
      </c>
      <c r="Q5" s="4" t="n">
        <v>770338</v>
      </c>
      <c r="R5" s="4" t="n">
        <v>737107</v>
      </c>
      <c r="S5" s="4" t="n">
        <v>725129</v>
      </c>
      <c r="T5" s="4" t="n">
        <v>658167</v>
      </c>
      <c r="U5" s="4" t="n">
        <v>704586</v>
      </c>
    </row>
    <row r="6">
      <c r="A6" s="3" t="inlineStr">
        <is>
          <t>Prepaid Expenses</t>
        </is>
      </c>
      <c r="B6" s="4" t="n">
        <v>55358</v>
      </c>
      <c r="C6" s="4" t="n">
        <v>72803</v>
      </c>
      <c r="D6" s="4" t="n">
        <v>83086</v>
      </c>
      <c r="E6" s="4" t="n">
        <v>95607</v>
      </c>
      <c r="F6" s="4" t="n">
        <v>82668</v>
      </c>
      <c r="G6" s="4" t="n">
        <v>110327</v>
      </c>
      <c r="H6" s="4" t="n">
        <v>132273</v>
      </c>
      <c r="I6" s="4" t="n">
        <v>112294</v>
      </c>
      <c r="J6" s="4" t="n">
        <v>109823</v>
      </c>
      <c r="K6" s="4" t="n">
        <v>110958</v>
      </c>
      <c r="L6" s="4" t="n">
        <v>148750</v>
      </c>
      <c r="M6" s="4" t="n">
        <v>162676</v>
      </c>
      <c r="N6" s="4" t="n">
        <v>116195</v>
      </c>
      <c r="O6" s="4" t="n">
        <v>124580</v>
      </c>
      <c r="P6" s="4" t="n">
        <v>129303</v>
      </c>
      <c r="Q6" s="4" t="n">
        <v>124656</v>
      </c>
      <c r="R6" s="4" t="n">
        <v>107262</v>
      </c>
      <c r="S6" s="4" t="n">
        <v>112525</v>
      </c>
      <c r="T6" s="4" t="n">
        <v>137257</v>
      </c>
      <c r="U6" s="4" t="n">
        <v>142713</v>
      </c>
    </row>
    <row r="7">
      <c r="A7" s="3" t="inlineStr">
        <is>
          <t>Prepaid Income Taxes</t>
        </is>
      </c>
      <c r="B7" s="4" t="n">
        <v>24733</v>
      </c>
      <c r="C7" s="4" t="n">
        <v>31171</v>
      </c>
      <c r="D7" s="4" t="n">
        <v>22339</v>
      </c>
      <c r="E7" s="4" t="n">
        <v>30619</v>
      </c>
      <c r="F7" s="4" t="n">
        <v>33238</v>
      </c>
      <c r="G7" s="4" t="n">
        <v>39993</v>
      </c>
      <c r="H7" s="4" t="n">
        <v>32981</v>
      </c>
      <c r="I7" s="4" t="n">
        <v>19949</v>
      </c>
      <c r="J7" s="4" t="n">
        <v>33785</v>
      </c>
      <c r="K7" s="4" t="n">
        <v>30889</v>
      </c>
      <c r="L7" s="4" t="n">
        <v>38534</v>
      </c>
      <c r="M7" s="4" t="n">
        <v>23468</v>
      </c>
      <c r="N7" s="4" t="n">
        <v>54151</v>
      </c>
      <c r="O7" s="4" t="n">
        <v>40340</v>
      </c>
      <c r="P7" s="4" t="n">
        <v>63458</v>
      </c>
      <c r="Q7" s="4" t="n">
        <v>92028</v>
      </c>
      <c r="R7" s="4" t="n">
        <v>42202</v>
      </c>
      <c r="S7" s="4" t="n">
        <v>34113</v>
      </c>
      <c r="T7" s="4" t="n">
        <v>39034</v>
      </c>
      <c r="U7" s="4" t="n">
        <v>38372</v>
      </c>
    </row>
    <row r="8">
      <c r="A8" s="3" t="inlineStr">
        <is>
          <t>Total Current Assets</t>
        </is>
      </c>
      <c r="B8" s="6">
        <f>SUM(B2:B7)</f>
        <v/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6">
        <f>SUM(H2:H7)</f>
        <v/>
      </c>
      <c r="I8" s="6">
        <f>SUM(I2:I7)</f>
        <v/>
      </c>
      <c r="J8" s="6">
        <f>SUM(J2:J7)</f>
        <v/>
      </c>
      <c r="K8" s="6">
        <f>SUM(K2:K7)</f>
        <v/>
      </c>
      <c r="L8" s="6">
        <f>SUM(L2:L7)</f>
        <v/>
      </c>
      <c r="M8" s="6">
        <f>SUM(M2:M7)</f>
        <v/>
      </c>
      <c r="N8" s="6">
        <f>SUM(N2:N7)</f>
        <v/>
      </c>
      <c r="O8" s="6">
        <f>SUM(O2:O7)</f>
        <v/>
      </c>
      <c r="P8" s="6">
        <f>SUM(P2:P7)</f>
        <v/>
      </c>
      <c r="Q8" s="6">
        <f>SUM(Q2:Q7)</f>
        <v/>
      </c>
      <c r="R8" s="6">
        <f>SUM(R2:R7)</f>
        <v/>
      </c>
      <c r="S8" s="6">
        <f>SUM(S2:S7)</f>
        <v/>
      </c>
      <c r="T8" s="6">
        <f>SUM(T2:T7)</f>
        <v/>
      </c>
      <c r="U8" s="6">
        <f>SUM(U2:U7)</f>
        <v/>
      </c>
    </row>
    <row r="9">
      <c r="A9" s="3" t="inlineStr">
        <is>
          <t>Long-Term Investments</t>
        </is>
      </c>
      <c r="B9" s="4" t="n">
        <v>44291</v>
      </c>
      <c r="C9" s="4" t="n">
        <v>63751</v>
      </c>
      <c r="D9" s="4" t="n">
        <v>91033</v>
      </c>
      <c r="E9" s="4" t="n">
        <v>28255</v>
      </c>
      <c r="F9" s="4" t="n">
        <v>99419</v>
      </c>
      <c r="G9" s="4" t="n">
        <v>65652</v>
      </c>
      <c r="H9" s="4" t="n">
        <v>64119</v>
      </c>
      <c r="I9" s="4" t="n">
        <v>72373</v>
      </c>
      <c r="J9" s="4" t="n">
        <v>61443</v>
      </c>
      <c r="K9" s="4" t="n">
        <v>41152</v>
      </c>
      <c r="L9" s="4" t="n">
        <v>62248</v>
      </c>
      <c r="M9" s="4" t="n">
        <v>52636</v>
      </c>
      <c r="N9" s="4" t="n">
        <v>76431</v>
      </c>
      <c r="O9" s="4" t="n">
        <v>8162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138058</v>
      </c>
      <c r="U9" s="4" t="n">
        <v>359174</v>
      </c>
    </row>
    <row r="10">
      <c r="A10" s="3" t="inlineStr">
        <is>
          <t>Net PP&amp;E</t>
        </is>
      </c>
      <c r="B10" s="4" t="n">
        <v>314656</v>
      </c>
      <c r="C10" s="4" t="n">
        <v>312155</v>
      </c>
      <c r="D10" s="4" t="n">
        <v>309178</v>
      </c>
      <c r="E10" s="4" t="n">
        <v>309574</v>
      </c>
      <c r="F10" s="4" t="n">
        <v>313753</v>
      </c>
      <c r="G10" s="4" t="n">
        <v>407391</v>
      </c>
      <c r="H10" s="4" t="n">
        <v>464541</v>
      </c>
      <c r="I10" s="4" t="n">
        <v>485550</v>
      </c>
      <c r="J10" s="4" t="n">
        <v>516897</v>
      </c>
      <c r="K10" s="4" t="n">
        <v>545922</v>
      </c>
      <c r="L10" s="4" t="n">
        <v>576645</v>
      </c>
      <c r="M10" s="4" t="n">
        <v>731208</v>
      </c>
      <c r="N10" s="4" t="n">
        <v>890796</v>
      </c>
      <c r="O10" s="4" t="n">
        <v>923290</v>
      </c>
      <c r="P10" s="4" t="n">
        <v>960962</v>
      </c>
      <c r="Q10" s="4" t="n">
        <v>1006788</v>
      </c>
      <c r="R10" s="4" t="n">
        <v>1047024</v>
      </c>
      <c r="S10" s="4" t="n">
        <v>1064008</v>
      </c>
      <c r="T10" s="4" t="n">
        <v>1090898</v>
      </c>
      <c r="U10" s="4" t="n">
        <v>1110705</v>
      </c>
    </row>
    <row r="11">
      <c r="A11" s="3" t="inlineStr">
        <is>
          <t>Deferred Tax Assets</t>
        </is>
      </c>
      <c r="B11" s="4" t="n">
        <v>241650</v>
      </c>
      <c r="C11" s="4" t="n">
        <v>241650</v>
      </c>
      <c r="D11" s="4" t="n">
        <v>241297</v>
      </c>
      <c r="E11" s="4" t="n">
        <v>241297</v>
      </c>
      <c r="F11" s="4" t="n">
        <v>225221</v>
      </c>
      <c r="G11" s="4" t="n">
        <v>225221</v>
      </c>
      <c r="H11" s="4" t="n">
        <v>203287</v>
      </c>
      <c r="I11" s="4" t="n">
        <v>195511</v>
      </c>
      <c r="J11" s="4" t="n">
        <v>177039</v>
      </c>
      <c r="K11" s="4" t="n">
        <v>177039</v>
      </c>
      <c r="L11" s="4" t="n">
        <v>177039</v>
      </c>
      <c r="M11" s="4" t="n">
        <v>176724</v>
      </c>
      <c r="N11" s="4" t="n">
        <v>175003</v>
      </c>
      <c r="O11" s="4" t="n">
        <v>175271</v>
      </c>
      <c r="P11" s="4" t="n">
        <v>187269</v>
      </c>
      <c r="Q11" s="4" t="n">
        <v>183430</v>
      </c>
      <c r="R11" s="4" t="n">
        <v>184260</v>
      </c>
      <c r="S11" s="4" t="n">
        <v>184358</v>
      </c>
      <c r="T11" s="4" t="n">
        <v>184791</v>
      </c>
      <c r="U11" s="4" t="n">
        <v>185321</v>
      </c>
    </row>
    <row r="12">
      <c r="A12" s="3" t="inlineStr">
        <is>
          <t>Goodwill</t>
        </is>
      </c>
      <c r="B12" s="4" t="n">
        <v>1331643</v>
      </c>
      <c r="C12" s="4" t="n">
        <v>1331643</v>
      </c>
      <c r="D12" s="4" t="n">
        <v>1331643</v>
      </c>
      <c r="E12" s="4" t="n">
        <v>1331643</v>
      </c>
      <c r="F12" s="4" t="n">
        <v>1331643</v>
      </c>
      <c r="G12" s="4" t="n">
        <v>1411928</v>
      </c>
      <c r="H12" s="4" t="n">
        <v>1412941</v>
      </c>
      <c r="I12" s="4" t="n">
        <v>1412941</v>
      </c>
      <c r="J12" s="4" t="n">
        <v>1417941</v>
      </c>
      <c r="K12" s="4" t="n">
        <v>1417941</v>
      </c>
      <c r="L12" s="4" t="n">
        <v>1417941</v>
      </c>
      <c r="M12" s="4" t="n">
        <v>1417941</v>
      </c>
      <c r="N12" s="4" t="n">
        <v>1417941</v>
      </c>
      <c r="O12" s="4" t="n">
        <v>1417941</v>
      </c>
      <c r="P12" s="4" t="n">
        <v>1417941</v>
      </c>
      <c r="Q12" s="4" t="n">
        <v>1417941</v>
      </c>
      <c r="R12" s="4" t="n">
        <v>1331643</v>
      </c>
      <c r="S12" s="4" t="n">
        <v>1331643</v>
      </c>
      <c r="T12" s="4" t="n">
        <v>1331643</v>
      </c>
      <c r="U12" s="4" t="n">
        <v>1331643</v>
      </c>
    </row>
    <row r="13">
      <c r="A13" s="3" t="inlineStr">
        <is>
          <t>Intangible Assets</t>
        </is>
      </c>
      <c r="B13" s="4" t="n">
        <v>1059046</v>
      </c>
      <c r="C13" s="4" t="n">
        <v>1063092</v>
      </c>
      <c r="D13" s="4" t="n">
        <v>1058323</v>
      </c>
      <c r="E13" s="4" t="n">
        <v>1066083</v>
      </c>
      <c r="F13" s="4" t="n">
        <v>1072386</v>
      </c>
      <c r="G13" s="4" t="n">
        <v>1232113</v>
      </c>
      <c r="H13" s="4" t="n">
        <v>1223114</v>
      </c>
      <c r="I13" s="4" t="n">
        <v>1225826</v>
      </c>
      <c r="J13" s="4" t="n">
        <v>1220410</v>
      </c>
      <c r="K13" s="4" t="n">
        <v>1222598</v>
      </c>
      <c r="L13" s="4" t="n">
        <v>1224100</v>
      </c>
      <c r="M13" s="4" t="n">
        <v>1459447</v>
      </c>
      <c r="N13" s="4" t="n">
        <v>1427139</v>
      </c>
      <c r="O13" s="4" t="n">
        <v>1430762</v>
      </c>
      <c r="P13" s="4" t="n">
        <v>1433326</v>
      </c>
      <c r="Q13" s="4" t="n">
        <v>1442426</v>
      </c>
      <c r="R13" s="4" t="n">
        <v>1414252</v>
      </c>
      <c r="S13" s="4" t="n">
        <v>1415958</v>
      </c>
      <c r="T13" s="4" t="n">
        <v>1418827</v>
      </c>
      <c r="U13" s="4" t="n">
        <v>1419306</v>
      </c>
    </row>
    <row r="14">
      <c r="A14" s="3" t="inlineStr">
        <is>
          <t>Other Non-Current Assets</t>
        </is>
      </c>
      <c r="B14" s="4" t="n">
        <v>70475</v>
      </c>
      <c r="C14" s="4" t="n">
        <v>88203</v>
      </c>
      <c r="D14" s="4" t="n">
        <v>89394</v>
      </c>
      <c r="E14" s="4" t="n">
        <v>88883</v>
      </c>
      <c r="F14" s="4" t="n">
        <v>80252</v>
      </c>
      <c r="G14" s="4" t="n">
        <v>101488</v>
      </c>
      <c r="H14" s="4" t="n">
        <v>110390</v>
      </c>
      <c r="I14" s="4" t="n">
        <v>115913</v>
      </c>
      <c r="J14" s="4" t="n">
        <v>134478</v>
      </c>
      <c r="K14" s="4" t="n">
        <v>145101</v>
      </c>
      <c r="L14" s="4" t="n">
        <v>151252</v>
      </c>
      <c r="M14" s="4" t="n">
        <v>164867</v>
      </c>
      <c r="N14" s="4" t="n">
        <v>110216</v>
      </c>
      <c r="O14" s="4" t="n">
        <v>107126</v>
      </c>
      <c r="P14" s="4" t="n">
        <v>107109</v>
      </c>
      <c r="Q14" s="4" t="n">
        <v>104958</v>
      </c>
      <c r="R14" s="4" t="n">
        <v>100406</v>
      </c>
      <c r="S14" s="4" t="n">
        <v>95642</v>
      </c>
      <c r="T14" s="4" t="n">
        <v>136331</v>
      </c>
      <c r="U14" s="4" t="n">
        <v>138907</v>
      </c>
    </row>
    <row r="15">
      <c r="A15" s="3" t="inlineStr">
        <is>
          <t>Total Assets</t>
        </is>
      </c>
      <c r="B15" s="6">
        <f>B8+SUM(B9:B14)</f>
        <v/>
      </c>
      <c r="C15" s="6">
        <f>C8+SUM(C9:C14)</f>
        <v/>
      </c>
      <c r="D15" s="6">
        <f>D8+SUM(D9:D14)</f>
        <v/>
      </c>
      <c r="E15" s="6">
        <f>E8+SUM(E9:E14)</f>
        <v/>
      </c>
      <c r="F15" s="6">
        <f>F8+SUM(F9:F14)</f>
        <v/>
      </c>
      <c r="G15" s="6">
        <f>G8+SUM(G9:G14)</f>
        <v/>
      </c>
      <c r="H15" s="6">
        <f>H8+SUM(H9:H14)</f>
        <v/>
      </c>
      <c r="I15" s="6">
        <f>I8+SUM(I9:I14)</f>
        <v/>
      </c>
      <c r="J15" s="6">
        <f>J8+SUM(J9:J14)</f>
        <v/>
      </c>
      <c r="K15" s="6">
        <f>K8+SUM(K9:K14)</f>
        <v/>
      </c>
      <c r="L15" s="6">
        <f>L8+SUM(L9:L14)</f>
        <v/>
      </c>
      <c r="M15" s="6">
        <f>M8+SUM(M9:M14)</f>
        <v/>
      </c>
      <c r="N15" s="6">
        <f>N8+SUM(N9:N14)</f>
        <v/>
      </c>
      <c r="O15" s="6">
        <f>O8+SUM(O9:O14)</f>
        <v/>
      </c>
      <c r="P15" s="6">
        <f>P8+SUM(P9:P14)</f>
        <v/>
      </c>
      <c r="Q15" s="6">
        <f>Q8+SUM(Q9:Q14)</f>
        <v/>
      </c>
      <c r="R15" s="6">
        <f>R8+SUM(R9:R14)</f>
        <v/>
      </c>
      <c r="S15" s="6">
        <f>S8+SUM(S9:S14)</f>
        <v/>
      </c>
      <c r="T15" s="6">
        <f>T8+SUM(T9:T14)</f>
        <v/>
      </c>
      <c r="U15" s="6">
        <f>U8+SUM(U9:U14)</f>
        <v/>
      </c>
    </row>
    <row r="16">
      <c r="A16" s="3" t="inlineStr">
        <is>
          <t>Accounts Payable</t>
        </is>
      </c>
      <c r="B16" s="4" t="n">
        <v>296800</v>
      </c>
      <c r="C16" s="4" t="n">
        <v>334076</v>
      </c>
      <c r="D16" s="4" t="n">
        <v>362900</v>
      </c>
      <c r="E16" s="4" t="n">
        <v>396229</v>
      </c>
      <c r="F16" s="4" t="n">
        <v>404263</v>
      </c>
      <c r="G16" s="4" t="n">
        <v>438256</v>
      </c>
      <c r="H16" s="4" t="n">
        <v>492858</v>
      </c>
      <c r="I16" s="4" t="n">
        <v>520198</v>
      </c>
      <c r="J16" s="4" t="n">
        <v>444265</v>
      </c>
      <c r="K16" s="4" t="n">
        <v>491249</v>
      </c>
      <c r="L16" s="4" t="n">
        <v>568613</v>
      </c>
      <c r="M16" s="4" t="n">
        <v>539892</v>
      </c>
      <c r="N16" s="4" t="n">
        <v>564379</v>
      </c>
      <c r="O16" s="4" t="n">
        <v>533729</v>
      </c>
      <c r="P16" s="4" t="n">
        <v>511137</v>
      </c>
      <c r="Q16" s="4" t="n">
        <v>549028</v>
      </c>
      <c r="R16" s="4" t="n">
        <v>466775</v>
      </c>
      <c r="S16" s="4" t="n">
        <v>486951</v>
      </c>
      <c r="T16" s="4" t="n">
        <v>489037</v>
      </c>
      <c r="U16" s="4" t="n">
        <v>683030</v>
      </c>
    </row>
    <row r="17">
      <c r="A17" s="3" t="inlineStr">
        <is>
          <t>Accrued Expenses</t>
        </is>
      </c>
      <c r="B17" s="4" t="n">
        <v>142653</v>
      </c>
      <c r="C17" s="4" t="n">
        <v>170954</v>
      </c>
      <c r="D17" s="4" t="n">
        <v>172498</v>
      </c>
      <c r="E17" s="4" t="n">
        <v>180719</v>
      </c>
      <c r="F17" s="4" t="n">
        <v>210964</v>
      </c>
      <c r="G17" s="4" t="n">
        <v>234111</v>
      </c>
      <c r="H17" s="4" t="n">
        <v>209154</v>
      </c>
      <c r="I17" s="4" t="n">
        <v>198692</v>
      </c>
      <c r="J17" s="4" t="n">
        <v>172991</v>
      </c>
      <c r="K17" s="4" t="n">
        <v>245932</v>
      </c>
      <c r="L17" s="4" t="n">
        <v>198656</v>
      </c>
      <c r="M17" s="4" t="n">
        <v>207727</v>
      </c>
      <c r="N17" s="4" t="n">
        <v>183988</v>
      </c>
      <c r="O17" s="4" t="n">
        <v>204679</v>
      </c>
      <c r="P17" s="4" t="n">
        <v>213905</v>
      </c>
      <c r="Q17" s="4" t="n">
        <v>259088</v>
      </c>
      <c r="R17" s="4" t="n">
        <v>220764</v>
      </c>
      <c r="S17" s="4" t="n">
        <v>262545</v>
      </c>
      <c r="T17" s="4" t="n">
        <v>258937</v>
      </c>
      <c r="U17" s="4" t="n">
        <v>325450</v>
      </c>
    </row>
    <row r="18">
      <c r="A18" s="3" t="inlineStr">
        <is>
          <t>Accrued Promotional Allowance</t>
        </is>
      </c>
      <c r="B18" s="4" t="n">
        <v>186658</v>
      </c>
      <c r="C18" s="4" t="n">
        <v>197380</v>
      </c>
      <c r="D18" s="4" t="n">
        <v>227414</v>
      </c>
      <c r="E18" s="4" t="n">
        <v>232394</v>
      </c>
      <c r="F18" s="4" t="n">
        <v>211461</v>
      </c>
      <c r="G18" s="4" t="n">
        <v>270785</v>
      </c>
      <c r="H18" s="4" t="n">
        <v>277618</v>
      </c>
      <c r="I18" s="4" t="n">
        <v>281650</v>
      </c>
      <c r="J18" s="4" t="n">
        <v>255631</v>
      </c>
      <c r="K18" s="4" t="n">
        <v>308094</v>
      </c>
      <c r="L18" s="4" t="n">
        <v>283647</v>
      </c>
      <c r="M18" s="4" t="n">
        <v>296577</v>
      </c>
      <c r="N18" s="4" t="n">
        <v>269061</v>
      </c>
      <c r="O18" s="4" t="n">
        <v>318895</v>
      </c>
      <c r="P18" s="4" t="n">
        <v>319757</v>
      </c>
      <c r="Q18" s="4" t="n">
        <v>301973</v>
      </c>
      <c r="R18" s="4" t="n">
        <v>267711</v>
      </c>
      <c r="S18" s="4" t="n">
        <v>304670</v>
      </c>
      <c r="T18" s="4" t="n">
        <v>360406</v>
      </c>
      <c r="U18" s="4" t="n">
        <v>392628</v>
      </c>
    </row>
    <row r="19">
      <c r="A19" s="3" t="inlineStr">
        <is>
          <t>Deferred Revenue - Current</t>
        </is>
      </c>
      <c r="B19" s="4" t="n">
        <v>45429</v>
      </c>
      <c r="C19" s="4" t="n">
        <v>45961</v>
      </c>
      <c r="D19" s="4" t="n">
        <v>46656</v>
      </c>
      <c r="E19" s="4" t="n">
        <v>45278</v>
      </c>
      <c r="F19" s="4" t="n">
        <v>42530</v>
      </c>
      <c r="G19" s="4" t="n">
        <v>42540</v>
      </c>
      <c r="H19" s="4" t="n">
        <v>44344</v>
      </c>
      <c r="I19" s="4" t="n">
        <v>42608</v>
      </c>
      <c r="J19" s="4" t="n">
        <v>43311</v>
      </c>
      <c r="K19" s="4" t="n">
        <v>44440</v>
      </c>
      <c r="L19" s="4" t="n">
        <v>42765</v>
      </c>
      <c r="M19" s="4" t="n">
        <v>40127</v>
      </c>
      <c r="N19" s="4" t="n">
        <v>41914</v>
      </c>
      <c r="O19" s="4" t="n">
        <v>43776</v>
      </c>
      <c r="P19" s="4" t="n">
        <v>44377</v>
      </c>
      <c r="Q19" s="4" t="n">
        <v>45627</v>
      </c>
      <c r="R19" s="4" t="n">
        <v>45809</v>
      </c>
      <c r="S19" s="4" t="n">
        <v>47542</v>
      </c>
      <c r="T19" s="4" t="n">
        <v>49279</v>
      </c>
      <c r="U19" s="4" t="n">
        <v>47158</v>
      </c>
    </row>
    <row r="20">
      <c r="A20" s="3" t="inlineStr">
        <is>
          <t>Accrued Compensation</t>
        </is>
      </c>
      <c r="B20" s="4" t="n">
        <v>55015</v>
      </c>
      <c r="C20" s="4" t="n">
        <v>30499</v>
      </c>
      <c r="D20" s="4" t="n">
        <v>46770</v>
      </c>
      <c r="E20" s="4" t="n">
        <v>54507</v>
      </c>
      <c r="F20" s="4" t="n">
        <v>65459</v>
      </c>
      <c r="G20" s="4" t="n">
        <v>37551</v>
      </c>
      <c r="H20" s="4" t="n">
        <v>53717</v>
      </c>
      <c r="I20" s="4" t="n">
        <v>61426</v>
      </c>
      <c r="J20" s="4" t="n">
        <v>72463</v>
      </c>
      <c r="K20" s="4" t="n">
        <v>42673</v>
      </c>
      <c r="L20" s="4" t="n">
        <v>56195</v>
      </c>
      <c r="M20" s="4" t="n">
        <v>76835</v>
      </c>
      <c r="N20" s="4" t="n">
        <v>87392</v>
      </c>
      <c r="O20" s="4" t="n">
        <v>52638</v>
      </c>
      <c r="P20" s="4" t="n">
        <v>60357</v>
      </c>
      <c r="Q20" s="4" t="n">
        <v>81787</v>
      </c>
      <c r="R20" s="4" t="n">
        <v>92454</v>
      </c>
      <c r="S20" s="4" t="n">
        <v>55812</v>
      </c>
      <c r="T20" s="4" t="n">
        <v>72838</v>
      </c>
      <c r="U20" s="4" t="n">
        <v>102131</v>
      </c>
    </row>
    <row r="21">
      <c r="A21" s="3" t="inlineStr">
        <is>
          <t>Income Taxes Payable</t>
        </is>
      </c>
      <c r="B21" s="4" t="n">
        <v>23433</v>
      </c>
      <c r="C21" s="4" t="n">
        <v>9991</v>
      </c>
      <c r="D21" s="4" t="n">
        <v>31289</v>
      </c>
      <c r="E21" s="4" t="n">
        <v>23113</v>
      </c>
      <c r="F21" s="4" t="n">
        <v>30399</v>
      </c>
      <c r="G21" s="4" t="n">
        <v>21118</v>
      </c>
      <c r="H21" s="4" t="n">
        <v>15917</v>
      </c>
      <c r="I21" s="4" t="n">
        <v>17143</v>
      </c>
      <c r="J21" s="4" t="n">
        <v>13317</v>
      </c>
      <c r="K21" s="4" t="n">
        <v>55123</v>
      </c>
      <c r="L21" s="4" t="n">
        <v>12704</v>
      </c>
      <c r="M21" s="4" t="n">
        <v>17644</v>
      </c>
      <c r="N21" s="4" t="n">
        <v>14955</v>
      </c>
      <c r="O21" s="4" t="n">
        <v>75111</v>
      </c>
      <c r="P21" s="4" t="n">
        <v>10990</v>
      </c>
      <c r="Q21" s="4" t="n">
        <v>7641</v>
      </c>
      <c r="R21" s="4" t="n">
        <v>4006</v>
      </c>
      <c r="S21" s="4" t="n">
        <v>67837</v>
      </c>
      <c r="T21" s="4" t="n">
        <v>28121</v>
      </c>
      <c r="U21" s="4" t="n">
        <v>40023</v>
      </c>
    </row>
    <row r="22">
      <c r="A22" s="3" t="inlineStr">
        <is>
          <t>Total Current Liabilities</t>
        </is>
      </c>
      <c r="B22" s="6">
        <f>SUM(B16:B21)</f>
        <v/>
      </c>
      <c r="C22" s="6">
        <f>SUM(C16:C21)</f>
        <v/>
      </c>
      <c r="D22" s="6">
        <f>SUM(D16:D21)</f>
        <v/>
      </c>
      <c r="E22" s="6">
        <f>SUM(E16:E21)</f>
        <v/>
      </c>
      <c r="F22" s="6">
        <f>SUM(F16:F21)</f>
        <v/>
      </c>
      <c r="G22" s="6">
        <f>SUM(G16:G21)</f>
        <v/>
      </c>
      <c r="H22" s="6">
        <f>SUM(H16:H21)</f>
        <v/>
      </c>
      <c r="I22" s="6">
        <f>SUM(I16:I21)</f>
        <v/>
      </c>
      <c r="J22" s="6">
        <f>SUM(J16:J21)</f>
        <v/>
      </c>
      <c r="K22" s="6">
        <f>SUM(K16:K21)</f>
        <v/>
      </c>
      <c r="L22" s="6">
        <f>SUM(L16:L21)</f>
        <v/>
      </c>
      <c r="M22" s="6">
        <f>SUM(M16:M21)</f>
        <v/>
      </c>
      <c r="N22" s="6">
        <f>SUM(N16:N21)</f>
        <v/>
      </c>
      <c r="O22" s="6">
        <f>SUM(O16:O21)</f>
        <v/>
      </c>
      <c r="P22" s="6">
        <f>SUM(P16:P21)</f>
        <v/>
      </c>
      <c r="Q22" s="6">
        <f>SUM(Q16:Q21)</f>
        <v/>
      </c>
      <c r="R22" s="6">
        <f>SUM(R16:R21)</f>
        <v/>
      </c>
      <c r="S22" s="6">
        <f>SUM(S16:S21)</f>
        <v/>
      </c>
      <c r="T22" s="6">
        <f>SUM(T16:T21)</f>
        <v/>
      </c>
      <c r="U22" s="6">
        <f>SUM(U16:U21)</f>
        <v/>
      </c>
    </row>
    <row r="23">
      <c r="A23" s="3" t="inlineStr">
        <is>
          <t>Deferred Revenue - Non-Current</t>
        </is>
      </c>
      <c r="B23" s="4" t="n">
        <v>264436</v>
      </c>
      <c r="C23" s="4" t="n">
        <v>257730</v>
      </c>
      <c r="D23" s="4" t="n">
        <v>252056</v>
      </c>
      <c r="E23" s="4" t="n">
        <v>245621</v>
      </c>
      <c r="F23" s="4" t="n">
        <v>243249</v>
      </c>
      <c r="G23" s="4" t="n">
        <v>238241</v>
      </c>
      <c r="H23" s="4" t="n">
        <v>232170</v>
      </c>
      <c r="I23" s="4" t="n">
        <v>226294</v>
      </c>
      <c r="J23" s="4" t="n">
        <v>223800</v>
      </c>
      <c r="K23" s="4" t="n">
        <v>219764</v>
      </c>
      <c r="L23" s="4" t="n">
        <v>215039</v>
      </c>
      <c r="M23" s="4" t="n">
        <v>209136</v>
      </c>
      <c r="N23" s="4" t="n">
        <v>204251</v>
      </c>
      <c r="O23" s="4" t="n">
        <v>198759</v>
      </c>
      <c r="P23" s="4" t="n">
        <v>192354</v>
      </c>
      <c r="Q23" s="4" t="n">
        <v>186135</v>
      </c>
      <c r="R23" s="4" t="n">
        <v>179008</v>
      </c>
      <c r="S23" s="4" t="n">
        <v>173921</v>
      </c>
      <c r="T23" s="4" t="n">
        <v>169763</v>
      </c>
      <c r="U23" s="4" t="n">
        <v>164701</v>
      </c>
    </row>
    <row r="24">
      <c r="A24" s="3" t="inlineStr">
        <is>
          <t>Deferred Tax Liability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28896</v>
      </c>
      <c r="Q24" s="4" t="n">
        <v>28896</v>
      </c>
      <c r="R24" s="4" t="n">
        <v>0</v>
      </c>
      <c r="S24" s="4" t="n">
        <v>0</v>
      </c>
      <c r="T24" s="4" t="n">
        <v>0</v>
      </c>
      <c r="U24" s="4" t="n">
        <v>0</v>
      </c>
    </row>
    <row r="25">
      <c r="A25" s="3" t="inlineStr">
        <is>
          <t>Other Non-Current Liabilities</t>
        </is>
      </c>
      <c r="B25" s="4" t="n">
        <v>27432</v>
      </c>
      <c r="C25" s="4" t="n">
        <v>28338</v>
      </c>
      <c r="D25" s="4" t="n">
        <v>26462</v>
      </c>
      <c r="E25" s="4" t="n">
        <v>26550</v>
      </c>
      <c r="F25" s="4" t="n">
        <v>29508</v>
      </c>
      <c r="G25" s="4" t="n">
        <v>38185</v>
      </c>
      <c r="H25" s="4" t="n">
        <v>40056</v>
      </c>
      <c r="I25" s="4" t="n">
        <v>41034</v>
      </c>
      <c r="J25" s="4" t="n">
        <v>42286</v>
      </c>
      <c r="K25" s="4" t="n">
        <v>41727</v>
      </c>
      <c r="L25" s="4" t="n">
        <v>44255</v>
      </c>
      <c r="M25" s="4" t="n">
        <v>53251</v>
      </c>
      <c r="N25" s="4" t="n">
        <v>91838</v>
      </c>
      <c r="O25" s="4" t="n">
        <v>92690</v>
      </c>
      <c r="P25" s="4" t="n">
        <v>64068</v>
      </c>
      <c r="Q25" s="4" t="n">
        <v>64884</v>
      </c>
      <c r="R25" s="4" t="n">
        <v>110893</v>
      </c>
      <c r="S25" s="4" t="n">
        <v>109252</v>
      </c>
      <c r="T25" s="4" t="n">
        <v>110203</v>
      </c>
      <c r="U25" s="4" t="n">
        <v>110992</v>
      </c>
    </row>
    <row r="26">
      <c r="A26" s="3" t="inlineStr">
        <is>
          <t>Long-Term Debt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748740</v>
      </c>
      <c r="Q26" s="4" t="n">
        <v>748842</v>
      </c>
      <c r="R26" s="4" t="n">
        <v>373951</v>
      </c>
      <c r="S26" s="4" t="n">
        <v>199059</v>
      </c>
      <c r="T26" s="4" t="n">
        <v>0</v>
      </c>
      <c r="U26" s="4" t="n">
        <v>0</v>
      </c>
    </row>
    <row r="27">
      <c r="A27" s="3" t="inlineStr">
        <is>
          <t>Total Liabilities</t>
        </is>
      </c>
      <c r="B27" s="6">
        <f>B22+SUM(B23:B26)</f>
        <v/>
      </c>
      <c r="C27" s="6">
        <f>C22+SUM(C23:C26)</f>
        <v/>
      </c>
      <c r="D27" s="6">
        <f>D22+SUM(D23:D26)</f>
        <v/>
      </c>
      <c r="E27" s="6">
        <f>E22+SUM(E23:E26)</f>
        <v/>
      </c>
      <c r="F27" s="6">
        <f>F22+SUM(F23:F26)</f>
        <v/>
      </c>
      <c r="G27" s="6">
        <f>G22+SUM(G23:G26)</f>
        <v/>
      </c>
      <c r="H27" s="6">
        <f>H22+SUM(H23:H26)</f>
        <v/>
      </c>
      <c r="I27" s="6">
        <f>I22+SUM(I23:I26)</f>
        <v/>
      </c>
      <c r="J27" s="6">
        <f>J22+SUM(J23:J26)</f>
        <v/>
      </c>
      <c r="K27" s="6">
        <f>K22+SUM(K23:K26)</f>
        <v/>
      </c>
      <c r="L27" s="6">
        <f>L22+SUM(L23:L26)</f>
        <v/>
      </c>
      <c r="M27" s="6">
        <f>M22+SUM(M23:M26)</f>
        <v/>
      </c>
      <c r="N27" s="6">
        <f>N22+SUM(N23:N26)</f>
        <v/>
      </c>
      <c r="O27" s="6">
        <f>O22+SUM(O23:O26)</f>
        <v/>
      </c>
      <c r="P27" s="6">
        <f>P22+SUM(P23:P26)</f>
        <v/>
      </c>
      <c r="Q27" s="6">
        <f>Q22+SUM(Q23:Q26)</f>
        <v/>
      </c>
      <c r="R27" s="6">
        <f>R22+SUM(R23:R26)</f>
        <v/>
      </c>
      <c r="S27" s="6">
        <f>S22+SUM(S23:S26)</f>
        <v/>
      </c>
      <c r="T27" s="6">
        <f>T22+SUM(T23:T26)</f>
        <v/>
      </c>
      <c r="U27" s="6">
        <f>U22+SUM(U23:U26)</f>
        <v/>
      </c>
    </row>
    <row r="28">
      <c r="A28" s="3" t="inlineStr">
        <is>
          <t>Common Stock</t>
        </is>
      </c>
      <c r="B28" s="4" t="n">
        <v>3193</v>
      </c>
      <c r="C28" s="4" t="n">
        <v>3196</v>
      </c>
      <c r="D28" s="4" t="n">
        <v>3198</v>
      </c>
      <c r="E28" s="4" t="n">
        <v>3199</v>
      </c>
      <c r="F28" s="4" t="n">
        <v>3200</v>
      </c>
      <c r="G28" s="4" t="n">
        <v>3203</v>
      </c>
      <c r="H28" s="4" t="n">
        <v>3205</v>
      </c>
      <c r="I28" s="4" t="n">
        <v>3206</v>
      </c>
      <c r="J28" s="4" t="n">
        <v>6418</v>
      </c>
      <c r="K28" s="4" t="n">
        <v>5587</v>
      </c>
      <c r="L28" s="4" t="n">
        <v>5591</v>
      </c>
      <c r="M28" s="4" t="n">
        <v>5592</v>
      </c>
      <c r="N28" s="4" t="n">
        <v>5613</v>
      </c>
      <c r="O28" s="4" t="n">
        <v>5624</v>
      </c>
      <c r="P28" s="4" t="n">
        <v>5627</v>
      </c>
      <c r="Q28" s="4" t="n">
        <v>5628</v>
      </c>
      <c r="R28" s="4" t="n">
        <v>5632</v>
      </c>
      <c r="S28" s="4" t="n">
        <v>5643</v>
      </c>
      <c r="T28" s="4" t="n">
        <v>5650</v>
      </c>
      <c r="U28" s="4" t="n">
        <v>5655</v>
      </c>
    </row>
    <row r="29">
      <c r="A29" s="3" t="inlineStr">
        <is>
          <t>Additional Paid-in Capital</t>
        </is>
      </c>
      <c r="B29" s="4" t="n">
        <v>4537982</v>
      </c>
      <c r="C29" s="4" t="n">
        <v>4562689</v>
      </c>
      <c r="D29" s="4" t="n">
        <v>4597333</v>
      </c>
      <c r="E29" s="4" t="n">
        <v>4626299</v>
      </c>
      <c r="F29" s="4" t="n">
        <v>4652620</v>
      </c>
      <c r="G29" s="4" t="n">
        <v>4673302</v>
      </c>
      <c r="H29" s="4" t="n">
        <v>4707569</v>
      </c>
      <c r="I29" s="4" t="n">
        <v>4736141</v>
      </c>
      <c r="J29" s="4" t="n">
        <v>4776804</v>
      </c>
      <c r="K29" s="4" t="n">
        <v>4829301</v>
      </c>
      <c r="L29" s="4" t="n">
        <v>4869791</v>
      </c>
      <c r="M29" s="4" t="n">
        <v>4893289</v>
      </c>
      <c r="N29" s="4" t="n">
        <v>4975115</v>
      </c>
      <c r="O29" s="4" t="n">
        <v>5034948</v>
      </c>
      <c r="P29" s="4" t="n">
        <v>5068291</v>
      </c>
      <c r="Q29" s="4" t="n">
        <v>5105957</v>
      </c>
      <c r="R29" s="4" t="n">
        <v>5144922</v>
      </c>
      <c r="S29" s="4" t="n">
        <v>5213731</v>
      </c>
      <c r="T29" s="4" t="n">
        <v>5285157</v>
      </c>
      <c r="U29" s="4" t="n">
        <v>5343915</v>
      </c>
    </row>
    <row r="30">
      <c r="A30" s="3" t="inlineStr">
        <is>
          <t>Retained Earnings (Accumulated Deficit)</t>
        </is>
      </c>
      <c r="B30" s="4" t="n">
        <v>6432074</v>
      </c>
      <c r="C30" s="4" t="n">
        <v>6747268</v>
      </c>
      <c r="D30" s="4" t="n">
        <v>7151030</v>
      </c>
      <c r="E30" s="4" t="n">
        <v>7488235</v>
      </c>
      <c r="F30" s="4" t="n">
        <v>7809549</v>
      </c>
      <c r="G30" s="4" t="n">
        <v>8103752</v>
      </c>
      <c r="H30" s="4" t="n">
        <v>8377112</v>
      </c>
      <c r="I30" s="4" t="n">
        <v>8699499</v>
      </c>
      <c r="J30" s="4" t="n">
        <v>9001173</v>
      </c>
      <c r="K30" s="4" t="n">
        <v>4706192</v>
      </c>
      <c r="L30" s="4" t="n">
        <v>5120063</v>
      </c>
      <c r="M30" s="4" t="n">
        <v>5572757</v>
      </c>
      <c r="N30" s="4" t="n">
        <v>5939736</v>
      </c>
      <c r="O30" s="4" t="n">
        <v>6381785</v>
      </c>
      <c r="P30" s="4" t="n">
        <v>6807154</v>
      </c>
      <c r="Q30" s="4" t="n">
        <v>7178073</v>
      </c>
      <c r="R30" s="4" t="n">
        <v>7448784</v>
      </c>
      <c r="S30" s="4" t="n">
        <v>7891777</v>
      </c>
      <c r="T30" s="4" t="n">
        <v>8380571</v>
      </c>
      <c r="U30" s="4" t="n">
        <v>8905026</v>
      </c>
    </row>
    <row r="31">
      <c r="A31" s="3" t="inlineStr">
        <is>
          <t>Accumulated Other Comprehensive Income (Loss)</t>
        </is>
      </c>
      <c r="B31" s="4" t="n">
        <v>3034</v>
      </c>
      <c r="C31" s="4" t="n">
        <v>-24874</v>
      </c>
      <c r="D31" s="4" t="n">
        <v>-16822</v>
      </c>
      <c r="E31" s="4" t="n">
        <v>-43495</v>
      </c>
      <c r="F31" s="4" t="n">
        <v>-69165</v>
      </c>
      <c r="G31" s="4" t="n">
        <v>-72145</v>
      </c>
      <c r="H31" s="4" t="n">
        <v>-152957</v>
      </c>
      <c r="I31" s="4" t="n">
        <v>-224455</v>
      </c>
      <c r="J31" s="4" t="n">
        <v>-159073</v>
      </c>
      <c r="K31" s="4" t="n">
        <v>-147911</v>
      </c>
      <c r="L31" s="4" t="n">
        <v>-155725</v>
      </c>
      <c r="M31" s="4" t="n">
        <v>-198033</v>
      </c>
      <c r="N31" s="4" t="n">
        <v>-125337</v>
      </c>
      <c r="O31" s="4" t="n">
        <v>-157940</v>
      </c>
      <c r="P31" s="4" t="n">
        <v>-182304</v>
      </c>
      <c r="Q31" s="4" t="n">
        <v>-137842</v>
      </c>
      <c r="R31" s="4" t="n">
        <v>-269487</v>
      </c>
      <c r="S31" s="4" t="n">
        <v>-202946</v>
      </c>
      <c r="T31" s="4" t="n">
        <v>-91308</v>
      </c>
      <c r="U31" s="4" t="n">
        <v>-93382</v>
      </c>
    </row>
    <row r="32">
      <c r="A32" s="3" t="inlineStr">
        <is>
          <t>Treasury Stock</t>
        </is>
      </c>
      <c r="B32" s="4" t="n">
        <v>-5815423</v>
      </c>
      <c r="C32" s="4" t="n">
        <v>-5828842</v>
      </c>
      <c r="D32" s="4" t="n">
        <v>-5829241</v>
      </c>
      <c r="E32" s="4" t="n">
        <v>-5829241</v>
      </c>
      <c r="F32" s="4" t="n">
        <v>-5829253</v>
      </c>
      <c r="G32" s="4" t="n">
        <v>-5841440</v>
      </c>
      <c r="H32" s="4" t="n">
        <v>-6125751</v>
      </c>
      <c r="I32" s="4" t="n">
        <v>-6398631</v>
      </c>
      <c r="J32" s="4" t="n">
        <v>-6600281</v>
      </c>
      <c r="K32" s="4" t="n">
        <v>-1997809</v>
      </c>
      <c r="L32" s="4" t="n">
        <v>-1998256</v>
      </c>
      <c r="M32" s="4" t="n">
        <v>-2400456</v>
      </c>
      <c r="N32" s="4" t="n">
        <v>-2566383</v>
      </c>
      <c r="O32" s="4" t="n">
        <v>-2686628</v>
      </c>
      <c r="P32" s="4" t="n">
        <v>-5832445</v>
      </c>
      <c r="Q32" s="4" t="n">
        <v>-6372416</v>
      </c>
      <c r="R32" s="4" t="n">
        <v>-6372133</v>
      </c>
      <c r="S32" s="4" t="n">
        <v>-6388766</v>
      </c>
      <c r="T32" s="4" t="n">
        <v>-6388766</v>
      </c>
      <c r="U32" s="4" t="n">
        <v>-6416054</v>
      </c>
    </row>
    <row r="33">
      <c r="A33" s="3" t="inlineStr">
        <is>
          <t>Total Stockholders' Equity</t>
        </is>
      </c>
      <c r="B33" s="6">
        <f>SUM(B28:B32)</f>
        <v/>
      </c>
      <c r="C33" s="6">
        <f>SUM(C28:C32)</f>
        <v/>
      </c>
      <c r="D33" s="6">
        <f>SUM(D28:D32)</f>
        <v/>
      </c>
      <c r="E33" s="6">
        <f>SUM(E28:E32)</f>
        <v/>
      </c>
      <c r="F33" s="6">
        <f>SUM(F28:F32)</f>
        <v/>
      </c>
      <c r="G33" s="6">
        <f>SUM(G28:G32)</f>
        <v/>
      </c>
      <c r="H33" s="6">
        <f>SUM(H28:H32)</f>
        <v/>
      </c>
      <c r="I33" s="6">
        <f>SUM(I28:I32)</f>
        <v/>
      </c>
      <c r="J33" s="6">
        <f>SUM(J28:J32)</f>
        <v/>
      </c>
      <c r="K33" s="6">
        <f>SUM(K28:K32)</f>
        <v/>
      </c>
      <c r="L33" s="6">
        <f>SUM(L28:L32)</f>
        <v/>
      </c>
      <c r="M33" s="6">
        <f>SUM(M28:M32)</f>
        <v/>
      </c>
      <c r="N33" s="6">
        <f>SUM(N28:N32)</f>
        <v/>
      </c>
      <c r="O33" s="6">
        <f>SUM(O28:O32)</f>
        <v/>
      </c>
      <c r="P33" s="6">
        <f>SUM(P28:P32)</f>
        <v/>
      </c>
      <c r="Q33" s="6">
        <f>SUM(Q28:Q32)</f>
        <v/>
      </c>
      <c r="R33" s="6">
        <f>SUM(R28:R32)</f>
        <v/>
      </c>
      <c r="S33" s="6">
        <f>SUM(S28:S32)</f>
        <v/>
      </c>
      <c r="T33" s="6">
        <f>SUM(T28:T32)</f>
        <v/>
      </c>
      <c r="U33" s="6">
        <f>SUM(U28:U32)</f>
        <v/>
      </c>
    </row>
    <row r="34">
      <c r="A34" s="3" t="inlineStr">
        <is>
          <t>Total Liabilities, Mezzanine &amp; Stockholders' Equity</t>
        </is>
      </c>
      <c r="B34" s="6">
        <f>B27+B33</f>
        <v/>
      </c>
      <c r="C34" s="6">
        <f>C27+C33</f>
        <v/>
      </c>
      <c r="D34" s="6">
        <f>D27+D33</f>
        <v/>
      </c>
      <c r="E34" s="6">
        <f>E27+E33</f>
        <v/>
      </c>
      <c r="F34" s="6">
        <f>F27+F33</f>
        <v/>
      </c>
      <c r="G34" s="6">
        <f>G27+G33</f>
        <v/>
      </c>
      <c r="H34" s="6">
        <f>H27+H33</f>
        <v/>
      </c>
      <c r="I34" s="6">
        <f>I27+I33</f>
        <v/>
      </c>
      <c r="J34" s="6">
        <f>J27+J33</f>
        <v/>
      </c>
      <c r="K34" s="6">
        <f>K27+K33</f>
        <v/>
      </c>
      <c r="L34" s="6">
        <f>L27+L33</f>
        <v/>
      </c>
      <c r="M34" s="6">
        <f>M27+M33</f>
        <v/>
      </c>
      <c r="N34" s="6">
        <f>N27+N33</f>
        <v/>
      </c>
      <c r="O34" s="6">
        <f>O27+O33</f>
        <v/>
      </c>
      <c r="P34" s="6">
        <f>P27+P33</f>
        <v/>
      </c>
      <c r="Q34" s="6">
        <f>Q27+Q33</f>
        <v/>
      </c>
      <c r="R34" s="6">
        <f>R27+R33</f>
        <v/>
      </c>
      <c r="S34" s="6">
        <f>S27+S33</f>
        <v/>
      </c>
      <c r="T34" s="6">
        <f>T27+T33</f>
        <v/>
      </c>
      <c r="U34" s="6">
        <f>U27+U33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/>
      <c r="B1" s="2" t="inlineStr">
        <is>
          <t>Q1 FY2020</t>
        </is>
      </c>
      <c r="C1" s="2" t="inlineStr">
        <is>
          <t>Q2 FY2020</t>
        </is>
      </c>
      <c r="D1" s="2" t="inlineStr">
        <is>
          <t>Q3 FY2020</t>
        </is>
      </c>
      <c r="E1" s="2" t="inlineStr">
        <is>
          <t>Q1 FY2021</t>
        </is>
      </c>
      <c r="F1" s="2" t="inlineStr">
        <is>
          <t>Q2 FY2021</t>
        </is>
      </c>
      <c r="G1" s="2" t="inlineStr">
        <is>
          <t>Q3 FY2021</t>
        </is>
      </c>
      <c r="H1" s="2" t="inlineStr">
        <is>
          <t>Q1 FY2022</t>
        </is>
      </c>
      <c r="I1" s="2" t="inlineStr">
        <is>
          <t>Q2 FY2022</t>
        </is>
      </c>
      <c r="J1" s="2" t="inlineStr">
        <is>
          <t>Q3 FY2022</t>
        </is>
      </c>
      <c r="K1" s="2" t="inlineStr">
        <is>
          <t>Q1 FY2023</t>
        </is>
      </c>
      <c r="L1" s="2" t="inlineStr">
        <is>
          <t>Q2 FY2023</t>
        </is>
      </c>
      <c r="M1" s="2" t="inlineStr">
        <is>
          <t>Q3 FY2023</t>
        </is>
      </c>
      <c r="N1" s="2" t="inlineStr">
        <is>
          <t>Q1 FY2024</t>
        </is>
      </c>
      <c r="O1" s="2" t="inlineStr">
        <is>
          <t>Q2 FY2024</t>
        </is>
      </c>
      <c r="P1" s="2" t="inlineStr">
        <is>
          <t>Q3 FY2024</t>
        </is>
      </c>
      <c r="Q1" s="2" t="inlineStr">
        <is>
          <t>Q1 FY2025</t>
        </is>
      </c>
      <c r="R1" s="2" t="inlineStr">
        <is>
          <t>Q2 FY2025</t>
        </is>
      </c>
      <c r="S1" s="2" t="inlineStr">
        <is>
          <t>Q3 FY2025</t>
        </is>
      </c>
    </row>
    <row r="2">
      <c r="A2" s="3" t="inlineStr">
        <is>
          <t>Net Income (Loss)</t>
        </is>
      </c>
      <c r="B2" s="4" t="n">
        <v>278835</v>
      </c>
      <c r="C2" s="4" t="n">
        <v>590204</v>
      </c>
      <c r="D2" s="4" t="n">
        <v>937858</v>
      </c>
      <c r="E2" s="4" t="n">
        <v>315194</v>
      </c>
      <c r="F2" s="4" t="n">
        <v>718956</v>
      </c>
      <c r="G2" s="4" t="n">
        <v>1056161</v>
      </c>
      <c r="H2" s="4" t="n">
        <v>294203</v>
      </c>
      <c r="I2" s="4" t="n">
        <v>567563</v>
      </c>
      <c r="J2" s="4" t="n">
        <v>889950</v>
      </c>
      <c r="K2" s="4" t="n">
        <v>397444</v>
      </c>
      <c r="L2" s="4" t="n">
        <v>811315</v>
      </c>
      <c r="M2" s="4" t="n">
        <v>1264009</v>
      </c>
      <c r="N2" s="4" t="n">
        <v>442049</v>
      </c>
      <c r="O2" s="4" t="n">
        <v>867418</v>
      </c>
      <c r="P2" s="4" t="n">
        <v>1238337</v>
      </c>
      <c r="Q2" s="4" t="n">
        <v>442993</v>
      </c>
      <c r="R2" s="4" t="n">
        <v>931787</v>
      </c>
      <c r="S2" s="4" t="n">
        <v>1456242</v>
      </c>
    </row>
    <row r="3">
      <c r="A3" s="3" t="inlineStr">
        <is>
          <t>Depreciation &amp; Amortization</t>
        </is>
      </c>
      <c r="B3" s="4" t="n">
        <v>16546</v>
      </c>
      <c r="C3" s="4" t="n">
        <v>32057</v>
      </c>
      <c r="D3" s="4" t="n">
        <v>45879</v>
      </c>
      <c r="E3" s="4" t="n">
        <v>13777</v>
      </c>
      <c r="F3" s="4" t="n">
        <v>27489</v>
      </c>
      <c r="G3" s="4" t="n">
        <v>40716</v>
      </c>
      <c r="H3" s="4" t="n">
        <v>14599</v>
      </c>
      <c r="I3" s="4" t="n">
        <v>30432</v>
      </c>
      <c r="J3" s="4" t="n">
        <v>46040</v>
      </c>
      <c r="K3" s="4" t="n">
        <v>16808</v>
      </c>
      <c r="L3" s="4" t="n">
        <v>32384</v>
      </c>
      <c r="M3" s="4" t="n">
        <v>50364</v>
      </c>
      <c r="N3" s="4" t="n">
        <v>20475</v>
      </c>
      <c r="O3" s="4" t="n">
        <v>39913</v>
      </c>
      <c r="P3" s="4" t="n">
        <v>59822</v>
      </c>
      <c r="Q3" s="4" t="n">
        <v>24848</v>
      </c>
      <c r="R3" s="4" t="n">
        <v>52405</v>
      </c>
      <c r="S3" s="4" t="n">
        <v>82023</v>
      </c>
    </row>
    <row r="4">
      <c r="A4" s="3" t="inlineStr">
        <is>
          <t>Non-Cash Lease Expense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1481</v>
      </c>
      <c r="I4" s="4" t="n">
        <v>3222</v>
      </c>
      <c r="J4" s="4" t="n">
        <v>5180</v>
      </c>
      <c r="K4" s="4" t="n">
        <v>2160</v>
      </c>
      <c r="L4" s="4" t="n">
        <v>2828</v>
      </c>
      <c r="M4" s="4" t="n">
        <v>6471</v>
      </c>
      <c r="N4" s="4" t="n">
        <v>3185</v>
      </c>
      <c r="O4" s="4" t="n">
        <v>6599</v>
      </c>
      <c r="P4" s="4" t="n">
        <v>9801</v>
      </c>
      <c r="Q4" s="4" t="n">
        <v>4014</v>
      </c>
      <c r="R4" s="4" t="n">
        <v>6966</v>
      </c>
      <c r="S4" s="4" t="n">
        <v>10266</v>
      </c>
    </row>
    <row r="5">
      <c r="A5" s="3" t="inlineStr">
        <is>
          <t>Gain (Loss) on Disposal of PP&amp;E</t>
        </is>
      </c>
      <c r="B5" s="4" t="n">
        <v>-58</v>
      </c>
      <c r="C5" s="4" t="n">
        <v>-179</v>
      </c>
      <c r="D5" s="4" t="n">
        <v>-210</v>
      </c>
      <c r="E5" s="4" t="n">
        <v>-88</v>
      </c>
      <c r="F5" s="4" t="n">
        <v>-822</v>
      </c>
      <c r="G5" s="4" t="n">
        <v>-984</v>
      </c>
      <c r="H5" s="4" t="n">
        <v>-6</v>
      </c>
      <c r="I5" s="4" t="n">
        <v>-69</v>
      </c>
      <c r="J5" s="4" t="n">
        <v>-253</v>
      </c>
      <c r="K5" s="4" t="n">
        <v>-385</v>
      </c>
      <c r="L5" s="4" t="n">
        <v>-767</v>
      </c>
      <c r="M5" s="4" t="n">
        <v>-686</v>
      </c>
      <c r="N5" s="4" t="n">
        <v>-177</v>
      </c>
      <c r="O5" s="4" t="n">
        <v>1849</v>
      </c>
      <c r="P5" s="4" t="n">
        <v>2070</v>
      </c>
      <c r="Q5" s="4" t="n">
        <v>324</v>
      </c>
      <c r="R5" s="4" t="n">
        <v>-641</v>
      </c>
      <c r="S5" s="4" t="n">
        <v>-916</v>
      </c>
    </row>
    <row r="6">
      <c r="A6" s="3" t="inlineStr">
        <is>
          <t>Gain on Bang Transaction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-45382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inlineStr">
        <is>
          <t>Impairment of Intangibles</t>
        </is>
      </c>
      <c r="B7" s="4" t="n">
        <v>3000</v>
      </c>
      <c r="C7" s="4" t="n">
        <v>4000</v>
      </c>
      <c r="D7" s="4" t="n">
        <v>7000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2800</v>
      </c>
      <c r="M7" s="4" t="n">
        <v>2800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inlineStr">
        <is>
          <t>Impairment of Long-Lived Assets (PP&amp;E)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6067</v>
      </c>
      <c r="P8" s="4" t="n">
        <v>6067</v>
      </c>
      <c r="Q8" s="4" t="n">
        <v>2279</v>
      </c>
      <c r="R8" s="4" t="n">
        <v>2279</v>
      </c>
      <c r="S8" s="4" t="n">
        <v>2279</v>
      </c>
    </row>
    <row r="9">
      <c r="A9" s="3" t="inlineStr">
        <is>
          <t>Stock-Based Compensation</t>
        </is>
      </c>
      <c r="B9" s="4" t="n">
        <v>17098</v>
      </c>
      <c r="C9" s="4" t="n">
        <v>33034</v>
      </c>
      <c r="D9" s="4" t="n">
        <v>53042</v>
      </c>
      <c r="E9" s="4" t="n">
        <v>18362</v>
      </c>
      <c r="F9" s="4" t="n">
        <v>35691</v>
      </c>
      <c r="G9" s="4" t="n">
        <v>52391</v>
      </c>
      <c r="H9" s="4" t="n">
        <v>16332</v>
      </c>
      <c r="I9" s="4" t="n">
        <v>32609</v>
      </c>
      <c r="J9" s="4" t="n">
        <v>49167</v>
      </c>
      <c r="K9" s="4" t="n">
        <v>16051</v>
      </c>
      <c r="L9" s="4" t="n">
        <v>34603</v>
      </c>
      <c r="M9" s="4" t="n">
        <v>52465</v>
      </c>
      <c r="N9" s="4" t="n">
        <v>22472</v>
      </c>
      <c r="O9" s="4" t="n">
        <v>41262</v>
      </c>
      <c r="P9" s="4" t="n">
        <v>68793</v>
      </c>
      <c r="Q9" s="4" t="n">
        <v>20727</v>
      </c>
      <c r="R9" s="4" t="n">
        <v>53854</v>
      </c>
      <c r="S9" s="4" t="n">
        <v>86664</v>
      </c>
    </row>
    <row r="10">
      <c r="A10" s="3" t="inlineStr">
        <is>
          <t>(Benefit) Provision for Deferred Income Taxes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353</v>
      </c>
      <c r="G10" s="4" t="n">
        <v>353</v>
      </c>
      <c r="H10" s="4" t="n">
        <v>0</v>
      </c>
      <c r="I10" s="4" t="n">
        <v>21934</v>
      </c>
      <c r="J10" s="4" t="n">
        <v>29710</v>
      </c>
      <c r="K10" s="4" t="n">
        <v>0</v>
      </c>
      <c r="L10" s="4" t="n">
        <v>0</v>
      </c>
      <c r="M10" s="4" t="n">
        <v>0</v>
      </c>
      <c r="N10" s="4" t="n">
        <v>9</v>
      </c>
      <c r="O10" s="4" t="n">
        <v>-13294</v>
      </c>
      <c r="P10" s="4" t="n">
        <v>-10242</v>
      </c>
      <c r="Q10" s="4" t="n">
        <v>135</v>
      </c>
      <c r="R10" s="4" t="n">
        <v>646</v>
      </c>
      <c r="S10" s="4" t="n">
        <v>455</v>
      </c>
    </row>
    <row r="11">
      <c r="A11" s="3" t="inlineStr">
        <is>
          <t>Accounts Receivable</t>
        </is>
      </c>
      <c r="B11" s="4" t="n">
        <v>-147660</v>
      </c>
      <c r="C11" s="4" t="n">
        <v>-231782</v>
      </c>
      <c r="D11" s="4" t="n">
        <v>-201677</v>
      </c>
      <c r="E11" s="4" t="n">
        <v>-147544</v>
      </c>
      <c r="F11" s="4" t="n">
        <v>-239700</v>
      </c>
      <c r="G11" s="4" t="n">
        <v>-199709</v>
      </c>
      <c r="H11" s="4" t="n">
        <v>-134433</v>
      </c>
      <c r="I11" s="4" t="n">
        <v>-289236</v>
      </c>
      <c r="J11" s="4" t="n">
        <v>-202447</v>
      </c>
      <c r="K11" s="4" t="n">
        <v>-167512</v>
      </c>
      <c r="L11" s="4" t="n">
        <v>-317808</v>
      </c>
      <c r="M11" s="4" t="n">
        <v>-218804</v>
      </c>
      <c r="N11" s="4" t="n">
        <v>-195081</v>
      </c>
      <c r="O11" s="4" t="n">
        <v>-197227</v>
      </c>
      <c r="P11" s="4" t="n">
        <v>-106404</v>
      </c>
      <c r="Q11" s="4" t="n">
        <v>-109557</v>
      </c>
      <c r="R11" s="4" t="n">
        <v>-222239</v>
      </c>
      <c r="S11" s="4" t="n">
        <v>-299139</v>
      </c>
    </row>
    <row r="12">
      <c r="A12" s="3" t="inlineStr">
        <is>
          <t>Distributor Receivables</t>
        </is>
      </c>
      <c r="B12" s="4" t="n">
        <v>176</v>
      </c>
      <c r="C12" s="4" t="n">
        <v>188</v>
      </c>
      <c r="D12" s="4" t="n">
        <v>341</v>
      </c>
      <c r="E12" s="4" t="n">
        <v>92</v>
      </c>
      <c r="F12" s="4" t="n">
        <v>160</v>
      </c>
      <c r="G12" s="4" t="n">
        <v>228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inlineStr">
        <is>
          <t>Inventories</t>
        </is>
      </c>
      <c r="B13" s="4" t="n">
        <v>1037</v>
      </c>
      <c r="C13" s="4" t="n">
        <v>14181</v>
      </c>
      <c r="D13" s="4" t="n">
        <v>39490</v>
      </c>
      <c r="E13" s="4" t="n">
        <v>-39546</v>
      </c>
      <c r="F13" s="4" t="n">
        <v>-52541</v>
      </c>
      <c r="G13" s="4" t="n">
        <v>-149414</v>
      </c>
      <c r="H13" s="4" t="n">
        <v>-208673</v>
      </c>
      <c r="I13" s="4" t="n">
        <v>-299076</v>
      </c>
      <c r="J13" s="4" t="n">
        <v>-297140</v>
      </c>
      <c r="K13" s="4" t="n">
        <v>35495</v>
      </c>
      <c r="L13" s="4" t="n">
        <v>93077</v>
      </c>
      <c r="M13" s="4" t="n">
        <v>69796</v>
      </c>
      <c r="N13" s="4" t="n">
        <v>22708</v>
      </c>
      <c r="O13" s="4" t="n">
        <v>123484</v>
      </c>
      <c r="P13" s="4" t="n">
        <v>197107</v>
      </c>
      <c r="Q13" s="4" t="n">
        <v>19594</v>
      </c>
      <c r="R13" s="4" t="n">
        <v>104633</v>
      </c>
      <c r="S13" s="4" t="n">
        <v>58387</v>
      </c>
    </row>
    <row r="14">
      <c r="A14" s="3" t="inlineStr">
        <is>
          <t>Prepaid Expenses</t>
        </is>
      </c>
      <c r="B14" s="4" t="n">
        <v>-18081</v>
      </c>
      <c r="C14" s="4" t="n">
        <v>-23394</v>
      </c>
      <c r="D14" s="4" t="n">
        <v>-20446</v>
      </c>
      <c r="E14" s="4" t="n">
        <v>-18487</v>
      </c>
      <c r="F14" s="4" t="n">
        <v>-28232</v>
      </c>
      <c r="G14" s="4" t="n">
        <v>-41162</v>
      </c>
      <c r="H14" s="4" t="n">
        <v>-29621</v>
      </c>
      <c r="I14" s="4" t="n">
        <v>-55663</v>
      </c>
      <c r="J14" s="4" t="n">
        <v>-39204</v>
      </c>
      <c r="K14" s="4" t="n">
        <v>1273</v>
      </c>
      <c r="L14" s="4" t="n">
        <v>-36779</v>
      </c>
      <c r="M14" s="4" t="n">
        <v>-67368</v>
      </c>
      <c r="N14" s="4" t="n">
        <v>-9507</v>
      </c>
      <c r="O14" s="4" t="n">
        <v>-13993</v>
      </c>
      <c r="P14" s="4" t="n">
        <v>-5861</v>
      </c>
      <c r="Q14" s="4" t="n">
        <v>-3995</v>
      </c>
      <c r="R14" s="4" t="n">
        <v>-63675</v>
      </c>
      <c r="S14" s="4" t="n">
        <v>-66269</v>
      </c>
    </row>
    <row r="15">
      <c r="A15" s="3" t="inlineStr">
        <is>
          <t>Change in Prepaid Income Taxes</t>
        </is>
      </c>
      <c r="B15" s="4" t="n">
        <v>8078</v>
      </c>
      <c r="C15" s="4" t="n">
        <v>7245</v>
      </c>
      <c r="D15" s="4" t="n">
        <v>11460</v>
      </c>
      <c r="E15" s="4" t="n">
        <v>-7076</v>
      </c>
      <c r="F15" s="4" t="n">
        <v>2452</v>
      </c>
      <c r="G15" s="4" t="n">
        <v>-7365</v>
      </c>
      <c r="H15" s="4" t="n">
        <v>-5885</v>
      </c>
      <c r="I15" s="4" t="n">
        <v>-1220</v>
      </c>
      <c r="J15" s="4" t="n">
        <v>7867</v>
      </c>
      <c r="K15" s="4" t="n">
        <v>3986</v>
      </c>
      <c r="L15" s="4" t="n">
        <v>-3345</v>
      </c>
      <c r="M15" s="4" t="n">
        <v>8032</v>
      </c>
      <c r="N15" s="4" t="n">
        <v>11840</v>
      </c>
      <c r="O15" s="4" t="n">
        <v>-12297</v>
      </c>
      <c r="P15" s="4" t="n">
        <v>-39668</v>
      </c>
      <c r="Q15" s="4" t="n">
        <v>11912</v>
      </c>
      <c r="R15" s="4" t="n">
        <v>14512</v>
      </c>
      <c r="S15" s="4" t="n">
        <v>14043</v>
      </c>
    </row>
    <row r="16">
      <c r="A16" s="3" t="inlineStr">
        <is>
          <t>Accounts Payable</t>
        </is>
      </c>
      <c r="B16" s="4" t="n">
        <v>19328</v>
      </c>
      <c r="C16" s="4" t="n">
        <v>-6772</v>
      </c>
      <c r="D16" s="4" t="n">
        <v>-9724</v>
      </c>
      <c r="E16" s="4" t="n">
        <v>36859</v>
      </c>
      <c r="F16" s="4" t="n">
        <v>63619</v>
      </c>
      <c r="G16" s="4" t="n">
        <v>106570</v>
      </c>
      <c r="H16" s="4" t="n">
        <v>18329</v>
      </c>
      <c r="I16" s="4" t="n">
        <v>85499</v>
      </c>
      <c r="J16" s="4" t="n">
        <v>52663</v>
      </c>
      <c r="K16" s="4" t="n">
        <v>51124</v>
      </c>
      <c r="L16" s="4" t="n">
        <v>132173</v>
      </c>
      <c r="M16" s="4" t="n">
        <v>109823</v>
      </c>
      <c r="N16" s="4" t="n">
        <v>-9062</v>
      </c>
      <c r="O16" s="4" t="n">
        <v>-33505</v>
      </c>
      <c r="P16" s="4" t="n">
        <v>-14346</v>
      </c>
      <c r="Q16" s="4" t="n">
        <v>11768</v>
      </c>
      <c r="R16" s="4" t="n">
        <v>4333</v>
      </c>
      <c r="S16" s="4" t="n">
        <v>148575</v>
      </c>
    </row>
    <row r="17">
      <c r="A17" s="3" t="inlineStr">
        <is>
          <t>Accrued Expenses</t>
        </is>
      </c>
      <c r="B17" s="4" t="n">
        <v>34500</v>
      </c>
      <c r="C17" s="4" t="n">
        <v>31691</v>
      </c>
      <c r="D17" s="4" t="n">
        <v>53501</v>
      </c>
      <c r="E17" s="4" t="n">
        <v>32441</v>
      </c>
      <c r="F17" s="4" t="n">
        <v>29883</v>
      </c>
      <c r="G17" s="4" t="n">
        <v>34085</v>
      </c>
      <c r="H17" s="4" t="n">
        <v>20603</v>
      </c>
      <c r="I17" s="4" t="n">
        <v>-789</v>
      </c>
      <c r="J17" s="4" t="n">
        <v>-2572</v>
      </c>
      <c r="K17" s="4" t="n">
        <v>14207</v>
      </c>
      <c r="L17" s="4" t="n">
        <v>20491</v>
      </c>
      <c r="M17" s="4" t="n">
        <v>24697</v>
      </c>
      <c r="N17" s="4" t="n">
        <v>28259</v>
      </c>
      <c r="O17" s="4" t="n">
        <v>2715</v>
      </c>
      <c r="P17" s="4" t="n">
        <v>46749</v>
      </c>
      <c r="Q17" s="4" t="n">
        <v>33661</v>
      </c>
      <c r="R17" s="4" t="n">
        <v>28510</v>
      </c>
      <c r="S17" s="4" t="n">
        <v>98535</v>
      </c>
    </row>
    <row r="18">
      <c r="A18" s="3" t="inlineStr">
        <is>
          <t>Accrued Promotional Allowance</t>
        </is>
      </c>
      <c r="B18" s="4" t="n">
        <v>9439</v>
      </c>
      <c r="C18" s="4" t="n">
        <v>3079</v>
      </c>
      <c r="D18" s="4" t="n">
        <v>31915</v>
      </c>
      <c r="E18" s="4" t="n">
        <v>13965</v>
      </c>
      <c r="F18" s="4" t="n">
        <v>42665</v>
      </c>
      <c r="G18" s="4" t="n">
        <v>51022</v>
      </c>
      <c r="H18" s="4" t="n">
        <v>61171</v>
      </c>
      <c r="I18" s="4" t="n">
        <v>77746</v>
      </c>
      <c r="J18" s="4" t="n">
        <v>89236</v>
      </c>
      <c r="K18" s="4" t="n">
        <v>48265</v>
      </c>
      <c r="L18" s="4" t="n">
        <v>23643</v>
      </c>
      <c r="M18" s="4" t="n">
        <v>42425</v>
      </c>
      <c r="N18" s="4" t="n">
        <v>52814</v>
      </c>
      <c r="O18" s="4" t="n">
        <v>54242</v>
      </c>
      <c r="P18" s="4" t="n">
        <v>31492</v>
      </c>
      <c r="Q18" s="4" t="n">
        <v>30785</v>
      </c>
      <c r="R18" s="4" t="n">
        <v>71516</v>
      </c>
      <c r="S18" s="4" t="n">
        <v>105806</v>
      </c>
    </row>
    <row r="19">
      <c r="A19" s="3" t="inlineStr">
        <is>
          <t>Accrued Distributor Terminations</t>
        </is>
      </c>
      <c r="B19" s="4" t="n">
        <v>-282</v>
      </c>
      <c r="C19" s="4" t="n">
        <v>-140</v>
      </c>
      <c r="D19" s="4" t="n">
        <v>-150</v>
      </c>
      <c r="E19" s="4" t="n">
        <v>0</v>
      </c>
      <c r="F19" s="4" t="n">
        <v>0</v>
      </c>
      <c r="G19" s="4" t="n">
        <v>5302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inlineStr">
        <is>
          <t>Change in Accrued Compensation</t>
        </is>
      </c>
      <c r="B20" s="4" t="n">
        <v>-24807</v>
      </c>
      <c r="C20" s="4" t="n">
        <v>-10932</v>
      </c>
      <c r="D20" s="4" t="n">
        <v>-1214</v>
      </c>
      <c r="E20" s="4" t="n">
        <v>-24443</v>
      </c>
      <c r="F20" s="4" t="n">
        <v>-10782</v>
      </c>
      <c r="G20" s="4" t="n">
        <v>-2888</v>
      </c>
      <c r="H20" s="4" t="n">
        <v>-32122</v>
      </c>
      <c r="I20" s="4" t="n">
        <v>-15311</v>
      </c>
      <c r="J20" s="4" t="n">
        <v>-6636</v>
      </c>
      <c r="K20" s="4" t="n">
        <v>-30261</v>
      </c>
      <c r="L20" s="4" t="n">
        <v>-17616</v>
      </c>
      <c r="M20" s="4" t="n">
        <v>3523</v>
      </c>
      <c r="N20" s="4" t="n">
        <v>-35653</v>
      </c>
      <c r="O20" s="4" t="n">
        <v>-26954</v>
      </c>
      <c r="P20" s="4" t="n">
        <v>-6043</v>
      </c>
      <c r="Q20" s="4" t="n">
        <v>-37338</v>
      </c>
      <c r="R20" s="4" t="n">
        <v>-22146</v>
      </c>
      <c r="S20" s="4" t="n">
        <v>6434</v>
      </c>
    </row>
    <row r="21">
      <c r="A21" s="3" t="inlineStr">
        <is>
          <t>Other Current Liabilities</t>
        </is>
      </c>
      <c r="B21" s="4" t="n">
        <v>-1552</v>
      </c>
      <c r="C21" s="4" t="n">
        <v>8278</v>
      </c>
      <c r="D21" s="4" t="n">
        <v>17969</v>
      </c>
      <c r="E21" s="4" t="n">
        <v>-13287</v>
      </c>
      <c r="F21" s="4" t="n">
        <v>7696</v>
      </c>
      <c r="G21" s="4" t="n">
        <v>-114</v>
      </c>
      <c r="H21" s="4" t="n">
        <v>-9818</v>
      </c>
      <c r="I21" s="4" t="n">
        <v>-14666</v>
      </c>
      <c r="J21" s="4" t="n">
        <v>-12823</v>
      </c>
      <c r="K21" s="4" t="n">
        <v>41617</v>
      </c>
      <c r="L21" s="4" t="n">
        <v>-1219</v>
      </c>
      <c r="M21" s="4" t="n">
        <v>4217</v>
      </c>
      <c r="N21" s="4" t="n">
        <v>60512</v>
      </c>
      <c r="O21" s="4" t="n">
        <v>11348</v>
      </c>
      <c r="P21" s="4" t="n">
        <v>4213</v>
      </c>
      <c r="Q21" s="4" t="n">
        <v>61674</v>
      </c>
      <c r="R21" s="4" t="n">
        <v>21056</v>
      </c>
      <c r="S21" s="4" t="n">
        <v>33361</v>
      </c>
    </row>
    <row r="22">
      <c r="A22" s="3" t="inlineStr">
        <is>
          <t>Net Change in Other Working Capital</t>
        </is>
      </c>
      <c r="B22" s="4" t="n">
        <v>-192</v>
      </c>
      <c r="C22" s="4" t="n">
        <v>83</v>
      </c>
      <c r="D22" s="4" t="n">
        <v>-562</v>
      </c>
      <c r="E22" s="4" t="n">
        <v>504</v>
      </c>
      <c r="F22" s="4" t="n">
        <v>621</v>
      </c>
      <c r="G22" s="4" t="n">
        <v>574</v>
      </c>
      <c r="H22" s="4" t="n">
        <v>-596</v>
      </c>
      <c r="I22" s="4" t="n">
        <v>-3211</v>
      </c>
      <c r="J22" s="4" t="n">
        <v>-3492</v>
      </c>
      <c r="K22" s="4" t="n">
        <v>-751</v>
      </c>
      <c r="L22" s="4" t="n">
        <v>-257</v>
      </c>
      <c r="M22" s="4" t="n">
        <v>-3636</v>
      </c>
      <c r="N22" s="4" t="n">
        <v>335</v>
      </c>
      <c r="O22" s="4" t="n">
        <v>-1463</v>
      </c>
      <c r="P22" s="4" t="n">
        <v>-2403</v>
      </c>
      <c r="Q22" s="4" t="n">
        <v>-1885</v>
      </c>
      <c r="R22" s="4" t="n">
        <v>-1582</v>
      </c>
      <c r="S22" s="4" t="n">
        <v>-2077</v>
      </c>
    </row>
    <row r="23">
      <c r="A23" s="3" t="inlineStr">
        <is>
          <t>Deferred Revenue</t>
        </is>
      </c>
      <c r="B23" s="4" t="n">
        <v>-4273</v>
      </c>
      <c r="C23" s="4" t="n">
        <v>-10383</v>
      </c>
      <c r="D23" s="4" t="n">
        <v>-15236</v>
      </c>
      <c r="E23" s="4" t="n">
        <v>-5250</v>
      </c>
      <c r="F23" s="4" t="n">
        <v>-10922</v>
      </c>
      <c r="G23" s="4" t="n">
        <v>-17784</v>
      </c>
      <c r="H23" s="4" t="n">
        <v>-5915</v>
      </c>
      <c r="I23" s="4" t="n">
        <v>-9101</v>
      </c>
      <c r="J23" s="4" t="n">
        <v>-16060</v>
      </c>
      <c r="K23" s="4" t="n">
        <v>-5046</v>
      </c>
      <c r="L23" s="4" t="n">
        <v>-12361</v>
      </c>
      <c r="M23" s="4" t="n">
        <v>-19320</v>
      </c>
      <c r="N23" s="4" t="n">
        <v>-3036</v>
      </c>
      <c r="O23" s="4" t="n">
        <v>-7731</v>
      </c>
      <c r="P23" s="4" t="n">
        <v>-12652</v>
      </c>
      <c r="Q23" s="4" t="n">
        <v>-4339</v>
      </c>
      <c r="R23" s="4" t="n">
        <v>-8598</v>
      </c>
      <c r="S23" s="4" t="n">
        <v>-15907</v>
      </c>
    </row>
    <row r="24">
      <c r="A24" s="3" t="inlineStr">
        <is>
          <t>Cash Flow from Operations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  <c r="F24" s="6">
        <f>SUM(F2:F23)</f>
        <v/>
      </c>
      <c r="G24" s="6">
        <f>SUM(G2:G23)</f>
        <v/>
      </c>
      <c r="H24" s="6">
        <f>SUM(H2:H23)</f>
        <v/>
      </c>
      <c r="I24" s="6">
        <f>SUM(I2:I23)</f>
        <v/>
      </c>
      <c r="J24" s="6">
        <f>SUM(J2:J23)</f>
        <v/>
      </c>
      <c r="K24" s="6">
        <f>SUM(K2:K23)</f>
        <v/>
      </c>
      <c r="L24" s="6">
        <f>SUM(L2:L23)</f>
        <v/>
      </c>
      <c r="M24" s="6">
        <f>SUM(M2:M23)</f>
        <v/>
      </c>
      <c r="N24" s="6">
        <f>SUM(N2:N23)</f>
        <v/>
      </c>
      <c r="O24" s="6">
        <f>SUM(O2:O23)</f>
        <v/>
      </c>
      <c r="P24" s="6">
        <f>SUM(P2:P23)</f>
        <v/>
      </c>
      <c r="Q24" s="6">
        <f>SUM(Q2:Q23)</f>
        <v/>
      </c>
      <c r="R24" s="6">
        <f>SUM(R2:R23)</f>
        <v/>
      </c>
      <c r="S24" s="6">
        <f>SUM(S2:S23)</f>
        <v/>
      </c>
    </row>
    <row r="25">
      <c r="A25" s="3" t="inlineStr">
        <is>
          <t>Net Change in Long-Term Investments</t>
        </is>
      </c>
      <c r="B25" s="4" t="n">
        <v>298837</v>
      </c>
      <c r="C25" s="4" t="n">
        <v>293643</v>
      </c>
      <c r="D25" s="4" t="n">
        <v>-53418</v>
      </c>
      <c r="E25" s="4" t="n">
        <v>-114819</v>
      </c>
      <c r="F25" s="4" t="n">
        <v>-134502</v>
      </c>
      <c r="G25" s="4" t="n">
        <v>-326795</v>
      </c>
      <c r="H25" s="4" t="n">
        <v>62883</v>
      </c>
      <c r="I25" s="4" t="n">
        <v>445440</v>
      </c>
      <c r="J25" s="4" t="n">
        <v>430033</v>
      </c>
      <c r="K25" s="4" t="n">
        <v>3750</v>
      </c>
      <c r="L25" s="4" t="n">
        <v>-53323</v>
      </c>
      <c r="M25" s="4" t="n">
        <v>140805</v>
      </c>
      <c r="N25" s="4" t="n">
        <v>39897</v>
      </c>
      <c r="O25" s="4" t="n">
        <v>1035794</v>
      </c>
      <c r="P25" s="4" t="n">
        <v>1035794</v>
      </c>
      <c r="Q25" s="4" t="n">
        <v>0</v>
      </c>
      <c r="R25" s="4" t="n">
        <v>-283097</v>
      </c>
      <c r="S25" s="4" t="n">
        <v>-597703</v>
      </c>
    </row>
    <row r="26">
      <c r="A26" s="3" t="inlineStr">
        <is>
          <t>Acquisition of CANarchy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-330356</v>
      </c>
      <c r="I26" s="4" t="n">
        <v>-329472</v>
      </c>
      <c r="J26" s="4" t="n">
        <v>-329472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</row>
    <row r="27">
      <c r="A27" s="3" t="inlineStr">
        <is>
          <t>Acquisition of Monster Brewing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</row>
    <row r="28">
      <c r="A28" s="3" t="inlineStr">
        <is>
          <t>Acquisition of Bang Energy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-363385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</row>
    <row r="29">
      <c r="A29" s="3" t="inlineStr">
        <is>
          <t>Purchase of PP&amp;E</t>
        </is>
      </c>
      <c r="B29" s="4" t="n">
        <v>-11119</v>
      </c>
      <c r="C29" s="4" t="n">
        <v>-29116</v>
      </c>
      <c r="D29" s="4" t="n">
        <v>-42062</v>
      </c>
      <c r="E29" s="4" t="n">
        <v>-8400</v>
      </c>
      <c r="F29" s="4" t="n">
        <v>-15522</v>
      </c>
      <c r="G29" s="4" t="n">
        <v>-28131</v>
      </c>
      <c r="H29" s="4" t="n">
        <v>-21511</v>
      </c>
      <c r="I29" s="4" t="n">
        <v>-99446</v>
      </c>
      <c r="J29" s="4" t="n">
        <v>-136158</v>
      </c>
      <c r="K29" s="4" t="n">
        <v>-40100</v>
      </c>
      <c r="L29" s="4" t="n">
        <v>-82425</v>
      </c>
      <c r="M29" s="4" t="n">
        <v>-110224</v>
      </c>
      <c r="N29" s="4" t="n">
        <v>-66044</v>
      </c>
      <c r="O29" s="4" t="n">
        <v>-125812</v>
      </c>
      <c r="P29" s="4" t="n">
        <v>-172795</v>
      </c>
      <c r="Q29" s="4" t="n">
        <v>-29056</v>
      </c>
      <c r="R29" s="4" t="n">
        <v>-60460</v>
      </c>
      <c r="S29" s="4" t="n">
        <v>-104101</v>
      </c>
    </row>
    <row r="30">
      <c r="A30" s="3" t="inlineStr">
        <is>
          <t>Proceeds from Sale of Assets</t>
        </is>
      </c>
      <c r="B30" s="4" t="n">
        <v>217</v>
      </c>
      <c r="C30" s="4" t="n">
        <v>590</v>
      </c>
      <c r="D30" s="4" t="n">
        <v>880</v>
      </c>
      <c r="E30" s="4" t="n">
        <v>231</v>
      </c>
      <c r="F30" s="4" t="n">
        <v>1024</v>
      </c>
      <c r="G30" s="4" t="n">
        <v>1246</v>
      </c>
      <c r="H30" s="4" t="n">
        <v>14</v>
      </c>
      <c r="I30" s="4" t="n">
        <v>372</v>
      </c>
      <c r="J30" s="4" t="n">
        <v>603</v>
      </c>
      <c r="K30" s="4" t="n">
        <v>564</v>
      </c>
      <c r="L30" s="4" t="n">
        <v>1035</v>
      </c>
      <c r="M30" s="4" t="n">
        <v>1753</v>
      </c>
      <c r="N30" s="4" t="n">
        <v>422</v>
      </c>
      <c r="O30" s="4" t="n">
        <v>1052</v>
      </c>
      <c r="P30" s="4" t="n">
        <v>2095</v>
      </c>
      <c r="Q30" s="4" t="n">
        <v>1147</v>
      </c>
      <c r="R30" s="4" t="n">
        <v>2334</v>
      </c>
      <c r="S30" s="4" t="n">
        <v>2744</v>
      </c>
    </row>
    <row r="31">
      <c r="A31" s="3" t="inlineStr">
        <is>
          <t>Additions to Intangibles</t>
        </is>
      </c>
      <c r="B31" s="4" t="n">
        <v>-6811</v>
      </c>
      <c r="C31" s="4" t="n">
        <v>-13085</v>
      </c>
      <c r="D31" s="4" t="n">
        <v>-19686</v>
      </c>
      <c r="E31" s="4" t="n">
        <v>-7239</v>
      </c>
      <c r="F31" s="4" t="n">
        <v>-9926</v>
      </c>
      <c r="G31" s="4" t="n">
        <v>-5211</v>
      </c>
      <c r="H31" s="4" t="n">
        <v>-8419</v>
      </c>
      <c r="I31" s="4" t="n">
        <v>-9894</v>
      </c>
      <c r="J31" s="4" t="n">
        <v>-3578</v>
      </c>
      <c r="K31" s="4" t="n">
        <v>-3952</v>
      </c>
      <c r="L31" s="4" t="n">
        <v>-5926</v>
      </c>
      <c r="M31" s="4" t="n">
        <v>-9110</v>
      </c>
      <c r="N31" s="4" t="n">
        <v>-8612</v>
      </c>
      <c r="O31" s="4" t="n">
        <v>-6364</v>
      </c>
      <c r="P31" s="4" t="n">
        <v>-21473</v>
      </c>
      <c r="Q31" s="4" t="n">
        <v>-5343</v>
      </c>
      <c r="R31" s="4" t="n">
        <v>-15399</v>
      </c>
      <c r="S31" s="4" t="n">
        <v>-19681</v>
      </c>
    </row>
    <row r="32">
      <c r="A32" s="3" t="inlineStr">
        <is>
          <t>Other Investing Activities</t>
        </is>
      </c>
      <c r="B32" s="4" t="n">
        <v>-1148</v>
      </c>
      <c r="C32" s="4" t="n">
        <v>-1338</v>
      </c>
      <c r="D32" s="4" t="n">
        <v>-26228</v>
      </c>
      <c r="E32" s="4" t="n">
        <v>-18856</v>
      </c>
      <c r="F32" s="4" t="n">
        <v>-21236</v>
      </c>
      <c r="G32" s="4" t="n">
        <v>-22809</v>
      </c>
      <c r="H32" s="4" t="n">
        <v>-6241</v>
      </c>
      <c r="I32" s="4" t="n">
        <v>-12738</v>
      </c>
      <c r="J32" s="4" t="n">
        <v>-19171</v>
      </c>
      <c r="K32" s="4" t="n">
        <v>-13028</v>
      </c>
      <c r="L32" s="4" t="n">
        <v>-17570</v>
      </c>
      <c r="M32" s="4" t="n">
        <v>-19862</v>
      </c>
      <c r="N32" s="4" t="n">
        <v>-985</v>
      </c>
      <c r="O32" s="4" t="n">
        <v>-1366</v>
      </c>
      <c r="P32" s="4" t="n">
        <v>-603</v>
      </c>
      <c r="Q32" s="4" t="n">
        <v>2397</v>
      </c>
      <c r="R32" s="4" t="n">
        <v>-1107</v>
      </c>
      <c r="S32" s="4" t="n">
        <v>-507</v>
      </c>
    </row>
    <row r="33">
      <c r="A33" s="3" t="inlineStr">
        <is>
          <t>Cash Flow from Investing</t>
        </is>
      </c>
      <c r="B33" s="6">
        <f>SUM(B25:B32)</f>
        <v/>
      </c>
      <c r="C33" s="6">
        <f>SUM(C25:C32)</f>
        <v/>
      </c>
      <c r="D33" s="6">
        <f>SUM(D25:D32)</f>
        <v/>
      </c>
      <c r="E33" s="6">
        <f>SUM(E25:E32)</f>
        <v/>
      </c>
      <c r="F33" s="6">
        <f>SUM(F25:F32)</f>
        <v/>
      </c>
      <c r="G33" s="6">
        <f>SUM(G25:G32)</f>
        <v/>
      </c>
      <c r="H33" s="6">
        <f>SUM(H25:H32)</f>
        <v/>
      </c>
      <c r="I33" s="6">
        <f>SUM(I25:I32)</f>
        <v/>
      </c>
      <c r="J33" s="6">
        <f>SUM(J25:J32)</f>
        <v/>
      </c>
      <c r="K33" s="6">
        <f>SUM(K25:K32)</f>
        <v/>
      </c>
      <c r="L33" s="6">
        <f>SUM(L25:L32)</f>
        <v/>
      </c>
      <c r="M33" s="6">
        <f>SUM(M25:M32)</f>
        <v/>
      </c>
      <c r="N33" s="6">
        <f>SUM(N25:N32)</f>
        <v/>
      </c>
      <c r="O33" s="6">
        <f>SUM(O25:O32)</f>
        <v/>
      </c>
      <c r="P33" s="6">
        <f>SUM(P25:P32)</f>
        <v/>
      </c>
      <c r="Q33" s="6">
        <f>SUM(Q25:Q32)</f>
        <v/>
      </c>
      <c r="R33" s="6">
        <f>SUM(R25:R32)</f>
        <v/>
      </c>
      <c r="S33" s="6">
        <f>SUM(S25:S32)</f>
        <v/>
      </c>
    </row>
    <row r="34">
      <c r="A34" s="3" t="inlineStr">
        <is>
          <t>Repayments of Short-Term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-5269</v>
      </c>
      <c r="P34" s="4" t="n">
        <v>-6717</v>
      </c>
      <c r="Q34" s="4" t="n">
        <v>0</v>
      </c>
      <c r="R34" s="4" t="n">
        <v>0</v>
      </c>
      <c r="S34" s="4" t="n">
        <v>0</v>
      </c>
    </row>
    <row r="35">
      <c r="A35" s="3" t="inlineStr">
        <is>
          <t>Net Change in Other Short-Term Debt</t>
        </is>
      </c>
      <c r="B35" s="4" t="n">
        <v>-733</v>
      </c>
      <c r="C35" s="4" t="n">
        <v>-1680</v>
      </c>
      <c r="D35" s="4" t="n">
        <v>-2500</v>
      </c>
      <c r="E35" s="4" t="n">
        <v>957</v>
      </c>
      <c r="F35" s="4" t="n">
        <v>3624</v>
      </c>
      <c r="G35" s="4" t="n">
        <v>-1814</v>
      </c>
      <c r="H35" s="4" t="n">
        <v>3454</v>
      </c>
      <c r="I35" s="4" t="n">
        <v>4924</v>
      </c>
      <c r="J35" s="4" t="n">
        <v>-719</v>
      </c>
      <c r="K35" s="4" t="n">
        <v>-7271</v>
      </c>
      <c r="L35" s="4" t="n">
        <v>-6661</v>
      </c>
      <c r="M35" s="4" t="n">
        <v>-11273</v>
      </c>
      <c r="N35" s="4" t="n">
        <v>-2896</v>
      </c>
      <c r="O35" s="4" t="n">
        <v>0</v>
      </c>
      <c r="P35" s="4" t="n">
        <v>0</v>
      </c>
      <c r="Q35" s="4" t="n">
        <v>-2045</v>
      </c>
      <c r="R35" s="4" t="n">
        <v>-5023</v>
      </c>
      <c r="S35" s="4" t="n">
        <v>-8043</v>
      </c>
    </row>
    <row r="36">
      <c r="A36" s="3" t="inlineStr">
        <is>
          <t>Proceeds from Issuance of Long-Term Debt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750000</v>
      </c>
      <c r="P36" s="4" t="n">
        <v>750000</v>
      </c>
      <c r="Q36" s="4" t="n">
        <v>0</v>
      </c>
      <c r="R36" s="4" t="n">
        <v>0</v>
      </c>
      <c r="S36" s="4" t="n">
        <v>0</v>
      </c>
    </row>
    <row r="37">
      <c r="A37" s="3" t="inlineStr">
        <is>
          <t>Debt Issuance Fees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-2776</v>
      </c>
      <c r="P37" s="4" t="n">
        <v>-2904</v>
      </c>
      <c r="Q37" s="4" t="n">
        <v>0</v>
      </c>
      <c r="R37" s="4" t="n">
        <v>0</v>
      </c>
      <c r="S37" s="4" t="n">
        <v>0</v>
      </c>
    </row>
    <row r="38">
      <c r="A38" s="3" t="inlineStr">
        <is>
          <t>Repayments of Long-Term Debt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-175000</v>
      </c>
      <c r="R38" s="4" t="n">
        <v>-375000</v>
      </c>
      <c r="S38" s="4" t="n">
        <v>-375000</v>
      </c>
    </row>
    <row r="39">
      <c r="A39" s="3" t="inlineStr">
        <is>
          <t>Proceeds from Issuance of Common Stock</t>
        </is>
      </c>
      <c r="B39" s="4" t="n">
        <v>13975</v>
      </c>
      <c r="C39" s="4" t="n">
        <v>43842</v>
      </c>
      <c r="D39" s="4" t="n">
        <v>65540</v>
      </c>
      <c r="E39" s="4" t="n">
        <v>6761</v>
      </c>
      <c r="F39" s="4" t="n">
        <v>24486</v>
      </c>
      <c r="G39" s="4" t="n">
        <v>37160</v>
      </c>
      <c r="H39" s="4" t="n">
        <v>4510</v>
      </c>
      <c r="I39" s="4" t="n">
        <v>22622</v>
      </c>
      <c r="J39" s="4" t="n">
        <v>34759</v>
      </c>
      <c r="K39" s="4" t="n">
        <v>36348</v>
      </c>
      <c r="L39" s="4" t="n">
        <v>59666</v>
      </c>
      <c r="M39" s="4" t="n">
        <v>65560</v>
      </c>
      <c r="N39" s="4" t="n">
        <v>38392</v>
      </c>
      <c r="O39" s="4" t="n">
        <v>52093</v>
      </c>
      <c r="P39" s="4" t="n">
        <v>62101</v>
      </c>
      <c r="Q39" s="4" t="n">
        <v>48093</v>
      </c>
      <c r="R39" s="4" t="n">
        <v>87684</v>
      </c>
      <c r="S39" s="4" t="n">
        <v>114363</v>
      </c>
    </row>
    <row r="40">
      <c r="A40" s="3" t="inlineStr">
        <is>
          <t>Share Repurchases</t>
        </is>
      </c>
      <c r="B40" s="4" t="n">
        <v>-559210</v>
      </c>
      <c r="C40" s="4" t="n">
        <v>-595770</v>
      </c>
      <c r="D40" s="4" t="n">
        <v>-595918</v>
      </c>
      <c r="E40" s="4" t="n">
        <v>-13419</v>
      </c>
      <c r="F40" s="4" t="n">
        <v>-13818</v>
      </c>
      <c r="G40" s="4" t="n">
        <v>-13818</v>
      </c>
      <c r="H40" s="4" t="n">
        <v>-12187</v>
      </c>
      <c r="I40" s="4" t="n">
        <v>-296499</v>
      </c>
      <c r="J40" s="4" t="n">
        <v>-493315</v>
      </c>
      <c r="K40" s="4" t="n">
        <v>-35126</v>
      </c>
      <c r="L40" s="4" t="n">
        <v>-90825</v>
      </c>
      <c r="M40" s="4" t="n">
        <v>-488080</v>
      </c>
      <c r="N40" s="4" t="n">
        <v>-120245</v>
      </c>
      <c r="O40" s="4" t="n">
        <v>-3234523</v>
      </c>
      <c r="P40" s="4" t="n">
        <v>-3770184</v>
      </c>
      <c r="Q40" s="4" t="n">
        <v>-16633</v>
      </c>
      <c r="R40" s="4" t="n">
        <v>-16633</v>
      </c>
      <c r="S40" s="4" t="n">
        <v>-43921</v>
      </c>
    </row>
    <row r="41">
      <c r="A41" s="3" t="inlineStr">
        <is>
          <t>Cash Flow from Financing</t>
        </is>
      </c>
      <c r="B41" s="6">
        <f>SUM(B34:B40)</f>
        <v/>
      </c>
      <c r="C41" s="6">
        <f>SUM(C34:C40)</f>
        <v/>
      </c>
      <c r="D41" s="6">
        <f>SUM(D34:D40)</f>
        <v/>
      </c>
      <c r="E41" s="6">
        <f>SUM(E34:E40)</f>
        <v/>
      </c>
      <c r="F41" s="6">
        <f>SUM(F34:F40)</f>
        <v/>
      </c>
      <c r="G41" s="6">
        <f>SUM(G34:G40)</f>
        <v/>
      </c>
      <c r="H41" s="6">
        <f>SUM(H34:H40)</f>
        <v/>
      </c>
      <c r="I41" s="6">
        <f>SUM(I34:I40)</f>
        <v/>
      </c>
      <c r="J41" s="6">
        <f>SUM(J34:J40)</f>
        <v/>
      </c>
      <c r="K41" s="6">
        <f>SUM(K34:K40)</f>
        <v/>
      </c>
      <c r="L41" s="6">
        <f>SUM(L34:L40)</f>
        <v/>
      </c>
      <c r="M41" s="6">
        <f>SUM(M34:M40)</f>
        <v/>
      </c>
      <c r="N41" s="6">
        <f>SUM(N34:N40)</f>
        <v/>
      </c>
      <c r="O41" s="6">
        <f>SUM(O34:O40)</f>
        <v/>
      </c>
      <c r="P41" s="6">
        <f>SUM(P34:P40)</f>
        <v/>
      </c>
      <c r="Q41" s="6">
        <f>SUM(Q34:Q40)</f>
        <v/>
      </c>
      <c r="R41" s="6">
        <f>SUM(R34:R40)</f>
        <v/>
      </c>
      <c r="S41" s="6">
        <f>SUM(S34:S40)</f>
        <v/>
      </c>
    </row>
    <row r="42">
      <c r="A42" s="3" t="inlineStr">
        <is>
          <t>FX Effect on Cash</t>
        </is>
      </c>
      <c r="B42" s="4" t="n">
        <v>-21261</v>
      </c>
      <c r="C42" s="4" t="n">
        <v>-14175</v>
      </c>
      <c r="D42" s="4" t="n">
        <v>929</v>
      </c>
      <c r="E42" s="4" t="n">
        <v>-22223</v>
      </c>
      <c r="F42" s="4" t="n">
        <v>-16890</v>
      </c>
      <c r="G42" s="4" t="n">
        <v>-35552</v>
      </c>
      <c r="H42" s="4" t="n">
        <v>-3472</v>
      </c>
      <c r="I42" s="4" t="n">
        <v>-50395</v>
      </c>
      <c r="J42" s="4" t="n">
        <v>-95582</v>
      </c>
      <c r="K42" s="4" t="n">
        <v>-141</v>
      </c>
      <c r="L42" s="4" t="n">
        <v>-4500</v>
      </c>
      <c r="M42" s="4" t="n">
        <v>-22902</v>
      </c>
      <c r="N42" s="4" t="n">
        <v>-13222</v>
      </c>
      <c r="O42" s="4" t="n">
        <v>-44203</v>
      </c>
      <c r="P42" s="4" t="n">
        <v>-14482</v>
      </c>
      <c r="Q42" s="4" t="n">
        <v>38972</v>
      </c>
      <c r="R42" s="4" t="n">
        <v>86725</v>
      </c>
      <c r="S42" s="4" t="n">
        <v>72739</v>
      </c>
    </row>
    <row r="43">
      <c r="A43" s="3" t="inlineStr">
        <is>
          <t>Net Change in Cash</t>
        </is>
      </c>
      <c r="B43" s="6">
        <f>B24+B33+B41+B42</f>
        <v/>
      </c>
      <c r="C43" s="6">
        <f>C24+C33+C41+C42</f>
        <v/>
      </c>
      <c r="D43" s="6">
        <f>D24+D33+D41+D42</f>
        <v/>
      </c>
      <c r="E43" s="6">
        <f>E24+E33+E41+E42</f>
        <v/>
      </c>
      <c r="F43" s="6">
        <f>F24+F33+F41+F42</f>
        <v/>
      </c>
      <c r="G43" s="6">
        <f>G24+G33+G41+G42</f>
        <v/>
      </c>
      <c r="H43" s="6">
        <f>H24+H33+H41+H42</f>
        <v/>
      </c>
      <c r="I43" s="6">
        <f>I24+I33+I41+I42</f>
        <v/>
      </c>
      <c r="J43" s="6">
        <f>J24+J33+J41+J42</f>
        <v/>
      </c>
      <c r="K43" s="6">
        <f>K24+K33+K41+K42</f>
        <v/>
      </c>
      <c r="L43" s="6">
        <f>L24+L33+L41+L42</f>
        <v/>
      </c>
      <c r="M43" s="6">
        <f>M24+M33+M41+M42</f>
        <v/>
      </c>
      <c r="N43" s="6">
        <f>N24+N33+N41+N42</f>
        <v/>
      </c>
      <c r="O43" s="6">
        <f>O24+O33+O41+O42</f>
        <v/>
      </c>
      <c r="P43" s="6">
        <f>P24+P33+P41+P42</f>
        <v/>
      </c>
      <c r="Q43" s="6">
        <f>Q24+Q33+Q41+Q42</f>
        <v/>
      </c>
      <c r="R43" s="6">
        <f>R24+R33+R41+R42</f>
        <v/>
      </c>
      <c r="S43" s="6">
        <f>S24+S33+S41+S42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/>
      <c r="B1" s="2" t="inlineStr">
        <is>
          <t>Q1 FY2020</t>
        </is>
      </c>
      <c r="C1" s="2" t="inlineStr">
        <is>
          <t>Q2 FY2020</t>
        </is>
      </c>
      <c r="D1" s="2" t="inlineStr">
        <is>
          <t>Q3 FY2020</t>
        </is>
      </c>
      <c r="E1" s="2" t="inlineStr">
        <is>
          <t>Q4 FY2020</t>
        </is>
      </c>
      <c r="F1" s="2" t="inlineStr">
        <is>
          <t>Q1 FY2021</t>
        </is>
      </c>
      <c r="G1" s="2" t="inlineStr">
        <is>
          <t>Q2 FY2021</t>
        </is>
      </c>
      <c r="H1" s="2" t="inlineStr">
        <is>
          <t>Q3 FY2021</t>
        </is>
      </c>
      <c r="I1" s="2" t="inlineStr">
        <is>
          <t>Q4 FY2021</t>
        </is>
      </c>
      <c r="J1" s="2" t="inlineStr">
        <is>
          <t>Q1 FY2022</t>
        </is>
      </c>
      <c r="K1" s="2" t="inlineStr">
        <is>
          <t>Q2 FY2022</t>
        </is>
      </c>
      <c r="L1" s="2" t="inlineStr">
        <is>
          <t>Q3 FY2022</t>
        </is>
      </c>
      <c r="M1" s="2" t="inlineStr">
        <is>
          <t>Q4 FY2022</t>
        </is>
      </c>
      <c r="N1" s="2" t="inlineStr">
        <is>
          <t>Q1 FY2023</t>
        </is>
      </c>
      <c r="O1" s="2" t="inlineStr">
        <is>
          <t>Q2 FY2023</t>
        </is>
      </c>
      <c r="P1" s="2" t="inlineStr">
        <is>
          <t>Q3 FY2023</t>
        </is>
      </c>
      <c r="Q1" s="2" t="inlineStr">
        <is>
          <t>Q4 FY2023</t>
        </is>
      </c>
      <c r="R1" s="2" t="inlineStr">
        <is>
          <t>Q1 FY2024</t>
        </is>
      </c>
      <c r="S1" s="2" t="inlineStr">
        <is>
          <t>Q2 FY2024</t>
        </is>
      </c>
      <c r="T1" s="2" t="inlineStr">
        <is>
          <t>Q3 FY2024</t>
        </is>
      </c>
      <c r="U1" s="2" t="inlineStr">
        <is>
          <t>Q4 FY2024</t>
        </is>
      </c>
      <c r="V1" s="2" t="inlineStr">
        <is>
          <t>Q1 FY2025</t>
        </is>
      </c>
      <c r="W1" s="2" t="inlineStr">
        <is>
          <t>Q2 FY2025</t>
        </is>
      </c>
      <c r="X1" s="2" t="inlineStr">
        <is>
          <t>Q3 FY2025</t>
        </is>
      </c>
      <c r="Y1" s="2" t="inlineStr">
        <is>
          <t>Q4 FY2025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4">
        <f>'YTD P&amp;L'!O2-'YTD P&amp;L'!N2</f>
        <v/>
      </c>
      <c r="T2" s="4">
        <f>'YTD P&amp;L'!P2-'YTD P&amp;L'!O2</f>
        <v/>
      </c>
      <c r="U2" s="4">
        <f>'ANNL P&amp;L'!G2-'YTD P&amp;L'!P2</f>
        <v/>
      </c>
      <c r="V2" s="4">
        <f>'YTD P&amp;L'!Q2</f>
        <v/>
      </c>
      <c r="W2" s="4">
        <f>'YTD P&amp;L'!R2-'YTD P&amp;L'!Q2</f>
        <v/>
      </c>
      <c r="X2" s="4">
        <f>'YTD P&amp;L'!S2-'YTD P&amp;L'!R2</f>
        <v/>
      </c>
      <c r="Y2" s="4">
        <f>'ANNL P&amp;L'!H2-'YTD P&amp;L'!S2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4">
        <f>'YTD P&amp;L'!O3-'YTD P&amp;L'!N3</f>
        <v/>
      </c>
      <c r="T3" s="4">
        <f>'YTD P&amp;L'!P3-'YTD P&amp;L'!O3</f>
        <v/>
      </c>
      <c r="U3" s="4">
        <f>'ANNL P&amp;L'!G3-'YTD P&amp;L'!P3</f>
        <v/>
      </c>
      <c r="V3" s="4">
        <f>'YTD P&amp;L'!Q3</f>
        <v/>
      </c>
      <c r="W3" s="4">
        <f>'YTD P&amp;L'!R3-'YTD P&amp;L'!Q3</f>
        <v/>
      </c>
      <c r="X3" s="4">
        <f>'YTD P&amp;L'!S3-'YTD P&amp;L'!R3</f>
        <v/>
      </c>
      <c r="Y3" s="4">
        <f>'ANNL P&amp;L'!H3-'YTD P&amp;L'!S3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6">
        <f>'YTD P&amp;L'!O4-'YTD P&amp;L'!N4</f>
        <v/>
      </c>
      <c r="T4" s="6">
        <f>'YTD P&amp;L'!P4-'YTD P&amp;L'!O4</f>
        <v/>
      </c>
      <c r="U4" s="6">
        <f>'ANNL P&amp;L'!G4-'YTD P&amp;L'!P4</f>
        <v/>
      </c>
      <c r="V4" s="6">
        <f>'YTD P&amp;L'!Q4</f>
        <v/>
      </c>
      <c r="W4" s="6">
        <f>'YTD P&amp;L'!R4-'YTD P&amp;L'!Q4</f>
        <v/>
      </c>
      <c r="X4" s="6">
        <f>'YTD P&amp;L'!S4-'YTD P&amp;L'!R4</f>
        <v/>
      </c>
      <c r="Y4" s="6">
        <f>'ANNL P&amp;L'!H4-'YTD P&amp;L'!S4</f>
        <v/>
      </c>
    </row>
    <row r="5">
      <c r="A5" s="3" t="inlineStr">
        <is>
          <t>Operating Expenses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4">
        <f>'YTD P&amp;L'!O5-'YTD P&amp;L'!N5</f>
        <v/>
      </c>
      <c r="T5" s="4">
        <f>'YTD P&amp;L'!P5-'YTD P&amp;L'!O5</f>
        <v/>
      </c>
      <c r="U5" s="4">
        <f>'ANNL P&amp;L'!G5-'YTD P&amp;L'!P5</f>
        <v/>
      </c>
      <c r="V5" s="4">
        <f>'YTD P&amp;L'!Q5</f>
        <v/>
      </c>
      <c r="W5" s="4">
        <f>'YTD P&amp;L'!R5-'YTD P&amp;L'!Q5</f>
        <v/>
      </c>
      <c r="X5" s="4">
        <f>'YTD P&amp;L'!S5-'YTD P&amp;L'!R5</f>
        <v/>
      </c>
      <c r="Y5" s="4">
        <f>'ANNL P&amp;L'!H5-'YTD P&amp;L'!S5</f>
        <v/>
      </c>
    </row>
    <row r="6">
      <c r="A6" s="3" t="inlineStr">
        <is>
          <t>Income (Loss) from Operations</t>
        </is>
      </c>
      <c r="B6" s="6">
        <f>'YTD P&amp;L'!B6</f>
        <v/>
      </c>
      <c r="C6" s="6">
        <f>'YTD P&amp;L'!C6-'YTD P&amp;L'!B6</f>
        <v/>
      </c>
      <c r="D6" s="6">
        <f>'YTD P&amp;L'!D6-'YTD P&amp;L'!C6</f>
        <v/>
      </c>
      <c r="E6" s="6">
        <f>'ANNL P&amp;L'!C6-'YTD P&amp;L'!D6</f>
        <v/>
      </c>
      <c r="F6" s="6">
        <f>'YTD P&amp;L'!E6</f>
        <v/>
      </c>
      <c r="G6" s="6">
        <f>'YTD P&amp;L'!F6-'YTD P&amp;L'!E6</f>
        <v/>
      </c>
      <c r="H6" s="6">
        <f>'YTD P&amp;L'!G6-'YTD P&amp;L'!F6</f>
        <v/>
      </c>
      <c r="I6" s="6">
        <f>'ANNL P&amp;L'!D6-'YTD P&amp;L'!G6</f>
        <v/>
      </c>
      <c r="J6" s="6">
        <f>'YTD P&amp;L'!H6</f>
        <v/>
      </c>
      <c r="K6" s="6">
        <f>'YTD P&amp;L'!I6-'YTD P&amp;L'!H6</f>
        <v/>
      </c>
      <c r="L6" s="6">
        <f>'YTD P&amp;L'!J6-'YTD P&amp;L'!I6</f>
        <v/>
      </c>
      <c r="M6" s="6">
        <f>'ANNL P&amp;L'!E6-'YTD P&amp;L'!J6</f>
        <v/>
      </c>
      <c r="N6" s="6">
        <f>'YTD P&amp;L'!K6</f>
        <v/>
      </c>
      <c r="O6" s="6">
        <f>'YTD P&amp;L'!L6-'YTD P&amp;L'!K6</f>
        <v/>
      </c>
      <c r="P6" s="6">
        <f>'YTD P&amp;L'!M6-'YTD P&amp;L'!L6</f>
        <v/>
      </c>
      <c r="Q6" s="6">
        <f>'ANNL P&amp;L'!F6-'YTD P&amp;L'!M6</f>
        <v/>
      </c>
      <c r="R6" s="6">
        <f>'YTD P&amp;L'!N6</f>
        <v/>
      </c>
      <c r="S6" s="6">
        <f>'YTD P&amp;L'!O6-'YTD P&amp;L'!N6</f>
        <v/>
      </c>
      <c r="T6" s="6">
        <f>'YTD P&amp;L'!P6-'YTD P&amp;L'!O6</f>
        <v/>
      </c>
      <c r="U6" s="6">
        <f>'ANNL P&amp;L'!G6-'YTD P&amp;L'!P6</f>
        <v/>
      </c>
      <c r="V6" s="6">
        <f>'YTD P&amp;L'!Q6</f>
        <v/>
      </c>
      <c r="W6" s="6">
        <f>'YTD P&amp;L'!R6-'YTD P&amp;L'!Q6</f>
        <v/>
      </c>
      <c r="X6" s="6">
        <f>'YTD P&amp;L'!S6-'YTD P&amp;L'!R6</f>
        <v/>
      </c>
      <c r="Y6" s="6">
        <f>'ANNL P&amp;L'!H6-'YTD P&amp;L'!S6</f>
        <v/>
      </c>
    </row>
    <row r="7">
      <c r="A7" s="3" t="inlineStr">
        <is>
          <t>Other Income (Expense)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4">
        <f>'YTD P&amp;L'!O7-'YTD P&amp;L'!N7</f>
        <v/>
      </c>
      <c r="T7" s="4">
        <f>'YTD P&amp;L'!P7-'YTD P&amp;L'!O7</f>
        <v/>
      </c>
      <c r="U7" s="4">
        <f>'ANNL P&amp;L'!G7-'YTD P&amp;L'!P7</f>
        <v/>
      </c>
      <c r="V7" s="4">
        <f>'YTD P&amp;L'!Q7</f>
        <v/>
      </c>
      <c r="W7" s="4">
        <f>'YTD P&amp;L'!R7-'YTD P&amp;L'!Q7</f>
        <v/>
      </c>
      <c r="X7" s="4">
        <f>'YTD P&amp;L'!S7-'YTD P&amp;L'!R7</f>
        <v/>
      </c>
      <c r="Y7" s="4">
        <f>'ANNL P&amp;L'!H7-'YTD P&amp;L'!S7</f>
        <v/>
      </c>
    </row>
    <row r="8">
      <c r="A8" s="3" t="inlineStr">
        <is>
          <t>Pre-Tax Income (Loss)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6">
        <f>'YTD P&amp;L'!O8-'YTD P&amp;L'!N8</f>
        <v/>
      </c>
      <c r="T8" s="6">
        <f>'YTD P&amp;L'!P8-'YTD P&amp;L'!O8</f>
        <v/>
      </c>
      <c r="U8" s="6">
        <f>'ANNL P&amp;L'!G8-'YTD P&amp;L'!P8</f>
        <v/>
      </c>
      <c r="V8" s="6">
        <f>'YTD P&amp;L'!Q8</f>
        <v/>
      </c>
      <c r="W8" s="6">
        <f>'YTD P&amp;L'!R8-'YTD P&amp;L'!Q8</f>
        <v/>
      </c>
      <c r="X8" s="6">
        <f>'YTD P&amp;L'!S8-'YTD P&amp;L'!R8</f>
        <v/>
      </c>
      <c r="Y8" s="6">
        <f>'ANNL P&amp;L'!H8-'YTD P&amp;L'!S8</f>
        <v/>
      </c>
    </row>
    <row r="9">
      <c r="A9" s="3" t="inlineStr">
        <is>
          <t>Income Tax (Expense) Benefit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4">
        <f>'YTD P&amp;L'!O9-'YTD P&amp;L'!N9</f>
        <v/>
      </c>
      <c r="T9" s="4">
        <f>'YTD P&amp;L'!P9-'YTD P&amp;L'!O9</f>
        <v/>
      </c>
      <c r="U9" s="4">
        <f>'ANNL P&amp;L'!G9-'YTD P&amp;L'!P9</f>
        <v/>
      </c>
      <c r="V9" s="4">
        <f>'YTD P&amp;L'!Q9</f>
        <v/>
      </c>
      <c r="W9" s="4">
        <f>'YTD P&amp;L'!R9-'YTD P&amp;L'!Q9</f>
        <v/>
      </c>
      <c r="X9" s="4">
        <f>'YTD P&amp;L'!S9-'YTD P&amp;L'!R9</f>
        <v/>
      </c>
      <c r="Y9" s="4">
        <f>'ANNL P&amp;L'!H9-'YTD P&amp;L'!S9</f>
        <v/>
      </c>
    </row>
    <row r="10">
      <c r="A10" s="3" t="inlineStr">
        <is>
          <t>Net Income (Loss)</t>
        </is>
      </c>
      <c r="B10" s="6">
        <f>'YTD P&amp;L'!B10</f>
        <v/>
      </c>
      <c r="C10" s="6">
        <f>'YTD P&amp;L'!C10-'YTD P&amp;L'!B10</f>
        <v/>
      </c>
      <c r="D10" s="6">
        <f>'YTD P&amp;L'!D10-'YTD P&amp;L'!C10</f>
        <v/>
      </c>
      <c r="E10" s="6">
        <f>'ANNL P&amp;L'!C10-'YTD P&amp;L'!D10</f>
        <v/>
      </c>
      <c r="F10" s="6">
        <f>'YTD P&amp;L'!E10</f>
        <v/>
      </c>
      <c r="G10" s="6">
        <f>'YTD P&amp;L'!F10-'YTD P&amp;L'!E10</f>
        <v/>
      </c>
      <c r="H10" s="6">
        <f>'YTD P&amp;L'!G10-'YTD P&amp;L'!F10</f>
        <v/>
      </c>
      <c r="I10" s="6">
        <f>'ANNL P&amp;L'!D10-'YTD P&amp;L'!G10</f>
        <v/>
      </c>
      <c r="J10" s="6">
        <f>'YTD P&amp;L'!H10</f>
        <v/>
      </c>
      <c r="K10" s="6">
        <f>'YTD P&amp;L'!I10-'YTD P&amp;L'!H10</f>
        <v/>
      </c>
      <c r="L10" s="6">
        <f>'YTD P&amp;L'!J10-'YTD P&amp;L'!I10</f>
        <v/>
      </c>
      <c r="M10" s="6">
        <f>'ANNL P&amp;L'!E10-'YTD P&amp;L'!J10</f>
        <v/>
      </c>
      <c r="N10" s="6">
        <f>'YTD P&amp;L'!K10</f>
        <v/>
      </c>
      <c r="O10" s="6">
        <f>'YTD P&amp;L'!L10-'YTD P&amp;L'!K10</f>
        <v/>
      </c>
      <c r="P10" s="6">
        <f>'YTD P&amp;L'!M10-'YTD P&amp;L'!L10</f>
        <v/>
      </c>
      <c r="Q10" s="6">
        <f>'ANNL P&amp;L'!F10-'YTD P&amp;L'!M10</f>
        <v/>
      </c>
      <c r="R10" s="6">
        <f>'YTD P&amp;L'!N10</f>
        <v/>
      </c>
      <c r="S10" s="6">
        <f>'YTD P&amp;L'!O10-'YTD P&amp;L'!N10</f>
        <v/>
      </c>
      <c r="T10" s="6">
        <f>'YTD P&amp;L'!P10-'YTD P&amp;L'!O10</f>
        <v/>
      </c>
      <c r="U10" s="6">
        <f>'ANNL P&amp;L'!G10-'YTD P&amp;L'!P10</f>
        <v/>
      </c>
      <c r="V10" s="6">
        <f>'YTD P&amp;L'!Q10</f>
        <v/>
      </c>
      <c r="W10" s="6">
        <f>'YTD P&amp;L'!R10-'YTD P&amp;L'!Q10</f>
        <v/>
      </c>
      <c r="X10" s="6">
        <f>'YTD P&amp;L'!S10-'YTD P&amp;L'!R10</f>
        <v/>
      </c>
      <c r="Y10" s="6">
        <f>'ANNL P&amp;L'!H10-'YTD P&amp;L'!S10</f>
        <v/>
      </c>
    </row>
    <row r="11">
      <c r="A11" s="3" t="inlineStr">
        <is>
          <t>Basic Earnings (Loss) per Share</t>
        </is>
      </c>
    </row>
    <row r="12">
      <c r="A12" s="3" t="inlineStr">
        <is>
          <t>Diluted Earnings (Loss) per Share</t>
        </is>
      </c>
    </row>
    <row r="13">
      <c r="A13" s="3" t="inlineStr">
        <is>
          <t>Weighted Average Shares Outstanding (Basic)</t>
        </is>
      </c>
    </row>
    <row r="14">
      <c r="A14" s="3" t="inlineStr">
        <is>
          <t>Weighted Average Shares Outstanding (Diluted)</t>
        </is>
      </c>
    </row>
    <row r="15">
      <c r="A15" s="3" t="inlineStr">
        <is>
          <t>Net Income (Loss) Attributable to Common Shareholders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6">
        <f>'YTD P&amp;L'!O15-'YTD P&amp;L'!N15</f>
        <v/>
      </c>
      <c r="T15" s="6">
        <f>'YTD P&amp;L'!P15-'YTD P&amp;L'!O15</f>
        <v/>
      </c>
      <c r="U15" s="6">
        <f>'ANNL P&amp;L'!G15-'YTD P&amp;L'!P15</f>
        <v/>
      </c>
      <c r="V15" s="6">
        <f>'YTD P&amp;L'!Q15</f>
        <v/>
      </c>
      <c r="W15" s="6">
        <f>'YTD P&amp;L'!R15-'YTD P&amp;L'!Q15</f>
        <v/>
      </c>
      <c r="X15" s="6">
        <f>'YTD P&amp;L'!S15-'YTD P&amp;L'!R15</f>
        <v/>
      </c>
      <c r="Y15" s="6">
        <f>'ANNL P&amp;L'!H15-'YTD P&amp;L'!S15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/>
      <c r="B1" s="2" t="inlineStr">
        <is>
          <t>Q4 FY2020</t>
        </is>
      </c>
      <c r="C1" s="2" t="inlineStr">
        <is>
          <t>Q1 FY2021</t>
        </is>
      </c>
      <c r="D1" s="2" t="inlineStr">
        <is>
          <t>Q2 FY2021</t>
        </is>
      </c>
      <c r="E1" s="2" t="inlineStr">
        <is>
          <t>Q3 FY2021</t>
        </is>
      </c>
      <c r="F1" s="2" t="inlineStr">
        <is>
          <t>Q4 FY2021</t>
        </is>
      </c>
      <c r="G1" s="2" t="inlineStr">
        <is>
          <t>Q1 FY2022</t>
        </is>
      </c>
      <c r="H1" s="2" t="inlineStr">
        <is>
          <t>Q2 FY2022</t>
        </is>
      </c>
      <c r="I1" s="2" t="inlineStr">
        <is>
          <t>Q3 FY2022</t>
        </is>
      </c>
      <c r="J1" s="2" t="inlineStr">
        <is>
          <t>Q4 FY2022</t>
        </is>
      </c>
      <c r="K1" s="2" t="inlineStr">
        <is>
          <t>Q1 FY2023</t>
        </is>
      </c>
      <c r="L1" s="2" t="inlineStr">
        <is>
          <t>Q2 FY2023</t>
        </is>
      </c>
      <c r="M1" s="2" t="inlineStr">
        <is>
          <t>Q3 FY2023</t>
        </is>
      </c>
      <c r="N1" s="2" t="inlineStr">
        <is>
          <t>Q4 FY2023</t>
        </is>
      </c>
      <c r="O1" s="2" t="inlineStr">
        <is>
          <t>Q1 FY2024</t>
        </is>
      </c>
      <c r="P1" s="2" t="inlineStr">
        <is>
          <t>Q2 FY2024</t>
        </is>
      </c>
      <c r="Q1" s="2" t="inlineStr">
        <is>
          <t>Q3 FY2024</t>
        </is>
      </c>
      <c r="R1" s="2" t="inlineStr">
        <is>
          <t>Q4 FY2024</t>
        </is>
      </c>
      <c r="S1" s="2" t="inlineStr">
        <is>
          <t>Q1 FY2025</t>
        </is>
      </c>
      <c r="T1" s="2" t="inlineStr">
        <is>
          <t>Q2 FY2025</t>
        </is>
      </c>
      <c r="U1" s="2" t="inlineStr">
        <is>
          <t>Q3 FY2025</t>
        </is>
      </c>
      <c r="V1" s="2" t="inlineStr">
        <is>
          <t>Q4 FY2025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4">
        <f>'YTD BS'!P2</f>
        <v/>
      </c>
      <c r="Q2" s="4">
        <f>'YTD BS'!Q2</f>
        <v/>
      </c>
      <c r="R2" s="4">
        <f>'BALANCE SHEET'!F2</f>
        <v/>
      </c>
      <c r="S2" s="4">
        <f>'YTD BS'!S2</f>
        <v/>
      </c>
      <c r="T2" s="4">
        <f>'YTD BS'!T2</f>
        <v/>
      </c>
      <c r="U2" s="4">
        <f>'YTD BS'!U2</f>
        <v/>
      </c>
      <c r="V2" s="4">
        <f>'BALANCE SHEET'!G2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4">
        <f>'YTD BS'!P3</f>
        <v/>
      </c>
      <c r="Q3" s="4">
        <f>'YTD BS'!Q3</f>
        <v/>
      </c>
      <c r="R3" s="4">
        <f>'BALANCE SHEET'!F3</f>
        <v/>
      </c>
      <c r="S3" s="4">
        <f>'YTD BS'!S3</f>
        <v/>
      </c>
      <c r="T3" s="4">
        <f>'YTD BS'!T3</f>
        <v/>
      </c>
      <c r="U3" s="4">
        <f>'YTD BS'!U3</f>
        <v/>
      </c>
      <c r="V3" s="4">
        <f>'BALANCE SHEET'!G3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4">
        <f>'YTD BS'!P4</f>
        <v/>
      </c>
      <c r="Q4" s="4">
        <f>'YTD BS'!Q4</f>
        <v/>
      </c>
      <c r="R4" s="4">
        <f>'BALANCE SHEET'!F4</f>
        <v/>
      </c>
      <c r="S4" s="4">
        <f>'YTD BS'!S4</f>
        <v/>
      </c>
      <c r="T4" s="4">
        <f>'YTD BS'!T4</f>
        <v/>
      </c>
      <c r="U4" s="4">
        <f>'YTD BS'!U4</f>
        <v/>
      </c>
      <c r="V4" s="4">
        <f>'BALANCE SHEET'!G4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4">
        <f>'YTD BS'!P5</f>
        <v/>
      </c>
      <c r="Q5" s="4">
        <f>'YTD BS'!Q5</f>
        <v/>
      </c>
      <c r="R5" s="4">
        <f>'BALANCE SHEET'!F5</f>
        <v/>
      </c>
      <c r="S5" s="4">
        <f>'YTD BS'!S5</f>
        <v/>
      </c>
      <c r="T5" s="4">
        <f>'YTD BS'!T5</f>
        <v/>
      </c>
      <c r="U5" s="4">
        <f>'YTD BS'!U5</f>
        <v/>
      </c>
      <c r="V5" s="4">
        <f>'BALANCE SHEET'!G5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4">
        <f>'YTD BS'!P6</f>
        <v/>
      </c>
      <c r="Q6" s="4">
        <f>'YTD BS'!Q6</f>
        <v/>
      </c>
      <c r="R6" s="4">
        <f>'BALANCE SHEET'!F6</f>
        <v/>
      </c>
      <c r="S6" s="4">
        <f>'YTD BS'!S6</f>
        <v/>
      </c>
      <c r="T6" s="4">
        <f>'YTD BS'!T6</f>
        <v/>
      </c>
      <c r="U6" s="4">
        <f>'YTD BS'!U6</f>
        <v/>
      </c>
      <c r="V6" s="4">
        <f>'BALANCE SHEET'!G6</f>
        <v/>
      </c>
    </row>
    <row r="7">
      <c r="A7" s="3" t="inlineStr">
        <is>
          <t>Prepaid Income Taxes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4">
        <f>'YTD BS'!O7</f>
        <v/>
      </c>
      <c r="P7" s="4">
        <f>'YTD BS'!P7</f>
        <v/>
      </c>
      <c r="Q7" s="4">
        <f>'YTD BS'!Q7</f>
        <v/>
      </c>
      <c r="R7" s="4">
        <f>'BALANCE SHEET'!F7</f>
        <v/>
      </c>
      <c r="S7" s="4">
        <f>'YTD BS'!S7</f>
        <v/>
      </c>
      <c r="T7" s="4">
        <f>'YTD BS'!T7</f>
        <v/>
      </c>
      <c r="U7" s="4">
        <f>'YTD BS'!U7</f>
        <v/>
      </c>
      <c r="V7" s="4">
        <f>'BALANCE SHEET'!G7</f>
        <v/>
      </c>
    </row>
    <row r="8">
      <c r="A8" s="3" t="inlineStr">
        <is>
          <t>Total Current Assets</t>
        </is>
      </c>
      <c r="B8" s="6">
        <f>'BALANCE SHEET'!B8</f>
        <v/>
      </c>
      <c r="C8" s="6">
        <f>'YTD BS'!C8</f>
        <v/>
      </c>
      <c r="D8" s="6">
        <f>'YTD BS'!D8</f>
        <v/>
      </c>
      <c r="E8" s="6">
        <f>'YTD BS'!E8</f>
        <v/>
      </c>
      <c r="F8" s="6">
        <f>'BALANCE SHEET'!C8</f>
        <v/>
      </c>
      <c r="G8" s="6">
        <f>'YTD BS'!G8</f>
        <v/>
      </c>
      <c r="H8" s="6">
        <f>'YTD BS'!H8</f>
        <v/>
      </c>
      <c r="I8" s="6">
        <f>'YTD BS'!I8</f>
        <v/>
      </c>
      <c r="J8" s="6">
        <f>'BALANCE SHEET'!D8</f>
        <v/>
      </c>
      <c r="K8" s="6">
        <f>'YTD BS'!K8</f>
        <v/>
      </c>
      <c r="L8" s="6">
        <f>'YTD BS'!L8</f>
        <v/>
      </c>
      <c r="M8" s="6">
        <f>'YTD BS'!M8</f>
        <v/>
      </c>
      <c r="N8" s="6">
        <f>'BALANCE SHEET'!E8</f>
        <v/>
      </c>
      <c r="O8" s="6">
        <f>'YTD BS'!O8</f>
        <v/>
      </c>
      <c r="P8" s="6">
        <f>'YTD BS'!P8</f>
        <v/>
      </c>
      <c r="Q8" s="6">
        <f>'YTD BS'!Q8</f>
        <v/>
      </c>
      <c r="R8" s="6">
        <f>'BALANCE SHEET'!F8</f>
        <v/>
      </c>
      <c r="S8" s="6">
        <f>'YTD BS'!S8</f>
        <v/>
      </c>
      <c r="T8" s="6">
        <f>'YTD BS'!T8</f>
        <v/>
      </c>
      <c r="U8" s="6">
        <f>'YTD BS'!U8</f>
        <v/>
      </c>
      <c r="V8" s="6">
        <f>'BALANCE SHEET'!G8</f>
        <v/>
      </c>
    </row>
    <row r="9">
      <c r="A9" s="3" t="inlineStr">
        <is>
          <t>Long-Term Investments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4">
        <f>'YTD BS'!P9</f>
        <v/>
      </c>
      <c r="Q9" s="4">
        <f>'YTD BS'!Q9</f>
        <v/>
      </c>
      <c r="R9" s="4">
        <f>'BALANCE SHEET'!F9</f>
        <v/>
      </c>
      <c r="S9" s="4">
        <f>'YTD BS'!S9</f>
        <v/>
      </c>
      <c r="T9" s="4">
        <f>'YTD BS'!T9</f>
        <v/>
      </c>
      <c r="U9" s="4">
        <f>'YTD BS'!U9</f>
        <v/>
      </c>
      <c r="V9" s="4">
        <f>'BALANCE SHEET'!G9</f>
        <v/>
      </c>
    </row>
    <row r="10">
      <c r="A10" s="3" t="inlineStr">
        <is>
          <t>Net PP&amp;E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4">
        <f>'YTD BS'!P10</f>
        <v/>
      </c>
      <c r="Q10" s="4">
        <f>'YTD BS'!Q10</f>
        <v/>
      </c>
      <c r="R10" s="4">
        <f>'BALANCE SHEET'!F10</f>
        <v/>
      </c>
      <c r="S10" s="4">
        <f>'YTD BS'!S10</f>
        <v/>
      </c>
      <c r="T10" s="4">
        <f>'YTD BS'!T10</f>
        <v/>
      </c>
      <c r="U10" s="4">
        <f>'YTD BS'!U10</f>
        <v/>
      </c>
      <c r="V10" s="4">
        <f>'BALANCE SHEET'!G10</f>
        <v/>
      </c>
    </row>
    <row r="11">
      <c r="A11" s="3" t="inlineStr">
        <is>
          <t>Deferred Tax Assets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4">
        <f>'YTD BS'!P11</f>
        <v/>
      </c>
      <c r="Q11" s="4">
        <f>'YTD BS'!Q11</f>
        <v/>
      </c>
      <c r="R11" s="4">
        <f>'BALANCE SHEET'!F11</f>
        <v/>
      </c>
      <c r="S11" s="4">
        <f>'YTD BS'!S11</f>
        <v/>
      </c>
      <c r="T11" s="4">
        <f>'YTD BS'!T11</f>
        <v/>
      </c>
      <c r="U11" s="4">
        <f>'YTD BS'!U11</f>
        <v/>
      </c>
      <c r="V11" s="4">
        <f>'BALANCE SHEET'!G11</f>
        <v/>
      </c>
    </row>
    <row r="12">
      <c r="A12" s="3" t="inlineStr">
        <is>
          <t>Goodwill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4">
        <f>'YTD BS'!P12</f>
        <v/>
      </c>
      <c r="Q12" s="4">
        <f>'YTD BS'!Q12</f>
        <v/>
      </c>
      <c r="R12" s="4">
        <f>'BALANCE SHEET'!F12</f>
        <v/>
      </c>
      <c r="S12" s="4">
        <f>'YTD BS'!S12</f>
        <v/>
      </c>
      <c r="T12" s="4">
        <f>'YTD BS'!T12</f>
        <v/>
      </c>
      <c r="U12" s="4">
        <f>'YTD BS'!U12</f>
        <v/>
      </c>
      <c r="V12" s="4">
        <f>'BALANCE SHEET'!G12</f>
        <v/>
      </c>
    </row>
    <row r="13">
      <c r="A13" s="3" t="inlineStr">
        <is>
          <t>Intangible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4">
        <f>'YTD BS'!P13</f>
        <v/>
      </c>
      <c r="Q13" s="4">
        <f>'YTD BS'!Q13</f>
        <v/>
      </c>
      <c r="R13" s="4">
        <f>'BALANCE SHEET'!F13</f>
        <v/>
      </c>
      <c r="S13" s="4">
        <f>'YTD BS'!S13</f>
        <v/>
      </c>
      <c r="T13" s="4">
        <f>'YTD BS'!T13</f>
        <v/>
      </c>
      <c r="U13" s="4">
        <f>'YTD BS'!U13</f>
        <v/>
      </c>
      <c r="V13" s="4">
        <f>'BALANCE SHEET'!G13</f>
        <v/>
      </c>
    </row>
    <row r="14">
      <c r="A14" s="3" t="inlineStr">
        <is>
          <t>Other Non-Current Assets</t>
        </is>
      </c>
      <c r="B14" s="4">
        <f>'BALANCE SHEET'!B14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SHEET'!C14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SHEET'!D14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SHEET'!E14</f>
        <v/>
      </c>
      <c r="O14" s="4">
        <f>'YTD BS'!O14</f>
        <v/>
      </c>
      <c r="P14" s="4">
        <f>'YTD BS'!P14</f>
        <v/>
      </c>
      <c r="Q14" s="4">
        <f>'YTD BS'!Q14</f>
        <v/>
      </c>
      <c r="R14" s="4">
        <f>'BALANCE SHEET'!F14</f>
        <v/>
      </c>
      <c r="S14" s="4">
        <f>'YTD BS'!S14</f>
        <v/>
      </c>
      <c r="T14" s="4">
        <f>'YTD BS'!T14</f>
        <v/>
      </c>
      <c r="U14" s="4">
        <f>'YTD BS'!U14</f>
        <v/>
      </c>
      <c r="V14" s="4">
        <f>'BALANCE SHEET'!G14</f>
        <v/>
      </c>
    </row>
    <row r="15">
      <c r="A15" s="3" t="inlineStr">
        <is>
          <t>Total Assets</t>
        </is>
      </c>
      <c r="B15" s="6">
        <f>'BALANCE SHEET'!B15</f>
        <v/>
      </c>
      <c r="C15" s="6">
        <f>'YTD BS'!C15</f>
        <v/>
      </c>
      <c r="D15" s="6">
        <f>'YTD BS'!D15</f>
        <v/>
      </c>
      <c r="E15" s="6">
        <f>'YTD BS'!E15</f>
        <v/>
      </c>
      <c r="F15" s="6">
        <f>'BALANCE SHEET'!C15</f>
        <v/>
      </c>
      <c r="G15" s="6">
        <f>'YTD BS'!G15</f>
        <v/>
      </c>
      <c r="H15" s="6">
        <f>'YTD BS'!H15</f>
        <v/>
      </c>
      <c r="I15" s="6">
        <f>'YTD BS'!I15</f>
        <v/>
      </c>
      <c r="J15" s="6">
        <f>'BALANCE SHEET'!D15</f>
        <v/>
      </c>
      <c r="K15" s="6">
        <f>'YTD BS'!K15</f>
        <v/>
      </c>
      <c r="L15" s="6">
        <f>'YTD BS'!L15</f>
        <v/>
      </c>
      <c r="M15" s="6">
        <f>'YTD BS'!M15</f>
        <v/>
      </c>
      <c r="N15" s="6">
        <f>'BALANCE SHEET'!E15</f>
        <v/>
      </c>
      <c r="O15" s="6">
        <f>'YTD BS'!O15</f>
        <v/>
      </c>
      <c r="P15" s="6">
        <f>'YTD BS'!P15</f>
        <v/>
      </c>
      <c r="Q15" s="6">
        <f>'YTD BS'!Q15</f>
        <v/>
      </c>
      <c r="R15" s="6">
        <f>'BALANCE SHEET'!F15</f>
        <v/>
      </c>
      <c r="S15" s="6">
        <f>'YTD BS'!S15</f>
        <v/>
      </c>
      <c r="T15" s="6">
        <f>'YTD BS'!T15</f>
        <v/>
      </c>
      <c r="U15" s="6">
        <f>'YTD BS'!U15</f>
        <v/>
      </c>
      <c r="V15" s="6">
        <f>'BALANCE SHEET'!G15</f>
        <v/>
      </c>
    </row>
    <row r="16">
      <c r="A16" s="3" t="inlineStr">
        <is>
          <t>Accounts Payable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4">
        <f>'YTD BS'!P16</f>
        <v/>
      </c>
      <c r="Q16" s="4">
        <f>'YTD BS'!Q16</f>
        <v/>
      </c>
      <c r="R16" s="4">
        <f>'BALANCE SHEET'!F16</f>
        <v/>
      </c>
      <c r="S16" s="4">
        <f>'YTD BS'!S16</f>
        <v/>
      </c>
      <c r="T16" s="4">
        <f>'YTD BS'!T16</f>
        <v/>
      </c>
      <c r="U16" s="4">
        <f>'YTD BS'!U16</f>
        <v/>
      </c>
      <c r="V16" s="4">
        <f>'BALANCE SHEET'!G16</f>
        <v/>
      </c>
    </row>
    <row r="17">
      <c r="A17" s="3" t="inlineStr">
        <is>
          <t>Accrued Expenses</t>
        </is>
      </c>
      <c r="B17" s="4">
        <f>'BALANCE SHEET'!B17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SHEET'!C17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SHEET'!D17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SHEET'!E17</f>
        <v/>
      </c>
      <c r="O17" s="4">
        <f>'YTD BS'!O17</f>
        <v/>
      </c>
      <c r="P17" s="4">
        <f>'YTD BS'!P17</f>
        <v/>
      </c>
      <c r="Q17" s="4">
        <f>'YTD BS'!Q17</f>
        <v/>
      </c>
      <c r="R17" s="4">
        <f>'BALANCE SHEET'!F17</f>
        <v/>
      </c>
      <c r="S17" s="4">
        <f>'YTD BS'!S17</f>
        <v/>
      </c>
      <c r="T17" s="4">
        <f>'YTD BS'!T17</f>
        <v/>
      </c>
      <c r="U17" s="4">
        <f>'YTD BS'!U17</f>
        <v/>
      </c>
      <c r="V17" s="4">
        <f>'BALANCE SHEET'!G17</f>
        <v/>
      </c>
    </row>
    <row r="18">
      <c r="A18" s="3" t="inlineStr">
        <is>
          <t>Accrued Promotional Allowance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4">
        <f>'YTD BS'!P18</f>
        <v/>
      </c>
      <c r="Q18" s="4">
        <f>'YTD BS'!Q18</f>
        <v/>
      </c>
      <c r="R18" s="4">
        <f>'BALANCE SHEET'!F18</f>
        <v/>
      </c>
      <c r="S18" s="4">
        <f>'YTD BS'!S18</f>
        <v/>
      </c>
      <c r="T18" s="4">
        <f>'YTD BS'!T18</f>
        <v/>
      </c>
      <c r="U18" s="4">
        <f>'YTD BS'!U18</f>
        <v/>
      </c>
      <c r="V18" s="4">
        <f>'BALANCE SHEET'!G18</f>
        <v/>
      </c>
    </row>
    <row r="19">
      <c r="A19" s="3" t="inlineStr">
        <is>
          <t>Deferred Revenue - Current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4">
        <f>'YTD BS'!P19</f>
        <v/>
      </c>
      <c r="Q19" s="4">
        <f>'YTD BS'!Q19</f>
        <v/>
      </c>
      <c r="R19" s="4">
        <f>'BALANCE SHEET'!F19</f>
        <v/>
      </c>
      <c r="S19" s="4">
        <f>'YTD BS'!S19</f>
        <v/>
      </c>
      <c r="T19" s="4">
        <f>'YTD BS'!T19</f>
        <v/>
      </c>
      <c r="U19" s="4">
        <f>'YTD BS'!U19</f>
        <v/>
      </c>
      <c r="V19" s="4">
        <f>'BALANCE SHEET'!G19</f>
        <v/>
      </c>
    </row>
    <row r="20">
      <c r="A20" s="3" t="inlineStr">
        <is>
          <t>Accrued Compensation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4">
        <f>'YTD BS'!P20</f>
        <v/>
      </c>
      <c r="Q20" s="4">
        <f>'YTD BS'!Q20</f>
        <v/>
      </c>
      <c r="R20" s="4">
        <f>'BALANCE SHEET'!F20</f>
        <v/>
      </c>
      <c r="S20" s="4">
        <f>'YTD BS'!S20</f>
        <v/>
      </c>
      <c r="T20" s="4">
        <f>'YTD BS'!T20</f>
        <v/>
      </c>
      <c r="U20" s="4">
        <f>'YTD BS'!U20</f>
        <v/>
      </c>
      <c r="V20" s="4">
        <f>'BALANCE SHEET'!G20</f>
        <v/>
      </c>
    </row>
    <row r="21">
      <c r="A21" s="3" t="inlineStr">
        <is>
          <t>Income Taxes Payable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4">
        <f>'YTD BS'!O21</f>
        <v/>
      </c>
      <c r="P21" s="4">
        <f>'YTD BS'!P21</f>
        <v/>
      </c>
      <c r="Q21" s="4">
        <f>'YTD BS'!Q21</f>
        <v/>
      </c>
      <c r="R21" s="4">
        <f>'BALANCE SHEET'!F21</f>
        <v/>
      </c>
      <c r="S21" s="4">
        <f>'YTD BS'!S21</f>
        <v/>
      </c>
      <c r="T21" s="4">
        <f>'YTD BS'!T21</f>
        <v/>
      </c>
      <c r="U21" s="4">
        <f>'YTD BS'!U21</f>
        <v/>
      </c>
      <c r="V21" s="4">
        <f>'BALANCE SHEET'!G21</f>
        <v/>
      </c>
    </row>
    <row r="22">
      <c r="A22" s="3" t="inlineStr">
        <is>
          <t>Total Current Liabilities</t>
        </is>
      </c>
      <c r="B22" s="6">
        <f>'BALANCE SHEET'!B22</f>
        <v/>
      </c>
      <c r="C22" s="6">
        <f>'YTD BS'!C22</f>
        <v/>
      </c>
      <c r="D22" s="6">
        <f>'YTD BS'!D22</f>
        <v/>
      </c>
      <c r="E22" s="6">
        <f>'YTD BS'!E22</f>
        <v/>
      </c>
      <c r="F22" s="6">
        <f>'BALANCE SHEET'!C22</f>
        <v/>
      </c>
      <c r="G22" s="6">
        <f>'YTD BS'!G22</f>
        <v/>
      </c>
      <c r="H22" s="6">
        <f>'YTD BS'!H22</f>
        <v/>
      </c>
      <c r="I22" s="6">
        <f>'YTD BS'!I22</f>
        <v/>
      </c>
      <c r="J22" s="6">
        <f>'BALANCE SHEET'!D22</f>
        <v/>
      </c>
      <c r="K22" s="6">
        <f>'YTD BS'!K22</f>
        <v/>
      </c>
      <c r="L22" s="6">
        <f>'YTD BS'!L22</f>
        <v/>
      </c>
      <c r="M22" s="6">
        <f>'YTD BS'!M22</f>
        <v/>
      </c>
      <c r="N22" s="6">
        <f>'BALANCE SHEET'!E22</f>
        <v/>
      </c>
      <c r="O22" s="6">
        <f>'YTD BS'!O22</f>
        <v/>
      </c>
      <c r="P22" s="6">
        <f>'YTD BS'!P22</f>
        <v/>
      </c>
      <c r="Q22" s="6">
        <f>'YTD BS'!Q22</f>
        <v/>
      </c>
      <c r="R22" s="6">
        <f>'BALANCE SHEET'!F22</f>
        <v/>
      </c>
      <c r="S22" s="6">
        <f>'YTD BS'!S22</f>
        <v/>
      </c>
      <c r="T22" s="6">
        <f>'YTD BS'!T22</f>
        <v/>
      </c>
      <c r="U22" s="6">
        <f>'YTD BS'!U22</f>
        <v/>
      </c>
      <c r="V22" s="6">
        <f>'BALANCE SHEET'!G22</f>
        <v/>
      </c>
    </row>
    <row r="23">
      <c r="A23" s="3" t="inlineStr">
        <is>
          <t>Deferred Revenue - Non-Current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4">
        <f>'YTD BS'!P23</f>
        <v/>
      </c>
      <c r="Q23" s="4">
        <f>'YTD BS'!Q23</f>
        <v/>
      </c>
      <c r="R23" s="4">
        <f>'BALANCE SHEET'!F23</f>
        <v/>
      </c>
      <c r="S23" s="4">
        <f>'YTD BS'!S23</f>
        <v/>
      </c>
      <c r="T23" s="4">
        <f>'YTD BS'!T23</f>
        <v/>
      </c>
      <c r="U23" s="4">
        <f>'YTD BS'!U23</f>
        <v/>
      </c>
      <c r="V23" s="4">
        <f>'BALANCE SHEET'!G23</f>
        <v/>
      </c>
    </row>
    <row r="24">
      <c r="A24" s="3" t="inlineStr">
        <is>
          <t>Deferred Tax Liability</t>
        </is>
      </c>
      <c r="C24" s="4">
        <f>'YTD BS'!C24</f>
        <v/>
      </c>
      <c r="D24" s="4">
        <f>'YTD BS'!D24</f>
        <v/>
      </c>
      <c r="E24" s="4">
        <f>'YTD BS'!E24</f>
        <v/>
      </c>
      <c r="G24" s="4">
        <f>'YTD BS'!G24</f>
        <v/>
      </c>
      <c r="H24" s="4">
        <f>'YTD BS'!H24</f>
        <v/>
      </c>
      <c r="I24" s="4">
        <f>'YTD BS'!I24</f>
        <v/>
      </c>
      <c r="K24" s="4">
        <f>'YTD BS'!K24</f>
        <v/>
      </c>
      <c r="L24" s="4">
        <f>'YTD BS'!L24</f>
        <v/>
      </c>
      <c r="M24" s="4">
        <f>'YTD BS'!M24</f>
        <v/>
      </c>
      <c r="O24" s="4">
        <f>'YTD BS'!O24</f>
        <v/>
      </c>
      <c r="P24" s="4">
        <f>'YTD BS'!P24</f>
        <v/>
      </c>
      <c r="Q24" s="4">
        <f>'YTD BS'!Q24</f>
        <v/>
      </c>
      <c r="S24" s="4">
        <f>'YTD BS'!S24</f>
        <v/>
      </c>
      <c r="T24" s="4">
        <f>'YTD BS'!T24</f>
        <v/>
      </c>
      <c r="U24" s="4">
        <f>'YTD BS'!U24</f>
        <v/>
      </c>
    </row>
    <row r="25">
      <c r="A25" s="3" t="inlineStr">
        <is>
          <t>Other Non-Current Liabilities</t>
        </is>
      </c>
      <c r="B25" s="4">
        <f>'BALANCE SHEET'!B24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SHEET'!C24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SHEET'!D24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SHEET'!E24</f>
        <v/>
      </c>
      <c r="O25" s="4">
        <f>'YTD BS'!O25</f>
        <v/>
      </c>
      <c r="P25" s="4">
        <f>'YTD BS'!P25</f>
        <v/>
      </c>
      <c r="Q25" s="4">
        <f>'YTD BS'!Q25</f>
        <v/>
      </c>
      <c r="R25" s="4">
        <f>'BALANCE SHEET'!F24</f>
        <v/>
      </c>
      <c r="S25" s="4">
        <f>'YTD BS'!S25</f>
        <v/>
      </c>
      <c r="T25" s="4">
        <f>'YTD BS'!T25</f>
        <v/>
      </c>
      <c r="U25" s="4">
        <f>'YTD BS'!U25</f>
        <v/>
      </c>
      <c r="V25" s="4">
        <f>'BALANCE SHEET'!G24</f>
        <v/>
      </c>
    </row>
    <row r="26">
      <c r="A26" s="3" t="inlineStr">
        <is>
          <t>Long-Term Debt</t>
        </is>
      </c>
      <c r="B26" s="4">
        <f>'BALANCE SHEET'!B25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SHEET'!C25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SHEET'!D25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SHEET'!E25</f>
        <v/>
      </c>
      <c r="O26" s="4">
        <f>'YTD BS'!O26</f>
        <v/>
      </c>
      <c r="P26" s="4">
        <f>'YTD BS'!P26</f>
        <v/>
      </c>
      <c r="Q26" s="4">
        <f>'YTD BS'!Q26</f>
        <v/>
      </c>
      <c r="R26" s="4">
        <f>'BALANCE SHEET'!F25</f>
        <v/>
      </c>
      <c r="S26" s="4">
        <f>'YTD BS'!S26</f>
        <v/>
      </c>
      <c r="T26" s="4">
        <f>'YTD BS'!T26</f>
        <v/>
      </c>
      <c r="U26" s="4">
        <f>'YTD BS'!U26</f>
        <v/>
      </c>
      <c r="V26" s="4">
        <f>'BALANCE SHEET'!G25</f>
        <v/>
      </c>
    </row>
    <row r="27">
      <c r="A27" s="3" t="inlineStr">
        <is>
          <t>Total Liabilities</t>
        </is>
      </c>
      <c r="B27" s="6">
        <f>'BALANCE SHEET'!B26</f>
        <v/>
      </c>
      <c r="C27" s="6">
        <f>'YTD BS'!C27</f>
        <v/>
      </c>
      <c r="D27" s="6">
        <f>'YTD BS'!D27</f>
        <v/>
      </c>
      <c r="E27" s="6">
        <f>'YTD BS'!E27</f>
        <v/>
      </c>
      <c r="F27" s="6">
        <f>'BALANCE SHEET'!C26</f>
        <v/>
      </c>
      <c r="G27" s="6">
        <f>'YTD BS'!G27</f>
        <v/>
      </c>
      <c r="H27" s="6">
        <f>'YTD BS'!H27</f>
        <v/>
      </c>
      <c r="I27" s="6">
        <f>'YTD BS'!I27</f>
        <v/>
      </c>
      <c r="J27" s="6">
        <f>'BALANCE SHEET'!D26</f>
        <v/>
      </c>
      <c r="K27" s="6">
        <f>'YTD BS'!K27</f>
        <v/>
      </c>
      <c r="L27" s="6">
        <f>'YTD BS'!L27</f>
        <v/>
      </c>
      <c r="M27" s="6">
        <f>'YTD BS'!M27</f>
        <v/>
      </c>
      <c r="N27" s="6">
        <f>'BALANCE SHEET'!E26</f>
        <v/>
      </c>
      <c r="O27" s="6">
        <f>'YTD BS'!O27</f>
        <v/>
      </c>
      <c r="P27" s="6">
        <f>'YTD BS'!P27</f>
        <v/>
      </c>
      <c r="Q27" s="6">
        <f>'YTD BS'!Q27</f>
        <v/>
      </c>
      <c r="R27" s="6">
        <f>'BALANCE SHEET'!F26</f>
        <v/>
      </c>
      <c r="S27" s="6">
        <f>'YTD BS'!S27</f>
        <v/>
      </c>
      <c r="T27" s="6">
        <f>'YTD BS'!T27</f>
        <v/>
      </c>
      <c r="U27" s="6">
        <f>'YTD BS'!U27</f>
        <v/>
      </c>
      <c r="V27" s="6">
        <f>'BALANCE SHEET'!G26</f>
        <v/>
      </c>
    </row>
    <row r="28">
      <c r="A28" s="3" t="inlineStr">
        <is>
          <t>Common Stock</t>
        </is>
      </c>
      <c r="B28" s="4">
        <f>'BALANCE SHEET'!B27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SHEET'!C27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SHEET'!D27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SHEET'!E27</f>
        <v/>
      </c>
      <c r="O28" s="4">
        <f>'YTD BS'!O28</f>
        <v/>
      </c>
      <c r="P28" s="4">
        <f>'YTD BS'!P28</f>
        <v/>
      </c>
      <c r="Q28" s="4">
        <f>'YTD BS'!Q28</f>
        <v/>
      </c>
      <c r="R28" s="4">
        <f>'BALANCE SHEET'!F27</f>
        <v/>
      </c>
      <c r="S28" s="4">
        <f>'YTD BS'!S28</f>
        <v/>
      </c>
      <c r="T28" s="4">
        <f>'YTD BS'!T28</f>
        <v/>
      </c>
      <c r="U28" s="4">
        <f>'YTD BS'!U28</f>
        <v/>
      </c>
      <c r="V28" s="4">
        <f>'BALANCE SHEET'!G27</f>
        <v/>
      </c>
    </row>
    <row r="29">
      <c r="A29" s="3" t="inlineStr">
        <is>
          <t>Additional Paid-in Capital</t>
        </is>
      </c>
      <c r="B29" s="4">
        <f>'BALANCE SHEET'!B28</f>
        <v/>
      </c>
      <c r="C29" s="4">
        <f>'YTD BS'!C29</f>
        <v/>
      </c>
      <c r="D29" s="4">
        <f>'YTD BS'!D29</f>
        <v/>
      </c>
      <c r="E29" s="4">
        <f>'YTD BS'!E29</f>
        <v/>
      </c>
      <c r="F29" s="4">
        <f>'BALANCE SHEET'!C28</f>
        <v/>
      </c>
      <c r="G29" s="4">
        <f>'YTD BS'!G29</f>
        <v/>
      </c>
      <c r="H29" s="4">
        <f>'YTD BS'!H29</f>
        <v/>
      </c>
      <c r="I29" s="4">
        <f>'YTD BS'!I29</f>
        <v/>
      </c>
      <c r="J29" s="4">
        <f>'BALANCE SHEET'!D28</f>
        <v/>
      </c>
      <c r="K29" s="4">
        <f>'YTD BS'!K29</f>
        <v/>
      </c>
      <c r="L29" s="4">
        <f>'YTD BS'!L29</f>
        <v/>
      </c>
      <c r="M29" s="4">
        <f>'YTD BS'!M29</f>
        <v/>
      </c>
      <c r="N29" s="4">
        <f>'BALANCE SHEET'!E28</f>
        <v/>
      </c>
      <c r="O29" s="4">
        <f>'YTD BS'!O29</f>
        <v/>
      </c>
      <c r="P29" s="4">
        <f>'YTD BS'!P29</f>
        <v/>
      </c>
      <c r="Q29" s="4">
        <f>'YTD BS'!Q29</f>
        <v/>
      </c>
      <c r="R29" s="4">
        <f>'BALANCE SHEET'!F28</f>
        <v/>
      </c>
      <c r="S29" s="4">
        <f>'YTD BS'!S29</f>
        <v/>
      </c>
      <c r="T29" s="4">
        <f>'YTD BS'!T29</f>
        <v/>
      </c>
      <c r="U29" s="4">
        <f>'YTD BS'!U29</f>
        <v/>
      </c>
      <c r="V29" s="4">
        <f>'BALANCE SHEET'!G28</f>
        <v/>
      </c>
    </row>
    <row r="30">
      <c r="A30" s="3" t="inlineStr">
        <is>
          <t>Retained Earnings (Accumulated Deficit)</t>
        </is>
      </c>
      <c r="B30" s="4">
        <f>'BALANCE SHEET'!B29</f>
        <v/>
      </c>
      <c r="C30" s="4">
        <f>'YTD BS'!C30</f>
        <v/>
      </c>
      <c r="D30" s="4">
        <f>'YTD BS'!D30</f>
        <v/>
      </c>
      <c r="E30" s="4">
        <f>'YTD BS'!E30</f>
        <v/>
      </c>
      <c r="F30" s="4">
        <f>'BALANCE SHEET'!C29</f>
        <v/>
      </c>
      <c r="G30" s="4">
        <f>'YTD BS'!G30</f>
        <v/>
      </c>
      <c r="H30" s="4">
        <f>'YTD BS'!H30</f>
        <v/>
      </c>
      <c r="I30" s="4">
        <f>'YTD BS'!I30</f>
        <v/>
      </c>
      <c r="J30" s="4">
        <f>'BALANCE SHEET'!D29</f>
        <v/>
      </c>
      <c r="K30" s="4">
        <f>'YTD BS'!K30</f>
        <v/>
      </c>
      <c r="L30" s="4">
        <f>'YTD BS'!L30</f>
        <v/>
      </c>
      <c r="M30" s="4">
        <f>'YTD BS'!M30</f>
        <v/>
      </c>
      <c r="N30" s="4">
        <f>'BALANCE SHEET'!E29</f>
        <v/>
      </c>
      <c r="O30" s="4">
        <f>'YTD BS'!O30</f>
        <v/>
      </c>
      <c r="P30" s="4">
        <f>'YTD BS'!P30</f>
        <v/>
      </c>
      <c r="Q30" s="4">
        <f>'YTD BS'!Q30</f>
        <v/>
      </c>
      <c r="R30" s="4">
        <f>'BALANCE SHEET'!F29</f>
        <v/>
      </c>
      <c r="S30" s="4">
        <f>'YTD BS'!S30</f>
        <v/>
      </c>
      <c r="T30" s="4">
        <f>'YTD BS'!T30</f>
        <v/>
      </c>
      <c r="U30" s="4">
        <f>'YTD BS'!U30</f>
        <v/>
      </c>
      <c r="V30" s="4">
        <f>'BALANCE SHEET'!G29</f>
        <v/>
      </c>
    </row>
    <row r="31">
      <c r="A31" s="3" t="inlineStr">
        <is>
          <t>Accumulated Other Comprehensive Income (Loss)</t>
        </is>
      </c>
      <c r="B31" s="4">
        <f>'BALANCE SHEET'!B30</f>
        <v/>
      </c>
      <c r="C31" s="4">
        <f>'YTD BS'!C31</f>
        <v/>
      </c>
      <c r="D31" s="4">
        <f>'YTD BS'!D31</f>
        <v/>
      </c>
      <c r="E31" s="4">
        <f>'YTD BS'!E31</f>
        <v/>
      </c>
      <c r="F31" s="4">
        <f>'BALANCE SHEET'!C30</f>
        <v/>
      </c>
      <c r="G31" s="4">
        <f>'YTD BS'!G31</f>
        <v/>
      </c>
      <c r="H31" s="4">
        <f>'YTD BS'!H31</f>
        <v/>
      </c>
      <c r="I31" s="4">
        <f>'YTD BS'!I31</f>
        <v/>
      </c>
      <c r="J31" s="4">
        <f>'BALANCE SHEET'!D30</f>
        <v/>
      </c>
      <c r="K31" s="4">
        <f>'YTD BS'!K31</f>
        <v/>
      </c>
      <c r="L31" s="4">
        <f>'YTD BS'!L31</f>
        <v/>
      </c>
      <c r="M31" s="4">
        <f>'YTD BS'!M31</f>
        <v/>
      </c>
      <c r="N31" s="4">
        <f>'BALANCE SHEET'!E30</f>
        <v/>
      </c>
      <c r="O31" s="4">
        <f>'YTD BS'!O31</f>
        <v/>
      </c>
      <c r="P31" s="4">
        <f>'YTD BS'!P31</f>
        <v/>
      </c>
      <c r="Q31" s="4">
        <f>'YTD BS'!Q31</f>
        <v/>
      </c>
      <c r="R31" s="4">
        <f>'BALANCE SHEET'!F30</f>
        <v/>
      </c>
      <c r="S31" s="4">
        <f>'YTD BS'!S31</f>
        <v/>
      </c>
      <c r="T31" s="4">
        <f>'YTD BS'!T31</f>
        <v/>
      </c>
      <c r="U31" s="4">
        <f>'YTD BS'!U31</f>
        <v/>
      </c>
      <c r="V31" s="4">
        <f>'BALANCE SHEET'!G30</f>
        <v/>
      </c>
    </row>
    <row r="32">
      <c r="A32" s="3" t="inlineStr">
        <is>
          <t>Treasury Stock</t>
        </is>
      </c>
      <c r="B32" s="4">
        <f>'BALANCE SHEET'!B31</f>
        <v/>
      </c>
      <c r="C32" s="4">
        <f>'YTD BS'!C32</f>
        <v/>
      </c>
      <c r="D32" s="4">
        <f>'YTD BS'!D32</f>
        <v/>
      </c>
      <c r="E32" s="4">
        <f>'YTD BS'!E32</f>
        <v/>
      </c>
      <c r="F32" s="4">
        <f>'BALANCE SHEET'!C31</f>
        <v/>
      </c>
      <c r="G32" s="4">
        <f>'YTD BS'!G32</f>
        <v/>
      </c>
      <c r="H32" s="4">
        <f>'YTD BS'!H32</f>
        <v/>
      </c>
      <c r="I32" s="4">
        <f>'YTD BS'!I32</f>
        <v/>
      </c>
      <c r="J32" s="4">
        <f>'BALANCE SHEET'!D31</f>
        <v/>
      </c>
      <c r="K32" s="4">
        <f>'YTD BS'!K32</f>
        <v/>
      </c>
      <c r="L32" s="4">
        <f>'YTD BS'!L32</f>
        <v/>
      </c>
      <c r="M32" s="4">
        <f>'YTD BS'!M32</f>
        <v/>
      </c>
      <c r="N32" s="4">
        <f>'BALANCE SHEET'!E31</f>
        <v/>
      </c>
      <c r="O32" s="4">
        <f>'YTD BS'!O32</f>
        <v/>
      </c>
      <c r="P32" s="4">
        <f>'YTD BS'!P32</f>
        <v/>
      </c>
      <c r="Q32" s="4">
        <f>'YTD BS'!Q32</f>
        <v/>
      </c>
      <c r="R32" s="4">
        <f>'BALANCE SHEET'!F31</f>
        <v/>
      </c>
      <c r="S32" s="4">
        <f>'YTD BS'!S32</f>
        <v/>
      </c>
      <c r="T32" s="4">
        <f>'YTD BS'!T32</f>
        <v/>
      </c>
      <c r="U32" s="4">
        <f>'YTD BS'!U32</f>
        <v/>
      </c>
      <c r="V32" s="4">
        <f>'BALANCE SHEET'!G31</f>
        <v/>
      </c>
    </row>
    <row r="33">
      <c r="A33" s="3" t="inlineStr">
        <is>
          <t>Total Stockholders' Equity</t>
        </is>
      </c>
      <c r="B33" s="6">
        <f>'BALANCE SHEET'!B32</f>
        <v/>
      </c>
      <c r="C33" s="6">
        <f>'YTD BS'!C33</f>
        <v/>
      </c>
      <c r="D33" s="6">
        <f>'YTD BS'!D33</f>
        <v/>
      </c>
      <c r="E33" s="6">
        <f>'YTD BS'!E33</f>
        <v/>
      </c>
      <c r="F33" s="6">
        <f>'BALANCE SHEET'!C32</f>
        <v/>
      </c>
      <c r="G33" s="6">
        <f>'YTD BS'!G33</f>
        <v/>
      </c>
      <c r="H33" s="6">
        <f>'YTD BS'!H33</f>
        <v/>
      </c>
      <c r="I33" s="6">
        <f>'YTD BS'!I33</f>
        <v/>
      </c>
      <c r="J33" s="6">
        <f>'BALANCE SHEET'!D32</f>
        <v/>
      </c>
      <c r="K33" s="6">
        <f>'YTD BS'!K33</f>
        <v/>
      </c>
      <c r="L33" s="6">
        <f>'YTD BS'!L33</f>
        <v/>
      </c>
      <c r="M33" s="6">
        <f>'YTD BS'!M33</f>
        <v/>
      </c>
      <c r="N33" s="6">
        <f>'BALANCE SHEET'!E32</f>
        <v/>
      </c>
      <c r="O33" s="6">
        <f>'YTD BS'!O33</f>
        <v/>
      </c>
      <c r="P33" s="6">
        <f>'YTD BS'!P33</f>
        <v/>
      </c>
      <c r="Q33" s="6">
        <f>'YTD BS'!Q33</f>
        <v/>
      </c>
      <c r="R33" s="6">
        <f>'BALANCE SHEET'!F32</f>
        <v/>
      </c>
      <c r="S33" s="6">
        <f>'YTD BS'!S33</f>
        <v/>
      </c>
      <c r="T33" s="6">
        <f>'YTD BS'!T33</f>
        <v/>
      </c>
      <c r="U33" s="6">
        <f>'YTD BS'!U33</f>
        <v/>
      </c>
      <c r="V33" s="6">
        <f>'BALANCE SHEET'!G32</f>
        <v/>
      </c>
    </row>
    <row r="34">
      <c r="A34" s="3" t="inlineStr">
        <is>
          <t>Total Liabilities, Mezzanine &amp; Stockholders' Equity</t>
        </is>
      </c>
      <c r="B34" s="6">
        <f>'BALANCE SHEET'!B33</f>
        <v/>
      </c>
      <c r="C34" s="6">
        <f>'YTD BS'!C34</f>
        <v/>
      </c>
      <c r="D34" s="6">
        <f>'YTD BS'!D34</f>
        <v/>
      </c>
      <c r="E34" s="6">
        <f>'YTD BS'!E34</f>
        <v/>
      </c>
      <c r="F34" s="6">
        <f>'BALANCE SHEET'!C33</f>
        <v/>
      </c>
      <c r="G34" s="6">
        <f>'YTD BS'!G34</f>
        <v/>
      </c>
      <c r="H34" s="6">
        <f>'YTD BS'!H34</f>
        <v/>
      </c>
      <c r="I34" s="6">
        <f>'YTD BS'!I34</f>
        <v/>
      </c>
      <c r="J34" s="6">
        <f>'BALANCE SHEET'!D33</f>
        <v/>
      </c>
      <c r="K34" s="6">
        <f>'YTD BS'!K34</f>
        <v/>
      </c>
      <c r="L34" s="6">
        <f>'YTD BS'!L34</f>
        <v/>
      </c>
      <c r="M34" s="6">
        <f>'YTD BS'!M34</f>
        <v/>
      </c>
      <c r="N34" s="6">
        <f>'BALANCE SHEET'!E33</f>
        <v/>
      </c>
      <c r="O34" s="6">
        <f>'YTD BS'!O34</f>
        <v/>
      </c>
      <c r="P34" s="6">
        <f>'YTD BS'!P34</f>
        <v/>
      </c>
      <c r="Q34" s="6">
        <f>'YTD BS'!Q34</f>
        <v/>
      </c>
      <c r="R34" s="6">
        <f>'BALANCE SHEET'!F33</f>
        <v/>
      </c>
      <c r="S34" s="6">
        <f>'YTD BS'!S34</f>
        <v/>
      </c>
      <c r="T34" s="6">
        <f>'YTD BS'!T34</f>
        <v/>
      </c>
      <c r="U34" s="6">
        <f>'YTD BS'!U34</f>
        <v/>
      </c>
      <c r="V34" s="6">
        <f>'BALANCE SHEET'!G33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/>
      <c r="B1" s="2" t="inlineStr">
        <is>
          <t>Q1 FY2020</t>
        </is>
      </c>
      <c r="C1" s="2" t="inlineStr">
        <is>
          <t>Q2 FY2020</t>
        </is>
      </c>
      <c r="D1" s="2" t="inlineStr">
        <is>
          <t>Q3 FY2020</t>
        </is>
      </c>
      <c r="E1" s="2" t="inlineStr">
        <is>
          <t>Q4 FY2020</t>
        </is>
      </c>
      <c r="F1" s="2" t="inlineStr">
        <is>
          <t>Q1 FY2021</t>
        </is>
      </c>
      <c r="G1" s="2" t="inlineStr">
        <is>
          <t>Q2 FY2021</t>
        </is>
      </c>
      <c r="H1" s="2" t="inlineStr">
        <is>
          <t>Q3 FY2021</t>
        </is>
      </c>
      <c r="I1" s="2" t="inlineStr">
        <is>
          <t>Q4 FY2021</t>
        </is>
      </c>
      <c r="J1" s="2" t="inlineStr">
        <is>
          <t>Q1 FY2022</t>
        </is>
      </c>
      <c r="K1" s="2" t="inlineStr">
        <is>
          <t>Q2 FY2022</t>
        </is>
      </c>
      <c r="L1" s="2" t="inlineStr">
        <is>
          <t>Q3 FY2022</t>
        </is>
      </c>
      <c r="M1" s="2" t="inlineStr">
        <is>
          <t>Q4 FY2022</t>
        </is>
      </c>
      <c r="N1" s="2" t="inlineStr">
        <is>
          <t>Q1 FY2023</t>
        </is>
      </c>
      <c r="O1" s="2" t="inlineStr">
        <is>
          <t>Q2 FY2023</t>
        </is>
      </c>
      <c r="P1" s="2" t="inlineStr">
        <is>
          <t>Q3 FY2023</t>
        </is>
      </c>
      <c r="Q1" s="2" t="inlineStr">
        <is>
          <t>Q4 FY2023</t>
        </is>
      </c>
      <c r="R1" s="2" t="inlineStr">
        <is>
          <t>Q1 FY2024</t>
        </is>
      </c>
      <c r="S1" s="2" t="inlineStr">
        <is>
          <t>Q2 FY2024</t>
        </is>
      </c>
      <c r="T1" s="2" t="inlineStr">
        <is>
          <t>Q3 FY2024</t>
        </is>
      </c>
      <c r="U1" s="2" t="inlineStr">
        <is>
          <t>Q4 FY2024</t>
        </is>
      </c>
      <c r="V1" s="2" t="inlineStr">
        <is>
          <t>Q1 FY2025</t>
        </is>
      </c>
      <c r="W1" s="2" t="inlineStr">
        <is>
          <t>Q2 FY2025</t>
        </is>
      </c>
      <c r="X1" s="2" t="inlineStr">
        <is>
          <t>Q3 FY2025</t>
        </is>
      </c>
      <c r="Y1" s="2" t="inlineStr">
        <is>
          <t>Q4 FY2025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4">
        <f>'YTD CF'!O2-'YTD CF'!N2</f>
        <v/>
      </c>
      <c r="T2" s="4">
        <f>'YTD CF'!P2-'YTD CF'!O2</f>
        <v/>
      </c>
      <c r="U2" s="4">
        <f>'CASH FLOW'!G2-'YTD CF'!P2</f>
        <v/>
      </c>
      <c r="V2" s="4">
        <f>'YTD CF'!Q2</f>
        <v/>
      </c>
      <c r="W2" s="4">
        <f>'YTD CF'!R2-'YTD CF'!Q2</f>
        <v/>
      </c>
      <c r="X2" s="4">
        <f>'YTD CF'!S2-'YTD CF'!R2</f>
        <v/>
      </c>
      <c r="Y2" s="4">
        <f>'CASH FLOW'!H2-'YTD CF'!S2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4">
        <f>'YTD CF'!O3-'YTD CF'!N3</f>
        <v/>
      </c>
      <c r="T3" s="4">
        <f>'YTD CF'!P3-'YTD CF'!O3</f>
        <v/>
      </c>
      <c r="U3" s="4">
        <f>'CASH FLOW'!G3-'YTD CF'!P3</f>
        <v/>
      </c>
      <c r="V3" s="4">
        <f>'YTD CF'!Q3</f>
        <v/>
      </c>
      <c r="W3" s="4">
        <f>'YTD CF'!R3-'YTD CF'!Q3</f>
        <v/>
      </c>
      <c r="X3" s="4">
        <f>'YTD CF'!S3-'YTD CF'!R3</f>
        <v/>
      </c>
      <c r="Y3" s="4">
        <f>'CASH FLOW'!H3-'YTD CF'!S3</f>
        <v/>
      </c>
    </row>
    <row r="4">
      <c r="A4" s="3" t="inlineStr">
        <is>
          <t>Non-Cash Lease Expense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4">
        <f>'YTD CF'!O4-'YTD CF'!N4</f>
        <v/>
      </c>
      <c r="T4" s="4">
        <f>'YTD CF'!P4-'YTD CF'!O4</f>
        <v/>
      </c>
      <c r="U4" s="4">
        <f>'CASH FLOW'!G4-'YTD CF'!P4</f>
        <v/>
      </c>
      <c r="V4" s="4">
        <f>'YTD CF'!Q4</f>
        <v/>
      </c>
      <c r="W4" s="4">
        <f>'YTD CF'!R4-'YTD CF'!Q4</f>
        <v/>
      </c>
      <c r="X4" s="4">
        <f>'YTD CF'!S4-'YTD CF'!R4</f>
        <v/>
      </c>
      <c r="Y4" s="4">
        <f>'CASH FLOW'!H4-'YTD CF'!S4</f>
        <v/>
      </c>
    </row>
    <row r="5">
      <c r="A5" s="3" t="inlineStr">
        <is>
          <t>Gain (Loss) on Disposal of PP&amp;E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4">
        <f>'YTD CF'!O5-'YTD CF'!N5</f>
        <v/>
      </c>
      <c r="T5" s="4">
        <f>'YTD CF'!P5-'YTD CF'!O5</f>
        <v/>
      </c>
      <c r="U5" s="4">
        <f>'CASH FLOW'!G5-'YTD CF'!P5</f>
        <v/>
      </c>
      <c r="V5" s="4">
        <f>'YTD CF'!Q5</f>
        <v/>
      </c>
      <c r="W5" s="4">
        <f>'YTD CF'!R5-'YTD CF'!Q5</f>
        <v/>
      </c>
      <c r="X5" s="4">
        <f>'YTD CF'!S5-'YTD CF'!R5</f>
        <v/>
      </c>
      <c r="Y5" s="4">
        <f>'CASH FLOW'!H5-'YTD CF'!S5</f>
        <v/>
      </c>
    </row>
    <row r="6">
      <c r="A6" s="3" t="inlineStr">
        <is>
          <t>Gain on Bang Transaction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FLOW'!C6-'YTD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FLOW'!D6-'YTD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FLOW'!E6-'YTD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FLOW'!F6-'YTD CF'!M6</f>
        <v/>
      </c>
      <c r="R6" s="4">
        <f>'YTD CF'!N6</f>
        <v/>
      </c>
      <c r="S6" s="4">
        <f>'YTD CF'!O6-'YTD CF'!N6</f>
        <v/>
      </c>
      <c r="T6" s="4">
        <f>'YTD CF'!P6-'YTD CF'!O6</f>
        <v/>
      </c>
      <c r="U6" s="4">
        <f>'CASH FLOW'!G6-'YTD CF'!P6</f>
        <v/>
      </c>
      <c r="V6" s="4">
        <f>'YTD CF'!Q6</f>
        <v/>
      </c>
      <c r="W6" s="4">
        <f>'YTD CF'!R6-'YTD CF'!Q6</f>
        <v/>
      </c>
      <c r="X6" s="4">
        <f>'YTD CF'!S6-'YTD CF'!R6</f>
        <v/>
      </c>
      <c r="Y6" s="4">
        <f>'CASH FLOW'!H6-'YTD CF'!S6</f>
        <v/>
      </c>
    </row>
    <row r="7">
      <c r="A7" s="3" t="inlineStr">
        <is>
          <t>Impairment of Intangibles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  <c r="S7" s="4">
        <f>'YTD CF'!O7-'YTD CF'!N7</f>
        <v/>
      </c>
      <c r="T7" s="4">
        <f>'YTD CF'!P7-'YTD CF'!O7</f>
        <v/>
      </c>
      <c r="U7" s="4">
        <f>'CASH FLOW'!G7-'YTD CF'!P7</f>
        <v/>
      </c>
      <c r="V7" s="4">
        <f>'YTD CF'!Q7</f>
        <v/>
      </c>
      <c r="W7" s="4">
        <f>'YTD CF'!R7-'YTD CF'!Q7</f>
        <v/>
      </c>
      <c r="X7" s="4">
        <f>'YTD CF'!S7-'YTD CF'!R7</f>
        <v/>
      </c>
      <c r="Y7" s="4">
        <f>'CASH FLOW'!H7-'YTD CF'!S7</f>
        <v/>
      </c>
    </row>
    <row r="8">
      <c r="A8" s="3" t="inlineStr">
        <is>
          <t>Impairment of Long-Lived Assets (PP&amp;E)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  <c r="S8" s="4">
        <f>'YTD CF'!O8-'YTD CF'!N8</f>
        <v/>
      </c>
      <c r="T8" s="4">
        <f>'YTD CF'!P8-'YTD CF'!O8</f>
        <v/>
      </c>
      <c r="U8" s="4">
        <f>'CASH FLOW'!G8-'YTD CF'!P8</f>
        <v/>
      </c>
      <c r="V8" s="4">
        <f>'YTD CF'!Q8</f>
        <v/>
      </c>
      <c r="W8" s="4">
        <f>'YTD CF'!R8-'YTD CF'!Q8</f>
        <v/>
      </c>
      <c r="X8" s="4">
        <f>'YTD CF'!S8-'YTD CF'!R8</f>
        <v/>
      </c>
      <c r="Y8" s="4">
        <f>'CASH FLOW'!H8-'YTD CF'!S8</f>
        <v/>
      </c>
    </row>
    <row r="9">
      <c r="A9" s="3" t="inlineStr">
        <is>
          <t>Stock-Based Compensation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  <c r="S9" s="4">
        <f>'YTD CF'!O9-'YTD CF'!N9</f>
        <v/>
      </c>
      <c r="T9" s="4">
        <f>'YTD CF'!P9-'YTD CF'!O9</f>
        <v/>
      </c>
      <c r="U9" s="4">
        <f>'CASH FLOW'!G9-'YTD CF'!P9</f>
        <v/>
      </c>
      <c r="V9" s="4">
        <f>'YTD CF'!Q9</f>
        <v/>
      </c>
      <c r="W9" s="4">
        <f>'YTD CF'!R9-'YTD CF'!Q9</f>
        <v/>
      </c>
      <c r="X9" s="4">
        <f>'YTD CF'!S9-'YTD CF'!R9</f>
        <v/>
      </c>
      <c r="Y9" s="4">
        <f>'CASH FLOW'!H9-'YTD CF'!S9</f>
        <v/>
      </c>
    </row>
    <row r="10">
      <c r="A10" s="3" t="inlineStr">
        <is>
          <t>(Benefit) Provision for Deferred Income Taxes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  <c r="S10" s="4">
        <f>'YTD CF'!O10-'YTD CF'!N10</f>
        <v/>
      </c>
      <c r="T10" s="4">
        <f>'YTD CF'!P10-'YTD CF'!O10</f>
        <v/>
      </c>
      <c r="U10" s="4">
        <f>'CASH FLOW'!G10-'YTD CF'!P10</f>
        <v/>
      </c>
      <c r="V10" s="4">
        <f>'YTD CF'!Q10</f>
        <v/>
      </c>
      <c r="W10" s="4">
        <f>'YTD CF'!R10-'YTD CF'!Q10</f>
        <v/>
      </c>
      <c r="X10" s="4">
        <f>'YTD CF'!S10-'YTD CF'!R10</f>
        <v/>
      </c>
      <c r="Y10" s="4">
        <f>'CASH FLOW'!H10-'YTD CF'!S10</f>
        <v/>
      </c>
    </row>
    <row r="11">
      <c r="A11" s="3" t="inlineStr">
        <is>
          <t>Accounts Receivable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  <c r="S11" s="4">
        <f>'YTD CF'!O11-'YTD CF'!N11</f>
        <v/>
      </c>
      <c r="T11" s="4">
        <f>'YTD CF'!P11-'YTD CF'!O11</f>
        <v/>
      </c>
      <c r="U11" s="4">
        <f>'CASH FLOW'!G11-'YTD CF'!P11</f>
        <v/>
      </c>
      <c r="V11" s="4">
        <f>'YTD CF'!Q11</f>
        <v/>
      </c>
      <c r="W11" s="4">
        <f>'YTD CF'!R11-'YTD CF'!Q11</f>
        <v/>
      </c>
      <c r="X11" s="4">
        <f>'YTD CF'!S11-'YTD CF'!R11</f>
        <v/>
      </c>
      <c r="Y11" s="4">
        <f>'CASH FLOW'!H11-'YTD CF'!S11</f>
        <v/>
      </c>
    </row>
    <row r="12">
      <c r="A12" s="3" t="inlineStr">
        <is>
          <t>Distributor Receivables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R12" s="4">
        <f>'YTD CF'!N12</f>
        <v/>
      </c>
      <c r="S12" s="4">
        <f>'YTD CF'!O12-'YTD CF'!N12</f>
        <v/>
      </c>
      <c r="T12" s="4">
        <f>'YTD CF'!P12-'YTD CF'!O12</f>
        <v/>
      </c>
      <c r="V12" s="4">
        <f>'YTD CF'!Q12</f>
        <v/>
      </c>
      <c r="W12" s="4">
        <f>'YTD CF'!R12-'YTD CF'!Q12</f>
        <v/>
      </c>
      <c r="X12" s="4">
        <f>'YTD CF'!S12-'YTD CF'!R12</f>
        <v/>
      </c>
    </row>
    <row r="13">
      <c r="A13" s="3" t="inlineStr">
        <is>
          <t>Inventories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FLOW'!C12-'YTD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FLOW'!D12-'YTD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FLOW'!E12-'YTD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FLOW'!F12-'YTD CF'!M13</f>
        <v/>
      </c>
      <c r="R13" s="4">
        <f>'YTD CF'!N13</f>
        <v/>
      </c>
      <c r="S13" s="4">
        <f>'YTD CF'!O13-'YTD CF'!N13</f>
        <v/>
      </c>
      <c r="T13" s="4">
        <f>'YTD CF'!P13-'YTD CF'!O13</f>
        <v/>
      </c>
      <c r="U13" s="4">
        <f>'CASH FLOW'!G12-'YTD CF'!P13</f>
        <v/>
      </c>
      <c r="V13" s="4">
        <f>'YTD CF'!Q13</f>
        <v/>
      </c>
      <c r="W13" s="4">
        <f>'YTD CF'!R13-'YTD CF'!Q13</f>
        <v/>
      </c>
      <c r="X13" s="4">
        <f>'YTD CF'!S13-'YTD CF'!R13</f>
        <v/>
      </c>
      <c r="Y13" s="4">
        <f>'CASH FLOW'!H12-'YTD CF'!S13</f>
        <v/>
      </c>
    </row>
    <row r="14">
      <c r="A14" s="3" t="inlineStr">
        <is>
          <t>Prepaid Expenses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FLOW'!C13-'YTD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FLOW'!D13-'YTD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FLOW'!E13-'YTD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FLOW'!F13-'YTD CF'!M14</f>
        <v/>
      </c>
      <c r="R14" s="4">
        <f>'YTD CF'!N14</f>
        <v/>
      </c>
      <c r="S14" s="4">
        <f>'YTD CF'!O14-'YTD CF'!N14</f>
        <v/>
      </c>
      <c r="T14" s="4">
        <f>'YTD CF'!P14-'YTD CF'!O14</f>
        <v/>
      </c>
      <c r="U14" s="4">
        <f>'CASH FLOW'!G13-'YTD CF'!P14</f>
        <v/>
      </c>
      <c r="V14" s="4">
        <f>'YTD CF'!Q14</f>
        <v/>
      </c>
      <c r="W14" s="4">
        <f>'YTD CF'!R14-'YTD CF'!Q14</f>
        <v/>
      </c>
      <c r="X14" s="4">
        <f>'YTD CF'!S14-'YTD CF'!R14</f>
        <v/>
      </c>
      <c r="Y14" s="4">
        <f>'CASH FLOW'!H13-'YTD CF'!S14</f>
        <v/>
      </c>
    </row>
    <row r="15">
      <c r="A15" s="3" t="inlineStr">
        <is>
          <t>Change in Prepaid Income Taxes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FLOW'!C14-'YTD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FLOW'!D14-'YTD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FLOW'!E14-'YTD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FLOW'!F14-'YTD CF'!M15</f>
        <v/>
      </c>
      <c r="R15" s="4">
        <f>'YTD CF'!N15</f>
        <v/>
      </c>
      <c r="S15" s="4">
        <f>'YTD CF'!O15-'YTD CF'!N15</f>
        <v/>
      </c>
      <c r="T15" s="4">
        <f>'YTD CF'!P15-'YTD CF'!O15</f>
        <v/>
      </c>
      <c r="U15" s="4">
        <f>'CASH FLOW'!G14-'YTD CF'!P15</f>
        <v/>
      </c>
      <c r="V15" s="4">
        <f>'YTD CF'!Q15</f>
        <v/>
      </c>
      <c r="W15" s="4">
        <f>'YTD CF'!R15-'YTD CF'!Q15</f>
        <v/>
      </c>
      <c r="X15" s="4">
        <f>'YTD CF'!S15-'YTD CF'!R15</f>
        <v/>
      </c>
      <c r="Y15" s="4">
        <f>'CASH FLOW'!H14-'YTD CF'!S15</f>
        <v/>
      </c>
    </row>
    <row r="16">
      <c r="A16" s="3" t="inlineStr">
        <is>
          <t>Accounts Payable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FLOW'!C15-'YTD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FLOW'!D15-'YTD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FLOW'!E15-'YTD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FLOW'!F15-'YTD CF'!M16</f>
        <v/>
      </c>
      <c r="R16" s="4">
        <f>'YTD CF'!N16</f>
        <v/>
      </c>
      <c r="S16" s="4">
        <f>'YTD CF'!O16-'YTD CF'!N16</f>
        <v/>
      </c>
      <c r="T16" s="4">
        <f>'YTD CF'!P16-'YTD CF'!O16</f>
        <v/>
      </c>
      <c r="U16" s="4">
        <f>'CASH FLOW'!G15-'YTD CF'!P16</f>
        <v/>
      </c>
      <c r="V16" s="4">
        <f>'YTD CF'!Q16</f>
        <v/>
      </c>
      <c r="W16" s="4">
        <f>'YTD CF'!R16-'YTD CF'!Q16</f>
        <v/>
      </c>
      <c r="X16" s="4">
        <f>'YTD CF'!S16-'YTD CF'!R16</f>
        <v/>
      </c>
      <c r="Y16" s="4">
        <f>'CASH FLOW'!H15-'YTD CF'!S16</f>
        <v/>
      </c>
    </row>
    <row r="17">
      <c r="A17" s="3" t="inlineStr">
        <is>
          <t>Accrued Expenses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FLOW'!C16-'YTD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FLOW'!D16-'YTD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FLOW'!E16-'YTD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FLOW'!F16-'YTD CF'!M17</f>
        <v/>
      </c>
      <c r="R17" s="4">
        <f>'YTD CF'!N17</f>
        <v/>
      </c>
      <c r="S17" s="4">
        <f>'YTD CF'!O17-'YTD CF'!N17</f>
        <v/>
      </c>
      <c r="T17" s="4">
        <f>'YTD CF'!P17-'YTD CF'!O17</f>
        <v/>
      </c>
      <c r="U17" s="4">
        <f>'CASH FLOW'!G16-'YTD CF'!P17</f>
        <v/>
      </c>
      <c r="V17" s="4">
        <f>'YTD CF'!Q17</f>
        <v/>
      </c>
      <c r="W17" s="4">
        <f>'YTD CF'!R17-'YTD CF'!Q17</f>
        <v/>
      </c>
      <c r="X17" s="4">
        <f>'YTD CF'!S17-'YTD CF'!R17</f>
        <v/>
      </c>
      <c r="Y17" s="4">
        <f>'CASH FLOW'!H16-'YTD CF'!S17</f>
        <v/>
      </c>
    </row>
    <row r="18">
      <c r="A18" s="3" t="inlineStr">
        <is>
          <t>Accrued Promotional Allowance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FLOW'!C17-'YTD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FLOW'!D17-'YTD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FLOW'!E17-'YTD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FLOW'!F17-'YTD CF'!M18</f>
        <v/>
      </c>
      <c r="R18" s="4">
        <f>'YTD CF'!N18</f>
        <v/>
      </c>
      <c r="S18" s="4">
        <f>'YTD CF'!O18-'YTD CF'!N18</f>
        <v/>
      </c>
      <c r="T18" s="4">
        <f>'YTD CF'!P18-'YTD CF'!O18</f>
        <v/>
      </c>
      <c r="U18" s="4">
        <f>'CASH FLOW'!G17-'YTD CF'!P18</f>
        <v/>
      </c>
      <c r="V18" s="4">
        <f>'YTD CF'!Q18</f>
        <v/>
      </c>
      <c r="W18" s="4">
        <f>'YTD CF'!R18-'YTD CF'!Q18</f>
        <v/>
      </c>
      <c r="X18" s="4">
        <f>'YTD CF'!S18-'YTD CF'!R18</f>
        <v/>
      </c>
      <c r="Y18" s="4">
        <f>'CASH FLOW'!H17-'YTD CF'!S18</f>
        <v/>
      </c>
    </row>
    <row r="19">
      <c r="A19" s="3" t="inlineStr">
        <is>
          <t>Accrued Distributor Terminations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R19" s="4">
        <f>'YTD CF'!N19</f>
        <v/>
      </c>
      <c r="S19" s="4">
        <f>'YTD CF'!O19-'YTD CF'!N19</f>
        <v/>
      </c>
      <c r="T19" s="4">
        <f>'YTD CF'!P19-'YTD CF'!O19</f>
        <v/>
      </c>
      <c r="V19" s="4">
        <f>'YTD CF'!Q19</f>
        <v/>
      </c>
      <c r="W19" s="4">
        <f>'YTD CF'!R19-'YTD CF'!Q19</f>
        <v/>
      </c>
      <c r="X19" s="4">
        <f>'YTD CF'!S19-'YTD CF'!R19</f>
        <v/>
      </c>
    </row>
    <row r="20">
      <c r="A20" s="3" t="inlineStr">
        <is>
          <t>Change in Accrued Compensation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FLOW'!C18-'YTD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FLOW'!D18-'YTD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FLOW'!E18-'YTD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FLOW'!F18-'YTD CF'!M20</f>
        <v/>
      </c>
      <c r="R20" s="4">
        <f>'YTD CF'!N20</f>
        <v/>
      </c>
      <c r="S20" s="4">
        <f>'YTD CF'!O20-'YTD CF'!N20</f>
        <v/>
      </c>
      <c r="T20" s="4">
        <f>'YTD CF'!P20-'YTD CF'!O20</f>
        <v/>
      </c>
      <c r="U20" s="4">
        <f>'CASH FLOW'!G18-'YTD CF'!P20</f>
        <v/>
      </c>
      <c r="V20" s="4">
        <f>'YTD CF'!Q20</f>
        <v/>
      </c>
      <c r="W20" s="4">
        <f>'YTD CF'!R20-'YTD CF'!Q20</f>
        <v/>
      </c>
      <c r="X20" s="4">
        <f>'YTD CF'!S20-'YTD CF'!R20</f>
        <v/>
      </c>
      <c r="Y20" s="4">
        <f>'CASH FLOW'!H18-'YTD CF'!S20</f>
        <v/>
      </c>
    </row>
    <row r="21">
      <c r="A21" s="3" t="inlineStr">
        <is>
          <t>Other Current Liabilities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FLOW'!C19-'YTD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FLOW'!D19-'YTD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FLOW'!E19-'YTD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FLOW'!F19-'YTD CF'!M21</f>
        <v/>
      </c>
      <c r="R21" s="4">
        <f>'YTD CF'!N21</f>
        <v/>
      </c>
      <c r="S21" s="4">
        <f>'YTD CF'!O21-'YTD CF'!N21</f>
        <v/>
      </c>
      <c r="T21" s="4">
        <f>'YTD CF'!P21-'YTD CF'!O21</f>
        <v/>
      </c>
      <c r="U21" s="4">
        <f>'CASH FLOW'!G19-'YTD CF'!P21</f>
        <v/>
      </c>
      <c r="V21" s="4">
        <f>'YTD CF'!Q21</f>
        <v/>
      </c>
      <c r="W21" s="4">
        <f>'YTD CF'!R21-'YTD CF'!Q21</f>
        <v/>
      </c>
      <c r="X21" s="4">
        <f>'YTD CF'!S21-'YTD CF'!R21</f>
        <v/>
      </c>
      <c r="Y21" s="4">
        <f>'CASH FLOW'!H19-'YTD CF'!S21</f>
        <v/>
      </c>
    </row>
    <row r="22">
      <c r="A22" s="3" t="inlineStr">
        <is>
          <t>Net Change in Other Working Capital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FLOW'!C20-'YTD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FLOW'!D20-'YTD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FLOW'!E20-'YTD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FLOW'!F20-'YTD CF'!M22</f>
        <v/>
      </c>
      <c r="R22" s="4">
        <f>'YTD CF'!N22</f>
        <v/>
      </c>
      <c r="S22" s="4">
        <f>'YTD CF'!O22-'YTD CF'!N22</f>
        <v/>
      </c>
      <c r="T22" s="4">
        <f>'YTD CF'!P22-'YTD CF'!O22</f>
        <v/>
      </c>
      <c r="U22" s="4">
        <f>'CASH FLOW'!G20-'YTD CF'!P22</f>
        <v/>
      </c>
      <c r="V22" s="4">
        <f>'YTD CF'!Q22</f>
        <v/>
      </c>
      <c r="W22" s="4">
        <f>'YTD CF'!R22-'YTD CF'!Q22</f>
        <v/>
      </c>
      <c r="X22" s="4">
        <f>'YTD CF'!S22-'YTD CF'!R22</f>
        <v/>
      </c>
      <c r="Y22" s="4">
        <f>'CASH FLOW'!H20-'YTD CF'!S22</f>
        <v/>
      </c>
    </row>
    <row r="23">
      <c r="A23" s="3" t="inlineStr">
        <is>
          <t>Deferred Revenue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FLOW'!C21-'YTD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FLOW'!D21-'YTD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FLOW'!E21-'YTD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FLOW'!F21-'YTD CF'!M23</f>
        <v/>
      </c>
      <c r="R23" s="4">
        <f>'YTD CF'!N23</f>
        <v/>
      </c>
      <c r="S23" s="4">
        <f>'YTD CF'!O23-'YTD CF'!N23</f>
        <v/>
      </c>
      <c r="T23" s="4">
        <f>'YTD CF'!P23-'YTD CF'!O23</f>
        <v/>
      </c>
      <c r="U23" s="4">
        <f>'CASH FLOW'!G21-'YTD CF'!P23</f>
        <v/>
      </c>
      <c r="V23" s="4">
        <f>'YTD CF'!Q23</f>
        <v/>
      </c>
      <c r="W23" s="4">
        <f>'YTD CF'!R23-'YTD CF'!Q23</f>
        <v/>
      </c>
      <c r="X23" s="4">
        <f>'YTD CF'!S23-'YTD CF'!R23</f>
        <v/>
      </c>
      <c r="Y23" s="4">
        <f>'CASH FLOW'!H21-'YTD CF'!S23</f>
        <v/>
      </c>
    </row>
    <row r="24">
      <c r="A24" s="3" t="inlineStr">
        <is>
          <t>Cash Flow from Operations</t>
        </is>
      </c>
      <c r="B24" s="6">
        <f>'YTD CF'!B24</f>
        <v/>
      </c>
      <c r="C24" s="6">
        <f>'YTD CF'!C24-'YTD CF'!B24</f>
        <v/>
      </c>
      <c r="D24" s="6">
        <f>'YTD CF'!D24-'YTD CF'!C24</f>
        <v/>
      </c>
      <c r="E24" s="6">
        <f>'CASH FLOW'!C22-'YTD CF'!D24</f>
        <v/>
      </c>
      <c r="F24" s="6">
        <f>'YTD CF'!E24</f>
        <v/>
      </c>
      <c r="G24" s="6">
        <f>'YTD CF'!F24-'YTD CF'!E24</f>
        <v/>
      </c>
      <c r="H24" s="6">
        <f>'YTD CF'!G24-'YTD CF'!F24</f>
        <v/>
      </c>
      <c r="I24" s="6">
        <f>'CASH FLOW'!D22-'YTD CF'!G24</f>
        <v/>
      </c>
      <c r="J24" s="6">
        <f>'YTD CF'!H24</f>
        <v/>
      </c>
      <c r="K24" s="6">
        <f>'YTD CF'!I24-'YTD CF'!H24</f>
        <v/>
      </c>
      <c r="L24" s="6">
        <f>'YTD CF'!J24-'YTD CF'!I24</f>
        <v/>
      </c>
      <c r="M24" s="6">
        <f>'CASH FLOW'!E22-'YTD CF'!J24</f>
        <v/>
      </c>
      <c r="N24" s="6">
        <f>'YTD CF'!K24</f>
        <v/>
      </c>
      <c r="O24" s="6">
        <f>'YTD CF'!L24-'YTD CF'!K24</f>
        <v/>
      </c>
      <c r="P24" s="6">
        <f>'YTD CF'!M24-'YTD CF'!L24</f>
        <v/>
      </c>
      <c r="Q24" s="6">
        <f>'CASH FLOW'!F22-'YTD CF'!M24</f>
        <v/>
      </c>
      <c r="R24" s="6">
        <f>'YTD CF'!N24</f>
        <v/>
      </c>
      <c r="S24" s="6">
        <f>'YTD CF'!O24-'YTD CF'!N24</f>
        <v/>
      </c>
      <c r="T24" s="6">
        <f>'YTD CF'!P24-'YTD CF'!O24</f>
        <v/>
      </c>
      <c r="U24" s="6">
        <f>'CASH FLOW'!G22-'YTD CF'!P24</f>
        <v/>
      </c>
      <c r="V24" s="6">
        <f>'YTD CF'!Q24</f>
        <v/>
      </c>
      <c r="W24" s="6">
        <f>'YTD CF'!R24-'YTD CF'!Q24</f>
        <v/>
      </c>
      <c r="X24" s="6">
        <f>'YTD CF'!S24-'YTD CF'!R24</f>
        <v/>
      </c>
      <c r="Y24" s="6">
        <f>'CASH FLOW'!H22-'YTD CF'!S24</f>
        <v/>
      </c>
    </row>
    <row r="25">
      <c r="A25" s="3" t="inlineStr">
        <is>
          <t>Net Change in Long-Term Investments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FLOW'!C23-'YTD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FLOW'!D23-'YTD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FLOW'!E23-'YTD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FLOW'!F23-'YTD CF'!M25</f>
        <v/>
      </c>
      <c r="R25" s="4">
        <f>'YTD CF'!N25</f>
        <v/>
      </c>
      <c r="S25" s="4">
        <f>'YTD CF'!O25-'YTD CF'!N25</f>
        <v/>
      </c>
      <c r="T25" s="4">
        <f>'YTD CF'!P25-'YTD CF'!O25</f>
        <v/>
      </c>
      <c r="U25" s="4">
        <f>'CASH FLOW'!G23-'YTD CF'!P25</f>
        <v/>
      </c>
      <c r="V25" s="4">
        <f>'YTD CF'!Q25</f>
        <v/>
      </c>
      <c r="W25" s="4">
        <f>'YTD CF'!R25-'YTD CF'!Q25</f>
        <v/>
      </c>
      <c r="X25" s="4">
        <f>'YTD CF'!S25-'YTD CF'!R25</f>
        <v/>
      </c>
      <c r="Y25" s="4">
        <f>'CASH FLOW'!H23-'YTD CF'!S25</f>
        <v/>
      </c>
    </row>
    <row r="26">
      <c r="A26" s="3" t="inlineStr">
        <is>
          <t>Acquisition of CANarchy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FLOW'!C24-'YTD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FLOW'!D24-'YTD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FLOW'!E24-'YTD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FLOW'!F24-'YTD CF'!M26</f>
        <v/>
      </c>
      <c r="R26" s="4">
        <f>'YTD CF'!N26</f>
        <v/>
      </c>
      <c r="S26" s="4">
        <f>'YTD CF'!O26-'YTD CF'!N26</f>
        <v/>
      </c>
      <c r="T26" s="4">
        <f>'YTD CF'!P26-'YTD CF'!O26</f>
        <v/>
      </c>
      <c r="U26" s="4">
        <f>'CASH FLOW'!G24-'YTD CF'!P26</f>
        <v/>
      </c>
      <c r="V26" s="4">
        <f>'YTD CF'!Q26</f>
        <v/>
      </c>
      <c r="W26" s="4">
        <f>'YTD CF'!R26-'YTD CF'!Q26</f>
        <v/>
      </c>
      <c r="X26" s="4">
        <f>'YTD CF'!S26-'YTD CF'!R26</f>
        <v/>
      </c>
      <c r="Y26" s="4">
        <f>'CASH FLOW'!H24-'YTD CF'!S26</f>
        <v/>
      </c>
    </row>
    <row r="27">
      <c r="A27" s="3" t="inlineStr">
        <is>
          <t>Acquisition of Monster Brewing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FLOW'!C25-'YTD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FLOW'!D25-'YTD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FLOW'!E25-'YTD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FLOW'!F25-'YTD CF'!M27</f>
        <v/>
      </c>
      <c r="R27" s="4">
        <f>'YTD CF'!N27</f>
        <v/>
      </c>
      <c r="S27" s="4">
        <f>'YTD CF'!O27-'YTD CF'!N27</f>
        <v/>
      </c>
      <c r="T27" s="4">
        <f>'YTD CF'!P27-'YTD CF'!O27</f>
        <v/>
      </c>
      <c r="U27" s="4">
        <f>'CASH FLOW'!G25-'YTD CF'!P27</f>
        <v/>
      </c>
      <c r="V27" s="4">
        <f>'YTD CF'!Q27</f>
        <v/>
      </c>
      <c r="W27" s="4">
        <f>'YTD CF'!R27-'YTD CF'!Q27</f>
        <v/>
      </c>
      <c r="X27" s="4">
        <f>'YTD CF'!S27-'YTD CF'!R27</f>
        <v/>
      </c>
      <c r="Y27" s="4">
        <f>'CASH FLOW'!H25-'YTD CF'!S27</f>
        <v/>
      </c>
    </row>
    <row r="28">
      <c r="A28" s="3" t="inlineStr">
        <is>
          <t>Acquisition of Bang Energy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FLOW'!C26-'YTD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FLOW'!D26-'YTD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FLOW'!E26-'YTD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FLOW'!F26-'YTD CF'!M28</f>
        <v/>
      </c>
      <c r="R28" s="4">
        <f>'YTD CF'!N28</f>
        <v/>
      </c>
      <c r="S28" s="4">
        <f>'YTD CF'!O28-'YTD CF'!N28</f>
        <v/>
      </c>
      <c r="T28" s="4">
        <f>'YTD CF'!P28-'YTD CF'!O28</f>
        <v/>
      </c>
      <c r="U28" s="4">
        <f>'CASH FLOW'!G26-'YTD CF'!P28</f>
        <v/>
      </c>
      <c r="V28" s="4">
        <f>'YTD CF'!Q28</f>
        <v/>
      </c>
      <c r="W28" s="4">
        <f>'YTD CF'!R28-'YTD CF'!Q28</f>
        <v/>
      </c>
      <c r="X28" s="4">
        <f>'YTD CF'!S28-'YTD CF'!R28</f>
        <v/>
      </c>
      <c r="Y28" s="4">
        <f>'CASH FLOW'!H26-'YTD CF'!S28</f>
        <v/>
      </c>
    </row>
    <row r="29">
      <c r="A29" s="3" t="inlineStr">
        <is>
          <t>Purchase of PP&amp;E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FLOW'!C27-'YTD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FLOW'!D27-'YTD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FLOW'!E27-'YTD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FLOW'!F27-'YTD CF'!M29</f>
        <v/>
      </c>
      <c r="R29" s="4">
        <f>'YTD CF'!N29</f>
        <v/>
      </c>
      <c r="S29" s="4">
        <f>'YTD CF'!O29-'YTD CF'!N29</f>
        <v/>
      </c>
      <c r="T29" s="4">
        <f>'YTD CF'!P29-'YTD CF'!O29</f>
        <v/>
      </c>
      <c r="U29" s="4">
        <f>'CASH FLOW'!G27-'YTD CF'!P29</f>
        <v/>
      </c>
      <c r="V29" s="4">
        <f>'YTD CF'!Q29</f>
        <v/>
      </c>
      <c r="W29" s="4">
        <f>'YTD CF'!R29-'YTD CF'!Q29</f>
        <v/>
      </c>
      <c r="X29" s="4">
        <f>'YTD CF'!S29-'YTD CF'!R29</f>
        <v/>
      </c>
      <c r="Y29" s="4">
        <f>'CASH FLOW'!H27-'YTD CF'!S29</f>
        <v/>
      </c>
    </row>
    <row r="30">
      <c r="A30" s="3" t="inlineStr">
        <is>
          <t>Proceeds from Sale of Assets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FLOW'!C28-'YTD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FLOW'!D28-'YTD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FLOW'!E28-'YTD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FLOW'!F28-'YTD CF'!M30</f>
        <v/>
      </c>
      <c r="R30" s="4">
        <f>'YTD CF'!N30</f>
        <v/>
      </c>
      <c r="S30" s="4">
        <f>'YTD CF'!O30-'YTD CF'!N30</f>
        <v/>
      </c>
      <c r="T30" s="4">
        <f>'YTD CF'!P30-'YTD CF'!O30</f>
        <v/>
      </c>
      <c r="U30" s="4">
        <f>'CASH FLOW'!G28-'YTD CF'!P30</f>
        <v/>
      </c>
      <c r="V30" s="4">
        <f>'YTD CF'!Q30</f>
        <v/>
      </c>
      <c r="W30" s="4">
        <f>'YTD CF'!R30-'YTD CF'!Q30</f>
        <v/>
      </c>
      <c r="X30" s="4">
        <f>'YTD CF'!S30-'YTD CF'!R30</f>
        <v/>
      </c>
      <c r="Y30" s="4">
        <f>'CASH FLOW'!H28-'YTD CF'!S30</f>
        <v/>
      </c>
    </row>
    <row r="31">
      <c r="A31" s="3" t="inlineStr">
        <is>
          <t>Additions to Intangibles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FLOW'!C29-'YTD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FLOW'!D29-'YTD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FLOW'!E29-'YTD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FLOW'!F29-'YTD CF'!M31</f>
        <v/>
      </c>
      <c r="R31" s="4">
        <f>'YTD CF'!N31</f>
        <v/>
      </c>
      <c r="S31" s="4">
        <f>'YTD CF'!O31-'YTD CF'!N31</f>
        <v/>
      </c>
      <c r="T31" s="4">
        <f>'YTD CF'!P31-'YTD CF'!O31</f>
        <v/>
      </c>
      <c r="U31" s="4">
        <f>'CASH FLOW'!G29-'YTD CF'!P31</f>
        <v/>
      </c>
      <c r="V31" s="4">
        <f>'YTD CF'!Q31</f>
        <v/>
      </c>
      <c r="W31" s="4">
        <f>'YTD CF'!R31-'YTD CF'!Q31</f>
        <v/>
      </c>
      <c r="X31" s="4">
        <f>'YTD CF'!S31-'YTD CF'!R31</f>
        <v/>
      </c>
      <c r="Y31" s="4">
        <f>'CASH FLOW'!H29-'YTD CF'!S31</f>
        <v/>
      </c>
    </row>
    <row r="32">
      <c r="A32" s="3" t="inlineStr">
        <is>
          <t>Other Investing Activities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FLOW'!C30-'YTD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FLOW'!D30-'YTD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FLOW'!E30-'YTD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FLOW'!F30-'YTD CF'!M32</f>
        <v/>
      </c>
      <c r="R32" s="4">
        <f>'YTD CF'!N32</f>
        <v/>
      </c>
      <c r="S32" s="4">
        <f>'YTD CF'!O32-'YTD CF'!N32</f>
        <v/>
      </c>
      <c r="T32" s="4">
        <f>'YTD CF'!P32-'YTD CF'!O32</f>
        <v/>
      </c>
      <c r="U32" s="4">
        <f>'CASH FLOW'!G30-'YTD CF'!P32</f>
        <v/>
      </c>
      <c r="V32" s="4">
        <f>'YTD CF'!Q32</f>
        <v/>
      </c>
      <c r="W32" s="4">
        <f>'YTD CF'!R32-'YTD CF'!Q32</f>
        <v/>
      </c>
      <c r="X32" s="4">
        <f>'YTD CF'!S32-'YTD CF'!R32</f>
        <v/>
      </c>
      <c r="Y32" s="4">
        <f>'CASH FLOW'!H30-'YTD CF'!S32</f>
        <v/>
      </c>
    </row>
    <row r="33">
      <c r="A33" s="3" t="inlineStr">
        <is>
          <t>Cash Flow from Investing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FLOW'!C31-'YTD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FLOW'!D31-'YTD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FLOW'!E31-'YTD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FLOW'!F31-'YTD CF'!M33</f>
        <v/>
      </c>
      <c r="R33" s="6">
        <f>'YTD CF'!N33</f>
        <v/>
      </c>
      <c r="S33" s="6">
        <f>'YTD CF'!O33-'YTD CF'!N33</f>
        <v/>
      </c>
      <c r="T33" s="6">
        <f>'YTD CF'!P33-'YTD CF'!O33</f>
        <v/>
      </c>
      <c r="U33" s="6">
        <f>'CASH FLOW'!G31-'YTD CF'!P33</f>
        <v/>
      </c>
      <c r="V33" s="6">
        <f>'YTD CF'!Q33</f>
        <v/>
      </c>
      <c r="W33" s="6">
        <f>'YTD CF'!R33-'YTD CF'!Q33</f>
        <v/>
      </c>
      <c r="X33" s="6">
        <f>'YTD CF'!S33-'YTD CF'!R33</f>
        <v/>
      </c>
      <c r="Y33" s="6">
        <f>'CASH FLOW'!H31-'YTD CF'!S33</f>
        <v/>
      </c>
    </row>
    <row r="34">
      <c r="A34" s="3" t="inlineStr">
        <is>
          <t>Repayments of Short-Term Debt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R34" s="4">
        <f>'YTD CF'!N34</f>
        <v/>
      </c>
      <c r="S34" s="4">
        <f>'YTD CF'!O34-'YTD CF'!N34</f>
        <v/>
      </c>
      <c r="T34" s="4">
        <f>'YTD CF'!P34-'YTD CF'!O34</f>
        <v/>
      </c>
      <c r="V34" s="4">
        <f>'YTD CF'!Q34</f>
        <v/>
      </c>
      <c r="W34" s="4">
        <f>'YTD CF'!R34-'YTD CF'!Q34</f>
        <v/>
      </c>
      <c r="X34" s="4">
        <f>'YTD CF'!S34-'YTD CF'!R34</f>
        <v/>
      </c>
    </row>
    <row r="35">
      <c r="A35" s="3" t="inlineStr">
        <is>
          <t>Net Change in Other Short-Term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FLOW'!C32-'YTD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FLOW'!D32-'YTD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FLOW'!E32-'YTD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FLOW'!F32-'YTD CF'!M35</f>
        <v/>
      </c>
      <c r="R35" s="4">
        <f>'YTD CF'!N35</f>
        <v/>
      </c>
      <c r="S35" s="4">
        <f>'YTD CF'!O35-'YTD CF'!N35</f>
        <v/>
      </c>
      <c r="T35" s="4">
        <f>'YTD CF'!P35-'YTD CF'!O35</f>
        <v/>
      </c>
      <c r="U35" s="4">
        <f>'CASH FLOW'!G32-'YTD CF'!P35</f>
        <v/>
      </c>
      <c r="V35" s="4">
        <f>'YTD CF'!Q35</f>
        <v/>
      </c>
      <c r="W35" s="4">
        <f>'YTD CF'!R35-'YTD CF'!Q35</f>
        <v/>
      </c>
      <c r="X35" s="4">
        <f>'YTD CF'!S35-'YTD CF'!R35</f>
        <v/>
      </c>
      <c r="Y35" s="4">
        <f>'CASH FLOW'!H32-'YTD CF'!S35</f>
        <v/>
      </c>
    </row>
    <row r="36">
      <c r="A36" s="3" t="inlineStr">
        <is>
          <t>Proceeds from Issuance of Long-Term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FLOW'!C33-'YTD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FLOW'!D33-'YTD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FLOW'!E33-'YTD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FLOW'!F33-'YTD CF'!M36</f>
        <v/>
      </c>
      <c r="R36" s="4">
        <f>'YTD CF'!N36</f>
        <v/>
      </c>
      <c r="S36" s="4">
        <f>'YTD CF'!O36-'YTD CF'!N36</f>
        <v/>
      </c>
      <c r="T36" s="4">
        <f>'YTD CF'!P36-'YTD CF'!O36</f>
        <v/>
      </c>
      <c r="U36" s="4">
        <f>'CASH FLOW'!G33-'YTD CF'!P36</f>
        <v/>
      </c>
      <c r="V36" s="4">
        <f>'YTD CF'!Q36</f>
        <v/>
      </c>
      <c r="W36" s="4">
        <f>'YTD CF'!R36-'YTD CF'!Q36</f>
        <v/>
      </c>
      <c r="X36" s="4">
        <f>'YTD CF'!S36-'YTD CF'!R36</f>
        <v/>
      </c>
      <c r="Y36" s="4">
        <f>'CASH FLOW'!H33-'YTD CF'!S36</f>
        <v/>
      </c>
    </row>
    <row r="37">
      <c r="A37" s="3" t="inlineStr">
        <is>
          <t>Debt Issuance Fees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FLOW'!C35-'YTD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FLOW'!D35-'YTD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FLOW'!E35-'YTD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FLOW'!F35-'YTD CF'!M37</f>
        <v/>
      </c>
      <c r="R37" s="4">
        <f>'YTD CF'!N37</f>
        <v/>
      </c>
      <c r="S37" s="4">
        <f>'YTD CF'!O37-'YTD CF'!N37</f>
        <v/>
      </c>
      <c r="T37" s="4">
        <f>'YTD CF'!P37-'YTD CF'!O37</f>
        <v/>
      </c>
      <c r="U37" s="4">
        <f>'CASH FLOW'!G35-'YTD CF'!P37</f>
        <v/>
      </c>
      <c r="V37" s="4">
        <f>'YTD CF'!Q37</f>
        <v/>
      </c>
      <c r="W37" s="4">
        <f>'YTD CF'!R37-'YTD CF'!Q37</f>
        <v/>
      </c>
      <c r="X37" s="4">
        <f>'YTD CF'!S37-'YTD CF'!R37</f>
        <v/>
      </c>
      <c r="Y37" s="4">
        <f>'CASH FLOW'!H35-'YTD CF'!S37</f>
        <v/>
      </c>
    </row>
    <row r="38">
      <c r="A38" s="3" t="inlineStr">
        <is>
          <t>Repayments of Long-Term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FLOW'!C34-'YTD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FLOW'!D34-'YTD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FLOW'!E34-'YTD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FLOW'!F34-'YTD CF'!M38</f>
        <v/>
      </c>
      <c r="R38" s="4">
        <f>'YTD CF'!N38</f>
        <v/>
      </c>
      <c r="S38" s="4">
        <f>'YTD CF'!O38-'YTD CF'!N38</f>
        <v/>
      </c>
      <c r="T38" s="4">
        <f>'YTD CF'!P38-'YTD CF'!O38</f>
        <v/>
      </c>
      <c r="U38" s="4">
        <f>'CASH FLOW'!G34-'YTD CF'!P38</f>
        <v/>
      </c>
      <c r="V38" s="4">
        <f>'YTD CF'!Q38</f>
        <v/>
      </c>
      <c r="W38" s="4">
        <f>'YTD CF'!R38-'YTD CF'!Q38</f>
        <v/>
      </c>
      <c r="X38" s="4">
        <f>'YTD CF'!S38-'YTD CF'!R38</f>
        <v/>
      </c>
      <c r="Y38" s="4">
        <f>'CASH FLOW'!H34-'YTD CF'!S38</f>
        <v/>
      </c>
    </row>
    <row r="39">
      <c r="A39" s="3" t="inlineStr">
        <is>
          <t>Proceeds from Issuance of Common Stock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FLOW'!C36-'YTD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FLOW'!D36-'YTD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FLOW'!E36-'YTD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FLOW'!F36-'YTD CF'!M39</f>
        <v/>
      </c>
      <c r="R39" s="4">
        <f>'YTD CF'!N39</f>
        <v/>
      </c>
      <c r="S39" s="4">
        <f>'YTD CF'!O39-'YTD CF'!N39</f>
        <v/>
      </c>
      <c r="T39" s="4">
        <f>'YTD CF'!P39-'YTD CF'!O39</f>
        <v/>
      </c>
      <c r="U39" s="4">
        <f>'CASH FLOW'!G36-'YTD CF'!P39</f>
        <v/>
      </c>
      <c r="V39" s="4">
        <f>'YTD CF'!Q39</f>
        <v/>
      </c>
      <c r="W39" s="4">
        <f>'YTD CF'!R39-'YTD CF'!Q39</f>
        <v/>
      </c>
      <c r="X39" s="4">
        <f>'YTD CF'!S39-'YTD CF'!R39</f>
        <v/>
      </c>
      <c r="Y39" s="4">
        <f>'CASH FLOW'!H36-'YTD CF'!S39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FLOW'!C37-'YTD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FLOW'!D37-'YTD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FLOW'!E37-'YTD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FLOW'!F37-'YTD CF'!M40</f>
        <v/>
      </c>
      <c r="R40" s="4">
        <f>'YTD CF'!N40</f>
        <v/>
      </c>
      <c r="S40" s="4">
        <f>'YTD CF'!O40-'YTD CF'!N40</f>
        <v/>
      </c>
      <c r="T40" s="4">
        <f>'YTD CF'!P40-'YTD CF'!O40</f>
        <v/>
      </c>
      <c r="U40" s="4">
        <f>'CASH FLOW'!G37-'YTD CF'!P40</f>
        <v/>
      </c>
      <c r="V40" s="4">
        <f>'YTD CF'!Q40</f>
        <v/>
      </c>
      <c r="W40" s="4">
        <f>'YTD CF'!R40-'YTD CF'!Q40</f>
        <v/>
      </c>
      <c r="X40" s="4">
        <f>'YTD CF'!S40-'YTD CF'!R40</f>
        <v/>
      </c>
      <c r="Y40" s="4">
        <f>'CASH FLOW'!H37-'YTD CF'!S40</f>
        <v/>
      </c>
    </row>
    <row r="41">
      <c r="A41" s="3" t="inlineStr">
        <is>
          <t>Cash Flow from Financing</t>
        </is>
      </c>
      <c r="B41" s="6">
        <f>'YTD CF'!B41</f>
        <v/>
      </c>
      <c r="C41" s="6">
        <f>'YTD CF'!C41-'YTD CF'!B41</f>
        <v/>
      </c>
      <c r="D41" s="6">
        <f>'YTD CF'!D41-'YTD CF'!C41</f>
        <v/>
      </c>
      <c r="E41" s="6">
        <f>'CASH FLOW'!C38-'YTD CF'!D41</f>
        <v/>
      </c>
      <c r="F41" s="6">
        <f>'YTD CF'!E41</f>
        <v/>
      </c>
      <c r="G41" s="6">
        <f>'YTD CF'!F41-'YTD CF'!E41</f>
        <v/>
      </c>
      <c r="H41" s="6">
        <f>'YTD CF'!G41-'YTD CF'!F41</f>
        <v/>
      </c>
      <c r="I41" s="6">
        <f>'CASH FLOW'!D38-'YTD CF'!G41</f>
        <v/>
      </c>
      <c r="J41" s="6">
        <f>'YTD CF'!H41</f>
        <v/>
      </c>
      <c r="K41" s="6">
        <f>'YTD CF'!I41-'YTD CF'!H41</f>
        <v/>
      </c>
      <c r="L41" s="6">
        <f>'YTD CF'!J41-'YTD CF'!I41</f>
        <v/>
      </c>
      <c r="M41" s="6">
        <f>'CASH FLOW'!E38-'YTD CF'!J41</f>
        <v/>
      </c>
      <c r="N41" s="6">
        <f>'YTD CF'!K41</f>
        <v/>
      </c>
      <c r="O41" s="6">
        <f>'YTD CF'!L41-'YTD CF'!K41</f>
        <v/>
      </c>
      <c r="P41" s="6">
        <f>'YTD CF'!M41-'YTD CF'!L41</f>
        <v/>
      </c>
      <c r="Q41" s="6">
        <f>'CASH FLOW'!F38-'YTD CF'!M41</f>
        <v/>
      </c>
      <c r="R41" s="6">
        <f>'YTD CF'!N41</f>
        <v/>
      </c>
      <c r="S41" s="6">
        <f>'YTD CF'!O41-'YTD CF'!N41</f>
        <v/>
      </c>
      <c r="T41" s="6">
        <f>'YTD CF'!P41-'YTD CF'!O41</f>
        <v/>
      </c>
      <c r="U41" s="6">
        <f>'CASH FLOW'!G38-'YTD CF'!P41</f>
        <v/>
      </c>
      <c r="V41" s="6">
        <f>'YTD CF'!Q41</f>
        <v/>
      </c>
      <c r="W41" s="6">
        <f>'YTD CF'!R41-'YTD CF'!Q41</f>
        <v/>
      </c>
      <c r="X41" s="6">
        <f>'YTD CF'!S41-'YTD CF'!R41</f>
        <v/>
      </c>
      <c r="Y41" s="6">
        <f>'CASH FLOW'!H38-'YTD CF'!S41</f>
        <v/>
      </c>
    </row>
    <row r="42">
      <c r="A42" s="3" t="inlineStr">
        <is>
          <t>FX Effect on Cash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FLOW'!C39-'YTD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FLOW'!D39-'YTD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FLOW'!E39-'YTD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FLOW'!F39-'YTD CF'!M42</f>
        <v/>
      </c>
      <c r="R42" s="4">
        <f>'YTD CF'!N42</f>
        <v/>
      </c>
      <c r="S42" s="4">
        <f>'YTD CF'!O42-'YTD CF'!N42</f>
        <v/>
      </c>
      <c r="T42" s="4">
        <f>'YTD CF'!P42-'YTD CF'!O42</f>
        <v/>
      </c>
      <c r="U42" s="4">
        <f>'CASH FLOW'!G39-'YTD CF'!P42</f>
        <v/>
      </c>
      <c r="V42" s="4">
        <f>'YTD CF'!Q42</f>
        <v/>
      </c>
      <c r="W42" s="4">
        <f>'YTD CF'!R42-'YTD CF'!Q42</f>
        <v/>
      </c>
      <c r="X42" s="4">
        <f>'YTD CF'!S42-'YTD CF'!R42</f>
        <v/>
      </c>
      <c r="Y42" s="4">
        <f>'CASH FLOW'!H39-'YTD CF'!S42</f>
        <v/>
      </c>
    </row>
    <row r="43">
      <c r="A43" s="3" t="inlineStr">
        <is>
          <t>Net Change in Cash</t>
        </is>
      </c>
      <c r="B43" s="6">
        <f>'YTD CF'!B43</f>
        <v/>
      </c>
      <c r="C43" s="6">
        <f>'YTD CF'!C43-'YTD CF'!B43</f>
        <v/>
      </c>
      <c r="D43" s="6">
        <f>'YTD CF'!D43-'YTD CF'!C43</f>
        <v/>
      </c>
      <c r="E43" s="6">
        <f>'CASH FLOW'!C40-'YTD CF'!D43</f>
        <v/>
      </c>
      <c r="F43" s="6">
        <f>'YTD CF'!E43</f>
        <v/>
      </c>
      <c r="G43" s="6">
        <f>'YTD CF'!F43-'YTD CF'!E43</f>
        <v/>
      </c>
      <c r="H43" s="6">
        <f>'YTD CF'!G43-'YTD CF'!F43</f>
        <v/>
      </c>
      <c r="I43" s="6">
        <f>'CASH FLOW'!D40-'YTD CF'!G43</f>
        <v/>
      </c>
      <c r="J43" s="6">
        <f>'YTD CF'!H43</f>
        <v/>
      </c>
      <c r="K43" s="6">
        <f>'YTD CF'!I43-'YTD CF'!H43</f>
        <v/>
      </c>
      <c r="L43" s="6">
        <f>'YTD CF'!J43-'YTD CF'!I43</f>
        <v/>
      </c>
      <c r="M43" s="6">
        <f>'CASH FLOW'!E40-'YTD CF'!J43</f>
        <v/>
      </c>
      <c r="N43" s="6">
        <f>'YTD CF'!K43</f>
        <v/>
      </c>
      <c r="O43" s="6">
        <f>'YTD CF'!L43-'YTD CF'!K43</f>
        <v/>
      </c>
      <c r="P43" s="6">
        <f>'YTD CF'!M43-'YTD CF'!L43</f>
        <v/>
      </c>
      <c r="Q43" s="6">
        <f>'CASH FLOW'!F40-'YTD CF'!M43</f>
        <v/>
      </c>
      <c r="R43" s="6">
        <f>'YTD CF'!N43</f>
        <v/>
      </c>
      <c r="S43" s="6">
        <f>'YTD CF'!O43-'YTD CF'!N43</f>
        <v/>
      </c>
      <c r="T43" s="6">
        <f>'YTD CF'!P43-'YTD CF'!O43</f>
        <v/>
      </c>
      <c r="U43" s="6">
        <f>'CASH FLOW'!G40-'YTD CF'!P43</f>
        <v/>
      </c>
      <c r="V43" s="6">
        <f>'YTD CF'!Q43</f>
        <v/>
      </c>
      <c r="W43" s="6">
        <f>'YTD CF'!R43-'YTD CF'!Q43</f>
        <v/>
      </c>
      <c r="X43" s="6">
        <f>'YTD CF'!S43-'YTD CF'!R43</f>
        <v/>
      </c>
      <c r="Y43" s="6">
        <f>'CASH FLOW'!H40-'YTD CF'!S43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2026-04-29T16:09:48Z</dcterms:created>
  <dcterms:modified xmlns:dcterms="http://purl.org/dc/terms/" xmlns:xsi="http://www.w3.org/2001/XMLSchema-instance" xsi:type="dcterms:W3CDTF">2026-04-29T16:09:48Z</dcterms:modified>
</cp:coreProperties>
</file>