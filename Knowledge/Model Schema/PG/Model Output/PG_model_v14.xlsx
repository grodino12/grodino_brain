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L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QTR P&amp;L" sheetId="4" state="visible" r:id="rId4"/>
    <sheet xmlns:r="http://schemas.openxmlformats.org/officeDocument/2006/relationships" name="QTR BS" sheetId="5" state="visible" r:id="rId5"/>
    <sheet xmlns:r="http://schemas.openxmlformats.org/officeDocument/2006/relationships" name="QTR C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-&quot;"/>
    <numFmt numFmtId="165" formatCode="$#,##0_);($#,##0);&quot;$--&quot;_)"/>
    <numFmt numFmtId="166" formatCode="$#,##0.00_);($#,##0.0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/>
      <c r="B1" s="2" t="inlineStr">
        <is>
          <t>FY2021</t>
        </is>
      </c>
      <c r="C1" s="2" t="inlineStr">
        <is>
          <t>FY2022</t>
        </is>
      </c>
      <c r="D1" s="2" t="inlineStr">
        <is>
          <t>FY2023</t>
        </is>
      </c>
      <c r="E1" s="2" t="inlineStr">
        <is>
          <t>FY2024</t>
        </is>
      </c>
      <c r="F1" s="2" t="inlineStr">
        <is>
          <t>FY2025</t>
        </is>
      </c>
      <c r="G1" s="2" t="inlineStr">
        <is>
          <t>FY2025E</t>
        </is>
      </c>
      <c r="H1" s="2" t="inlineStr">
        <is>
          <t>FY2026E</t>
        </is>
      </c>
      <c r="I1" s="2" t="inlineStr">
        <is>
          <t>FY2027E</t>
        </is>
      </c>
      <c r="J1" s="2" t="inlineStr">
        <is>
          <t>FY2028E</t>
        </is>
      </c>
      <c r="K1" s="2" t="inlineStr">
        <is>
          <t>FY2029E</t>
        </is>
      </c>
      <c r="L1" s="2" t="inlineStr">
        <is>
          <t>FY2030E</t>
        </is>
      </c>
    </row>
    <row r="2">
      <c r="A2" s="3" t="inlineStr">
        <is>
          <t>Net Sales / Revenue</t>
        </is>
      </c>
      <c r="B2" s="4" t="n">
        <v>76118</v>
      </c>
      <c r="C2" s="4" t="n">
        <v>80187</v>
      </c>
      <c r="D2" s="4" t="n">
        <v>82006</v>
      </c>
      <c r="E2" s="4" t="n">
        <v>84039</v>
      </c>
      <c r="F2" s="4" t="n">
        <v>84284</v>
      </c>
      <c r="G2" s="5" t="n"/>
      <c r="H2" s="5" t="n"/>
      <c r="I2" s="5" t="n"/>
      <c r="J2" s="5" t="n"/>
      <c r="K2" s="5" t="n"/>
      <c r="L2" s="5" t="n"/>
    </row>
    <row r="3">
      <c r="A3" s="3" t="inlineStr">
        <is>
          <t>COGS</t>
        </is>
      </c>
      <c r="B3" s="4" t="n">
        <v>-37108</v>
      </c>
      <c r="C3" s="4" t="n">
        <v>-42157</v>
      </c>
      <c r="D3" s="4" t="n">
        <v>-42760</v>
      </c>
      <c r="E3" s="4" t="n">
        <v>-40848</v>
      </c>
      <c r="F3" s="4" t="n">
        <v>-41164</v>
      </c>
      <c r="G3" s="5" t="n"/>
      <c r="H3" s="5" t="n"/>
      <c r="I3" s="5" t="n"/>
      <c r="J3" s="5" t="n"/>
      <c r="K3" s="5" t="n"/>
      <c r="L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7">
        <f>G2+G3</f>
        <v/>
      </c>
      <c r="H4" s="7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</row>
    <row r="5">
      <c r="A5" s="3" t="inlineStr">
        <is>
          <t>SG&amp;A</t>
        </is>
      </c>
      <c r="B5" s="4" t="n">
        <v>-21024</v>
      </c>
      <c r="C5" s="4" t="n">
        <v>-20217</v>
      </c>
      <c r="D5" s="4" t="n">
        <v>-21112</v>
      </c>
      <c r="E5" s="4" t="n">
        <v>-23305</v>
      </c>
      <c r="F5" s="4" t="n">
        <v>-22669</v>
      </c>
      <c r="G5" s="5" t="n"/>
      <c r="H5" s="5" t="n"/>
      <c r="I5" s="5" t="n"/>
      <c r="J5" s="5" t="n"/>
      <c r="K5" s="5" t="n"/>
      <c r="L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1341</v>
      </c>
      <c r="F6" s="4" t="n">
        <v>0</v>
      </c>
      <c r="G6" s="5" t="n"/>
      <c r="H6" s="5" t="n"/>
      <c r="I6" s="5" t="n"/>
      <c r="J6" s="5" t="n"/>
      <c r="K6" s="5" t="n"/>
      <c r="L6" s="5" t="n"/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7">
        <f>G4+SUM(G5:G6)</f>
        <v/>
      </c>
      <c r="H7" s="7">
        <f>H4+SUM(H5:H6)</f>
        <v/>
      </c>
      <c r="I7" s="7">
        <f>I4+SUM(I5:I6)</f>
        <v/>
      </c>
      <c r="J7" s="7">
        <f>J4+SUM(J5:J6)</f>
        <v/>
      </c>
      <c r="K7" s="7">
        <f>K4+SUM(K5:K6)</f>
        <v/>
      </c>
      <c r="L7" s="7">
        <f>L4+SUM(L5:L6)</f>
        <v/>
      </c>
    </row>
    <row r="8">
      <c r="A8" s="3" t="inlineStr">
        <is>
          <t>Interest Income (Expense)</t>
        </is>
      </c>
      <c r="B8" s="4" t="n">
        <v>-457</v>
      </c>
      <c r="C8" s="4" t="n">
        <v>-388</v>
      </c>
      <c r="D8" s="4" t="n">
        <v>-449</v>
      </c>
      <c r="E8" s="4" t="n">
        <v>-452</v>
      </c>
      <c r="F8" s="4" t="n">
        <v>-438</v>
      </c>
      <c r="G8" s="5" t="n"/>
      <c r="H8" s="5" t="n"/>
      <c r="I8" s="5" t="n"/>
      <c r="J8" s="5" t="n"/>
      <c r="K8" s="5" t="n"/>
      <c r="L8" s="5" t="n"/>
    </row>
    <row r="9">
      <c r="A9" s="3" t="inlineStr">
        <is>
          <t>Other Income (Expense)</t>
        </is>
      </c>
      <c r="B9" s="4" t="n">
        <v>86</v>
      </c>
      <c r="C9" s="4" t="n">
        <v>570</v>
      </c>
      <c r="D9" s="4" t="n">
        <v>668</v>
      </c>
      <c r="E9" s="4" t="n">
        <v>668</v>
      </c>
      <c r="F9" s="4" t="n">
        <v>154</v>
      </c>
      <c r="G9" s="5" t="n"/>
      <c r="H9" s="5" t="n"/>
      <c r="I9" s="5" t="n"/>
      <c r="J9" s="5" t="n"/>
      <c r="K9" s="5" t="n"/>
      <c r="L9" s="5" t="n"/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7">
        <f>G7+SUM(G8:G9)</f>
        <v/>
      </c>
      <c r="H10" s="7">
        <f>H7+SUM(H8:H9)</f>
        <v/>
      </c>
      <c r="I10" s="7">
        <f>I7+SUM(I8:I9)</f>
        <v/>
      </c>
      <c r="J10" s="7">
        <f>J7+SUM(J8:J9)</f>
        <v/>
      </c>
      <c r="K10" s="7">
        <f>K7+SUM(K8:K9)</f>
        <v/>
      </c>
      <c r="L10" s="7">
        <f>L7+SUM(L8:L9)</f>
        <v/>
      </c>
    </row>
    <row r="11">
      <c r="A11" s="3" t="inlineStr">
        <is>
          <t>Income Tax (Expense) Benefit</t>
        </is>
      </c>
      <c r="B11" s="4" t="n">
        <v>-3263</v>
      </c>
      <c r="C11" s="4" t="n">
        <v>-3202</v>
      </c>
      <c r="D11" s="4" t="n">
        <v>-3615</v>
      </c>
      <c r="E11" s="4" t="n">
        <v>-3787</v>
      </c>
      <c r="F11" s="4" t="n">
        <v>-4102</v>
      </c>
      <c r="G11" s="5" t="n"/>
      <c r="H11" s="5" t="n"/>
      <c r="I11" s="5" t="n"/>
      <c r="J11" s="5" t="n"/>
      <c r="K11" s="5" t="n"/>
      <c r="L11" s="5" t="n"/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7">
        <f>G10+G11</f>
        <v/>
      </c>
      <c r="H12" s="7">
        <f>H10+H11</f>
        <v/>
      </c>
      <c r="I12" s="7">
        <f>I10+I11</f>
        <v/>
      </c>
      <c r="J12" s="7">
        <f>J10+J11</f>
        <v/>
      </c>
      <c r="K12" s="7">
        <f>K10+K11</f>
        <v/>
      </c>
      <c r="L12" s="7">
        <f>L10+L11</f>
        <v/>
      </c>
    </row>
    <row r="13">
      <c r="A13" s="3" t="inlineStr">
        <is>
          <t>Net Income (Loss) Attributable to Noncontrolling Interest</t>
        </is>
      </c>
      <c r="B13" s="4" t="n">
        <v>46</v>
      </c>
      <c r="C13" s="4" t="n">
        <v>51</v>
      </c>
      <c r="D13" s="4" t="n">
        <v>85</v>
      </c>
      <c r="E13" s="4" t="n">
        <v>95</v>
      </c>
      <c r="F13" s="4" t="n">
        <v>91</v>
      </c>
      <c r="G13" s="5" t="n"/>
      <c r="H13" s="5" t="n"/>
      <c r="I13" s="5" t="n"/>
      <c r="J13" s="5" t="n"/>
      <c r="K13" s="5" t="n"/>
      <c r="L13" s="5" t="n"/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</row>
    <row r="15">
      <c r="A15" s="3" t="inlineStr">
        <is>
          <t>Basic Earnings (Loss) per Share</t>
        </is>
      </c>
      <c r="B15" s="8" t="n">
        <v>5.69</v>
      </c>
      <c r="C15" s="8" t="n">
        <v>6</v>
      </c>
      <c r="D15" s="8" t="n">
        <v>6.07</v>
      </c>
      <c r="E15" s="8" t="n">
        <v>6.18</v>
      </c>
      <c r="F15" s="8" t="n">
        <v>6.67</v>
      </c>
      <c r="G15" s="9" t="n"/>
      <c r="H15" s="9" t="n"/>
      <c r="I15" s="9" t="n"/>
      <c r="J15" s="9" t="n"/>
      <c r="K15" s="9" t="n"/>
      <c r="L15" s="9" t="n"/>
    </row>
    <row r="16">
      <c r="A16" s="3" t="inlineStr">
        <is>
          <t>Diluted Earnings (Loss) per Share</t>
        </is>
      </c>
      <c r="B16" s="8" t="n">
        <v>5.5</v>
      </c>
      <c r="C16" s="8" t="n">
        <v>5.81</v>
      </c>
      <c r="D16" s="8" t="n">
        <v>5.9</v>
      </c>
      <c r="E16" s="8" t="n">
        <v>6.02</v>
      </c>
      <c r="F16" s="8" t="n">
        <v>6.51</v>
      </c>
      <c r="G16" s="9" t="n"/>
      <c r="H16" s="9" t="n"/>
      <c r="I16" s="9" t="n"/>
      <c r="J16" s="9" t="n"/>
      <c r="K16" s="9" t="n"/>
      <c r="L16" s="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/>
      <c r="B1" s="2" t="inlineStr">
        <is>
          <t>FY2022</t>
        </is>
      </c>
      <c r="C1" s="2" t="inlineStr">
        <is>
          <t>FY2023</t>
        </is>
      </c>
      <c r="D1" s="2" t="inlineStr">
        <is>
          <t>FY2024</t>
        </is>
      </c>
      <c r="E1" s="2" t="inlineStr">
        <is>
          <t>FY2025</t>
        </is>
      </c>
      <c r="F1" s="2" t="inlineStr">
        <is>
          <t>FY2025E</t>
        </is>
      </c>
      <c r="G1" s="2" t="inlineStr">
        <is>
          <t>FY2026E</t>
        </is>
      </c>
      <c r="H1" s="2" t="inlineStr">
        <is>
          <t>FY2027E</t>
        </is>
      </c>
      <c r="I1" s="2" t="inlineStr">
        <is>
          <t>FY2028E</t>
        </is>
      </c>
      <c r="J1" s="2" t="inlineStr">
        <is>
          <t>FY2029E</t>
        </is>
      </c>
      <c r="K1" s="2" t="inlineStr">
        <is>
          <t>FY2030E</t>
        </is>
      </c>
    </row>
    <row r="2">
      <c r="A2" s="3" t="inlineStr">
        <is>
          <t>Cash &amp; Cash Equivalents</t>
        </is>
      </c>
      <c r="B2" s="4" t="n">
        <v>7214</v>
      </c>
      <c r="C2" s="4" t="n">
        <v>8246</v>
      </c>
      <c r="D2" s="4" t="n">
        <v>9482</v>
      </c>
      <c r="E2" s="4" t="n">
        <v>9556</v>
      </c>
      <c r="F2" s="5" t="n"/>
      <c r="G2" s="5" t="n"/>
      <c r="H2" s="5" t="n"/>
      <c r="I2" s="5" t="n"/>
      <c r="J2" s="5" t="n"/>
      <c r="K2" s="5" t="n"/>
    </row>
    <row r="3">
      <c r="A3" s="3" t="inlineStr">
        <is>
          <t>Accounts Receivable</t>
        </is>
      </c>
      <c r="B3" s="4" t="n">
        <v>5143</v>
      </c>
      <c r="C3" s="4" t="n">
        <v>5471</v>
      </c>
      <c r="D3" s="4" t="n">
        <v>6118</v>
      </c>
      <c r="E3" s="4" t="n">
        <v>6185</v>
      </c>
      <c r="F3" s="5" t="n"/>
      <c r="G3" s="5" t="n"/>
      <c r="H3" s="5" t="n"/>
      <c r="I3" s="5" t="n"/>
      <c r="J3" s="5" t="n"/>
      <c r="K3" s="5" t="n"/>
    </row>
    <row r="4">
      <c r="A4" s="3" t="inlineStr">
        <is>
          <t>Inventories</t>
        </is>
      </c>
      <c r="B4" s="4" t="n">
        <v>6924</v>
      </c>
      <c r="C4" s="4" t="n">
        <v>7073</v>
      </c>
      <c r="D4" s="4" t="n">
        <v>7016</v>
      </c>
      <c r="E4" s="4" t="n">
        <v>7551</v>
      </c>
      <c r="F4" s="5" t="n"/>
      <c r="G4" s="5" t="n"/>
      <c r="H4" s="5" t="n"/>
      <c r="I4" s="5" t="n"/>
      <c r="J4" s="5" t="n"/>
      <c r="K4" s="5" t="n"/>
    </row>
    <row r="5">
      <c r="A5" s="3" t="inlineStr">
        <is>
          <t>Prepaid Expenses</t>
        </is>
      </c>
      <c r="B5" s="4" t="n">
        <v>2372</v>
      </c>
      <c r="C5" s="4" t="n">
        <v>1858</v>
      </c>
      <c r="D5" s="4" t="n">
        <v>2095</v>
      </c>
      <c r="E5" s="4" t="n">
        <v>2100</v>
      </c>
      <c r="F5" s="5" t="n"/>
      <c r="G5" s="5" t="n"/>
      <c r="H5" s="5" t="n"/>
      <c r="I5" s="5" t="n"/>
      <c r="J5" s="5" t="n"/>
      <c r="K5" s="5" t="n"/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7">
        <f>SUM(F2:F5)</f>
        <v/>
      </c>
      <c r="G6" s="7">
        <f>SUM(G2:G5)</f>
        <v/>
      </c>
      <c r="H6" s="7">
        <f>SUM(H2:H5)</f>
        <v/>
      </c>
      <c r="I6" s="7">
        <f>SUM(I2:I5)</f>
        <v/>
      </c>
      <c r="J6" s="7">
        <f>SUM(J2:J5)</f>
        <v/>
      </c>
      <c r="K6" s="7">
        <f>SUM(K2:K5)</f>
        <v/>
      </c>
    </row>
    <row r="7">
      <c r="A7" s="3" t="inlineStr">
        <is>
          <t>Net PP&amp;E</t>
        </is>
      </c>
      <c r="B7" s="4" t="n">
        <v>21195</v>
      </c>
      <c r="C7" s="4" t="n">
        <v>21909</v>
      </c>
      <c r="D7" s="4" t="n">
        <v>22152</v>
      </c>
      <c r="E7" s="4" t="n">
        <v>23897</v>
      </c>
      <c r="F7" s="5" t="n"/>
      <c r="G7" s="5" t="n"/>
      <c r="H7" s="5" t="n"/>
      <c r="I7" s="5" t="n"/>
      <c r="J7" s="5" t="n"/>
      <c r="K7" s="5" t="n"/>
    </row>
    <row r="8">
      <c r="A8" s="3" t="inlineStr">
        <is>
          <t>Goodwill</t>
        </is>
      </c>
      <c r="B8" s="4" t="n">
        <v>39700</v>
      </c>
      <c r="C8" s="4" t="n">
        <v>40659</v>
      </c>
      <c r="D8" s="4" t="n">
        <v>40303</v>
      </c>
      <c r="E8" s="4" t="n">
        <v>41650</v>
      </c>
      <c r="F8" s="5" t="n"/>
      <c r="G8" s="5" t="n"/>
      <c r="H8" s="5" t="n"/>
      <c r="I8" s="5" t="n"/>
      <c r="J8" s="5" t="n"/>
      <c r="K8" s="5" t="n"/>
    </row>
    <row r="9">
      <c r="A9" s="3" t="inlineStr">
        <is>
          <t>Intangible Assets</t>
        </is>
      </c>
      <c r="B9" s="4" t="n">
        <v>23679</v>
      </c>
      <c r="C9" s="4" t="n">
        <v>23783</v>
      </c>
      <c r="D9" s="4" t="n">
        <v>22047</v>
      </c>
      <c r="E9" s="4" t="n">
        <v>21910</v>
      </c>
      <c r="F9" s="5" t="n"/>
      <c r="G9" s="5" t="n"/>
      <c r="H9" s="5" t="n"/>
      <c r="I9" s="5" t="n"/>
      <c r="J9" s="5" t="n"/>
      <c r="K9" s="5" t="n"/>
    </row>
    <row r="10">
      <c r="A10" s="3" t="inlineStr">
        <is>
          <t>Other Non-Current Assets</t>
        </is>
      </c>
      <c r="B10" s="4" t="n">
        <v>10981</v>
      </c>
      <c r="C10" s="4" t="n">
        <v>11830</v>
      </c>
      <c r="D10" s="4" t="n">
        <v>13158</v>
      </c>
      <c r="E10" s="4" t="n">
        <v>12381</v>
      </c>
      <c r="F10" s="5" t="n"/>
      <c r="G10" s="5" t="n"/>
      <c r="H10" s="5" t="n"/>
      <c r="I10" s="5" t="n"/>
      <c r="J10" s="5" t="n"/>
      <c r="K10" s="5" t="n"/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7">
        <f>F6+SUM(F7:F10)</f>
        <v/>
      </c>
      <c r="G11" s="7">
        <f>G6+SUM(G7:G10)</f>
        <v/>
      </c>
      <c r="H11" s="7">
        <f>H6+SUM(H7:H10)</f>
        <v/>
      </c>
      <c r="I11" s="7">
        <f>I6+SUM(I7:I10)</f>
        <v/>
      </c>
      <c r="J11" s="7">
        <f>J6+SUM(J7:J10)</f>
        <v/>
      </c>
      <c r="K11" s="7">
        <f>K6+SUM(K7:K10)</f>
        <v/>
      </c>
    </row>
    <row r="12">
      <c r="A12" s="3" t="inlineStr">
        <is>
          <t>Accounts Payable</t>
        </is>
      </c>
      <c r="B12" s="4" t="n">
        <v>14882</v>
      </c>
      <c r="C12" s="4" t="n">
        <v>14598</v>
      </c>
      <c r="D12" s="4" t="n">
        <v>15364</v>
      </c>
      <c r="E12" s="4" t="n">
        <v>15227</v>
      </c>
      <c r="F12" s="5" t="n"/>
      <c r="G12" s="5" t="n"/>
      <c r="H12" s="5" t="n"/>
      <c r="I12" s="5" t="n"/>
      <c r="J12" s="5" t="n"/>
      <c r="K12" s="5" t="n"/>
    </row>
    <row r="13">
      <c r="A13" s="3" t="inlineStr">
        <is>
          <t>Accrued Expenses</t>
        </is>
      </c>
      <c r="B13" s="4" t="n">
        <v>9554</v>
      </c>
      <c r="C13" s="4" t="n">
        <v>10929</v>
      </c>
      <c r="D13" s="4" t="n">
        <v>11073</v>
      </c>
      <c r="E13" s="4" t="n">
        <v>11318</v>
      </c>
      <c r="F13" s="5" t="n"/>
      <c r="G13" s="5" t="n"/>
      <c r="H13" s="5" t="n"/>
      <c r="I13" s="5" t="n"/>
      <c r="J13" s="5" t="n"/>
      <c r="K13" s="5" t="n"/>
    </row>
    <row r="14">
      <c r="A14" s="3" t="inlineStr">
        <is>
          <t>Current Portion of Long-Term Debt</t>
        </is>
      </c>
      <c r="B14" s="4" t="n">
        <v>8645</v>
      </c>
      <c r="C14" s="4" t="n">
        <v>10229</v>
      </c>
      <c r="D14" s="4" t="n">
        <v>7191</v>
      </c>
      <c r="E14" s="4" t="n">
        <v>9513</v>
      </c>
      <c r="F14" s="5" t="n"/>
      <c r="G14" s="5" t="n"/>
      <c r="H14" s="5" t="n"/>
      <c r="I14" s="5" t="n"/>
      <c r="J14" s="5" t="n"/>
      <c r="K14" s="5" t="n"/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7">
        <f>SUM(F12:F14)</f>
        <v/>
      </c>
      <c r="G15" s="7">
        <f>SUM(G12:G14)</f>
        <v/>
      </c>
      <c r="H15" s="7">
        <f>SUM(H12:H14)</f>
        <v/>
      </c>
      <c r="I15" s="7">
        <f>SUM(I12:I14)</f>
        <v/>
      </c>
      <c r="J15" s="7">
        <f>SUM(J12:J14)</f>
        <v/>
      </c>
      <c r="K15" s="7">
        <f>SUM(K12:K14)</f>
        <v/>
      </c>
    </row>
    <row r="16">
      <c r="A16" s="3" t="inlineStr">
        <is>
          <t>Long-Term Debt</t>
        </is>
      </c>
      <c r="B16" s="4" t="n">
        <v>22848</v>
      </c>
      <c r="C16" s="4" t="n">
        <v>24378</v>
      </c>
      <c r="D16" s="4" t="n">
        <v>25269</v>
      </c>
      <c r="E16" s="4" t="n">
        <v>24995</v>
      </c>
      <c r="F16" s="5" t="n"/>
      <c r="G16" s="5" t="n"/>
      <c r="H16" s="5" t="n"/>
      <c r="I16" s="5" t="n"/>
      <c r="J16" s="5" t="n"/>
      <c r="K16" s="5" t="n"/>
    </row>
    <row r="17">
      <c r="A17" s="3" t="inlineStr">
        <is>
          <t>Deferred Tax Liability</t>
        </is>
      </c>
      <c r="B17" s="4" t="n">
        <v>6809</v>
      </c>
      <c r="C17" s="4" t="n">
        <v>6478</v>
      </c>
      <c r="D17" s="4" t="n">
        <v>6516</v>
      </c>
      <c r="E17" s="4" t="n">
        <v>5774</v>
      </c>
      <c r="F17" s="5" t="n"/>
      <c r="G17" s="5" t="n"/>
      <c r="H17" s="5" t="n"/>
      <c r="I17" s="5" t="n"/>
      <c r="J17" s="5" t="n"/>
      <c r="K17" s="5" t="n"/>
    </row>
    <row r="18">
      <c r="A18" s="3" t="inlineStr">
        <is>
          <t>Other Non-Current Liabilities</t>
        </is>
      </c>
      <c r="B18" s="4" t="n">
        <v>7616</v>
      </c>
      <c r="C18" s="4" t="n">
        <v>7152</v>
      </c>
      <c r="D18" s="4" t="n">
        <v>6398</v>
      </c>
      <c r="E18" s="4" t="n">
        <v>6120</v>
      </c>
      <c r="F18" s="5" t="n"/>
      <c r="G18" s="5" t="n"/>
      <c r="H18" s="5" t="n"/>
      <c r="I18" s="5" t="n"/>
      <c r="J18" s="5" t="n"/>
      <c r="K18" s="5" t="n"/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7">
        <f>F15+SUM(F16:F18)</f>
        <v/>
      </c>
      <c r="G19" s="7">
        <f>G15+SUM(G16:G18)</f>
        <v/>
      </c>
      <c r="H19" s="7">
        <f>H15+SUM(H16:H18)</f>
        <v/>
      </c>
      <c r="I19" s="7">
        <f>I15+SUM(I16:I18)</f>
        <v/>
      </c>
      <c r="J19" s="7">
        <f>J15+SUM(J16:J18)</f>
        <v/>
      </c>
      <c r="K19" s="7">
        <f>K15+SUM(K16:K18)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819</v>
      </c>
      <c r="D20" s="4" t="n">
        <v>798</v>
      </c>
      <c r="E20" s="4" t="n">
        <v>777</v>
      </c>
      <c r="F20" s="5" t="n"/>
      <c r="G20" s="5" t="n"/>
      <c r="H20" s="5" t="n"/>
      <c r="I20" s="5" t="n"/>
      <c r="J20" s="5" t="n"/>
      <c r="K20" s="5" t="n"/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5" t="n"/>
      <c r="G21" s="5" t="n"/>
      <c r="H21" s="5" t="n"/>
      <c r="I21" s="5" t="n"/>
      <c r="J21" s="5" t="n"/>
      <c r="K21" s="5" t="n"/>
    </row>
    <row r="22">
      <c r="A22" s="3" t="inlineStr">
        <is>
          <t>Additional Paid-in Capital</t>
        </is>
      </c>
      <c r="B22" s="4" t="n">
        <v>65795</v>
      </c>
      <c r="C22" s="4" t="n">
        <v>66556</v>
      </c>
      <c r="D22" s="4" t="n">
        <v>67684</v>
      </c>
      <c r="E22" s="4" t="n">
        <v>68770</v>
      </c>
      <c r="F22" s="5" t="n"/>
      <c r="G22" s="5" t="n"/>
      <c r="H22" s="5" t="n"/>
      <c r="I22" s="5" t="n"/>
      <c r="J22" s="5" t="n"/>
      <c r="K22" s="5" t="n"/>
    </row>
    <row r="23">
      <c r="A23" s="3" t="inlineStr">
        <is>
          <t>ESOP Debt Retirement Reserve</t>
        </is>
      </c>
      <c r="B23" s="4" t="n">
        <v>-916</v>
      </c>
      <c r="C23" s="4" t="n">
        <v>-821</v>
      </c>
      <c r="D23" s="4" t="n">
        <v>-737</v>
      </c>
      <c r="E23" s="4" t="n">
        <v>-672</v>
      </c>
      <c r="F23" s="5" t="n"/>
      <c r="G23" s="5" t="n"/>
      <c r="H23" s="5" t="n"/>
      <c r="I23" s="5" t="n"/>
      <c r="J23" s="5" t="n"/>
      <c r="K23" s="5" t="n"/>
    </row>
    <row r="24">
      <c r="A24" s="3" t="inlineStr">
        <is>
          <t>Accumulated Other Comprehensive Income (Loss)</t>
        </is>
      </c>
      <c r="B24" s="4" t="n">
        <v>-12189</v>
      </c>
      <c r="C24" s="4" t="n">
        <v>-12220</v>
      </c>
      <c r="D24" s="4" t="n">
        <v>-11900</v>
      </c>
      <c r="E24" s="4" t="n">
        <v>-12143</v>
      </c>
      <c r="F24" s="5" t="n"/>
      <c r="G24" s="5" t="n"/>
      <c r="H24" s="5" t="n"/>
      <c r="I24" s="5" t="n"/>
      <c r="J24" s="5" t="n"/>
      <c r="K24" s="5" t="n"/>
    </row>
    <row r="25">
      <c r="A25" s="3" t="inlineStr">
        <is>
          <t>Treasury Stock</t>
        </is>
      </c>
      <c r="B25" s="4" t="n">
        <v>-123382</v>
      </c>
      <c r="C25" s="4" t="n">
        <v>-129736</v>
      </c>
      <c r="D25" s="4" t="n">
        <v>-133379</v>
      </c>
      <c r="E25" s="4" t="n">
        <v>-138702</v>
      </c>
      <c r="F25" s="5" t="n"/>
      <c r="G25" s="5" t="n"/>
      <c r="H25" s="5" t="n"/>
      <c r="I25" s="5" t="n"/>
      <c r="J25" s="5" t="n"/>
      <c r="K25" s="5" t="n"/>
    </row>
    <row r="26">
      <c r="A26" s="3" t="inlineStr">
        <is>
          <t>Retained Earnings (Accumulated Deficit)</t>
        </is>
      </c>
      <c r="B26" s="4" t="n">
        <v>112429</v>
      </c>
      <c r="C26" s="4" t="n">
        <v>118170</v>
      </c>
      <c r="D26" s="4" t="n">
        <v>123811</v>
      </c>
      <c r="E26" s="4" t="n">
        <v>129973</v>
      </c>
      <c r="F26" s="5" t="n"/>
      <c r="G26" s="5" t="n"/>
      <c r="H26" s="5" t="n"/>
      <c r="I26" s="5" t="n"/>
      <c r="J26" s="5" t="n"/>
      <c r="K26" s="5" t="n"/>
    </row>
    <row r="27">
      <c r="A27" s="3" t="inlineStr">
        <is>
          <t>Noncontrolling Interest</t>
        </is>
      </c>
      <c r="B27" s="4" t="n">
        <v>265</v>
      </c>
      <c r="C27" s="4" t="n">
        <v>288</v>
      </c>
      <c r="D27" s="4" t="n">
        <v>272</v>
      </c>
      <c r="E27" s="4" t="n">
        <v>272</v>
      </c>
      <c r="F27" s="5" t="n"/>
      <c r="G27" s="5" t="n"/>
      <c r="H27" s="5" t="n"/>
      <c r="I27" s="5" t="n"/>
      <c r="J27" s="5" t="n"/>
      <c r="K27" s="5" t="n"/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7">
        <f>SUM(F20:F27)</f>
        <v/>
      </c>
      <c r="G28" s="7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7">
        <f>F19+F28</f>
        <v/>
      </c>
      <c r="G29" s="7">
        <f>G19+G28</f>
        <v/>
      </c>
      <c r="H29" s="7">
        <f>H19+H28</f>
        <v/>
      </c>
      <c r="I29" s="7">
        <f>I19+I28</f>
        <v/>
      </c>
      <c r="J29" s="7">
        <f>J19+J28</f>
        <v/>
      </c>
      <c r="K29" s="7">
        <f>K19+K28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/>
      <c r="B1" s="2" t="inlineStr">
        <is>
          <t>FY2020</t>
        </is>
      </c>
      <c r="C1" s="2" t="inlineStr">
        <is>
          <t>FY2021</t>
        </is>
      </c>
      <c r="D1" s="2" t="inlineStr">
        <is>
          <t>FY2022</t>
        </is>
      </c>
      <c r="E1" s="2" t="inlineStr">
        <is>
          <t>FY2023</t>
        </is>
      </c>
      <c r="F1" s="2" t="inlineStr">
        <is>
          <t>FY2024</t>
        </is>
      </c>
      <c r="G1" s="2" t="inlineStr">
        <is>
          <t>FY2025</t>
        </is>
      </c>
      <c r="H1" s="2" t="inlineStr">
        <is>
          <t>FY2025E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</row>
    <row r="2">
      <c r="A2" s="3" t="inlineStr">
        <is>
          <t>Net Income (Loss)</t>
        </is>
      </c>
      <c r="B2" s="4" t="n">
        <v>0</v>
      </c>
      <c r="C2" s="4" t="n">
        <v>14352</v>
      </c>
      <c r="D2" s="4" t="n">
        <v>14793</v>
      </c>
      <c r="E2" s="4" t="n">
        <v>14738</v>
      </c>
      <c r="F2" s="4" t="n">
        <v>14974</v>
      </c>
      <c r="G2" s="4" t="n">
        <v>16065</v>
      </c>
      <c r="H2" s="5" t="n"/>
      <c r="I2" s="5" t="n"/>
      <c r="J2" s="5" t="n"/>
      <c r="K2" s="5" t="n"/>
      <c r="L2" s="5" t="n"/>
      <c r="M2" s="5" t="n"/>
    </row>
    <row r="3">
      <c r="A3" s="3" t="inlineStr">
        <is>
          <t>Depreciation &amp; Amortization</t>
        </is>
      </c>
      <c r="B3" s="4" t="n">
        <v>0</v>
      </c>
      <c r="C3" s="4" t="n">
        <v>2735</v>
      </c>
      <c r="D3" s="4" t="n">
        <v>2807</v>
      </c>
      <c r="E3" s="4" t="n">
        <v>2714</v>
      </c>
      <c r="F3" s="4" t="n">
        <v>2896</v>
      </c>
      <c r="G3" s="4" t="n">
        <v>2847</v>
      </c>
      <c r="H3" s="5" t="n"/>
      <c r="I3" s="5" t="n"/>
      <c r="J3" s="5" t="n"/>
      <c r="K3" s="5" t="n"/>
      <c r="L3" s="5" t="n"/>
      <c r="M3" s="5" t="n"/>
    </row>
    <row r="4">
      <c r="A4" s="3" t="inlineStr">
        <is>
          <t>Gain (Loss) on Extinguishment of Debt</t>
        </is>
      </c>
      <c r="B4" s="4" t="n">
        <v>0</v>
      </c>
      <c r="C4" s="4" t="n">
        <v>512</v>
      </c>
      <c r="D4" s="4" t="n">
        <v>0</v>
      </c>
      <c r="E4" s="4" t="n">
        <v>0</v>
      </c>
      <c r="F4" s="4" t="n">
        <v>0</v>
      </c>
      <c r="G4" s="4" t="n">
        <v>0</v>
      </c>
      <c r="H4" s="5" t="n"/>
      <c r="I4" s="5" t="n"/>
      <c r="J4" s="5" t="n"/>
      <c r="K4" s="5" t="n"/>
      <c r="L4" s="5" t="n"/>
      <c r="M4" s="5" t="n"/>
    </row>
    <row r="5">
      <c r="A5" s="3" t="inlineStr">
        <is>
          <t>Stock-Based Compensation</t>
        </is>
      </c>
      <c r="B5" s="4" t="n">
        <v>0</v>
      </c>
      <c r="C5" s="4" t="n">
        <v>540</v>
      </c>
      <c r="D5" s="4" t="n">
        <v>528</v>
      </c>
      <c r="E5" s="4" t="n">
        <v>545</v>
      </c>
      <c r="F5" s="4" t="n">
        <v>562</v>
      </c>
      <c r="G5" s="4" t="n">
        <v>476</v>
      </c>
      <c r="H5" s="5" t="n"/>
      <c r="I5" s="5" t="n"/>
      <c r="J5" s="5" t="n"/>
      <c r="K5" s="5" t="n"/>
      <c r="L5" s="5" t="n"/>
      <c r="M5" s="5" t="n"/>
    </row>
    <row r="6">
      <c r="A6" s="3" t="inlineStr">
        <is>
          <t>(Benefit) Provision for Deferred Income Taxes</t>
        </is>
      </c>
      <c r="B6" s="4" t="n">
        <v>0</v>
      </c>
      <c r="C6" s="4" t="n">
        <v>-258</v>
      </c>
      <c r="D6" s="4" t="n">
        <v>-402</v>
      </c>
      <c r="E6" s="4" t="n">
        <v>-453</v>
      </c>
      <c r="F6" s="4" t="n">
        <v>-244</v>
      </c>
      <c r="G6" s="4" t="n">
        <v>149</v>
      </c>
      <c r="H6" s="5" t="n"/>
      <c r="I6" s="5" t="n"/>
      <c r="J6" s="5" t="n"/>
      <c r="K6" s="5" t="n"/>
      <c r="L6" s="5" t="n"/>
      <c r="M6" s="5" t="n"/>
    </row>
    <row r="7">
      <c r="A7" s="3" t="inlineStr">
        <is>
          <t>Gain (Loss) on Disposal of PP&amp;E</t>
        </is>
      </c>
      <c r="B7" s="4" t="n">
        <v>0</v>
      </c>
      <c r="C7" s="4" t="n">
        <v>-16</v>
      </c>
      <c r="D7" s="4" t="n">
        <v>-85</v>
      </c>
      <c r="E7" s="4" t="n">
        <v>-40</v>
      </c>
      <c r="F7" s="4" t="n">
        <v>-215</v>
      </c>
      <c r="G7" s="4" t="n">
        <v>755</v>
      </c>
      <c r="H7" s="5" t="n"/>
      <c r="I7" s="5" t="n"/>
      <c r="J7" s="5" t="n"/>
      <c r="K7" s="5" t="n"/>
      <c r="L7" s="5" t="n"/>
      <c r="M7" s="5" t="n"/>
    </row>
    <row r="8">
      <c r="A8" s="3" t="inlineStr">
        <is>
          <t>Impairment of Intangibles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1341</v>
      </c>
      <c r="G8" s="4" t="n">
        <v>0</v>
      </c>
      <c r="H8" s="5" t="n"/>
      <c r="I8" s="5" t="n"/>
      <c r="J8" s="5" t="n"/>
      <c r="K8" s="5" t="n"/>
      <c r="L8" s="5" t="n"/>
      <c r="M8" s="5" t="n"/>
    </row>
    <row r="9">
      <c r="A9" s="3" t="inlineStr">
        <is>
          <t>Accounts Receivable</t>
        </is>
      </c>
      <c r="B9" s="4" t="n">
        <v>0</v>
      </c>
      <c r="C9" s="4" t="n">
        <v>-342</v>
      </c>
      <c r="D9" s="4" t="n">
        <v>-694</v>
      </c>
      <c r="E9" s="4" t="n">
        <v>-307</v>
      </c>
      <c r="F9" s="4" t="n">
        <v>-766</v>
      </c>
      <c r="G9" s="4" t="n">
        <v>45</v>
      </c>
      <c r="H9" s="5" t="n"/>
      <c r="I9" s="5" t="n"/>
      <c r="J9" s="5" t="n"/>
      <c r="K9" s="5" t="n"/>
      <c r="L9" s="5" t="n"/>
      <c r="M9" s="5" t="n"/>
    </row>
    <row r="10">
      <c r="A10" s="3" t="inlineStr">
        <is>
          <t>Inventories</t>
        </is>
      </c>
      <c r="B10" s="4" t="n">
        <v>0</v>
      </c>
      <c r="C10" s="4" t="n">
        <v>-309</v>
      </c>
      <c r="D10" s="4" t="n">
        <v>-1247</v>
      </c>
      <c r="E10" s="4" t="n">
        <v>-119</v>
      </c>
      <c r="F10" s="4" t="n">
        <v>-70</v>
      </c>
      <c r="G10" s="4" t="n">
        <v>-324</v>
      </c>
      <c r="H10" s="5" t="n"/>
      <c r="I10" s="5" t="n"/>
      <c r="J10" s="5" t="n"/>
      <c r="K10" s="5" t="n"/>
      <c r="L10" s="5" t="n"/>
      <c r="M10" s="5" t="n"/>
    </row>
    <row r="11">
      <c r="A11" s="3" t="inlineStr">
        <is>
          <t>Accounts Payable</t>
        </is>
      </c>
      <c r="B11" s="4" t="n">
        <v>0</v>
      </c>
      <c r="C11" s="4" t="n">
        <v>1391</v>
      </c>
      <c r="D11" s="4" t="n">
        <v>1429</v>
      </c>
      <c r="E11" s="4" t="n">
        <v>313</v>
      </c>
      <c r="F11" s="4" t="n">
        <v>1814</v>
      </c>
      <c r="G11" s="4" t="n">
        <v>-542</v>
      </c>
      <c r="H11" s="5" t="n"/>
      <c r="I11" s="5" t="n"/>
      <c r="J11" s="5" t="n"/>
      <c r="K11" s="5" t="n"/>
      <c r="L11" s="5" t="n"/>
      <c r="M11" s="5" t="n"/>
    </row>
    <row r="12">
      <c r="A12" s="3" t="inlineStr">
        <is>
          <t>Net Change in Other Working Capital</t>
        </is>
      </c>
      <c r="B12" s="4" t="n">
        <v>0</v>
      </c>
      <c r="C12" s="4" t="n">
        <v>-369</v>
      </c>
      <c r="D12" s="4" t="n">
        <v>-635</v>
      </c>
      <c r="E12" s="4" t="n">
        <v>-1107</v>
      </c>
      <c r="F12" s="4" t="n">
        <v>-1414</v>
      </c>
      <c r="G12" s="4" t="n">
        <v>0</v>
      </c>
      <c r="H12" s="5" t="n"/>
      <c r="I12" s="5" t="n"/>
      <c r="J12" s="5" t="n"/>
      <c r="K12" s="5" t="n"/>
      <c r="L12" s="5" t="n"/>
      <c r="M12" s="5" t="n"/>
    </row>
    <row r="13">
      <c r="A13" s="3" t="inlineStr">
        <is>
          <t>Other Operating Items</t>
        </is>
      </c>
      <c r="B13" s="4" t="n">
        <v>0</v>
      </c>
      <c r="C13" s="4" t="n">
        <v>135</v>
      </c>
      <c r="D13" s="4" t="n">
        <v>229</v>
      </c>
      <c r="E13" s="4" t="n">
        <v>564</v>
      </c>
      <c r="F13" s="4" t="n">
        <v>969</v>
      </c>
      <c r="G13" s="4" t="n">
        <v>-1653</v>
      </c>
      <c r="H13" s="5" t="n"/>
      <c r="I13" s="5" t="n"/>
      <c r="J13" s="5" t="n"/>
      <c r="K13" s="5" t="n"/>
      <c r="L13" s="5" t="n"/>
      <c r="M13" s="5" t="n"/>
    </row>
    <row r="14">
      <c r="A14" s="3" t="inlineStr">
        <is>
          <t>Cash Flow from Operations</t>
        </is>
      </c>
      <c r="B14" s="6">
        <f>SUM(B2:B13)</f>
        <v/>
      </c>
      <c r="C14" s="6">
        <f>SUM(C2:C13)</f>
        <v/>
      </c>
      <c r="D14" s="6">
        <f>SUM(D2:D13)</f>
        <v/>
      </c>
      <c r="E14" s="6">
        <f>SUM(E2:E13)</f>
        <v/>
      </c>
      <c r="F14" s="6">
        <f>SUM(F2:F13)</f>
        <v/>
      </c>
      <c r="G14" s="6">
        <f>SUM(G2:G13)</f>
        <v/>
      </c>
      <c r="H14" s="7">
        <f>SUM(H2:H13)</f>
        <v/>
      </c>
      <c r="I14" s="7">
        <f>SUM(I2:I13)</f>
        <v/>
      </c>
      <c r="J14" s="7">
        <f>SUM(J2:J13)</f>
        <v/>
      </c>
      <c r="K14" s="7">
        <f>SUM(K2:K13)</f>
        <v/>
      </c>
      <c r="L14" s="7">
        <f>SUM(L2:L13)</f>
        <v/>
      </c>
      <c r="M14" s="7">
        <f>SUM(M2:M13)</f>
        <v/>
      </c>
    </row>
    <row r="15">
      <c r="A15" s="3" t="inlineStr">
        <is>
          <t>Purchase of PP&amp;E</t>
        </is>
      </c>
      <c r="B15" s="4" t="n">
        <v>0</v>
      </c>
      <c r="C15" s="4" t="n">
        <v>-2787</v>
      </c>
      <c r="D15" s="4" t="n">
        <v>-3156</v>
      </c>
      <c r="E15" s="4" t="n">
        <v>-3062</v>
      </c>
      <c r="F15" s="4" t="n">
        <v>-3322</v>
      </c>
      <c r="G15" s="4" t="n">
        <v>-3773</v>
      </c>
      <c r="H15" s="5" t="n"/>
      <c r="I15" s="5" t="n"/>
      <c r="J15" s="5" t="n"/>
      <c r="K15" s="5" t="n"/>
      <c r="L15" s="5" t="n"/>
      <c r="M15" s="5" t="n"/>
    </row>
    <row r="16">
      <c r="A16" s="3" t="inlineStr">
        <is>
          <t>Proceeds from Sale of Assets</t>
        </is>
      </c>
      <c r="B16" s="4" t="n">
        <v>0</v>
      </c>
      <c r="C16" s="4" t="n">
        <v>42</v>
      </c>
      <c r="D16" s="4" t="n">
        <v>110</v>
      </c>
      <c r="E16" s="4" t="n">
        <v>46</v>
      </c>
      <c r="F16" s="4" t="n">
        <v>346</v>
      </c>
      <c r="G16" s="4" t="n">
        <v>107</v>
      </c>
      <c r="H16" s="5" t="n"/>
      <c r="I16" s="5" t="n"/>
      <c r="J16" s="5" t="n"/>
      <c r="K16" s="5" t="n"/>
      <c r="L16" s="5" t="n"/>
      <c r="M16" s="5" t="n"/>
    </row>
    <row r="17">
      <c r="A17" s="3" t="inlineStr">
        <is>
          <t>Acquisitions, Net of Cash Acquired</t>
        </is>
      </c>
      <c r="B17" s="4" t="n">
        <v>0</v>
      </c>
      <c r="C17" s="4" t="n">
        <v>-34</v>
      </c>
      <c r="D17" s="4" t="n">
        <v>-1381</v>
      </c>
      <c r="E17" s="4" t="n">
        <v>-765</v>
      </c>
      <c r="F17" s="4" t="n">
        <v>-21</v>
      </c>
      <c r="G17" s="4" t="n">
        <v>-11</v>
      </c>
      <c r="H17" s="5" t="n"/>
      <c r="I17" s="5" t="n"/>
      <c r="J17" s="5" t="n"/>
      <c r="K17" s="5" t="n"/>
      <c r="L17" s="5" t="n"/>
      <c r="M17" s="5" t="n"/>
    </row>
    <row r="18">
      <c r="A18" s="3" t="inlineStr">
        <is>
          <t>Other Investing Activities</t>
        </is>
      </c>
      <c r="B18" s="4" t="n">
        <v>0</v>
      </c>
      <c r="C18" s="4" t="n">
        <v>-55</v>
      </c>
      <c r="D18" s="4" t="n">
        <v>3</v>
      </c>
      <c r="E18" s="4" t="n">
        <v>281</v>
      </c>
      <c r="F18" s="4" t="n">
        <v>-507</v>
      </c>
      <c r="G18" s="4" t="n">
        <v>-141</v>
      </c>
      <c r="H18" s="5" t="n"/>
      <c r="I18" s="5" t="n"/>
      <c r="J18" s="5" t="n"/>
      <c r="K18" s="5" t="n"/>
      <c r="L18" s="5" t="n"/>
      <c r="M18" s="5" t="n"/>
    </row>
    <row r="19">
      <c r="A19" s="3" t="inlineStr">
        <is>
          <t>Cash Flow from Investing</t>
        </is>
      </c>
      <c r="B19" s="6">
        <f>SUM(B15:B18)</f>
        <v/>
      </c>
      <c r="C19" s="6">
        <f>SUM(C15:C18)</f>
        <v/>
      </c>
      <c r="D19" s="6">
        <f>SUM(D15:D18)</f>
        <v/>
      </c>
      <c r="E19" s="6">
        <f>SUM(E15:E18)</f>
        <v/>
      </c>
      <c r="F19" s="6">
        <f>SUM(F15:F18)</f>
        <v/>
      </c>
      <c r="G19" s="6">
        <f>SUM(G15:G18)</f>
        <v/>
      </c>
      <c r="H19" s="7">
        <f>SUM(H15:H18)</f>
        <v/>
      </c>
      <c r="I19" s="7">
        <f>SUM(I15:I18)</f>
        <v/>
      </c>
      <c r="J19" s="7">
        <f>SUM(J15:J18)</f>
        <v/>
      </c>
      <c r="K19" s="7">
        <f>SUM(K15:K18)</f>
        <v/>
      </c>
      <c r="L19" s="7">
        <f>SUM(L15:L18)</f>
        <v/>
      </c>
      <c r="M19" s="7">
        <f>SUM(M15:M18)</f>
        <v/>
      </c>
    </row>
    <row r="20">
      <c r="A20" s="3" t="inlineStr">
        <is>
          <t>Common Dividends</t>
        </is>
      </c>
      <c r="B20" s="4" t="n">
        <v>0</v>
      </c>
      <c r="C20" s="4" t="n">
        <v>-8263</v>
      </c>
      <c r="D20" s="4" t="n">
        <v>-8770</v>
      </c>
      <c r="E20" s="4" t="n">
        <v>-8999</v>
      </c>
      <c r="F20" s="4" t="n">
        <v>-9312</v>
      </c>
      <c r="G20" s="4" t="n">
        <v>-9872</v>
      </c>
      <c r="H20" s="5" t="n"/>
      <c r="I20" s="5" t="n"/>
      <c r="J20" s="5" t="n"/>
      <c r="K20" s="5" t="n"/>
      <c r="L20" s="5" t="n"/>
      <c r="M20" s="5" t="n"/>
    </row>
    <row r="21">
      <c r="A21" s="3" t="inlineStr">
        <is>
          <t>Proceeds from Short-Term Debt</t>
        </is>
      </c>
      <c r="B21" s="4" t="n">
        <v>0</v>
      </c>
      <c r="C21" s="4" t="n">
        <v>7675</v>
      </c>
      <c r="D21" s="4" t="n">
        <v>10411</v>
      </c>
      <c r="E21" s="4" t="n">
        <v>17168</v>
      </c>
      <c r="F21" s="4" t="n">
        <v>3528</v>
      </c>
      <c r="G21" s="4" t="n">
        <v>8020</v>
      </c>
      <c r="H21" s="5" t="n"/>
      <c r="I21" s="5" t="n"/>
      <c r="J21" s="5" t="n"/>
      <c r="K21" s="5" t="n"/>
      <c r="L21" s="5" t="n"/>
      <c r="M21" s="5" t="n"/>
    </row>
    <row r="22">
      <c r="A22" s="3" t="inlineStr">
        <is>
          <t>Repayments of Short-Term Debt</t>
        </is>
      </c>
      <c r="B22" s="4" t="n">
        <v>0</v>
      </c>
      <c r="C22" s="4" t="n">
        <v>-7577</v>
      </c>
      <c r="D22" s="4" t="n">
        <v>-11478</v>
      </c>
      <c r="E22" s="4" t="n">
        <v>-13031</v>
      </c>
      <c r="F22" s="4" t="n">
        <v>-7689</v>
      </c>
      <c r="G22" s="4" t="n">
        <v>-6512</v>
      </c>
      <c r="H22" s="5" t="n"/>
      <c r="I22" s="5" t="n"/>
      <c r="J22" s="5" t="n"/>
      <c r="K22" s="5" t="n"/>
      <c r="L22" s="5" t="n"/>
      <c r="M22" s="5" t="n"/>
    </row>
    <row r="23">
      <c r="A23" s="3" t="inlineStr">
        <is>
          <t>Net Change in Other Short-Term Debt</t>
        </is>
      </c>
      <c r="B23" s="4" t="n">
        <v>0</v>
      </c>
      <c r="C23" s="4" t="n">
        <v>-3431</v>
      </c>
      <c r="D23" s="4" t="n">
        <v>917</v>
      </c>
      <c r="E23" s="4" t="n">
        <v>-3319</v>
      </c>
      <c r="F23" s="4" t="n">
        <v>857</v>
      </c>
      <c r="G23" s="4" t="n">
        <v>-1138</v>
      </c>
      <c r="H23" s="5" t="n"/>
      <c r="I23" s="5" t="n"/>
      <c r="J23" s="5" t="n"/>
      <c r="K23" s="5" t="n"/>
      <c r="L23" s="5" t="n"/>
      <c r="M23" s="5" t="n"/>
    </row>
    <row r="24">
      <c r="A24" s="3" t="inlineStr">
        <is>
          <t>Proceeds from Issuance of Long-Term Debt</t>
        </is>
      </c>
      <c r="B24" s="4" t="n">
        <v>0</v>
      </c>
      <c r="C24" s="4" t="n">
        <v>4417</v>
      </c>
      <c r="D24" s="4" t="n">
        <v>4385</v>
      </c>
      <c r="E24" s="4" t="n">
        <v>3997</v>
      </c>
      <c r="F24" s="4" t="n">
        <v>3197</v>
      </c>
      <c r="G24" s="4" t="n">
        <v>2237</v>
      </c>
      <c r="H24" s="5" t="n"/>
      <c r="I24" s="5" t="n"/>
      <c r="J24" s="5" t="n"/>
      <c r="K24" s="5" t="n"/>
      <c r="L24" s="5" t="n"/>
      <c r="M24" s="5" t="n"/>
    </row>
    <row r="25">
      <c r="A25" s="3" t="inlineStr">
        <is>
          <t>Repayments of Long-Term Debt</t>
        </is>
      </c>
      <c r="B25" s="4" t="n">
        <v>0</v>
      </c>
      <c r="C25" s="4" t="n">
        <v>-4987</v>
      </c>
      <c r="D25" s="4" t="n">
        <v>-2343</v>
      </c>
      <c r="E25" s="4" t="n">
        <v>-1878</v>
      </c>
      <c r="F25" s="4" t="n">
        <v>-2335</v>
      </c>
      <c r="G25" s="4" t="n">
        <v>-1977</v>
      </c>
      <c r="H25" s="5" t="n"/>
      <c r="I25" s="5" t="n"/>
      <c r="J25" s="5" t="n"/>
      <c r="K25" s="5" t="n"/>
      <c r="L25" s="5" t="n"/>
      <c r="M25" s="5" t="n"/>
    </row>
    <row r="26">
      <c r="A26" s="3" t="inlineStr">
        <is>
          <t>Share Repurchases</t>
        </is>
      </c>
      <c r="B26" s="4" t="n">
        <v>0</v>
      </c>
      <c r="C26" s="4" t="n">
        <v>-11009</v>
      </c>
      <c r="D26" s="4" t="n">
        <v>-10003</v>
      </c>
      <c r="E26" s="4" t="n">
        <v>-7353</v>
      </c>
      <c r="F26" s="4" t="n">
        <v>-5006</v>
      </c>
      <c r="G26" s="4" t="n">
        <v>-6500</v>
      </c>
      <c r="H26" s="5" t="n"/>
      <c r="I26" s="5" t="n"/>
      <c r="J26" s="5" t="n"/>
      <c r="K26" s="5" t="n"/>
      <c r="L26" s="5" t="n"/>
      <c r="M26" s="5" t="n"/>
    </row>
    <row r="27">
      <c r="A27" s="3" t="inlineStr">
        <is>
          <t>Stock Options &amp; Other Financing Activities</t>
        </is>
      </c>
      <c r="B27" s="4" t="n">
        <v>0</v>
      </c>
      <c r="C27" s="4" t="n">
        <v>1644</v>
      </c>
      <c r="D27" s="4" t="n">
        <v>2005</v>
      </c>
      <c r="E27" s="4" t="n">
        <v>1269</v>
      </c>
      <c r="F27" s="4" t="n">
        <v>1905</v>
      </c>
      <c r="G27" s="4" t="n">
        <v>1707</v>
      </c>
      <c r="H27" s="5" t="n"/>
      <c r="I27" s="5" t="n"/>
      <c r="J27" s="5" t="n"/>
      <c r="K27" s="5" t="n"/>
      <c r="L27" s="5" t="n"/>
      <c r="M27" s="5" t="n"/>
    </row>
    <row r="28">
      <c r="A28" s="3" t="inlineStr">
        <is>
          <t>Cash Flow from Financing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7">
        <f>SUM(H20:H27)</f>
        <v/>
      </c>
      <c r="I28" s="7">
        <f>SUM(I20:I27)</f>
        <v/>
      </c>
      <c r="J28" s="7">
        <f>SUM(J20:J27)</f>
        <v/>
      </c>
      <c r="K28" s="7">
        <f>SUM(K20:K27)</f>
        <v/>
      </c>
      <c r="L28" s="7">
        <f>SUM(L20:L27)</f>
        <v/>
      </c>
      <c r="M28" s="7">
        <f>SUM(M20:M27)</f>
        <v/>
      </c>
    </row>
    <row r="29">
      <c r="A29" s="3" t="inlineStr">
        <is>
          <t>FX Effect on Cash</t>
        </is>
      </c>
      <c r="B29" s="4" t="n">
        <v>16181</v>
      </c>
      <c r="C29" s="4" t="n">
        <v>10389</v>
      </c>
      <c r="D29" s="4" t="n">
        <v>6717</v>
      </c>
      <c r="E29" s="4" t="n">
        <v>8076</v>
      </c>
      <c r="F29" s="4" t="n">
        <v>9231</v>
      </c>
      <c r="G29" s="4" t="n">
        <v>9668</v>
      </c>
      <c r="H29" s="5" t="n"/>
      <c r="I29" s="5" t="n"/>
      <c r="J29" s="5" t="n"/>
      <c r="K29" s="5" t="n"/>
      <c r="L29" s="5" t="n"/>
      <c r="M29" s="5" t="n"/>
    </row>
    <row r="30">
      <c r="A30" s="3" t="inlineStr">
        <is>
          <t>Net Change in Cash</t>
        </is>
      </c>
      <c r="B30" s="6">
        <f>B14+B19+B28+B29</f>
        <v/>
      </c>
      <c r="C30" s="6">
        <f>C14+C19+C28+C29</f>
        <v/>
      </c>
      <c r="D30" s="6">
        <f>D14+D19+D28+D29</f>
        <v/>
      </c>
      <c r="E30" s="6">
        <f>E14+E19+E28+E29</f>
        <v/>
      </c>
      <c r="F30" s="6">
        <f>F14+F19+F28+F29</f>
        <v/>
      </c>
      <c r="G30" s="6">
        <f>G14+G19+G28+G29</f>
        <v/>
      </c>
      <c r="H30" s="7">
        <f>H14+H19+H28+H29</f>
        <v/>
      </c>
      <c r="I30" s="7">
        <f>I14+I19+I28+I29</f>
        <v/>
      </c>
      <c r="J30" s="7">
        <f>J14+J19+J28+J29</f>
        <v/>
      </c>
      <c r="K30" s="7">
        <f>K14+K19+K28+K29</f>
        <v/>
      </c>
      <c r="L30" s="7">
        <f>L14+L19+L28+L29</f>
        <v/>
      </c>
      <c r="M30" s="7">
        <f>M14+M19+M28+M29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Sales / Revenue</t>
        </is>
      </c>
      <c r="B2" s="4" t="n">
        <v>20338</v>
      </c>
      <c r="C2" s="4" t="n">
        <v>41291</v>
      </c>
      <c r="D2" s="4" t="n">
        <v>60672</v>
      </c>
      <c r="E2" s="4" t="n">
        <v>20612</v>
      </c>
      <c r="F2" s="4" t="n">
        <v>41385</v>
      </c>
      <c r="G2" s="4" t="n">
        <v>61453</v>
      </c>
      <c r="H2" s="4" t="n">
        <v>21871</v>
      </c>
      <c r="I2" s="4" t="n">
        <v>43312</v>
      </c>
      <c r="J2" s="4" t="n">
        <v>63507</v>
      </c>
      <c r="K2" s="4" t="n">
        <v>21737</v>
      </c>
      <c r="L2" s="4" t="n">
        <v>43619</v>
      </c>
      <c r="M2" s="4" t="n">
        <v>63395</v>
      </c>
      <c r="N2" s="4" t="n">
        <v>22386</v>
      </c>
      <c r="O2" s="4" t="n">
        <v>44594</v>
      </c>
    </row>
    <row r="3">
      <c r="A3" s="3" t="inlineStr">
        <is>
          <t>COGS</t>
        </is>
      </c>
      <c r="B3" s="4" t="n">
        <v>-10365</v>
      </c>
      <c r="C3" s="4" t="n">
        <v>-21029</v>
      </c>
      <c r="D3" s="4" t="n">
        <v>-31355</v>
      </c>
      <c r="E3" s="4" t="n">
        <v>-10846</v>
      </c>
      <c r="F3" s="4" t="n">
        <v>-21743</v>
      </c>
      <c r="G3" s="4" t="n">
        <v>-32147</v>
      </c>
      <c r="H3" s="4" t="n">
        <v>-10501</v>
      </c>
      <c r="I3" s="4" t="n">
        <v>-20645</v>
      </c>
      <c r="J3" s="4" t="n">
        <v>-30500</v>
      </c>
      <c r="K3" s="4" t="n">
        <v>-10421</v>
      </c>
      <c r="L3" s="4" t="n">
        <v>-20839</v>
      </c>
      <c r="M3" s="4" t="n">
        <v>-30533</v>
      </c>
      <c r="N3" s="4" t="n">
        <v>-10887</v>
      </c>
      <c r="O3" s="4" t="n">
        <v>-21721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</row>
    <row r="5">
      <c r="A5" s="3" t="inlineStr">
        <is>
          <t>SG&amp;A</t>
        </is>
      </c>
      <c r="B5" s="4" t="n">
        <v>-4950</v>
      </c>
      <c r="C5" s="4" t="n">
        <v>-10071</v>
      </c>
      <c r="D5" s="4" t="n">
        <v>-15102</v>
      </c>
      <c r="E5" s="4" t="n">
        <v>-4827</v>
      </c>
      <c r="F5" s="4" t="n">
        <v>-9918</v>
      </c>
      <c r="G5" s="4" t="n">
        <v>-15334</v>
      </c>
      <c r="H5" s="4" t="n">
        <v>-5604</v>
      </c>
      <c r="I5" s="4" t="n">
        <v>-11127</v>
      </c>
      <c r="J5" s="4" t="n">
        <v>-17006</v>
      </c>
      <c r="K5" s="4" t="n">
        <v>-5519</v>
      </c>
      <c r="L5" s="4" t="n">
        <v>-11242</v>
      </c>
      <c r="M5" s="4" t="n">
        <v>-16765</v>
      </c>
      <c r="N5" s="4" t="n">
        <v>-5643</v>
      </c>
      <c r="O5" s="4" t="n">
        <v>-11651</v>
      </c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1341</v>
      </c>
      <c r="J6" s="4" t="n">
        <v>1341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</row>
    <row r="7">
      <c r="A7" s="3" t="inlineStr">
        <is>
          <t>Income (Loss) from Operations</t>
        </is>
      </c>
      <c r="B7" s="6">
        <f>B4+SUM(B5:B6)</f>
        <v/>
      </c>
      <c r="C7" s="6">
        <f>C4+SUM(C5:C6)</f>
        <v/>
      </c>
      <c r="D7" s="6">
        <f>D4+SUM(D5:D6)</f>
        <v/>
      </c>
      <c r="E7" s="6">
        <f>E4+SUM(E5:E6)</f>
        <v/>
      </c>
      <c r="F7" s="6">
        <f>F4+SUM(F5:F6)</f>
        <v/>
      </c>
      <c r="G7" s="6">
        <f>G4+SUM(G5:G6)</f>
        <v/>
      </c>
      <c r="H7" s="6">
        <f>H4+SUM(H5:H6)</f>
        <v/>
      </c>
      <c r="I7" s="6">
        <f>I4+SUM(I5:I6)</f>
        <v/>
      </c>
      <c r="J7" s="6">
        <f>J4+SUM(J5:J6)</f>
        <v/>
      </c>
      <c r="K7" s="6">
        <f>K4+SUM(K5:K6)</f>
        <v/>
      </c>
      <c r="L7" s="6">
        <f>L4+SUM(L5:L6)</f>
        <v/>
      </c>
      <c r="M7" s="6">
        <f>M4+SUM(M5:M6)</f>
        <v/>
      </c>
      <c r="N7" s="6">
        <f>N4+SUM(N5:N6)</f>
        <v/>
      </c>
      <c r="O7" s="6">
        <f>O4+SUM(O5:O6)</f>
        <v/>
      </c>
    </row>
    <row r="8">
      <c r="A8" s="3" t="inlineStr">
        <is>
          <t>Interest Income (Expense)</t>
        </is>
      </c>
      <c r="B8" s="4" t="n">
        <v>-98</v>
      </c>
      <c r="C8" s="4" t="n">
        <v>-194</v>
      </c>
      <c r="D8" s="4" t="n">
        <v>-294</v>
      </c>
      <c r="E8" s="4" t="n">
        <v>-81</v>
      </c>
      <c r="F8" s="4" t="n">
        <v>-186</v>
      </c>
      <c r="G8" s="4" t="n">
        <v>-325</v>
      </c>
      <c r="H8" s="4" t="n">
        <v>-97</v>
      </c>
      <c r="I8" s="4" t="n">
        <v>-210</v>
      </c>
      <c r="J8" s="4" t="n">
        <v>-339</v>
      </c>
      <c r="K8" s="4" t="n">
        <v>-103</v>
      </c>
      <c r="L8" s="4" t="n">
        <v>-224</v>
      </c>
      <c r="M8" s="4" t="n">
        <v>-330</v>
      </c>
      <c r="N8" s="4" t="n">
        <v>-89</v>
      </c>
      <c r="O8" s="4" t="n">
        <v>-195</v>
      </c>
    </row>
    <row r="9">
      <c r="A9" s="3" t="inlineStr">
        <is>
          <t>Other Income (Expense)</t>
        </is>
      </c>
      <c r="B9" s="4" t="n">
        <v>110</v>
      </c>
      <c r="C9" s="4" t="n">
        <v>277</v>
      </c>
      <c r="D9" s="4" t="n">
        <v>424</v>
      </c>
      <c r="E9" s="4" t="n">
        <v>139</v>
      </c>
      <c r="F9" s="4" t="n">
        <v>294</v>
      </c>
      <c r="G9" s="4" t="n">
        <v>473</v>
      </c>
      <c r="H9" s="4" t="n">
        <v>132</v>
      </c>
      <c r="I9" s="4" t="n">
        <v>309</v>
      </c>
      <c r="J9" s="4" t="n">
        <v>570</v>
      </c>
      <c r="K9" s="4" t="n">
        <v>-554</v>
      </c>
      <c r="L9" s="4" t="n">
        <v>-330</v>
      </c>
      <c r="M9" s="4" t="n">
        <v>-120</v>
      </c>
      <c r="N9" s="4" t="n">
        <v>268</v>
      </c>
      <c r="O9" s="4" t="n">
        <v>427</v>
      </c>
    </row>
    <row r="10">
      <c r="A10" s="3" t="inlineStr">
        <is>
          <t>Pre-Tax Income (Loss)</t>
        </is>
      </c>
      <c r="B10" s="6">
        <f>B7+SUM(B8:B9)</f>
        <v/>
      </c>
      <c r="C10" s="6">
        <f>C7+SUM(C8:C9)</f>
        <v/>
      </c>
      <c r="D10" s="6">
        <f>D7+SUM(D8:D9)</f>
        <v/>
      </c>
      <c r="E10" s="6">
        <f>E7+SUM(E8:E9)</f>
        <v/>
      </c>
      <c r="F10" s="6">
        <f>F7+SUM(F8:F9)</f>
        <v/>
      </c>
      <c r="G10" s="6">
        <f>G7+SUM(G8:G9)</f>
        <v/>
      </c>
      <c r="H10" s="6">
        <f>H7+SUM(H8:H9)</f>
        <v/>
      </c>
      <c r="I10" s="6">
        <f>I7+SUM(I8:I9)</f>
        <v/>
      </c>
      <c r="J10" s="6">
        <f>J7+SUM(J8:J9)</f>
        <v/>
      </c>
      <c r="K10" s="6">
        <f>K7+SUM(K8:K9)</f>
        <v/>
      </c>
      <c r="L10" s="6">
        <f>L7+SUM(L8:L9)</f>
        <v/>
      </c>
      <c r="M10" s="6">
        <f>M7+SUM(M8:M9)</f>
        <v/>
      </c>
      <c r="N10" s="6">
        <f>N7+SUM(N8:N9)</f>
        <v/>
      </c>
      <c r="O10" s="6">
        <f>O7+SUM(O8:O9)</f>
        <v/>
      </c>
    </row>
    <row r="11">
      <c r="A11" s="3" t="inlineStr">
        <is>
          <t>Income Tax (Expense) Benefit</t>
        </is>
      </c>
      <c r="B11" s="4" t="n">
        <v>-909</v>
      </c>
      <c r="C11" s="4" t="n">
        <v>-1906</v>
      </c>
      <c r="D11" s="4" t="n">
        <v>-2610</v>
      </c>
      <c r="E11" s="4" t="n">
        <v>-1034</v>
      </c>
      <c r="F11" s="4" t="n">
        <v>-1910</v>
      </c>
      <c r="G11" s="4" t="n">
        <v>-2774</v>
      </c>
      <c r="H11" s="4" t="n">
        <v>-1246</v>
      </c>
      <c r="I11" s="4" t="n">
        <v>-2250</v>
      </c>
      <c r="J11" s="4" t="n">
        <v>-3061</v>
      </c>
      <c r="K11" s="4" t="n">
        <v>-1152</v>
      </c>
      <c r="L11" s="4" t="n">
        <v>-2339</v>
      </c>
      <c r="M11" s="4" t="n">
        <v>-3207</v>
      </c>
      <c r="N11" s="4" t="n">
        <v>-1253</v>
      </c>
      <c r="O11" s="4" t="n">
        <v>-2343</v>
      </c>
    </row>
    <row r="12">
      <c r="A12" s="3" t="inlineStr">
        <is>
          <t>Net Income (Loss)</t>
        </is>
      </c>
      <c r="B12" s="6">
        <f>B10+B11</f>
        <v/>
      </c>
      <c r="C12" s="6">
        <f>C10+C11</f>
        <v/>
      </c>
      <c r="D12" s="6">
        <f>D10+D11</f>
        <v/>
      </c>
      <c r="E12" s="6">
        <f>E10+E11</f>
        <v/>
      </c>
      <c r="F12" s="6">
        <f>F10+F11</f>
        <v/>
      </c>
      <c r="G12" s="6">
        <f>G10+G11</f>
        <v/>
      </c>
      <c r="H12" s="6">
        <f>H10+H11</f>
        <v/>
      </c>
      <c r="I12" s="6">
        <f>I10+I11</f>
        <v/>
      </c>
      <c r="J12" s="6">
        <f>J10+J11</f>
        <v/>
      </c>
      <c r="K12" s="6">
        <f>K10+K11</f>
        <v/>
      </c>
      <c r="L12" s="6">
        <f>L10+L11</f>
        <v/>
      </c>
      <c r="M12" s="6">
        <f>M10+M11</f>
        <v/>
      </c>
      <c r="N12" s="6">
        <f>N10+N11</f>
        <v/>
      </c>
      <c r="O12" s="6">
        <f>O10+O11</f>
        <v/>
      </c>
    </row>
    <row r="13">
      <c r="A13" s="3" t="inlineStr">
        <is>
          <t>Net Income (Loss) Attributable to Noncontrolling Interest</t>
        </is>
      </c>
      <c r="B13" s="4" t="n">
        <v>14</v>
      </c>
      <c r="C13" s="4" t="n">
        <v>33</v>
      </c>
      <c r="D13" s="4" t="n">
        <v>45</v>
      </c>
      <c r="E13" s="4" t="n">
        <v>24</v>
      </c>
      <c r="F13" s="4" t="n">
        <v>50</v>
      </c>
      <c r="G13" s="4" t="n">
        <v>77</v>
      </c>
      <c r="H13" s="4" t="n">
        <v>35</v>
      </c>
      <c r="I13" s="4" t="n">
        <v>60</v>
      </c>
      <c r="J13" s="4" t="n">
        <v>88</v>
      </c>
      <c r="K13" s="4" t="n">
        <v>28</v>
      </c>
      <c r="L13" s="4" t="n">
        <v>56</v>
      </c>
      <c r="M13" s="4" t="n">
        <v>80</v>
      </c>
      <c r="N13" s="4" t="n">
        <v>31</v>
      </c>
      <c r="O13" s="4" t="n">
        <v>42</v>
      </c>
    </row>
    <row r="14">
      <c r="A14" s="3" t="inlineStr">
        <is>
          <t>Net Income (Loss) Less NCI</t>
        </is>
      </c>
      <c r="B14" s="6">
        <f>B12-B13</f>
        <v/>
      </c>
      <c r="C14" s="6">
        <f>C12-C13</f>
        <v/>
      </c>
      <c r="D14" s="6">
        <f>D12-D13</f>
        <v/>
      </c>
      <c r="E14" s="6">
        <f>E12-E13</f>
        <v/>
      </c>
      <c r="F14" s="6">
        <f>F12-F13</f>
        <v/>
      </c>
      <c r="G14" s="6">
        <f>G12-G13</f>
        <v/>
      </c>
      <c r="H14" s="6">
        <f>H12-H13</f>
        <v/>
      </c>
      <c r="I14" s="6">
        <f>I12-I13</f>
        <v/>
      </c>
      <c r="J14" s="6">
        <f>J12-J13</f>
        <v/>
      </c>
      <c r="K14" s="6">
        <f>K12-K13</f>
        <v/>
      </c>
      <c r="L14" s="6">
        <f>L12-L13</f>
        <v/>
      </c>
      <c r="M14" s="6">
        <f>M12-M13</f>
        <v/>
      </c>
      <c r="N14" s="6">
        <f>N12-N13</f>
        <v/>
      </c>
      <c r="O14" s="6">
        <f>O12-O13</f>
        <v/>
      </c>
    </row>
    <row r="15">
      <c r="A15" s="3" t="inlineStr">
        <is>
          <t>Basic Earnings (Loss) per Share</t>
        </is>
      </c>
      <c r="B15" s="8" t="n">
        <v>1.66</v>
      </c>
      <c r="C15" s="8" t="n">
        <v>3.39</v>
      </c>
      <c r="D15" s="8" t="n">
        <v>4.76</v>
      </c>
      <c r="E15" s="8" t="n">
        <v>1.62</v>
      </c>
      <c r="F15" s="8" t="n">
        <v>3.25</v>
      </c>
      <c r="G15" s="8" t="n">
        <v>4.67</v>
      </c>
      <c r="H15" s="8" t="n">
        <v>1.89</v>
      </c>
      <c r="I15" s="8" t="n">
        <v>3.33</v>
      </c>
      <c r="J15" s="8" t="n">
        <v>4.89</v>
      </c>
      <c r="K15" s="8" t="n">
        <v>1.65</v>
      </c>
      <c r="L15" s="8" t="n">
        <v>3.59</v>
      </c>
      <c r="M15" s="8" t="n">
        <v>5.16</v>
      </c>
      <c r="N15" s="8" t="n">
        <v>2</v>
      </c>
      <c r="O15" s="8" t="n">
        <v>3.82</v>
      </c>
    </row>
    <row r="16">
      <c r="A16" s="3" t="inlineStr">
        <is>
          <t>Diluted Earnings (Loss) per Share</t>
        </is>
      </c>
      <c r="B16" s="8" t="n">
        <v>1.61</v>
      </c>
      <c r="C16" s="8" t="n">
        <v>3.27</v>
      </c>
      <c r="D16" s="8" t="n">
        <v>4.59</v>
      </c>
      <c r="E16" s="8" t="n">
        <v>1.57</v>
      </c>
      <c r="F16" s="8" t="n">
        <v>3.16</v>
      </c>
      <c r="G16" s="8" t="n">
        <v>4.53</v>
      </c>
      <c r="H16" s="8" t="n">
        <v>1.83</v>
      </c>
      <c r="I16" s="8" t="n">
        <v>3.23</v>
      </c>
      <c r="J16" s="8" t="n">
        <v>4.75</v>
      </c>
      <c r="K16" s="8" t="n">
        <v>1.61</v>
      </c>
      <c r="L16" s="8" t="n">
        <v>3.49</v>
      </c>
      <c r="M16" s="8" t="n">
        <v>5.03</v>
      </c>
      <c r="N16" s="8" t="n">
        <v>1.95</v>
      </c>
      <c r="O16" s="8" t="n">
        <v>3.73</v>
      </c>
    </row>
    <row r="17">
      <c r="A17" s="3" t="inlineStr">
        <is>
          <t>Weighted Average Shares Outstanding (Basic)</t>
        </is>
      </c>
      <c r="B17" s="4" t="n">
        <v>2558900000</v>
      </c>
      <c r="C17" s="4" t="n">
        <v>2551600000</v>
      </c>
      <c r="D17" s="4" t="n">
        <v>2544400000</v>
      </c>
      <c r="E17" s="4" t="n">
        <v>2503600000</v>
      </c>
      <c r="F17" s="4" t="n">
        <v>2492400000</v>
      </c>
      <c r="G17" s="4" t="n">
        <v>2486000000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/>
      <c r="B1" s="2" t="inlineStr">
        <is>
          <t>Q4 FY2022</t>
        </is>
      </c>
      <c r="C1" s="2" t="inlineStr">
        <is>
          <t>Q1 FY2023</t>
        </is>
      </c>
      <c r="D1" s="2" t="inlineStr">
        <is>
          <t>Q2 FY2023</t>
        </is>
      </c>
      <c r="E1" s="2" t="inlineStr">
        <is>
          <t>Q3 FY2023</t>
        </is>
      </c>
      <c r="F1" s="2" t="inlineStr">
        <is>
          <t>Q4 FY2023</t>
        </is>
      </c>
      <c r="G1" s="2" t="inlineStr">
        <is>
          <t>Q1 FY2024</t>
        </is>
      </c>
      <c r="H1" s="2" t="inlineStr">
        <is>
          <t>Q2 FY2024</t>
        </is>
      </c>
      <c r="I1" s="2" t="inlineStr">
        <is>
          <t>Q3 FY2024</t>
        </is>
      </c>
      <c r="J1" s="2" t="inlineStr">
        <is>
          <t>Q4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Q4 FY2025</t>
        </is>
      </c>
      <c r="O1" s="2" t="inlineStr">
        <is>
          <t>Q1 FY2026</t>
        </is>
      </c>
      <c r="P1" s="2" t="inlineStr">
        <is>
          <t>Q2 FY2026</t>
        </is>
      </c>
    </row>
    <row r="2">
      <c r="A2" s="3" t="inlineStr">
        <is>
          <t>Cash &amp; Cash Equivalents</t>
        </is>
      </c>
      <c r="B2" s="4" t="n">
        <v>7214</v>
      </c>
      <c r="C2" s="4" t="n">
        <v>6710</v>
      </c>
      <c r="D2" s="4" t="n">
        <v>6854</v>
      </c>
      <c r="E2" s="4" t="n">
        <v>7596</v>
      </c>
      <c r="F2" s="4" t="n">
        <v>8246</v>
      </c>
      <c r="G2" s="4" t="n">
        <v>9733</v>
      </c>
      <c r="H2" s="4" t="n">
        <v>7890</v>
      </c>
      <c r="I2" s="4" t="n">
        <v>6828</v>
      </c>
      <c r="J2" s="4" t="n">
        <v>9482</v>
      </c>
      <c r="K2" s="4" t="n">
        <v>12156</v>
      </c>
      <c r="L2" s="4" t="n">
        <v>10230</v>
      </c>
      <c r="M2" s="4" t="n">
        <v>9116</v>
      </c>
      <c r="N2" s="4" t="n">
        <v>9556</v>
      </c>
      <c r="O2" s="4" t="n">
        <v>11171</v>
      </c>
      <c r="P2" s="4" t="n">
        <v>10825</v>
      </c>
    </row>
    <row r="3">
      <c r="A3" s="3" t="inlineStr">
        <is>
          <t>Accounts Receivable</t>
        </is>
      </c>
      <c r="B3" s="4" t="n">
        <v>5143</v>
      </c>
      <c r="C3" s="4" t="n">
        <v>5720</v>
      </c>
      <c r="D3" s="4" t="n">
        <v>5767</v>
      </c>
      <c r="E3" s="4" t="n">
        <v>5471</v>
      </c>
      <c r="F3" s="4" t="n">
        <v>5471</v>
      </c>
      <c r="G3" s="4" t="n">
        <v>6215</v>
      </c>
      <c r="H3" s="4" t="n">
        <v>6334</v>
      </c>
      <c r="I3" s="4" t="n">
        <v>6124</v>
      </c>
      <c r="J3" s="4" t="n">
        <v>6118</v>
      </c>
      <c r="K3" s="4" t="n">
        <v>6314</v>
      </c>
      <c r="L3" s="4" t="n">
        <v>6234</v>
      </c>
      <c r="M3" s="4" t="n">
        <v>6139</v>
      </c>
      <c r="N3" s="4" t="n">
        <v>6185</v>
      </c>
      <c r="O3" s="4" t="n">
        <v>6487</v>
      </c>
      <c r="P3" s="4" t="n">
        <v>6279</v>
      </c>
    </row>
    <row r="4">
      <c r="A4" s="3" t="inlineStr">
        <is>
          <t>Inventories</t>
        </is>
      </c>
      <c r="B4" s="4" t="n">
        <v>6924</v>
      </c>
      <c r="C4" s="4" t="n">
        <v>7590</v>
      </c>
      <c r="D4" s="4" t="n">
        <v>7541</v>
      </c>
      <c r="E4" s="4" t="n">
        <v>7483</v>
      </c>
      <c r="F4" s="4" t="n">
        <v>7073</v>
      </c>
      <c r="G4" s="4" t="n">
        <v>7117</v>
      </c>
      <c r="H4" s="4" t="n">
        <v>7151</v>
      </c>
      <c r="I4" s="4" t="n">
        <v>7077</v>
      </c>
      <c r="J4" s="4" t="n">
        <v>7016</v>
      </c>
      <c r="K4" s="4" t="n">
        <v>7287</v>
      </c>
      <c r="L4" s="4" t="n">
        <v>7020</v>
      </c>
      <c r="M4" s="4" t="n">
        <v>7400</v>
      </c>
      <c r="N4" s="4" t="n">
        <v>7551</v>
      </c>
      <c r="O4" s="4" t="n">
        <v>7848</v>
      </c>
      <c r="P4" s="4" t="n">
        <v>7817</v>
      </c>
    </row>
    <row r="5">
      <c r="A5" s="3" t="inlineStr">
        <is>
          <t>Prepaid Expenses</t>
        </is>
      </c>
      <c r="B5" s="4" t="n">
        <v>2372</v>
      </c>
      <c r="C5" s="4" t="n">
        <v>2501</v>
      </c>
      <c r="D5" s="4" t="n">
        <v>1704</v>
      </c>
      <c r="E5" s="4" t="n">
        <v>1755</v>
      </c>
      <c r="F5" s="4" t="n">
        <v>1858</v>
      </c>
      <c r="G5" s="4" t="n">
        <v>1875</v>
      </c>
      <c r="H5" s="4" t="n">
        <v>1736</v>
      </c>
      <c r="I5" s="4" t="n">
        <v>2428</v>
      </c>
      <c r="J5" s="4" t="n">
        <v>2095</v>
      </c>
      <c r="K5" s="4" t="n">
        <v>1692</v>
      </c>
      <c r="L5" s="4" t="n">
        <v>2158</v>
      </c>
      <c r="M5" s="4" t="n">
        <v>1780</v>
      </c>
      <c r="N5" s="4" t="n">
        <v>2100</v>
      </c>
      <c r="O5" s="4" t="n">
        <v>1612</v>
      </c>
      <c r="P5" s="4" t="n">
        <v>1666</v>
      </c>
    </row>
    <row r="6">
      <c r="A6" s="3" t="inlineStr">
        <is>
          <t>Total Current Assets</t>
        </is>
      </c>
      <c r="B6" s="6">
        <f>SUM(B2:B5)</f>
        <v/>
      </c>
      <c r="C6" s="6">
        <f>SUM(C2:C5)</f>
        <v/>
      </c>
      <c r="D6" s="6">
        <f>SUM(D2:D5)</f>
        <v/>
      </c>
      <c r="E6" s="6">
        <f>SUM(E2:E5)</f>
        <v/>
      </c>
      <c r="F6" s="6">
        <f>SUM(F2:F5)</f>
        <v/>
      </c>
      <c r="G6" s="6">
        <f>SUM(G2:G5)</f>
        <v/>
      </c>
      <c r="H6" s="6">
        <f>SUM(H2:H5)</f>
        <v/>
      </c>
      <c r="I6" s="6">
        <f>SUM(I2:I5)</f>
        <v/>
      </c>
      <c r="J6" s="6">
        <f>SUM(J2:J5)</f>
        <v/>
      </c>
      <c r="K6" s="6">
        <f>SUM(K2:K5)</f>
        <v/>
      </c>
      <c r="L6" s="6">
        <f>SUM(L2:L5)</f>
        <v/>
      </c>
      <c r="M6" s="6">
        <f>SUM(M2:M5)</f>
        <v/>
      </c>
      <c r="N6" s="6">
        <f>SUM(N2:N5)</f>
        <v/>
      </c>
      <c r="O6" s="6">
        <f>SUM(O2:O5)</f>
        <v/>
      </c>
      <c r="P6" s="6">
        <f>SUM(P2:P5)</f>
        <v/>
      </c>
    </row>
    <row r="7">
      <c r="A7" s="3" t="inlineStr">
        <is>
          <t>Net PP&amp;E</t>
        </is>
      </c>
      <c r="B7" s="4" t="n">
        <v>21195</v>
      </c>
      <c r="C7" s="4" t="n">
        <v>20593</v>
      </c>
      <c r="D7" s="4" t="n">
        <v>21167</v>
      </c>
      <c r="E7" s="4" t="n">
        <v>21564</v>
      </c>
      <c r="F7" s="4" t="n">
        <v>21909</v>
      </c>
      <c r="G7" s="4" t="n">
        <v>21636</v>
      </c>
      <c r="H7" s="4" t="n">
        <v>22132</v>
      </c>
      <c r="I7" s="4" t="n">
        <v>22027</v>
      </c>
      <c r="J7" s="4" t="n">
        <v>22152</v>
      </c>
      <c r="K7" s="4" t="n">
        <v>22506</v>
      </c>
      <c r="L7" s="4" t="n">
        <v>22074</v>
      </c>
      <c r="M7" s="4" t="n">
        <v>22728</v>
      </c>
      <c r="N7" s="4" t="n">
        <v>23897</v>
      </c>
      <c r="O7" s="4" t="n">
        <v>24119</v>
      </c>
      <c r="P7" s="4" t="n">
        <v>24487</v>
      </c>
    </row>
    <row r="8">
      <c r="A8" s="3" t="inlineStr">
        <is>
          <t>Goodwill</t>
        </is>
      </c>
      <c r="B8" s="4" t="n">
        <v>39700</v>
      </c>
      <c r="C8" s="4" t="n">
        <v>38761</v>
      </c>
      <c r="D8" s="4" t="n">
        <v>39951</v>
      </c>
      <c r="E8" s="4" t="n">
        <v>40718</v>
      </c>
      <c r="F8" s="4" t="n">
        <v>40659</v>
      </c>
      <c r="G8" s="4" t="n">
        <v>40239</v>
      </c>
      <c r="H8" s="4" t="n">
        <v>40916</v>
      </c>
      <c r="I8" s="4" t="n">
        <v>40567</v>
      </c>
      <c r="J8" s="4" t="n">
        <v>40303</v>
      </c>
      <c r="K8" s="4" t="n">
        <v>40970</v>
      </c>
      <c r="L8" s="4" t="n">
        <v>39898</v>
      </c>
      <c r="M8" s="4" t="n">
        <v>40476</v>
      </c>
      <c r="N8" s="4" t="n">
        <v>41650</v>
      </c>
      <c r="O8" s="4" t="n">
        <v>41643</v>
      </c>
      <c r="P8" s="4" t="n">
        <v>41665</v>
      </c>
    </row>
    <row r="9">
      <c r="A9" s="3" t="inlineStr">
        <is>
          <t>Intangible Assets</t>
        </is>
      </c>
      <c r="B9" s="4" t="n">
        <v>23679</v>
      </c>
      <c r="C9" s="4" t="n">
        <v>23465</v>
      </c>
      <c r="D9" s="4" t="n">
        <v>23594</v>
      </c>
      <c r="E9" s="4" t="n">
        <v>23832</v>
      </c>
      <c r="F9" s="4" t="n">
        <v>23783</v>
      </c>
      <c r="G9" s="4" t="n">
        <v>23637</v>
      </c>
      <c r="H9" s="4" t="n">
        <v>22302</v>
      </c>
      <c r="I9" s="4" t="n">
        <v>22193</v>
      </c>
      <c r="J9" s="4" t="n">
        <v>22047</v>
      </c>
      <c r="K9" s="4" t="n">
        <v>22053</v>
      </c>
      <c r="L9" s="4" t="n">
        <v>21833</v>
      </c>
      <c r="M9" s="4" t="n">
        <v>21836</v>
      </c>
      <c r="N9" s="4" t="n">
        <v>21910</v>
      </c>
      <c r="O9" s="4" t="n">
        <v>21818</v>
      </c>
      <c r="P9" s="4" t="n">
        <v>21737</v>
      </c>
    </row>
    <row r="10">
      <c r="A10" s="3" t="inlineStr">
        <is>
          <t>Other Non-Current Assets</t>
        </is>
      </c>
      <c r="B10" s="4" t="n">
        <v>10981</v>
      </c>
      <c r="C10" s="4" t="n">
        <v>10942</v>
      </c>
      <c r="D10" s="4" t="n">
        <v>11137</v>
      </c>
      <c r="E10" s="4" t="n">
        <v>11432</v>
      </c>
      <c r="F10" s="4" t="n">
        <v>11830</v>
      </c>
      <c r="G10" s="4" t="n">
        <v>12079</v>
      </c>
      <c r="H10" s="4" t="n">
        <v>12248</v>
      </c>
      <c r="I10" s="4" t="n">
        <v>12353</v>
      </c>
      <c r="J10" s="4" t="n">
        <v>13158</v>
      </c>
      <c r="K10" s="4" t="n">
        <v>13503</v>
      </c>
      <c r="L10" s="4" t="n">
        <v>13192</v>
      </c>
      <c r="M10" s="4" t="n">
        <v>13508</v>
      </c>
      <c r="N10" s="4" t="n">
        <v>12381</v>
      </c>
      <c r="O10" s="4" t="n">
        <v>12901</v>
      </c>
      <c r="P10" s="4" t="n">
        <v>12809</v>
      </c>
    </row>
    <row r="11">
      <c r="A11" s="3" t="inlineStr">
        <is>
          <t>Total Assets</t>
        </is>
      </c>
      <c r="B11" s="6">
        <f>B6+SUM(B7:B10)</f>
        <v/>
      </c>
      <c r="C11" s="6">
        <f>C6+SUM(C7:C10)</f>
        <v/>
      </c>
      <c r="D11" s="6">
        <f>D6+SUM(D7:D10)</f>
        <v/>
      </c>
      <c r="E11" s="6">
        <f>E6+SUM(E7:E10)</f>
        <v/>
      </c>
      <c r="F11" s="6">
        <f>F6+SUM(F7:F10)</f>
        <v/>
      </c>
      <c r="G11" s="6">
        <f>G6+SUM(G7:G10)</f>
        <v/>
      </c>
      <c r="H11" s="6">
        <f>H6+SUM(H7:H10)</f>
        <v/>
      </c>
      <c r="I11" s="6">
        <f>I6+SUM(I7:I10)</f>
        <v/>
      </c>
      <c r="J11" s="6">
        <f>J6+SUM(J7:J10)</f>
        <v/>
      </c>
      <c r="K11" s="6">
        <f>K6+SUM(K7:K10)</f>
        <v/>
      </c>
      <c r="L11" s="6">
        <f>L6+SUM(L7:L10)</f>
        <v/>
      </c>
      <c r="M11" s="6">
        <f>M6+SUM(M7:M10)</f>
        <v/>
      </c>
      <c r="N11" s="6">
        <f>N6+SUM(N7:N10)</f>
        <v/>
      </c>
      <c r="O11" s="6">
        <f>O6+SUM(O7:O10)</f>
        <v/>
      </c>
      <c r="P11" s="6">
        <f>P6+SUM(P7:P10)</f>
        <v/>
      </c>
    </row>
    <row r="12">
      <c r="A12" s="3" t="inlineStr">
        <is>
          <t>Accounts Payable</t>
        </is>
      </c>
      <c r="B12" s="4" t="n">
        <v>14882</v>
      </c>
      <c r="C12" s="4" t="n">
        <v>14845</v>
      </c>
      <c r="D12" s="4" t="n">
        <v>14153</v>
      </c>
      <c r="E12" s="4" t="n">
        <v>13790</v>
      </c>
      <c r="F12" s="4" t="n">
        <v>14598</v>
      </c>
      <c r="G12" s="4" t="n">
        <v>14435</v>
      </c>
      <c r="H12" s="4" t="n">
        <v>14234</v>
      </c>
      <c r="I12" s="4" t="n">
        <v>13691</v>
      </c>
      <c r="J12" s="4" t="n">
        <v>15364</v>
      </c>
      <c r="K12" s="4" t="n">
        <v>15350</v>
      </c>
      <c r="L12" s="4" t="n">
        <v>14495</v>
      </c>
      <c r="M12" s="4" t="n">
        <v>14512</v>
      </c>
      <c r="N12" s="4" t="n">
        <v>15227</v>
      </c>
      <c r="O12" s="4" t="n">
        <v>15609</v>
      </c>
      <c r="P12" s="4" t="n">
        <v>15173</v>
      </c>
    </row>
    <row r="13">
      <c r="A13" s="3" t="inlineStr">
        <is>
          <t>Accrued Expenses</t>
        </is>
      </c>
      <c r="B13" s="4" t="n">
        <v>9554</v>
      </c>
      <c r="C13" s="4" t="n">
        <v>10056</v>
      </c>
      <c r="D13" s="4" t="n">
        <v>10293</v>
      </c>
      <c r="E13" s="4" t="n">
        <v>10523</v>
      </c>
      <c r="F13" s="4" t="n">
        <v>10929</v>
      </c>
      <c r="G13" s="4" t="n">
        <v>10912</v>
      </c>
      <c r="H13" s="4" t="n">
        <v>11100</v>
      </c>
      <c r="I13" s="4" t="n">
        <v>10921</v>
      </c>
      <c r="J13" s="4" t="n">
        <v>11073</v>
      </c>
      <c r="K13" s="4" t="n">
        <v>10661</v>
      </c>
      <c r="L13" s="4" t="n">
        <v>9879</v>
      </c>
      <c r="M13" s="4" t="n">
        <v>9847</v>
      </c>
      <c r="N13" s="4" t="n">
        <v>11318</v>
      </c>
      <c r="O13" s="4" t="n">
        <v>10756</v>
      </c>
      <c r="P13" s="4" t="n">
        <v>10463</v>
      </c>
    </row>
    <row r="14">
      <c r="A14" s="3" t="inlineStr">
        <is>
          <t>Current Portion of Long-Term Debt</t>
        </is>
      </c>
      <c r="B14" s="4" t="n">
        <v>8645</v>
      </c>
      <c r="C14" s="4" t="n">
        <v>11717</v>
      </c>
      <c r="D14" s="4" t="n">
        <v>14300</v>
      </c>
      <c r="E14" s="4" t="n">
        <v>13717</v>
      </c>
      <c r="F14" s="4" t="n">
        <v>10229</v>
      </c>
      <c r="G14" s="4" t="n">
        <v>11811</v>
      </c>
      <c r="H14" s="4" t="n">
        <v>10616</v>
      </c>
      <c r="I14" s="4" t="n">
        <v>7729</v>
      </c>
      <c r="J14" s="4" t="n">
        <v>7191</v>
      </c>
      <c r="K14" s="4" t="n">
        <v>10409</v>
      </c>
      <c r="L14" s="4" t="n">
        <v>9424</v>
      </c>
      <c r="M14" s="4" t="n">
        <v>9889</v>
      </c>
      <c r="N14" s="4" t="n">
        <v>9513</v>
      </c>
      <c r="O14" s="4" t="n">
        <v>11631</v>
      </c>
      <c r="P14" s="4" t="n">
        <v>11062</v>
      </c>
    </row>
    <row r="15">
      <c r="A15" s="3" t="inlineStr">
        <is>
          <t>Total Current Liabilities</t>
        </is>
      </c>
      <c r="B15" s="6">
        <f>SUM(B12:B14)</f>
        <v/>
      </c>
      <c r="C15" s="6">
        <f>SUM(C12:C14)</f>
        <v/>
      </c>
      <c r="D15" s="6">
        <f>SUM(D12:D14)</f>
        <v/>
      </c>
      <c r="E15" s="6">
        <f>SUM(E12:E14)</f>
        <v/>
      </c>
      <c r="F15" s="6">
        <f>SUM(F12:F14)</f>
        <v/>
      </c>
      <c r="G15" s="6">
        <f>SUM(G12:G14)</f>
        <v/>
      </c>
      <c r="H15" s="6">
        <f>SUM(H12:H14)</f>
        <v/>
      </c>
      <c r="I15" s="6">
        <f>SUM(I12:I14)</f>
        <v/>
      </c>
      <c r="J15" s="6">
        <f>SUM(J12:J14)</f>
        <v/>
      </c>
      <c r="K15" s="6">
        <f>SUM(K12:K14)</f>
        <v/>
      </c>
      <c r="L15" s="6">
        <f>SUM(L12:L14)</f>
        <v/>
      </c>
      <c r="M15" s="6">
        <f>SUM(M12:M14)</f>
        <v/>
      </c>
      <c r="N15" s="6">
        <f>SUM(N12:N14)</f>
        <v/>
      </c>
      <c r="O15" s="6">
        <f>SUM(O12:O14)</f>
        <v/>
      </c>
      <c r="P15" s="6">
        <f>SUM(P12:P14)</f>
        <v/>
      </c>
    </row>
    <row r="16">
      <c r="A16" s="3" t="inlineStr">
        <is>
          <t>Long-Term Debt</t>
        </is>
      </c>
      <c r="B16" s="4" t="n">
        <v>22848</v>
      </c>
      <c r="C16" s="4" t="n">
        <v>21286</v>
      </c>
      <c r="D16" s="4" t="n">
        <v>20582</v>
      </c>
      <c r="E16" s="4" t="n">
        <v>22874</v>
      </c>
      <c r="F16" s="4" t="n">
        <v>24378</v>
      </c>
      <c r="G16" s="4" t="n">
        <v>24069</v>
      </c>
      <c r="H16" s="4" t="n">
        <v>23096</v>
      </c>
      <c r="I16" s="4" t="n">
        <v>24253</v>
      </c>
      <c r="J16" s="4" t="n">
        <v>25269</v>
      </c>
      <c r="K16" s="4" t="n">
        <v>25744</v>
      </c>
      <c r="L16" s="4" t="n">
        <v>25263</v>
      </c>
      <c r="M16" s="4" t="n">
        <v>24252</v>
      </c>
      <c r="N16" s="4" t="n">
        <v>24995</v>
      </c>
      <c r="O16" s="4" t="n">
        <v>24315</v>
      </c>
      <c r="P16" s="4" t="n">
        <v>25577</v>
      </c>
    </row>
    <row r="17">
      <c r="A17" s="3" t="inlineStr">
        <is>
          <t>Deferred Tax Liability</t>
        </is>
      </c>
      <c r="B17" s="4" t="n">
        <v>6809</v>
      </c>
      <c r="C17" s="4" t="n">
        <v>6986</v>
      </c>
      <c r="D17" s="4" t="n">
        <v>6462</v>
      </c>
      <c r="E17" s="4" t="n">
        <v>6422</v>
      </c>
      <c r="F17" s="4" t="n">
        <v>6478</v>
      </c>
      <c r="G17" s="4" t="n">
        <v>6814</v>
      </c>
      <c r="H17" s="4" t="n">
        <v>6219</v>
      </c>
      <c r="I17" s="4" t="n">
        <v>6284</v>
      </c>
      <c r="J17" s="4" t="n">
        <v>6516</v>
      </c>
      <c r="K17" s="4" t="n">
        <v>6420</v>
      </c>
      <c r="L17" s="4" t="n">
        <v>6725</v>
      </c>
      <c r="M17" s="4" t="n">
        <v>6481</v>
      </c>
      <c r="N17" s="4" t="n">
        <v>5774</v>
      </c>
      <c r="O17" s="4" t="n">
        <v>5893</v>
      </c>
      <c r="P17" s="4" t="n">
        <v>5974</v>
      </c>
    </row>
    <row r="18">
      <c r="A18" s="3" t="inlineStr">
        <is>
          <t>Other Non-Current Liabilities</t>
        </is>
      </c>
      <c r="B18" s="4" t="n">
        <v>7616</v>
      </c>
      <c r="C18" s="4" t="n">
        <v>7058</v>
      </c>
      <c r="D18" s="4" t="n">
        <v>7200</v>
      </c>
      <c r="E18" s="4" t="n">
        <v>7104</v>
      </c>
      <c r="F18" s="4" t="n">
        <v>7152</v>
      </c>
      <c r="G18" s="4" t="n">
        <v>6477</v>
      </c>
      <c r="H18" s="4" t="n">
        <v>6614</v>
      </c>
      <c r="I18" s="4" t="n">
        <v>6386</v>
      </c>
      <c r="J18" s="4" t="n">
        <v>6398</v>
      </c>
      <c r="K18" s="4" t="n">
        <v>5757</v>
      </c>
      <c r="L18" s="4" t="n">
        <v>5411</v>
      </c>
      <c r="M18" s="4" t="n">
        <v>5458</v>
      </c>
      <c r="N18" s="4" t="n">
        <v>6120</v>
      </c>
      <c r="O18" s="4" t="n">
        <v>5844</v>
      </c>
      <c r="P18" s="4" t="n">
        <v>5719</v>
      </c>
    </row>
    <row r="19">
      <c r="A19" s="3" t="inlineStr">
        <is>
          <t>Total Liabilities</t>
        </is>
      </c>
      <c r="B19" s="6">
        <f>B15+SUM(B16:B18)</f>
        <v/>
      </c>
      <c r="C19" s="6">
        <f>C15+SUM(C16:C18)</f>
        <v/>
      </c>
      <c r="D19" s="6">
        <f>D15+SUM(D16:D18)</f>
        <v/>
      </c>
      <c r="E19" s="6">
        <f>E15+SUM(E16:E18)</f>
        <v/>
      </c>
      <c r="F19" s="6">
        <f>F15+SUM(F16:F18)</f>
        <v/>
      </c>
      <c r="G19" s="6">
        <f>G15+SUM(G16:G18)</f>
        <v/>
      </c>
      <c r="H19" s="6">
        <f>H15+SUM(H16:H18)</f>
        <v/>
      </c>
      <c r="I19" s="6">
        <f>I15+SUM(I16:I18)</f>
        <v/>
      </c>
      <c r="J19" s="6">
        <f>J15+SUM(J16:J18)</f>
        <v/>
      </c>
      <c r="K19" s="6">
        <f>K15+SUM(K16:K18)</f>
        <v/>
      </c>
      <c r="L19" s="6">
        <f>L15+SUM(L16:L18)</f>
        <v/>
      </c>
      <c r="M19" s="6">
        <f>M15+SUM(M16:M18)</f>
        <v/>
      </c>
      <c r="N19" s="6">
        <f>N15+SUM(N16:N18)</f>
        <v/>
      </c>
      <c r="O19" s="6">
        <f>O15+SUM(O16:O18)</f>
        <v/>
      </c>
      <c r="P19" s="6">
        <f>P15+SUM(P16:P18)</f>
        <v/>
      </c>
    </row>
    <row r="20">
      <c r="A20" s="3" t="inlineStr">
        <is>
          <t>Convertible Preferred Stock</t>
        </is>
      </c>
      <c r="B20" s="4" t="n">
        <v>843</v>
      </c>
      <c r="C20" s="4" t="n">
        <v>834</v>
      </c>
      <c r="D20" s="4" t="n">
        <v>831</v>
      </c>
      <c r="E20" s="4" t="n">
        <v>822</v>
      </c>
      <c r="F20" s="4" t="n">
        <v>819</v>
      </c>
      <c r="G20" s="4" t="n">
        <v>812</v>
      </c>
      <c r="H20" s="4" t="n">
        <v>809</v>
      </c>
      <c r="I20" s="4" t="n">
        <v>801</v>
      </c>
      <c r="J20" s="4" t="n">
        <v>798</v>
      </c>
      <c r="K20" s="4" t="n">
        <v>791</v>
      </c>
      <c r="L20" s="4" t="n">
        <v>788</v>
      </c>
      <c r="M20" s="4" t="n">
        <v>781</v>
      </c>
      <c r="N20" s="4" t="n">
        <v>777</v>
      </c>
      <c r="O20" s="4" t="n">
        <v>770</v>
      </c>
      <c r="P20" s="4" t="n">
        <v>767</v>
      </c>
    </row>
    <row r="21">
      <c r="A21" s="3" t="inlineStr">
        <is>
          <t>Common Stock</t>
        </is>
      </c>
      <c r="B21" s="4" t="n">
        <v>4009</v>
      </c>
      <c r="C21" s="4" t="n">
        <v>4009</v>
      </c>
      <c r="D21" s="4" t="n">
        <v>4009</v>
      </c>
      <c r="E21" s="4" t="n">
        <v>4009</v>
      </c>
      <c r="F21" s="4" t="n">
        <v>4009</v>
      </c>
      <c r="G21" s="4" t="n">
        <v>4009</v>
      </c>
      <c r="H21" s="4" t="n">
        <v>4009</v>
      </c>
      <c r="I21" s="4" t="n">
        <v>4009</v>
      </c>
      <c r="J21" s="4" t="n">
        <v>4009</v>
      </c>
      <c r="K21" s="4" t="n">
        <v>4009</v>
      </c>
      <c r="L21" s="4" t="n">
        <v>4009</v>
      </c>
      <c r="M21" s="4" t="n">
        <v>4009</v>
      </c>
      <c r="N21" s="4" t="n">
        <v>4009</v>
      </c>
      <c r="O21" s="4" t="n">
        <v>4009</v>
      </c>
      <c r="P21" s="4" t="n">
        <v>4009</v>
      </c>
    </row>
    <row r="22">
      <c r="A22" s="3" t="inlineStr">
        <is>
          <t>Additional Paid-in Capital</t>
        </is>
      </c>
      <c r="B22" s="4" t="n">
        <v>65795</v>
      </c>
      <c r="C22" s="4" t="n">
        <v>65955</v>
      </c>
      <c r="D22" s="4" t="n">
        <v>66145</v>
      </c>
      <c r="E22" s="4" t="n">
        <v>66316</v>
      </c>
      <c r="F22" s="4" t="n">
        <v>66556</v>
      </c>
      <c r="G22" s="4" t="n">
        <v>66822</v>
      </c>
      <c r="H22" s="4" t="n">
        <v>66935</v>
      </c>
      <c r="I22" s="4" t="n">
        <v>67395</v>
      </c>
      <c r="J22" s="4" t="n">
        <v>67684</v>
      </c>
      <c r="K22" s="4" t="n">
        <v>68102</v>
      </c>
      <c r="L22" s="4" t="n">
        <v>68283</v>
      </c>
      <c r="M22" s="4" t="n">
        <v>68615</v>
      </c>
      <c r="N22" s="4" t="n">
        <v>68770</v>
      </c>
      <c r="O22" s="4" t="n">
        <v>68917</v>
      </c>
      <c r="P22" s="4" t="n">
        <v>69010</v>
      </c>
    </row>
    <row r="23">
      <c r="A23" s="3" t="inlineStr">
        <is>
          <t>ESOP Debt Retirement Reserve</t>
        </is>
      </c>
      <c r="B23" s="4" t="n">
        <v>-916</v>
      </c>
      <c r="C23" s="4" t="n">
        <v>-870</v>
      </c>
      <c r="D23" s="4" t="n">
        <v>-870</v>
      </c>
      <c r="E23" s="4" t="n">
        <v>-821</v>
      </c>
      <c r="F23" s="4" t="n">
        <v>-821</v>
      </c>
      <c r="G23" s="4" t="n">
        <v>-782</v>
      </c>
      <c r="H23" s="4" t="n">
        <v>-782</v>
      </c>
      <c r="I23" s="4" t="n">
        <v>-737</v>
      </c>
      <c r="J23" s="4" t="n">
        <v>-737</v>
      </c>
      <c r="K23" s="4" t="n">
        <v>-707</v>
      </c>
      <c r="L23" s="4" t="n">
        <v>-707</v>
      </c>
      <c r="M23" s="4" t="n">
        <v>-672</v>
      </c>
      <c r="N23" s="4" t="n">
        <v>-672</v>
      </c>
      <c r="O23" s="4" t="n">
        <v>-637</v>
      </c>
      <c r="P23" s="4" t="n">
        <v>-637</v>
      </c>
    </row>
    <row r="24">
      <c r="A24" s="3" t="inlineStr">
        <is>
          <t>Accumulated Other Comprehensive Income (Loss)</t>
        </is>
      </c>
      <c r="B24" s="4" t="n">
        <v>-12189</v>
      </c>
      <c r="C24" s="4" t="n">
        <v>-12811</v>
      </c>
      <c r="D24" s="4" t="n">
        <v>-12506</v>
      </c>
      <c r="E24" s="4" t="n">
        <v>-12266</v>
      </c>
      <c r="F24" s="4" t="n">
        <v>-12220</v>
      </c>
      <c r="G24" s="4" t="n">
        <v>-12583</v>
      </c>
      <c r="H24" s="4" t="n">
        <v>-12167</v>
      </c>
      <c r="I24" s="4" t="n">
        <v>-12370</v>
      </c>
      <c r="J24" s="4" t="n">
        <v>-11900</v>
      </c>
      <c r="K24" s="4" t="n">
        <v>-10893</v>
      </c>
      <c r="L24" s="4" t="n">
        <v>-11637</v>
      </c>
      <c r="M24" s="4" t="n">
        <v>-11307</v>
      </c>
      <c r="N24" s="4" t="n">
        <v>-12143</v>
      </c>
      <c r="O24" s="4" t="n">
        <v>-12156</v>
      </c>
      <c r="P24" s="4" t="n">
        <v>-12108</v>
      </c>
    </row>
    <row r="25">
      <c r="A25" s="3" t="inlineStr">
        <is>
          <t>Treasury Stock</t>
        </is>
      </c>
      <c r="B25" s="4" t="n">
        <v>-123382</v>
      </c>
      <c r="C25" s="4" t="n">
        <v>-127205</v>
      </c>
      <c r="D25" s="4" t="n">
        <v>-129012</v>
      </c>
      <c r="E25" s="4" t="n">
        <v>-130002</v>
      </c>
      <c r="F25" s="4" t="n">
        <v>-129736</v>
      </c>
      <c r="G25" s="4" t="n">
        <v>-131029</v>
      </c>
      <c r="H25" s="4" t="n">
        <v>-131887</v>
      </c>
      <c r="I25" s="4" t="n">
        <v>-132172</v>
      </c>
      <c r="J25" s="4" t="n">
        <v>-133379</v>
      </c>
      <c r="K25" s="4" t="n">
        <v>-134823</v>
      </c>
      <c r="L25" s="4" t="n">
        <v>-137112</v>
      </c>
      <c r="M25" s="4" t="n">
        <v>-138073</v>
      </c>
      <c r="N25" s="4" t="n">
        <v>-138702</v>
      </c>
      <c r="O25" s="4" t="n">
        <v>-139845</v>
      </c>
      <c r="P25" s="4" t="n">
        <v>-141981</v>
      </c>
    </row>
    <row r="26">
      <c r="A26" s="3" t="inlineStr">
        <is>
          <t>Retained Earnings (Accumulated Deficit)</t>
        </is>
      </c>
      <c r="B26" s="4" t="n">
        <v>112429</v>
      </c>
      <c r="C26" s="4" t="n">
        <v>114163</v>
      </c>
      <c r="D26" s="4" t="n">
        <v>115858</v>
      </c>
      <c r="E26" s="4" t="n">
        <v>117082</v>
      </c>
      <c r="F26" s="4" t="n">
        <v>118170</v>
      </c>
      <c r="G26" s="4" t="n">
        <v>120443</v>
      </c>
      <c r="H26" s="4" t="n">
        <v>121617</v>
      </c>
      <c r="I26" s="4" t="n">
        <v>123132</v>
      </c>
      <c r="J26" s="4" t="n">
        <v>123811</v>
      </c>
      <c r="K26" s="4" t="n">
        <v>125361</v>
      </c>
      <c r="L26" s="4" t="n">
        <v>127544</v>
      </c>
      <c r="M26" s="4" t="n">
        <v>128919</v>
      </c>
      <c r="N26" s="4" t="n">
        <v>129973</v>
      </c>
      <c r="O26" s="4" t="n">
        <v>132212</v>
      </c>
      <c r="P26" s="4" t="n">
        <v>133981</v>
      </c>
    </row>
    <row r="27">
      <c r="A27" s="3" t="inlineStr">
        <is>
          <t>Noncontrolling Interest</t>
        </is>
      </c>
      <c r="B27" s="4" t="n">
        <v>265</v>
      </c>
      <c r="C27" s="4" t="n">
        <v>259</v>
      </c>
      <c r="D27" s="4" t="n">
        <v>270</v>
      </c>
      <c r="E27" s="4" t="n">
        <v>281</v>
      </c>
      <c r="F27" s="4" t="n">
        <v>288</v>
      </c>
      <c r="G27" s="4" t="n">
        <v>321</v>
      </c>
      <c r="H27" s="4" t="n">
        <v>294</v>
      </c>
      <c r="I27" s="4" t="n">
        <v>275</v>
      </c>
      <c r="J27" s="4" t="n">
        <v>272</v>
      </c>
      <c r="K27" s="4" t="n">
        <v>300</v>
      </c>
      <c r="L27" s="4" t="n">
        <v>275</v>
      </c>
      <c r="M27" s="4" t="n">
        <v>273</v>
      </c>
      <c r="N27" s="4" t="n">
        <v>272</v>
      </c>
      <c r="O27" s="4" t="n">
        <v>281</v>
      </c>
      <c r="P27" s="4" t="n">
        <v>276</v>
      </c>
    </row>
    <row r="28">
      <c r="A28" s="3" t="inlineStr">
        <is>
          <t>Total Stockholders' Equity</t>
        </is>
      </c>
      <c r="B28" s="6">
        <f>SUM(B20:B27)</f>
        <v/>
      </c>
      <c r="C28" s="6">
        <f>SUM(C20:C27)</f>
        <v/>
      </c>
      <c r="D28" s="6">
        <f>SUM(D20:D27)</f>
        <v/>
      </c>
      <c r="E28" s="6">
        <f>SUM(E20:E27)</f>
        <v/>
      </c>
      <c r="F28" s="6">
        <f>SUM(F20:F27)</f>
        <v/>
      </c>
      <c r="G28" s="6">
        <f>SUM(G20:G27)</f>
        <v/>
      </c>
      <c r="H28" s="6">
        <f>SUM(H20:H27)</f>
        <v/>
      </c>
      <c r="I28" s="6">
        <f>SUM(I20:I27)</f>
        <v/>
      </c>
      <c r="J28" s="6">
        <f>SUM(J20:J27)</f>
        <v/>
      </c>
      <c r="K28" s="6">
        <f>SUM(K20:K27)</f>
        <v/>
      </c>
      <c r="L28" s="6">
        <f>SUM(L20:L27)</f>
        <v/>
      </c>
      <c r="M28" s="6">
        <f>SUM(M20:M27)</f>
        <v/>
      </c>
      <c r="N28" s="6">
        <f>SUM(N20:N27)</f>
        <v/>
      </c>
      <c r="O28" s="6">
        <f>SUM(O20:O27)</f>
        <v/>
      </c>
      <c r="P28" s="6">
        <f>SUM(P20:P27)</f>
        <v/>
      </c>
    </row>
    <row r="29">
      <c r="A29" s="3" t="inlineStr">
        <is>
          <t>Total Liabilities, Mezzanine &amp; Stockholders' Equity</t>
        </is>
      </c>
      <c r="B29" s="6">
        <f>B19+B28</f>
        <v/>
      </c>
      <c r="C29" s="6">
        <f>C19+C28</f>
        <v/>
      </c>
      <c r="D29" s="6">
        <f>D19+D28</f>
        <v/>
      </c>
      <c r="E29" s="6">
        <f>E19+E28</f>
        <v/>
      </c>
      <c r="F29" s="6">
        <f>F19+F28</f>
        <v/>
      </c>
      <c r="G29" s="6">
        <f>G19+G28</f>
        <v/>
      </c>
      <c r="H29" s="6">
        <f>H19+H28</f>
        <v/>
      </c>
      <c r="I29" s="6">
        <f>I19+I28</f>
        <v/>
      </c>
      <c r="J29" s="6">
        <f>J19+J28</f>
        <v/>
      </c>
      <c r="K29" s="6">
        <f>K19+K28</f>
        <v/>
      </c>
      <c r="L29" s="6">
        <f>L19+L28</f>
        <v/>
      </c>
      <c r="M29" s="6">
        <f>M19+M28</f>
        <v/>
      </c>
      <c r="N29" s="6">
        <f>N19+N28</f>
        <v/>
      </c>
      <c r="O29" s="6">
        <f>O19+O28</f>
        <v/>
      </c>
      <c r="P29" s="6">
        <f>P19+P28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/>
      <c r="B1" s="2" t="inlineStr">
        <is>
          <t>Q1 FY2022</t>
        </is>
      </c>
      <c r="C1" s="2" t="inlineStr">
        <is>
          <t>Q2 FY2022</t>
        </is>
      </c>
      <c r="D1" s="2" t="inlineStr">
        <is>
          <t>Q3 FY2022</t>
        </is>
      </c>
      <c r="E1" s="2" t="inlineStr">
        <is>
          <t>Q1 FY2023</t>
        </is>
      </c>
      <c r="F1" s="2" t="inlineStr">
        <is>
          <t>Q2 FY2023</t>
        </is>
      </c>
      <c r="G1" s="2" t="inlineStr">
        <is>
          <t>Q3 FY2023</t>
        </is>
      </c>
      <c r="H1" s="2" t="inlineStr">
        <is>
          <t>Q1 FY2024</t>
        </is>
      </c>
      <c r="I1" s="2" t="inlineStr">
        <is>
          <t>Q2 FY2024</t>
        </is>
      </c>
      <c r="J1" s="2" t="inlineStr">
        <is>
          <t>Q3 FY2024</t>
        </is>
      </c>
      <c r="K1" s="2" t="inlineStr">
        <is>
          <t>Q1 FY2025</t>
        </is>
      </c>
      <c r="L1" s="2" t="inlineStr">
        <is>
          <t>Q2 FY2025</t>
        </is>
      </c>
      <c r="M1" s="2" t="inlineStr">
        <is>
          <t>Q3 FY2025</t>
        </is>
      </c>
      <c r="N1" s="2" t="inlineStr">
        <is>
          <t>Q1 FY2026</t>
        </is>
      </c>
      <c r="O1" s="2" t="inlineStr">
        <is>
          <t>Q2 FY2026</t>
        </is>
      </c>
    </row>
    <row r="2">
      <c r="A2" s="3" t="inlineStr">
        <is>
          <t>Net Income (Loss)</t>
        </is>
      </c>
      <c r="B2" s="4" t="n">
        <v>4126</v>
      </c>
      <c r="C2" s="4" t="n">
        <v>8368</v>
      </c>
      <c r="D2" s="4" t="n">
        <v>11735</v>
      </c>
      <c r="E2" s="4" t="n">
        <v>3963</v>
      </c>
      <c r="F2" s="4" t="n">
        <v>7922</v>
      </c>
      <c r="G2" s="4" t="n">
        <v>11346</v>
      </c>
      <c r="H2" s="4" t="n">
        <v>4556</v>
      </c>
      <c r="I2" s="4" t="n">
        <v>8049</v>
      </c>
      <c r="J2" s="4" t="n">
        <v>11830</v>
      </c>
      <c r="K2" s="4" t="n">
        <v>3987</v>
      </c>
      <c r="L2" s="4" t="n">
        <v>8646</v>
      </c>
      <c r="M2" s="4" t="n">
        <v>12439</v>
      </c>
      <c r="N2" s="4" t="n">
        <v>4781</v>
      </c>
      <c r="O2" s="4" t="n">
        <v>9112</v>
      </c>
    </row>
    <row r="3">
      <c r="A3" s="3" t="inlineStr">
        <is>
          <t>Depreciation &amp; Amortization</t>
        </is>
      </c>
      <c r="B3" s="4" t="n">
        <v>711</v>
      </c>
      <c r="C3" s="4" t="n">
        <v>1395</v>
      </c>
      <c r="D3" s="4" t="n">
        <v>2085</v>
      </c>
      <c r="E3" s="4" t="n">
        <v>663</v>
      </c>
      <c r="F3" s="4" t="n">
        <v>1316</v>
      </c>
      <c r="G3" s="4" t="n">
        <v>2008</v>
      </c>
      <c r="H3" s="4" t="n">
        <v>702</v>
      </c>
      <c r="I3" s="4" t="n">
        <v>1423</v>
      </c>
      <c r="J3" s="4" t="n">
        <v>2135</v>
      </c>
      <c r="K3" s="4" t="n">
        <v>728</v>
      </c>
      <c r="L3" s="4" t="n">
        <v>1434</v>
      </c>
      <c r="M3" s="4" t="n">
        <v>2124</v>
      </c>
      <c r="N3" s="4" t="n">
        <v>761</v>
      </c>
      <c r="O3" s="4" t="n">
        <v>1563</v>
      </c>
    </row>
    <row r="4">
      <c r="A4" s="3" t="inlineStr">
        <is>
          <t>Stock-Based Compensation</t>
        </is>
      </c>
      <c r="B4" s="4" t="n">
        <v>116</v>
      </c>
      <c r="C4" s="4" t="n">
        <v>268</v>
      </c>
      <c r="D4" s="4" t="n">
        <v>398</v>
      </c>
      <c r="E4" s="4" t="n">
        <v>105</v>
      </c>
      <c r="F4" s="4" t="n">
        <v>250</v>
      </c>
      <c r="G4" s="4" t="n">
        <v>406</v>
      </c>
      <c r="H4" s="4" t="n">
        <v>125</v>
      </c>
      <c r="I4" s="4" t="n">
        <v>275</v>
      </c>
      <c r="J4" s="4" t="n">
        <v>433</v>
      </c>
      <c r="K4" s="4" t="n">
        <v>105</v>
      </c>
      <c r="L4" s="4" t="n">
        <v>241</v>
      </c>
      <c r="M4" s="4" t="n">
        <v>364</v>
      </c>
      <c r="N4" s="4" t="n">
        <v>121</v>
      </c>
      <c r="O4" s="4" t="n">
        <v>262</v>
      </c>
    </row>
    <row r="5">
      <c r="A5" s="3" t="inlineStr">
        <is>
          <t>(Benefit) Provision for Deferred Income Taxes</t>
        </is>
      </c>
      <c r="B5" s="4" t="n">
        <v>57</v>
      </c>
      <c r="C5" s="4" t="n">
        <v>-101</v>
      </c>
      <c r="D5" s="4" t="n">
        <v>-259</v>
      </c>
      <c r="E5" s="4" t="n">
        <v>-130</v>
      </c>
      <c r="F5" s="4" t="n">
        <v>-398</v>
      </c>
      <c r="G5" s="4" t="n">
        <v>-360</v>
      </c>
      <c r="H5" s="4" t="n">
        <v>102</v>
      </c>
      <c r="I5" s="4" t="n">
        <v>-154</v>
      </c>
      <c r="J5" s="4" t="n">
        <v>-206</v>
      </c>
      <c r="K5" s="4" t="n">
        <v>184</v>
      </c>
      <c r="L5" s="4" t="n">
        <v>221</v>
      </c>
      <c r="M5" s="4" t="n">
        <v>183</v>
      </c>
      <c r="N5" s="4" t="n">
        <v>53</v>
      </c>
      <c r="O5" s="4" t="n">
        <v>196</v>
      </c>
    </row>
    <row r="6">
      <c r="A6" s="3" t="inlineStr">
        <is>
          <t>Gain (Loss) on Disposal of PP&amp;E</t>
        </is>
      </c>
      <c r="B6" s="4" t="n">
        <v>-73</v>
      </c>
      <c r="C6" s="4" t="n">
        <v>-82</v>
      </c>
      <c r="D6" s="4" t="n">
        <v>-84</v>
      </c>
      <c r="E6" s="4" t="n">
        <v>-1</v>
      </c>
      <c r="F6" s="4" t="n">
        <v>-3</v>
      </c>
      <c r="G6" s="4" t="n">
        <v>-4</v>
      </c>
      <c r="H6" s="4" t="n">
        <v>-3</v>
      </c>
      <c r="I6" s="4" t="n">
        <v>-3</v>
      </c>
      <c r="J6" s="4" t="n">
        <v>-51</v>
      </c>
      <c r="K6" s="4" t="n">
        <v>794</v>
      </c>
      <c r="L6" s="4" t="n">
        <v>787</v>
      </c>
      <c r="M6" s="4" t="n">
        <v>782</v>
      </c>
      <c r="N6" s="4" t="n">
        <v>-3</v>
      </c>
      <c r="O6" s="4" t="n">
        <v>1</v>
      </c>
    </row>
    <row r="7">
      <c r="A7" s="3" t="inlineStr">
        <is>
          <t>Impairment of Intangibles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1341</v>
      </c>
      <c r="J7" s="4" t="n">
        <v>1341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3" t="inlineStr">
        <is>
          <t>Accounts Receivable</t>
        </is>
      </c>
      <c r="B8" s="4" t="n">
        <v>-1012</v>
      </c>
      <c r="C8" s="4" t="n">
        <v>-644</v>
      </c>
      <c r="D8" s="4" t="n">
        <v>-916</v>
      </c>
      <c r="E8" s="4" t="n">
        <v>-740</v>
      </c>
      <c r="F8" s="4" t="n">
        <v>-654</v>
      </c>
      <c r="G8" s="4" t="n">
        <v>-301</v>
      </c>
      <c r="H8" s="4" t="n">
        <v>-830</v>
      </c>
      <c r="I8" s="4" t="n">
        <v>-839</v>
      </c>
      <c r="J8" s="4" t="n">
        <v>-692</v>
      </c>
      <c r="K8" s="4" t="n">
        <v>-134</v>
      </c>
      <c r="L8" s="4" t="n">
        <v>-262</v>
      </c>
      <c r="M8" s="4" t="n">
        <v>-79</v>
      </c>
      <c r="N8" s="4" t="n">
        <v>-305</v>
      </c>
      <c r="O8" s="4" t="n">
        <v>-92</v>
      </c>
    </row>
    <row r="9">
      <c r="A9" s="3" t="inlineStr">
        <is>
          <t>Inventories</t>
        </is>
      </c>
      <c r="B9" s="4" t="n">
        <v>-409</v>
      </c>
      <c r="C9" s="4" t="n">
        <v>-840</v>
      </c>
      <c r="D9" s="4" t="n">
        <v>-1252</v>
      </c>
      <c r="E9" s="4" t="n">
        <v>-893</v>
      </c>
      <c r="F9" s="4" t="n">
        <v>-655</v>
      </c>
      <c r="G9" s="4" t="n">
        <v>-503</v>
      </c>
      <c r="H9" s="4" t="n">
        <v>-142</v>
      </c>
      <c r="I9" s="4" t="n">
        <v>-32</v>
      </c>
      <c r="J9" s="4" t="n">
        <v>-47</v>
      </c>
      <c r="K9" s="4" t="n">
        <v>-188</v>
      </c>
      <c r="L9" s="4" t="n">
        <v>-170</v>
      </c>
      <c r="M9" s="4" t="n">
        <v>-409</v>
      </c>
      <c r="N9" s="4" t="n">
        <v>-303</v>
      </c>
      <c r="O9" s="4" t="n">
        <v>-255</v>
      </c>
    </row>
    <row r="10">
      <c r="A10" s="3" t="inlineStr">
        <is>
          <t>Accounts Payable</t>
        </is>
      </c>
      <c r="B10" s="4" t="n">
        <v>1261</v>
      </c>
      <c r="C10" s="4" t="n">
        <v>1431</v>
      </c>
      <c r="D10" s="4" t="n">
        <v>1347</v>
      </c>
      <c r="E10" s="4" t="n">
        <v>1495</v>
      </c>
      <c r="F10" s="4" t="n">
        <v>177</v>
      </c>
      <c r="G10" s="4" t="n">
        <v>-609</v>
      </c>
      <c r="H10" s="4" t="n">
        <v>857</v>
      </c>
      <c r="I10" s="4" t="n">
        <v>302</v>
      </c>
      <c r="J10" s="4" t="n">
        <v>56</v>
      </c>
      <c r="K10" s="4" t="n">
        <v>-648</v>
      </c>
      <c r="L10" s="4" t="n">
        <v>-1157</v>
      </c>
      <c r="M10" s="4" t="n">
        <v>-1666</v>
      </c>
      <c r="N10" s="4" t="n">
        <v>648</v>
      </c>
      <c r="O10" s="4" t="n">
        <v>239</v>
      </c>
    </row>
    <row r="11">
      <c r="A11" s="3" t="inlineStr">
        <is>
          <t>Net Change in Other Working Capital</t>
        </is>
      </c>
      <c r="B11" s="4" t="n">
        <v>-178</v>
      </c>
      <c r="C11" s="4" t="n">
        <v>-84</v>
      </c>
      <c r="D11" s="4" t="n">
        <v>-131</v>
      </c>
      <c r="E11" s="4" t="n">
        <v>-454</v>
      </c>
      <c r="F11" s="4" t="n">
        <v>-535</v>
      </c>
      <c r="G11" s="4" t="n">
        <v>-839</v>
      </c>
      <c r="H11" s="4" t="n">
        <v>-671</v>
      </c>
      <c r="I11" s="4" t="n">
        <v>-704</v>
      </c>
      <c r="J11" s="4" t="n">
        <v>-1196</v>
      </c>
      <c r="K11" s="4" t="n">
        <v>-558</v>
      </c>
      <c r="L11" s="4" t="n">
        <v>-748</v>
      </c>
      <c r="M11" s="4" t="n">
        <v>-1125</v>
      </c>
      <c r="N11" s="4" t="n">
        <v>0</v>
      </c>
      <c r="O11" s="4" t="n">
        <v>0</v>
      </c>
    </row>
    <row r="12">
      <c r="A12" s="3" t="inlineStr">
        <is>
          <t>Other Operating Items</t>
        </is>
      </c>
      <c r="B12" s="4" t="n">
        <v>44</v>
      </c>
      <c r="C12" s="4" t="n">
        <v>53</v>
      </c>
      <c r="D12" s="4" t="n">
        <v>87</v>
      </c>
      <c r="E12" s="4" t="n">
        <v>62</v>
      </c>
      <c r="F12" s="4" t="n">
        <v>224</v>
      </c>
      <c r="G12" s="4" t="n">
        <v>363</v>
      </c>
      <c r="H12" s="4" t="n">
        <v>208</v>
      </c>
      <c r="I12" s="4" t="n">
        <v>346</v>
      </c>
      <c r="J12" s="4" t="n">
        <v>490</v>
      </c>
      <c r="K12" s="4" t="n">
        <v>32</v>
      </c>
      <c r="L12" s="4" t="n">
        <v>135</v>
      </c>
      <c r="M12" s="4" t="n">
        <v>218</v>
      </c>
      <c r="N12" s="4" t="n">
        <v>-344</v>
      </c>
      <c r="O12" s="4" t="n">
        <v>-645</v>
      </c>
    </row>
    <row r="13">
      <c r="A13" s="3" t="inlineStr">
        <is>
          <t>Cash Flow from Operations</t>
        </is>
      </c>
      <c r="B13" s="6">
        <f>SUM(B2:B12)</f>
        <v/>
      </c>
      <c r="C13" s="6">
        <f>SUM(C2:C12)</f>
        <v/>
      </c>
      <c r="D13" s="6">
        <f>SUM(D2:D12)</f>
        <v/>
      </c>
      <c r="E13" s="6">
        <f>SUM(E2:E12)</f>
        <v/>
      </c>
      <c r="F13" s="6">
        <f>SUM(F2:F12)</f>
        <v/>
      </c>
      <c r="G13" s="6">
        <f>SUM(G2:G12)</f>
        <v/>
      </c>
      <c r="H13" s="6">
        <f>SUM(H2:H12)</f>
        <v/>
      </c>
      <c r="I13" s="6">
        <f>SUM(I2:I12)</f>
        <v/>
      </c>
      <c r="J13" s="6">
        <f>SUM(J2:J12)</f>
        <v/>
      </c>
      <c r="K13" s="6">
        <f>SUM(K2:K12)</f>
        <v/>
      </c>
      <c r="L13" s="6">
        <f>SUM(L2:L12)</f>
        <v/>
      </c>
      <c r="M13" s="6">
        <f>SUM(M2:M12)</f>
        <v/>
      </c>
      <c r="N13" s="6">
        <f>SUM(N2:N12)</f>
        <v/>
      </c>
      <c r="O13" s="6">
        <f>SUM(O2:O12)</f>
        <v/>
      </c>
    </row>
    <row r="14">
      <c r="A14" s="3" t="inlineStr">
        <is>
          <t>Purchase of PP&amp;E</t>
        </is>
      </c>
      <c r="B14" s="4" t="n">
        <v>-1091</v>
      </c>
      <c r="C14" s="4" t="n">
        <v>-1717</v>
      </c>
      <c r="D14" s="4" t="n">
        <v>-2464</v>
      </c>
      <c r="E14" s="4" t="n">
        <v>-890</v>
      </c>
      <c r="F14" s="4" t="n">
        <v>-1598</v>
      </c>
      <c r="G14" s="4" t="n">
        <v>-2328</v>
      </c>
      <c r="H14" s="4" t="n">
        <v>-925</v>
      </c>
      <c r="I14" s="4" t="n">
        <v>-1742</v>
      </c>
      <c r="J14" s="4" t="n">
        <v>-2539</v>
      </c>
      <c r="K14" s="4" t="n">
        <v>-993</v>
      </c>
      <c r="L14" s="4" t="n">
        <v>-1918</v>
      </c>
      <c r="M14" s="4" t="n">
        <v>-2777</v>
      </c>
      <c r="N14" s="4" t="n">
        <v>-1200</v>
      </c>
      <c r="O14" s="4" t="n">
        <v>-2367</v>
      </c>
    </row>
    <row r="15">
      <c r="A15" s="3" t="inlineStr">
        <is>
          <t>Proceeds from Sale of Assets</t>
        </is>
      </c>
      <c r="B15" s="4" t="n">
        <v>85</v>
      </c>
      <c r="C15" s="4" t="n">
        <v>97</v>
      </c>
      <c r="D15" s="4" t="n">
        <v>99</v>
      </c>
      <c r="E15" s="4" t="n">
        <v>60</v>
      </c>
      <c r="F15" s="4" t="n">
        <v>8</v>
      </c>
      <c r="G15" s="4" t="n">
        <v>9</v>
      </c>
      <c r="H15" s="4" t="n">
        <v>3</v>
      </c>
      <c r="I15" s="4" t="n">
        <v>8</v>
      </c>
      <c r="J15" s="4" t="n">
        <v>77</v>
      </c>
      <c r="K15" s="4" t="n">
        <v>45</v>
      </c>
      <c r="L15" s="4" t="n">
        <v>47</v>
      </c>
      <c r="M15" s="4" t="n">
        <v>64</v>
      </c>
      <c r="N15" s="4" t="n">
        <v>8</v>
      </c>
      <c r="O15" s="4" t="n">
        <v>16</v>
      </c>
    </row>
    <row r="16">
      <c r="A16" s="3" t="inlineStr">
        <is>
          <t>Acquisitions, Net of Cash Acquired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-21</v>
      </c>
      <c r="K16" s="4" t="n">
        <v>-6</v>
      </c>
      <c r="L16" s="4" t="n">
        <v>-6</v>
      </c>
      <c r="M16" s="4" t="n">
        <v>-11</v>
      </c>
      <c r="N16" s="4" t="n">
        <v>-5</v>
      </c>
      <c r="O16" s="4" t="n">
        <v>-5</v>
      </c>
    </row>
    <row r="17">
      <c r="A17" s="3" t="inlineStr">
        <is>
          <t>Other Investing Activities</t>
        </is>
      </c>
      <c r="B17" s="4" t="n">
        <v>0</v>
      </c>
      <c r="C17" s="4" t="n">
        <v>-346</v>
      </c>
      <c r="D17" s="4" t="n">
        <v>-1377</v>
      </c>
      <c r="E17" s="4" t="n">
        <v>-2</v>
      </c>
      <c r="F17" s="4" t="n">
        <v>268</v>
      </c>
      <c r="G17" s="4" t="n">
        <v>-383</v>
      </c>
      <c r="H17" s="4" t="n">
        <v>-300</v>
      </c>
      <c r="I17" s="4" t="n">
        <v>-489</v>
      </c>
      <c r="J17" s="4" t="n">
        <v>-524</v>
      </c>
      <c r="K17" s="4" t="n">
        <v>-154</v>
      </c>
      <c r="L17" s="4" t="n">
        <v>-153</v>
      </c>
      <c r="M17" s="4" t="n">
        <v>-33</v>
      </c>
      <c r="N17" s="4" t="n">
        <v>-338</v>
      </c>
      <c r="O17" s="4" t="n">
        <v>-408</v>
      </c>
    </row>
    <row r="18">
      <c r="A18" s="3" t="inlineStr">
        <is>
          <t>Cash Flow from Investing</t>
        </is>
      </c>
      <c r="B18" s="6">
        <f>SUM(B14:B17)</f>
        <v/>
      </c>
      <c r="C18" s="6">
        <f>SUM(C14:C17)</f>
        <v/>
      </c>
      <c r="D18" s="6">
        <f>SUM(D14:D17)</f>
        <v/>
      </c>
      <c r="E18" s="6">
        <f>SUM(E14:E17)</f>
        <v/>
      </c>
      <c r="F18" s="6">
        <f>SUM(F14:F17)</f>
        <v/>
      </c>
      <c r="G18" s="6">
        <f>SUM(G14:G17)</f>
        <v/>
      </c>
      <c r="H18" s="6">
        <f>SUM(H14:H17)</f>
        <v/>
      </c>
      <c r="I18" s="6">
        <f>SUM(I14:I17)</f>
        <v/>
      </c>
      <c r="J18" s="6">
        <f>SUM(J14:J17)</f>
        <v/>
      </c>
      <c r="K18" s="6">
        <f>SUM(K14:K17)</f>
        <v/>
      </c>
      <c r="L18" s="6">
        <f>SUM(L14:L17)</f>
        <v/>
      </c>
      <c r="M18" s="6">
        <f>SUM(M14:M17)</f>
        <v/>
      </c>
      <c r="N18" s="6">
        <f>SUM(N14:N17)</f>
        <v/>
      </c>
      <c r="O18" s="6">
        <f>SUM(O14:O17)</f>
        <v/>
      </c>
    </row>
    <row r="19">
      <c r="A19" s="3" t="inlineStr">
        <is>
          <t>Common Dividends</t>
        </is>
      </c>
      <c r="B19" s="4" t="n">
        <v>-2182</v>
      </c>
      <c r="C19" s="4" t="n">
        <v>-4353</v>
      </c>
      <c r="D19" s="4" t="n">
        <v>-6508</v>
      </c>
      <c r="E19" s="4" t="n">
        <v>-2255</v>
      </c>
      <c r="F19" s="4" t="n">
        <v>-4486</v>
      </c>
      <c r="G19" s="4" t="n">
        <v>-6710</v>
      </c>
      <c r="H19" s="4" t="n">
        <v>-2290</v>
      </c>
      <c r="I19" s="4" t="n">
        <v>-4578</v>
      </c>
      <c r="J19" s="4" t="n">
        <v>-6863</v>
      </c>
      <c r="K19" s="4" t="n">
        <v>-2445</v>
      </c>
      <c r="L19" s="4" t="n">
        <v>-4886</v>
      </c>
      <c r="M19" s="4" t="n">
        <v>-7319</v>
      </c>
      <c r="N19" s="4" t="n">
        <v>-2549</v>
      </c>
      <c r="O19" s="4" t="n">
        <v>-5093</v>
      </c>
    </row>
    <row r="20">
      <c r="A20" s="3" t="inlineStr">
        <is>
          <t>Proceeds from Short-Term Debt</t>
        </is>
      </c>
      <c r="B20" s="4" t="n">
        <v>1792</v>
      </c>
      <c r="C20" s="4" t="n">
        <v>6747</v>
      </c>
      <c r="D20" s="4" t="n">
        <v>10146</v>
      </c>
      <c r="E20" s="4" t="n">
        <v>2975</v>
      </c>
      <c r="F20" s="4" t="n">
        <v>10447</v>
      </c>
      <c r="G20" s="4" t="n">
        <v>13778</v>
      </c>
      <c r="H20" s="4" t="n">
        <v>2179</v>
      </c>
      <c r="I20" s="4" t="n">
        <v>2798</v>
      </c>
      <c r="J20" s="4" t="n">
        <v>2961</v>
      </c>
      <c r="K20" s="4" t="n">
        <v>4090</v>
      </c>
      <c r="L20" s="4" t="n">
        <v>5905</v>
      </c>
      <c r="M20" s="4" t="n">
        <v>5905</v>
      </c>
      <c r="N20" s="4" t="n">
        <v>1123</v>
      </c>
      <c r="O20" s="4" t="n">
        <v>4180</v>
      </c>
    </row>
    <row r="21">
      <c r="A21" s="3" t="inlineStr">
        <is>
          <t>Repayments of Short-Term Debt</t>
        </is>
      </c>
      <c r="B21" s="4" t="n">
        <v>-1422</v>
      </c>
      <c r="C21" s="4" t="n">
        <v>-1730</v>
      </c>
      <c r="D21" s="4" t="n">
        <v>-8163</v>
      </c>
      <c r="E21" s="4" t="n">
        <v>-265</v>
      </c>
      <c r="F21" s="4" t="n">
        <v>-3260</v>
      </c>
      <c r="G21" s="4" t="n">
        <v>-9134</v>
      </c>
      <c r="H21" s="4" t="n">
        <v>-1906</v>
      </c>
      <c r="I21" s="4" t="n">
        <v>-5862</v>
      </c>
      <c r="J21" s="4" t="n">
        <v>-7523</v>
      </c>
      <c r="K21" s="4" t="n">
        <v>-571</v>
      </c>
      <c r="L21" s="4" t="n">
        <v>-571</v>
      </c>
      <c r="M21" s="4" t="n">
        <v>-3781</v>
      </c>
      <c r="N21" s="4" t="n">
        <v>-1800</v>
      </c>
      <c r="O21" s="4" t="n">
        <v>-3270</v>
      </c>
    </row>
    <row r="22">
      <c r="A22" s="3" t="inlineStr">
        <is>
          <t>Net Change in Other Short-Term Debt</t>
        </is>
      </c>
      <c r="B22" s="4" t="n">
        <v>512</v>
      </c>
      <c r="C22" s="4" t="n">
        <v>-1124</v>
      </c>
      <c r="D22" s="4" t="n">
        <v>-849</v>
      </c>
      <c r="E22" s="4" t="n">
        <v>1727</v>
      </c>
      <c r="F22" s="4" t="n">
        <v>-1759</v>
      </c>
      <c r="G22" s="4" t="n">
        <v>-387</v>
      </c>
      <c r="H22" s="4" t="n">
        <v>2172</v>
      </c>
      <c r="I22" s="4" t="n">
        <v>3740</v>
      </c>
      <c r="J22" s="4" t="n">
        <v>2331</v>
      </c>
      <c r="K22" s="4" t="n">
        <v>-444</v>
      </c>
      <c r="L22" s="4" t="n">
        <v>-2705</v>
      </c>
      <c r="M22" s="4" t="n">
        <v>-543</v>
      </c>
      <c r="N22" s="4" t="n">
        <v>2108</v>
      </c>
      <c r="O22" s="4" t="n">
        <v>-471</v>
      </c>
    </row>
    <row r="23">
      <c r="A23" s="3" t="inlineStr">
        <is>
          <t>Proceeds from Issuance of Long-Term Debt</t>
        </is>
      </c>
      <c r="B23" s="4" t="n">
        <v>0</v>
      </c>
      <c r="C23" s="4" t="n">
        <v>2136</v>
      </c>
      <c r="D23" s="4" t="n">
        <v>4385</v>
      </c>
      <c r="E23" s="4" t="n">
        <v>0</v>
      </c>
      <c r="F23" s="4" t="n">
        <v>0</v>
      </c>
      <c r="G23" s="4" t="n">
        <v>2569</v>
      </c>
      <c r="H23" s="4" t="n">
        <v>0</v>
      </c>
      <c r="I23" s="4" t="n">
        <v>254</v>
      </c>
      <c r="J23" s="4" t="n">
        <v>1598</v>
      </c>
      <c r="K23" s="4" t="n">
        <v>0</v>
      </c>
      <c r="L23" s="4" t="n">
        <v>995</v>
      </c>
      <c r="M23" s="4" t="n">
        <v>995</v>
      </c>
      <c r="N23" s="4" t="n">
        <v>0</v>
      </c>
      <c r="O23" s="4" t="n">
        <v>2652</v>
      </c>
    </row>
    <row r="24">
      <c r="A24" s="3" t="inlineStr">
        <is>
          <t>Repayments of Long-Term Debt</t>
        </is>
      </c>
      <c r="B24" s="4" t="n">
        <v>-26</v>
      </c>
      <c r="C24" s="4" t="n">
        <v>-1673</v>
      </c>
      <c r="D24" s="4" t="n">
        <v>-2776</v>
      </c>
      <c r="E24" s="4" t="n">
        <v>-1877</v>
      </c>
      <c r="F24" s="4" t="n">
        <v>-1877</v>
      </c>
      <c r="G24" s="4" t="n">
        <v>-1877</v>
      </c>
      <c r="H24" s="4" t="n">
        <v>-1004</v>
      </c>
      <c r="I24" s="4" t="n">
        <v>-2335</v>
      </c>
      <c r="J24" s="4" t="n">
        <v>-2335</v>
      </c>
      <c r="K24" s="4" t="n">
        <v>-70</v>
      </c>
      <c r="L24" s="4" t="n">
        <v>-1478</v>
      </c>
      <c r="M24" s="4" t="n">
        <v>-1478</v>
      </c>
      <c r="N24" s="4" t="n">
        <v>-3</v>
      </c>
      <c r="O24" s="4" t="n">
        <v>-1005</v>
      </c>
    </row>
    <row r="25">
      <c r="A25" s="3" t="inlineStr">
        <is>
          <t>Share Repurchases</t>
        </is>
      </c>
      <c r="B25" s="4" t="n">
        <v>-2750</v>
      </c>
      <c r="C25" s="4" t="n">
        <v>-7504</v>
      </c>
      <c r="D25" s="4" t="n">
        <v>-8753</v>
      </c>
      <c r="E25" s="4" t="n">
        <v>-4000</v>
      </c>
      <c r="F25" s="4" t="n">
        <v>-6002</v>
      </c>
      <c r="G25" s="4" t="n">
        <v>-7353</v>
      </c>
      <c r="H25" s="4" t="n">
        <v>-1500</v>
      </c>
      <c r="I25" s="4" t="n">
        <v>-2503</v>
      </c>
      <c r="J25" s="4" t="n">
        <v>-3490</v>
      </c>
      <c r="K25" s="4" t="n">
        <v>-1939</v>
      </c>
      <c r="L25" s="4" t="n">
        <v>-4449</v>
      </c>
      <c r="M25" s="4" t="n">
        <v>-5800</v>
      </c>
      <c r="N25" s="4" t="n">
        <v>-1250</v>
      </c>
      <c r="O25" s="4" t="n">
        <v>-3528</v>
      </c>
    </row>
    <row r="26">
      <c r="A26" s="3" t="inlineStr">
        <is>
          <t>Stock Options &amp; Other Financing Activities</t>
        </is>
      </c>
      <c r="B26" s="4" t="n">
        <v>648</v>
      </c>
      <c r="C26" s="4" t="n">
        <v>1215</v>
      </c>
      <c r="D26" s="4" t="n">
        <v>1800</v>
      </c>
      <c r="E26" s="4" t="n">
        <v>188</v>
      </c>
      <c r="F26" s="4" t="n">
        <v>437</v>
      </c>
      <c r="G26" s="4" t="n">
        <v>861</v>
      </c>
      <c r="H26" s="4" t="n">
        <v>312</v>
      </c>
      <c r="I26" s="4" t="n">
        <v>397</v>
      </c>
      <c r="J26" s="4" t="n">
        <v>965</v>
      </c>
      <c r="K26" s="4" t="n">
        <v>745</v>
      </c>
      <c r="L26" s="4" t="n">
        <v>985</v>
      </c>
      <c r="M26" s="4" t="n">
        <v>1601</v>
      </c>
      <c r="N26" s="4" t="n">
        <v>134</v>
      </c>
      <c r="O26" s="4" t="n">
        <v>208</v>
      </c>
    </row>
    <row r="27">
      <c r="A27" s="3" t="inlineStr">
        <is>
          <t>Cash Flow from Financing</t>
        </is>
      </c>
      <c r="B27" s="6">
        <f>SUM(B19:B26)</f>
        <v/>
      </c>
      <c r="C27" s="6">
        <f>SUM(C19:C26)</f>
        <v/>
      </c>
      <c r="D27" s="6">
        <f>SUM(D19:D26)</f>
        <v/>
      </c>
      <c r="E27" s="6">
        <f>SUM(E19:E26)</f>
        <v/>
      </c>
      <c r="F27" s="6">
        <f>SUM(F19:F26)</f>
        <v/>
      </c>
      <c r="G27" s="6">
        <f>SUM(G19:G26)</f>
        <v/>
      </c>
      <c r="H27" s="6">
        <f>SUM(H19:H26)</f>
        <v/>
      </c>
      <c r="I27" s="6">
        <f>SUM(I19:I26)</f>
        <v/>
      </c>
      <c r="J27" s="6">
        <f>SUM(J19:J26)</f>
        <v/>
      </c>
      <c r="K27" s="6">
        <f>SUM(K19:K26)</f>
        <v/>
      </c>
      <c r="L27" s="6">
        <f>SUM(L19:L26)</f>
        <v/>
      </c>
      <c r="M27" s="6">
        <f>SUM(M19:M26)</f>
        <v/>
      </c>
      <c r="N27" s="6">
        <f>SUM(N19:N26)</f>
        <v/>
      </c>
      <c r="O27" s="6">
        <f>SUM(O19:O26)</f>
        <v/>
      </c>
    </row>
    <row r="28">
      <c r="A28" s="3" t="inlineStr">
        <is>
          <t>FX Effect on Cash</t>
        </is>
      </c>
      <c r="B28" s="4" t="n">
        <v>-127</v>
      </c>
      <c r="C28" s="4" t="n">
        <v>-256</v>
      </c>
      <c r="D28" s="4" t="n">
        <v>-312</v>
      </c>
      <c r="E28" s="4" t="n">
        <v>-235</v>
      </c>
      <c r="F28" s="4" t="n">
        <v>-182</v>
      </c>
      <c r="G28" s="4" t="n">
        <v>-170</v>
      </c>
      <c r="H28" s="4" t="n">
        <v>-156</v>
      </c>
      <c r="I28" s="4" t="n">
        <v>-49</v>
      </c>
      <c r="J28" s="4" t="n">
        <v>-168</v>
      </c>
      <c r="K28" s="4" t="n">
        <v>116</v>
      </c>
      <c r="L28" s="4" t="n">
        <v>-144</v>
      </c>
      <c r="M28" s="4" t="n">
        <v>-22</v>
      </c>
      <c r="N28" s="4" t="n">
        <v>-20</v>
      </c>
      <c r="O28" s="4" t="n">
        <v>-21</v>
      </c>
    </row>
    <row r="29">
      <c r="A29" s="3" t="inlineStr">
        <is>
          <t>Net Change in Cash</t>
        </is>
      </c>
      <c r="B29" s="6">
        <f>B13+B18+B27+B28</f>
        <v/>
      </c>
      <c r="C29" s="6">
        <f>C13+C18+C27+C28</f>
        <v/>
      </c>
      <c r="D29" s="6">
        <f>D13+D18+D27+D28</f>
        <v/>
      </c>
      <c r="E29" s="6">
        <f>E13+E18+E27+E28</f>
        <v/>
      </c>
      <c r="F29" s="6">
        <f>F13+F18+F27+F28</f>
        <v/>
      </c>
      <c r="G29" s="6">
        <f>G13+G18+G27+G28</f>
        <v/>
      </c>
      <c r="H29" s="6">
        <f>H13+H18+H27+H28</f>
        <v/>
      </c>
      <c r="I29" s="6">
        <f>I13+I18+I27+I28</f>
        <v/>
      </c>
      <c r="J29" s="6">
        <f>J13+J18+J27+J28</f>
        <v/>
      </c>
      <c r="K29" s="6">
        <f>K13+K18+K27+K28</f>
        <v/>
      </c>
      <c r="L29" s="6">
        <f>L13+L18+L27+L28</f>
        <v/>
      </c>
      <c r="M29" s="6">
        <f>M13+M18+M27+M28</f>
        <v/>
      </c>
      <c r="N29" s="6">
        <f>N13+N18+N27+N28</f>
        <v/>
      </c>
      <c r="O29" s="6">
        <f>O13+O18+O27+O28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2026-04-25T21:13:21Z</dcterms:created>
  <dcterms:modified xmlns:dcterms="http://purl.org/dc/terms/" xmlns:xsi="http://www.w3.org/2001/XMLSchema-instance" xsi:type="dcterms:W3CDTF">2026-04-25T21:13:21Z</dcterms:modified>
</cp:coreProperties>
</file>