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>
        <f>'QTR P&amp;L'!N8+'QTR P&amp;L'!O8+'QTR P&amp;L'!P8+'QTR P&amp;L'!Q8</f>
        <v/>
      </c>
      <c r="H8" s="5">
        <f>'QTR P&amp;L'!R8+'QTR P&amp;L'!S8+'QTR P&amp;L'!T8+'QTR P&amp;L'!U8</f>
        <v/>
      </c>
      <c r="I8" s="5">
        <f>'QTR P&amp;L'!V8+'QTR P&amp;L'!W8+'QTR P&amp;L'!X8+'QTR P&amp;L'!Y8</f>
        <v/>
      </c>
      <c r="J8" s="5">
        <f>'QTR P&amp;L'!Z8+'QTR P&amp;L'!AA8+'QTR P&amp;L'!AB8+'QTR P&amp;L'!AC8</f>
        <v/>
      </c>
      <c r="K8" s="5">
        <f>'QTR P&amp;L'!AD8+'QTR P&amp;L'!AE8+'QTR P&amp;L'!AF8+'QTR P&amp;L'!AG8</f>
        <v/>
      </c>
      <c r="L8" s="5">
        <f>'QTR P&amp;L'!AH8+'QTR P&amp;L'!AI8+'QTR P&amp;L'!AJ8+'QTR P&amp;L'!AK8</f>
        <v/>
      </c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>
        <f>'QTR P&amp;L'!N11+'QTR P&amp;L'!O11+'QTR P&amp;L'!P11+'QTR P&amp;L'!Q11</f>
        <v/>
      </c>
      <c r="H11" s="5">
        <f>'QTR P&amp;L'!R11+'QTR P&amp;L'!S11+'QTR P&amp;L'!T11+'QTR P&amp;L'!U11</f>
        <v/>
      </c>
      <c r="I11" s="5">
        <f>'QTR P&amp;L'!V11+'QTR P&amp;L'!W11+'QTR P&amp;L'!X11+'QTR P&amp;L'!Y11</f>
        <v/>
      </c>
      <c r="J11" s="5">
        <f>'QTR P&amp;L'!Z11+'QTR P&amp;L'!AA11+'QTR P&amp;L'!AB11+'QTR P&amp;L'!AC11</f>
        <v/>
      </c>
      <c r="K11" s="5">
        <f>'QTR P&amp;L'!AD11+'QTR P&amp;L'!AE11+'QTR P&amp;L'!AF11+'QTR P&amp;L'!AG11</f>
        <v/>
      </c>
      <c r="L11" s="5">
        <f>'QTR P&amp;L'!AH11+'QTR P&amp;L'!AI11+'QTR P&amp;L'!AJ11+'QTR P&amp;L'!AK11</f>
        <v/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>
        <f>'QTR P&amp;L'!N13+'QTR P&amp;L'!O13+'QTR P&amp;L'!P13+'QTR P&amp;L'!Q13</f>
        <v/>
      </c>
      <c r="H13" s="5">
        <f>'QTR P&amp;L'!R13+'QTR P&amp;L'!S13+'QTR P&amp;L'!T13+'QTR P&amp;L'!U13</f>
        <v/>
      </c>
      <c r="I13" s="5">
        <f>'QTR P&amp;L'!V13+'QTR P&amp;L'!W13+'QTR P&amp;L'!X13+'QTR P&amp;L'!Y13</f>
        <v/>
      </c>
      <c r="J13" s="5">
        <f>'QTR P&amp;L'!Z13+'QTR P&amp;L'!AA13+'QTR P&amp;L'!AB13+'QTR P&amp;L'!AC13</f>
        <v/>
      </c>
      <c r="K13" s="5">
        <f>'QTR P&amp;L'!AD13+'QTR P&amp;L'!AE13+'QTR P&amp;L'!AF13+'QTR P&amp;L'!AG13</f>
        <v/>
      </c>
      <c r="L13" s="5">
        <f>'QTR P&amp;L'!AH13+'QTR P&amp;L'!AI13+'QTR P&amp;L'!AJ13+'QTR P&amp;L'!AK13</f>
        <v/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>
        <f>'QTR BS'!N7</f>
        <v/>
      </c>
      <c r="G7" s="5">
        <f>'QTR BS'!R7</f>
        <v/>
      </c>
      <c r="H7" s="5">
        <f>'QTR BS'!V7</f>
        <v/>
      </c>
      <c r="I7" s="5">
        <f>'QTR BS'!Z7</f>
        <v/>
      </c>
      <c r="J7" s="5">
        <f>'QTR BS'!AD7</f>
        <v/>
      </c>
      <c r="K7" s="5">
        <f>'QTR BS'!AH7</f>
        <v/>
      </c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>
        <f>'QTR BS'!N14</f>
        <v/>
      </c>
      <c r="G14" s="5">
        <f>'QTR BS'!R14</f>
        <v/>
      </c>
      <c r="H14" s="5">
        <f>'QTR BS'!V14</f>
        <v/>
      </c>
      <c r="I14" s="5">
        <f>'QTR BS'!Z14</f>
        <v/>
      </c>
      <c r="J14" s="5">
        <f>'QTR BS'!AD14</f>
        <v/>
      </c>
      <c r="K14" s="5">
        <f>'QTR BS'!AH14</f>
        <v/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>
        <f>'QTR BS'!N17</f>
        <v/>
      </c>
      <c r="G17" s="5">
        <f>'QTR BS'!R17</f>
        <v/>
      </c>
      <c r="H17" s="5">
        <f>'QTR BS'!V17</f>
        <v/>
      </c>
      <c r="I17" s="5">
        <f>'QTR BS'!Z17</f>
        <v/>
      </c>
      <c r="J17" s="5">
        <f>'QTR BS'!AD17</f>
        <v/>
      </c>
      <c r="K17" s="5">
        <f>'QTR BS'!AH17</f>
        <v/>
      </c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>
        <f>'QTR BS'!N21</f>
        <v/>
      </c>
      <c r="G21" s="5">
        <f>'QTR BS'!R21</f>
        <v/>
      </c>
      <c r="H21" s="5">
        <f>'QTR BS'!V21</f>
        <v/>
      </c>
      <c r="I21" s="5">
        <f>'QTR BS'!Z21</f>
        <v/>
      </c>
      <c r="J21" s="5">
        <f>'QTR BS'!AD21</f>
        <v/>
      </c>
      <c r="K21" s="5">
        <f>'QTR BS'!AH21</f>
        <v/>
      </c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>
        <f>'QTR CF'!N4+'QTR CF'!O4+'QTR CF'!P4+'QTR CF'!Q4</f>
        <v/>
      </c>
      <c r="H5" s="5">
        <f>'QTR CF'!R4+'QTR CF'!S4+'QTR CF'!T4+'QTR CF'!U4</f>
        <v/>
      </c>
      <c r="I5" s="5">
        <f>'QTR CF'!V4+'QTR CF'!W4+'QTR CF'!X4+'QTR CF'!Y4</f>
        <v/>
      </c>
      <c r="J5" s="5">
        <f>'QTR CF'!Z4+'QTR CF'!AA4+'QTR CF'!AB4+'QTR CF'!AC4</f>
        <v/>
      </c>
      <c r="K5" s="5">
        <f>'QTR CF'!AD4+'QTR CF'!AE4+'QTR CF'!AF4+'QTR CF'!AG4</f>
        <v/>
      </c>
      <c r="L5" s="5">
        <f>'QTR CF'!AH4+'QTR CF'!AI4+'QTR CF'!AJ4+'QTR CF'!AK4</f>
        <v/>
      </c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>
        <f>'QTR CF'!N5+'QTR CF'!O5+'QTR CF'!P5+'QTR CF'!Q5</f>
        <v/>
      </c>
      <c r="H6" s="5">
        <f>'QTR CF'!R5+'QTR CF'!S5+'QTR CF'!T5+'QTR CF'!U5</f>
        <v/>
      </c>
      <c r="I6" s="5">
        <f>'QTR CF'!V5+'QTR CF'!W5+'QTR CF'!X5+'QTR CF'!Y5</f>
        <v/>
      </c>
      <c r="J6" s="5">
        <f>'QTR CF'!Z5+'QTR CF'!AA5+'QTR CF'!AB5+'QTR CF'!AC5</f>
        <v/>
      </c>
      <c r="K6" s="5">
        <f>'QTR CF'!AD5+'QTR CF'!AE5+'QTR CF'!AF5+'QTR CF'!AG5</f>
        <v/>
      </c>
      <c r="L6" s="5">
        <f>'QTR CF'!AH5+'QTR CF'!AI5+'QTR CF'!AJ5+'QTR CF'!AK5</f>
        <v/>
      </c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>
        <f>'QTR CF'!N18+'QTR CF'!O18+'QTR CF'!P18+'QTR CF'!Q18</f>
        <v/>
      </c>
      <c r="H18" s="5">
        <f>'QTR CF'!R18+'QTR CF'!S18+'QTR CF'!T18+'QTR CF'!U18</f>
        <v/>
      </c>
      <c r="I18" s="5">
        <f>'QTR CF'!V18+'QTR CF'!W18+'QTR CF'!X18+'QTR CF'!Y18</f>
        <v/>
      </c>
      <c r="J18" s="5">
        <f>'QTR CF'!Z18+'QTR CF'!AA18+'QTR CF'!AB18+'QTR CF'!AC18</f>
        <v/>
      </c>
      <c r="K18" s="5">
        <f>'QTR CF'!AD18+'QTR CF'!AE18+'QTR CF'!AF18+'QTR CF'!AG18</f>
        <v/>
      </c>
      <c r="L18" s="5">
        <f>'QTR CF'!AH18+'QTR CF'!AI18+'QTR CF'!AJ18+'QTR CF'!AK18</f>
        <v/>
      </c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>
        <f>'QTR CF'!N20+'QTR CF'!O20+'QTR CF'!P20+'QTR CF'!Q20</f>
        <v/>
      </c>
      <c r="H20" s="5">
        <f>'QTR CF'!R20+'QTR CF'!S20+'QTR CF'!T20+'QTR CF'!U20</f>
        <v/>
      </c>
      <c r="I20" s="5">
        <f>'QTR CF'!V20+'QTR CF'!W20+'QTR CF'!X20+'QTR CF'!Y20</f>
        <v/>
      </c>
      <c r="J20" s="5">
        <f>'QTR CF'!Z20+'QTR CF'!AA20+'QTR CF'!AB20+'QTR CF'!AC20</f>
        <v/>
      </c>
      <c r="K20" s="5">
        <f>'QTR CF'!AD20+'QTR CF'!AE20+'QTR CF'!AF20+'QTR CF'!AG20</f>
        <v/>
      </c>
      <c r="L20" s="5">
        <f>'QTR CF'!AH20+'QTR CF'!AI20+'QTR CF'!AJ20+'QTR CF'!AK20</f>
        <v/>
      </c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>
        <f>'QTR CF'!N21+'QTR CF'!O21+'QTR CF'!P21+'QTR CF'!Q21</f>
        <v/>
      </c>
      <c r="H21" s="5">
        <f>'QTR CF'!R21+'QTR CF'!S21+'QTR CF'!T21+'QTR CF'!U21</f>
        <v/>
      </c>
      <c r="I21" s="5">
        <f>'QTR CF'!V21+'QTR CF'!W21+'QTR CF'!X21+'QTR CF'!Y21</f>
        <v/>
      </c>
      <c r="J21" s="5">
        <f>'QTR CF'!Z21+'QTR CF'!AA21+'QTR CF'!AB21+'QTR CF'!AC21</f>
        <v/>
      </c>
      <c r="K21" s="5">
        <f>'QTR CF'!AD21+'QTR CF'!AE21+'QTR CF'!AF21+'QTR CF'!AG21</f>
        <v/>
      </c>
      <c r="L21" s="5">
        <f>'QTR CF'!AH21+'QTR CF'!AI21+'QTR CF'!AJ21+'QTR CF'!AK21</f>
        <v/>
      </c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>
        <f>'QTR CF'!N22+'QTR CF'!O22+'QTR CF'!P22+'QTR CF'!Q22</f>
        <v/>
      </c>
      <c r="H22" s="5">
        <f>'QTR CF'!R22+'QTR CF'!S22+'QTR CF'!T22+'QTR CF'!U22</f>
        <v/>
      </c>
      <c r="I22" s="5">
        <f>'QTR CF'!V22+'QTR CF'!W22+'QTR CF'!X22+'QTR CF'!Y22</f>
        <v/>
      </c>
      <c r="J22" s="5">
        <f>'QTR CF'!Z22+'QTR CF'!AA22+'QTR CF'!AB22+'QTR CF'!AC22</f>
        <v/>
      </c>
      <c r="K22" s="5">
        <f>'QTR CF'!AD22+'QTR CF'!AE22+'QTR CF'!AF22+'QTR CF'!AG22</f>
        <v/>
      </c>
      <c r="L22" s="5">
        <f>'QTR CF'!AH22+'QTR CF'!AI22+'QTR CF'!AJ22+'QTR CF'!AK22</f>
        <v/>
      </c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>
        <f>'QTR CF'!N23+'QTR CF'!O23+'QTR CF'!P23+'QTR CF'!Q23</f>
        <v/>
      </c>
      <c r="H23" s="5">
        <f>'QTR CF'!R23+'QTR CF'!S23+'QTR CF'!T23+'QTR CF'!U23</f>
        <v/>
      </c>
      <c r="I23" s="5">
        <f>'QTR CF'!V23+'QTR CF'!W23+'QTR CF'!X23+'QTR CF'!Y23</f>
        <v/>
      </c>
      <c r="J23" s="5">
        <f>'QTR CF'!Z23+'QTR CF'!AA23+'QTR CF'!AB23+'QTR CF'!AC23</f>
        <v/>
      </c>
      <c r="K23" s="5">
        <f>'QTR CF'!AD23+'QTR CF'!AE23+'QTR CF'!AF23+'QTR CF'!AG23</f>
        <v/>
      </c>
      <c r="L23" s="5">
        <f>'QTR CF'!AH23+'QTR CF'!AI23+'QTR CF'!AJ23+'QTR CF'!AK23</f>
        <v/>
      </c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>
        <f>'QTR CF'!N24+'QTR CF'!O24+'QTR CF'!P24+'QTR CF'!Q24</f>
        <v/>
      </c>
      <c r="H24" s="5">
        <f>'QTR CF'!R24+'QTR CF'!S24+'QTR CF'!T24+'QTR CF'!U24</f>
        <v/>
      </c>
      <c r="I24" s="5">
        <f>'QTR CF'!V24+'QTR CF'!W24+'QTR CF'!X24+'QTR CF'!Y24</f>
        <v/>
      </c>
      <c r="J24" s="5">
        <f>'QTR CF'!Z24+'QTR CF'!AA24+'QTR CF'!AB24+'QTR CF'!AC24</f>
        <v/>
      </c>
      <c r="K24" s="5">
        <f>'QTR CF'!AD24+'QTR CF'!AE24+'QTR CF'!AF24+'QTR CF'!AG24</f>
        <v/>
      </c>
      <c r="L24" s="5">
        <f>'QTR CF'!AH24+'QTR CF'!AI24+'QTR CF'!AJ24+'QTR CF'!AK24</f>
        <v/>
      </c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>
        <f>'QTR CF'!N25+'QTR CF'!O25+'QTR CF'!P25+'QTR CF'!Q25</f>
        <v/>
      </c>
      <c r="H25" s="5">
        <f>'QTR CF'!R25+'QTR CF'!S25+'QTR CF'!T25+'QTR CF'!U25</f>
        <v/>
      </c>
      <c r="I25" s="5">
        <f>'QTR CF'!V25+'QTR CF'!W25+'QTR CF'!X25+'QTR CF'!Y25</f>
        <v/>
      </c>
      <c r="J25" s="5">
        <f>'QTR CF'!Z25+'QTR CF'!AA25+'QTR CF'!AB25+'QTR CF'!AC25</f>
        <v/>
      </c>
      <c r="K25" s="5">
        <f>'QTR CF'!AD25+'QTR CF'!AE25+'QTR CF'!AF25+'QTR CF'!AG25</f>
        <v/>
      </c>
      <c r="L25" s="5">
        <f>'QTR CF'!AH25+'QTR CF'!AI25+'QTR CF'!AJ25+'QTR CF'!AK25</f>
        <v/>
      </c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>
        <f>'QTR CF'!N26+'QTR CF'!O26+'QTR CF'!P26+'QTR CF'!Q26</f>
        <v/>
      </c>
      <c r="H26" s="5">
        <f>'QTR CF'!R26+'QTR CF'!S26+'QTR CF'!T26+'QTR CF'!U26</f>
        <v/>
      </c>
      <c r="I26" s="5">
        <f>'QTR CF'!V26+'QTR CF'!W26+'QTR CF'!X26+'QTR CF'!Y26</f>
        <v/>
      </c>
      <c r="J26" s="5">
        <f>'QTR CF'!Z26+'QTR CF'!AA26+'QTR CF'!AB26+'QTR CF'!AC26</f>
        <v/>
      </c>
      <c r="K26" s="5">
        <f>'QTR CF'!AD26+'QTR CF'!AE26+'QTR CF'!AF26+'QTR CF'!AG26</f>
        <v/>
      </c>
      <c r="L26" s="5">
        <f>'QTR CF'!AH26+'QTR CF'!AI26+'QTR CF'!AJ26+'QTR CF'!AK26</f>
        <v/>
      </c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>
        <f>'QTR CF'!N27+'QTR CF'!O27+'QTR CF'!P27+'QTR CF'!Q27</f>
        <v/>
      </c>
      <c r="H27" s="5">
        <f>'QTR CF'!R27+'QTR CF'!S27+'QTR CF'!T27+'QTR CF'!U27</f>
        <v/>
      </c>
      <c r="I27" s="5">
        <f>'QTR CF'!V27+'QTR CF'!W27+'QTR CF'!X27+'QTR CF'!Y27</f>
        <v/>
      </c>
      <c r="J27" s="5">
        <f>'QTR CF'!Z27+'QTR CF'!AA27+'QTR CF'!AB27+'QTR CF'!AC27</f>
        <v/>
      </c>
      <c r="K27" s="5">
        <f>'QTR CF'!AD27+'QTR CF'!AE27+'QTR CF'!AF27+'QTR CF'!AG27</f>
        <v/>
      </c>
      <c r="L27" s="5">
        <f>'QTR CF'!AH27+'QTR CF'!AI27+'QTR CF'!AJ27+'QTR CF'!AK27</f>
        <v/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>
        <f>'QTR CF'!N29+'QTR CF'!O29+'QTR CF'!P29+'QTR CF'!Q29</f>
        <v/>
      </c>
      <c r="H29" s="5">
        <f>'QTR CF'!R29+'QTR CF'!S29+'QTR CF'!T29+'QTR CF'!U29</f>
        <v/>
      </c>
      <c r="I29" s="5">
        <f>'QTR CF'!V29+'QTR CF'!W29+'QTR CF'!X29+'QTR CF'!Y29</f>
        <v/>
      </c>
      <c r="J29" s="5">
        <f>'QTR CF'!Z29+'QTR CF'!AA29+'QTR CF'!AB29+'QTR CF'!AC29</f>
        <v/>
      </c>
      <c r="K29" s="5">
        <f>'QTR CF'!AD29+'QTR CF'!AE29+'QTR CF'!AF29+'QTR CF'!AG29</f>
        <v/>
      </c>
      <c r="L29" s="5">
        <f>'QTR CF'!AH29+'QTR CF'!AI29+'QTR CF'!AJ29+'QTR CF'!AK29</f>
        <v/>
      </c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7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-349</v>
      </c>
      <c r="D16" s="4" t="n">
        <v>-1381</v>
      </c>
      <c r="E16" s="4" t="n">
        <v>-2</v>
      </c>
      <c r="F16" s="4" t="n">
        <v>-76</v>
      </c>
      <c r="G16" s="4" t="n">
        <v>-714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Net Change in Short-Term Investments</t>
        </is>
      </c>
      <c r="B17" s="4" t="n">
        <v>0</v>
      </c>
      <c r="C17" s="4" t="n">
        <v>0</v>
      </c>
      <c r="D17" s="4" t="n">
        <v>0</v>
      </c>
      <c r="E17" s="4" t="n">
        <v>55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3" t="inlineStr">
        <is>
          <t>Other Investing Activities</t>
        </is>
      </c>
      <c r="B18" s="4" t="n">
        <v>0</v>
      </c>
      <c r="C18" s="4" t="n">
        <v>3</v>
      </c>
      <c r="D18" s="4" t="n">
        <v>4</v>
      </c>
      <c r="E18" s="4" t="n">
        <v>0</v>
      </c>
      <c r="F18" s="4" t="n">
        <v>344</v>
      </c>
      <c r="G18" s="4" t="n">
        <v>331</v>
      </c>
      <c r="H18" s="4" t="n">
        <v>-300</v>
      </c>
      <c r="I18" s="4" t="n">
        <v>-489</v>
      </c>
      <c r="J18" s="4" t="n">
        <v>-503</v>
      </c>
      <c r="K18" s="4" t="n">
        <v>-154</v>
      </c>
      <c r="L18" s="4" t="n">
        <v>-153</v>
      </c>
      <c r="M18" s="4" t="n">
        <v>-33</v>
      </c>
      <c r="N18" s="4" t="n">
        <v>-338</v>
      </c>
      <c r="O18" s="4" t="n">
        <v>-408</v>
      </c>
    </row>
    <row r="19">
      <c r="A19" s="3" t="inlineStr">
        <is>
          <t>Cash Flow from Investing</t>
        </is>
      </c>
      <c r="B19" s="6">
        <f>SUM(B14:B18)</f>
        <v/>
      </c>
      <c r="C19" s="6">
        <f>SUM(C14:C18)</f>
        <v/>
      </c>
      <c r="D19" s="6">
        <f>SUM(D14:D18)</f>
        <v/>
      </c>
      <c r="E19" s="6">
        <f>SUM(E14:E18)</f>
        <v/>
      </c>
      <c r="F19" s="6">
        <f>SUM(F14:F18)</f>
        <v/>
      </c>
      <c r="G19" s="6">
        <f>SUM(G14:G18)</f>
        <v/>
      </c>
      <c r="H19" s="6">
        <f>SUM(H14:H18)</f>
        <v/>
      </c>
      <c r="I19" s="6">
        <f>SUM(I14:I18)</f>
        <v/>
      </c>
      <c r="J19" s="6">
        <f>SUM(J14:J18)</f>
        <v/>
      </c>
      <c r="K19" s="6">
        <f>SUM(K14:K18)</f>
        <v/>
      </c>
      <c r="L19" s="6">
        <f>SUM(L14:L18)</f>
        <v/>
      </c>
      <c r="M19" s="6">
        <f>SUM(M14:M18)</f>
        <v/>
      </c>
      <c r="N19" s="6">
        <f>SUM(N14:N18)</f>
        <v/>
      </c>
      <c r="O19" s="6">
        <f>SUM(O14:O18)</f>
        <v/>
      </c>
    </row>
    <row r="20">
      <c r="A20" s="3" t="inlineStr">
        <is>
          <t>Common Dividends</t>
        </is>
      </c>
      <c r="B20" s="4" t="n">
        <v>-2182</v>
      </c>
      <c r="C20" s="4" t="n">
        <v>-4353</v>
      </c>
      <c r="D20" s="4" t="n">
        <v>-6508</v>
      </c>
      <c r="E20" s="4" t="n">
        <v>-2255</v>
      </c>
      <c r="F20" s="4" t="n">
        <v>-4486</v>
      </c>
      <c r="G20" s="4" t="n">
        <v>-6710</v>
      </c>
      <c r="H20" s="4" t="n">
        <v>-2290</v>
      </c>
      <c r="I20" s="4" t="n">
        <v>-4578</v>
      </c>
      <c r="J20" s="4" t="n">
        <v>-6863</v>
      </c>
      <c r="K20" s="4" t="n">
        <v>-2445</v>
      </c>
      <c r="L20" s="4" t="n">
        <v>-4886</v>
      </c>
      <c r="M20" s="4" t="n">
        <v>-7319</v>
      </c>
      <c r="N20" s="4" t="n">
        <v>-2549</v>
      </c>
      <c r="O20" s="4" t="n">
        <v>-5093</v>
      </c>
    </row>
    <row r="21">
      <c r="A21" s="3" t="inlineStr">
        <is>
          <t>Proceeds from Short-Term Debt</t>
        </is>
      </c>
      <c r="B21" s="4" t="n">
        <v>1792</v>
      </c>
      <c r="C21" s="4" t="n">
        <v>6747</v>
      </c>
      <c r="D21" s="4" t="n">
        <v>10146</v>
      </c>
      <c r="E21" s="4" t="n">
        <v>2975</v>
      </c>
      <c r="F21" s="4" t="n">
        <v>10447</v>
      </c>
      <c r="G21" s="4" t="n">
        <v>13778</v>
      </c>
      <c r="H21" s="4" t="n">
        <v>2179</v>
      </c>
      <c r="I21" s="4" t="n">
        <v>2798</v>
      </c>
      <c r="J21" s="4" t="n">
        <v>2961</v>
      </c>
      <c r="K21" s="4" t="n">
        <v>4090</v>
      </c>
      <c r="L21" s="4" t="n">
        <v>5905</v>
      </c>
      <c r="M21" s="4" t="n">
        <v>5905</v>
      </c>
      <c r="N21" s="4" t="n">
        <v>1123</v>
      </c>
      <c r="O21" s="4" t="n">
        <v>4180</v>
      </c>
    </row>
    <row r="22">
      <c r="A22" s="3" t="inlineStr">
        <is>
          <t>Repayments of Short-Term Debt</t>
        </is>
      </c>
      <c r="B22" s="4" t="n">
        <v>-1422</v>
      </c>
      <c r="C22" s="4" t="n">
        <v>-1730</v>
      </c>
      <c r="D22" s="4" t="n">
        <v>-8163</v>
      </c>
      <c r="E22" s="4" t="n">
        <v>-265</v>
      </c>
      <c r="F22" s="4" t="n">
        <v>-3260</v>
      </c>
      <c r="G22" s="4" t="n">
        <v>-9134</v>
      </c>
      <c r="H22" s="4" t="n">
        <v>-1906</v>
      </c>
      <c r="I22" s="4" t="n">
        <v>-5862</v>
      </c>
      <c r="J22" s="4" t="n">
        <v>-7523</v>
      </c>
      <c r="K22" s="4" t="n">
        <v>-571</v>
      </c>
      <c r="L22" s="4" t="n">
        <v>-571</v>
      </c>
      <c r="M22" s="4" t="n">
        <v>-3781</v>
      </c>
      <c r="N22" s="4" t="n">
        <v>-1800</v>
      </c>
      <c r="O22" s="4" t="n">
        <v>-3270</v>
      </c>
    </row>
    <row r="23">
      <c r="A23" s="3" t="inlineStr">
        <is>
          <t>Net Change in Other Short-Term Debt</t>
        </is>
      </c>
      <c r="B23" s="4" t="n">
        <v>512</v>
      </c>
      <c r="C23" s="4" t="n">
        <v>-1124</v>
      </c>
      <c r="D23" s="4" t="n">
        <v>-849</v>
      </c>
      <c r="E23" s="4" t="n">
        <v>1727</v>
      </c>
      <c r="F23" s="4" t="n">
        <v>-1759</v>
      </c>
      <c r="G23" s="4" t="n">
        <v>-387</v>
      </c>
      <c r="H23" s="4" t="n">
        <v>2172</v>
      </c>
      <c r="I23" s="4" t="n">
        <v>3740</v>
      </c>
      <c r="J23" s="4" t="n">
        <v>2331</v>
      </c>
      <c r="K23" s="4" t="n">
        <v>-444</v>
      </c>
      <c r="L23" s="4" t="n">
        <v>-2705</v>
      </c>
      <c r="M23" s="4" t="n">
        <v>-543</v>
      </c>
      <c r="N23" s="4" t="n">
        <v>2108</v>
      </c>
      <c r="O23" s="4" t="n">
        <v>-471</v>
      </c>
    </row>
    <row r="24">
      <c r="A24" s="3" t="inlineStr">
        <is>
          <t>Proceeds from Issuance of Long-Term Debt</t>
        </is>
      </c>
      <c r="B24" s="4" t="n">
        <v>0</v>
      </c>
      <c r="C24" s="4" t="n">
        <v>2136</v>
      </c>
      <c r="D24" s="4" t="n">
        <v>4385</v>
      </c>
      <c r="E24" s="4" t="n">
        <v>0</v>
      </c>
      <c r="F24" s="4" t="n">
        <v>0</v>
      </c>
      <c r="G24" s="4" t="n">
        <v>2569</v>
      </c>
      <c r="H24" s="4" t="n">
        <v>0</v>
      </c>
      <c r="I24" s="4" t="n">
        <v>254</v>
      </c>
      <c r="J24" s="4" t="n">
        <v>1598</v>
      </c>
      <c r="K24" s="4" t="n">
        <v>0</v>
      </c>
      <c r="L24" s="4" t="n">
        <v>995</v>
      </c>
      <c r="M24" s="4" t="n">
        <v>995</v>
      </c>
      <c r="N24" s="4" t="n">
        <v>0</v>
      </c>
      <c r="O24" s="4" t="n">
        <v>2652</v>
      </c>
    </row>
    <row r="25">
      <c r="A25" s="3" t="inlineStr">
        <is>
          <t>Repayments of Long-Term Debt</t>
        </is>
      </c>
      <c r="B25" s="4" t="n">
        <v>-26</v>
      </c>
      <c r="C25" s="4" t="n">
        <v>-1673</v>
      </c>
      <c r="D25" s="4" t="n">
        <v>-2776</v>
      </c>
      <c r="E25" s="4" t="n">
        <v>-1877</v>
      </c>
      <c r="F25" s="4" t="n">
        <v>-1877</v>
      </c>
      <c r="G25" s="4" t="n">
        <v>-1877</v>
      </c>
      <c r="H25" s="4" t="n">
        <v>-1004</v>
      </c>
      <c r="I25" s="4" t="n">
        <v>-2335</v>
      </c>
      <c r="J25" s="4" t="n">
        <v>-2335</v>
      </c>
      <c r="K25" s="4" t="n">
        <v>-70</v>
      </c>
      <c r="L25" s="4" t="n">
        <v>-1478</v>
      </c>
      <c r="M25" s="4" t="n">
        <v>-1478</v>
      </c>
      <c r="N25" s="4" t="n">
        <v>-3</v>
      </c>
      <c r="O25" s="4" t="n">
        <v>-1005</v>
      </c>
    </row>
    <row r="26">
      <c r="A26" s="3" t="inlineStr">
        <is>
          <t>Share Repurchases</t>
        </is>
      </c>
      <c r="B26" s="4" t="n">
        <v>-2750</v>
      </c>
      <c r="C26" s="4" t="n">
        <v>-7504</v>
      </c>
      <c r="D26" s="4" t="n">
        <v>-8753</v>
      </c>
      <c r="E26" s="4" t="n">
        <v>-4000</v>
      </c>
      <c r="F26" s="4" t="n">
        <v>-6002</v>
      </c>
      <c r="G26" s="4" t="n">
        <v>-7353</v>
      </c>
      <c r="H26" s="4" t="n">
        <v>-1500</v>
      </c>
      <c r="I26" s="4" t="n">
        <v>-2503</v>
      </c>
      <c r="J26" s="4" t="n">
        <v>-3490</v>
      </c>
      <c r="K26" s="4" t="n">
        <v>-1939</v>
      </c>
      <c r="L26" s="4" t="n">
        <v>-4449</v>
      </c>
      <c r="M26" s="4" t="n">
        <v>-5800</v>
      </c>
      <c r="N26" s="4" t="n">
        <v>-1250</v>
      </c>
      <c r="O26" s="4" t="n">
        <v>-3528</v>
      </c>
    </row>
    <row r="27">
      <c r="A27" s="3" t="inlineStr">
        <is>
          <t>Stock Options &amp; Other Financing Activities</t>
        </is>
      </c>
      <c r="B27" s="4" t="n">
        <v>648</v>
      </c>
      <c r="C27" s="4" t="n">
        <v>1215</v>
      </c>
      <c r="D27" s="4" t="n">
        <v>1800</v>
      </c>
      <c r="E27" s="4" t="n">
        <v>188</v>
      </c>
      <c r="F27" s="4" t="n">
        <v>437</v>
      </c>
      <c r="G27" s="4" t="n">
        <v>861</v>
      </c>
      <c r="H27" s="4" t="n">
        <v>312</v>
      </c>
      <c r="I27" s="4" t="n">
        <v>397</v>
      </c>
      <c r="J27" s="4" t="n">
        <v>965</v>
      </c>
      <c r="K27" s="4" t="n">
        <v>745</v>
      </c>
      <c r="L27" s="4" t="n">
        <v>985</v>
      </c>
      <c r="M27" s="4" t="n">
        <v>1601</v>
      </c>
      <c r="N27" s="4" t="n">
        <v>134</v>
      </c>
      <c r="O27" s="4" t="n">
        <v>208</v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</row>
    <row r="29">
      <c r="A29" s="3" t="inlineStr">
        <is>
          <t>FX Effect on Cash</t>
        </is>
      </c>
      <c r="B29" s="4" t="n">
        <v>-127</v>
      </c>
      <c r="C29" s="4" t="n">
        <v>-256</v>
      </c>
      <c r="D29" s="4" t="n">
        <v>-312</v>
      </c>
      <c r="E29" s="4" t="n">
        <v>-235</v>
      </c>
      <c r="F29" s="4" t="n">
        <v>-182</v>
      </c>
      <c r="G29" s="4" t="n">
        <v>-170</v>
      </c>
      <c r="H29" s="4" t="n">
        <v>-156</v>
      </c>
      <c r="I29" s="4" t="n">
        <v>-49</v>
      </c>
      <c r="J29" s="4" t="n">
        <v>-168</v>
      </c>
      <c r="K29" s="4" t="n">
        <v>116</v>
      </c>
      <c r="L29" s="4" t="n">
        <v>-144</v>
      </c>
      <c r="M29" s="4" t="n">
        <v>-22</v>
      </c>
      <c r="N29" s="4" t="n">
        <v>-20</v>
      </c>
      <c r="O29" s="4" t="n">
        <v>-21</v>
      </c>
    </row>
    <row r="30">
      <c r="A30" s="3" t="inlineStr">
        <is>
          <t>Net Change in Cash</t>
        </is>
      </c>
      <c r="B30" s="6">
        <f>B13+B19+B28+B29</f>
        <v/>
      </c>
      <c r="C30" s="6">
        <f>C13+C19+C28+C29</f>
        <v/>
      </c>
      <c r="D30" s="6">
        <f>D13+D19+D28+D29</f>
        <v/>
      </c>
      <c r="E30" s="6">
        <f>E13+E19+E28+E29</f>
        <v/>
      </c>
      <c r="F30" s="6">
        <f>F13+F19+F28+F29</f>
        <v/>
      </c>
      <c r="G30" s="6">
        <f>G13+G19+G28+G29</f>
        <v/>
      </c>
      <c r="H30" s="6">
        <f>H13+H19+H28+H29</f>
        <v/>
      </c>
      <c r="I30" s="6">
        <f>I13+I19+I28+I29</f>
        <v/>
      </c>
      <c r="J30" s="6">
        <f>J13+J19+J28+J29</f>
        <v/>
      </c>
      <c r="K30" s="6">
        <f>K13+K19+K28+K29</f>
        <v/>
      </c>
      <c r="L30" s="6">
        <f>L13+L19+L28+L29</f>
        <v/>
      </c>
      <c r="M30" s="6">
        <f>M13+M19+M28+M29</f>
        <v/>
      </c>
      <c r="N30" s="6">
        <f>N13+N19+N28+N29</f>
        <v/>
      </c>
      <c r="O30" s="6">
        <f>O13+O19+O28+O29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Impairment of Intangibles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4">
        <f>'YTD P&amp;L'!O6-'YTD P&amp;L'!N6</f>
        <v/>
      </c>
      <c r="T6" s="11">
        <f>'QTR P&amp;L'!T2*'IS DRIVERS'!T5</f>
        <v/>
      </c>
      <c r="U6" s="11">
        <f>'QTR P&amp;L'!U2*'IS DRIVERS'!U5</f>
        <v/>
      </c>
      <c r="V6" s="11">
        <f>'QTR P&amp;L'!V2*'IS DRIVERS'!V5</f>
        <v/>
      </c>
      <c r="W6" s="11">
        <f>'QTR P&amp;L'!W2*'IS DRIVERS'!W5</f>
        <v/>
      </c>
      <c r="X6" s="11">
        <f>'QTR P&amp;L'!X2*'IS DRIVERS'!X5</f>
        <v/>
      </c>
      <c r="Y6" s="11">
        <f>'QTR P&amp;L'!Y2*'IS DRIVERS'!Y5</f>
        <v/>
      </c>
      <c r="Z6" s="11">
        <f>'QTR P&amp;L'!Z2*'IS DRIVERS'!Z5</f>
        <v/>
      </c>
      <c r="AA6" s="11">
        <f>'QTR P&amp;L'!AA2*'IS DRIVERS'!AA5</f>
        <v/>
      </c>
      <c r="AB6" s="11">
        <f>'QTR P&amp;L'!AB2*'IS DRIVERS'!AB5</f>
        <v/>
      </c>
      <c r="AC6" s="11">
        <f>'QTR P&amp;L'!AC2*'IS DRIVERS'!AC5</f>
        <v/>
      </c>
      <c r="AD6" s="11">
        <f>'QTR P&amp;L'!AD2*'IS DRIVERS'!AD5</f>
        <v/>
      </c>
      <c r="AE6" s="11">
        <f>'QTR P&amp;L'!AE2*'IS DRIVERS'!AE5</f>
        <v/>
      </c>
      <c r="AF6" s="11">
        <f>'QTR P&amp;L'!AF2*'IS DRIVERS'!AF5</f>
        <v/>
      </c>
      <c r="AG6" s="11">
        <f>'QTR P&amp;L'!AG2*'IS DRIVERS'!AG5</f>
        <v/>
      </c>
      <c r="AH6" s="11">
        <f>'QTR P&amp;L'!AH2*'IS DRIVERS'!AH5</f>
        <v/>
      </c>
      <c r="AI6" s="11">
        <f>'QTR P&amp;L'!AI2*'IS DRIVERS'!AI5</f>
        <v/>
      </c>
      <c r="AJ6" s="11">
        <f>'QTR P&amp;L'!AJ2*'IS DRIVERS'!AJ5</f>
        <v/>
      </c>
      <c r="AK6" s="11">
        <f>'QTR P&amp;L'!AK2*'IS DRIVERS'!AK5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6">
        <f>'YTD P&amp;L'!N7</f>
        <v/>
      </c>
      <c r="S7" s="6">
        <f>'YTD P&amp;L'!O7-'YTD P&amp;L'!N7</f>
        <v/>
      </c>
      <c r="T7" s="12">
        <f>T4+SUM(T5:T6)</f>
        <v/>
      </c>
      <c r="U7" s="12">
        <f>U4+SUM(U5:U6)</f>
        <v/>
      </c>
      <c r="V7" s="12">
        <f>V4+SUM(V5:V6)</f>
        <v/>
      </c>
      <c r="W7" s="12">
        <f>W4+SUM(W5:W6)</f>
        <v/>
      </c>
      <c r="X7" s="12">
        <f>X4+SUM(X5:X6)</f>
        <v/>
      </c>
      <c r="Y7" s="12">
        <f>Y4+SUM(Y5:Y6)</f>
        <v/>
      </c>
      <c r="Z7" s="12">
        <f>Z4+SUM(Z5:Z6)</f>
        <v/>
      </c>
      <c r="AA7" s="12">
        <f>AA4+SUM(AA5:AA6)</f>
        <v/>
      </c>
      <c r="AB7" s="12">
        <f>AB4+SUM(AB5:AB6)</f>
        <v/>
      </c>
      <c r="AC7" s="12">
        <f>AC4+SUM(AC5:AC6)</f>
        <v/>
      </c>
      <c r="AD7" s="12">
        <f>AD4+SUM(AD5:AD6)</f>
        <v/>
      </c>
      <c r="AE7" s="12">
        <f>AE4+SUM(AE5:AE6)</f>
        <v/>
      </c>
      <c r="AF7" s="12">
        <f>AF4+SUM(AF5:AF6)</f>
        <v/>
      </c>
      <c r="AG7" s="12">
        <f>AG4+SUM(AG5:AG6)</f>
        <v/>
      </c>
      <c r="AH7" s="12">
        <f>AH4+SUM(AH5:AH6)</f>
        <v/>
      </c>
      <c r="AI7" s="12">
        <f>AI4+SUM(AI5:AI6)</f>
        <v/>
      </c>
      <c r="AJ7" s="12">
        <f>AJ4+SUM(AJ5:AJ6)</f>
        <v/>
      </c>
      <c r="AK7" s="12">
        <f>AK4+SUM(AK5:AK6)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4">
        <f>'YTD P&amp;L'!N8</f>
        <v/>
      </c>
      <c r="S8" s="4">
        <f>'YTD P&amp;L'!O8-'YTD P&amp;L'!N8</f>
        <v/>
      </c>
      <c r="T8" s="11">
        <f>'IS DRIVERS'!T6</f>
        <v/>
      </c>
      <c r="U8" s="11">
        <f>'IS DRIVERS'!U6</f>
        <v/>
      </c>
      <c r="V8" s="11">
        <f>'IS DRIVERS'!V6</f>
        <v/>
      </c>
      <c r="W8" s="11">
        <f>'IS DRIVERS'!W6</f>
        <v/>
      </c>
      <c r="X8" s="11">
        <f>'IS DRIVERS'!X6</f>
        <v/>
      </c>
      <c r="Y8" s="11">
        <f>'IS DRIVERS'!Y6</f>
        <v/>
      </c>
      <c r="Z8" s="11">
        <f>'IS DRIVERS'!Z6</f>
        <v/>
      </c>
      <c r="AA8" s="11">
        <f>'IS DRIVERS'!AA6</f>
        <v/>
      </c>
      <c r="AB8" s="11">
        <f>'IS DRIVERS'!AB6</f>
        <v/>
      </c>
      <c r="AC8" s="11">
        <f>'IS DRIVERS'!AC6</f>
        <v/>
      </c>
      <c r="AD8" s="11">
        <f>'IS DRIVERS'!AD6</f>
        <v/>
      </c>
      <c r="AE8" s="11">
        <f>'IS DRIVERS'!AE6</f>
        <v/>
      </c>
      <c r="AF8" s="11">
        <f>'IS DRIVERS'!AF6</f>
        <v/>
      </c>
      <c r="AG8" s="11">
        <f>'IS DRIVERS'!AG6</f>
        <v/>
      </c>
      <c r="AH8" s="11">
        <f>'IS DRIVERS'!AH6</f>
        <v/>
      </c>
      <c r="AI8" s="11">
        <f>'IS DRIVERS'!AI6</f>
        <v/>
      </c>
      <c r="AJ8" s="11">
        <f>'IS DRIVERS'!AJ6</f>
        <v/>
      </c>
      <c r="AK8" s="11">
        <f>'IS DRIVERS'!AK6</f>
        <v/>
      </c>
    </row>
    <row r="9">
      <c r="A9" s="3" t="inlineStr">
        <is>
          <t>Other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4">
        <f>'YTD P&amp;L'!O9-'YTD P&amp;L'!N9</f>
        <v/>
      </c>
      <c r="T9" s="11">
        <f>'IS DRIVERS'!T7</f>
        <v/>
      </c>
      <c r="U9" s="11">
        <f>'IS DRIVERS'!U7</f>
        <v/>
      </c>
      <c r="V9" s="11">
        <f>'IS DRIVERS'!V7</f>
        <v/>
      </c>
      <c r="W9" s="11">
        <f>'IS DRIVERS'!W7</f>
        <v/>
      </c>
      <c r="X9" s="11">
        <f>'IS DRIVERS'!X7</f>
        <v/>
      </c>
      <c r="Y9" s="11">
        <f>'IS DRIVERS'!Y7</f>
        <v/>
      </c>
      <c r="Z9" s="11">
        <f>'IS DRIVERS'!Z7</f>
        <v/>
      </c>
      <c r="AA9" s="11">
        <f>'IS DRIVERS'!AA7</f>
        <v/>
      </c>
      <c r="AB9" s="11">
        <f>'IS DRIVERS'!AB7</f>
        <v/>
      </c>
      <c r="AC9" s="11">
        <f>'IS DRIVERS'!AC7</f>
        <v/>
      </c>
      <c r="AD9" s="11">
        <f>'IS DRIVERS'!AD7</f>
        <v/>
      </c>
      <c r="AE9" s="11">
        <f>'IS DRIVERS'!AE7</f>
        <v/>
      </c>
      <c r="AF9" s="11">
        <f>'IS DRIVERS'!AF7</f>
        <v/>
      </c>
      <c r="AG9" s="11">
        <f>'IS DRIVERS'!AG7</f>
        <v/>
      </c>
      <c r="AH9" s="11">
        <f>'IS DRIVERS'!AH7</f>
        <v/>
      </c>
      <c r="AI9" s="11">
        <f>'IS DRIVERS'!AI7</f>
        <v/>
      </c>
      <c r="AJ9" s="11">
        <f>'IS DRIVERS'!AJ7</f>
        <v/>
      </c>
      <c r="AK9" s="11">
        <f>'IS DRIVERS'!AK7</f>
        <v/>
      </c>
    </row>
    <row r="10">
      <c r="A10" s="3" t="inlineStr">
        <is>
          <t>Pre-Tax Income (Loss)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P&amp;L'!C10-'YTD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P&amp;L'!D10-'YTD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P&amp;L'!E10-'YTD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P&amp;L'!F10-'YTD P&amp;L'!M10</f>
        <v/>
      </c>
      <c r="R10" s="6">
        <f>'YTD P&amp;L'!N10</f>
        <v/>
      </c>
      <c r="S10" s="6">
        <f>'YTD P&amp;L'!O10-'YTD P&amp;L'!N10</f>
        <v/>
      </c>
      <c r="T10" s="12">
        <f>T7+SUM(T8:T9)</f>
        <v/>
      </c>
      <c r="U10" s="12">
        <f>U7+SUM(U8:U9)</f>
        <v/>
      </c>
      <c r="V10" s="12">
        <f>V7+SUM(V8:V9)</f>
        <v/>
      </c>
      <c r="W10" s="12">
        <f>W7+SUM(W8:W9)</f>
        <v/>
      </c>
      <c r="X10" s="12">
        <f>X7+SUM(X8:X9)</f>
        <v/>
      </c>
      <c r="Y10" s="12">
        <f>Y7+SUM(Y8:Y9)</f>
        <v/>
      </c>
      <c r="Z10" s="12">
        <f>Z7+SUM(Z8:Z9)</f>
        <v/>
      </c>
      <c r="AA10" s="12">
        <f>AA7+SUM(AA8:AA9)</f>
        <v/>
      </c>
      <c r="AB10" s="12">
        <f>AB7+SUM(AB8:AB9)</f>
        <v/>
      </c>
      <c r="AC10" s="12">
        <f>AC7+SUM(AC8:AC9)</f>
        <v/>
      </c>
      <c r="AD10" s="12">
        <f>AD7+SUM(AD8:AD9)</f>
        <v/>
      </c>
      <c r="AE10" s="12">
        <f>AE7+SUM(AE8:AE9)</f>
        <v/>
      </c>
      <c r="AF10" s="12">
        <f>AF7+SUM(AF8:AF9)</f>
        <v/>
      </c>
      <c r="AG10" s="12">
        <f>AG7+SUM(AG8:AG9)</f>
        <v/>
      </c>
      <c r="AH10" s="12">
        <f>AH7+SUM(AH8:AH9)</f>
        <v/>
      </c>
      <c r="AI10" s="12">
        <f>AI7+SUM(AI8:AI9)</f>
        <v/>
      </c>
      <c r="AJ10" s="12">
        <f>AJ7+SUM(AJ8:AJ9)</f>
        <v/>
      </c>
      <c r="AK10" s="12">
        <f>AK7+SUM(AK8:AK9)</f>
        <v/>
      </c>
    </row>
    <row r="11">
      <c r="A11" s="3" t="inlineStr">
        <is>
          <t>Income Tax (Expense) Benefit</t>
        </is>
      </c>
      <c r="B11" s="4">
        <f>'YTD P&amp;L'!B11</f>
        <v/>
      </c>
      <c r="C11" s="4">
        <f>'YTD P&amp;L'!C11-'YTD P&amp;L'!B11</f>
        <v/>
      </c>
      <c r="D11" s="4">
        <f>'YTD P&amp;L'!D11-'YTD P&amp;L'!C11</f>
        <v/>
      </c>
      <c r="E11" s="4">
        <f>'ANNL P&amp;L'!C11-'YTD P&amp;L'!D11</f>
        <v/>
      </c>
      <c r="F11" s="4">
        <f>'YTD P&amp;L'!E11</f>
        <v/>
      </c>
      <c r="G11" s="4">
        <f>'YTD P&amp;L'!F11-'YTD P&amp;L'!E11</f>
        <v/>
      </c>
      <c r="H11" s="4">
        <f>'YTD P&amp;L'!G11-'YTD P&amp;L'!F11</f>
        <v/>
      </c>
      <c r="I11" s="4">
        <f>'ANNL P&amp;L'!D11-'YTD P&amp;L'!G11</f>
        <v/>
      </c>
      <c r="J11" s="4">
        <f>'YTD P&amp;L'!H11</f>
        <v/>
      </c>
      <c r="K11" s="4">
        <f>'YTD P&amp;L'!I11-'YTD P&amp;L'!H11</f>
        <v/>
      </c>
      <c r="L11" s="4">
        <f>'YTD P&amp;L'!J11-'YTD P&amp;L'!I11</f>
        <v/>
      </c>
      <c r="M11" s="4">
        <f>'ANNL P&amp;L'!E11-'YTD P&amp;L'!J11</f>
        <v/>
      </c>
      <c r="N11" s="4">
        <f>'YTD P&amp;L'!K11</f>
        <v/>
      </c>
      <c r="O11" s="4">
        <f>'YTD P&amp;L'!L11-'YTD P&amp;L'!K11</f>
        <v/>
      </c>
      <c r="P11" s="4">
        <f>'YTD P&amp;L'!M11-'YTD P&amp;L'!L11</f>
        <v/>
      </c>
      <c r="Q11" s="4">
        <f>'ANNL P&amp;L'!F11-'YTD P&amp;L'!M11</f>
        <v/>
      </c>
      <c r="R11" s="4">
        <f>'YTD P&amp;L'!N11</f>
        <v/>
      </c>
      <c r="S11" s="4">
        <f>'YTD P&amp;L'!O11-'YTD P&amp;L'!N11</f>
        <v/>
      </c>
      <c r="T11" s="11">
        <f>'QTR P&amp;L'!T10*'IS DRIVERS'!T8</f>
        <v/>
      </c>
      <c r="U11" s="11">
        <f>'QTR P&amp;L'!U10*'IS DRIVERS'!U8</f>
        <v/>
      </c>
      <c r="V11" s="11">
        <f>'QTR P&amp;L'!V10*'IS DRIVERS'!V8</f>
        <v/>
      </c>
      <c r="W11" s="11">
        <f>'QTR P&amp;L'!W10*'IS DRIVERS'!W8</f>
        <v/>
      </c>
      <c r="X11" s="11">
        <f>'QTR P&amp;L'!X10*'IS DRIVERS'!X8</f>
        <v/>
      </c>
      <c r="Y11" s="11">
        <f>'QTR P&amp;L'!Y10*'IS DRIVERS'!Y8</f>
        <v/>
      </c>
      <c r="Z11" s="11">
        <f>'QTR P&amp;L'!Z10*'IS DRIVERS'!Z8</f>
        <v/>
      </c>
      <c r="AA11" s="11">
        <f>'QTR P&amp;L'!AA10*'IS DRIVERS'!AA8</f>
        <v/>
      </c>
      <c r="AB11" s="11">
        <f>'QTR P&amp;L'!AB10*'IS DRIVERS'!AB8</f>
        <v/>
      </c>
      <c r="AC11" s="11">
        <f>'QTR P&amp;L'!AC10*'IS DRIVERS'!AC8</f>
        <v/>
      </c>
      <c r="AD11" s="11">
        <f>'QTR P&amp;L'!AD10*'IS DRIVERS'!AD8</f>
        <v/>
      </c>
      <c r="AE11" s="11">
        <f>'QTR P&amp;L'!AE10*'IS DRIVERS'!AE8</f>
        <v/>
      </c>
      <c r="AF11" s="11">
        <f>'QTR P&amp;L'!AF10*'IS DRIVERS'!AF8</f>
        <v/>
      </c>
      <c r="AG11" s="11">
        <f>'QTR P&amp;L'!AG10*'IS DRIVERS'!AG8</f>
        <v/>
      </c>
      <c r="AH11" s="11">
        <f>'QTR P&amp;L'!AH10*'IS DRIVERS'!AH8</f>
        <v/>
      </c>
      <c r="AI11" s="11">
        <f>'QTR P&amp;L'!AI10*'IS DRIVERS'!AI8</f>
        <v/>
      </c>
      <c r="AJ11" s="11">
        <f>'QTR P&amp;L'!AJ10*'IS DRIVERS'!AJ8</f>
        <v/>
      </c>
      <c r="AK11" s="11">
        <f>'QTR P&amp;L'!AK10*'IS DRIVERS'!AK8</f>
        <v/>
      </c>
    </row>
    <row r="12">
      <c r="A12" s="3" t="inlineStr">
        <is>
          <t>Net Income (Loss)</t>
        </is>
      </c>
      <c r="B12" s="6">
        <f>'YTD P&amp;L'!B12</f>
        <v/>
      </c>
      <c r="C12" s="6">
        <f>'YTD P&amp;L'!C12-'YTD P&amp;L'!B12</f>
        <v/>
      </c>
      <c r="D12" s="6">
        <f>'YTD P&amp;L'!D12-'YTD P&amp;L'!C12</f>
        <v/>
      </c>
      <c r="E12" s="6">
        <f>'ANNL P&amp;L'!C12-'YTD P&amp;L'!D12</f>
        <v/>
      </c>
      <c r="F12" s="6">
        <f>'YTD P&amp;L'!E12</f>
        <v/>
      </c>
      <c r="G12" s="6">
        <f>'YTD P&amp;L'!F12-'YTD P&amp;L'!E12</f>
        <v/>
      </c>
      <c r="H12" s="6">
        <f>'YTD P&amp;L'!G12-'YTD P&amp;L'!F12</f>
        <v/>
      </c>
      <c r="I12" s="6">
        <f>'ANNL P&amp;L'!D12-'YTD P&amp;L'!G12</f>
        <v/>
      </c>
      <c r="J12" s="6">
        <f>'YTD P&amp;L'!H12</f>
        <v/>
      </c>
      <c r="K12" s="6">
        <f>'YTD P&amp;L'!I12-'YTD P&amp;L'!H12</f>
        <v/>
      </c>
      <c r="L12" s="6">
        <f>'YTD P&amp;L'!J12-'YTD P&amp;L'!I12</f>
        <v/>
      </c>
      <c r="M12" s="6">
        <f>'ANNL P&amp;L'!E12-'YTD P&amp;L'!J12</f>
        <v/>
      </c>
      <c r="N12" s="6">
        <f>'YTD P&amp;L'!K12</f>
        <v/>
      </c>
      <c r="O12" s="6">
        <f>'YTD P&amp;L'!L12-'YTD P&amp;L'!K12</f>
        <v/>
      </c>
      <c r="P12" s="6">
        <f>'YTD P&amp;L'!M12-'YTD P&amp;L'!L12</f>
        <v/>
      </c>
      <c r="Q12" s="6">
        <f>'ANNL P&amp;L'!F12-'YTD P&amp;L'!M12</f>
        <v/>
      </c>
      <c r="R12" s="6">
        <f>'YTD P&amp;L'!N12</f>
        <v/>
      </c>
      <c r="S12" s="6">
        <f>'YTD P&amp;L'!O12-'YTD P&amp;L'!N12</f>
        <v/>
      </c>
      <c r="T12" s="12">
        <f>T10+T11</f>
        <v/>
      </c>
      <c r="U12" s="12">
        <f>U10+U11</f>
        <v/>
      </c>
      <c r="V12" s="12">
        <f>V10+V11</f>
        <v/>
      </c>
      <c r="W12" s="12">
        <f>W10+W11</f>
        <v/>
      </c>
      <c r="X12" s="12">
        <f>X10+X11</f>
        <v/>
      </c>
      <c r="Y12" s="12">
        <f>Y10+Y11</f>
        <v/>
      </c>
      <c r="Z12" s="12">
        <f>Z10+Z11</f>
        <v/>
      </c>
      <c r="AA12" s="12">
        <f>AA10+AA11</f>
        <v/>
      </c>
      <c r="AB12" s="12">
        <f>AB10+AB11</f>
        <v/>
      </c>
      <c r="AC12" s="12">
        <f>AC10+AC11</f>
        <v/>
      </c>
      <c r="AD12" s="12">
        <f>AD10+AD11</f>
        <v/>
      </c>
      <c r="AE12" s="12">
        <f>AE10+AE11</f>
        <v/>
      </c>
      <c r="AF12" s="12">
        <f>AF10+AF11</f>
        <v/>
      </c>
      <c r="AG12" s="12">
        <f>AG10+AG11</f>
        <v/>
      </c>
      <c r="AH12" s="12">
        <f>AH10+AH11</f>
        <v/>
      </c>
      <c r="AI12" s="12">
        <f>AI10+AI11</f>
        <v/>
      </c>
      <c r="AJ12" s="12">
        <f>AJ10+AJ11</f>
        <v/>
      </c>
      <c r="AK12" s="12">
        <f>AK10+AK11</f>
        <v/>
      </c>
    </row>
    <row r="13">
      <c r="A13" s="3" t="inlineStr">
        <is>
          <t>Net Income (Loss) Attributable to Noncontrolling Interest</t>
        </is>
      </c>
      <c r="B13" s="4">
        <f>'YTD P&amp;L'!B13</f>
        <v/>
      </c>
      <c r="C13" s="4">
        <f>'YTD P&amp;L'!C13-'YTD P&amp;L'!B13</f>
        <v/>
      </c>
      <c r="D13" s="4">
        <f>'YTD P&amp;L'!D13-'YTD P&amp;L'!C13</f>
        <v/>
      </c>
      <c r="E13" s="4">
        <f>'ANNL P&amp;L'!C13-'YTD P&amp;L'!D13</f>
        <v/>
      </c>
      <c r="F13" s="4">
        <f>'YTD P&amp;L'!E13</f>
        <v/>
      </c>
      <c r="G13" s="4">
        <f>'YTD P&amp;L'!F13-'YTD P&amp;L'!E13</f>
        <v/>
      </c>
      <c r="H13" s="4">
        <f>'YTD P&amp;L'!G13-'YTD P&amp;L'!F13</f>
        <v/>
      </c>
      <c r="I13" s="4">
        <f>'ANNL P&amp;L'!D13-'YTD P&amp;L'!G13</f>
        <v/>
      </c>
      <c r="J13" s="4">
        <f>'YTD P&amp;L'!H13</f>
        <v/>
      </c>
      <c r="K13" s="4">
        <f>'YTD P&amp;L'!I13-'YTD P&amp;L'!H13</f>
        <v/>
      </c>
      <c r="L13" s="4">
        <f>'YTD P&amp;L'!J13-'YTD P&amp;L'!I13</f>
        <v/>
      </c>
      <c r="M13" s="4">
        <f>'ANNL P&amp;L'!E13-'YTD P&amp;L'!J13</f>
        <v/>
      </c>
      <c r="N13" s="4">
        <f>'YTD P&amp;L'!K13</f>
        <v/>
      </c>
      <c r="O13" s="4">
        <f>'YTD P&amp;L'!L13-'YTD P&amp;L'!K13</f>
        <v/>
      </c>
      <c r="P13" s="4">
        <f>'YTD P&amp;L'!M13-'YTD P&amp;L'!L13</f>
        <v/>
      </c>
      <c r="Q13" s="4">
        <f>'ANNL P&amp;L'!F13-'YTD P&amp;L'!M13</f>
        <v/>
      </c>
      <c r="R13" s="4">
        <f>'YTD P&amp;L'!N13</f>
        <v/>
      </c>
      <c r="S13" s="4">
        <f>'YTD P&amp;L'!O13-'YTD P&amp;L'!N13</f>
        <v/>
      </c>
      <c r="T13" s="11">
        <f>'IS DRIVERS'!T9</f>
        <v/>
      </c>
      <c r="U13" s="11">
        <f>'IS DRIVERS'!U9</f>
        <v/>
      </c>
      <c r="V13" s="11">
        <f>'IS DRIVERS'!V9</f>
        <v/>
      </c>
      <c r="W13" s="11">
        <f>'IS DRIVERS'!W9</f>
        <v/>
      </c>
      <c r="X13" s="11">
        <f>'IS DRIVERS'!X9</f>
        <v/>
      </c>
      <c r="Y13" s="11">
        <f>'IS DRIVERS'!Y9</f>
        <v/>
      </c>
      <c r="Z13" s="11">
        <f>'IS DRIVERS'!Z9</f>
        <v/>
      </c>
      <c r="AA13" s="11">
        <f>'IS DRIVERS'!AA9</f>
        <v/>
      </c>
      <c r="AB13" s="11">
        <f>'IS DRIVERS'!AB9</f>
        <v/>
      </c>
      <c r="AC13" s="11">
        <f>'IS DRIVERS'!AC9</f>
        <v/>
      </c>
      <c r="AD13" s="11">
        <f>'IS DRIVERS'!AD9</f>
        <v/>
      </c>
      <c r="AE13" s="11">
        <f>'IS DRIVERS'!AE9</f>
        <v/>
      </c>
      <c r="AF13" s="11">
        <f>'IS DRIVERS'!AF9</f>
        <v/>
      </c>
      <c r="AG13" s="11">
        <f>'IS DRIVERS'!AG9</f>
        <v/>
      </c>
      <c r="AH13" s="11">
        <f>'IS DRIVERS'!AH9</f>
        <v/>
      </c>
      <c r="AI13" s="11">
        <f>'IS DRIVERS'!AI9</f>
        <v/>
      </c>
      <c r="AJ13" s="11">
        <f>'IS DRIVERS'!AJ9</f>
        <v/>
      </c>
      <c r="AK13" s="11">
        <f>'IS DRIVERS'!AK9</f>
        <v/>
      </c>
    </row>
    <row r="14">
      <c r="A14" s="3" t="inlineStr">
        <is>
          <t>Net Income (Loss) Less NCI</t>
        </is>
      </c>
      <c r="B14" s="6">
        <f>'YTD P&amp;L'!B14</f>
        <v/>
      </c>
      <c r="C14" s="6">
        <f>'YTD P&amp;L'!C14-'YTD P&amp;L'!B14</f>
        <v/>
      </c>
      <c r="D14" s="6">
        <f>'YTD P&amp;L'!D14-'YTD P&amp;L'!C14</f>
        <v/>
      </c>
      <c r="E14" s="6">
        <f>'ANNL P&amp;L'!C14-'YTD P&amp;L'!D14</f>
        <v/>
      </c>
      <c r="F14" s="6">
        <f>'YTD P&amp;L'!E14</f>
        <v/>
      </c>
      <c r="G14" s="6">
        <f>'YTD P&amp;L'!F14-'YTD P&amp;L'!E14</f>
        <v/>
      </c>
      <c r="H14" s="6">
        <f>'YTD P&amp;L'!G14-'YTD P&amp;L'!F14</f>
        <v/>
      </c>
      <c r="I14" s="6">
        <f>'ANNL P&amp;L'!D14-'YTD P&amp;L'!G14</f>
        <v/>
      </c>
      <c r="J14" s="6">
        <f>'YTD P&amp;L'!H14</f>
        <v/>
      </c>
      <c r="K14" s="6">
        <f>'YTD P&amp;L'!I14-'YTD P&amp;L'!H14</f>
        <v/>
      </c>
      <c r="L14" s="6">
        <f>'YTD P&amp;L'!J14-'YTD P&amp;L'!I14</f>
        <v/>
      </c>
      <c r="M14" s="6">
        <f>'ANNL P&amp;L'!E14-'YTD P&amp;L'!J14</f>
        <v/>
      </c>
      <c r="N14" s="6">
        <f>'YTD P&amp;L'!K14</f>
        <v/>
      </c>
      <c r="O14" s="6">
        <f>'YTD P&amp;L'!L14-'YTD P&amp;L'!K14</f>
        <v/>
      </c>
      <c r="P14" s="6">
        <f>'YTD P&amp;L'!M14-'YTD P&amp;L'!L14</f>
        <v/>
      </c>
      <c r="Q14" s="6">
        <f>'ANNL P&amp;L'!F14-'YTD P&amp;L'!M14</f>
        <v/>
      </c>
      <c r="R14" s="6">
        <f>'YTD P&amp;L'!N14</f>
        <v/>
      </c>
      <c r="S14" s="6">
        <f>'YTD P&amp;L'!O14-'YTD P&amp;L'!N14</f>
        <v/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3" t="inlineStr">
        <is>
          <t>Basic Earnings (Loss) per Share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Diluted Earnings (Loss) per Share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Weighted Average Shares Outstanding (Basic)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</row>
    <row r="3">
      <c r="A3" s="3" t="inlineStr">
        <is>
          <t>Accounts Receivable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  <c r="Q3" s="11">
        <f>'QTR P&amp;L'!T2*'BS DRIVERS'!Q3/ASSUMPTIONS!$B$2</f>
        <v/>
      </c>
      <c r="R3" s="11">
        <f>'QTR P&amp;L'!U2*'BS DRIVERS'!R3/ASSUMPTIONS!$B$2</f>
        <v/>
      </c>
      <c r="S3" s="11">
        <f>'QTR P&amp;L'!V2*'BS DRIVERS'!S3/ASSUMPTIONS!$B$2</f>
        <v/>
      </c>
      <c r="T3" s="11">
        <f>'QTR P&amp;L'!W2*'BS DRIVERS'!T3/ASSUMPTIONS!$B$2</f>
        <v/>
      </c>
      <c r="U3" s="11">
        <f>'QTR P&amp;L'!X2*'BS DRIVERS'!U3/ASSUMPTIONS!$B$2</f>
        <v/>
      </c>
      <c r="V3" s="11">
        <f>'QTR P&amp;L'!Y2*'BS DRIVERS'!V3/ASSUMPTIONS!$B$2</f>
        <v/>
      </c>
      <c r="W3" s="11">
        <f>'QTR P&amp;L'!Z2*'BS DRIVERS'!W3/ASSUMPTIONS!$B$2</f>
        <v/>
      </c>
      <c r="X3" s="11">
        <f>'QTR P&amp;L'!AA2*'BS DRIVERS'!X3/ASSUMPTIONS!$B$2</f>
        <v/>
      </c>
      <c r="Y3" s="11">
        <f>'QTR P&amp;L'!AB2*'BS DRIVERS'!Y3/ASSUMPTIONS!$B$2</f>
        <v/>
      </c>
      <c r="Z3" s="11">
        <f>'QTR P&amp;L'!AC2*'BS DRIVERS'!Z3/ASSUMPTIONS!$B$2</f>
        <v/>
      </c>
      <c r="AA3" s="11">
        <f>'QTR P&amp;L'!AD2*'BS DRIVERS'!AA3/ASSUMPTIONS!$B$2</f>
        <v/>
      </c>
      <c r="AB3" s="11">
        <f>'QTR P&amp;L'!AE2*'BS DRIVERS'!AB3/ASSUMPTIONS!$B$2</f>
        <v/>
      </c>
      <c r="AC3" s="11">
        <f>'QTR P&amp;L'!AF2*'BS DRIVERS'!AC3/ASSUMPTIONS!$B$2</f>
        <v/>
      </c>
      <c r="AD3" s="11">
        <f>'QTR P&amp;L'!AG2*'BS DRIVERS'!AD3/ASSUMPTIONS!$B$2</f>
        <v/>
      </c>
      <c r="AE3" s="11">
        <f>'QTR P&amp;L'!AH2*'BS DRIVERS'!AE3/ASSUMPTIONS!$B$2</f>
        <v/>
      </c>
      <c r="AF3" s="11">
        <f>'QTR P&amp;L'!AI2*'BS DRIVERS'!AF3/ASSUMPTIONS!$B$2</f>
        <v/>
      </c>
      <c r="AG3" s="11">
        <f>'QTR P&amp;L'!AJ2*'BS DRIVERS'!AG3/ASSUMPTIONS!$B$2</f>
        <v/>
      </c>
      <c r="AH3" s="11">
        <f>'QTR P&amp;L'!AK2*'BS DRIVERS'!AH3/ASSUMPTIONS!$B$2</f>
        <v/>
      </c>
    </row>
    <row r="4">
      <c r="A4" s="3" t="inlineStr">
        <is>
          <t>Inventories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  <c r="Q4" s="11">
        <f>'QTR P&amp;L'!T3*'BS DRIVERS'!Q4/ASSUMPTIONS!$B$2</f>
        <v/>
      </c>
      <c r="R4" s="11">
        <f>'QTR P&amp;L'!U3*'BS DRIVERS'!R4/ASSUMPTIONS!$B$2</f>
        <v/>
      </c>
      <c r="S4" s="11">
        <f>'QTR P&amp;L'!V3*'BS DRIVERS'!S4/ASSUMPTIONS!$B$2</f>
        <v/>
      </c>
      <c r="T4" s="11">
        <f>'QTR P&amp;L'!W3*'BS DRIVERS'!T4/ASSUMPTIONS!$B$2</f>
        <v/>
      </c>
      <c r="U4" s="11">
        <f>'QTR P&amp;L'!X3*'BS DRIVERS'!U4/ASSUMPTIONS!$B$2</f>
        <v/>
      </c>
      <c r="V4" s="11">
        <f>'QTR P&amp;L'!Y3*'BS DRIVERS'!V4/ASSUMPTIONS!$B$2</f>
        <v/>
      </c>
      <c r="W4" s="11">
        <f>'QTR P&amp;L'!Z3*'BS DRIVERS'!W4/ASSUMPTIONS!$B$2</f>
        <v/>
      </c>
      <c r="X4" s="11">
        <f>'QTR P&amp;L'!AA3*'BS DRIVERS'!X4/ASSUMPTIONS!$B$2</f>
        <v/>
      </c>
      <c r="Y4" s="11">
        <f>'QTR P&amp;L'!AB3*'BS DRIVERS'!Y4/ASSUMPTIONS!$B$2</f>
        <v/>
      </c>
      <c r="Z4" s="11">
        <f>'QTR P&amp;L'!AC3*'BS DRIVERS'!Z4/ASSUMPTIONS!$B$2</f>
        <v/>
      </c>
      <c r="AA4" s="11">
        <f>'QTR P&amp;L'!AD3*'BS DRIVERS'!AA4/ASSUMPTIONS!$B$2</f>
        <v/>
      </c>
      <c r="AB4" s="11">
        <f>'QTR P&amp;L'!AE3*'BS DRIVERS'!AB4/ASSUMPTIONS!$B$2</f>
        <v/>
      </c>
      <c r="AC4" s="11">
        <f>'QTR P&amp;L'!AF3*'BS DRIVERS'!AC4/ASSUMPTIONS!$B$2</f>
        <v/>
      </c>
      <c r="AD4" s="11">
        <f>'QTR P&amp;L'!AG3*'BS DRIVERS'!AD4/ASSUMPTIONS!$B$2</f>
        <v/>
      </c>
      <c r="AE4" s="11">
        <f>'QTR P&amp;L'!AH3*'BS DRIVERS'!AE4/ASSUMPTIONS!$B$2</f>
        <v/>
      </c>
      <c r="AF4" s="11">
        <f>'QTR P&amp;L'!AI3*'BS DRIVERS'!AF4/ASSUMPTIONS!$B$2</f>
        <v/>
      </c>
      <c r="AG4" s="11">
        <f>'QTR P&amp;L'!AJ3*'BS DRIVERS'!AG4/ASSUMPTIONS!$B$2</f>
        <v/>
      </c>
      <c r="AH4" s="11">
        <f>'QTR P&amp;L'!AK3*'BS DRIVERS'!AH4/ASSUMPTIONS!$B$2</f>
        <v/>
      </c>
    </row>
    <row r="5">
      <c r="A5" s="3" t="inlineStr">
        <is>
          <t>Prepaid Expenses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  <c r="Q5" s="11">
        <f>'QTR P&amp;L'!T2*'BS DRIVERS'!Q5</f>
        <v/>
      </c>
      <c r="R5" s="11">
        <f>'QTR P&amp;L'!U2*'BS DRIVERS'!R5</f>
        <v/>
      </c>
      <c r="S5" s="11">
        <f>'QTR P&amp;L'!V2*'BS DRIVERS'!S5</f>
        <v/>
      </c>
      <c r="T5" s="11">
        <f>'QTR P&amp;L'!W2*'BS DRIVERS'!T5</f>
        <v/>
      </c>
      <c r="U5" s="11">
        <f>'QTR P&amp;L'!X2*'BS DRIVERS'!U5</f>
        <v/>
      </c>
      <c r="V5" s="11">
        <f>'QTR P&amp;L'!Y2*'BS DRIVERS'!V5</f>
        <v/>
      </c>
      <c r="W5" s="11">
        <f>'QTR P&amp;L'!Z2*'BS DRIVERS'!W5</f>
        <v/>
      </c>
      <c r="X5" s="11">
        <f>'QTR P&amp;L'!AA2*'BS DRIVERS'!X5</f>
        <v/>
      </c>
      <c r="Y5" s="11">
        <f>'QTR P&amp;L'!AB2*'BS DRIVERS'!Y5</f>
        <v/>
      </c>
      <c r="Z5" s="11">
        <f>'QTR P&amp;L'!AC2*'BS DRIVERS'!Z5</f>
        <v/>
      </c>
      <c r="AA5" s="11">
        <f>'QTR P&amp;L'!AD2*'BS DRIVERS'!AA5</f>
        <v/>
      </c>
      <c r="AB5" s="11">
        <f>'QTR P&amp;L'!AE2*'BS DRIVERS'!AB5</f>
        <v/>
      </c>
      <c r="AC5" s="11">
        <f>'QTR P&amp;L'!AF2*'BS DRIVERS'!AC5</f>
        <v/>
      </c>
      <c r="AD5" s="11">
        <f>'QTR P&amp;L'!AG2*'BS DRIVERS'!AD5</f>
        <v/>
      </c>
      <c r="AE5" s="11">
        <f>'QTR P&amp;L'!AH2*'BS DRIVERS'!AE5</f>
        <v/>
      </c>
      <c r="AF5" s="11">
        <f>'QTR P&amp;L'!AI2*'BS DRIVERS'!AF5</f>
        <v/>
      </c>
      <c r="AG5" s="11">
        <f>'QTR P&amp;L'!AJ2*'BS DRIVERS'!AG5</f>
        <v/>
      </c>
      <c r="AH5" s="11">
        <f>'QTR P&amp;L'!AK2*'BS DRIVERS'!AH5</f>
        <v/>
      </c>
    </row>
    <row r="6">
      <c r="A6" s="3" t="inlineStr">
        <is>
          <t>Total Current Assets</t>
        </is>
      </c>
      <c r="B6" s="6">
        <f>'BALANCE SHEET'!B6</f>
        <v/>
      </c>
      <c r="C6" s="6">
        <f>'YTD BS'!C6</f>
        <v/>
      </c>
      <c r="D6" s="6">
        <f>'YTD BS'!D6</f>
        <v/>
      </c>
      <c r="E6" s="6">
        <f>'YTD BS'!E6</f>
        <v/>
      </c>
      <c r="F6" s="6">
        <f>'BALANCE SHEET'!C6</f>
        <v/>
      </c>
      <c r="G6" s="6">
        <f>'YTD BS'!G6</f>
        <v/>
      </c>
      <c r="H6" s="6">
        <f>'YTD BS'!H6</f>
        <v/>
      </c>
      <c r="I6" s="6">
        <f>'YTD BS'!I6</f>
        <v/>
      </c>
      <c r="J6" s="6">
        <f>'BALANCE SHEET'!D6</f>
        <v/>
      </c>
      <c r="K6" s="6">
        <f>'YTD BS'!K6</f>
        <v/>
      </c>
      <c r="L6" s="6">
        <f>'YTD BS'!L6</f>
        <v/>
      </c>
      <c r="M6" s="6">
        <f>'YTD BS'!M6</f>
        <v/>
      </c>
      <c r="N6" s="6">
        <f>'BALANCE SHEET'!E6</f>
        <v/>
      </c>
      <c r="O6" s="6">
        <f>'YTD BS'!O6</f>
        <v/>
      </c>
      <c r="P6" s="6">
        <f>'YTD BS'!P6</f>
        <v/>
      </c>
      <c r="Q6" s="12">
        <f>SUM(Q2:Q5)</f>
        <v/>
      </c>
      <c r="R6" s="12">
        <f>SUM(R2:R5)</f>
        <v/>
      </c>
      <c r="S6" s="12">
        <f>SUM(S2:S5)</f>
        <v/>
      </c>
      <c r="T6" s="12">
        <f>SUM(T2:T5)</f>
        <v/>
      </c>
      <c r="U6" s="12">
        <f>SUM(U2:U5)</f>
        <v/>
      </c>
      <c r="V6" s="12">
        <f>SUM(V2:V5)</f>
        <v/>
      </c>
      <c r="W6" s="12">
        <f>SUM(W2:W5)</f>
        <v/>
      </c>
      <c r="X6" s="12">
        <f>SUM(X2:X5)</f>
        <v/>
      </c>
      <c r="Y6" s="12">
        <f>SUM(Y2:Y5)</f>
        <v/>
      </c>
      <c r="Z6" s="12">
        <f>SUM(Z2:Z5)</f>
        <v/>
      </c>
      <c r="AA6" s="12">
        <f>SUM(AA2:AA5)</f>
        <v/>
      </c>
      <c r="AB6" s="12">
        <f>SUM(AB2:AB5)</f>
        <v/>
      </c>
      <c r="AC6" s="12">
        <f>SUM(AC2:AC5)</f>
        <v/>
      </c>
      <c r="AD6" s="12">
        <f>SUM(AD2:AD5)</f>
        <v/>
      </c>
      <c r="AE6" s="12">
        <f>SUM(AE2:AE5)</f>
        <v/>
      </c>
      <c r="AF6" s="12">
        <f>SUM(AF2:AF5)</f>
        <v/>
      </c>
      <c r="AG6" s="12">
        <f>SUM(AG2:AG5)</f>
        <v/>
      </c>
      <c r="AH6" s="12">
        <f>SUM(AH2:AH5)</f>
        <v/>
      </c>
    </row>
    <row r="7">
      <c r="A7" s="3" t="inlineStr">
        <is>
          <t>Net PP&amp;E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  <c r="Q7" s="11">
        <f>'BS DRIVERS'!Q6</f>
        <v/>
      </c>
      <c r="R7" s="11">
        <f>'BS DRIVERS'!R6</f>
        <v/>
      </c>
      <c r="S7" s="11">
        <f>'BS DRIVERS'!S6</f>
        <v/>
      </c>
      <c r="T7" s="11">
        <f>'BS DRIVERS'!T6</f>
        <v/>
      </c>
      <c r="U7" s="11">
        <f>'BS DRIVERS'!U6</f>
        <v/>
      </c>
      <c r="V7" s="11">
        <f>'BS DRIVERS'!V6</f>
        <v/>
      </c>
      <c r="W7" s="11">
        <f>'BS DRIVERS'!W6</f>
        <v/>
      </c>
      <c r="X7" s="11">
        <f>'BS DRIVERS'!X6</f>
        <v/>
      </c>
      <c r="Y7" s="11">
        <f>'BS DRIVERS'!Y6</f>
        <v/>
      </c>
      <c r="Z7" s="11">
        <f>'BS DRIVERS'!Z6</f>
        <v/>
      </c>
      <c r="AA7" s="11">
        <f>'BS DRIVERS'!AA6</f>
        <v/>
      </c>
      <c r="AB7" s="11">
        <f>'BS DRIVERS'!AB6</f>
        <v/>
      </c>
      <c r="AC7" s="11">
        <f>'BS DRIVERS'!AC6</f>
        <v/>
      </c>
      <c r="AD7" s="11">
        <f>'BS DRIVERS'!AD6</f>
        <v/>
      </c>
      <c r="AE7" s="11">
        <f>'BS DRIVERS'!AE6</f>
        <v/>
      </c>
      <c r="AF7" s="11">
        <f>'BS DRIVERS'!AF6</f>
        <v/>
      </c>
      <c r="AG7" s="11">
        <f>'BS DRIVERS'!AG6</f>
        <v/>
      </c>
      <c r="AH7" s="11">
        <f>'BS DRIVERS'!AH6</f>
        <v/>
      </c>
    </row>
    <row r="8">
      <c r="A8" s="3" t="inlineStr">
        <is>
          <t>Goodwill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4">
        <f>'YTD BS'!P8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</row>
    <row r="10">
      <c r="A10" s="3" t="inlineStr">
        <is>
          <t>Other Non-Current Assets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  <c r="Q10" s="11">
        <f>'QTR P&amp;L'!T2*'BS DRIVERS'!Q9</f>
        <v/>
      </c>
      <c r="R10" s="11">
        <f>'QTR P&amp;L'!U2*'BS DRIVERS'!R9</f>
        <v/>
      </c>
      <c r="S10" s="11">
        <f>'QTR P&amp;L'!V2*'BS DRIVERS'!S9</f>
        <v/>
      </c>
      <c r="T10" s="11">
        <f>'QTR P&amp;L'!W2*'BS DRIVERS'!T9</f>
        <v/>
      </c>
      <c r="U10" s="11">
        <f>'QTR P&amp;L'!X2*'BS DRIVERS'!U9</f>
        <v/>
      </c>
      <c r="V10" s="11">
        <f>'QTR P&amp;L'!Y2*'BS DRIVERS'!V9</f>
        <v/>
      </c>
      <c r="W10" s="11">
        <f>'QTR P&amp;L'!Z2*'BS DRIVERS'!W9</f>
        <v/>
      </c>
      <c r="X10" s="11">
        <f>'QTR P&amp;L'!AA2*'BS DRIVERS'!X9</f>
        <v/>
      </c>
      <c r="Y10" s="11">
        <f>'QTR P&amp;L'!AB2*'BS DRIVERS'!Y9</f>
        <v/>
      </c>
      <c r="Z10" s="11">
        <f>'QTR P&amp;L'!AC2*'BS DRIVERS'!Z9</f>
        <v/>
      </c>
      <c r="AA10" s="11">
        <f>'QTR P&amp;L'!AD2*'BS DRIVERS'!AA9</f>
        <v/>
      </c>
      <c r="AB10" s="11">
        <f>'QTR P&amp;L'!AE2*'BS DRIVERS'!AB9</f>
        <v/>
      </c>
      <c r="AC10" s="11">
        <f>'QTR P&amp;L'!AF2*'BS DRIVERS'!AC9</f>
        <v/>
      </c>
      <c r="AD10" s="11">
        <f>'QTR P&amp;L'!AG2*'BS DRIVERS'!AD9</f>
        <v/>
      </c>
      <c r="AE10" s="11">
        <f>'QTR P&amp;L'!AH2*'BS DRIVERS'!AE9</f>
        <v/>
      </c>
      <c r="AF10" s="11">
        <f>'QTR P&amp;L'!AI2*'BS DRIVERS'!AF9</f>
        <v/>
      </c>
      <c r="AG10" s="11">
        <f>'QTR P&amp;L'!AJ2*'BS DRIVERS'!AG9</f>
        <v/>
      </c>
      <c r="AH10" s="11">
        <f>'QTR P&amp;L'!AK2*'BS DRIVERS'!AH9</f>
        <v/>
      </c>
    </row>
    <row r="11">
      <c r="A11" s="3" t="inlineStr">
        <is>
          <t>Total Assets</t>
        </is>
      </c>
      <c r="B11" s="6">
        <f>'BALANCE SHEET'!B11</f>
        <v/>
      </c>
      <c r="C11" s="6">
        <f>'YTD BS'!C11</f>
        <v/>
      </c>
      <c r="D11" s="6">
        <f>'YTD BS'!D11</f>
        <v/>
      </c>
      <c r="E11" s="6">
        <f>'YTD BS'!E11</f>
        <v/>
      </c>
      <c r="F11" s="6">
        <f>'BALANCE SHEET'!C11</f>
        <v/>
      </c>
      <c r="G11" s="6">
        <f>'YTD BS'!G11</f>
        <v/>
      </c>
      <c r="H11" s="6">
        <f>'YTD BS'!H11</f>
        <v/>
      </c>
      <c r="I11" s="6">
        <f>'YTD BS'!I11</f>
        <v/>
      </c>
      <c r="J11" s="6">
        <f>'BALANCE SHEET'!D11</f>
        <v/>
      </c>
      <c r="K11" s="6">
        <f>'YTD BS'!K11</f>
        <v/>
      </c>
      <c r="L11" s="6">
        <f>'YTD BS'!L11</f>
        <v/>
      </c>
      <c r="M11" s="6">
        <f>'YTD BS'!M11</f>
        <v/>
      </c>
      <c r="N11" s="6">
        <f>'BALANCE SHEET'!E11</f>
        <v/>
      </c>
      <c r="O11" s="6">
        <f>'YTD BS'!O11</f>
        <v/>
      </c>
      <c r="P11" s="6">
        <f>'YTD BS'!P11</f>
        <v/>
      </c>
      <c r="Q11" s="12">
        <f>Q6+SUM(Q7:Q10)</f>
        <v/>
      </c>
      <c r="R11" s="12">
        <f>R6+SUM(R7:R10)</f>
        <v/>
      </c>
      <c r="S11" s="12">
        <f>S6+SUM(S7:S10)</f>
        <v/>
      </c>
      <c r="T11" s="12">
        <f>T6+SUM(T7:T10)</f>
        <v/>
      </c>
      <c r="U11" s="12">
        <f>U6+SUM(U7:U10)</f>
        <v/>
      </c>
      <c r="V11" s="12">
        <f>V6+SUM(V7:V10)</f>
        <v/>
      </c>
      <c r="W11" s="12">
        <f>W6+SUM(W7:W10)</f>
        <v/>
      </c>
      <c r="X11" s="12">
        <f>X6+SUM(X7:X10)</f>
        <v/>
      </c>
      <c r="Y11" s="12">
        <f>Y6+SUM(Y7:Y10)</f>
        <v/>
      </c>
      <c r="Z11" s="12">
        <f>Z6+SUM(Z7:Z10)</f>
        <v/>
      </c>
      <c r="AA11" s="12">
        <f>AA6+SUM(AA7:AA10)</f>
        <v/>
      </c>
      <c r="AB11" s="12">
        <f>AB6+SUM(AB7:AB10)</f>
        <v/>
      </c>
      <c r="AC11" s="12">
        <f>AC6+SUM(AC7:AC10)</f>
        <v/>
      </c>
      <c r="AD11" s="12">
        <f>AD6+SUM(AD7:AD10)</f>
        <v/>
      </c>
      <c r="AE11" s="12">
        <f>AE6+SUM(AE7:AE10)</f>
        <v/>
      </c>
      <c r="AF11" s="12">
        <f>AF6+SUM(AF7:AF10)</f>
        <v/>
      </c>
      <c r="AG11" s="12">
        <f>AG6+SUM(AG7:AG10)</f>
        <v/>
      </c>
      <c r="AH11" s="12">
        <f>AH6+SUM(AH7:AH10)</f>
        <v/>
      </c>
    </row>
    <row r="12">
      <c r="A12" s="3" t="inlineStr">
        <is>
          <t>Accounts Payable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  <c r="Q12" s="11">
        <f>'QTR P&amp;L'!T3*'BS DRIVERS'!Q10/ASSUMPTIONS!$B$2</f>
        <v/>
      </c>
      <c r="R12" s="11">
        <f>'QTR P&amp;L'!U3*'BS DRIVERS'!R10/ASSUMPTIONS!$B$2</f>
        <v/>
      </c>
      <c r="S12" s="11">
        <f>'QTR P&amp;L'!V3*'BS DRIVERS'!S10/ASSUMPTIONS!$B$2</f>
        <v/>
      </c>
      <c r="T12" s="11">
        <f>'QTR P&amp;L'!W3*'BS DRIVERS'!T10/ASSUMPTIONS!$B$2</f>
        <v/>
      </c>
      <c r="U12" s="11">
        <f>'QTR P&amp;L'!X3*'BS DRIVERS'!U10/ASSUMPTIONS!$B$2</f>
        <v/>
      </c>
      <c r="V12" s="11">
        <f>'QTR P&amp;L'!Y3*'BS DRIVERS'!V10/ASSUMPTIONS!$B$2</f>
        <v/>
      </c>
      <c r="W12" s="11">
        <f>'QTR P&amp;L'!Z3*'BS DRIVERS'!W10/ASSUMPTIONS!$B$2</f>
        <v/>
      </c>
      <c r="X12" s="11">
        <f>'QTR P&amp;L'!AA3*'BS DRIVERS'!X10/ASSUMPTIONS!$B$2</f>
        <v/>
      </c>
      <c r="Y12" s="11">
        <f>'QTR P&amp;L'!AB3*'BS DRIVERS'!Y10/ASSUMPTIONS!$B$2</f>
        <v/>
      </c>
      <c r="Z12" s="11">
        <f>'QTR P&amp;L'!AC3*'BS DRIVERS'!Z10/ASSUMPTIONS!$B$2</f>
        <v/>
      </c>
      <c r="AA12" s="11">
        <f>'QTR P&amp;L'!AD3*'BS DRIVERS'!AA10/ASSUMPTIONS!$B$2</f>
        <v/>
      </c>
      <c r="AB12" s="11">
        <f>'QTR P&amp;L'!AE3*'BS DRIVERS'!AB10/ASSUMPTIONS!$B$2</f>
        <v/>
      </c>
      <c r="AC12" s="11">
        <f>'QTR P&amp;L'!AF3*'BS DRIVERS'!AC10/ASSUMPTIONS!$B$2</f>
        <v/>
      </c>
      <c r="AD12" s="11">
        <f>'QTR P&amp;L'!AG3*'BS DRIVERS'!AD10/ASSUMPTIONS!$B$2</f>
        <v/>
      </c>
      <c r="AE12" s="11">
        <f>'QTR P&amp;L'!AH3*'BS DRIVERS'!AE10/ASSUMPTIONS!$B$2</f>
        <v/>
      </c>
      <c r="AF12" s="11">
        <f>'QTR P&amp;L'!AI3*'BS DRIVERS'!AF10/ASSUMPTIONS!$B$2</f>
        <v/>
      </c>
      <c r="AG12" s="11">
        <f>'QTR P&amp;L'!AJ3*'BS DRIVERS'!AG10/ASSUMPTIONS!$B$2</f>
        <v/>
      </c>
      <c r="AH12" s="11">
        <f>'QTR P&amp;L'!AK3*'BS DRIVERS'!AH10/ASSUMPTIONS!$B$2</f>
        <v/>
      </c>
    </row>
    <row r="13">
      <c r="A13" s="3" t="inlineStr">
        <is>
          <t>Accrued Expenses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  <c r="Q13" s="11">
        <f>'QTR P&amp;L'!T2*'BS DRIVERS'!Q11</f>
        <v/>
      </c>
      <c r="R13" s="11">
        <f>'QTR P&amp;L'!U2*'BS DRIVERS'!R11</f>
        <v/>
      </c>
      <c r="S13" s="11">
        <f>'QTR P&amp;L'!V2*'BS DRIVERS'!S11</f>
        <v/>
      </c>
      <c r="T13" s="11">
        <f>'QTR P&amp;L'!W2*'BS DRIVERS'!T11</f>
        <v/>
      </c>
      <c r="U13" s="11">
        <f>'QTR P&amp;L'!X2*'BS DRIVERS'!U11</f>
        <v/>
      </c>
      <c r="V13" s="11">
        <f>'QTR P&amp;L'!Y2*'BS DRIVERS'!V11</f>
        <v/>
      </c>
      <c r="W13" s="11">
        <f>'QTR P&amp;L'!Z2*'BS DRIVERS'!W11</f>
        <v/>
      </c>
      <c r="X13" s="11">
        <f>'QTR P&amp;L'!AA2*'BS DRIVERS'!X11</f>
        <v/>
      </c>
      <c r="Y13" s="11">
        <f>'QTR P&amp;L'!AB2*'BS DRIVERS'!Y11</f>
        <v/>
      </c>
      <c r="Z13" s="11">
        <f>'QTR P&amp;L'!AC2*'BS DRIVERS'!Z11</f>
        <v/>
      </c>
      <c r="AA13" s="11">
        <f>'QTR P&amp;L'!AD2*'BS DRIVERS'!AA11</f>
        <v/>
      </c>
      <c r="AB13" s="11">
        <f>'QTR P&amp;L'!AE2*'BS DRIVERS'!AB11</f>
        <v/>
      </c>
      <c r="AC13" s="11">
        <f>'QTR P&amp;L'!AF2*'BS DRIVERS'!AC11</f>
        <v/>
      </c>
      <c r="AD13" s="11">
        <f>'QTR P&amp;L'!AG2*'BS DRIVERS'!AD11</f>
        <v/>
      </c>
      <c r="AE13" s="11">
        <f>'QTR P&amp;L'!AH2*'BS DRIVERS'!AE11</f>
        <v/>
      </c>
      <c r="AF13" s="11">
        <f>'QTR P&amp;L'!AI2*'BS DRIVERS'!AF11</f>
        <v/>
      </c>
      <c r="AG13" s="11">
        <f>'QTR P&amp;L'!AJ2*'BS DRIVERS'!AG11</f>
        <v/>
      </c>
      <c r="AH13" s="11">
        <f>'QTR P&amp;L'!AK2*'BS DRIVERS'!AH11</f>
        <v/>
      </c>
    </row>
    <row r="14">
      <c r="A14" s="3" t="inlineStr">
        <is>
          <t>Current Portion of Long-Term Debt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  <c r="P14" s="4">
        <f>'YTD BS'!P14</f>
        <v/>
      </c>
      <c r="Q14" s="11">
        <f>'BS DRIVERS'!Q12</f>
        <v/>
      </c>
      <c r="R14" s="11">
        <f>'BS DRIVERS'!R12</f>
        <v/>
      </c>
      <c r="S14" s="11">
        <f>'BS DRIVERS'!S12</f>
        <v/>
      </c>
      <c r="T14" s="11">
        <f>'BS DRIVERS'!T12</f>
        <v/>
      </c>
      <c r="U14" s="11">
        <f>'BS DRIVERS'!U12</f>
        <v/>
      </c>
      <c r="V14" s="11">
        <f>'BS DRIVERS'!V12</f>
        <v/>
      </c>
      <c r="W14" s="11">
        <f>'BS DRIVERS'!W12</f>
        <v/>
      </c>
      <c r="X14" s="11">
        <f>'BS DRIVERS'!X12</f>
        <v/>
      </c>
      <c r="Y14" s="11">
        <f>'BS DRIVERS'!Y12</f>
        <v/>
      </c>
      <c r="Z14" s="11">
        <f>'BS DRIVERS'!Z12</f>
        <v/>
      </c>
      <c r="AA14" s="11">
        <f>'BS DRIVERS'!AA12</f>
        <v/>
      </c>
      <c r="AB14" s="11">
        <f>'BS DRIVERS'!AB12</f>
        <v/>
      </c>
      <c r="AC14" s="11">
        <f>'BS DRIVERS'!AC12</f>
        <v/>
      </c>
      <c r="AD14" s="11">
        <f>'BS DRIVERS'!AD12</f>
        <v/>
      </c>
      <c r="AE14" s="11">
        <f>'BS DRIVERS'!AE12</f>
        <v/>
      </c>
      <c r="AF14" s="11">
        <f>'BS DRIVERS'!AF12</f>
        <v/>
      </c>
      <c r="AG14" s="11">
        <f>'BS DRIVERS'!AG12</f>
        <v/>
      </c>
      <c r="AH14" s="11">
        <f>'BS DRIVERS'!AH12</f>
        <v/>
      </c>
    </row>
    <row r="15">
      <c r="A15" s="3" t="inlineStr">
        <is>
          <t>Total Current Liabilities</t>
        </is>
      </c>
      <c r="B15" s="6">
        <f>'BALANCE SHEET'!B15</f>
        <v/>
      </c>
      <c r="C15" s="6">
        <f>'YTD BS'!C15</f>
        <v/>
      </c>
      <c r="D15" s="6">
        <f>'YTD BS'!D15</f>
        <v/>
      </c>
      <c r="E15" s="6">
        <f>'YTD BS'!E15</f>
        <v/>
      </c>
      <c r="F15" s="6">
        <f>'BALANCE SHEET'!C15</f>
        <v/>
      </c>
      <c r="G15" s="6">
        <f>'YTD BS'!G15</f>
        <v/>
      </c>
      <c r="H15" s="6">
        <f>'YTD BS'!H15</f>
        <v/>
      </c>
      <c r="I15" s="6">
        <f>'YTD BS'!I15</f>
        <v/>
      </c>
      <c r="J15" s="6">
        <f>'BALANCE SHEET'!D15</f>
        <v/>
      </c>
      <c r="K15" s="6">
        <f>'YTD BS'!K15</f>
        <v/>
      </c>
      <c r="L15" s="6">
        <f>'YTD BS'!L15</f>
        <v/>
      </c>
      <c r="M15" s="6">
        <f>'YTD BS'!M15</f>
        <v/>
      </c>
      <c r="N15" s="6">
        <f>'BALANCE SHEET'!E15</f>
        <v/>
      </c>
      <c r="O15" s="6">
        <f>'YTD BS'!O15</f>
        <v/>
      </c>
      <c r="P15" s="6">
        <f>'YTD BS'!P15</f>
        <v/>
      </c>
      <c r="Q15" s="12">
        <f>SUM(Q12:Q14)</f>
        <v/>
      </c>
      <c r="R15" s="12">
        <f>SUM(R12:R14)</f>
        <v/>
      </c>
      <c r="S15" s="12">
        <f>SUM(S12:S14)</f>
        <v/>
      </c>
      <c r="T15" s="12">
        <f>SUM(T12:T14)</f>
        <v/>
      </c>
      <c r="U15" s="12">
        <f>SUM(U12:U14)</f>
        <v/>
      </c>
      <c r="V15" s="12">
        <f>SUM(V12:V14)</f>
        <v/>
      </c>
      <c r="W15" s="12">
        <f>SUM(W12:W14)</f>
        <v/>
      </c>
      <c r="X15" s="12">
        <f>SUM(X12:X14)</f>
        <v/>
      </c>
      <c r="Y15" s="12">
        <f>SUM(Y12:Y14)</f>
        <v/>
      </c>
      <c r="Z15" s="12">
        <f>SUM(Z12:Z14)</f>
        <v/>
      </c>
      <c r="AA15" s="12">
        <f>SUM(AA12:AA14)</f>
        <v/>
      </c>
      <c r="AB15" s="12">
        <f>SUM(AB12:AB14)</f>
        <v/>
      </c>
      <c r="AC15" s="12">
        <f>SUM(AC12:AC14)</f>
        <v/>
      </c>
      <c r="AD15" s="12">
        <f>SUM(AD12:AD14)</f>
        <v/>
      </c>
      <c r="AE15" s="12">
        <f>SUM(AE12:AE14)</f>
        <v/>
      </c>
      <c r="AF15" s="12">
        <f>SUM(AF12:AF14)</f>
        <v/>
      </c>
      <c r="AG15" s="12">
        <f>SUM(AG12:AG14)</f>
        <v/>
      </c>
      <c r="AH15" s="12">
        <f>SUM(AH12:AH14)</f>
        <v/>
      </c>
    </row>
    <row r="16">
      <c r="A16" s="3" t="inlineStr">
        <is>
          <t>Long-Term Debt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4">
        <f>'YTD BS'!P16</f>
        <v/>
      </c>
      <c r="Q16" s="11">
        <f>'BS DRIVERS'!Q13</f>
        <v/>
      </c>
      <c r="R16" s="11">
        <f>'BS DRIVERS'!R13</f>
        <v/>
      </c>
      <c r="S16" s="11">
        <f>'BS DRIVERS'!S13</f>
        <v/>
      </c>
      <c r="T16" s="11">
        <f>'BS DRIVERS'!T13</f>
        <v/>
      </c>
      <c r="U16" s="11">
        <f>'BS DRIVERS'!U13</f>
        <v/>
      </c>
      <c r="V16" s="11">
        <f>'BS DRIVERS'!V13</f>
        <v/>
      </c>
      <c r="W16" s="11">
        <f>'BS DRIVERS'!W13</f>
        <v/>
      </c>
      <c r="X16" s="11">
        <f>'BS DRIVERS'!X13</f>
        <v/>
      </c>
      <c r="Y16" s="11">
        <f>'BS DRIVERS'!Y13</f>
        <v/>
      </c>
      <c r="Z16" s="11">
        <f>'BS DRIVERS'!Z13</f>
        <v/>
      </c>
      <c r="AA16" s="11">
        <f>'BS DRIVERS'!AA13</f>
        <v/>
      </c>
      <c r="AB16" s="11">
        <f>'BS DRIVERS'!AB13</f>
        <v/>
      </c>
      <c r="AC16" s="11">
        <f>'BS DRIVERS'!AC13</f>
        <v/>
      </c>
      <c r="AD16" s="11">
        <f>'BS DRIVERS'!AD13</f>
        <v/>
      </c>
      <c r="AE16" s="11">
        <f>'BS DRIVERS'!AE13</f>
        <v/>
      </c>
      <c r="AF16" s="11">
        <f>'BS DRIVERS'!AF13</f>
        <v/>
      </c>
      <c r="AG16" s="11">
        <f>'BS DRIVERS'!AG13</f>
        <v/>
      </c>
      <c r="AH16" s="11">
        <f>'BS DRIVERS'!AH13</f>
        <v/>
      </c>
    </row>
    <row r="17">
      <c r="A17" s="3" t="inlineStr">
        <is>
          <t>Deferred Tax Liability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  <c r="Q17" s="11">
        <f>'BS DRIVERS'!Q14</f>
        <v/>
      </c>
      <c r="R17" s="11">
        <f>'BS DRIVERS'!R14</f>
        <v/>
      </c>
      <c r="S17" s="11">
        <f>'BS DRIVERS'!S14</f>
        <v/>
      </c>
      <c r="T17" s="11">
        <f>'BS DRIVERS'!T14</f>
        <v/>
      </c>
      <c r="U17" s="11">
        <f>'BS DRIVERS'!U14</f>
        <v/>
      </c>
      <c r="V17" s="11">
        <f>'BS DRIVERS'!V14</f>
        <v/>
      </c>
      <c r="W17" s="11">
        <f>'BS DRIVERS'!W14</f>
        <v/>
      </c>
      <c r="X17" s="11">
        <f>'BS DRIVERS'!X14</f>
        <v/>
      </c>
      <c r="Y17" s="11">
        <f>'BS DRIVERS'!Y14</f>
        <v/>
      </c>
      <c r="Z17" s="11">
        <f>'BS DRIVERS'!Z14</f>
        <v/>
      </c>
      <c r="AA17" s="11">
        <f>'BS DRIVERS'!AA14</f>
        <v/>
      </c>
      <c r="AB17" s="11">
        <f>'BS DRIVERS'!AB14</f>
        <v/>
      </c>
      <c r="AC17" s="11">
        <f>'BS DRIVERS'!AC14</f>
        <v/>
      </c>
      <c r="AD17" s="11">
        <f>'BS DRIVERS'!AD14</f>
        <v/>
      </c>
      <c r="AE17" s="11">
        <f>'BS DRIVERS'!AE14</f>
        <v/>
      </c>
      <c r="AF17" s="11">
        <f>'BS DRIVERS'!AF14</f>
        <v/>
      </c>
      <c r="AG17" s="11">
        <f>'BS DRIVERS'!AG14</f>
        <v/>
      </c>
      <c r="AH17" s="11">
        <f>'BS DRIVERS'!AH14</f>
        <v/>
      </c>
    </row>
    <row r="18">
      <c r="A18" s="3" t="inlineStr">
        <is>
          <t>Other Non-Current Liabilities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4">
        <f>'YTD BS'!P18</f>
        <v/>
      </c>
      <c r="Q18" s="11">
        <f>'QTR P&amp;L'!T2*'BS DRIVERS'!Q15</f>
        <v/>
      </c>
      <c r="R18" s="11">
        <f>'QTR P&amp;L'!U2*'BS DRIVERS'!R15</f>
        <v/>
      </c>
      <c r="S18" s="11">
        <f>'QTR P&amp;L'!V2*'BS DRIVERS'!S15</f>
        <v/>
      </c>
      <c r="T18" s="11">
        <f>'QTR P&amp;L'!W2*'BS DRIVERS'!T15</f>
        <v/>
      </c>
      <c r="U18" s="11">
        <f>'QTR P&amp;L'!X2*'BS DRIVERS'!U15</f>
        <v/>
      </c>
      <c r="V18" s="11">
        <f>'QTR P&amp;L'!Y2*'BS DRIVERS'!V15</f>
        <v/>
      </c>
      <c r="W18" s="11">
        <f>'QTR P&amp;L'!Z2*'BS DRIVERS'!W15</f>
        <v/>
      </c>
      <c r="X18" s="11">
        <f>'QTR P&amp;L'!AA2*'BS DRIVERS'!X15</f>
        <v/>
      </c>
      <c r="Y18" s="11">
        <f>'QTR P&amp;L'!AB2*'BS DRIVERS'!Y15</f>
        <v/>
      </c>
      <c r="Z18" s="11">
        <f>'QTR P&amp;L'!AC2*'BS DRIVERS'!Z15</f>
        <v/>
      </c>
      <c r="AA18" s="11">
        <f>'QTR P&amp;L'!AD2*'BS DRIVERS'!AA15</f>
        <v/>
      </c>
      <c r="AB18" s="11">
        <f>'QTR P&amp;L'!AE2*'BS DRIVERS'!AB15</f>
        <v/>
      </c>
      <c r="AC18" s="11">
        <f>'QTR P&amp;L'!AF2*'BS DRIVERS'!AC15</f>
        <v/>
      </c>
      <c r="AD18" s="11">
        <f>'QTR P&amp;L'!AG2*'BS DRIVERS'!AD15</f>
        <v/>
      </c>
      <c r="AE18" s="11">
        <f>'QTR P&amp;L'!AH2*'BS DRIVERS'!AE15</f>
        <v/>
      </c>
      <c r="AF18" s="11">
        <f>'QTR P&amp;L'!AI2*'BS DRIVERS'!AF15</f>
        <v/>
      </c>
      <c r="AG18" s="11">
        <f>'QTR P&amp;L'!AJ2*'BS DRIVERS'!AG15</f>
        <v/>
      </c>
      <c r="AH18" s="11">
        <f>'QTR P&amp;L'!AK2*'BS DRIVERS'!AH15</f>
        <v/>
      </c>
    </row>
    <row r="19">
      <c r="A19" s="3" t="inlineStr">
        <is>
          <t>Total Liabilities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  <c r="O19" s="6">
        <f>'YTD BS'!O19</f>
        <v/>
      </c>
      <c r="P19" s="6">
        <f>'YTD BS'!P19</f>
        <v/>
      </c>
      <c r="Q19" s="12">
        <f>Q15+SUM(Q16:Q18)</f>
        <v/>
      </c>
      <c r="R19" s="12">
        <f>R15+SUM(R16:R18)</f>
        <v/>
      </c>
      <c r="S19" s="12">
        <f>S15+SUM(S16:S18)</f>
        <v/>
      </c>
      <c r="T19" s="12">
        <f>T15+SUM(T16:T18)</f>
        <v/>
      </c>
      <c r="U19" s="12">
        <f>U15+SUM(U16:U18)</f>
        <v/>
      </c>
      <c r="V19" s="12">
        <f>V15+SUM(V16:V18)</f>
        <v/>
      </c>
      <c r="W19" s="12">
        <f>W15+SUM(W16:W18)</f>
        <v/>
      </c>
      <c r="X19" s="12">
        <f>X15+SUM(X16:X18)</f>
        <v/>
      </c>
      <c r="Y19" s="12">
        <f>Y15+SUM(Y16:Y18)</f>
        <v/>
      </c>
      <c r="Z19" s="12">
        <f>Z15+SUM(Z16:Z18)</f>
        <v/>
      </c>
      <c r="AA19" s="12">
        <f>AA15+SUM(AA16:AA18)</f>
        <v/>
      </c>
      <c r="AB19" s="12">
        <f>AB15+SUM(AB16:AB18)</f>
        <v/>
      </c>
      <c r="AC19" s="12">
        <f>AC15+SUM(AC16:AC18)</f>
        <v/>
      </c>
      <c r="AD19" s="12">
        <f>AD15+SUM(AD16:AD18)</f>
        <v/>
      </c>
      <c r="AE19" s="12">
        <f>AE15+SUM(AE16:AE18)</f>
        <v/>
      </c>
      <c r="AF19" s="12">
        <f>AF15+SUM(AF16:AF18)</f>
        <v/>
      </c>
      <c r="AG19" s="12">
        <f>AG15+SUM(AG16:AG18)</f>
        <v/>
      </c>
      <c r="AH19" s="12">
        <f>AH15+SUM(AH16:AH18)</f>
        <v/>
      </c>
    </row>
    <row r="20">
      <c r="A20" s="3" t="inlineStr">
        <is>
          <t>Convertible Preferred Stock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  <c r="Q20" s="11">
        <f>'BS DRIVERS'!Q16</f>
        <v/>
      </c>
      <c r="R20" s="11">
        <f>'BS DRIVERS'!R16</f>
        <v/>
      </c>
      <c r="S20" s="11">
        <f>'BS DRIVERS'!S16</f>
        <v/>
      </c>
      <c r="T20" s="11">
        <f>'BS DRIVERS'!T16</f>
        <v/>
      </c>
      <c r="U20" s="11">
        <f>'BS DRIVERS'!U16</f>
        <v/>
      </c>
      <c r="V20" s="11">
        <f>'BS DRIVERS'!V16</f>
        <v/>
      </c>
      <c r="W20" s="11">
        <f>'BS DRIVERS'!W16</f>
        <v/>
      </c>
      <c r="X20" s="11">
        <f>'BS DRIVERS'!X16</f>
        <v/>
      </c>
      <c r="Y20" s="11">
        <f>'BS DRIVERS'!Y16</f>
        <v/>
      </c>
      <c r="Z20" s="11">
        <f>'BS DRIVERS'!Z16</f>
        <v/>
      </c>
      <c r="AA20" s="11">
        <f>'BS DRIVERS'!AA16</f>
        <v/>
      </c>
      <c r="AB20" s="11">
        <f>'BS DRIVERS'!AB16</f>
        <v/>
      </c>
      <c r="AC20" s="11">
        <f>'BS DRIVERS'!AC16</f>
        <v/>
      </c>
      <c r="AD20" s="11">
        <f>'BS DRIVERS'!AD16</f>
        <v/>
      </c>
      <c r="AE20" s="11">
        <f>'BS DRIVERS'!AE16</f>
        <v/>
      </c>
      <c r="AF20" s="11">
        <f>'BS DRIVERS'!AF16</f>
        <v/>
      </c>
      <c r="AG20" s="11">
        <f>'BS DRIVERS'!AG16</f>
        <v/>
      </c>
      <c r="AH20" s="11">
        <f>'BS DRIVERS'!AH16</f>
        <v/>
      </c>
    </row>
    <row r="21">
      <c r="A21" s="3" t="inlineStr">
        <is>
          <t>Common Stock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  <c r="Q21" s="11">
        <f>'BS DRIVERS'!Q17</f>
        <v/>
      </c>
      <c r="R21" s="11">
        <f>'BS DRIVERS'!R17</f>
        <v/>
      </c>
      <c r="S21" s="11">
        <f>'BS DRIVERS'!S17</f>
        <v/>
      </c>
      <c r="T21" s="11">
        <f>'BS DRIVERS'!T17</f>
        <v/>
      </c>
      <c r="U21" s="11">
        <f>'BS DRIVERS'!U17</f>
        <v/>
      </c>
      <c r="V21" s="11">
        <f>'BS DRIVERS'!V17</f>
        <v/>
      </c>
      <c r="W21" s="11">
        <f>'BS DRIVERS'!W17</f>
        <v/>
      </c>
      <c r="X21" s="11">
        <f>'BS DRIVERS'!X17</f>
        <v/>
      </c>
      <c r="Y21" s="11">
        <f>'BS DRIVERS'!Y17</f>
        <v/>
      </c>
      <c r="Z21" s="11">
        <f>'BS DRIVERS'!Z17</f>
        <v/>
      </c>
      <c r="AA21" s="11">
        <f>'BS DRIVERS'!AA17</f>
        <v/>
      </c>
      <c r="AB21" s="11">
        <f>'BS DRIVERS'!AB17</f>
        <v/>
      </c>
      <c r="AC21" s="11">
        <f>'BS DRIVERS'!AC17</f>
        <v/>
      </c>
      <c r="AD21" s="11">
        <f>'BS DRIVERS'!AD17</f>
        <v/>
      </c>
      <c r="AE21" s="11">
        <f>'BS DRIVERS'!AE17</f>
        <v/>
      </c>
      <c r="AF21" s="11">
        <f>'BS DRIVERS'!AF17</f>
        <v/>
      </c>
      <c r="AG21" s="11">
        <f>'BS DRIVERS'!AG17</f>
        <v/>
      </c>
      <c r="AH21" s="11">
        <f>'BS DRIVERS'!AH17</f>
        <v/>
      </c>
    </row>
    <row r="22">
      <c r="A22" s="3" t="inlineStr">
        <is>
          <t>Additional Paid-in Capital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4">
        <f>'YTD BS'!P22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</row>
    <row r="23">
      <c r="A23" s="3" t="inlineStr">
        <is>
          <t>ESOP Debt Retirement Reserve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</row>
    <row r="24">
      <c r="A24" s="3" t="inlineStr">
        <is>
          <t>Accumulated Other Comprehensive Income (Loss)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</row>
    <row r="25">
      <c r="A25" s="3" t="inlineStr">
        <is>
          <t>Treasury Stock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4">
        <f>'YTD BS'!P25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</row>
    <row r="26">
      <c r="A26" s="3" t="inlineStr">
        <is>
          <t>Retained Earnings (Accumulated Deficit)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4">
        <f>'YTD BS'!P26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6">
        <f>'YTD BS'!P28</f>
        <v/>
      </c>
      <c r="Q28" s="12">
        <f>SUM(Q20:Q27)</f>
        <v/>
      </c>
      <c r="R28" s="12">
        <f>SUM(R20:R27)</f>
        <v/>
      </c>
      <c r="S28" s="12">
        <f>SUM(S20:S27)</f>
        <v/>
      </c>
      <c r="T28" s="12">
        <f>SUM(T20:T27)</f>
        <v/>
      </c>
      <c r="U28" s="12">
        <f>SUM(U20:U27)</f>
        <v/>
      </c>
      <c r="V28" s="12">
        <f>SUM(V20:V27)</f>
        <v/>
      </c>
      <c r="W28" s="12">
        <f>SUM(W20:W27)</f>
        <v/>
      </c>
      <c r="X28" s="12">
        <f>SUM(X20:X27)</f>
        <v/>
      </c>
      <c r="Y28" s="12">
        <f>SUM(Y20:Y27)</f>
        <v/>
      </c>
      <c r="Z28" s="12">
        <f>SUM(Z20:Z27)</f>
        <v/>
      </c>
      <c r="AA28" s="12">
        <f>SUM(AA20:AA27)</f>
        <v/>
      </c>
      <c r="AB28" s="12">
        <f>SUM(AB20:AB27)</f>
        <v/>
      </c>
      <c r="AC28" s="12">
        <f>SUM(AC20:AC27)</f>
        <v/>
      </c>
      <c r="AD28" s="12">
        <f>SUM(AD20:AD27)</f>
        <v/>
      </c>
      <c r="AE28" s="12">
        <f>SUM(AE20:AE27)</f>
        <v/>
      </c>
      <c r="AF28" s="12">
        <f>SUM(AF20:AF27)</f>
        <v/>
      </c>
      <c r="AG28" s="12">
        <f>SUM(AG20:AG27)</f>
        <v/>
      </c>
      <c r="AH28" s="12">
        <f>SUM(AH20:AH27)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6">
        <f>'YTD BS'!P29</f>
        <v/>
      </c>
      <c r="Q29" s="12">
        <f>Q19+Q28</f>
        <v/>
      </c>
      <c r="R29" s="12">
        <f>R19+R28</f>
        <v/>
      </c>
      <c r="S29" s="12">
        <f>S19+S28</f>
        <v/>
      </c>
      <c r="T29" s="12">
        <f>T19+T28</f>
        <v/>
      </c>
      <c r="U29" s="12">
        <f>U19+U28</f>
        <v/>
      </c>
      <c r="V29" s="12">
        <f>V19+V28</f>
        <v/>
      </c>
      <c r="W29" s="12">
        <f>W19+W28</f>
        <v/>
      </c>
      <c r="X29" s="12">
        <f>X19+X28</f>
        <v/>
      </c>
      <c r="Y29" s="12">
        <f>Y19+Y28</f>
        <v/>
      </c>
      <c r="Z29" s="12">
        <f>Z19+Z28</f>
        <v/>
      </c>
      <c r="AA29" s="12">
        <f>AA19+AA28</f>
        <v/>
      </c>
      <c r="AB29" s="12">
        <f>AB19+AB28</f>
        <v/>
      </c>
      <c r="AC29" s="12">
        <f>AC19+AC28</f>
        <v/>
      </c>
      <c r="AD29" s="12">
        <f>AD19+AD28</f>
        <v/>
      </c>
      <c r="AE29" s="12">
        <f>AE19+AE28</f>
        <v/>
      </c>
      <c r="AF29" s="12">
        <f>AF19+AF28</f>
        <v/>
      </c>
      <c r="AG29" s="12">
        <f>AG19+AG28</f>
        <v/>
      </c>
      <c r="AH29" s="12">
        <f>AH19+AH28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  <c r="T3" s="11">
        <f>'QTR P&amp;L'!T2*'CF DRIVERS'!T3</f>
        <v/>
      </c>
      <c r="U3" s="11">
        <f>'QTR P&amp;L'!U2*'CF DRIVERS'!U3</f>
        <v/>
      </c>
      <c r="V3" s="11">
        <f>'QTR P&amp;L'!V2*'CF DRIVERS'!V3</f>
        <v/>
      </c>
      <c r="W3" s="11">
        <f>'QTR P&amp;L'!W2*'CF DRIVERS'!W3</f>
        <v/>
      </c>
      <c r="X3" s="11">
        <f>'QTR P&amp;L'!X2*'CF DRIVERS'!X3</f>
        <v/>
      </c>
      <c r="Y3" s="11">
        <f>'QTR P&amp;L'!Y2*'CF DRIVERS'!Y3</f>
        <v/>
      </c>
      <c r="Z3" s="11">
        <f>'QTR P&amp;L'!Z2*'CF DRIVERS'!Z3</f>
        <v/>
      </c>
      <c r="AA3" s="11">
        <f>'QTR P&amp;L'!AA2*'CF DRIVERS'!AA3</f>
        <v/>
      </c>
      <c r="AB3" s="11">
        <f>'QTR P&amp;L'!AB2*'CF DRIVERS'!AB3</f>
        <v/>
      </c>
      <c r="AC3" s="11">
        <f>'QTR P&amp;L'!AC2*'CF DRIVERS'!AC3</f>
        <v/>
      </c>
      <c r="AD3" s="11">
        <f>'QTR P&amp;L'!AD2*'CF DRIVERS'!AD3</f>
        <v/>
      </c>
      <c r="AE3" s="11">
        <f>'QTR P&amp;L'!AE2*'CF DRIVERS'!AE3</f>
        <v/>
      </c>
      <c r="AF3" s="11">
        <f>'QTR P&amp;L'!AF2*'CF DRIVERS'!AF3</f>
        <v/>
      </c>
      <c r="AG3" s="11">
        <f>'QTR P&amp;L'!AG2*'CF DRIVERS'!AG3</f>
        <v/>
      </c>
      <c r="AH3" s="11">
        <f>'QTR P&amp;L'!AH2*'CF DRIVERS'!AH3</f>
        <v/>
      </c>
      <c r="AI3" s="11">
        <f>'QTR P&amp;L'!AI2*'CF DRIVERS'!AI3</f>
        <v/>
      </c>
      <c r="AJ3" s="11">
        <f>'QTR P&amp;L'!AJ2*'CF DRIVERS'!AJ3</f>
        <v/>
      </c>
      <c r="AK3" s="11">
        <f>'QTR P&amp;L'!AK2*'CF DRIVERS'!AK3</f>
        <v/>
      </c>
    </row>
    <row r="4">
      <c r="A4" s="3" t="inlineStr">
        <is>
          <t>Stock-Based Compensation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FLOW'!C5-'YTD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FLOW'!D5-'YTD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FLOW'!E5-'YTD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FLOW'!F5-'YTD CF'!M4</f>
        <v/>
      </c>
      <c r="R4" s="4">
        <f>'YTD CF'!N4</f>
        <v/>
      </c>
      <c r="S4" s="4">
        <f>'YTD CF'!O4-'YTD CF'!N4</f>
        <v/>
      </c>
      <c r="T4" s="11">
        <f>'QTR P&amp;L'!T2*'CF DRIVERS'!T4</f>
        <v/>
      </c>
      <c r="U4" s="11">
        <f>'QTR P&amp;L'!U2*'CF DRIVERS'!U4</f>
        <v/>
      </c>
      <c r="V4" s="11">
        <f>'QTR P&amp;L'!V2*'CF DRIVERS'!V4</f>
        <v/>
      </c>
      <c r="W4" s="11">
        <f>'QTR P&amp;L'!W2*'CF DRIVERS'!W4</f>
        <v/>
      </c>
      <c r="X4" s="11">
        <f>'QTR P&amp;L'!X2*'CF DRIVERS'!X4</f>
        <v/>
      </c>
      <c r="Y4" s="11">
        <f>'QTR P&amp;L'!Y2*'CF DRIVERS'!Y4</f>
        <v/>
      </c>
      <c r="Z4" s="11">
        <f>'QTR P&amp;L'!Z2*'CF DRIVERS'!Z4</f>
        <v/>
      </c>
      <c r="AA4" s="11">
        <f>'QTR P&amp;L'!AA2*'CF DRIVERS'!AA4</f>
        <v/>
      </c>
      <c r="AB4" s="11">
        <f>'QTR P&amp;L'!AB2*'CF DRIVERS'!AB4</f>
        <v/>
      </c>
      <c r="AC4" s="11">
        <f>'QTR P&amp;L'!AC2*'CF DRIVERS'!AC4</f>
        <v/>
      </c>
      <c r="AD4" s="11">
        <f>'QTR P&amp;L'!AD2*'CF DRIVERS'!AD4</f>
        <v/>
      </c>
      <c r="AE4" s="11">
        <f>'QTR P&amp;L'!AE2*'CF DRIVERS'!AE4</f>
        <v/>
      </c>
      <c r="AF4" s="11">
        <f>'QTR P&amp;L'!AF2*'CF DRIVERS'!AF4</f>
        <v/>
      </c>
      <c r="AG4" s="11">
        <f>'QTR P&amp;L'!AG2*'CF DRIVERS'!AG4</f>
        <v/>
      </c>
      <c r="AH4" s="11">
        <f>'QTR P&amp;L'!AH2*'CF DRIVERS'!AH4</f>
        <v/>
      </c>
      <c r="AI4" s="11">
        <f>'QTR P&amp;L'!AI2*'CF DRIVERS'!AI4</f>
        <v/>
      </c>
      <c r="AJ4" s="11">
        <f>'QTR P&amp;L'!AJ2*'CF DRIVERS'!AJ4</f>
        <v/>
      </c>
      <c r="AK4" s="11">
        <f>'QTR P&amp;L'!AK2*'CF DRIVERS'!AK4</f>
        <v/>
      </c>
    </row>
    <row r="5">
      <c r="A5" s="3" t="inlineStr">
        <is>
          <t>(Benefit) Provision for Deferred Income Taxes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FLOW'!C6-'YTD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FLOW'!D6-'YTD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FLOW'!E6-'YTD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FLOW'!F6-'YTD CF'!M5</f>
        <v/>
      </c>
      <c r="R5" s="4">
        <f>'YTD CF'!N5</f>
        <v/>
      </c>
      <c r="S5" s="4">
        <f>'YTD CF'!O5-'YTD CF'!N5</f>
        <v/>
      </c>
      <c r="T5" s="11">
        <f>'CF DRIVERS'!T5</f>
        <v/>
      </c>
      <c r="U5" s="11">
        <f>'CF DRIVERS'!U5</f>
        <v/>
      </c>
      <c r="V5" s="11">
        <f>'CF DRIVERS'!V5</f>
        <v/>
      </c>
      <c r="W5" s="11">
        <f>'CF DRIVERS'!W5</f>
        <v/>
      </c>
      <c r="X5" s="11">
        <f>'CF DRIVERS'!X5</f>
        <v/>
      </c>
      <c r="Y5" s="11">
        <f>'CF DRIVERS'!Y5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</row>
    <row r="6">
      <c r="A6" s="3" t="inlineStr">
        <is>
          <t>Gain (Loss) on Disposal of PP&amp;E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4">
        <f>'YTD CF'!O6-'YTD CF'!N6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</row>
    <row r="7">
      <c r="A7" s="3" t="inlineStr">
        <is>
          <t>Impairment of Intangibles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4">
        <f>'YTD CF'!O7-'YTD CF'!N7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</row>
    <row r="8">
      <c r="A8" s="3" t="inlineStr">
        <is>
          <t>Accounts Receivable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4">
        <f>'YTD CF'!O8-'YTD CF'!N8</f>
        <v/>
      </c>
      <c r="T8" s="11">
        <f>'CF DRIVERS'!T8</f>
        <v/>
      </c>
      <c r="U8" s="11">
        <f>'CF DRIVERS'!U8</f>
        <v/>
      </c>
      <c r="V8" s="11">
        <f>'CF DRIVERS'!V8</f>
        <v/>
      </c>
      <c r="W8" s="11">
        <f>'CF DRIVERS'!W8</f>
        <v/>
      </c>
      <c r="X8" s="11">
        <f>'CF DRIVERS'!X8</f>
        <v/>
      </c>
      <c r="Y8" s="11">
        <f>'CF DRIVERS'!Y8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</row>
    <row r="9">
      <c r="A9" s="3" t="inlineStr">
        <is>
          <t>Inventories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4">
        <f>'YTD CF'!O9-'YTD CF'!N9</f>
        <v/>
      </c>
      <c r="T9" s="11">
        <f>'CF DRIVERS'!T9</f>
        <v/>
      </c>
      <c r="U9" s="11">
        <f>'CF DRIVERS'!U9</f>
        <v/>
      </c>
      <c r="V9" s="11">
        <f>'CF DRIVERS'!V9</f>
        <v/>
      </c>
      <c r="W9" s="11">
        <f>'CF DRIVERS'!W9</f>
        <v/>
      </c>
      <c r="X9" s="11">
        <f>'CF DRIVERS'!X9</f>
        <v/>
      </c>
      <c r="Y9" s="11">
        <f>'CF DRIVERS'!Y9</f>
        <v/>
      </c>
      <c r="Z9" s="11">
        <f>'CF DRIVERS'!Z9</f>
        <v/>
      </c>
      <c r="AA9" s="11">
        <f>'CF DRIVERS'!AA9</f>
        <v/>
      </c>
      <c r="AB9" s="11">
        <f>'CF DRIVERS'!AB9</f>
        <v/>
      </c>
      <c r="AC9" s="11">
        <f>'CF DRIVERS'!AC9</f>
        <v/>
      </c>
      <c r="AD9" s="11">
        <f>'CF DRIVERS'!AD9</f>
        <v/>
      </c>
      <c r="AE9" s="11">
        <f>'CF DRIVERS'!AE9</f>
        <v/>
      </c>
      <c r="AF9" s="11">
        <f>'CF DRIVERS'!AF9</f>
        <v/>
      </c>
      <c r="AG9" s="11">
        <f>'CF DRIVERS'!AG9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</row>
    <row r="10">
      <c r="A10" s="3" t="inlineStr">
        <is>
          <t>Accounts Payable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4">
        <f>'YTD CF'!O10-'YTD CF'!N10</f>
        <v/>
      </c>
      <c r="T10" s="11">
        <f>'CF DRIVERS'!T10</f>
        <v/>
      </c>
      <c r="U10" s="11">
        <f>'CF DRIVERS'!U10</f>
        <v/>
      </c>
      <c r="V10" s="11">
        <f>'CF DRIVERS'!V10</f>
        <v/>
      </c>
      <c r="W10" s="11">
        <f>'CF DRIVERS'!W10</f>
        <v/>
      </c>
      <c r="X10" s="11">
        <f>'CF DRIVERS'!X10</f>
        <v/>
      </c>
      <c r="Y10" s="11">
        <f>'CF DRIVERS'!Y10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</row>
    <row r="11">
      <c r="A11" s="3" t="inlineStr">
        <is>
          <t>Net Change in Other Working Capital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4">
        <f>'YTD CF'!O11-'YTD CF'!N11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</row>
    <row r="12">
      <c r="A12" s="3" t="inlineStr">
        <is>
          <t>Other Operating Items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4">
        <f>'YTD CF'!O12-'YTD CF'!N12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</row>
    <row r="13">
      <c r="A13" s="3" t="inlineStr">
        <is>
          <t>Cash Flow from Operations</t>
        </is>
      </c>
      <c r="B13" s="6">
        <f>'YTD CF'!B13</f>
        <v/>
      </c>
      <c r="C13" s="6">
        <f>'YTD CF'!C13-'YTD CF'!B13</f>
        <v/>
      </c>
      <c r="D13" s="6">
        <f>'YTD CF'!D13-'YTD CF'!C13</f>
        <v/>
      </c>
      <c r="E13" s="6">
        <f>'CASH FLOW'!C14-'YTD CF'!D13</f>
        <v/>
      </c>
      <c r="F13" s="6">
        <f>'YTD CF'!E13</f>
        <v/>
      </c>
      <c r="G13" s="6">
        <f>'YTD CF'!F13-'YTD CF'!E13</f>
        <v/>
      </c>
      <c r="H13" s="6">
        <f>'YTD CF'!G13-'YTD CF'!F13</f>
        <v/>
      </c>
      <c r="I13" s="6">
        <f>'CASH FLOW'!D14-'YTD CF'!G13</f>
        <v/>
      </c>
      <c r="J13" s="6">
        <f>'YTD CF'!H13</f>
        <v/>
      </c>
      <c r="K13" s="6">
        <f>'YTD CF'!I13-'YTD CF'!H13</f>
        <v/>
      </c>
      <c r="L13" s="6">
        <f>'YTD CF'!J13-'YTD CF'!I13</f>
        <v/>
      </c>
      <c r="M13" s="6">
        <f>'CASH FLOW'!E14-'YTD CF'!J13</f>
        <v/>
      </c>
      <c r="N13" s="6">
        <f>'YTD CF'!K13</f>
        <v/>
      </c>
      <c r="O13" s="6">
        <f>'YTD CF'!L13-'YTD CF'!K13</f>
        <v/>
      </c>
      <c r="P13" s="6">
        <f>'YTD CF'!M13-'YTD CF'!L13</f>
        <v/>
      </c>
      <c r="Q13" s="6">
        <f>'CASH FLOW'!F14-'YTD CF'!M13</f>
        <v/>
      </c>
      <c r="R13" s="6">
        <f>'YTD CF'!N13</f>
        <v/>
      </c>
      <c r="S13" s="6">
        <f>'YTD CF'!O13-'YTD CF'!N13</f>
        <v/>
      </c>
      <c r="T13" s="12">
        <f>SUM(T2:T12)</f>
        <v/>
      </c>
      <c r="U13" s="12">
        <f>SUM(U2:U12)</f>
        <v/>
      </c>
      <c r="V13" s="12">
        <f>SUM(V2:V12)</f>
        <v/>
      </c>
      <c r="W13" s="12">
        <f>SUM(W2:W12)</f>
        <v/>
      </c>
      <c r="X13" s="12">
        <f>SUM(X2:X12)</f>
        <v/>
      </c>
      <c r="Y13" s="12">
        <f>SUM(Y2:Y12)</f>
        <v/>
      </c>
      <c r="Z13" s="12">
        <f>SUM(Z2:Z12)</f>
        <v/>
      </c>
      <c r="AA13" s="12">
        <f>SUM(AA2:AA12)</f>
        <v/>
      </c>
      <c r="AB13" s="12">
        <f>SUM(AB2:AB12)</f>
        <v/>
      </c>
      <c r="AC13" s="12">
        <f>SUM(AC2:AC12)</f>
        <v/>
      </c>
      <c r="AD13" s="12">
        <f>SUM(AD2:AD12)</f>
        <v/>
      </c>
      <c r="AE13" s="12">
        <f>SUM(AE2:AE12)</f>
        <v/>
      </c>
      <c r="AF13" s="12">
        <f>SUM(AF2:AF12)</f>
        <v/>
      </c>
      <c r="AG13" s="12">
        <f>SUM(AG2:AG12)</f>
        <v/>
      </c>
      <c r="AH13" s="12">
        <f>SUM(AH2:AH12)</f>
        <v/>
      </c>
      <c r="AI13" s="12">
        <f>SUM(AI2:AI12)</f>
        <v/>
      </c>
      <c r="AJ13" s="12">
        <f>SUM(AJ2:AJ12)</f>
        <v/>
      </c>
      <c r="AK13" s="12">
        <f>SUM(AK2:AK12)</f>
        <v/>
      </c>
    </row>
    <row r="14">
      <c r="A14" s="3" t="inlineStr">
        <is>
          <t>Purchase of PP&amp;E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4">
        <f>'YTD CF'!O14-'YTD CF'!N14</f>
        <v/>
      </c>
      <c r="T14" s="11">
        <f>'QTR P&amp;L'!T2*'CF DRIVERS'!T13</f>
        <v/>
      </c>
      <c r="U14" s="11">
        <f>'QTR P&amp;L'!U2*'CF DRIVERS'!U13</f>
        <v/>
      </c>
      <c r="V14" s="11">
        <f>'QTR P&amp;L'!V2*'CF DRIVERS'!V13</f>
        <v/>
      </c>
      <c r="W14" s="11">
        <f>'QTR P&amp;L'!W2*'CF DRIVERS'!W13</f>
        <v/>
      </c>
      <c r="X14" s="11">
        <f>'QTR P&amp;L'!X2*'CF DRIVERS'!X13</f>
        <v/>
      </c>
      <c r="Y14" s="11">
        <f>'QTR P&amp;L'!Y2*'CF DRIVERS'!Y13</f>
        <v/>
      </c>
      <c r="Z14" s="11">
        <f>'QTR P&amp;L'!Z2*'CF DRIVERS'!Z13</f>
        <v/>
      </c>
      <c r="AA14" s="11">
        <f>'QTR P&amp;L'!AA2*'CF DRIVERS'!AA13</f>
        <v/>
      </c>
      <c r="AB14" s="11">
        <f>'QTR P&amp;L'!AB2*'CF DRIVERS'!AB13</f>
        <v/>
      </c>
      <c r="AC14" s="11">
        <f>'QTR P&amp;L'!AC2*'CF DRIVERS'!AC13</f>
        <v/>
      </c>
      <c r="AD14" s="11">
        <f>'QTR P&amp;L'!AD2*'CF DRIVERS'!AD13</f>
        <v/>
      </c>
      <c r="AE14" s="11">
        <f>'QTR P&amp;L'!AE2*'CF DRIVERS'!AE13</f>
        <v/>
      </c>
      <c r="AF14" s="11">
        <f>'QTR P&amp;L'!AF2*'CF DRIVERS'!AF13</f>
        <v/>
      </c>
      <c r="AG14" s="11">
        <f>'QTR P&amp;L'!AG2*'CF DRIVERS'!AG13</f>
        <v/>
      </c>
      <c r="AH14" s="11">
        <f>'QTR P&amp;L'!AH2*'CF DRIVERS'!AH13</f>
        <v/>
      </c>
      <c r="AI14" s="11">
        <f>'QTR P&amp;L'!AI2*'CF DRIVERS'!AI13</f>
        <v/>
      </c>
      <c r="AJ14" s="11">
        <f>'QTR P&amp;L'!AJ2*'CF DRIVERS'!AJ13</f>
        <v/>
      </c>
      <c r="AK14" s="11">
        <f>'QTR P&amp;L'!AK2*'CF DRIVERS'!AK13</f>
        <v/>
      </c>
    </row>
    <row r="15">
      <c r="A15" s="3" t="inlineStr">
        <is>
          <t>Proceeds from Sale of Assets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4">
        <f>'YTD CF'!O15-'YTD CF'!N15</f>
        <v/>
      </c>
      <c r="T15" s="11">
        <f>'CF DRIVERS'!T14</f>
        <v/>
      </c>
      <c r="U15" s="11">
        <f>'CF DRIVERS'!U14</f>
        <v/>
      </c>
      <c r="V15" s="11">
        <f>'CF DRIVERS'!V14</f>
        <v/>
      </c>
      <c r="W15" s="11">
        <f>'CF DRIVERS'!W14</f>
        <v/>
      </c>
      <c r="X15" s="11">
        <f>'CF DRIVERS'!X14</f>
        <v/>
      </c>
      <c r="Y15" s="11">
        <f>'CF DRIVERS'!Y14</f>
        <v/>
      </c>
      <c r="Z15" s="11">
        <f>'CF DRIVERS'!Z14</f>
        <v/>
      </c>
      <c r="AA15" s="11">
        <f>'CF DRIVERS'!AA14</f>
        <v/>
      </c>
      <c r="AB15" s="11">
        <f>'CF DRIVERS'!AB14</f>
        <v/>
      </c>
      <c r="AC15" s="11">
        <f>'CF DRIVERS'!AC14</f>
        <v/>
      </c>
      <c r="AD15" s="11">
        <f>'CF DRIVERS'!AD14</f>
        <v/>
      </c>
      <c r="AE15" s="11">
        <f>'CF DRIVERS'!AE14</f>
        <v/>
      </c>
      <c r="AF15" s="11">
        <f>'CF DRIVERS'!AF14</f>
        <v/>
      </c>
      <c r="AG15" s="11">
        <f>'CF DRIVERS'!AG14</f>
        <v/>
      </c>
      <c r="AH15" s="11">
        <f>'CF DRIVERS'!AH14</f>
        <v/>
      </c>
      <c r="AI15" s="11">
        <f>'CF DRIVERS'!AI14</f>
        <v/>
      </c>
      <c r="AJ15" s="11">
        <f>'CF DRIVERS'!AJ14</f>
        <v/>
      </c>
      <c r="AK15" s="11">
        <f>'CF DRIVERS'!AK14</f>
        <v/>
      </c>
    </row>
    <row r="16">
      <c r="A16" s="3" t="inlineStr">
        <is>
          <t>Acquisitions, Net of Cash Acquired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4">
        <f>'YTD CF'!O16-'YTD CF'!N16</f>
        <v/>
      </c>
      <c r="T16" s="11">
        <f>'CF DRIVERS'!T15</f>
        <v/>
      </c>
      <c r="U16" s="11">
        <f>'CF DRIVERS'!U15</f>
        <v/>
      </c>
      <c r="V16" s="11">
        <f>'CF DRIVERS'!V15</f>
        <v/>
      </c>
      <c r="W16" s="11">
        <f>'CF DRIVERS'!W15</f>
        <v/>
      </c>
      <c r="X16" s="11">
        <f>'CF DRIVERS'!X15</f>
        <v/>
      </c>
      <c r="Y16" s="11">
        <f>'CF DRIVERS'!Y15</f>
        <v/>
      </c>
      <c r="Z16" s="11">
        <f>'CF DRIVERS'!Z15</f>
        <v/>
      </c>
      <c r="AA16" s="11">
        <f>'CF DRIVERS'!AA15</f>
        <v/>
      </c>
      <c r="AB16" s="11">
        <f>'CF DRIVERS'!AB15</f>
        <v/>
      </c>
      <c r="AC16" s="11">
        <f>'CF DRIVERS'!AC15</f>
        <v/>
      </c>
      <c r="AD16" s="11">
        <f>'CF DRIVERS'!AD15</f>
        <v/>
      </c>
      <c r="AE16" s="11">
        <f>'CF DRIVERS'!AE15</f>
        <v/>
      </c>
      <c r="AF16" s="11">
        <f>'CF DRIVERS'!AF15</f>
        <v/>
      </c>
      <c r="AG16" s="11">
        <f>'CF DRIVERS'!AG15</f>
        <v/>
      </c>
      <c r="AH16" s="11">
        <f>'CF DRIVERS'!AH15</f>
        <v/>
      </c>
      <c r="AI16" s="11">
        <f>'CF DRIVERS'!AI15</f>
        <v/>
      </c>
      <c r="AJ16" s="11">
        <f>'CF DRIVERS'!AJ15</f>
        <v/>
      </c>
      <c r="AK16" s="11">
        <f>'CF DRIVERS'!AK15</f>
        <v/>
      </c>
    </row>
    <row r="17">
      <c r="A17" s="3" t="inlineStr">
        <is>
          <t>Net Change in Short-Term Investments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R17" s="4">
        <f>'YTD CF'!N17</f>
        <v/>
      </c>
      <c r="S17" s="4">
        <f>'YTD CF'!O17-'YTD CF'!N17</f>
        <v/>
      </c>
      <c r="T17" s="11">
        <f>'CF DRIVERS'!T16</f>
        <v/>
      </c>
      <c r="U17" s="11">
        <f>'CF DRIVERS'!U16</f>
        <v/>
      </c>
      <c r="V17" s="11">
        <f>'CF DRIVERS'!V16</f>
        <v/>
      </c>
      <c r="W17" s="11">
        <f>'CF DRIVERS'!W16</f>
        <v/>
      </c>
      <c r="X17" s="11">
        <f>'CF DRIVERS'!X16</f>
        <v/>
      </c>
      <c r="Y17" s="11">
        <f>'CF DRIVERS'!Y16</f>
        <v/>
      </c>
      <c r="Z17" s="11">
        <f>'CF DRIVERS'!Z16</f>
        <v/>
      </c>
      <c r="AA17" s="11">
        <f>'CF DRIVERS'!AA16</f>
        <v/>
      </c>
      <c r="AB17" s="11">
        <f>'CF DRIVERS'!AB16</f>
        <v/>
      </c>
      <c r="AC17" s="11">
        <f>'CF DRIVERS'!AC16</f>
        <v/>
      </c>
      <c r="AD17" s="11">
        <f>'CF DRIVERS'!AD16</f>
        <v/>
      </c>
      <c r="AE17" s="11">
        <f>'CF DRIVERS'!AE16</f>
        <v/>
      </c>
      <c r="AF17" s="11">
        <f>'CF DRIVERS'!AF16</f>
        <v/>
      </c>
      <c r="AG17" s="11">
        <f>'CF DRIVERS'!AG16</f>
        <v/>
      </c>
      <c r="AH17" s="11">
        <f>'CF DRIVERS'!AH16</f>
        <v/>
      </c>
      <c r="AI17" s="11">
        <f>'CF DRIVERS'!AI16</f>
        <v/>
      </c>
      <c r="AJ17" s="11">
        <f>'CF DRIVERS'!AJ16</f>
        <v/>
      </c>
      <c r="AK17" s="11">
        <f>'CF DRIVERS'!AK16</f>
        <v/>
      </c>
    </row>
    <row r="18">
      <c r="A18" s="3" t="inlineStr">
        <is>
          <t>Other Investing Activities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FLOW'!C18-'YTD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FLOW'!D18-'YTD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FLOW'!E18-'YTD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FLOW'!F18-'YTD CF'!M18</f>
        <v/>
      </c>
      <c r="R18" s="4">
        <f>'YTD CF'!N18</f>
        <v/>
      </c>
      <c r="S18" s="4">
        <f>'YTD CF'!O18-'YTD CF'!N18</f>
        <v/>
      </c>
      <c r="T18" s="11">
        <f>'CF DRIVERS'!T17</f>
        <v/>
      </c>
      <c r="U18" s="11">
        <f>'CF DRIVERS'!U17</f>
        <v/>
      </c>
      <c r="V18" s="11">
        <f>'CF DRIVERS'!V17</f>
        <v/>
      </c>
      <c r="W18" s="11">
        <f>'CF DRIVERS'!W17</f>
        <v/>
      </c>
      <c r="X18" s="11">
        <f>'CF DRIVERS'!X17</f>
        <v/>
      </c>
      <c r="Y18" s="11">
        <f>'CF DRIVERS'!Y17</f>
        <v/>
      </c>
      <c r="Z18" s="11">
        <f>'CF DRIVERS'!Z17</f>
        <v/>
      </c>
      <c r="AA18" s="11">
        <f>'CF DRIVERS'!AA17</f>
        <v/>
      </c>
      <c r="AB18" s="11">
        <f>'CF DRIVERS'!AB17</f>
        <v/>
      </c>
      <c r="AC18" s="11">
        <f>'CF DRIVERS'!AC17</f>
        <v/>
      </c>
      <c r="AD18" s="11">
        <f>'CF DRIVERS'!AD17</f>
        <v/>
      </c>
      <c r="AE18" s="11">
        <f>'CF DRIVERS'!AE17</f>
        <v/>
      </c>
      <c r="AF18" s="11">
        <f>'CF DRIVERS'!AF17</f>
        <v/>
      </c>
      <c r="AG18" s="11">
        <f>'CF DRIVERS'!AG17</f>
        <v/>
      </c>
      <c r="AH18" s="11">
        <f>'CF DRIVERS'!AH17</f>
        <v/>
      </c>
      <c r="AI18" s="11">
        <f>'CF DRIVERS'!AI17</f>
        <v/>
      </c>
      <c r="AJ18" s="11">
        <f>'CF DRIVERS'!AJ17</f>
        <v/>
      </c>
      <c r="AK18" s="11">
        <f>'CF DRIVERS'!AK17</f>
        <v/>
      </c>
    </row>
    <row r="19">
      <c r="A19" s="3" t="inlineStr">
        <is>
          <t>Cash Flow from Investing</t>
        </is>
      </c>
      <c r="B19" s="6">
        <f>'YTD CF'!B19</f>
        <v/>
      </c>
      <c r="C19" s="6">
        <f>'YTD CF'!C19-'YTD CF'!B19</f>
        <v/>
      </c>
      <c r="D19" s="6">
        <f>'YTD CF'!D19-'YTD CF'!C19</f>
        <v/>
      </c>
      <c r="E19" s="6">
        <f>'CASH FLOW'!C19-'YTD CF'!D19</f>
        <v/>
      </c>
      <c r="F19" s="6">
        <f>'YTD CF'!E19</f>
        <v/>
      </c>
      <c r="G19" s="6">
        <f>'YTD CF'!F19-'YTD CF'!E19</f>
        <v/>
      </c>
      <c r="H19" s="6">
        <f>'YTD CF'!G19-'YTD CF'!F19</f>
        <v/>
      </c>
      <c r="I19" s="6">
        <f>'CASH FLOW'!D19-'YTD CF'!G19</f>
        <v/>
      </c>
      <c r="J19" s="6">
        <f>'YTD CF'!H19</f>
        <v/>
      </c>
      <c r="K19" s="6">
        <f>'YTD CF'!I19-'YTD CF'!H19</f>
        <v/>
      </c>
      <c r="L19" s="6">
        <f>'YTD CF'!J19-'YTD CF'!I19</f>
        <v/>
      </c>
      <c r="M19" s="6">
        <f>'CASH FLOW'!E19-'YTD CF'!J19</f>
        <v/>
      </c>
      <c r="N19" s="6">
        <f>'YTD CF'!K19</f>
        <v/>
      </c>
      <c r="O19" s="6">
        <f>'YTD CF'!L19-'YTD CF'!K19</f>
        <v/>
      </c>
      <c r="P19" s="6">
        <f>'YTD CF'!M19-'YTD CF'!L19</f>
        <v/>
      </c>
      <c r="Q19" s="6">
        <f>'CASH FLOW'!F19-'YTD CF'!M19</f>
        <v/>
      </c>
      <c r="R19" s="6">
        <f>'YTD CF'!N19</f>
        <v/>
      </c>
      <c r="S19" s="6">
        <f>'YTD CF'!O19-'YTD CF'!N19</f>
        <v/>
      </c>
      <c r="T19" s="12">
        <f>SUM(T14:T18)</f>
        <v/>
      </c>
      <c r="U19" s="12">
        <f>SUM(U14:U18)</f>
        <v/>
      </c>
      <c r="V19" s="12">
        <f>SUM(V14:V18)</f>
        <v/>
      </c>
      <c r="W19" s="12">
        <f>SUM(W14:W18)</f>
        <v/>
      </c>
      <c r="X19" s="12">
        <f>SUM(X14:X18)</f>
        <v/>
      </c>
      <c r="Y19" s="12">
        <f>SUM(Y14:Y18)</f>
        <v/>
      </c>
      <c r="Z19" s="12">
        <f>SUM(Z14:Z18)</f>
        <v/>
      </c>
      <c r="AA19" s="12">
        <f>SUM(AA14:AA18)</f>
        <v/>
      </c>
      <c r="AB19" s="12">
        <f>SUM(AB14:AB18)</f>
        <v/>
      </c>
      <c r="AC19" s="12">
        <f>SUM(AC14:AC18)</f>
        <v/>
      </c>
      <c r="AD19" s="12">
        <f>SUM(AD14:AD18)</f>
        <v/>
      </c>
      <c r="AE19" s="12">
        <f>SUM(AE14:AE18)</f>
        <v/>
      </c>
      <c r="AF19" s="12">
        <f>SUM(AF14:AF18)</f>
        <v/>
      </c>
      <c r="AG19" s="12">
        <f>SUM(AG14:AG18)</f>
        <v/>
      </c>
      <c r="AH19" s="12">
        <f>SUM(AH14:AH18)</f>
        <v/>
      </c>
      <c r="AI19" s="12">
        <f>SUM(AI14:AI18)</f>
        <v/>
      </c>
      <c r="AJ19" s="12">
        <f>SUM(AJ14:AJ18)</f>
        <v/>
      </c>
      <c r="AK19" s="12">
        <f>SUM(AK14:AK18)</f>
        <v/>
      </c>
    </row>
    <row r="20">
      <c r="A20" s="3" t="inlineStr">
        <is>
          <t>Common Dividends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4">
        <f>'YTD CF'!N20</f>
        <v/>
      </c>
      <c r="S20" s="4">
        <f>'YTD CF'!O20-'YTD CF'!N20</f>
        <v/>
      </c>
      <c r="T20" s="11">
        <f>'QTR P&amp;L'!T12*'CF DRIVERS'!T18</f>
        <v/>
      </c>
      <c r="U20" s="11">
        <f>'QTR P&amp;L'!U12*'CF DRIVERS'!U18</f>
        <v/>
      </c>
      <c r="V20" s="11">
        <f>'QTR P&amp;L'!V12*'CF DRIVERS'!V18</f>
        <v/>
      </c>
      <c r="W20" s="11">
        <f>'QTR P&amp;L'!W12*'CF DRIVERS'!W18</f>
        <v/>
      </c>
      <c r="X20" s="11">
        <f>'QTR P&amp;L'!X12*'CF DRIVERS'!X18</f>
        <v/>
      </c>
      <c r="Y20" s="11">
        <f>'QTR P&amp;L'!Y12*'CF DRIVERS'!Y18</f>
        <v/>
      </c>
      <c r="Z20" s="11">
        <f>'QTR P&amp;L'!Z12*'CF DRIVERS'!Z18</f>
        <v/>
      </c>
      <c r="AA20" s="11">
        <f>'QTR P&amp;L'!AA12*'CF DRIVERS'!AA18</f>
        <v/>
      </c>
      <c r="AB20" s="11">
        <f>'QTR P&amp;L'!AB12*'CF DRIVERS'!AB18</f>
        <v/>
      </c>
      <c r="AC20" s="11">
        <f>'QTR P&amp;L'!AC12*'CF DRIVERS'!AC18</f>
        <v/>
      </c>
      <c r="AD20" s="11">
        <f>'QTR P&amp;L'!AD12*'CF DRIVERS'!AD18</f>
        <v/>
      </c>
      <c r="AE20" s="11">
        <f>'QTR P&amp;L'!AE12*'CF DRIVERS'!AE18</f>
        <v/>
      </c>
      <c r="AF20" s="11">
        <f>'QTR P&amp;L'!AF12*'CF DRIVERS'!AF18</f>
        <v/>
      </c>
      <c r="AG20" s="11">
        <f>'QTR P&amp;L'!AG12*'CF DRIVERS'!AG18</f>
        <v/>
      </c>
      <c r="AH20" s="11">
        <f>'QTR P&amp;L'!AH12*'CF DRIVERS'!AH18</f>
        <v/>
      </c>
      <c r="AI20" s="11">
        <f>'QTR P&amp;L'!AI12*'CF DRIVERS'!AI18</f>
        <v/>
      </c>
      <c r="AJ20" s="11">
        <f>'QTR P&amp;L'!AJ12*'CF DRIVERS'!AJ18</f>
        <v/>
      </c>
      <c r="AK20" s="11">
        <f>'QTR P&amp;L'!AK12*'CF DRIVERS'!AK18</f>
        <v/>
      </c>
    </row>
    <row r="21">
      <c r="A21" s="3" t="inlineStr">
        <is>
          <t>Proceeds from Short-Term Debt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4">
        <f>'YTD CF'!N21</f>
        <v/>
      </c>
      <c r="S21" s="4">
        <f>'YTD CF'!O21-'YTD CF'!N21</f>
        <v/>
      </c>
      <c r="T21" s="11">
        <f>'CF DRIVERS'!T19</f>
        <v/>
      </c>
      <c r="U21" s="11">
        <f>'CF DRIVERS'!U19</f>
        <v/>
      </c>
      <c r="V21" s="11">
        <f>'CF DRIVERS'!V19</f>
        <v/>
      </c>
      <c r="W21" s="11">
        <f>'CF DRIVERS'!W19</f>
        <v/>
      </c>
      <c r="X21" s="11">
        <f>'CF DRIVERS'!X19</f>
        <v/>
      </c>
      <c r="Y21" s="11">
        <f>'CF DRIVERS'!Y19</f>
        <v/>
      </c>
      <c r="Z21" s="11">
        <f>'CF DRIVERS'!Z19</f>
        <v/>
      </c>
      <c r="AA21" s="11">
        <f>'CF DRIVERS'!AA19</f>
        <v/>
      </c>
      <c r="AB21" s="11">
        <f>'CF DRIVERS'!AB19</f>
        <v/>
      </c>
      <c r="AC21" s="11">
        <f>'CF DRIVERS'!AC19</f>
        <v/>
      </c>
      <c r="AD21" s="11">
        <f>'CF DRIVERS'!AD19</f>
        <v/>
      </c>
      <c r="AE21" s="11">
        <f>'CF DRIVERS'!AE19</f>
        <v/>
      </c>
      <c r="AF21" s="11">
        <f>'CF DRIVERS'!AF19</f>
        <v/>
      </c>
      <c r="AG21" s="11">
        <f>'CF DRIVERS'!AG19</f>
        <v/>
      </c>
      <c r="AH21" s="11">
        <f>'CF DRIVERS'!AH19</f>
        <v/>
      </c>
      <c r="AI21" s="11">
        <f>'CF DRIVERS'!AI19</f>
        <v/>
      </c>
      <c r="AJ21" s="11">
        <f>'CF DRIVERS'!AJ19</f>
        <v/>
      </c>
      <c r="AK21" s="11">
        <f>'CF DRIVERS'!AK19</f>
        <v/>
      </c>
    </row>
    <row r="22">
      <c r="A22" s="3" t="inlineStr">
        <is>
          <t>Repayments of Short-Term Debt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4">
        <f>'YTD CF'!N22</f>
        <v/>
      </c>
      <c r="S22" s="4">
        <f>'YTD CF'!O22-'YTD CF'!N22</f>
        <v/>
      </c>
      <c r="T22" s="11">
        <f>'CF DRIVERS'!T20</f>
        <v/>
      </c>
      <c r="U22" s="11">
        <f>'CF DRIVERS'!U20</f>
        <v/>
      </c>
      <c r="V22" s="11">
        <f>'CF DRIVERS'!V20</f>
        <v/>
      </c>
      <c r="W22" s="11">
        <f>'CF DRIVERS'!W20</f>
        <v/>
      </c>
      <c r="X22" s="11">
        <f>'CF DRIVERS'!X20</f>
        <v/>
      </c>
      <c r="Y22" s="11">
        <f>'CF DRIVERS'!Y20</f>
        <v/>
      </c>
      <c r="Z22" s="11">
        <f>'CF DRIVERS'!Z20</f>
        <v/>
      </c>
      <c r="AA22" s="11">
        <f>'CF DRIVERS'!AA20</f>
        <v/>
      </c>
      <c r="AB22" s="11">
        <f>'CF DRIVERS'!AB20</f>
        <v/>
      </c>
      <c r="AC22" s="11">
        <f>'CF DRIVERS'!AC20</f>
        <v/>
      </c>
      <c r="AD22" s="11">
        <f>'CF DRIVERS'!AD20</f>
        <v/>
      </c>
      <c r="AE22" s="11">
        <f>'CF DRIVERS'!AE20</f>
        <v/>
      </c>
      <c r="AF22" s="11">
        <f>'CF DRIVERS'!AF20</f>
        <v/>
      </c>
      <c r="AG22" s="11">
        <f>'CF DRIVERS'!AG20</f>
        <v/>
      </c>
      <c r="AH22" s="11">
        <f>'CF DRIVERS'!AH20</f>
        <v/>
      </c>
      <c r="AI22" s="11">
        <f>'CF DRIVERS'!AI20</f>
        <v/>
      </c>
      <c r="AJ22" s="11">
        <f>'CF DRIVERS'!AJ20</f>
        <v/>
      </c>
      <c r="AK22" s="11">
        <f>'CF DRIVERS'!AK20</f>
        <v/>
      </c>
    </row>
    <row r="23">
      <c r="A23" s="3" t="inlineStr">
        <is>
          <t>Net Change in Other Short-Term Debt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4">
        <f>'YTD CF'!N23</f>
        <v/>
      </c>
      <c r="S23" s="4">
        <f>'YTD CF'!O23-'YTD CF'!N23</f>
        <v/>
      </c>
      <c r="T23" s="11">
        <f>'CF DRIVERS'!T21</f>
        <v/>
      </c>
      <c r="U23" s="11">
        <f>'CF DRIVERS'!U21</f>
        <v/>
      </c>
      <c r="V23" s="11">
        <f>'CF DRIVERS'!V21</f>
        <v/>
      </c>
      <c r="W23" s="11">
        <f>'CF DRIVERS'!W21</f>
        <v/>
      </c>
      <c r="X23" s="11">
        <f>'CF DRIVERS'!X21</f>
        <v/>
      </c>
      <c r="Y23" s="11">
        <f>'CF DRIVERS'!Y21</f>
        <v/>
      </c>
      <c r="Z23" s="11">
        <f>'CF DRIVERS'!Z21</f>
        <v/>
      </c>
      <c r="AA23" s="11">
        <f>'CF DRIVERS'!AA21</f>
        <v/>
      </c>
      <c r="AB23" s="11">
        <f>'CF DRIVERS'!AB21</f>
        <v/>
      </c>
      <c r="AC23" s="11">
        <f>'CF DRIVERS'!AC21</f>
        <v/>
      </c>
      <c r="AD23" s="11">
        <f>'CF DRIVERS'!AD21</f>
        <v/>
      </c>
      <c r="AE23" s="11">
        <f>'CF DRIVERS'!AE21</f>
        <v/>
      </c>
      <c r="AF23" s="11">
        <f>'CF DRIVERS'!AF21</f>
        <v/>
      </c>
      <c r="AG23" s="11">
        <f>'CF DRIVERS'!AG21</f>
        <v/>
      </c>
      <c r="AH23" s="11">
        <f>'CF DRIVERS'!AH21</f>
        <v/>
      </c>
      <c r="AI23" s="11">
        <f>'CF DRIVERS'!AI21</f>
        <v/>
      </c>
      <c r="AJ23" s="11">
        <f>'CF DRIVERS'!AJ21</f>
        <v/>
      </c>
      <c r="AK23" s="11">
        <f>'CF DRIVERS'!AK21</f>
        <v/>
      </c>
    </row>
    <row r="24">
      <c r="A24" s="3" t="inlineStr">
        <is>
          <t>Proceeds from Issuance of Long-Term Debt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4">
        <f>'YTD CF'!N24</f>
        <v/>
      </c>
      <c r="S24" s="4">
        <f>'YTD CF'!O24-'YTD CF'!N24</f>
        <v/>
      </c>
      <c r="T24" s="11">
        <f>'CF DRIVERS'!T22</f>
        <v/>
      </c>
      <c r="U24" s="11">
        <f>'CF DRIVERS'!U22</f>
        <v/>
      </c>
      <c r="V24" s="11">
        <f>'CF DRIVERS'!V22</f>
        <v/>
      </c>
      <c r="W24" s="11">
        <f>'CF DRIVERS'!W22</f>
        <v/>
      </c>
      <c r="X24" s="11">
        <f>'CF DRIVERS'!X22</f>
        <v/>
      </c>
      <c r="Y24" s="11">
        <f>'CF DRIVERS'!Y22</f>
        <v/>
      </c>
      <c r="Z24" s="11">
        <f>'CF DRIVERS'!Z22</f>
        <v/>
      </c>
      <c r="AA24" s="11">
        <f>'CF DRIVERS'!AA22</f>
        <v/>
      </c>
      <c r="AB24" s="11">
        <f>'CF DRIVERS'!AB22</f>
        <v/>
      </c>
      <c r="AC24" s="11">
        <f>'CF DRIVERS'!AC22</f>
        <v/>
      </c>
      <c r="AD24" s="11">
        <f>'CF DRIVERS'!AD22</f>
        <v/>
      </c>
      <c r="AE24" s="11">
        <f>'CF DRIVERS'!AE22</f>
        <v/>
      </c>
      <c r="AF24" s="11">
        <f>'CF DRIVERS'!AF22</f>
        <v/>
      </c>
      <c r="AG24" s="11">
        <f>'CF DRIVERS'!AG22</f>
        <v/>
      </c>
      <c r="AH24" s="11">
        <f>'CF DRIVERS'!AH22</f>
        <v/>
      </c>
      <c r="AI24" s="11">
        <f>'CF DRIVERS'!AI22</f>
        <v/>
      </c>
      <c r="AJ24" s="11">
        <f>'CF DRIVERS'!AJ22</f>
        <v/>
      </c>
      <c r="AK24" s="11">
        <f>'CF DRIVERS'!AK22</f>
        <v/>
      </c>
    </row>
    <row r="25">
      <c r="A25" s="3" t="inlineStr">
        <is>
          <t>Repayments of Long-Term Debt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4">
        <f>'YTD CF'!N25</f>
        <v/>
      </c>
      <c r="S25" s="4">
        <f>'YTD CF'!O25-'YTD CF'!N25</f>
        <v/>
      </c>
      <c r="T25" s="11">
        <f>'CF DRIVERS'!T23</f>
        <v/>
      </c>
      <c r="U25" s="11">
        <f>'CF DRIVERS'!U23</f>
        <v/>
      </c>
      <c r="V25" s="11">
        <f>'CF DRIVERS'!V23</f>
        <v/>
      </c>
      <c r="W25" s="11">
        <f>'CF DRIVERS'!W23</f>
        <v/>
      </c>
      <c r="X25" s="11">
        <f>'CF DRIVERS'!X23</f>
        <v/>
      </c>
      <c r="Y25" s="11">
        <f>'CF DRIVERS'!Y23</f>
        <v/>
      </c>
      <c r="Z25" s="11">
        <f>'CF DRIVERS'!Z23</f>
        <v/>
      </c>
      <c r="AA25" s="11">
        <f>'CF DRIVERS'!AA23</f>
        <v/>
      </c>
      <c r="AB25" s="11">
        <f>'CF DRIVERS'!AB23</f>
        <v/>
      </c>
      <c r="AC25" s="11">
        <f>'CF DRIVERS'!AC23</f>
        <v/>
      </c>
      <c r="AD25" s="11">
        <f>'CF DRIVERS'!AD23</f>
        <v/>
      </c>
      <c r="AE25" s="11">
        <f>'CF DRIVERS'!AE23</f>
        <v/>
      </c>
      <c r="AF25" s="11">
        <f>'CF DRIVERS'!AF23</f>
        <v/>
      </c>
      <c r="AG25" s="11">
        <f>'CF DRIVERS'!AG23</f>
        <v/>
      </c>
      <c r="AH25" s="11">
        <f>'CF DRIVERS'!AH23</f>
        <v/>
      </c>
      <c r="AI25" s="11">
        <f>'CF DRIVERS'!AI23</f>
        <v/>
      </c>
      <c r="AJ25" s="11">
        <f>'CF DRIVERS'!AJ23</f>
        <v/>
      </c>
      <c r="AK25" s="11">
        <f>'CF DRIVERS'!AK23</f>
        <v/>
      </c>
    </row>
    <row r="26">
      <c r="A26" s="3" t="inlineStr">
        <is>
          <t>Share Repurchases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FLOW'!C26-'YTD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FLOW'!D26-'YTD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FLOW'!E26-'YTD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FLOW'!F26-'YTD CF'!M26</f>
        <v/>
      </c>
      <c r="R26" s="4">
        <f>'YTD CF'!N26</f>
        <v/>
      </c>
      <c r="S26" s="4">
        <f>'YTD CF'!O26-'YTD CF'!N26</f>
        <v/>
      </c>
      <c r="T26" s="11">
        <f>'CF DRIVERS'!T24</f>
        <v/>
      </c>
      <c r="U26" s="11">
        <f>'CF DRIVERS'!U24</f>
        <v/>
      </c>
      <c r="V26" s="11">
        <f>'CF DRIVERS'!V24</f>
        <v/>
      </c>
      <c r="W26" s="11">
        <f>'CF DRIVERS'!W24</f>
        <v/>
      </c>
      <c r="X26" s="11">
        <f>'CF DRIVERS'!X24</f>
        <v/>
      </c>
      <c r="Y26" s="11">
        <f>'CF DRIVERS'!Y24</f>
        <v/>
      </c>
      <c r="Z26" s="11">
        <f>'CF DRIVERS'!Z24</f>
        <v/>
      </c>
      <c r="AA26" s="11">
        <f>'CF DRIVERS'!AA24</f>
        <v/>
      </c>
      <c r="AB26" s="11">
        <f>'CF DRIVERS'!AB24</f>
        <v/>
      </c>
      <c r="AC26" s="11">
        <f>'CF DRIVERS'!AC24</f>
        <v/>
      </c>
      <c r="AD26" s="11">
        <f>'CF DRIVERS'!AD24</f>
        <v/>
      </c>
      <c r="AE26" s="11">
        <f>'CF DRIVERS'!AE24</f>
        <v/>
      </c>
      <c r="AF26" s="11">
        <f>'CF DRIVERS'!AF24</f>
        <v/>
      </c>
      <c r="AG26" s="11">
        <f>'CF DRIVERS'!AG24</f>
        <v/>
      </c>
      <c r="AH26" s="11">
        <f>'CF DRIVERS'!AH24</f>
        <v/>
      </c>
      <c r="AI26" s="11">
        <f>'CF DRIVERS'!AI24</f>
        <v/>
      </c>
      <c r="AJ26" s="11">
        <f>'CF DRIVERS'!AJ24</f>
        <v/>
      </c>
      <c r="AK26" s="11">
        <f>'CF DRIVERS'!AK24</f>
        <v/>
      </c>
    </row>
    <row r="27">
      <c r="A27" s="3" t="inlineStr">
        <is>
          <t>Stock Options &amp; Other Financing Activities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4">
        <f>'YTD CF'!N27</f>
        <v/>
      </c>
      <c r="S27" s="4">
        <f>'YTD CF'!O27-'YTD CF'!N27</f>
        <v/>
      </c>
      <c r="T27" s="11">
        <f>'CF DRIVERS'!T25</f>
        <v/>
      </c>
      <c r="U27" s="11">
        <f>'CF DRIVERS'!U25</f>
        <v/>
      </c>
      <c r="V27" s="11">
        <f>'CF DRIVERS'!V25</f>
        <v/>
      </c>
      <c r="W27" s="11">
        <f>'CF DRIVERS'!W25</f>
        <v/>
      </c>
      <c r="X27" s="11">
        <f>'CF DRIVERS'!X25</f>
        <v/>
      </c>
      <c r="Y27" s="11">
        <f>'CF DRIVERS'!Y25</f>
        <v/>
      </c>
      <c r="Z27" s="11">
        <f>'CF DRIVERS'!Z25</f>
        <v/>
      </c>
      <c r="AA27" s="11">
        <f>'CF DRIVERS'!AA25</f>
        <v/>
      </c>
      <c r="AB27" s="11">
        <f>'CF DRIVERS'!AB25</f>
        <v/>
      </c>
      <c r="AC27" s="11">
        <f>'CF DRIVERS'!AC25</f>
        <v/>
      </c>
      <c r="AD27" s="11">
        <f>'CF DRIVERS'!AD25</f>
        <v/>
      </c>
      <c r="AE27" s="11">
        <f>'CF DRIVERS'!AE25</f>
        <v/>
      </c>
      <c r="AF27" s="11">
        <f>'CF DRIVERS'!AF25</f>
        <v/>
      </c>
      <c r="AG27" s="11">
        <f>'CF DRIVERS'!AG25</f>
        <v/>
      </c>
      <c r="AH27" s="11">
        <f>'CF DRIVERS'!AH25</f>
        <v/>
      </c>
      <c r="AI27" s="11">
        <f>'CF DRIVERS'!AI25</f>
        <v/>
      </c>
      <c r="AJ27" s="11">
        <f>'CF DRIVERS'!AJ25</f>
        <v/>
      </c>
      <c r="AK27" s="11">
        <f>'CF DRIVERS'!AK25</f>
        <v/>
      </c>
    </row>
    <row r="28">
      <c r="A28" s="3" t="inlineStr">
        <is>
          <t>Cash Flow from Financing</t>
        </is>
      </c>
      <c r="B28" s="6">
        <f>'YTD CF'!B28</f>
        <v/>
      </c>
      <c r="C28" s="6">
        <f>'YTD CF'!C28-'YTD CF'!B28</f>
        <v/>
      </c>
      <c r="D28" s="6">
        <f>'YTD CF'!D28-'YTD CF'!C28</f>
        <v/>
      </c>
      <c r="E28" s="6">
        <f>'CASH FLOW'!C28-'YTD CF'!D28</f>
        <v/>
      </c>
      <c r="F28" s="6">
        <f>'YTD CF'!E28</f>
        <v/>
      </c>
      <c r="G28" s="6">
        <f>'YTD CF'!F28-'YTD CF'!E28</f>
        <v/>
      </c>
      <c r="H28" s="6">
        <f>'YTD CF'!G28-'YTD CF'!F28</f>
        <v/>
      </c>
      <c r="I28" s="6">
        <f>'CASH FLOW'!D28-'YTD CF'!G28</f>
        <v/>
      </c>
      <c r="J28" s="6">
        <f>'YTD CF'!H28</f>
        <v/>
      </c>
      <c r="K28" s="6">
        <f>'YTD CF'!I28-'YTD CF'!H28</f>
        <v/>
      </c>
      <c r="L28" s="6">
        <f>'YTD CF'!J28-'YTD CF'!I28</f>
        <v/>
      </c>
      <c r="M28" s="6">
        <f>'CASH FLOW'!E28-'YTD CF'!J28</f>
        <v/>
      </c>
      <c r="N28" s="6">
        <f>'YTD CF'!K28</f>
        <v/>
      </c>
      <c r="O28" s="6">
        <f>'YTD CF'!L28-'YTD CF'!K28</f>
        <v/>
      </c>
      <c r="P28" s="6">
        <f>'YTD CF'!M28-'YTD CF'!L28</f>
        <v/>
      </c>
      <c r="Q28" s="6">
        <f>'CASH FLOW'!F28-'YTD CF'!M28</f>
        <v/>
      </c>
      <c r="R28" s="6">
        <f>'YTD CF'!N28</f>
        <v/>
      </c>
      <c r="S28" s="6">
        <f>'YTD CF'!O28-'YTD CF'!N28</f>
        <v/>
      </c>
      <c r="T28" s="12">
        <f>SUM(T20:T27)</f>
        <v/>
      </c>
      <c r="U28" s="12">
        <f>SUM(U20:U27)</f>
        <v/>
      </c>
      <c r="V28" s="12">
        <f>SUM(V20:V27)</f>
        <v/>
      </c>
      <c r="W28" s="12">
        <f>SUM(W20:W27)</f>
        <v/>
      </c>
      <c r="X28" s="12">
        <f>SUM(X20:X27)</f>
        <v/>
      </c>
      <c r="Y28" s="12">
        <f>SUM(Y20:Y27)</f>
        <v/>
      </c>
      <c r="Z28" s="12">
        <f>SUM(Z20:Z27)</f>
        <v/>
      </c>
      <c r="AA28" s="12">
        <f>SUM(AA20:AA27)</f>
        <v/>
      </c>
      <c r="AB28" s="12">
        <f>SUM(AB20:AB27)</f>
        <v/>
      </c>
      <c r="AC28" s="12">
        <f>SUM(AC20:AC27)</f>
        <v/>
      </c>
      <c r="AD28" s="12">
        <f>SUM(AD20:AD27)</f>
        <v/>
      </c>
      <c r="AE28" s="12">
        <f>SUM(AE20:AE27)</f>
        <v/>
      </c>
      <c r="AF28" s="12">
        <f>SUM(AF20:AF27)</f>
        <v/>
      </c>
      <c r="AG28" s="12">
        <f>SUM(AG20:AG27)</f>
        <v/>
      </c>
      <c r="AH28" s="12">
        <f>SUM(AH20:AH27)</f>
        <v/>
      </c>
      <c r="AI28" s="12">
        <f>SUM(AI20:AI27)</f>
        <v/>
      </c>
      <c r="AJ28" s="12">
        <f>SUM(AJ20:AJ27)</f>
        <v/>
      </c>
      <c r="AK28" s="12">
        <f>SUM(AK20:AK27)</f>
        <v/>
      </c>
    </row>
    <row r="29">
      <c r="A29" s="3" t="inlineStr">
        <is>
          <t>FX Effect on Cash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FLOW'!C29-'YTD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FLOW'!D29-'YTD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FLOW'!E29-'YTD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FLOW'!F29-'YTD CF'!M29</f>
        <v/>
      </c>
      <c r="R29" s="4">
        <f>'YTD CF'!N29</f>
        <v/>
      </c>
      <c r="S29" s="4">
        <f>'YTD CF'!O29-'YTD CF'!N29</f>
        <v/>
      </c>
      <c r="T29" s="11">
        <f>'CF DRIVERS'!T26</f>
        <v/>
      </c>
      <c r="U29" s="11">
        <f>'CF DRIVERS'!U26</f>
        <v/>
      </c>
      <c r="V29" s="11">
        <f>'CF DRIVERS'!V26</f>
        <v/>
      </c>
      <c r="W29" s="11">
        <f>'CF DRIVERS'!W26</f>
        <v/>
      </c>
      <c r="X29" s="11">
        <f>'CF DRIVERS'!X26</f>
        <v/>
      </c>
      <c r="Y29" s="11">
        <f>'CF DRIVERS'!Y26</f>
        <v/>
      </c>
      <c r="Z29" s="11">
        <f>'CF DRIVERS'!Z26</f>
        <v/>
      </c>
      <c r="AA29" s="11">
        <f>'CF DRIVERS'!AA26</f>
        <v/>
      </c>
      <c r="AB29" s="11">
        <f>'CF DRIVERS'!AB26</f>
        <v/>
      </c>
      <c r="AC29" s="11">
        <f>'CF DRIVERS'!AC26</f>
        <v/>
      </c>
      <c r="AD29" s="11">
        <f>'CF DRIVERS'!AD26</f>
        <v/>
      </c>
      <c r="AE29" s="11">
        <f>'CF DRIVERS'!AE26</f>
        <v/>
      </c>
      <c r="AF29" s="11">
        <f>'CF DRIVERS'!AF26</f>
        <v/>
      </c>
      <c r="AG29" s="11">
        <f>'CF DRIVERS'!AG26</f>
        <v/>
      </c>
      <c r="AH29" s="11">
        <f>'CF DRIVERS'!AH26</f>
        <v/>
      </c>
      <c r="AI29" s="11">
        <f>'CF DRIVERS'!AI26</f>
        <v/>
      </c>
      <c r="AJ29" s="11">
        <f>'CF DRIVERS'!AJ26</f>
        <v/>
      </c>
      <c r="AK29" s="11">
        <f>'CF DRIVERS'!AK26</f>
        <v/>
      </c>
    </row>
    <row r="30">
      <c r="A30" s="3" t="inlineStr">
        <is>
          <t>Net Change in Cash</t>
        </is>
      </c>
      <c r="B30" s="6">
        <f>'YTD CF'!B30</f>
        <v/>
      </c>
      <c r="C30" s="6">
        <f>'YTD CF'!C30-'YTD CF'!B30</f>
        <v/>
      </c>
      <c r="D30" s="6">
        <f>'YTD CF'!D30-'YTD CF'!C30</f>
        <v/>
      </c>
      <c r="E30" s="6">
        <f>'CASH FLOW'!C30-'YTD CF'!D30</f>
        <v/>
      </c>
      <c r="F30" s="6">
        <f>'YTD CF'!E30</f>
        <v/>
      </c>
      <c r="G30" s="6">
        <f>'YTD CF'!F30-'YTD CF'!E30</f>
        <v/>
      </c>
      <c r="H30" s="6">
        <f>'YTD CF'!G30-'YTD CF'!F30</f>
        <v/>
      </c>
      <c r="I30" s="6">
        <f>'CASH FLOW'!D30-'YTD CF'!G30</f>
        <v/>
      </c>
      <c r="J30" s="6">
        <f>'YTD CF'!H30</f>
        <v/>
      </c>
      <c r="K30" s="6">
        <f>'YTD CF'!I30-'YTD CF'!H30</f>
        <v/>
      </c>
      <c r="L30" s="6">
        <f>'YTD CF'!J30-'YTD CF'!I30</f>
        <v/>
      </c>
      <c r="M30" s="6">
        <f>'CASH FLOW'!E30-'YTD CF'!J30</f>
        <v/>
      </c>
      <c r="N30" s="6">
        <f>'YTD CF'!K30</f>
        <v/>
      </c>
      <c r="O30" s="6">
        <f>'YTD CF'!L30-'YTD CF'!K30</f>
        <v/>
      </c>
      <c r="P30" s="6">
        <f>'YTD CF'!M30-'YTD CF'!L30</f>
        <v/>
      </c>
      <c r="Q30" s="6">
        <f>'CASH FLOW'!F30-'YTD CF'!M30</f>
        <v/>
      </c>
      <c r="R30" s="6">
        <f>'YTD CF'!N30</f>
        <v/>
      </c>
      <c r="S30" s="6">
        <f>'YTD CF'!O30-'YTD CF'!N30</f>
        <v/>
      </c>
      <c r="T30" s="12">
        <f>T13+T19+T28+T29</f>
        <v/>
      </c>
      <c r="U30" s="12">
        <f>U13+U19+U28+U29</f>
        <v/>
      </c>
      <c r="V30" s="12">
        <f>V13+V19+V28+V29</f>
        <v/>
      </c>
      <c r="W30" s="12">
        <f>W13+W19+W28+W29</f>
        <v/>
      </c>
      <c r="X30" s="12">
        <f>X13+X19+X28+X29</f>
        <v/>
      </c>
      <c r="Y30" s="12">
        <f>Y13+Y19+Y28+Y29</f>
        <v/>
      </c>
      <c r="Z30" s="12">
        <f>Z13+Z19+Z28+Z29</f>
        <v/>
      </c>
      <c r="AA30" s="12">
        <f>AA13+AA19+AA28+AA29</f>
        <v/>
      </c>
      <c r="AB30" s="12">
        <f>AB13+AB19+AB28+AB29</f>
        <v/>
      </c>
      <c r="AC30" s="12">
        <f>AC13+AC19+AC28+AC29</f>
        <v/>
      </c>
      <c r="AD30" s="12">
        <f>AD13+AD19+AD28+AD29</f>
        <v/>
      </c>
      <c r="AE30" s="12">
        <f>AE13+AE19+AE28+AE29</f>
        <v/>
      </c>
      <c r="AF30" s="12">
        <f>AF13+AF19+AF28+AF29</f>
        <v/>
      </c>
      <c r="AG30" s="12">
        <f>AG13+AG19+AG28+AG29</f>
        <v/>
      </c>
      <c r="AH30" s="12">
        <f>AH13+AH19+AH28+AH29</f>
        <v/>
      </c>
      <c r="AI30" s="12">
        <f>AI13+AI19+AI28+AI29</f>
        <v/>
      </c>
      <c r="AJ30" s="12">
        <f>AJ13+AJ19+AJ28+AJ29</f>
        <v/>
      </c>
      <c r="AK30" s="12">
        <f>AK13+AK19+AK28+AK29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3">
        <f>IFERROR('QTR P&amp;L'!S2/'QTR P&amp;L'!O2-1,"")</f>
        <v/>
      </c>
      <c r="T2" s="14">
        <f>S2</f>
        <v/>
      </c>
      <c r="U2" s="14">
        <f>S2</f>
        <v/>
      </c>
      <c r="V2" s="14">
        <f>S2</f>
        <v/>
      </c>
      <c r="W2" s="14">
        <f>S2</f>
        <v/>
      </c>
      <c r="X2" s="14">
        <f>S2</f>
        <v/>
      </c>
      <c r="Y2" s="14">
        <f>S2</f>
        <v/>
      </c>
      <c r="Z2" s="14">
        <f>S2</f>
        <v/>
      </c>
      <c r="AA2" s="14">
        <f>S2</f>
        <v/>
      </c>
      <c r="AB2" s="14">
        <f>S2</f>
        <v/>
      </c>
      <c r="AC2" s="14">
        <f>S2</f>
        <v/>
      </c>
      <c r="AD2" s="14">
        <f>S2</f>
        <v/>
      </c>
      <c r="AE2" s="14">
        <f>S2</f>
        <v/>
      </c>
      <c r="AF2" s="14">
        <f>S2</f>
        <v/>
      </c>
      <c r="AG2" s="14">
        <f>S2</f>
        <v/>
      </c>
      <c r="AH2" s="14">
        <f>S2</f>
        <v/>
      </c>
      <c r="AI2" s="14">
        <f>S2</f>
        <v/>
      </c>
      <c r="AJ2" s="14">
        <f>S2</f>
        <v/>
      </c>
      <c r="AK2" s="14">
        <f>S2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3">
        <f>IFERROR('QTR P&amp;L'!S3/'QTR P&amp;L'!S2,"")</f>
        <v/>
      </c>
      <c r="T3" s="14">
        <f>S3</f>
        <v/>
      </c>
      <c r="U3" s="14">
        <f>S3</f>
        <v/>
      </c>
      <c r="V3" s="14">
        <f>S3</f>
        <v/>
      </c>
      <c r="W3" s="14">
        <f>S3</f>
        <v/>
      </c>
      <c r="X3" s="14">
        <f>S3</f>
        <v/>
      </c>
      <c r="Y3" s="14">
        <f>S3</f>
        <v/>
      </c>
      <c r="Z3" s="14">
        <f>S3</f>
        <v/>
      </c>
      <c r="AA3" s="14">
        <f>S3</f>
        <v/>
      </c>
      <c r="AB3" s="14">
        <f>S3</f>
        <v/>
      </c>
      <c r="AC3" s="14">
        <f>S3</f>
        <v/>
      </c>
      <c r="AD3" s="14">
        <f>S3</f>
        <v/>
      </c>
      <c r="AE3" s="14">
        <f>S3</f>
        <v/>
      </c>
      <c r="AF3" s="14">
        <f>S3</f>
        <v/>
      </c>
      <c r="AG3" s="14">
        <f>S3</f>
        <v/>
      </c>
      <c r="AH3" s="14">
        <f>S3</f>
        <v/>
      </c>
      <c r="AI3" s="14">
        <f>S3</f>
        <v/>
      </c>
      <c r="AJ3" s="14">
        <f>S3</f>
        <v/>
      </c>
      <c r="AK3" s="14">
        <f>S3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3">
        <f>IFERROR('QTR P&amp;L'!S5/'QTR P&amp;L'!S2,"")</f>
        <v/>
      </c>
      <c r="T4" s="14">
        <f>S4</f>
        <v/>
      </c>
      <c r="U4" s="14">
        <f>S4</f>
        <v/>
      </c>
      <c r="V4" s="14">
        <f>S4</f>
        <v/>
      </c>
      <c r="W4" s="14">
        <f>S4</f>
        <v/>
      </c>
      <c r="X4" s="14">
        <f>S4</f>
        <v/>
      </c>
      <c r="Y4" s="14">
        <f>S4</f>
        <v/>
      </c>
      <c r="Z4" s="14">
        <f>S4</f>
        <v/>
      </c>
      <c r="AA4" s="14">
        <f>S4</f>
        <v/>
      </c>
      <c r="AB4" s="14">
        <f>S4</f>
        <v/>
      </c>
      <c r="AC4" s="14">
        <f>S4</f>
        <v/>
      </c>
      <c r="AD4" s="14">
        <f>S4</f>
        <v/>
      </c>
      <c r="AE4" s="14">
        <f>S4</f>
        <v/>
      </c>
      <c r="AF4" s="14">
        <f>S4</f>
        <v/>
      </c>
      <c r="AG4" s="14">
        <f>S4</f>
        <v/>
      </c>
      <c r="AH4" s="14">
        <f>S4</f>
        <v/>
      </c>
      <c r="AI4" s="14">
        <f>S4</f>
        <v/>
      </c>
      <c r="AJ4" s="14">
        <f>S4</f>
        <v/>
      </c>
      <c r="AK4" s="14">
        <f>S4</f>
        <v/>
      </c>
    </row>
    <row r="5">
      <c r="A5" s="3" t="inlineStr">
        <is>
          <t>Impairment of Intangibles — % of Revenue</t>
        </is>
      </c>
      <c r="B5" s="13">
        <f>IFERROR('QTR P&amp;L'!B6/'QTR P&amp;L'!B2,"")</f>
        <v/>
      </c>
      <c r="C5" s="13">
        <f>IFERROR('QTR P&amp;L'!C6/'QTR P&amp;L'!C2,"")</f>
        <v/>
      </c>
      <c r="D5" s="13">
        <f>IFERROR('QTR P&amp;L'!D6/'QTR P&amp;L'!D2,"")</f>
        <v/>
      </c>
      <c r="E5" s="13">
        <f>IFERROR('QTR P&amp;L'!E6/'QTR P&amp;L'!E2,"")</f>
        <v/>
      </c>
      <c r="F5" s="13">
        <f>IFERROR('QTR P&amp;L'!F6/'QTR P&amp;L'!F2,"")</f>
        <v/>
      </c>
      <c r="G5" s="13">
        <f>IFERROR('QTR P&amp;L'!G6/'QTR P&amp;L'!G2,"")</f>
        <v/>
      </c>
      <c r="H5" s="13">
        <f>IFERROR('QTR P&amp;L'!H6/'QTR P&amp;L'!H2,"")</f>
        <v/>
      </c>
      <c r="I5" s="13">
        <f>IFERROR('QTR P&amp;L'!I6/'QTR P&amp;L'!I2,"")</f>
        <v/>
      </c>
      <c r="J5" s="13">
        <f>IFERROR('QTR P&amp;L'!J6/'QTR P&amp;L'!J2,"")</f>
        <v/>
      </c>
      <c r="K5" s="13">
        <f>IFERROR('QTR P&amp;L'!K6/'QTR P&amp;L'!K2,"")</f>
        <v/>
      </c>
      <c r="L5" s="13">
        <f>IFERROR('QTR P&amp;L'!L6/'QTR P&amp;L'!L2,"")</f>
        <v/>
      </c>
      <c r="M5" s="13">
        <f>IFERROR('QTR P&amp;L'!M6/'QTR P&amp;L'!M2,"")</f>
        <v/>
      </c>
      <c r="N5" s="13">
        <f>IFERROR('QTR P&amp;L'!N6/'QTR P&amp;L'!N2,"")</f>
        <v/>
      </c>
      <c r="O5" s="13">
        <f>IFERROR('QTR P&amp;L'!O6/'QTR P&amp;L'!O2,"")</f>
        <v/>
      </c>
      <c r="P5" s="13">
        <f>IFERROR('QTR P&amp;L'!P6/'QTR P&amp;L'!P2,"")</f>
        <v/>
      </c>
      <c r="Q5" s="13">
        <f>IFERROR('QTR P&amp;L'!Q6/'QTR P&amp;L'!Q2,"")</f>
        <v/>
      </c>
      <c r="R5" s="13">
        <f>IFERROR('QTR P&amp;L'!R6/'QTR P&amp;L'!R2,"")</f>
        <v/>
      </c>
      <c r="S5" s="13">
        <f>IFERROR('QTR P&amp;L'!S6/'QTR P&amp;L'!S2,"")</f>
        <v/>
      </c>
      <c r="T5" s="14">
        <f>S5</f>
        <v/>
      </c>
      <c r="U5" s="14">
        <f>S5</f>
        <v/>
      </c>
      <c r="V5" s="14">
        <f>S5</f>
        <v/>
      </c>
      <c r="W5" s="14">
        <f>S5</f>
        <v/>
      </c>
      <c r="X5" s="14">
        <f>S5</f>
        <v/>
      </c>
      <c r="Y5" s="14">
        <f>S5</f>
        <v/>
      </c>
      <c r="Z5" s="14">
        <f>S5</f>
        <v/>
      </c>
      <c r="AA5" s="14">
        <f>S5</f>
        <v/>
      </c>
      <c r="AB5" s="14">
        <f>S5</f>
        <v/>
      </c>
      <c r="AC5" s="14">
        <f>S5</f>
        <v/>
      </c>
      <c r="AD5" s="14">
        <f>S5</f>
        <v/>
      </c>
      <c r="AE5" s="14">
        <f>S5</f>
        <v/>
      </c>
      <c r="AF5" s="14">
        <f>S5</f>
        <v/>
      </c>
      <c r="AG5" s="14">
        <f>S5</f>
        <v/>
      </c>
      <c r="AH5" s="14">
        <f>S5</f>
        <v/>
      </c>
      <c r="AI5" s="14">
        <f>S5</f>
        <v/>
      </c>
      <c r="AJ5" s="14">
        <f>S5</f>
        <v/>
      </c>
      <c r="AK5" s="14">
        <f>S5</f>
        <v/>
      </c>
    </row>
    <row r="6">
      <c r="A6" s="3" t="inlineStr">
        <is>
          <t>Interest Income (Expense)</t>
        </is>
      </c>
      <c r="B6" s="4">
        <f>'QTR P&amp;L'!B8</f>
        <v/>
      </c>
      <c r="C6" s="4">
        <f>'QTR P&amp;L'!C8</f>
        <v/>
      </c>
      <c r="D6" s="4">
        <f>'QTR P&amp;L'!D8</f>
        <v/>
      </c>
      <c r="E6" s="4">
        <f>'QTR P&amp;L'!E8</f>
        <v/>
      </c>
      <c r="F6" s="4">
        <f>'QTR P&amp;L'!F8</f>
        <v/>
      </c>
      <c r="G6" s="4">
        <f>'QTR P&amp;L'!G8</f>
        <v/>
      </c>
      <c r="H6" s="4">
        <f>'QTR P&amp;L'!H8</f>
        <v/>
      </c>
      <c r="I6" s="4">
        <f>'QTR P&amp;L'!I8</f>
        <v/>
      </c>
      <c r="J6" s="4">
        <f>'QTR P&amp;L'!J8</f>
        <v/>
      </c>
      <c r="K6" s="4">
        <f>'QTR P&amp;L'!K8</f>
        <v/>
      </c>
      <c r="L6" s="4">
        <f>'QTR P&amp;L'!L8</f>
        <v/>
      </c>
      <c r="M6" s="4">
        <f>'QTR P&amp;L'!M8</f>
        <v/>
      </c>
      <c r="N6" s="4">
        <f>'QTR P&amp;L'!N8</f>
        <v/>
      </c>
      <c r="O6" s="4">
        <f>'QTR P&amp;L'!O8</f>
        <v/>
      </c>
      <c r="P6" s="4">
        <f>'QTR P&amp;L'!P8</f>
        <v/>
      </c>
      <c r="Q6" s="4">
        <f>'QTR P&amp;L'!Q8</f>
        <v/>
      </c>
      <c r="R6" s="4">
        <f>'QTR P&amp;L'!R8</f>
        <v/>
      </c>
      <c r="S6" s="4">
        <f>'QTR P&amp;L'!S8</f>
        <v/>
      </c>
      <c r="T6" s="15">
        <f>S6</f>
        <v/>
      </c>
      <c r="U6" s="15">
        <f>S6</f>
        <v/>
      </c>
      <c r="V6" s="15">
        <f>S6</f>
        <v/>
      </c>
      <c r="W6" s="15">
        <f>S6</f>
        <v/>
      </c>
      <c r="X6" s="15">
        <f>S6</f>
        <v/>
      </c>
      <c r="Y6" s="15">
        <f>S6</f>
        <v/>
      </c>
      <c r="Z6" s="15">
        <f>S6</f>
        <v/>
      </c>
      <c r="AA6" s="15">
        <f>S6</f>
        <v/>
      </c>
      <c r="AB6" s="15">
        <f>S6</f>
        <v/>
      </c>
      <c r="AC6" s="15">
        <f>S6</f>
        <v/>
      </c>
      <c r="AD6" s="15">
        <f>S6</f>
        <v/>
      </c>
      <c r="AE6" s="15">
        <f>S6</f>
        <v/>
      </c>
      <c r="AF6" s="15">
        <f>S6</f>
        <v/>
      </c>
      <c r="AG6" s="15">
        <f>S6</f>
        <v/>
      </c>
      <c r="AH6" s="15">
        <f>S6</f>
        <v/>
      </c>
      <c r="AI6" s="15">
        <f>S6</f>
        <v/>
      </c>
      <c r="AJ6" s="15">
        <f>S6</f>
        <v/>
      </c>
      <c r="AK6" s="15">
        <f>S6</f>
        <v/>
      </c>
    </row>
    <row r="7">
      <c r="A7" s="3" t="inlineStr">
        <is>
          <t>Other Income (Expense)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4">
        <f>'QTR P&amp;L'!R9</f>
        <v/>
      </c>
      <c r="S7" s="4">
        <f>'QTR P&amp;L'!S9</f>
        <v/>
      </c>
      <c r="T7" s="15">
        <f>S7</f>
        <v/>
      </c>
      <c r="U7" s="15">
        <f>S7</f>
        <v/>
      </c>
      <c r="V7" s="15">
        <f>S7</f>
        <v/>
      </c>
      <c r="W7" s="15">
        <f>S7</f>
        <v/>
      </c>
      <c r="X7" s="15">
        <f>S7</f>
        <v/>
      </c>
      <c r="Y7" s="15">
        <f>S7</f>
        <v/>
      </c>
      <c r="Z7" s="15">
        <f>S7</f>
        <v/>
      </c>
      <c r="AA7" s="15">
        <f>S7</f>
        <v/>
      </c>
      <c r="AB7" s="15">
        <f>S7</f>
        <v/>
      </c>
      <c r="AC7" s="15">
        <f>S7</f>
        <v/>
      </c>
      <c r="AD7" s="15">
        <f>S7</f>
        <v/>
      </c>
      <c r="AE7" s="15">
        <f>S7</f>
        <v/>
      </c>
      <c r="AF7" s="15">
        <f>S7</f>
        <v/>
      </c>
      <c r="AG7" s="15">
        <f>S7</f>
        <v/>
      </c>
      <c r="AH7" s="15">
        <f>S7</f>
        <v/>
      </c>
      <c r="AI7" s="15">
        <f>S7</f>
        <v/>
      </c>
      <c r="AJ7" s="15">
        <f>S7</f>
        <v/>
      </c>
      <c r="AK7" s="15">
        <f>S7</f>
        <v/>
      </c>
    </row>
    <row r="8">
      <c r="A8" s="3" t="inlineStr">
        <is>
          <t>Income Tax (Expense) Benefit — Effective Tax Rate %</t>
        </is>
      </c>
      <c r="B8" s="13">
        <f>IFERROR('QTR P&amp;L'!B11/'QTR P&amp;L'!B10,"")</f>
        <v/>
      </c>
      <c r="C8" s="13">
        <f>IFERROR('QTR P&amp;L'!C11/'QTR P&amp;L'!C10,"")</f>
        <v/>
      </c>
      <c r="D8" s="13">
        <f>IFERROR('QTR P&amp;L'!D11/'QTR P&amp;L'!D10,"")</f>
        <v/>
      </c>
      <c r="E8" s="13">
        <f>IFERROR('QTR P&amp;L'!E11/'QTR P&amp;L'!E10,"")</f>
        <v/>
      </c>
      <c r="F8" s="13">
        <f>IFERROR('QTR P&amp;L'!F11/'QTR P&amp;L'!F10,"")</f>
        <v/>
      </c>
      <c r="G8" s="13">
        <f>IFERROR('QTR P&amp;L'!G11/'QTR P&amp;L'!G10,"")</f>
        <v/>
      </c>
      <c r="H8" s="13">
        <f>IFERROR('QTR P&amp;L'!H11/'QTR P&amp;L'!H10,"")</f>
        <v/>
      </c>
      <c r="I8" s="13">
        <f>IFERROR('QTR P&amp;L'!I11/'QTR P&amp;L'!I10,"")</f>
        <v/>
      </c>
      <c r="J8" s="13">
        <f>IFERROR('QTR P&amp;L'!J11/'QTR P&amp;L'!J10,"")</f>
        <v/>
      </c>
      <c r="K8" s="13">
        <f>IFERROR('QTR P&amp;L'!K11/'QTR P&amp;L'!K10,"")</f>
        <v/>
      </c>
      <c r="L8" s="13">
        <f>IFERROR('QTR P&amp;L'!L11/'QTR P&amp;L'!L10,"")</f>
        <v/>
      </c>
      <c r="M8" s="13">
        <f>IFERROR('QTR P&amp;L'!M11/'QTR P&amp;L'!M10,"")</f>
        <v/>
      </c>
      <c r="N8" s="13">
        <f>IFERROR('QTR P&amp;L'!N11/'QTR P&amp;L'!N10,"")</f>
        <v/>
      </c>
      <c r="O8" s="13">
        <f>IFERROR('QTR P&amp;L'!O11/'QTR P&amp;L'!O10,"")</f>
        <v/>
      </c>
      <c r="P8" s="13">
        <f>IFERROR('QTR P&amp;L'!P11/'QTR P&amp;L'!P10,"")</f>
        <v/>
      </c>
      <c r="Q8" s="13">
        <f>IFERROR('QTR P&amp;L'!Q11/'QTR P&amp;L'!Q10,"")</f>
        <v/>
      </c>
      <c r="R8" s="13">
        <f>IFERROR('QTR P&amp;L'!R11/'QTR P&amp;L'!R10,"")</f>
        <v/>
      </c>
      <c r="S8" s="13">
        <f>IFERROR('QTR P&amp;L'!S11/'QTR P&amp;L'!S10,"")</f>
        <v/>
      </c>
      <c r="T8" s="14">
        <f>S8</f>
        <v/>
      </c>
      <c r="U8" s="14">
        <f>S8</f>
        <v/>
      </c>
      <c r="V8" s="14">
        <f>S8</f>
        <v/>
      </c>
      <c r="W8" s="14">
        <f>S8</f>
        <v/>
      </c>
      <c r="X8" s="14">
        <f>S8</f>
        <v/>
      </c>
      <c r="Y8" s="14">
        <f>S8</f>
        <v/>
      </c>
      <c r="Z8" s="14">
        <f>S8</f>
        <v/>
      </c>
      <c r="AA8" s="14">
        <f>S8</f>
        <v/>
      </c>
      <c r="AB8" s="14">
        <f>S8</f>
        <v/>
      </c>
      <c r="AC8" s="14">
        <f>S8</f>
        <v/>
      </c>
      <c r="AD8" s="14">
        <f>S8</f>
        <v/>
      </c>
      <c r="AE8" s="14">
        <f>S8</f>
        <v/>
      </c>
      <c r="AF8" s="14">
        <f>S8</f>
        <v/>
      </c>
      <c r="AG8" s="14">
        <f>S8</f>
        <v/>
      </c>
      <c r="AH8" s="14">
        <f>S8</f>
        <v/>
      </c>
      <c r="AI8" s="14">
        <f>S8</f>
        <v/>
      </c>
      <c r="AJ8" s="14">
        <f>S8</f>
        <v/>
      </c>
      <c r="AK8" s="14">
        <f>S8</f>
        <v/>
      </c>
    </row>
    <row r="9">
      <c r="A9" s="3" t="inlineStr">
        <is>
          <t>Net Income (Loss) Attributable to Noncontrolling Interest</t>
        </is>
      </c>
      <c r="B9" s="4">
        <f>'QTR P&amp;L'!B13</f>
        <v/>
      </c>
      <c r="C9" s="4">
        <f>'QTR P&amp;L'!C13</f>
        <v/>
      </c>
      <c r="D9" s="4">
        <f>'QTR P&amp;L'!D13</f>
        <v/>
      </c>
      <c r="E9" s="4">
        <f>'QTR P&amp;L'!E13</f>
        <v/>
      </c>
      <c r="F9" s="4">
        <f>'QTR P&amp;L'!F13</f>
        <v/>
      </c>
      <c r="G9" s="4">
        <f>'QTR P&amp;L'!G13</f>
        <v/>
      </c>
      <c r="H9" s="4">
        <f>'QTR P&amp;L'!H13</f>
        <v/>
      </c>
      <c r="I9" s="4">
        <f>'QTR P&amp;L'!I13</f>
        <v/>
      </c>
      <c r="J9" s="4">
        <f>'QTR P&amp;L'!J13</f>
        <v/>
      </c>
      <c r="K9" s="4">
        <f>'QTR P&amp;L'!K13</f>
        <v/>
      </c>
      <c r="L9" s="4">
        <f>'QTR P&amp;L'!L13</f>
        <v/>
      </c>
      <c r="M9" s="4">
        <f>'QTR P&amp;L'!M13</f>
        <v/>
      </c>
      <c r="N9" s="4">
        <f>'QTR P&amp;L'!N13</f>
        <v/>
      </c>
      <c r="O9" s="4">
        <f>'QTR P&amp;L'!O13</f>
        <v/>
      </c>
      <c r="P9" s="4">
        <f>'QTR P&amp;L'!P13</f>
        <v/>
      </c>
      <c r="Q9" s="4">
        <f>'QTR P&amp;L'!Q13</f>
        <v/>
      </c>
      <c r="R9" s="4">
        <f>'QTR P&amp;L'!R13</f>
        <v/>
      </c>
      <c r="S9" s="4">
        <f>'QTR P&amp;L'!S13</f>
        <v/>
      </c>
      <c r="T9" s="15">
        <f>S9</f>
        <v/>
      </c>
      <c r="U9" s="15">
        <f>S9</f>
        <v/>
      </c>
      <c r="V9" s="15">
        <f>S9</f>
        <v/>
      </c>
      <c r="W9" s="15">
        <f>S9</f>
        <v/>
      </c>
      <c r="X9" s="15">
        <f>S9</f>
        <v/>
      </c>
      <c r="Y9" s="15">
        <f>S9</f>
        <v/>
      </c>
      <c r="Z9" s="15">
        <f>S9</f>
        <v/>
      </c>
      <c r="AA9" s="15">
        <f>S9</f>
        <v/>
      </c>
      <c r="AB9" s="15">
        <f>S9</f>
        <v/>
      </c>
      <c r="AC9" s="15">
        <f>S9</f>
        <v/>
      </c>
      <c r="AD9" s="15">
        <f>S9</f>
        <v/>
      </c>
      <c r="AE9" s="15">
        <f>S9</f>
        <v/>
      </c>
      <c r="AF9" s="15">
        <f>S9</f>
        <v/>
      </c>
      <c r="AG9" s="15">
        <f>S9</f>
        <v/>
      </c>
      <c r="AH9" s="15">
        <f>S9</f>
        <v/>
      </c>
      <c r="AI9" s="15">
        <f>S9</f>
        <v/>
      </c>
      <c r="AJ9" s="15">
        <f>S9</f>
        <v/>
      </c>
      <c r="AK9" s="15">
        <f>S9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'QTR BS'!P2</f>
        <v/>
      </c>
      <c r="Q2" s="4">
        <f>P2+'QTR CF'!T30</f>
        <v/>
      </c>
      <c r="R2" s="4">
        <f>Q2+'QTR CF'!U30</f>
        <v/>
      </c>
      <c r="S2" s="4">
        <f>R2+'QTR CF'!V30</f>
        <v/>
      </c>
      <c r="T2" s="4">
        <f>S2+'QTR CF'!W30</f>
        <v/>
      </c>
      <c r="U2" s="4">
        <f>T2+'QTR CF'!X30</f>
        <v/>
      </c>
      <c r="V2" s="4">
        <f>U2+'QTR CF'!Y30</f>
        <v/>
      </c>
      <c r="W2" s="4">
        <f>V2+'QTR CF'!Z30</f>
        <v/>
      </c>
      <c r="X2" s="4">
        <f>W2+'QTR CF'!AA30</f>
        <v/>
      </c>
      <c r="Y2" s="4">
        <f>X2+'QTR CF'!AB30</f>
        <v/>
      </c>
      <c r="Z2" s="4">
        <f>Y2+'QTR CF'!AC30</f>
        <v/>
      </c>
      <c r="AA2" s="4">
        <f>Z2+'QTR CF'!AD30</f>
        <v/>
      </c>
      <c r="AB2" s="4">
        <f>AA2+'QTR CF'!AE30</f>
        <v/>
      </c>
      <c r="AC2" s="4">
        <f>AB2+'QTR CF'!AF30</f>
        <v/>
      </c>
      <c r="AD2" s="4">
        <f>AC2+'QTR CF'!AG30</f>
        <v/>
      </c>
      <c r="AE2" s="4">
        <f>AD2+'QTR CF'!AH30</f>
        <v/>
      </c>
      <c r="AF2" s="4">
        <f>AE2+'QTR CF'!AI30</f>
        <v/>
      </c>
      <c r="AG2" s="4">
        <f>AF2+'QTR CF'!AJ30</f>
        <v/>
      </c>
      <c r="AH2" s="4">
        <f>AG2+'QTR CF'!AK30</f>
        <v/>
      </c>
    </row>
    <row r="3">
      <c r="A3" s="3" t="inlineStr">
        <is>
          <t>Accounts Receivable — DSO (days)</t>
        </is>
      </c>
      <c r="B3" s="16">
        <f>IFERROR('QTR BS'!B3/'QTR P&amp;L'!B2*ASSUMPTIONS!$B$2,"")</f>
        <v/>
      </c>
      <c r="C3" s="16">
        <f>IFERROR('QTR BS'!C3/'QTR P&amp;L'!C2*ASSUMPTIONS!$B$2,"")</f>
        <v/>
      </c>
      <c r="D3" s="16">
        <f>IFERROR('QTR BS'!D3/'QTR P&amp;L'!D2*ASSUMPTIONS!$B$2,"")</f>
        <v/>
      </c>
      <c r="E3" s="16">
        <f>IFERROR('QTR BS'!E3/'QTR P&amp;L'!E2*ASSUMPTIONS!$B$2,"")</f>
        <v/>
      </c>
      <c r="F3" s="16">
        <f>IFERROR('QTR BS'!F3/'QTR P&amp;L'!F2*ASSUMPTIONS!$B$2,"")</f>
        <v/>
      </c>
      <c r="G3" s="16">
        <f>IFERROR('QTR BS'!G3/'QTR P&amp;L'!G2*ASSUMPTIONS!$B$2,"")</f>
        <v/>
      </c>
      <c r="H3" s="16">
        <f>IFERROR('QTR BS'!H3/'QTR P&amp;L'!H2*ASSUMPTIONS!$B$2,"")</f>
        <v/>
      </c>
      <c r="I3" s="16">
        <f>IFERROR('QTR BS'!I3/'QTR P&amp;L'!I2*ASSUMPTIONS!$B$2,"")</f>
        <v/>
      </c>
      <c r="J3" s="16">
        <f>IFERROR('QTR BS'!J3/'QTR P&amp;L'!J2*ASSUMPTIONS!$B$2,"")</f>
        <v/>
      </c>
      <c r="K3" s="16">
        <f>IFERROR('QTR BS'!K3/'QTR P&amp;L'!K2*ASSUMPTIONS!$B$2,"")</f>
        <v/>
      </c>
      <c r="L3" s="16">
        <f>IFERROR('QTR BS'!L3/'QTR P&amp;L'!L2*ASSUMPTIONS!$B$2,"")</f>
        <v/>
      </c>
      <c r="M3" s="16">
        <f>IFERROR('QTR BS'!M3/'QTR P&amp;L'!M2*ASSUMPTIONS!$B$2,"")</f>
        <v/>
      </c>
      <c r="N3" s="16">
        <f>IFERROR('QTR BS'!N3/'QTR P&amp;L'!N2*ASSUMPTIONS!$B$2,"")</f>
        <v/>
      </c>
      <c r="O3" s="16">
        <f>IFERROR('QTR BS'!O3/'QTR P&amp;L'!O2*ASSUMPTIONS!$B$2,"")</f>
        <v/>
      </c>
      <c r="P3" s="16">
        <f>IFERROR('QTR BS'!P3/'QTR P&amp;L'!P2*ASSUMPTIONS!$B$2,"")</f>
        <v/>
      </c>
      <c r="Q3" s="17">
        <f>P3</f>
        <v/>
      </c>
      <c r="R3" s="17">
        <f>P3</f>
        <v/>
      </c>
      <c r="S3" s="17">
        <f>P3</f>
        <v/>
      </c>
      <c r="T3" s="17">
        <f>P3</f>
        <v/>
      </c>
      <c r="U3" s="17">
        <f>P3</f>
        <v/>
      </c>
      <c r="V3" s="17">
        <f>P3</f>
        <v/>
      </c>
      <c r="W3" s="17">
        <f>P3</f>
        <v/>
      </c>
      <c r="X3" s="17">
        <f>P3</f>
        <v/>
      </c>
      <c r="Y3" s="17">
        <f>P3</f>
        <v/>
      </c>
      <c r="Z3" s="17">
        <f>P3</f>
        <v/>
      </c>
      <c r="AA3" s="17">
        <f>P3</f>
        <v/>
      </c>
      <c r="AB3" s="17">
        <f>P3</f>
        <v/>
      </c>
      <c r="AC3" s="17">
        <f>P3</f>
        <v/>
      </c>
      <c r="AD3" s="17">
        <f>P3</f>
        <v/>
      </c>
      <c r="AE3" s="17">
        <f>P3</f>
        <v/>
      </c>
      <c r="AF3" s="17">
        <f>P3</f>
        <v/>
      </c>
      <c r="AG3" s="17">
        <f>P3</f>
        <v/>
      </c>
      <c r="AH3" s="17">
        <f>P3</f>
        <v/>
      </c>
    </row>
    <row r="4">
      <c r="A4" s="3" t="inlineStr">
        <is>
          <t>Inventories — DIO (days)</t>
        </is>
      </c>
      <c r="B4" s="16">
        <f>IFERROR('QTR BS'!B4/'QTR P&amp;L'!B3*ASSUMPTIONS!$B$2,"")</f>
        <v/>
      </c>
      <c r="C4" s="16">
        <f>IFERROR('QTR BS'!C4/'QTR P&amp;L'!C3*ASSUMPTIONS!$B$2,"")</f>
        <v/>
      </c>
      <c r="D4" s="16">
        <f>IFERROR('QTR BS'!D4/'QTR P&amp;L'!D3*ASSUMPTIONS!$B$2,"")</f>
        <v/>
      </c>
      <c r="E4" s="16">
        <f>IFERROR('QTR BS'!E4/'QTR P&amp;L'!E3*ASSUMPTIONS!$B$2,"")</f>
        <v/>
      </c>
      <c r="F4" s="16">
        <f>IFERROR('QTR BS'!F4/'QTR P&amp;L'!F3*ASSUMPTIONS!$B$2,"")</f>
        <v/>
      </c>
      <c r="G4" s="16">
        <f>IFERROR('QTR BS'!G4/'QTR P&amp;L'!G3*ASSUMPTIONS!$B$2,"")</f>
        <v/>
      </c>
      <c r="H4" s="16">
        <f>IFERROR('QTR BS'!H4/'QTR P&amp;L'!H3*ASSUMPTIONS!$B$2,"")</f>
        <v/>
      </c>
      <c r="I4" s="16">
        <f>IFERROR('QTR BS'!I4/'QTR P&amp;L'!I3*ASSUMPTIONS!$B$2,"")</f>
        <v/>
      </c>
      <c r="J4" s="16">
        <f>IFERROR('QTR BS'!J4/'QTR P&amp;L'!J3*ASSUMPTIONS!$B$2,"")</f>
        <v/>
      </c>
      <c r="K4" s="16">
        <f>IFERROR('QTR BS'!K4/'QTR P&amp;L'!K3*ASSUMPTIONS!$B$2,"")</f>
        <v/>
      </c>
      <c r="L4" s="16">
        <f>IFERROR('QTR BS'!L4/'QTR P&amp;L'!L3*ASSUMPTIONS!$B$2,"")</f>
        <v/>
      </c>
      <c r="M4" s="16">
        <f>IFERROR('QTR BS'!M4/'QTR P&amp;L'!M3*ASSUMPTIONS!$B$2,"")</f>
        <v/>
      </c>
      <c r="N4" s="16">
        <f>IFERROR('QTR BS'!N4/'QTR P&amp;L'!N3*ASSUMPTIONS!$B$2,"")</f>
        <v/>
      </c>
      <c r="O4" s="16">
        <f>IFERROR('QTR BS'!O4/'QTR P&amp;L'!O3*ASSUMPTIONS!$B$2,"")</f>
        <v/>
      </c>
      <c r="P4" s="16">
        <f>IFERROR('QTR BS'!P4/'QTR P&amp;L'!P3*ASSUMPTIONS!$B$2,"")</f>
        <v/>
      </c>
      <c r="Q4" s="17">
        <f>P4</f>
        <v/>
      </c>
      <c r="R4" s="17">
        <f>P4</f>
        <v/>
      </c>
      <c r="S4" s="17">
        <f>P4</f>
        <v/>
      </c>
      <c r="T4" s="17">
        <f>P4</f>
        <v/>
      </c>
      <c r="U4" s="17">
        <f>P4</f>
        <v/>
      </c>
      <c r="V4" s="17">
        <f>P4</f>
        <v/>
      </c>
      <c r="W4" s="17">
        <f>P4</f>
        <v/>
      </c>
      <c r="X4" s="17">
        <f>P4</f>
        <v/>
      </c>
      <c r="Y4" s="17">
        <f>P4</f>
        <v/>
      </c>
      <c r="Z4" s="17">
        <f>P4</f>
        <v/>
      </c>
      <c r="AA4" s="17">
        <f>P4</f>
        <v/>
      </c>
      <c r="AB4" s="17">
        <f>P4</f>
        <v/>
      </c>
      <c r="AC4" s="17">
        <f>P4</f>
        <v/>
      </c>
      <c r="AD4" s="17">
        <f>P4</f>
        <v/>
      </c>
      <c r="AE4" s="17">
        <f>P4</f>
        <v/>
      </c>
      <c r="AF4" s="17">
        <f>P4</f>
        <v/>
      </c>
      <c r="AG4" s="17">
        <f>P4</f>
        <v/>
      </c>
      <c r="AH4" s="17">
        <f>P4</f>
        <v/>
      </c>
    </row>
    <row r="5">
      <c r="A5" s="3" t="inlineStr">
        <is>
          <t>Prepaid Expenses — % of Revenue</t>
        </is>
      </c>
      <c r="B5" s="13">
        <f>IFERROR('QTR BS'!B5/'QTR P&amp;L'!B2,"")</f>
        <v/>
      </c>
      <c r="C5" s="13">
        <f>IFERROR('QTR BS'!C5/'QTR P&amp;L'!C2,"")</f>
        <v/>
      </c>
      <c r="D5" s="13">
        <f>IFERROR('QTR BS'!D5/'QTR P&amp;L'!D2,"")</f>
        <v/>
      </c>
      <c r="E5" s="13">
        <f>IFERROR('QTR BS'!E5/'QTR P&amp;L'!E2,"")</f>
        <v/>
      </c>
      <c r="F5" s="13">
        <f>IFERROR('QTR BS'!F5/'QTR P&amp;L'!F2,"")</f>
        <v/>
      </c>
      <c r="G5" s="13">
        <f>IFERROR('QTR BS'!G5/'QTR P&amp;L'!G2,"")</f>
        <v/>
      </c>
      <c r="H5" s="13">
        <f>IFERROR('QTR BS'!H5/'QTR P&amp;L'!H2,"")</f>
        <v/>
      </c>
      <c r="I5" s="13">
        <f>IFERROR('QTR BS'!I5/'QTR P&amp;L'!I2,"")</f>
        <v/>
      </c>
      <c r="J5" s="13">
        <f>IFERROR('QTR BS'!J5/'QTR P&amp;L'!J2,"")</f>
        <v/>
      </c>
      <c r="K5" s="13">
        <f>IFERROR('QTR BS'!K5/'QTR P&amp;L'!K2,"")</f>
        <v/>
      </c>
      <c r="L5" s="13">
        <f>IFERROR('QTR BS'!L5/'QTR P&amp;L'!L2,"")</f>
        <v/>
      </c>
      <c r="M5" s="13">
        <f>IFERROR('QTR BS'!M5/'QTR P&amp;L'!M2,"")</f>
        <v/>
      </c>
      <c r="N5" s="13">
        <f>IFERROR('QTR BS'!N5/'QTR P&amp;L'!N2,"")</f>
        <v/>
      </c>
      <c r="O5" s="13">
        <f>IFERROR('QTR BS'!O5/'QTR P&amp;L'!O2,"")</f>
        <v/>
      </c>
      <c r="P5" s="13">
        <f>IFERROR('QTR BS'!P5/'QTR P&amp;L'!P2,"")</f>
        <v/>
      </c>
      <c r="Q5" s="14">
        <f>P5</f>
        <v/>
      </c>
      <c r="R5" s="14">
        <f>P5</f>
        <v/>
      </c>
      <c r="S5" s="14">
        <f>P5</f>
        <v/>
      </c>
      <c r="T5" s="14">
        <f>P5</f>
        <v/>
      </c>
      <c r="U5" s="14">
        <f>P5</f>
        <v/>
      </c>
      <c r="V5" s="14">
        <f>P5</f>
        <v/>
      </c>
      <c r="W5" s="14">
        <f>P5</f>
        <v/>
      </c>
      <c r="X5" s="14">
        <f>P5</f>
        <v/>
      </c>
      <c r="Y5" s="14">
        <f>P5</f>
        <v/>
      </c>
      <c r="Z5" s="14">
        <f>P5</f>
        <v/>
      </c>
      <c r="AA5" s="14">
        <f>P5</f>
        <v/>
      </c>
      <c r="AB5" s="14">
        <f>P5</f>
        <v/>
      </c>
      <c r="AC5" s="14">
        <f>P5</f>
        <v/>
      </c>
      <c r="AD5" s="14">
        <f>P5</f>
        <v/>
      </c>
      <c r="AE5" s="14">
        <f>P5</f>
        <v/>
      </c>
      <c r="AF5" s="14">
        <f>P5</f>
        <v/>
      </c>
      <c r="AG5" s="14">
        <f>P5</f>
        <v/>
      </c>
      <c r="AH5" s="14">
        <f>P5</f>
        <v/>
      </c>
    </row>
    <row r="6">
      <c r="A6" s="3" t="inlineStr">
        <is>
          <t>Net PP&amp;E</t>
        </is>
      </c>
      <c r="B6" s="4">
        <f>'QTR BS'!B7</f>
        <v/>
      </c>
      <c r="C6" s="4">
        <f>'QTR BS'!C7</f>
        <v/>
      </c>
      <c r="D6" s="4">
        <f>'QTR BS'!D7</f>
        <v/>
      </c>
      <c r="E6" s="4">
        <f>'QTR BS'!E7</f>
        <v/>
      </c>
      <c r="F6" s="4">
        <f>'QTR BS'!F7</f>
        <v/>
      </c>
      <c r="G6" s="4">
        <f>'QTR BS'!G7</f>
        <v/>
      </c>
      <c r="H6" s="4">
        <f>'QTR BS'!H7</f>
        <v/>
      </c>
      <c r="I6" s="4">
        <f>'QTR BS'!I7</f>
        <v/>
      </c>
      <c r="J6" s="4">
        <f>'QTR BS'!J7</f>
        <v/>
      </c>
      <c r="K6" s="4">
        <f>'QTR BS'!K7</f>
        <v/>
      </c>
      <c r="L6" s="4">
        <f>'QTR BS'!L7</f>
        <v/>
      </c>
      <c r="M6" s="4">
        <f>'QTR BS'!M7</f>
        <v/>
      </c>
      <c r="N6" s="4">
        <f>'QTR BS'!N7</f>
        <v/>
      </c>
      <c r="O6" s="4">
        <f>'QTR BS'!O7</f>
        <v/>
      </c>
      <c r="P6" s="4">
        <f>'QTR BS'!P7</f>
        <v/>
      </c>
      <c r="Q6" s="4">
        <f>P6-'QTR CF'!T14-'QTR CF'!T3</f>
        <v/>
      </c>
      <c r="R6" s="4">
        <f>Q6-'QTR CF'!U14-'QTR CF'!U3</f>
        <v/>
      </c>
      <c r="S6" s="4">
        <f>R6-'QTR CF'!V14-'QTR CF'!V3</f>
        <v/>
      </c>
      <c r="T6" s="4">
        <f>S6-'QTR CF'!W14-'QTR CF'!W3</f>
        <v/>
      </c>
      <c r="U6" s="4">
        <f>T6-'QTR CF'!X14-'QTR CF'!X3</f>
        <v/>
      </c>
      <c r="V6" s="4">
        <f>U6-'QTR CF'!Y14-'QTR CF'!Y3</f>
        <v/>
      </c>
      <c r="W6" s="4">
        <f>V6-'QTR CF'!Z14-'QTR CF'!Z3</f>
        <v/>
      </c>
      <c r="X6" s="4">
        <f>W6-'QTR CF'!AA14-'QTR CF'!AA3</f>
        <v/>
      </c>
      <c r="Y6" s="4">
        <f>X6-'QTR CF'!AB14-'QTR CF'!AB3</f>
        <v/>
      </c>
      <c r="Z6" s="4">
        <f>Y6-'QTR CF'!AC14-'QTR CF'!AC3</f>
        <v/>
      </c>
      <c r="AA6" s="4">
        <f>Z6-'QTR CF'!AD14-'QTR CF'!AD3</f>
        <v/>
      </c>
      <c r="AB6" s="4">
        <f>AA6-'QTR CF'!AE14-'QTR CF'!AE3</f>
        <v/>
      </c>
      <c r="AC6" s="4">
        <f>AB6-'QTR CF'!AF14-'QTR CF'!AF3</f>
        <v/>
      </c>
      <c r="AD6" s="4">
        <f>AC6-'QTR CF'!AG14-'QTR CF'!AG3</f>
        <v/>
      </c>
      <c r="AE6" s="4">
        <f>AD6-'QTR CF'!AH14-'QTR CF'!AH3</f>
        <v/>
      </c>
      <c r="AF6" s="4">
        <f>AE6-'QTR CF'!AI14-'QTR CF'!AI3</f>
        <v/>
      </c>
      <c r="AG6" s="4">
        <f>AF6-'QTR CF'!AJ14-'QTR CF'!AJ3</f>
        <v/>
      </c>
      <c r="AH6" s="4">
        <f>AG6-'QTR CF'!AK14-'QTR CF'!AK3</f>
        <v/>
      </c>
    </row>
    <row r="7">
      <c r="A7" s="3" t="inlineStr">
        <is>
          <t>Goodwill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'QTR BS'!P8</f>
        <v/>
      </c>
      <c r="Q7" s="15">
        <f>P7</f>
        <v/>
      </c>
      <c r="R7" s="15">
        <f>P7</f>
        <v/>
      </c>
      <c r="S7" s="15">
        <f>P7</f>
        <v/>
      </c>
      <c r="T7" s="15">
        <f>P7</f>
        <v/>
      </c>
      <c r="U7" s="15">
        <f>P7</f>
        <v/>
      </c>
      <c r="V7" s="15">
        <f>P7</f>
        <v/>
      </c>
      <c r="W7" s="15">
        <f>P7</f>
        <v/>
      </c>
      <c r="X7" s="15">
        <f>P7</f>
        <v/>
      </c>
      <c r="Y7" s="15">
        <f>P7</f>
        <v/>
      </c>
      <c r="Z7" s="15">
        <f>P7</f>
        <v/>
      </c>
      <c r="AA7" s="15">
        <f>P7</f>
        <v/>
      </c>
      <c r="AB7" s="15">
        <f>P7</f>
        <v/>
      </c>
      <c r="AC7" s="15">
        <f>P7</f>
        <v/>
      </c>
      <c r="AD7" s="15">
        <f>P7</f>
        <v/>
      </c>
      <c r="AE7" s="15">
        <f>P7</f>
        <v/>
      </c>
      <c r="AF7" s="15">
        <f>P7</f>
        <v/>
      </c>
      <c r="AG7" s="15">
        <f>P7</f>
        <v/>
      </c>
      <c r="AH7" s="15">
        <f>P7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4">
        <f>'QTR BS'!P9</f>
        <v/>
      </c>
      <c r="Q8" s="15">
        <f>P8</f>
        <v/>
      </c>
      <c r="R8" s="15">
        <f>P8</f>
        <v/>
      </c>
      <c r="S8" s="15">
        <f>P8</f>
        <v/>
      </c>
      <c r="T8" s="15">
        <f>P8</f>
        <v/>
      </c>
      <c r="U8" s="15">
        <f>P8</f>
        <v/>
      </c>
      <c r="V8" s="15">
        <f>P8</f>
        <v/>
      </c>
      <c r="W8" s="15">
        <f>P8</f>
        <v/>
      </c>
      <c r="X8" s="15">
        <f>P8</f>
        <v/>
      </c>
      <c r="Y8" s="15">
        <f>P8</f>
        <v/>
      </c>
      <c r="Z8" s="15">
        <f>P8</f>
        <v/>
      </c>
      <c r="AA8" s="15">
        <f>P8</f>
        <v/>
      </c>
      <c r="AB8" s="15">
        <f>P8</f>
        <v/>
      </c>
      <c r="AC8" s="15">
        <f>P8</f>
        <v/>
      </c>
      <c r="AD8" s="15">
        <f>P8</f>
        <v/>
      </c>
      <c r="AE8" s="15">
        <f>P8</f>
        <v/>
      </c>
      <c r="AF8" s="15">
        <f>P8</f>
        <v/>
      </c>
      <c r="AG8" s="15">
        <f>P8</f>
        <v/>
      </c>
      <c r="AH8" s="15">
        <f>P8</f>
        <v/>
      </c>
    </row>
    <row r="9">
      <c r="A9" s="3" t="inlineStr">
        <is>
          <t>Other Non-Current Assets — % of Revenue</t>
        </is>
      </c>
      <c r="B9" s="13">
        <f>IFERROR('QTR BS'!B10/'QTR P&amp;L'!B2,"")</f>
        <v/>
      </c>
      <c r="C9" s="13">
        <f>IFERROR('QTR BS'!C10/'QTR P&amp;L'!C2,"")</f>
        <v/>
      </c>
      <c r="D9" s="13">
        <f>IFERROR('QTR BS'!D10/'QTR P&amp;L'!D2,"")</f>
        <v/>
      </c>
      <c r="E9" s="13">
        <f>IFERROR('QTR BS'!E10/'QTR P&amp;L'!E2,"")</f>
        <v/>
      </c>
      <c r="F9" s="13">
        <f>IFERROR('QTR BS'!F10/'QTR P&amp;L'!F2,"")</f>
        <v/>
      </c>
      <c r="G9" s="13">
        <f>IFERROR('QTR BS'!G10/'QTR P&amp;L'!G2,"")</f>
        <v/>
      </c>
      <c r="H9" s="13">
        <f>IFERROR('QTR BS'!H10/'QTR P&amp;L'!H2,"")</f>
        <v/>
      </c>
      <c r="I9" s="13">
        <f>IFERROR('QTR BS'!I10/'QTR P&amp;L'!I2,"")</f>
        <v/>
      </c>
      <c r="J9" s="13">
        <f>IFERROR('QTR BS'!J10/'QTR P&amp;L'!J2,"")</f>
        <v/>
      </c>
      <c r="K9" s="13">
        <f>IFERROR('QTR BS'!K10/'QTR P&amp;L'!K2,"")</f>
        <v/>
      </c>
      <c r="L9" s="13">
        <f>IFERROR('QTR BS'!L10/'QTR P&amp;L'!L2,"")</f>
        <v/>
      </c>
      <c r="M9" s="13">
        <f>IFERROR('QTR BS'!M10/'QTR P&amp;L'!M2,"")</f>
        <v/>
      </c>
      <c r="N9" s="13">
        <f>IFERROR('QTR BS'!N10/'QTR P&amp;L'!N2,"")</f>
        <v/>
      </c>
      <c r="O9" s="13">
        <f>IFERROR('QTR BS'!O10/'QTR P&amp;L'!O2,"")</f>
        <v/>
      </c>
      <c r="P9" s="13">
        <f>IFERROR('QTR BS'!P10/'QTR P&amp;L'!P2,"")</f>
        <v/>
      </c>
      <c r="Q9" s="14">
        <f>P9</f>
        <v/>
      </c>
      <c r="R9" s="14">
        <f>P9</f>
        <v/>
      </c>
      <c r="S9" s="14">
        <f>P9</f>
        <v/>
      </c>
      <c r="T9" s="14">
        <f>P9</f>
        <v/>
      </c>
      <c r="U9" s="14">
        <f>P9</f>
        <v/>
      </c>
      <c r="V9" s="14">
        <f>P9</f>
        <v/>
      </c>
      <c r="W9" s="14">
        <f>P9</f>
        <v/>
      </c>
      <c r="X9" s="14">
        <f>P9</f>
        <v/>
      </c>
      <c r="Y9" s="14">
        <f>P9</f>
        <v/>
      </c>
      <c r="Z9" s="14">
        <f>P9</f>
        <v/>
      </c>
      <c r="AA9" s="14">
        <f>P9</f>
        <v/>
      </c>
      <c r="AB9" s="14">
        <f>P9</f>
        <v/>
      </c>
      <c r="AC9" s="14">
        <f>P9</f>
        <v/>
      </c>
      <c r="AD9" s="14">
        <f>P9</f>
        <v/>
      </c>
      <c r="AE9" s="14">
        <f>P9</f>
        <v/>
      </c>
      <c r="AF9" s="14">
        <f>P9</f>
        <v/>
      </c>
      <c r="AG9" s="14">
        <f>P9</f>
        <v/>
      </c>
      <c r="AH9" s="14">
        <f>P9</f>
        <v/>
      </c>
    </row>
    <row r="10">
      <c r="A10" s="3" t="inlineStr">
        <is>
          <t>Accounts Payable — DPO (days)</t>
        </is>
      </c>
      <c r="B10" s="16">
        <f>IFERROR('QTR BS'!B12/'QTR P&amp;L'!B3*ASSUMPTIONS!$B$2,"")</f>
        <v/>
      </c>
      <c r="C10" s="16">
        <f>IFERROR('QTR BS'!C12/'QTR P&amp;L'!C3*ASSUMPTIONS!$B$2,"")</f>
        <v/>
      </c>
      <c r="D10" s="16">
        <f>IFERROR('QTR BS'!D12/'QTR P&amp;L'!D3*ASSUMPTIONS!$B$2,"")</f>
        <v/>
      </c>
      <c r="E10" s="16">
        <f>IFERROR('QTR BS'!E12/'QTR P&amp;L'!E3*ASSUMPTIONS!$B$2,"")</f>
        <v/>
      </c>
      <c r="F10" s="16">
        <f>IFERROR('QTR BS'!F12/'QTR P&amp;L'!F3*ASSUMPTIONS!$B$2,"")</f>
        <v/>
      </c>
      <c r="G10" s="16">
        <f>IFERROR('QTR BS'!G12/'QTR P&amp;L'!G3*ASSUMPTIONS!$B$2,"")</f>
        <v/>
      </c>
      <c r="H10" s="16">
        <f>IFERROR('QTR BS'!H12/'QTR P&amp;L'!H3*ASSUMPTIONS!$B$2,"")</f>
        <v/>
      </c>
      <c r="I10" s="16">
        <f>IFERROR('QTR BS'!I12/'QTR P&amp;L'!I3*ASSUMPTIONS!$B$2,"")</f>
        <v/>
      </c>
      <c r="J10" s="16">
        <f>IFERROR('QTR BS'!J12/'QTR P&amp;L'!J3*ASSUMPTIONS!$B$2,"")</f>
        <v/>
      </c>
      <c r="K10" s="16">
        <f>IFERROR('QTR BS'!K12/'QTR P&amp;L'!K3*ASSUMPTIONS!$B$2,"")</f>
        <v/>
      </c>
      <c r="L10" s="16">
        <f>IFERROR('QTR BS'!L12/'QTR P&amp;L'!L3*ASSUMPTIONS!$B$2,"")</f>
        <v/>
      </c>
      <c r="M10" s="16">
        <f>IFERROR('QTR BS'!M12/'QTR P&amp;L'!M3*ASSUMPTIONS!$B$2,"")</f>
        <v/>
      </c>
      <c r="N10" s="16">
        <f>IFERROR('QTR BS'!N12/'QTR P&amp;L'!N3*ASSUMPTIONS!$B$2,"")</f>
        <v/>
      </c>
      <c r="O10" s="16">
        <f>IFERROR('QTR BS'!O12/'QTR P&amp;L'!O3*ASSUMPTIONS!$B$2,"")</f>
        <v/>
      </c>
      <c r="P10" s="16">
        <f>IFERROR('QTR BS'!P12/'QTR P&amp;L'!P3*ASSUMPTIONS!$B$2,"")</f>
        <v/>
      </c>
      <c r="Q10" s="17">
        <f>P10</f>
        <v/>
      </c>
      <c r="R10" s="17">
        <f>P10</f>
        <v/>
      </c>
      <c r="S10" s="17">
        <f>P10</f>
        <v/>
      </c>
      <c r="T10" s="17">
        <f>P10</f>
        <v/>
      </c>
      <c r="U10" s="17">
        <f>P10</f>
        <v/>
      </c>
      <c r="V10" s="17">
        <f>P10</f>
        <v/>
      </c>
      <c r="W10" s="17">
        <f>P10</f>
        <v/>
      </c>
      <c r="X10" s="17">
        <f>P10</f>
        <v/>
      </c>
      <c r="Y10" s="17">
        <f>P10</f>
        <v/>
      </c>
      <c r="Z10" s="17">
        <f>P10</f>
        <v/>
      </c>
      <c r="AA10" s="17">
        <f>P10</f>
        <v/>
      </c>
      <c r="AB10" s="17">
        <f>P10</f>
        <v/>
      </c>
      <c r="AC10" s="17">
        <f>P10</f>
        <v/>
      </c>
      <c r="AD10" s="17">
        <f>P10</f>
        <v/>
      </c>
      <c r="AE10" s="17">
        <f>P10</f>
        <v/>
      </c>
      <c r="AF10" s="17">
        <f>P10</f>
        <v/>
      </c>
      <c r="AG10" s="17">
        <f>P10</f>
        <v/>
      </c>
      <c r="AH10" s="17">
        <f>P10</f>
        <v/>
      </c>
    </row>
    <row r="11">
      <c r="A11" s="3" t="inlineStr">
        <is>
          <t>Accrued Expenses — % of Revenue</t>
        </is>
      </c>
      <c r="B11" s="13">
        <f>IFERROR('QTR BS'!B13/'QTR P&amp;L'!B2,"")</f>
        <v/>
      </c>
      <c r="C11" s="13">
        <f>IFERROR('QTR BS'!C13/'QTR P&amp;L'!C2,"")</f>
        <v/>
      </c>
      <c r="D11" s="13">
        <f>IFERROR('QTR BS'!D13/'QTR P&amp;L'!D2,"")</f>
        <v/>
      </c>
      <c r="E11" s="13">
        <f>IFERROR('QTR BS'!E13/'QTR P&amp;L'!E2,"")</f>
        <v/>
      </c>
      <c r="F11" s="13">
        <f>IFERROR('QTR BS'!F13/'QTR P&amp;L'!F2,"")</f>
        <v/>
      </c>
      <c r="G11" s="13">
        <f>IFERROR('QTR BS'!G13/'QTR P&amp;L'!G2,"")</f>
        <v/>
      </c>
      <c r="H11" s="13">
        <f>IFERROR('QTR BS'!H13/'QTR P&amp;L'!H2,"")</f>
        <v/>
      </c>
      <c r="I11" s="13">
        <f>IFERROR('QTR BS'!I13/'QTR P&amp;L'!I2,"")</f>
        <v/>
      </c>
      <c r="J11" s="13">
        <f>IFERROR('QTR BS'!J13/'QTR P&amp;L'!J2,"")</f>
        <v/>
      </c>
      <c r="K11" s="13">
        <f>IFERROR('QTR BS'!K13/'QTR P&amp;L'!K2,"")</f>
        <v/>
      </c>
      <c r="L11" s="13">
        <f>IFERROR('QTR BS'!L13/'QTR P&amp;L'!L2,"")</f>
        <v/>
      </c>
      <c r="M11" s="13">
        <f>IFERROR('QTR BS'!M13/'QTR P&amp;L'!M2,"")</f>
        <v/>
      </c>
      <c r="N11" s="13">
        <f>IFERROR('QTR BS'!N13/'QTR P&amp;L'!N2,"")</f>
        <v/>
      </c>
      <c r="O11" s="13">
        <f>IFERROR('QTR BS'!O13/'QTR P&amp;L'!O2,"")</f>
        <v/>
      </c>
      <c r="P11" s="13">
        <f>IFERROR('QTR BS'!P13/'QTR P&amp;L'!P2,"")</f>
        <v/>
      </c>
      <c r="Q11" s="14">
        <f>P11</f>
        <v/>
      </c>
      <c r="R11" s="14">
        <f>P11</f>
        <v/>
      </c>
      <c r="S11" s="14">
        <f>P11</f>
        <v/>
      </c>
      <c r="T11" s="14">
        <f>P11</f>
        <v/>
      </c>
      <c r="U11" s="14">
        <f>P11</f>
        <v/>
      </c>
      <c r="V11" s="14">
        <f>P11</f>
        <v/>
      </c>
      <c r="W11" s="14">
        <f>P11</f>
        <v/>
      </c>
      <c r="X11" s="14">
        <f>P11</f>
        <v/>
      </c>
      <c r="Y11" s="14">
        <f>P11</f>
        <v/>
      </c>
      <c r="Z11" s="14">
        <f>P11</f>
        <v/>
      </c>
      <c r="AA11" s="14">
        <f>P11</f>
        <v/>
      </c>
      <c r="AB11" s="14">
        <f>P11</f>
        <v/>
      </c>
      <c r="AC11" s="14">
        <f>P11</f>
        <v/>
      </c>
      <c r="AD11" s="14">
        <f>P11</f>
        <v/>
      </c>
      <c r="AE11" s="14">
        <f>P11</f>
        <v/>
      </c>
      <c r="AF11" s="14">
        <f>P11</f>
        <v/>
      </c>
      <c r="AG11" s="14">
        <f>P11</f>
        <v/>
      </c>
      <c r="AH11" s="14">
        <f>P11</f>
        <v/>
      </c>
    </row>
    <row r="12">
      <c r="A12" s="3" t="inlineStr">
        <is>
          <t>Current Portion of Long-Term Debt</t>
        </is>
      </c>
      <c r="B12" s="4">
        <f>'QTR BS'!B14</f>
        <v/>
      </c>
      <c r="C12" s="4">
        <f>'QTR BS'!C14</f>
        <v/>
      </c>
      <c r="D12" s="4">
        <f>'QTR BS'!D14</f>
        <v/>
      </c>
      <c r="E12" s="4">
        <f>'QTR BS'!E14</f>
        <v/>
      </c>
      <c r="F12" s="4">
        <f>'QTR BS'!F14</f>
        <v/>
      </c>
      <c r="G12" s="4">
        <f>'QTR BS'!G14</f>
        <v/>
      </c>
      <c r="H12" s="4">
        <f>'QTR BS'!H14</f>
        <v/>
      </c>
      <c r="I12" s="4">
        <f>'QTR BS'!I14</f>
        <v/>
      </c>
      <c r="J12" s="4">
        <f>'QTR BS'!J14</f>
        <v/>
      </c>
      <c r="K12" s="4">
        <f>'QTR BS'!K14</f>
        <v/>
      </c>
      <c r="L12" s="4">
        <f>'QTR BS'!L14</f>
        <v/>
      </c>
      <c r="M12" s="4">
        <f>'QTR BS'!M14</f>
        <v/>
      </c>
      <c r="N12" s="4">
        <f>'QTR BS'!N14</f>
        <v/>
      </c>
      <c r="O12" s="4">
        <f>'QTR BS'!O14</f>
        <v/>
      </c>
      <c r="P12" s="4">
        <f>'QTR BS'!P14</f>
        <v/>
      </c>
      <c r="Q12" s="15">
        <f>P12</f>
        <v/>
      </c>
      <c r="R12" s="15">
        <f>P12</f>
        <v/>
      </c>
      <c r="S12" s="15">
        <f>P12</f>
        <v/>
      </c>
      <c r="T12" s="15">
        <f>P12</f>
        <v/>
      </c>
      <c r="U12" s="15">
        <f>P12</f>
        <v/>
      </c>
      <c r="V12" s="15">
        <f>P12</f>
        <v/>
      </c>
      <c r="W12" s="15">
        <f>P12</f>
        <v/>
      </c>
      <c r="X12" s="15">
        <f>P12</f>
        <v/>
      </c>
      <c r="Y12" s="15">
        <f>P12</f>
        <v/>
      </c>
      <c r="Z12" s="15">
        <f>P12</f>
        <v/>
      </c>
      <c r="AA12" s="15">
        <f>P12</f>
        <v/>
      </c>
      <c r="AB12" s="15">
        <f>P12</f>
        <v/>
      </c>
      <c r="AC12" s="15">
        <f>P12</f>
        <v/>
      </c>
      <c r="AD12" s="15">
        <f>P12</f>
        <v/>
      </c>
      <c r="AE12" s="15">
        <f>P12</f>
        <v/>
      </c>
      <c r="AF12" s="15">
        <f>P12</f>
        <v/>
      </c>
      <c r="AG12" s="15">
        <f>P12</f>
        <v/>
      </c>
      <c r="AH12" s="15">
        <f>P12</f>
        <v/>
      </c>
    </row>
    <row r="13">
      <c r="A13" s="3" t="inlineStr">
        <is>
          <t>Long-Term Debt</t>
        </is>
      </c>
      <c r="B13" s="4">
        <f>'QTR BS'!B16</f>
        <v/>
      </c>
      <c r="C13" s="4">
        <f>'QTR BS'!C16</f>
        <v/>
      </c>
      <c r="D13" s="4">
        <f>'QTR BS'!D16</f>
        <v/>
      </c>
      <c r="E13" s="4">
        <f>'QTR BS'!E16</f>
        <v/>
      </c>
      <c r="F13" s="4">
        <f>'QTR BS'!F16</f>
        <v/>
      </c>
      <c r="G13" s="4">
        <f>'QTR BS'!G16</f>
        <v/>
      </c>
      <c r="H13" s="4">
        <f>'QTR BS'!H16</f>
        <v/>
      </c>
      <c r="I13" s="4">
        <f>'QTR BS'!I16</f>
        <v/>
      </c>
      <c r="J13" s="4">
        <f>'QTR BS'!J16</f>
        <v/>
      </c>
      <c r="K13" s="4">
        <f>'QTR BS'!K16</f>
        <v/>
      </c>
      <c r="L13" s="4">
        <f>'QTR BS'!L16</f>
        <v/>
      </c>
      <c r="M13" s="4">
        <f>'QTR BS'!M16</f>
        <v/>
      </c>
      <c r="N13" s="4">
        <f>'QTR BS'!N16</f>
        <v/>
      </c>
      <c r="O13" s="4">
        <f>'QTR BS'!O16</f>
        <v/>
      </c>
      <c r="P13" s="4">
        <f>'QTR BS'!P16</f>
        <v/>
      </c>
      <c r="Q13" s="15">
        <f>P13</f>
        <v/>
      </c>
      <c r="R13" s="15">
        <f>P13</f>
        <v/>
      </c>
      <c r="S13" s="15">
        <f>P13</f>
        <v/>
      </c>
      <c r="T13" s="15">
        <f>P13</f>
        <v/>
      </c>
      <c r="U13" s="15">
        <f>P13</f>
        <v/>
      </c>
      <c r="V13" s="15">
        <f>P13</f>
        <v/>
      </c>
      <c r="W13" s="15">
        <f>P13</f>
        <v/>
      </c>
      <c r="X13" s="15">
        <f>P13</f>
        <v/>
      </c>
      <c r="Y13" s="15">
        <f>P13</f>
        <v/>
      </c>
      <c r="Z13" s="15">
        <f>P13</f>
        <v/>
      </c>
      <c r="AA13" s="15">
        <f>P13</f>
        <v/>
      </c>
      <c r="AB13" s="15">
        <f>P13</f>
        <v/>
      </c>
      <c r="AC13" s="15">
        <f>P13</f>
        <v/>
      </c>
      <c r="AD13" s="15">
        <f>P13</f>
        <v/>
      </c>
      <c r="AE13" s="15">
        <f>P13</f>
        <v/>
      </c>
      <c r="AF13" s="15">
        <f>P13</f>
        <v/>
      </c>
      <c r="AG13" s="15">
        <f>P13</f>
        <v/>
      </c>
      <c r="AH13" s="15">
        <f>P13</f>
        <v/>
      </c>
    </row>
    <row r="14">
      <c r="A14" s="3" t="inlineStr">
        <is>
          <t>Deferred Tax Liability</t>
        </is>
      </c>
      <c r="B14" s="4">
        <f>'QTR BS'!B17</f>
        <v/>
      </c>
      <c r="C14" s="4">
        <f>'QTR BS'!C17</f>
        <v/>
      </c>
      <c r="D14" s="4">
        <f>'QTR BS'!D17</f>
        <v/>
      </c>
      <c r="E14" s="4">
        <f>'QTR BS'!E17</f>
        <v/>
      </c>
      <c r="F14" s="4">
        <f>'QTR BS'!F17</f>
        <v/>
      </c>
      <c r="G14" s="4">
        <f>'QTR BS'!G17</f>
        <v/>
      </c>
      <c r="H14" s="4">
        <f>'QTR BS'!H17</f>
        <v/>
      </c>
      <c r="I14" s="4">
        <f>'QTR BS'!I17</f>
        <v/>
      </c>
      <c r="J14" s="4">
        <f>'QTR BS'!J17</f>
        <v/>
      </c>
      <c r="K14" s="4">
        <f>'QTR BS'!K17</f>
        <v/>
      </c>
      <c r="L14" s="4">
        <f>'QTR BS'!L17</f>
        <v/>
      </c>
      <c r="M14" s="4">
        <f>'QTR BS'!M17</f>
        <v/>
      </c>
      <c r="N14" s="4">
        <f>'QTR BS'!N17</f>
        <v/>
      </c>
      <c r="O14" s="4">
        <f>'QTR BS'!O17</f>
        <v/>
      </c>
      <c r="P14" s="4">
        <f>'QTR BS'!P17</f>
        <v/>
      </c>
      <c r="Q14" s="15">
        <f>P14</f>
        <v/>
      </c>
      <c r="R14" s="15">
        <f>P14</f>
        <v/>
      </c>
      <c r="S14" s="15">
        <f>P14</f>
        <v/>
      </c>
      <c r="T14" s="15">
        <f>P14</f>
        <v/>
      </c>
      <c r="U14" s="15">
        <f>P14</f>
        <v/>
      </c>
      <c r="V14" s="15">
        <f>P14</f>
        <v/>
      </c>
      <c r="W14" s="15">
        <f>P14</f>
        <v/>
      </c>
      <c r="X14" s="15">
        <f>P14</f>
        <v/>
      </c>
      <c r="Y14" s="15">
        <f>P14</f>
        <v/>
      </c>
      <c r="Z14" s="15">
        <f>P14</f>
        <v/>
      </c>
      <c r="AA14" s="15">
        <f>P14</f>
        <v/>
      </c>
      <c r="AB14" s="15">
        <f>P14</f>
        <v/>
      </c>
      <c r="AC14" s="15">
        <f>P14</f>
        <v/>
      </c>
      <c r="AD14" s="15">
        <f>P14</f>
        <v/>
      </c>
      <c r="AE14" s="15">
        <f>P14</f>
        <v/>
      </c>
      <c r="AF14" s="15">
        <f>P14</f>
        <v/>
      </c>
      <c r="AG14" s="15">
        <f>P14</f>
        <v/>
      </c>
      <c r="AH14" s="15">
        <f>P14</f>
        <v/>
      </c>
    </row>
    <row r="15">
      <c r="A15" s="3" t="inlineStr">
        <is>
          <t>Other Non-Current Liabilities — % of Revenue</t>
        </is>
      </c>
      <c r="B15" s="13">
        <f>IFERROR('QTR BS'!B18/'QTR P&amp;L'!B2,"")</f>
        <v/>
      </c>
      <c r="C15" s="13">
        <f>IFERROR('QTR BS'!C18/'QTR P&amp;L'!C2,"")</f>
        <v/>
      </c>
      <c r="D15" s="13">
        <f>IFERROR('QTR BS'!D18/'QTR P&amp;L'!D2,"")</f>
        <v/>
      </c>
      <c r="E15" s="13">
        <f>IFERROR('QTR BS'!E18/'QTR P&amp;L'!E2,"")</f>
        <v/>
      </c>
      <c r="F15" s="13">
        <f>IFERROR('QTR BS'!F18/'QTR P&amp;L'!F2,"")</f>
        <v/>
      </c>
      <c r="G15" s="13">
        <f>IFERROR('QTR BS'!G18/'QTR P&amp;L'!G2,"")</f>
        <v/>
      </c>
      <c r="H15" s="13">
        <f>IFERROR('QTR BS'!H18/'QTR P&amp;L'!H2,"")</f>
        <v/>
      </c>
      <c r="I15" s="13">
        <f>IFERROR('QTR BS'!I18/'QTR P&amp;L'!I2,"")</f>
        <v/>
      </c>
      <c r="J15" s="13">
        <f>IFERROR('QTR BS'!J18/'QTR P&amp;L'!J2,"")</f>
        <v/>
      </c>
      <c r="K15" s="13">
        <f>IFERROR('QTR BS'!K18/'QTR P&amp;L'!K2,"")</f>
        <v/>
      </c>
      <c r="L15" s="13">
        <f>IFERROR('QTR BS'!L18/'QTR P&amp;L'!L2,"")</f>
        <v/>
      </c>
      <c r="M15" s="13">
        <f>IFERROR('QTR BS'!M18/'QTR P&amp;L'!M2,"")</f>
        <v/>
      </c>
      <c r="N15" s="13">
        <f>IFERROR('QTR BS'!N18/'QTR P&amp;L'!N2,"")</f>
        <v/>
      </c>
      <c r="O15" s="13">
        <f>IFERROR('QTR BS'!O18/'QTR P&amp;L'!O2,"")</f>
        <v/>
      </c>
      <c r="P15" s="13">
        <f>IFERROR('QTR BS'!P18/'QTR P&amp;L'!P2,"")</f>
        <v/>
      </c>
      <c r="Q15" s="14">
        <f>P15</f>
        <v/>
      </c>
      <c r="R15" s="14">
        <f>P15</f>
        <v/>
      </c>
      <c r="S15" s="14">
        <f>P15</f>
        <v/>
      </c>
      <c r="T15" s="14">
        <f>P15</f>
        <v/>
      </c>
      <c r="U15" s="14">
        <f>P15</f>
        <v/>
      </c>
      <c r="V15" s="14">
        <f>P15</f>
        <v/>
      </c>
      <c r="W15" s="14">
        <f>P15</f>
        <v/>
      </c>
      <c r="X15" s="14">
        <f>P15</f>
        <v/>
      </c>
      <c r="Y15" s="14">
        <f>P15</f>
        <v/>
      </c>
      <c r="Z15" s="14">
        <f>P15</f>
        <v/>
      </c>
      <c r="AA15" s="14">
        <f>P15</f>
        <v/>
      </c>
      <c r="AB15" s="14">
        <f>P15</f>
        <v/>
      </c>
      <c r="AC15" s="14">
        <f>P15</f>
        <v/>
      </c>
      <c r="AD15" s="14">
        <f>P15</f>
        <v/>
      </c>
      <c r="AE15" s="14">
        <f>P15</f>
        <v/>
      </c>
      <c r="AF15" s="14">
        <f>P15</f>
        <v/>
      </c>
      <c r="AG15" s="14">
        <f>P15</f>
        <v/>
      </c>
      <c r="AH15" s="14">
        <f>P15</f>
        <v/>
      </c>
    </row>
    <row r="16">
      <c r="A16" s="3" t="inlineStr">
        <is>
          <t>Convertible Preferred Stock</t>
        </is>
      </c>
      <c r="B16" s="4">
        <f>'QTR BS'!B20</f>
        <v/>
      </c>
      <c r="C16" s="4">
        <f>'QTR BS'!C20</f>
        <v/>
      </c>
      <c r="D16" s="4">
        <f>'QTR BS'!D20</f>
        <v/>
      </c>
      <c r="E16" s="4">
        <f>'QTR BS'!E20</f>
        <v/>
      </c>
      <c r="F16" s="4">
        <f>'QTR BS'!F20</f>
        <v/>
      </c>
      <c r="G16" s="4">
        <f>'QTR BS'!G20</f>
        <v/>
      </c>
      <c r="H16" s="4">
        <f>'QTR BS'!H20</f>
        <v/>
      </c>
      <c r="I16" s="4">
        <f>'QTR BS'!I20</f>
        <v/>
      </c>
      <c r="J16" s="4">
        <f>'QTR BS'!J20</f>
        <v/>
      </c>
      <c r="K16" s="4">
        <f>'QTR BS'!K20</f>
        <v/>
      </c>
      <c r="L16" s="4">
        <f>'QTR BS'!L20</f>
        <v/>
      </c>
      <c r="M16" s="4">
        <f>'QTR BS'!M20</f>
        <v/>
      </c>
      <c r="N16" s="4">
        <f>'QTR BS'!N20</f>
        <v/>
      </c>
      <c r="O16" s="4">
        <f>'QTR BS'!O20</f>
        <v/>
      </c>
      <c r="P16" s="4">
        <f>'QTR BS'!P20</f>
        <v/>
      </c>
      <c r="Q16" s="15">
        <f>P16</f>
        <v/>
      </c>
      <c r="R16" s="15">
        <f>P16</f>
        <v/>
      </c>
      <c r="S16" s="15">
        <f>P16</f>
        <v/>
      </c>
      <c r="T16" s="15">
        <f>P16</f>
        <v/>
      </c>
      <c r="U16" s="15">
        <f>P16</f>
        <v/>
      </c>
      <c r="V16" s="15">
        <f>P16</f>
        <v/>
      </c>
      <c r="W16" s="15">
        <f>P16</f>
        <v/>
      </c>
      <c r="X16" s="15">
        <f>P16</f>
        <v/>
      </c>
      <c r="Y16" s="15">
        <f>P16</f>
        <v/>
      </c>
      <c r="Z16" s="15">
        <f>P16</f>
        <v/>
      </c>
      <c r="AA16" s="15">
        <f>P16</f>
        <v/>
      </c>
      <c r="AB16" s="15">
        <f>P16</f>
        <v/>
      </c>
      <c r="AC16" s="15">
        <f>P16</f>
        <v/>
      </c>
      <c r="AD16" s="15">
        <f>P16</f>
        <v/>
      </c>
      <c r="AE16" s="15">
        <f>P16</f>
        <v/>
      </c>
      <c r="AF16" s="15">
        <f>P16</f>
        <v/>
      </c>
      <c r="AG16" s="15">
        <f>P16</f>
        <v/>
      </c>
      <c r="AH16" s="15">
        <f>P16</f>
        <v/>
      </c>
    </row>
    <row r="17">
      <c r="A17" s="3" t="inlineStr">
        <is>
          <t>Common Stock</t>
        </is>
      </c>
      <c r="B17" s="4">
        <f>'QTR BS'!B21</f>
        <v/>
      </c>
      <c r="C17" s="4">
        <f>'QTR BS'!C21</f>
        <v/>
      </c>
      <c r="D17" s="4">
        <f>'QTR BS'!D21</f>
        <v/>
      </c>
      <c r="E17" s="4">
        <f>'QTR BS'!E21</f>
        <v/>
      </c>
      <c r="F17" s="4">
        <f>'QTR BS'!F21</f>
        <v/>
      </c>
      <c r="G17" s="4">
        <f>'QTR BS'!G21</f>
        <v/>
      </c>
      <c r="H17" s="4">
        <f>'QTR BS'!H21</f>
        <v/>
      </c>
      <c r="I17" s="4">
        <f>'QTR BS'!I21</f>
        <v/>
      </c>
      <c r="J17" s="4">
        <f>'QTR BS'!J21</f>
        <v/>
      </c>
      <c r="K17" s="4">
        <f>'QTR BS'!K21</f>
        <v/>
      </c>
      <c r="L17" s="4">
        <f>'QTR BS'!L21</f>
        <v/>
      </c>
      <c r="M17" s="4">
        <f>'QTR BS'!M21</f>
        <v/>
      </c>
      <c r="N17" s="4">
        <f>'QTR BS'!N21</f>
        <v/>
      </c>
      <c r="O17" s="4">
        <f>'QTR BS'!O21</f>
        <v/>
      </c>
      <c r="P17" s="4">
        <f>'QTR BS'!P21</f>
        <v/>
      </c>
      <c r="Q17" s="15">
        <f>P17</f>
        <v/>
      </c>
      <c r="R17" s="15">
        <f>P17</f>
        <v/>
      </c>
      <c r="S17" s="15">
        <f>P17</f>
        <v/>
      </c>
      <c r="T17" s="15">
        <f>P17</f>
        <v/>
      </c>
      <c r="U17" s="15">
        <f>P17</f>
        <v/>
      </c>
      <c r="V17" s="15">
        <f>P17</f>
        <v/>
      </c>
      <c r="W17" s="15">
        <f>P17</f>
        <v/>
      </c>
      <c r="X17" s="15">
        <f>P17</f>
        <v/>
      </c>
      <c r="Y17" s="15">
        <f>P17</f>
        <v/>
      </c>
      <c r="Z17" s="15">
        <f>P17</f>
        <v/>
      </c>
      <c r="AA17" s="15">
        <f>P17</f>
        <v/>
      </c>
      <c r="AB17" s="15">
        <f>P17</f>
        <v/>
      </c>
      <c r="AC17" s="15">
        <f>P17</f>
        <v/>
      </c>
      <c r="AD17" s="15">
        <f>P17</f>
        <v/>
      </c>
      <c r="AE17" s="15">
        <f>P17</f>
        <v/>
      </c>
      <c r="AF17" s="15">
        <f>P17</f>
        <v/>
      </c>
      <c r="AG17" s="15">
        <f>P17</f>
        <v/>
      </c>
      <c r="AH17" s="15">
        <f>P17</f>
        <v/>
      </c>
    </row>
    <row r="18">
      <c r="A18" s="3" t="inlineStr">
        <is>
          <t>Additional Paid-in Capital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4">
        <f>'QTR BS'!P22</f>
        <v/>
      </c>
      <c r="Q18" s="4">
        <f>P18+'QTR CF'!T4</f>
        <v/>
      </c>
      <c r="R18" s="4">
        <f>Q18+'QTR CF'!U4</f>
        <v/>
      </c>
      <c r="S18" s="4">
        <f>R18+'QTR CF'!V4</f>
        <v/>
      </c>
      <c r="T18" s="4">
        <f>S18+'QTR CF'!W4</f>
        <v/>
      </c>
      <c r="U18" s="4">
        <f>T18+'QTR CF'!X4</f>
        <v/>
      </c>
      <c r="V18" s="4">
        <f>U18+'QTR CF'!Y4</f>
        <v/>
      </c>
      <c r="W18" s="4">
        <f>V18+'QTR CF'!Z4</f>
        <v/>
      </c>
      <c r="X18" s="4">
        <f>W18+'QTR CF'!AA4</f>
        <v/>
      </c>
      <c r="Y18" s="4">
        <f>X18+'QTR CF'!AB4</f>
        <v/>
      </c>
      <c r="Z18" s="4">
        <f>Y18+'QTR CF'!AC4</f>
        <v/>
      </c>
      <c r="AA18" s="4">
        <f>Z18+'QTR CF'!AD4</f>
        <v/>
      </c>
      <c r="AB18" s="4">
        <f>AA18+'QTR CF'!AE4</f>
        <v/>
      </c>
      <c r="AC18" s="4">
        <f>AB18+'QTR CF'!AF4</f>
        <v/>
      </c>
      <c r="AD18" s="4">
        <f>AC18+'QTR CF'!AG4</f>
        <v/>
      </c>
      <c r="AE18" s="4">
        <f>AD18+'QTR CF'!AH4</f>
        <v/>
      </c>
      <c r="AF18" s="4">
        <f>AE18+'QTR CF'!AI4</f>
        <v/>
      </c>
      <c r="AG18" s="4">
        <f>AF18+'QTR CF'!AJ4</f>
        <v/>
      </c>
      <c r="AH18" s="4">
        <f>AG18+'QTR CF'!AK4</f>
        <v/>
      </c>
    </row>
    <row r="19">
      <c r="A19" s="3" t="inlineStr">
        <is>
          <t>ESOP Debt Retirement Reserve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4">
        <f>'QTR BS'!P23</f>
        <v/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</row>
    <row r="20">
      <c r="A20" s="3" t="inlineStr">
        <is>
          <t>Accumulated Other Comprehensive Income (Loss)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'QTR BS'!P24</f>
        <v/>
      </c>
      <c r="Q20" s="4">
        <f>P20+'QTR CF'!T29</f>
        <v/>
      </c>
      <c r="R20" s="4">
        <f>Q20+'QTR CF'!U29</f>
        <v/>
      </c>
      <c r="S20" s="4">
        <f>R20+'QTR CF'!V29</f>
        <v/>
      </c>
      <c r="T20" s="4">
        <f>S20+'QTR CF'!W29</f>
        <v/>
      </c>
      <c r="U20" s="4">
        <f>T20+'QTR CF'!X29</f>
        <v/>
      </c>
      <c r="V20" s="4">
        <f>U20+'QTR CF'!Y29</f>
        <v/>
      </c>
      <c r="W20" s="4">
        <f>V20+'QTR CF'!Z29</f>
        <v/>
      </c>
      <c r="X20" s="4">
        <f>W20+'QTR CF'!AA29</f>
        <v/>
      </c>
      <c r="Y20" s="4">
        <f>X20+'QTR CF'!AB29</f>
        <v/>
      </c>
      <c r="Z20" s="4">
        <f>Y20+'QTR CF'!AC29</f>
        <v/>
      </c>
      <c r="AA20" s="4">
        <f>Z20+'QTR CF'!AD29</f>
        <v/>
      </c>
      <c r="AB20" s="4">
        <f>AA20+'QTR CF'!AE29</f>
        <v/>
      </c>
      <c r="AC20" s="4">
        <f>AB20+'QTR CF'!AF29</f>
        <v/>
      </c>
      <c r="AD20" s="4">
        <f>AC20+'QTR CF'!AG29</f>
        <v/>
      </c>
      <c r="AE20" s="4">
        <f>AD20+'QTR CF'!AH29</f>
        <v/>
      </c>
      <c r="AF20" s="4">
        <f>AE20+'QTR CF'!AI29</f>
        <v/>
      </c>
      <c r="AG20" s="4">
        <f>AF20+'QTR CF'!AJ29</f>
        <v/>
      </c>
      <c r="AH20" s="4">
        <f>AG20+'QTR CF'!AK29</f>
        <v/>
      </c>
    </row>
    <row r="21">
      <c r="A21" s="3" t="inlineStr">
        <is>
          <t>Treasury Stock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4">
        <f>'QTR BS'!P25</f>
        <v/>
      </c>
      <c r="Q21" s="15">
        <f>P21</f>
        <v/>
      </c>
      <c r="R21" s="15">
        <f>P21</f>
        <v/>
      </c>
      <c r="S21" s="15">
        <f>P21</f>
        <v/>
      </c>
      <c r="T21" s="15">
        <f>P21</f>
        <v/>
      </c>
      <c r="U21" s="15">
        <f>P21</f>
        <v/>
      </c>
      <c r="V21" s="15">
        <f>P21</f>
        <v/>
      </c>
      <c r="W21" s="15">
        <f>P21</f>
        <v/>
      </c>
      <c r="X21" s="15">
        <f>P21</f>
        <v/>
      </c>
      <c r="Y21" s="15">
        <f>P21</f>
        <v/>
      </c>
      <c r="Z21" s="15">
        <f>P21</f>
        <v/>
      </c>
      <c r="AA21" s="15">
        <f>P21</f>
        <v/>
      </c>
      <c r="AB21" s="15">
        <f>P21</f>
        <v/>
      </c>
      <c r="AC21" s="15">
        <f>P21</f>
        <v/>
      </c>
      <c r="AD21" s="15">
        <f>P21</f>
        <v/>
      </c>
      <c r="AE21" s="15">
        <f>P21</f>
        <v/>
      </c>
      <c r="AF21" s="15">
        <f>P21</f>
        <v/>
      </c>
      <c r="AG21" s="15">
        <f>P21</f>
        <v/>
      </c>
      <c r="AH21" s="15">
        <f>P21</f>
        <v/>
      </c>
    </row>
    <row r="22">
      <c r="A22" s="3" t="inlineStr">
        <is>
          <t>Retained Earnings (Accumulated Deficit)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4">
        <f>'QTR BS'!P26</f>
        <v/>
      </c>
      <c r="Q22" s="4">
        <f>P22+'QTR P&amp;L'!T12+'QTR CF'!T20</f>
        <v/>
      </c>
      <c r="R22" s="4">
        <f>Q22+'QTR P&amp;L'!U12+'QTR CF'!U20</f>
        <v/>
      </c>
      <c r="S22" s="4">
        <f>R22+'QTR P&amp;L'!V12+'QTR CF'!V20</f>
        <v/>
      </c>
      <c r="T22" s="4">
        <f>S22+'QTR P&amp;L'!W12+'QTR CF'!W20</f>
        <v/>
      </c>
      <c r="U22" s="4">
        <f>T22+'QTR P&amp;L'!X12+'QTR CF'!X20</f>
        <v/>
      </c>
      <c r="V22" s="4">
        <f>U22+'QTR P&amp;L'!Y12+'QTR CF'!Y20</f>
        <v/>
      </c>
      <c r="W22" s="4">
        <f>V22+'QTR P&amp;L'!Z12+'QTR CF'!Z20</f>
        <v/>
      </c>
      <c r="X22" s="4">
        <f>W22+'QTR P&amp;L'!AA12+'QTR CF'!AA20</f>
        <v/>
      </c>
      <c r="Y22" s="4">
        <f>X22+'QTR P&amp;L'!AB12+'QTR CF'!AB20</f>
        <v/>
      </c>
      <c r="Z22" s="4">
        <f>Y22+'QTR P&amp;L'!AC12+'QTR CF'!AC20</f>
        <v/>
      </c>
      <c r="AA22" s="4">
        <f>Z22+'QTR P&amp;L'!AD12+'QTR CF'!AD20</f>
        <v/>
      </c>
      <c r="AB22" s="4">
        <f>AA22+'QTR P&amp;L'!AE12+'QTR CF'!AE20</f>
        <v/>
      </c>
      <c r="AC22" s="4">
        <f>AB22+'QTR P&amp;L'!AF12+'QTR CF'!AF20</f>
        <v/>
      </c>
      <c r="AD22" s="4">
        <f>AC22+'QTR P&amp;L'!AG12+'QTR CF'!AG20</f>
        <v/>
      </c>
      <c r="AE22" s="4">
        <f>AD22+'QTR P&amp;L'!AH12+'QTR CF'!AH20</f>
        <v/>
      </c>
      <c r="AF22" s="4">
        <f>AE22+'QTR P&amp;L'!AI12+'QTR CF'!AI20</f>
        <v/>
      </c>
      <c r="AG22" s="4">
        <f>AF22+'QTR P&amp;L'!AJ12+'QTR CF'!AJ20</f>
        <v/>
      </c>
      <c r="AH22" s="4">
        <f>AG22+'QTR P&amp;L'!AK12+'QTR CF'!AK20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4">
        <f>'QTR BS'!P27</f>
        <v/>
      </c>
      <c r="Q23" s="15">
        <f>P23</f>
        <v/>
      </c>
      <c r="R23" s="15">
        <f>P23</f>
        <v/>
      </c>
      <c r="S23" s="15">
        <f>P23</f>
        <v/>
      </c>
      <c r="T23" s="15">
        <f>P23</f>
        <v/>
      </c>
      <c r="U23" s="15">
        <f>P23</f>
        <v/>
      </c>
      <c r="V23" s="15">
        <f>P23</f>
        <v/>
      </c>
      <c r="W23" s="15">
        <f>P23</f>
        <v/>
      </c>
      <c r="X23" s="15">
        <f>P23</f>
        <v/>
      </c>
      <c r="Y23" s="15">
        <f>P23</f>
        <v/>
      </c>
      <c r="Z23" s="15">
        <f>P23</f>
        <v/>
      </c>
      <c r="AA23" s="15">
        <f>P23</f>
        <v/>
      </c>
      <c r="AB23" s="15">
        <f>P23</f>
        <v/>
      </c>
      <c r="AC23" s="15">
        <f>P23</f>
        <v/>
      </c>
      <c r="AD23" s="15">
        <f>P23</f>
        <v/>
      </c>
      <c r="AE23" s="15">
        <f>P23</f>
        <v/>
      </c>
      <c r="AF23" s="15">
        <f>P23</f>
        <v/>
      </c>
      <c r="AG23" s="15">
        <f>P23</f>
        <v/>
      </c>
      <c r="AH23" s="15">
        <f>P23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CF'!S2</f>
        <v/>
      </c>
      <c r="T2" s="4">
        <f>'QTR P&amp;L'!T12</f>
        <v/>
      </c>
      <c r="U2" s="4">
        <f>'QTR P&amp;L'!U12</f>
        <v/>
      </c>
      <c r="V2" s="4">
        <f>'QTR P&amp;L'!V12</f>
        <v/>
      </c>
      <c r="W2" s="4">
        <f>'QTR P&amp;L'!W12</f>
        <v/>
      </c>
      <c r="X2" s="4">
        <f>'QTR P&amp;L'!X12</f>
        <v/>
      </c>
      <c r="Y2" s="4">
        <f>'QTR P&amp;L'!Y12</f>
        <v/>
      </c>
      <c r="Z2" s="4">
        <f>'QTR P&amp;L'!Z12</f>
        <v/>
      </c>
      <c r="AA2" s="4">
        <f>'QTR P&amp;L'!AA12</f>
        <v/>
      </c>
      <c r="AB2" s="4">
        <f>'QTR P&amp;L'!AB12</f>
        <v/>
      </c>
      <c r="AC2" s="4">
        <f>'QTR P&amp;L'!AC12</f>
        <v/>
      </c>
      <c r="AD2" s="4">
        <f>'QTR P&amp;L'!AD12</f>
        <v/>
      </c>
      <c r="AE2" s="4">
        <f>'QTR P&amp;L'!AE12</f>
        <v/>
      </c>
      <c r="AF2" s="4">
        <f>'QTR P&amp;L'!AF12</f>
        <v/>
      </c>
      <c r="AG2" s="4">
        <f>'QTR P&amp;L'!AG12</f>
        <v/>
      </c>
      <c r="AH2" s="4">
        <f>'QTR P&amp;L'!AH12</f>
        <v/>
      </c>
      <c r="AI2" s="4">
        <f>'QTR P&amp;L'!AI12</f>
        <v/>
      </c>
      <c r="AJ2" s="4">
        <f>'QTR P&amp;L'!AJ12</f>
        <v/>
      </c>
      <c r="AK2" s="4">
        <f>'QTR P&amp;L'!AK12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3">
        <f>IFERROR('QTR CF'!S3/'QTR P&amp;L'!S2,"")</f>
        <v/>
      </c>
      <c r="T3" s="14">
        <f>S3</f>
        <v/>
      </c>
      <c r="U3" s="14">
        <f>S3</f>
        <v/>
      </c>
      <c r="V3" s="14">
        <f>S3</f>
        <v/>
      </c>
      <c r="W3" s="14">
        <f>S3</f>
        <v/>
      </c>
      <c r="X3" s="14">
        <f>S3</f>
        <v/>
      </c>
      <c r="Y3" s="14">
        <f>S3</f>
        <v/>
      </c>
      <c r="Z3" s="14">
        <f>S3</f>
        <v/>
      </c>
      <c r="AA3" s="14">
        <f>S3</f>
        <v/>
      </c>
      <c r="AB3" s="14">
        <f>S3</f>
        <v/>
      </c>
      <c r="AC3" s="14">
        <f>S3</f>
        <v/>
      </c>
      <c r="AD3" s="14">
        <f>S3</f>
        <v/>
      </c>
      <c r="AE3" s="14">
        <f>S3</f>
        <v/>
      </c>
      <c r="AF3" s="14">
        <f>S3</f>
        <v/>
      </c>
      <c r="AG3" s="14">
        <f>S3</f>
        <v/>
      </c>
      <c r="AH3" s="14">
        <f>S3</f>
        <v/>
      </c>
      <c r="AI3" s="14">
        <f>S3</f>
        <v/>
      </c>
      <c r="AJ3" s="14">
        <f>S3</f>
        <v/>
      </c>
      <c r="AK3" s="14">
        <f>S3</f>
        <v/>
      </c>
    </row>
    <row r="4">
      <c r="A4" s="3" t="inlineStr">
        <is>
          <t>Stock-Based Compensation — % of Revenue</t>
        </is>
      </c>
      <c r="B4" s="13">
        <f>IFERROR('QTR CF'!B4/'QTR P&amp;L'!B2,"")</f>
        <v/>
      </c>
      <c r="C4" s="13">
        <f>IFERROR('QTR CF'!C4/'QTR P&amp;L'!C2,"")</f>
        <v/>
      </c>
      <c r="D4" s="13">
        <f>IFERROR('QTR CF'!D4/'QTR P&amp;L'!D2,"")</f>
        <v/>
      </c>
      <c r="E4" s="13">
        <f>IFERROR('QTR CF'!E4/'QTR P&amp;L'!E2,"")</f>
        <v/>
      </c>
      <c r="F4" s="13">
        <f>IFERROR('QTR CF'!F4/'QTR P&amp;L'!F2,"")</f>
        <v/>
      </c>
      <c r="G4" s="13">
        <f>IFERROR('QTR CF'!G4/'QTR P&amp;L'!G2,"")</f>
        <v/>
      </c>
      <c r="H4" s="13">
        <f>IFERROR('QTR CF'!H4/'QTR P&amp;L'!H2,"")</f>
        <v/>
      </c>
      <c r="I4" s="13">
        <f>IFERROR('QTR CF'!I4/'QTR P&amp;L'!I2,"")</f>
        <v/>
      </c>
      <c r="J4" s="13">
        <f>IFERROR('QTR CF'!J4/'QTR P&amp;L'!J2,"")</f>
        <v/>
      </c>
      <c r="K4" s="13">
        <f>IFERROR('QTR CF'!K4/'QTR P&amp;L'!K2,"")</f>
        <v/>
      </c>
      <c r="L4" s="13">
        <f>IFERROR('QTR CF'!L4/'QTR P&amp;L'!L2,"")</f>
        <v/>
      </c>
      <c r="M4" s="13">
        <f>IFERROR('QTR CF'!M4/'QTR P&amp;L'!M2,"")</f>
        <v/>
      </c>
      <c r="N4" s="13">
        <f>IFERROR('QTR CF'!N4/'QTR P&amp;L'!N2,"")</f>
        <v/>
      </c>
      <c r="O4" s="13">
        <f>IFERROR('QTR CF'!O4/'QTR P&amp;L'!O2,"")</f>
        <v/>
      </c>
      <c r="P4" s="13">
        <f>IFERROR('QTR CF'!P4/'QTR P&amp;L'!P2,"")</f>
        <v/>
      </c>
      <c r="Q4" s="13">
        <f>IFERROR('QTR CF'!Q4/'QTR P&amp;L'!Q2,"")</f>
        <v/>
      </c>
      <c r="R4" s="13">
        <f>IFERROR('QTR CF'!R4/'QTR P&amp;L'!R2,"")</f>
        <v/>
      </c>
      <c r="S4" s="13">
        <f>IFERROR('QTR CF'!S4/'QTR P&amp;L'!S2,"")</f>
        <v/>
      </c>
      <c r="T4" s="14">
        <f>S4</f>
        <v/>
      </c>
      <c r="U4" s="14">
        <f>S4</f>
        <v/>
      </c>
      <c r="V4" s="14">
        <f>S4</f>
        <v/>
      </c>
      <c r="W4" s="14">
        <f>S4</f>
        <v/>
      </c>
      <c r="X4" s="14">
        <f>S4</f>
        <v/>
      </c>
      <c r="Y4" s="14">
        <f>S4</f>
        <v/>
      </c>
      <c r="Z4" s="14">
        <f>S4</f>
        <v/>
      </c>
      <c r="AA4" s="14">
        <f>S4</f>
        <v/>
      </c>
      <c r="AB4" s="14">
        <f>S4</f>
        <v/>
      </c>
      <c r="AC4" s="14">
        <f>S4</f>
        <v/>
      </c>
      <c r="AD4" s="14">
        <f>S4</f>
        <v/>
      </c>
      <c r="AE4" s="14">
        <f>S4</f>
        <v/>
      </c>
      <c r="AF4" s="14">
        <f>S4</f>
        <v/>
      </c>
      <c r="AG4" s="14">
        <f>S4</f>
        <v/>
      </c>
      <c r="AH4" s="14">
        <f>S4</f>
        <v/>
      </c>
      <c r="AI4" s="14">
        <f>S4</f>
        <v/>
      </c>
      <c r="AJ4" s="14">
        <f>S4</f>
        <v/>
      </c>
      <c r="AK4" s="14">
        <f>S4</f>
        <v/>
      </c>
    </row>
    <row r="5">
      <c r="A5" s="3" t="inlineStr">
        <is>
          <t>(Benefit) Provision for Deferred Income Taxes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4">
        <f>'QTR CF'!S5</f>
        <v/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Gain (Loss) on Disposal of PP&amp;E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4">
        <f>'QTR CF'!S6</f>
        <v/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</row>
    <row r="7">
      <c r="A7" s="3" t="inlineStr">
        <is>
          <t>Impairment of Intangibles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4">
        <f>'QTR CF'!S7</f>
        <v/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</row>
    <row r="8">
      <c r="A8" s="3" t="inlineStr">
        <is>
          <t>Accounts Receivable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4">
        <f>'QTR CF'!S8</f>
        <v/>
      </c>
      <c r="T8" s="4">
        <f>-('QTR BS'!Q3-'QTR BS'!P3)</f>
        <v/>
      </c>
      <c r="U8" s="4">
        <f>-('QTR BS'!R3-'QTR BS'!Q3)</f>
        <v/>
      </c>
      <c r="V8" s="4">
        <f>-('QTR BS'!S3-'QTR BS'!R3)</f>
        <v/>
      </c>
      <c r="W8" s="4">
        <f>-('QTR BS'!T3-'QTR BS'!S3)</f>
        <v/>
      </c>
      <c r="X8" s="4">
        <f>-('QTR BS'!U3-'QTR BS'!T3)</f>
        <v/>
      </c>
      <c r="Y8" s="4">
        <f>-('QTR BS'!V3-'QTR BS'!U3)</f>
        <v/>
      </c>
      <c r="Z8" s="4">
        <f>-('QTR BS'!W3-'QTR BS'!V3)</f>
        <v/>
      </c>
      <c r="AA8" s="4">
        <f>-('QTR BS'!X3-'QTR BS'!W3)</f>
        <v/>
      </c>
      <c r="AB8" s="4">
        <f>-('QTR BS'!Y3-'QTR BS'!X3)</f>
        <v/>
      </c>
      <c r="AC8" s="4">
        <f>-('QTR BS'!Z3-'QTR BS'!Y3)</f>
        <v/>
      </c>
      <c r="AD8" s="4">
        <f>-('QTR BS'!AA3-'QTR BS'!Z3)</f>
        <v/>
      </c>
      <c r="AE8" s="4">
        <f>-('QTR BS'!AB3-'QTR BS'!AA3)</f>
        <v/>
      </c>
      <c r="AF8" s="4">
        <f>-('QTR BS'!AC3-'QTR BS'!AB3)</f>
        <v/>
      </c>
      <c r="AG8" s="4">
        <f>-('QTR BS'!AD3-'QTR BS'!AC3)</f>
        <v/>
      </c>
      <c r="AH8" s="4">
        <f>-('QTR BS'!AE3-'QTR BS'!AD3)</f>
        <v/>
      </c>
      <c r="AI8" s="4">
        <f>-('QTR BS'!AF3-'QTR BS'!AE3)</f>
        <v/>
      </c>
      <c r="AJ8" s="4">
        <f>-('QTR BS'!AG3-'QTR BS'!AF3)</f>
        <v/>
      </c>
      <c r="AK8" s="4">
        <f>-('QTR BS'!AH3-'QTR BS'!AG3)</f>
        <v/>
      </c>
    </row>
    <row r="9">
      <c r="A9" s="3" t="inlineStr">
        <is>
          <t>Inventories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4">
        <f>'QTR CF'!R9</f>
        <v/>
      </c>
      <c r="S9" s="4">
        <f>'QTR CF'!S9</f>
        <v/>
      </c>
      <c r="T9" s="4">
        <f>-('QTR BS'!Q4-'QTR BS'!P4)</f>
        <v/>
      </c>
      <c r="U9" s="4">
        <f>-('QTR BS'!R4-'QTR BS'!Q4)</f>
        <v/>
      </c>
      <c r="V9" s="4">
        <f>-('QTR BS'!S4-'QTR BS'!R4)</f>
        <v/>
      </c>
      <c r="W9" s="4">
        <f>-('QTR BS'!T4-'QTR BS'!S4)</f>
        <v/>
      </c>
      <c r="X9" s="4">
        <f>-('QTR BS'!U4-'QTR BS'!T4)</f>
        <v/>
      </c>
      <c r="Y9" s="4">
        <f>-('QTR BS'!V4-'QTR BS'!U4)</f>
        <v/>
      </c>
      <c r="Z9" s="4">
        <f>-('QTR BS'!W4-'QTR BS'!V4)</f>
        <v/>
      </c>
      <c r="AA9" s="4">
        <f>-('QTR BS'!X4-'QTR BS'!W4)</f>
        <v/>
      </c>
      <c r="AB9" s="4">
        <f>-('QTR BS'!Y4-'QTR BS'!X4)</f>
        <v/>
      </c>
      <c r="AC9" s="4">
        <f>-('QTR BS'!Z4-'QTR BS'!Y4)</f>
        <v/>
      </c>
      <c r="AD9" s="4">
        <f>-('QTR BS'!AA4-'QTR BS'!Z4)</f>
        <v/>
      </c>
      <c r="AE9" s="4">
        <f>-('QTR BS'!AB4-'QTR BS'!AA4)</f>
        <v/>
      </c>
      <c r="AF9" s="4">
        <f>-('QTR BS'!AC4-'QTR BS'!AB4)</f>
        <v/>
      </c>
      <c r="AG9" s="4">
        <f>-('QTR BS'!AD4-'QTR BS'!AC4)</f>
        <v/>
      </c>
      <c r="AH9" s="4">
        <f>-('QTR BS'!AE4-'QTR BS'!AD4)</f>
        <v/>
      </c>
      <c r="AI9" s="4">
        <f>-('QTR BS'!AF4-'QTR BS'!AE4)</f>
        <v/>
      </c>
      <c r="AJ9" s="4">
        <f>-('QTR BS'!AG4-'QTR BS'!AF4)</f>
        <v/>
      </c>
      <c r="AK9" s="4">
        <f>-('QTR BS'!AH4-'QTR BS'!AG4)</f>
        <v/>
      </c>
    </row>
    <row r="10">
      <c r="A10" s="3" t="inlineStr">
        <is>
          <t>Accounts Payable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4">
        <f>'QTR CF'!S10</f>
        <v/>
      </c>
      <c r="T10" s="4">
        <f>('QTR BS'!Q12-'QTR BS'!P12)</f>
        <v/>
      </c>
      <c r="U10" s="4">
        <f>('QTR BS'!R12-'QTR BS'!Q12)</f>
        <v/>
      </c>
      <c r="V10" s="4">
        <f>('QTR BS'!S12-'QTR BS'!R12)</f>
        <v/>
      </c>
      <c r="W10" s="4">
        <f>('QTR BS'!T12-'QTR BS'!S12)</f>
        <v/>
      </c>
      <c r="X10" s="4">
        <f>('QTR BS'!U12-'QTR BS'!T12)</f>
        <v/>
      </c>
      <c r="Y10" s="4">
        <f>('QTR BS'!V12-'QTR BS'!U12)</f>
        <v/>
      </c>
      <c r="Z10" s="4">
        <f>('QTR BS'!W12-'QTR BS'!V12)</f>
        <v/>
      </c>
      <c r="AA10" s="4">
        <f>('QTR BS'!X12-'QTR BS'!W12)</f>
        <v/>
      </c>
      <c r="AB10" s="4">
        <f>('QTR BS'!Y12-'QTR BS'!X12)</f>
        <v/>
      </c>
      <c r="AC10" s="4">
        <f>('QTR BS'!Z12-'QTR BS'!Y12)</f>
        <v/>
      </c>
      <c r="AD10" s="4">
        <f>('QTR BS'!AA12-'QTR BS'!Z12)</f>
        <v/>
      </c>
      <c r="AE10" s="4">
        <f>('QTR BS'!AB12-'QTR BS'!AA12)</f>
        <v/>
      </c>
      <c r="AF10" s="4">
        <f>('QTR BS'!AC12-'QTR BS'!AB12)</f>
        <v/>
      </c>
      <c r="AG10" s="4">
        <f>('QTR BS'!AD12-'QTR BS'!AC12)</f>
        <v/>
      </c>
      <c r="AH10" s="4">
        <f>('QTR BS'!AE12-'QTR BS'!AD12)</f>
        <v/>
      </c>
      <c r="AI10" s="4">
        <f>('QTR BS'!AF12-'QTR BS'!AE12)</f>
        <v/>
      </c>
      <c r="AJ10" s="4">
        <f>('QTR BS'!AG12-'QTR BS'!AF12)</f>
        <v/>
      </c>
      <c r="AK10" s="4">
        <f>('QTR BS'!AH12-'QTR BS'!AG12)</f>
        <v/>
      </c>
    </row>
    <row r="11">
      <c r="A11" s="3" t="inlineStr">
        <is>
          <t>Net Change in Other Working Capital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4">
        <f>'QTR CF'!S11</f>
        <v/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</row>
    <row r="12">
      <c r="A12" s="3" t="inlineStr">
        <is>
          <t>Other Operating Items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4">
        <f>'QTR CF'!S12</f>
        <v/>
      </c>
      <c r="T12" s="4">
        <f>-('QTR BS'!Q5-'QTR BS'!P5)-('QTR BS'!Q10-'QTR BS'!P10)+('QTR BS'!Q13-'QTR BS'!P13)+('QTR BS'!Q18-'QTR BS'!P18)-('QTR BS'!Q8-'QTR BS'!P8)-('QTR BS'!Q9-'QTR BS'!P9)+('QTR BS'!Q14-'QTR BS'!P14)+('QTR BS'!Q16-'QTR BS'!P16)+('QTR BS'!Q17-'QTR BS'!P17)+('QTR BS'!Q21-'QTR BS'!P21)+('QTR BS'!Q23-'QTR BS'!P23)+('QTR BS'!Q25-'QTR BS'!P25)+('QTR BS'!Q27-'QTR BS'!P27)</f>
        <v/>
      </c>
      <c r="U12" s="4">
        <f>-('QTR BS'!R5-'QTR BS'!Q5)-('QTR BS'!R10-'QTR BS'!Q10)+('QTR BS'!R13-'QTR BS'!Q13)+('QTR BS'!R18-'QTR BS'!Q18)-('QTR BS'!R8-'QTR BS'!Q8)-('QTR BS'!R9-'QTR BS'!Q9)+('QTR BS'!R14-'QTR BS'!Q14)+('QTR BS'!R16-'QTR BS'!Q16)+('QTR BS'!R17-'QTR BS'!Q17)+('QTR BS'!R21-'QTR BS'!Q21)+('QTR BS'!R23-'QTR BS'!Q23)+('QTR BS'!R25-'QTR BS'!Q25)+('QTR BS'!R27-'QTR BS'!Q27)</f>
        <v/>
      </c>
      <c r="V12" s="4">
        <f>-('QTR BS'!S5-'QTR BS'!R5)-('QTR BS'!S10-'QTR BS'!R10)+('QTR BS'!S13-'QTR BS'!R13)+('QTR BS'!S18-'QTR BS'!R18)-('QTR BS'!S8-'QTR BS'!R8)-('QTR BS'!S9-'QTR BS'!R9)+('QTR BS'!S14-'QTR BS'!R14)+('QTR BS'!S16-'QTR BS'!R16)+('QTR BS'!S17-'QTR BS'!R17)+('QTR BS'!S21-'QTR BS'!R21)+('QTR BS'!S23-'QTR BS'!R23)+('QTR BS'!S25-'QTR BS'!R25)+('QTR BS'!S27-'QTR BS'!R27)</f>
        <v/>
      </c>
      <c r="W12" s="4">
        <f>-('QTR BS'!T5-'QTR BS'!S5)-('QTR BS'!T10-'QTR BS'!S10)+('QTR BS'!T13-'QTR BS'!S13)+('QTR BS'!T18-'QTR BS'!S18)-('QTR BS'!T8-'QTR BS'!S8)-('QTR BS'!T9-'QTR BS'!S9)+('QTR BS'!T14-'QTR BS'!S14)+('QTR BS'!T16-'QTR BS'!S16)+('QTR BS'!T17-'QTR BS'!S17)+('QTR BS'!T21-'QTR BS'!S21)+('QTR BS'!T23-'QTR BS'!S23)+('QTR BS'!T25-'QTR BS'!S25)+('QTR BS'!T27-'QTR BS'!S27)</f>
        <v/>
      </c>
      <c r="X12" s="4">
        <f>-('QTR BS'!U5-'QTR BS'!T5)-('QTR BS'!U10-'QTR BS'!T10)+('QTR BS'!U13-'QTR BS'!T13)+('QTR BS'!U18-'QTR BS'!T18)-('QTR BS'!U8-'QTR BS'!T8)-('QTR BS'!U9-'QTR BS'!T9)+('QTR BS'!U14-'QTR BS'!T14)+('QTR BS'!U16-'QTR BS'!T16)+('QTR BS'!U17-'QTR BS'!T17)+('QTR BS'!U21-'QTR BS'!T21)+('QTR BS'!U23-'QTR BS'!T23)+('QTR BS'!U25-'QTR BS'!T25)+('QTR BS'!U27-'QTR BS'!T27)</f>
        <v/>
      </c>
      <c r="Y12" s="4">
        <f>-('QTR BS'!V5-'QTR BS'!U5)-('QTR BS'!V10-'QTR BS'!U10)+('QTR BS'!V13-'QTR BS'!U13)+('QTR BS'!V18-'QTR BS'!U18)-('QTR BS'!V8-'QTR BS'!U8)-('QTR BS'!V9-'QTR BS'!U9)+('QTR BS'!V14-'QTR BS'!U14)+('QTR BS'!V16-'QTR BS'!U16)+('QTR BS'!V17-'QTR BS'!U17)+('QTR BS'!V21-'QTR BS'!U21)+('QTR BS'!V23-'QTR BS'!U23)+('QTR BS'!V25-'QTR BS'!U25)+('QTR BS'!V27-'QTR BS'!U27)</f>
        <v/>
      </c>
      <c r="Z12" s="4">
        <f>-('QTR BS'!W5-'QTR BS'!V5)-('QTR BS'!W10-'QTR BS'!V10)+('QTR BS'!W13-'QTR BS'!V13)+('QTR BS'!W18-'QTR BS'!V18)-('QTR BS'!W8-'QTR BS'!V8)-('QTR BS'!W9-'QTR BS'!V9)+('QTR BS'!W14-'QTR BS'!V14)+('QTR BS'!W16-'QTR BS'!V16)+('QTR BS'!W17-'QTR BS'!V17)+('QTR BS'!W21-'QTR BS'!V21)+('QTR BS'!W23-'QTR BS'!V23)+('QTR BS'!W25-'QTR BS'!V25)+('QTR BS'!W27-'QTR BS'!V27)</f>
        <v/>
      </c>
      <c r="AA12" s="4">
        <f>-('QTR BS'!X5-'QTR BS'!W5)-('QTR BS'!X10-'QTR BS'!W10)+('QTR BS'!X13-'QTR BS'!W13)+('QTR BS'!X18-'QTR BS'!W18)-('QTR BS'!X8-'QTR BS'!W8)-('QTR BS'!X9-'QTR BS'!W9)+('QTR BS'!X14-'QTR BS'!W14)+('QTR BS'!X16-'QTR BS'!W16)+('QTR BS'!X17-'QTR BS'!W17)+('QTR BS'!X21-'QTR BS'!W21)+('QTR BS'!X23-'QTR BS'!W23)+('QTR BS'!X25-'QTR BS'!W25)+('QTR BS'!X27-'QTR BS'!W27)</f>
        <v/>
      </c>
      <c r="AB12" s="4">
        <f>-('QTR BS'!Y5-'QTR BS'!X5)-('QTR BS'!Y10-'QTR BS'!X10)+('QTR BS'!Y13-'QTR BS'!X13)+('QTR BS'!Y18-'QTR BS'!X18)-('QTR BS'!Y8-'QTR BS'!X8)-('QTR BS'!Y9-'QTR BS'!X9)+('QTR BS'!Y14-'QTR BS'!X14)+('QTR BS'!Y16-'QTR BS'!X16)+('QTR BS'!Y17-'QTR BS'!X17)+('QTR BS'!Y21-'QTR BS'!X21)+('QTR BS'!Y23-'QTR BS'!X23)+('QTR BS'!Y25-'QTR BS'!X25)+('QTR BS'!Y27-'QTR BS'!X27)</f>
        <v/>
      </c>
      <c r="AC12" s="4">
        <f>-('QTR BS'!Z5-'QTR BS'!Y5)-('QTR BS'!Z10-'QTR BS'!Y10)+('QTR BS'!Z13-'QTR BS'!Y13)+('QTR BS'!Z18-'QTR BS'!Y18)-('QTR BS'!Z8-'QTR BS'!Y8)-('QTR BS'!Z9-'QTR BS'!Y9)+('QTR BS'!Z14-'QTR BS'!Y14)+('QTR BS'!Z16-'QTR BS'!Y16)+('QTR BS'!Z17-'QTR BS'!Y17)+('QTR BS'!Z21-'QTR BS'!Y21)+('QTR BS'!Z23-'QTR BS'!Y23)+('QTR BS'!Z25-'QTR BS'!Y25)+('QTR BS'!Z27-'QTR BS'!Y27)</f>
        <v/>
      </c>
      <c r="AD12" s="4">
        <f>-('QTR BS'!AA5-'QTR BS'!Z5)-('QTR BS'!AA10-'QTR BS'!Z10)+('QTR BS'!AA13-'QTR BS'!Z13)+('QTR BS'!AA18-'QTR BS'!Z18)-('QTR BS'!AA8-'QTR BS'!Z8)-('QTR BS'!AA9-'QTR BS'!Z9)+('QTR BS'!AA14-'QTR BS'!Z14)+('QTR BS'!AA16-'QTR BS'!Z16)+('QTR BS'!AA17-'QTR BS'!Z17)+('QTR BS'!AA21-'QTR BS'!Z21)+('QTR BS'!AA23-'QTR BS'!Z23)+('QTR BS'!AA25-'QTR BS'!Z25)+('QTR BS'!AA27-'QTR BS'!Z27)</f>
        <v/>
      </c>
      <c r="AE12" s="4">
        <f>-('QTR BS'!AB5-'QTR BS'!AA5)-('QTR BS'!AB10-'QTR BS'!AA10)+('QTR BS'!AB13-'QTR BS'!AA13)+('QTR BS'!AB18-'QTR BS'!AA18)-('QTR BS'!AB8-'QTR BS'!AA8)-('QTR BS'!AB9-'QTR BS'!AA9)+('QTR BS'!AB14-'QTR BS'!AA14)+('QTR BS'!AB16-'QTR BS'!AA16)+('QTR BS'!AB17-'QTR BS'!AA17)+('QTR BS'!AB21-'QTR BS'!AA21)+('QTR BS'!AB23-'QTR BS'!AA23)+('QTR BS'!AB25-'QTR BS'!AA25)+('QTR BS'!AB27-'QTR BS'!AA27)</f>
        <v/>
      </c>
      <c r="AF12" s="4">
        <f>-('QTR BS'!AC5-'QTR BS'!AB5)-('QTR BS'!AC10-'QTR BS'!AB10)+('QTR BS'!AC13-'QTR BS'!AB13)+('QTR BS'!AC18-'QTR BS'!AB18)-('QTR BS'!AC8-'QTR BS'!AB8)-('QTR BS'!AC9-'QTR BS'!AB9)+('QTR BS'!AC14-'QTR BS'!AB14)+('QTR BS'!AC16-'QTR BS'!AB16)+('QTR BS'!AC17-'QTR BS'!AB17)+('QTR BS'!AC21-'QTR BS'!AB21)+('QTR BS'!AC23-'QTR BS'!AB23)+('QTR BS'!AC25-'QTR BS'!AB25)+('QTR BS'!AC27-'QTR BS'!AB27)</f>
        <v/>
      </c>
      <c r="AG12" s="4">
        <f>-('QTR BS'!AD5-'QTR BS'!AC5)-('QTR BS'!AD10-'QTR BS'!AC10)+('QTR BS'!AD13-'QTR BS'!AC13)+('QTR BS'!AD18-'QTR BS'!AC18)-('QTR BS'!AD8-'QTR BS'!AC8)-('QTR BS'!AD9-'QTR BS'!AC9)+('QTR BS'!AD14-'QTR BS'!AC14)+('QTR BS'!AD16-'QTR BS'!AC16)+('QTR BS'!AD17-'QTR BS'!AC17)+('QTR BS'!AD21-'QTR BS'!AC21)+('QTR BS'!AD23-'QTR BS'!AC23)+('QTR BS'!AD25-'QTR BS'!AC25)+('QTR BS'!AD27-'QTR BS'!AC27)</f>
        <v/>
      </c>
      <c r="AH12" s="4">
        <f>-('QTR BS'!AE5-'QTR BS'!AD5)-('QTR BS'!AE10-'QTR BS'!AD10)+('QTR BS'!AE13-'QTR BS'!AD13)+('QTR BS'!AE18-'QTR BS'!AD18)-('QTR BS'!AE8-'QTR BS'!AD8)-('QTR BS'!AE9-'QTR BS'!AD9)+('QTR BS'!AE14-'QTR BS'!AD14)+('QTR BS'!AE16-'QTR BS'!AD16)+('QTR BS'!AE17-'QTR BS'!AD17)+('QTR BS'!AE21-'QTR BS'!AD21)+('QTR BS'!AE23-'QTR BS'!AD23)+('QTR BS'!AE25-'QTR BS'!AD25)+('QTR BS'!AE27-'QTR BS'!AD27)</f>
        <v/>
      </c>
      <c r="AI12" s="4">
        <f>-('QTR BS'!AF5-'QTR BS'!AE5)-('QTR BS'!AF10-'QTR BS'!AE10)+('QTR BS'!AF13-'QTR BS'!AE13)+('QTR BS'!AF18-'QTR BS'!AE18)-('QTR BS'!AF8-'QTR BS'!AE8)-('QTR BS'!AF9-'QTR BS'!AE9)+('QTR BS'!AF14-'QTR BS'!AE14)+('QTR BS'!AF16-'QTR BS'!AE16)+('QTR BS'!AF17-'QTR BS'!AE17)+('QTR BS'!AF21-'QTR BS'!AE21)+('QTR BS'!AF23-'QTR BS'!AE23)+('QTR BS'!AF25-'QTR BS'!AE25)+('QTR BS'!AF27-'QTR BS'!AE27)</f>
        <v/>
      </c>
      <c r="AJ12" s="4">
        <f>-('QTR BS'!AG5-'QTR BS'!AF5)-('QTR BS'!AG10-'QTR BS'!AF10)+('QTR BS'!AG13-'QTR BS'!AF13)+('QTR BS'!AG18-'QTR BS'!AF18)-('QTR BS'!AG8-'QTR BS'!AF8)-('QTR BS'!AG9-'QTR BS'!AF9)+('QTR BS'!AG14-'QTR BS'!AF14)+('QTR BS'!AG16-'QTR BS'!AF16)+('QTR BS'!AG17-'QTR BS'!AF17)+('QTR BS'!AG21-'QTR BS'!AF21)+('QTR BS'!AG23-'QTR BS'!AF23)+('QTR BS'!AG25-'QTR BS'!AF25)+('QTR BS'!AG27-'QTR BS'!AF27)</f>
        <v/>
      </c>
      <c r="AK12" s="4">
        <f>-('QTR BS'!AH5-'QTR BS'!AG5)-('QTR BS'!AH10-'QTR BS'!AG10)+('QTR BS'!AH13-'QTR BS'!AG13)+('QTR BS'!AH18-'QTR BS'!AG18)-('QTR BS'!AH8-'QTR BS'!AG8)-('QTR BS'!AH9-'QTR BS'!AG9)+('QTR BS'!AH14-'QTR BS'!AG14)+('QTR BS'!AH16-'QTR BS'!AG16)+('QTR BS'!AH17-'QTR BS'!AG17)+('QTR BS'!AH21-'QTR BS'!AG21)+('QTR BS'!AH23-'QTR BS'!AG23)+('QTR BS'!AH25-'QTR BS'!AG25)+('QTR BS'!AH27-'QTR BS'!AG27)</f>
        <v/>
      </c>
    </row>
    <row r="13">
      <c r="A13" s="3" t="inlineStr">
        <is>
          <t>Purchase of PP&amp;E — % of Revenue</t>
        </is>
      </c>
      <c r="B13" s="13">
        <f>IFERROR('QTR CF'!B14/'QTR P&amp;L'!B2,"")</f>
        <v/>
      </c>
      <c r="C13" s="13">
        <f>IFERROR('QTR CF'!C14/'QTR P&amp;L'!C2,"")</f>
        <v/>
      </c>
      <c r="D13" s="13">
        <f>IFERROR('QTR CF'!D14/'QTR P&amp;L'!D2,"")</f>
        <v/>
      </c>
      <c r="E13" s="13">
        <f>IFERROR('QTR CF'!E14/'QTR P&amp;L'!E2,"")</f>
        <v/>
      </c>
      <c r="F13" s="13">
        <f>IFERROR('QTR CF'!F14/'QTR P&amp;L'!F2,"")</f>
        <v/>
      </c>
      <c r="G13" s="13">
        <f>IFERROR('QTR CF'!G14/'QTR P&amp;L'!G2,"")</f>
        <v/>
      </c>
      <c r="H13" s="13">
        <f>IFERROR('QTR CF'!H14/'QTR P&amp;L'!H2,"")</f>
        <v/>
      </c>
      <c r="I13" s="13">
        <f>IFERROR('QTR CF'!I14/'QTR P&amp;L'!I2,"")</f>
        <v/>
      </c>
      <c r="J13" s="13">
        <f>IFERROR('QTR CF'!J14/'QTR P&amp;L'!J2,"")</f>
        <v/>
      </c>
      <c r="K13" s="13">
        <f>IFERROR('QTR CF'!K14/'QTR P&amp;L'!K2,"")</f>
        <v/>
      </c>
      <c r="L13" s="13">
        <f>IFERROR('QTR CF'!L14/'QTR P&amp;L'!L2,"")</f>
        <v/>
      </c>
      <c r="M13" s="13">
        <f>IFERROR('QTR CF'!M14/'QTR P&amp;L'!M2,"")</f>
        <v/>
      </c>
      <c r="N13" s="13">
        <f>IFERROR('QTR CF'!N14/'QTR P&amp;L'!N2,"")</f>
        <v/>
      </c>
      <c r="O13" s="13">
        <f>IFERROR('QTR CF'!O14/'QTR P&amp;L'!O2,"")</f>
        <v/>
      </c>
      <c r="P13" s="13">
        <f>IFERROR('QTR CF'!P14/'QTR P&amp;L'!P2,"")</f>
        <v/>
      </c>
      <c r="Q13" s="13">
        <f>IFERROR('QTR CF'!Q14/'QTR P&amp;L'!Q2,"")</f>
        <v/>
      </c>
      <c r="R13" s="13">
        <f>IFERROR('QTR CF'!R14/'QTR P&amp;L'!R2,"")</f>
        <v/>
      </c>
      <c r="S13" s="13">
        <f>IFERROR('QTR CF'!S14/'QTR P&amp;L'!S2,"")</f>
        <v/>
      </c>
      <c r="T13" s="14">
        <f>S13</f>
        <v/>
      </c>
      <c r="U13" s="14">
        <f>S13</f>
        <v/>
      </c>
      <c r="V13" s="14">
        <f>S13</f>
        <v/>
      </c>
      <c r="W13" s="14">
        <f>S13</f>
        <v/>
      </c>
      <c r="X13" s="14">
        <f>S13</f>
        <v/>
      </c>
      <c r="Y13" s="14">
        <f>S13</f>
        <v/>
      </c>
      <c r="Z13" s="14">
        <f>S13</f>
        <v/>
      </c>
      <c r="AA13" s="14">
        <f>S13</f>
        <v/>
      </c>
      <c r="AB13" s="14">
        <f>S13</f>
        <v/>
      </c>
      <c r="AC13" s="14">
        <f>S13</f>
        <v/>
      </c>
      <c r="AD13" s="14">
        <f>S13</f>
        <v/>
      </c>
      <c r="AE13" s="14">
        <f>S13</f>
        <v/>
      </c>
      <c r="AF13" s="14">
        <f>S13</f>
        <v/>
      </c>
      <c r="AG13" s="14">
        <f>S13</f>
        <v/>
      </c>
      <c r="AH13" s="14">
        <f>S13</f>
        <v/>
      </c>
      <c r="AI13" s="14">
        <f>S13</f>
        <v/>
      </c>
      <c r="AJ13" s="14">
        <f>S13</f>
        <v/>
      </c>
      <c r="AK13" s="14">
        <f>S13</f>
        <v/>
      </c>
    </row>
    <row r="14">
      <c r="A14" s="3" t="inlineStr">
        <is>
          <t>Proceeds from Sale of Assets</t>
        </is>
      </c>
      <c r="B14" s="4">
        <f>'QTR CF'!B15</f>
        <v/>
      </c>
      <c r="C14" s="4">
        <f>'QTR CF'!C15</f>
        <v/>
      </c>
      <c r="D14" s="4">
        <f>'QTR CF'!D15</f>
        <v/>
      </c>
      <c r="E14" s="4">
        <f>'QTR CF'!E15</f>
        <v/>
      </c>
      <c r="F14" s="4">
        <f>'QTR CF'!F15</f>
        <v/>
      </c>
      <c r="G14" s="4">
        <f>'QTR CF'!G15</f>
        <v/>
      </c>
      <c r="H14" s="4">
        <f>'QTR CF'!H15</f>
        <v/>
      </c>
      <c r="I14" s="4">
        <f>'QTR CF'!I15</f>
        <v/>
      </c>
      <c r="J14" s="4">
        <f>'QTR CF'!J15</f>
        <v/>
      </c>
      <c r="K14" s="4">
        <f>'QTR CF'!K15</f>
        <v/>
      </c>
      <c r="L14" s="4">
        <f>'QTR CF'!L15</f>
        <v/>
      </c>
      <c r="M14" s="4">
        <f>'QTR CF'!M15</f>
        <v/>
      </c>
      <c r="N14" s="4">
        <f>'QTR CF'!N15</f>
        <v/>
      </c>
      <c r="O14" s="4">
        <f>'QTR CF'!O15</f>
        <v/>
      </c>
      <c r="P14" s="4">
        <f>'QTR CF'!P15</f>
        <v/>
      </c>
      <c r="Q14" s="4">
        <f>'QTR CF'!Q15</f>
        <v/>
      </c>
      <c r="R14" s="4">
        <f>'QTR CF'!R15</f>
        <v/>
      </c>
      <c r="S14" s="4">
        <f>'QTR CF'!S15</f>
        <v/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</row>
    <row r="15">
      <c r="A15" s="3" t="inlineStr">
        <is>
          <t>Acquisitions, Net of Cash Acquired</t>
        </is>
      </c>
      <c r="B15" s="4">
        <f>'QTR CF'!B16</f>
        <v/>
      </c>
      <c r="C15" s="4">
        <f>'QTR CF'!C16</f>
        <v/>
      </c>
      <c r="D15" s="4">
        <f>'QTR CF'!D16</f>
        <v/>
      </c>
      <c r="E15" s="4">
        <f>'QTR CF'!E16</f>
        <v/>
      </c>
      <c r="F15" s="4">
        <f>'QTR CF'!F16</f>
        <v/>
      </c>
      <c r="G15" s="4">
        <f>'QTR CF'!G16</f>
        <v/>
      </c>
      <c r="H15" s="4">
        <f>'QTR CF'!H16</f>
        <v/>
      </c>
      <c r="I15" s="4">
        <f>'QTR CF'!I16</f>
        <v/>
      </c>
      <c r="J15" s="4">
        <f>'QTR CF'!J16</f>
        <v/>
      </c>
      <c r="K15" s="4">
        <f>'QTR CF'!K16</f>
        <v/>
      </c>
      <c r="L15" s="4">
        <f>'QTR CF'!L16</f>
        <v/>
      </c>
      <c r="M15" s="4">
        <f>'QTR CF'!M16</f>
        <v/>
      </c>
      <c r="N15" s="4">
        <f>'QTR CF'!N16</f>
        <v/>
      </c>
      <c r="O15" s="4">
        <f>'QTR CF'!O16</f>
        <v/>
      </c>
      <c r="P15" s="4">
        <f>'QTR CF'!P16</f>
        <v/>
      </c>
      <c r="Q15" s="4">
        <f>'QTR CF'!Q16</f>
        <v/>
      </c>
      <c r="R15" s="4">
        <f>'QTR CF'!R16</f>
        <v/>
      </c>
      <c r="S15" s="4">
        <f>'QTR CF'!S16</f>
        <v/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</row>
    <row r="16">
      <c r="A16" s="3" t="inlineStr">
        <is>
          <t>Net Change in Short-Term Investments</t>
        </is>
      </c>
      <c r="B16" s="4">
        <f>'QTR CF'!B17</f>
        <v/>
      </c>
      <c r="C16" s="4">
        <f>'QTR CF'!C17</f>
        <v/>
      </c>
      <c r="D16" s="4">
        <f>'QTR CF'!D17</f>
        <v/>
      </c>
      <c r="E16" s="4">
        <f>'QTR CF'!E17</f>
        <v/>
      </c>
      <c r="F16" s="4">
        <f>'QTR CF'!F17</f>
        <v/>
      </c>
      <c r="G16" s="4">
        <f>'QTR CF'!G17</f>
        <v/>
      </c>
      <c r="H16" s="4">
        <f>'QTR CF'!H17</f>
        <v/>
      </c>
      <c r="I16" s="4">
        <f>'QTR CF'!I17</f>
        <v/>
      </c>
      <c r="J16" s="4">
        <f>'QTR CF'!J17</f>
        <v/>
      </c>
      <c r="K16" s="4">
        <f>'QTR CF'!K17</f>
        <v/>
      </c>
      <c r="L16" s="4">
        <f>'QTR CF'!L17</f>
        <v/>
      </c>
      <c r="M16" s="4">
        <f>'QTR CF'!M17</f>
        <v/>
      </c>
      <c r="N16" s="4">
        <f>'QTR CF'!N17</f>
        <v/>
      </c>
      <c r="O16" s="4">
        <f>'QTR CF'!O17</f>
        <v/>
      </c>
      <c r="P16" s="4">
        <f>'QTR CF'!P17</f>
        <v/>
      </c>
      <c r="Q16" s="4">
        <f>'QTR CF'!Q17</f>
        <v/>
      </c>
      <c r="R16" s="4">
        <f>'QTR CF'!R17</f>
        <v/>
      </c>
      <c r="S16" s="4">
        <f>'QTR CF'!S17</f>
        <v/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</row>
    <row r="17">
      <c r="A17" s="3" t="inlineStr">
        <is>
          <t>Other Investing Activities</t>
        </is>
      </c>
      <c r="B17" s="4">
        <f>'QTR CF'!B18</f>
        <v/>
      </c>
      <c r="C17" s="4">
        <f>'QTR CF'!C18</f>
        <v/>
      </c>
      <c r="D17" s="4">
        <f>'QTR CF'!D18</f>
        <v/>
      </c>
      <c r="E17" s="4">
        <f>'QTR CF'!E18</f>
        <v/>
      </c>
      <c r="F17" s="4">
        <f>'QTR CF'!F18</f>
        <v/>
      </c>
      <c r="G17" s="4">
        <f>'QTR CF'!G18</f>
        <v/>
      </c>
      <c r="H17" s="4">
        <f>'QTR CF'!H18</f>
        <v/>
      </c>
      <c r="I17" s="4">
        <f>'QTR CF'!I18</f>
        <v/>
      </c>
      <c r="J17" s="4">
        <f>'QTR CF'!J18</f>
        <v/>
      </c>
      <c r="K17" s="4">
        <f>'QTR CF'!K18</f>
        <v/>
      </c>
      <c r="L17" s="4">
        <f>'QTR CF'!L18</f>
        <v/>
      </c>
      <c r="M17" s="4">
        <f>'QTR CF'!M18</f>
        <v/>
      </c>
      <c r="N17" s="4">
        <f>'QTR CF'!N18</f>
        <v/>
      </c>
      <c r="O17" s="4">
        <f>'QTR CF'!O18</f>
        <v/>
      </c>
      <c r="P17" s="4">
        <f>'QTR CF'!P18</f>
        <v/>
      </c>
      <c r="Q17" s="4">
        <f>'QTR CF'!Q18</f>
        <v/>
      </c>
      <c r="R17" s="4">
        <f>'QTR CF'!R18</f>
        <v/>
      </c>
      <c r="S17" s="4">
        <f>'QTR CF'!S18</f>
        <v/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</row>
    <row r="18">
      <c r="A18" s="3" t="inlineStr">
        <is>
          <t>Common Dividends — % of Net Income</t>
        </is>
      </c>
      <c r="B18" s="13">
        <f>IFERROR('QTR CF'!B20/'QTR P&amp;L'!B12,"")</f>
        <v/>
      </c>
      <c r="C18" s="13">
        <f>IFERROR('QTR CF'!C20/'QTR P&amp;L'!C12,"")</f>
        <v/>
      </c>
      <c r="D18" s="13">
        <f>IFERROR('QTR CF'!D20/'QTR P&amp;L'!D12,"")</f>
        <v/>
      </c>
      <c r="E18" s="13">
        <f>IFERROR('QTR CF'!E20/'QTR P&amp;L'!E12,"")</f>
        <v/>
      </c>
      <c r="F18" s="13">
        <f>IFERROR('QTR CF'!F20/'QTR P&amp;L'!F12,"")</f>
        <v/>
      </c>
      <c r="G18" s="13">
        <f>IFERROR('QTR CF'!G20/'QTR P&amp;L'!G12,"")</f>
        <v/>
      </c>
      <c r="H18" s="13">
        <f>IFERROR('QTR CF'!H20/'QTR P&amp;L'!H12,"")</f>
        <v/>
      </c>
      <c r="I18" s="13">
        <f>IFERROR('QTR CF'!I20/'QTR P&amp;L'!I12,"")</f>
        <v/>
      </c>
      <c r="J18" s="13">
        <f>IFERROR('QTR CF'!J20/'QTR P&amp;L'!J12,"")</f>
        <v/>
      </c>
      <c r="K18" s="13">
        <f>IFERROR('QTR CF'!K20/'QTR P&amp;L'!K12,"")</f>
        <v/>
      </c>
      <c r="L18" s="13">
        <f>IFERROR('QTR CF'!L20/'QTR P&amp;L'!L12,"")</f>
        <v/>
      </c>
      <c r="M18" s="13">
        <f>IFERROR('QTR CF'!M20/'QTR P&amp;L'!M12,"")</f>
        <v/>
      </c>
      <c r="N18" s="13">
        <f>IFERROR('QTR CF'!N20/'QTR P&amp;L'!N12,"")</f>
        <v/>
      </c>
      <c r="O18" s="13">
        <f>IFERROR('QTR CF'!O20/'QTR P&amp;L'!O12,"")</f>
        <v/>
      </c>
      <c r="P18" s="13">
        <f>IFERROR('QTR CF'!P20/'QTR P&amp;L'!P12,"")</f>
        <v/>
      </c>
      <c r="Q18" s="13">
        <f>IFERROR('QTR CF'!Q20/'QTR P&amp;L'!Q12,"")</f>
        <v/>
      </c>
      <c r="R18" s="13">
        <f>IFERROR('QTR CF'!R20/'QTR P&amp;L'!R12,"")</f>
        <v/>
      </c>
      <c r="S18" s="13">
        <f>IFERROR('QTR CF'!S20/'QTR P&amp;L'!S12,"")</f>
        <v/>
      </c>
      <c r="T18" s="14">
        <f>S18</f>
        <v/>
      </c>
      <c r="U18" s="14">
        <f>S18</f>
        <v/>
      </c>
      <c r="V18" s="14">
        <f>S18</f>
        <v/>
      </c>
      <c r="W18" s="14">
        <f>S18</f>
        <v/>
      </c>
      <c r="X18" s="14">
        <f>S18</f>
        <v/>
      </c>
      <c r="Y18" s="14">
        <f>S18</f>
        <v/>
      </c>
      <c r="Z18" s="14">
        <f>S18</f>
        <v/>
      </c>
      <c r="AA18" s="14">
        <f>S18</f>
        <v/>
      </c>
      <c r="AB18" s="14">
        <f>S18</f>
        <v/>
      </c>
      <c r="AC18" s="14">
        <f>S18</f>
        <v/>
      </c>
      <c r="AD18" s="14">
        <f>S18</f>
        <v/>
      </c>
      <c r="AE18" s="14">
        <f>S18</f>
        <v/>
      </c>
      <c r="AF18" s="14">
        <f>S18</f>
        <v/>
      </c>
      <c r="AG18" s="14">
        <f>S18</f>
        <v/>
      </c>
      <c r="AH18" s="14">
        <f>S18</f>
        <v/>
      </c>
      <c r="AI18" s="14">
        <f>S18</f>
        <v/>
      </c>
      <c r="AJ18" s="14">
        <f>S18</f>
        <v/>
      </c>
      <c r="AK18" s="14">
        <f>S18</f>
        <v/>
      </c>
    </row>
    <row r="19">
      <c r="A19" s="3" t="inlineStr">
        <is>
          <t>Proceeds from Short-Term Debt</t>
        </is>
      </c>
      <c r="B19" s="4">
        <f>'QTR CF'!B21</f>
        <v/>
      </c>
      <c r="C19" s="4">
        <f>'QTR CF'!C21</f>
        <v/>
      </c>
      <c r="D19" s="4">
        <f>'QTR CF'!D21</f>
        <v/>
      </c>
      <c r="E19" s="4">
        <f>'QTR CF'!E21</f>
        <v/>
      </c>
      <c r="F19" s="4">
        <f>'QTR CF'!F21</f>
        <v/>
      </c>
      <c r="G19" s="4">
        <f>'QTR CF'!G21</f>
        <v/>
      </c>
      <c r="H19" s="4">
        <f>'QTR CF'!H21</f>
        <v/>
      </c>
      <c r="I19" s="4">
        <f>'QTR CF'!I21</f>
        <v/>
      </c>
      <c r="J19" s="4">
        <f>'QTR CF'!J21</f>
        <v/>
      </c>
      <c r="K19" s="4">
        <f>'QTR CF'!K21</f>
        <v/>
      </c>
      <c r="L19" s="4">
        <f>'QTR CF'!L21</f>
        <v/>
      </c>
      <c r="M19" s="4">
        <f>'QTR CF'!M21</f>
        <v/>
      </c>
      <c r="N19" s="4">
        <f>'QTR CF'!N21</f>
        <v/>
      </c>
      <c r="O19" s="4">
        <f>'QTR CF'!O21</f>
        <v/>
      </c>
      <c r="P19" s="4">
        <f>'QTR CF'!P21</f>
        <v/>
      </c>
      <c r="Q19" s="4">
        <f>'QTR CF'!Q21</f>
        <v/>
      </c>
      <c r="R19" s="4">
        <f>'QTR CF'!R21</f>
        <v/>
      </c>
      <c r="S19" s="4">
        <f>'QTR CF'!S21</f>
        <v/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</row>
    <row r="20">
      <c r="A20" s="3" t="inlineStr">
        <is>
          <t>Repayments of Short-Term Debt</t>
        </is>
      </c>
      <c r="B20" s="4">
        <f>'QTR CF'!B22</f>
        <v/>
      </c>
      <c r="C20" s="4">
        <f>'QTR CF'!C22</f>
        <v/>
      </c>
      <c r="D20" s="4">
        <f>'QTR CF'!D22</f>
        <v/>
      </c>
      <c r="E20" s="4">
        <f>'QTR CF'!E22</f>
        <v/>
      </c>
      <c r="F20" s="4">
        <f>'QTR CF'!F22</f>
        <v/>
      </c>
      <c r="G20" s="4">
        <f>'QTR CF'!G22</f>
        <v/>
      </c>
      <c r="H20" s="4">
        <f>'QTR CF'!H22</f>
        <v/>
      </c>
      <c r="I20" s="4">
        <f>'QTR CF'!I22</f>
        <v/>
      </c>
      <c r="J20" s="4">
        <f>'QTR CF'!J22</f>
        <v/>
      </c>
      <c r="K20" s="4">
        <f>'QTR CF'!K22</f>
        <v/>
      </c>
      <c r="L20" s="4">
        <f>'QTR CF'!L22</f>
        <v/>
      </c>
      <c r="M20" s="4">
        <f>'QTR CF'!M22</f>
        <v/>
      </c>
      <c r="N20" s="4">
        <f>'QTR CF'!N22</f>
        <v/>
      </c>
      <c r="O20" s="4">
        <f>'QTR CF'!O22</f>
        <v/>
      </c>
      <c r="P20" s="4">
        <f>'QTR CF'!P22</f>
        <v/>
      </c>
      <c r="Q20" s="4">
        <f>'QTR CF'!Q22</f>
        <v/>
      </c>
      <c r="R20" s="4">
        <f>'QTR CF'!R22</f>
        <v/>
      </c>
      <c r="S20" s="4">
        <f>'QTR CF'!S22</f>
        <v/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</row>
    <row r="21">
      <c r="A21" s="3" t="inlineStr">
        <is>
          <t>Net Change in Other Short-Term Debt</t>
        </is>
      </c>
      <c r="B21" s="4">
        <f>'QTR CF'!B23</f>
        <v/>
      </c>
      <c r="C21" s="4">
        <f>'QTR CF'!C23</f>
        <v/>
      </c>
      <c r="D21" s="4">
        <f>'QTR CF'!D23</f>
        <v/>
      </c>
      <c r="E21" s="4">
        <f>'QTR CF'!E23</f>
        <v/>
      </c>
      <c r="F21" s="4">
        <f>'QTR CF'!F23</f>
        <v/>
      </c>
      <c r="G21" s="4">
        <f>'QTR CF'!G23</f>
        <v/>
      </c>
      <c r="H21" s="4">
        <f>'QTR CF'!H23</f>
        <v/>
      </c>
      <c r="I21" s="4">
        <f>'QTR CF'!I23</f>
        <v/>
      </c>
      <c r="J21" s="4">
        <f>'QTR CF'!J23</f>
        <v/>
      </c>
      <c r="K21" s="4">
        <f>'QTR CF'!K23</f>
        <v/>
      </c>
      <c r="L21" s="4">
        <f>'QTR CF'!L23</f>
        <v/>
      </c>
      <c r="M21" s="4">
        <f>'QTR CF'!M23</f>
        <v/>
      </c>
      <c r="N21" s="4">
        <f>'QTR CF'!N23</f>
        <v/>
      </c>
      <c r="O21" s="4">
        <f>'QTR CF'!O23</f>
        <v/>
      </c>
      <c r="P21" s="4">
        <f>'QTR CF'!P23</f>
        <v/>
      </c>
      <c r="Q21" s="4">
        <f>'QTR CF'!Q23</f>
        <v/>
      </c>
      <c r="R21" s="4">
        <f>'QTR CF'!R23</f>
        <v/>
      </c>
      <c r="S21" s="4">
        <f>'QTR CF'!S23</f>
        <v/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5" t="n">
        <v>0</v>
      </c>
      <c r="AF21" s="15" t="n">
        <v>0</v>
      </c>
      <c r="AG21" s="15" t="n">
        <v>0</v>
      </c>
      <c r="AH21" s="15" t="n">
        <v>0</v>
      </c>
      <c r="AI21" s="15" t="n">
        <v>0</v>
      </c>
      <c r="AJ21" s="15" t="n">
        <v>0</v>
      </c>
      <c r="AK21" s="15" t="n">
        <v>0</v>
      </c>
    </row>
    <row r="22">
      <c r="A22" s="3" t="inlineStr">
        <is>
          <t>Proceeds from Issuance of Long-Term Debt</t>
        </is>
      </c>
      <c r="B22" s="4">
        <f>'QTR CF'!B24</f>
        <v/>
      </c>
      <c r="C22" s="4">
        <f>'QTR CF'!C24</f>
        <v/>
      </c>
      <c r="D22" s="4">
        <f>'QTR CF'!D24</f>
        <v/>
      </c>
      <c r="E22" s="4">
        <f>'QTR CF'!E24</f>
        <v/>
      </c>
      <c r="F22" s="4">
        <f>'QTR CF'!F24</f>
        <v/>
      </c>
      <c r="G22" s="4">
        <f>'QTR CF'!G24</f>
        <v/>
      </c>
      <c r="H22" s="4">
        <f>'QTR CF'!H24</f>
        <v/>
      </c>
      <c r="I22" s="4">
        <f>'QTR CF'!I24</f>
        <v/>
      </c>
      <c r="J22" s="4">
        <f>'QTR CF'!J24</f>
        <v/>
      </c>
      <c r="K22" s="4">
        <f>'QTR CF'!K24</f>
        <v/>
      </c>
      <c r="L22" s="4">
        <f>'QTR CF'!L24</f>
        <v/>
      </c>
      <c r="M22" s="4">
        <f>'QTR CF'!M24</f>
        <v/>
      </c>
      <c r="N22" s="4">
        <f>'QTR CF'!N24</f>
        <v/>
      </c>
      <c r="O22" s="4">
        <f>'QTR CF'!O24</f>
        <v/>
      </c>
      <c r="P22" s="4">
        <f>'QTR CF'!P24</f>
        <v/>
      </c>
      <c r="Q22" s="4">
        <f>'QTR CF'!Q24</f>
        <v/>
      </c>
      <c r="R22" s="4">
        <f>'QTR CF'!R24</f>
        <v/>
      </c>
      <c r="S22" s="4">
        <f>'QTR CF'!S24</f>
        <v/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0</v>
      </c>
      <c r="AJ22" s="15" t="n">
        <v>0</v>
      </c>
      <c r="AK22" s="15" t="n">
        <v>0</v>
      </c>
    </row>
    <row r="23">
      <c r="A23" s="3" t="inlineStr">
        <is>
          <t>Repayments of Long-Term Debt</t>
        </is>
      </c>
      <c r="B23" s="4">
        <f>'QTR CF'!B25</f>
        <v/>
      </c>
      <c r="C23" s="4">
        <f>'QTR CF'!C25</f>
        <v/>
      </c>
      <c r="D23" s="4">
        <f>'QTR CF'!D25</f>
        <v/>
      </c>
      <c r="E23" s="4">
        <f>'QTR CF'!E25</f>
        <v/>
      </c>
      <c r="F23" s="4">
        <f>'QTR CF'!F25</f>
        <v/>
      </c>
      <c r="G23" s="4">
        <f>'QTR CF'!G25</f>
        <v/>
      </c>
      <c r="H23" s="4">
        <f>'QTR CF'!H25</f>
        <v/>
      </c>
      <c r="I23" s="4">
        <f>'QTR CF'!I25</f>
        <v/>
      </c>
      <c r="J23" s="4">
        <f>'QTR CF'!J25</f>
        <v/>
      </c>
      <c r="K23" s="4">
        <f>'QTR CF'!K25</f>
        <v/>
      </c>
      <c r="L23" s="4">
        <f>'QTR CF'!L25</f>
        <v/>
      </c>
      <c r="M23" s="4">
        <f>'QTR CF'!M25</f>
        <v/>
      </c>
      <c r="N23" s="4">
        <f>'QTR CF'!N25</f>
        <v/>
      </c>
      <c r="O23" s="4">
        <f>'QTR CF'!O25</f>
        <v/>
      </c>
      <c r="P23" s="4">
        <f>'QTR CF'!P25</f>
        <v/>
      </c>
      <c r="Q23" s="4">
        <f>'QTR CF'!Q25</f>
        <v/>
      </c>
      <c r="R23" s="4">
        <f>'QTR CF'!R25</f>
        <v/>
      </c>
      <c r="S23" s="4">
        <f>'QTR CF'!S25</f>
        <v/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</row>
    <row r="24">
      <c r="A24" s="3" t="inlineStr">
        <is>
          <t>Share Repurchases</t>
        </is>
      </c>
      <c r="B24" s="4">
        <f>'QTR CF'!B26</f>
        <v/>
      </c>
      <c r="C24" s="4">
        <f>'QTR CF'!C26</f>
        <v/>
      </c>
      <c r="D24" s="4">
        <f>'QTR CF'!D26</f>
        <v/>
      </c>
      <c r="E24" s="4">
        <f>'QTR CF'!E26</f>
        <v/>
      </c>
      <c r="F24" s="4">
        <f>'QTR CF'!F26</f>
        <v/>
      </c>
      <c r="G24" s="4">
        <f>'QTR CF'!G26</f>
        <v/>
      </c>
      <c r="H24" s="4">
        <f>'QTR CF'!H26</f>
        <v/>
      </c>
      <c r="I24" s="4">
        <f>'QTR CF'!I26</f>
        <v/>
      </c>
      <c r="J24" s="4">
        <f>'QTR CF'!J26</f>
        <v/>
      </c>
      <c r="K24" s="4">
        <f>'QTR CF'!K26</f>
        <v/>
      </c>
      <c r="L24" s="4">
        <f>'QTR CF'!L26</f>
        <v/>
      </c>
      <c r="M24" s="4">
        <f>'QTR CF'!M26</f>
        <v/>
      </c>
      <c r="N24" s="4">
        <f>'QTR CF'!N26</f>
        <v/>
      </c>
      <c r="O24" s="4">
        <f>'QTR CF'!O26</f>
        <v/>
      </c>
      <c r="P24" s="4">
        <f>'QTR CF'!P26</f>
        <v/>
      </c>
      <c r="Q24" s="4">
        <f>'QTR CF'!Q26</f>
        <v/>
      </c>
      <c r="R24" s="4">
        <f>'QTR CF'!R26</f>
        <v/>
      </c>
      <c r="S24" s="4">
        <f>'QTR CF'!S26</f>
        <v/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0</v>
      </c>
      <c r="AJ24" s="15" t="n">
        <v>0</v>
      </c>
      <c r="AK24" s="15" t="n">
        <v>0</v>
      </c>
    </row>
    <row r="25">
      <c r="A25" s="3" t="inlineStr">
        <is>
          <t>Stock Options &amp; Other Financing Activities</t>
        </is>
      </c>
      <c r="B25" s="4">
        <f>'QTR CF'!B27</f>
        <v/>
      </c>
      <c r="C25" s="4">
        <f>'QTR CF'!C27</f>
        <v/>
      </c>
      <c r="D25" s="4">
        <f>'QTR CF'!D27</f>
        <v/>
      </c>
      <c r="E25" s="4">
        <f>'QTR CF'!E27</f>
        <v/>
      </c>
      <c r="F25" s="4">
        <f>'QTR CF'!F27</f>
        <v/>
      </c>
      <c r="G25" s="4">
        <f>'QTR CF'!G27</f>
        <v/>
      </c>
      <c r="H25" s="4">
        <f>'QTR CF'!H27</f>
        <v/>
      </c>
      <c r="I25" s="4">
        <f>'QTR CF'!I27</f>
        <v/>
      </c>
      <c r="J25" s="4">
        <f>'QTR CF'!J27</f>
        <v/>
      </c>
      <c r="K25" s="4">
        <f>'QTR CF'!K27</f>
        <v/>
      </c>
      <c r="L25" s="4">
        <f>'QTR CF'!L27</f>
        <v/>
      </c>
      <c r="M25" s="4">
        <f>'QTR CF'!M27</f>
        <v/>
      </c>
      <c r="N25" s="4">
        <f>'QTR CF'!N27</f>
        <v/>
      </c>
      <c r="O25" s="4">
        <f>'QTR CF'!O27</f>
        <v/>
      </c>
      <c r="P25" s="4">
        <f>'QTR CF'!P27</f>
        <v/>
      </c>
      <c r="Q25" s="4">
        <f>'QTR CF'!Q27</f>
        <v/>
      </c>
      <c r="R25" s="4">
        <f>'QTR CF'!R27</f>
        <v/>
      </c>
      <c r="S25" s="4">
        <f>'QTR CF'!S27</f>
        <v/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5" t="n">
        <v>0</v>
      </c>
      <c r="AF25" s="15" t="n">
        <v>0</v>
      </c>
      <c r="AG25" s="15" t="n">
        <v>0</v>
      </c>
      <c r="AH25" s="15" t="n">
        <v>0</v>
      </c>
      <c r="AI25" s="15" t="n">
        <v>0</v>
      </c>
      <c r="AJ25" s="15" t="n">
        <v>0</v>
      </c>
      <c r="AK25" s="15" t="n">
        <v>0</v>
      </c>
    </row>
    <row r="26">
      <c r="A26" s="3" t="inlineStr">
        <is>
          <t>FX Effect on Cash</t>
        </is>
      </c>
      <c r="B26" s="4">
        <f>'QTR CF'!B29</f>
        <v/>
      </c>
      <c r="C26" s="4">
        <f>'QTR CF'!C29</f>
        <v/>
      </c>
      <c r="D26" s="4">
        <f>'QTR CF'!D29</f>
        <v/>
      </c>
      <c r="E26" s="4">
        <f>'QTR CF'!E29</f>
        <v/>
      </c>
      <c r="F26" s="4">
        <f>'QTR CF'!F29</f>
        <v/>
      </c>
      <c r="G26" s="4">
        <f>'QTR CF'!G29</f>
        <v/>
      </c>
      <c r="H26" s="4">
        <f>'QTR CF'!H29</f>
        <v/>
      </c>
      <c r="I26" s="4">
        <f>'QTR CF'!I29</f>
        <v/>
      </c>
      <c r="J26" s="4">
        <f>'QTR CF'!J29</f>
        <v/>
      </c>
      <c r="K26" s="4">
        <f>'QTR CF'!K29</f>
        <v/>
      </c>
      <c r="L26" s="4">
        <f>'QTR CF'!L29</f>
        <v/>
      </c>
      <c r="M26" s="4">
        <f>'QTR CF'!M29</f>
        <v/>
      </c>
      <c r="N26" s="4">
        <f>'QTR CF'!N29</f>
        <v/>
      </c>
      <c r="O26" s="4">
        <f>'QTR CF'!O29</f>
        <v/>
      </c>
      <c r="P26" s="4">
        <f>'QTR CF'!P29</f>
        <v/>
      </c>
      <c r="Q26" s="4">
        <f>'QTR CF'!Q29</f>
        <v/>
      </c>
      <c r="R26" s="4">
        <f>'QTR CF'!R29</f>
        <v/>
      </c>
      <c r="S26" s="4">
        <f>'QTR CF'!S29</f>
        <v/>
      </c>
      <c r="T26" s="15">
        <f>S26</f>
        <v/>
      </c>
      <c r="U26" s="15">
        <f>S26</f>
        <v/>
      </c>
      <c r="V26" s="15">
        <f>S26</f>
        <v/>
      </c>
      <c r="W26" s="15">
        <f>S26</f>
        <v/>
      </c>
      <c r="X26" s="15">
        <f>S26</f>
        <v/>
      </c>
      <c r="Y26" s="15">
        <f>S26</f>
        <v/>
      </c>
      <c r="Z26" s="15">
        <f>S26</f>
        <v/>
      </c>
      <c r="AA26" s="15">
        <f>S26</f>
        <v/>
      </c>
      <c r="AB26" s="15">
        <f>S26</f>
        <v/>
      </c>
      <c r="AC26" s="15">
        <f>S26</f>
        <v/>
      </c>
      <c r="AD26" s="15">
        <f>S26</f>
        <v/>
      </c>
      <c r="AE26" s="15">
        <f>S26</f>
        <v/>
      </c>
      <c r="AF26" s="15">
        <f>S26</f>
        <v/>
      </c>
      <c r="AG26" s="15">
        <f>S26</f>
        <v/>
      </c>
      <c r="AH26" s="15">
        <f>S26</f>
        <v/>
      </c>
      <c r="AI26" s="15">
        <f>S26</f>
        <v/>
      </c>
      <c r="AJ26" s="15">
        <f>S26</f>
        <v/>
      </c>
      <c r="AK26" s="15">
        <f>S26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2026-04-28T14:36:47Z</dcterms:created>
  <dcterms:modified xmlns:dcterms="http://purl.org/dc/terms/" xmlns:xsi="http://www.w3.org/2001/XMLSchema-instance" xsi:type="dcterms:W3CDTF">2026-04-28T14:36:48Z</dcterms:modified>
</cp:coreProperties>
</file>