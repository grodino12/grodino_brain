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R P&amp;L" sheetId="1" state="visible" r:id="rId1"/>
    <sheet xmlns:r="http://schemas.openxmlformats.org/officeDocument/2006/relationships" name="QTR BS" sheetId="2" state="visible" r:id="rId2"/>
    <sheet xmlns:r="http://schemas.openxmlformats.org/officeDocument/2006/relationships" name="QTR 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Sales / Revenue</t>
        </is>
      </c>
      <c r="B2" s="4" t="n">
        <v>43619</v>
      </c>
      <c r="C2" s="4" t="n">
        <v>44594</v>
      </c>
    </row>
    <row r="3">
      <c r="A3" s="3" t="inlineStr">
        <is>
          <t>COGS</t>
        </is>
      </c>
      <c r="B3" s="4" t="n">
        <v>-20839</v>
      </c>
      <c r="C3" s="4" t="n">
        <v>-21721</v>
      </c>
    </row>
    <row r="4">
      <c r="A4" s="3" t="inlineStr">
        <is>
          <t>SG&amp;A</t>
        </is>
      </c>
      <c r="B4" s="4" t="n">
        <v>-11242</v>
      </c>
      <c r="C4" s="4" t="n">
        <v>-11651</v>
      </c>
    </row>
    <row r="5">
      <c r="A5" s="3" t="inlineStr">
        <is>
          <t>Income (Loss) from Operations</t>
        </is>
      </c>
      <c r="B5" s="4" t="n">
        <v>11538</v>
      </c>
      <c r="C5" s="4" t="n">
        <v>11222</v>
      </c>
    </row>
    <row r="6">
      <c r="A6" s="3" t="inlineStr">
        <is>
          <t>Interest Income (Expense)</t>
        </is>
      </c>
      <c r="B6" s="4" t="n">
        <v>732</v>
      </c>
      <c r="C6" s="4" t="n">
        <v>639</v>
      </c>
    </row>
    <row r="7">
      <c r="A7" s="3" t="inlineStr">
        <is>
          <t>Other Income (Expense)</t>
        </is>
      </c>
      <c r="B7" s="4" t="n">
        <v>-330</v>
      </c>
      <c r="C7" s="4" t="n">
        <v>427</v>
      </c>
    </row>
    <row r="8">
      <c r="A8" s="3" t="inlineStr">
        <is>
          <t>Pre-Tax Income (Loss)</t>
        </is>
      </c>
      <c r="B8" s="5">
        <f>B5-SUM(B6:B7)</f>
        <v/>
      </c>
      <c r="C8" s="5">
        <f>C5-SUM(C6:C7)</f>
        <v/>
      </c>
    </row>
    <row r="9">
      <c r="A9" s="3" t="inlineStr">
        <is>
          <t>Income Tax (Expense) Benefit</t>
        </is>
      </c>
      <c r="B9" s="4" t="n">
        <v>2339</v>
      </c>
      <c r="C9" s="4" t="n">
        <v>2343</v>
      </c>
    </row>
    <row r="10">
      <c r="A10" s="3" t="inlineStr">
        <is>
          <t>Net Income (Loss)</t>
        </is>
      </c>
      <c r="B10" s="5">
        <f>B8-B9</f>
        <v/>
      </c>
      <c r="C10" s="5">
        <f>C8-C9</f>
        <v/>
      </c>
    </row>
    <row r="11">
      <c r="A11" s="3" t="inlineStr">
        <is>
          <t>Net Income (Loss) Attributable to Noncontrolling Interest</t>
        </is>
      </c>
      <c r="B11" s="4" t="n">
        <v>56</v>
      </c>
      <c r="C11" s="4" t="n">
        <v>42</v>
      </c>
    </row>
    <row r="12">
      <c r="A12" s="3" t="inlineStr">
        <is>
          <t>Net Income (Loss) Less NCI</t>
        </is>
      </c>
      <c r="B12" s="4" t="n">
        <v>8589</v>
      </c>
      <c r="C12" s="4" t="n">
        <v>9070</v>
      </c>
    </row>
    <row r="13">
      <c r="A13" s="3" t="inlineStr">
        <is>
          <t>Basic Earnings (Loss) per Share</t>
        </is>
      </c>
      <c r="B13" s="4" t="n">
        <v>3.59</v>
      </c>
      <c r="C13" s="4" t="n">
        <v>3.82</v>
      </c>
    </row>
    <row r="14">
      <c r="A14" s="3" t="inlineStr">
        <is>
          <t>Diluted Earnings (Loss) per Share</t>
        </is>
      </c>
      <c r="B14" s="4" t="n">
        <v>3.49</v>
      </c>
      <c r="C14" s="4" t="n">
        <v>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Q4 FY2025</t>
        </is>
      </c>
      <c r="C1" s="2" t="inlineStr">
        <is>
          <t>Q2 FY2026</t>
        </is>
      </c>
    </row>
    <row r="2">
      <c r="A2" s="3" t="inlineStr">
        <is>
          <t>Cash &amp; Cash Equivalents</t>
        </is>
      </c>
      <c r="B2" s="4" t="n">
        <v>9556</v>
      </c>
      <c r="C2" s="4" t="n">
        <v>10825</v>
      </c>
    </row>
    <row r="3">
      <c r="A3" s="3" t="inlineStr">
        <is>
          <t>Accounts Receivable</t>
        </is>
      </c>
      <c r="B3" s="4" t="n">
        <v>6185</v>
      </c>
      <c r="C3" s="4" t="n">
        <v>6279</v>
      </c>
    </row>
    <row r="4">
      <c r="A4" s="3" t="inlineStr">
        <is>
          <t>Inventories</t>
        </is>
      </c>
      <c r="B4" s="4" t="n">
        <v>7551</v>
      </c>
      <c r="C4" s="4" t="n">
        <v>7817</v>
      </c>
    </row>
    <row r="5">
      <c r="A5" s="3" t="inlineStr">
        <is>
          <t>Prepaid Expenses</t>
        </is>
      </c>
      <c r="B5" s="4" t="n">
        <v>2100</v>
      </c>
      <c r="C5" s="4" t="n">
        <v>1666</v>
      </c>
    </row>
    <row r="6">
      <c r="A6" s="3" t="inlineStr">
        <is>
          <t>Total Current Assets</t>
        </is>
      </c>
      <c r="B6" s="5">
        <f>SUM(B2:B5)</f>
        <v/>
      </c>
      <c r="C6" s="5">
        <f>SUM(C2:C5)</f>
        <v/>
      </c>
    </row>
    <row r="7">
      <c r="A7" s="3" t="inlineStr">
        <is>
          <t>Net PP&amp;E</t>
        </is>
      </c>
      <c r="B7" s="4" t="n">
        <v>23897</v>
      </c>
      <c r="C7" s="4" t="n">
        <v>24487</v>
      </c>
    </row>
    <row r="8">
      <c r="A8" s="3" t="inlineStr">
        <is>
          <t>Goodwill</t>
        </is>
      </c>
      <c r="B8" s="4" t="n">
        <v>41650</v>
      </c>
      <c r="C8" s="4" t="n">
        <v>41665</v>
      </c>
    </row>
    <row r="9">
      <c r="A9" s="3" t="inlineStr">
        <is>
          <t>Intangible Assets</t>
        </is>
      </c>
      <c r="B9" s="4" t="n">
        <v>21910</v>
      </c>
      <c r="C9" s="4" t="n">
        <v>21737</v>
      </c>
    </row>
    <row r="10">
      <c r="A10" s="3" t="inlineStr">
        <is>
          <t>Other Non-Current Assets</t>
        </is>
      </c>
      <c r="B10" s="4" t="n">
        <v>12381</v>
      </c>
      <c r="C10" s="4" t="n">
        <v>12809</v>
      </c>
    </row>
    <row r="11">
      <c r="A11" s="3" t="inlineStr">
        <is>
          <t>Total Assets</t>
        </is>
      </c>
      <c r="B11" s="5">
        <f>B6+SUM(B7:B10)</f>
        <v/>
      </c>
      <c r="C11" s="5">
        <f>C6+SUM(C7:C10)</f>
        <v/>
      </c>
    </row>
    <row r="12">
      <c r="A12" s="3" t="inlineStr">
        <is>
          <t>Accounts Payable</t>
        </is>
      </c>
      <c r="B12" s="4" t="n">
        <v>15227</v>
      </c>
      <c r="C12" s="4" t="n">
        <v>15173</v>
      </c>
    </row>
    <row r="13">
      <c r="A13" s="3" t="inlineStr">
        <is>
          <t>Accrued Expenses</t>
        </is>
      </c>
      <c r="B13" s="4" t="n">
        <v>11318</v>
      </c>
      <c r="C13" s="4" t="n">
        <v>10463</v>
      </c>
    </row>
    <row r="14">
      <c r="A14" s="3" t="inlineStr">
        <is>
          <t>Current Portion of Long-Term Debt</t>
        </is>
      </c>
      <c r="B14" s="4" t="n">
        <v>9513</v>
      </c>
      <c r="C14" s="4" t="n">
        <v>11062</v>
      </c>
    </row>
    <row r="15">
      <c r="A15" s="3" t="inlineStr">
        <is>
          <t>Total Current Liabilities</t>
        </is>
      </c>
      <c r="B15" s="5">
        <f>SUM(B12:B14)</f>
        <v/>
      </c>
      <c r="C15" s="5">
        <f>SUM(C12:C14)</f>
        <v/>
      </c>
    </row>
    <row r="16">
      <c r="A16" s="3" t="inlineStr">
        <is>
          <t>Long-Term Debt</t>
        </is>
      </c>
      <c r="B16" s="4" t="n">
        <v>24995</v>
      </c>
      <c r="C16" s="4" t="n">
        <v>25577</v>
      </c>
    </row>
    <row r="17">
      <c r="A17" s="3" t="inlineStr">
        <is>
          <t>Deferred Tax Liability</t>
        </is>
      </c>
      <c r="B17" s="4" t="n">
        <v>5774</v>
      </c>
      <c r="C17" s="4" t="n">
        <v>5974</v>
      </c>
    </row>
    <row r="18">
      <c r="A18" s="3" t="inlineStr">
        <is>
          <t>Other Non-Current Liabilities</t>
        </is>
      </c>
      <c r="B18" s="4" t="n">
        <v>6120</v>
      </c>
      <c r="C18" s="4" t="n">
        <v>5719</v>
      </c>
    </row>
    <row r="19">
      <c r="A19" s="3" t="inlineStr">
        <is>
          <t>Total Liabilities</t>
        </is>
      </c>
      <c r="B19" s="5">
        <f>B15+SUM(B16:B18)</f>
        <v/>
      </c>
      <c r="C19" s="5">
        <f>C15+SUM(C16:C18)</f>
        <v/>
      </c>
    </row>
    <row r="20">
      <c r="A20" s="3" t="inlineStr">
        <is>
          <t>Convertible Preferred Stock</t>
        </is>
      </c>
      <c r="B20" s="4" t="n">
        <v>777</v>
      </c>
      <c r="C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</row>
    <row r="22">
      <c r="A22" s="3" t="inlineStr">
        <is>
          <t>Additional Paid-in Capital</t>
        </is>
      </c>
      <c r="B22" s="4" t="n">
        <v>68770</v>
      </c>
      <c r="C22" s="4" t="n">
        <v>69010</v>
      </c>
    </row>
    <row r="23">
      <c r="A23" s="3" t="inlineStr">
        <is>
          <t>ESOP Debt Retirement Reserve</t>
        </is>
      </c>
      <c r="B23" s="4" t="n">
        <v>-672</v>
      </c>
      <c r="C23" s="4" t="n">
        <v>-637</v>
      </c>
    </row>
    <row r="24">
      <c r="A24" s="3" t="inlineStr">
        <is>
          <t>Accumulated Other Comprehensive Income (Loss)</t>
        </is>
      </c>
      <c r="B24" s="4" t="n">
        <v>-12143</v>
      </c>
      <c r="C24" s="4" t="n">
        <v>-12108</v>
      </c>
    </row>
    <row r="25">
      <c r="A25" s="3" t="inlineStr">
        <is>
          <t>Treasury Stock</t>
        </is>
      </c>
      <c r="B25" s="4" t="n">
        <v>-138702</v>
      </c>
      <c r="C25" s="4" t="n">
        <v>-141981</v>
      </c>
    </row>
    <row r="26">
      <c r="A26" s="3" t="inlineStr">
        <is>
          <t>Retained Earnings (Accumulated Deficit)</t>
        </is>
      </c>
      <c r="B26" s="4" t="n">
        <v>129973</v>
      </c>
      <c r="C26" s="4" t="n">
        <v>133981</v>
      </c>
    </row>
    <row r="27">
      <c r="A27" s="3" t="inlineStr">
        <is>
          <t>Noncontrolling Interest</t>
        </is>
      </c>
      <c r="B27" s="4" t="n">
        <v>272</v>
      </c>
      <c r="C27" s="4" t="n">
        <v>276</v>
      </c>
    </row>
    <row r="28">
      <c r="A28" s="3" t="inlineStr">
        <is>
          <t>Total Stockholders' Equity</t>
        </is>
      </c>
      <c r="B28" s="5">
        <f>SUM(B20:B27)</f>
        <v/>
      </c>
      <c r="C28" s="5">
        <f>SUM(C20:C27)</f>
        <v/>
      </c>
    </row>
    <row r="29">
      <c r="A29" s="3" t="inlineStr">
        <is>
          <t>Total Liabilities, Mezzanine &amp; Stockholders' Equity</t>
        </is>
      </c>
      <c r="B29" s="5">
        <f>B19+B28</f>
        <v/>
      </c>
      <c r="C29" s="5">
        <f>C19+C28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/>
      <c r="B1" s="2" t="inlineStr">
        <is>
          <t>Q2 FY2025</t>
        </is>
      </c>
      <c r="C1" s="2" t="inlineStr">
        <is>
          <t>Q2 FY2026</t>
        </is>
      </c>
    </row>
    <row r="2">
      <c r="A2" s="3" t="inlineStr">
        <is>
          <t>Net Income (Loss)</t>
        </is>
      </c>
      <c r="B2" s="4" t="n">
        <v>8646</v>
      </c>
      <c r="C2" s="4" t="n">
        <v>9112</v>
      </c>
    </row>
    <row r="3">
      <c r="A3" s="3" t="inlineStr">
        <is>
          <t>Depreciation &amp; Amortization</t>
        </is>
      </c>
      <c r="B3" s="4" t="n">
        <v>1434</v>
      </c>
      <c r="C3" s="4" t="n">
        <v>1563</v>
      </c>
    </row>
    <row r="4">
      <c r="A4" s="3" t="inlineStr">
        <is>
          <t>Stock-Based Compensation</t>
        </is>
      </c>
      <c r="B4" s="4" t="n">
        <v>241</v>
      </c>
      <c r="C4" s="4" t="n">
        <v>262</v>
      </c>
    </row>
    <row r="5">
      <c r="A5" s="3" t="inlineStr">
        <is>
          <t>(Benefit) Provision for Deferred Income Taxes</t>
        </is>
      </c>
      <c r="B5" s="4" t="n">
        <v>221</v>
      </c>
      <c r="C5" s="4" t="n">
        <v>196</v>
      </c>
    </row>
    <row r="6">
      <c r="A6" s="3" t="inlineStr">
        <is>
          <t>Gain (Loss) on Disposal of PP&amp;E</t>
        </is>
      </c>
      <c r="B6" s="4" t="n">
        <v>-787</v>
      </c>
      <c r="C6" s="4" t="n">
        <v>-1</v>
      </c>
    </row>
    <row r="7">
      <c r="A7" s="3" t="inlineStr">
        <is>
          <t>Accounts Receivable</t>
        </is>
      </c>
      <c r="B7" s="4" t="n">
        <v>262</v>
      </c>
      <c r="C7" s="4" t="n">
        <v>92</v>
      </c>
    </row>
    <row r="8">
      <c r="A8" s="3" t="inlineStr">
        <is>
          <t>Inventories</t>
        </is>
      </c>
      <c r="B8" s="4" t="n">
        <v>170</v>
      </c>
      <c r="C8" s="4" t="n">
        <v>255</v>
      </c>
    </row>
    <row r="9">
      <c r="A9" s="3" t="inlineStr">
        <is>
          <t>Accounts Payable</t>
        </is>
      </c>
      <c r="B9" s="4" t="n">
        <v>-286</v>
      </c>
      <c r="C9" s="4" t="n">
        <v>239</v>
      </c>
    </row>
    <row r="10">
      <c r="A10" s="3" t="inlineStr">
        <is>
          <t>Other Operating Items</t>
        </is>
      </c>
      <c r="B10" s="4" t="n">
        <v>1484</v>
      </c>
      <c r="C10" s="4" t="n">
        <v>645</v>
      </c>
    </row>
    <row r="11">
      <c r="A11" s="3" t="inlineStr">
        <is>
          <t>Cash Flow from Operations</t>
        </is>
      </c>
      <c r="B11" s="5">
        <f>SUM(B2:B10)</f>
        <v/>
      </c>
      <c r="C11" s="5">
        <f>SUM(C2:C10)</f>
        <v/>
      </c>
    </row>
    <row r="12">
      <c r="A12" s="3" t="inlineStr">
        <is>
          <t>Purchase of PP&amp;E</t>
        </is>
      </c>
      <c r="B12" s="4" t="n">
        <v>1918</v>
      </c>
      <c r="C12" s="4" t="n">
        <v>2367</v>
      </c>
    </row>
    <row r="13">
      <c r="A13" s="3" t="inlineStr">
        <is>
          <t>Proceeds from Sale of Assets</t>
        </is>
      </c>
      <c r="B13" s="4" t="n">
        <v>47</v>
      </c>
      <c r="C13" s="4" t="n">
        <v>16</v>
      </c>
    </row>
    <row r="14">
      <c r="A14" s="3" t="inlineStr">
        <is>
          <t>Acquisitions, Net of Cash Acquired</t>
        </is>
      </c>
      <c r="B14" s="4" t="n">
        <v>6</v>
      </c>
      <c r="C14" s="4" t="n">
        <v>5</v>
      </c>
    </row>
    <row r="15">
      <c r="A15" s="3" t="inlineStr">
        <is>
          <t>Other Investing Activities</t>
        </is>
      </c>
      <c r="B15" s="4" t="n">
        <v>153</v>
      </c>
      <c r="C15" s="4" t="n">
        <v>408</v>
      </c>
    </row>
    <row r="16">
      <c r="A16" s="3" t="inlineStr">
        <is>
          <t>Cash Flow from Investing</t>
        </is>
      </c>
      <c r="B16" s="5">
        <f>SUM(B12:B15)</f>
        <v/>
      </c>
      <c r="C16" s="5">
        <f>SUM(C12:C15)</f>
        <v/>
      </c>
    </row>
    <row r="17">
      <c r="A17" s="3" t="inlineStr">
        <is>
          <t>Common Dividends</t>
        </is>
      </c>
      <c r="B17" s="4" t="n">
        <v>4886</v>
      </c>
      <c r="C17" s="4" t="n">
        <v>5093</v>
      </c>
    </row>
    <row r="18">
      <c r="A18" s="3" t="inlineStr">
        <is>
          <t>Proceeds from Short-Term Debt</t>
        </is>
      </c>
      <c r="B18" s="4" t="n">
        <v>5905</v>
      </c>
      <c r="C18" s="4" t="n">
        <v>4180</v>
      </c>
    </row>
    <row r="19">
      <c r="A19" s="3" t="inlineStr">
        <is>
          <t>Repayments of Short-Term Debt</t>
        </is>
      </c>
      <c r="B19" s="4" t="n">
        <v>571</v>
      </c>
      <c r="C19" s="4" t="n">
        <v>3270</v>
      </c>
    </row>
    <row r="20">
      <c r="A20" s="3" t="inlineStr">
        <is>
          <t>Net Change in Other Short-Term Debt</t>
        </is>
      </c>
      <c r="B20" s="4" t="n">
        <v>-2705</v>
      </c>
      <c r="C20" s="4" t="n">
        <v>-471</v>
      </c>
    </row>
    <row r="21">
      <c r="A21" s="3" t="inlineStr">
        <is>
          <t>Proceeds from Issuance of Long-Term Debt</t>
        </is>
      </c>
      <c r="B21" s="4" t="n">
        <v>995</v>
      </c>
      <c r="C21" s="4" t="n">
        <v>2652</v>
      </c>
    </row>
    <row r="22">
      <c r="A22" s="3" t="inlineStr">
        <is>
          <t>Repayments of Long-Term Debt</t>
        </is>
      </c>
      <c r="B22" s="4" t="n">
        <v>1478</v>
      </c>
      <c r="C22" s="4" t="n">
        <v>1005</v>
      </c>
    </row>
    <row r="23">
      <c r="A23" s="3" t="inlineStr">
        <is>
          <t>Share Repurchases</t>
        </is>
      </c>
      <c r="B23" s="4" t="n">
        <v>4449</v>
      </c>
      <c r="C23" s="4" t="n">
        <v>3528</v>
      </c>
    </row>
    <row r="24">
      <c r="A24" s="3" t="inlineStr">
        <is>
          <t>Stock Options &amp; Other Financing Activities</t>
        </is>
      </c>
      <c r="B24" s="4" t="n">
        <v>985</v>
      </c>
      <c r="C24" s="4" t="n">
        <v>208</v>
      </c>
    </row>
    <row r="25">
      <c r="A25" s="3" t="inlineStr">
        <is>
          <t>Cash Flow from Financing</t>
        </is>
      </c>
      <c r="B25" s="5">
        <f>SUM(B17:B24)</f>
        <v/>
      </c>
      <c r="C25" s="5">
        <f>SUM(C17:C24)</f>
        <v/>
      </c>
    </row>
    <row r="26">
      <c r="A26" s="3" t="inlineStr">
        <is>
          <t>FX Effect on Cash</t>
        </is>
      </c>
      <c r="B26" s="4" t="n">
        <v>-144</v>
      </c>
      <c r="C26" s="4" t="n">
        <v>-21</v>
      </c>
    </row>
    <row r="27">
      <c r="A27" s="3" t="inlineStr">
        <is>
          <t>Net Change in Cash</t>
        </is>
      </c>
      <c r="B27" s="4" t="n">
        <v>748</v>
      </c>
      <c r="C27" s="4" t="n">
        <v>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2026-04-25T18:10:29Z</dcterms:created>
  <dcterms:modified xmlns:dcterms="http://purl.org/dc/terms/" xmlns:xsi="http://www.w3.org/2001/XMLSchema-instance" xsi:type="dcterms:W3CDTF">2026-04-25T18:10:29Z</dcterms:modified>
</cp:coreProperties>
</file>