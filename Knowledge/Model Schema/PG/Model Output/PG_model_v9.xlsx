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4" t="n">
        <v>17615</v>
      </c>
      <c r="C10" s="4" t="n">
        <v>17995</v>
      </c>
      <c r="D10" s="4" t="n">
        <v>18353</v>
      </c>
      <c r="E10" s="4" t="n">
        <v>0</v>
      </c>
      <c r="F10" s="4" t="n">
        <v>0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-3263</v>
      </c>
      <c r="C12" s="4" t="n">
        <v>-3202</v>
      </c>
      <c r="D12" s="4" t="n">
        <v>-3615</v>
      </c>
      <c r="E12" s="4" t="n">
        <v>-3787</v>
      </c>
      <c r="F12" s="4" t="n">
        <v>-4102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46</v>
      </c>
      <c r="C14" s="4" t="n">
        <v>51</v>
      </c>
      <c r="D14" s="4" t="n">
        <v>85</v>
      </c>
      <c r="E14" s="4" t="n">
        <v>95</v>
      </c>
      <c r="F14" s="4" t="n">
        <v>91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5.69</v>
      </c>
      <c r="C16" s="8" t="n">
        <v>6</v>
      </c>
      <c r="D16" s="8" t="n">
        <v>6.07</v>
      </c>
      <c r="E16" s="8" t="n">
        <v>6.18</v>
      </c>
      <c r="F16" s="8" t="n">
        <v>6.67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5.5</v>
      </c>
      <c r="C17" s="8" t="n">
        <v>5.81</v>
      </c>
      <c r="D17" s="8" t="n">
        <v>5.9</v>
      </c>
      <c r="E17" s="8" t="n">
        <v>6.02</v>
      </c>
      <c r="F17" s="8" t="n">
        <v>6.51</v>
      </c>
      <c r="G17" s="9" t="n"/>
      <c r="H17" s="9" t="n"/>
      <c r="I17" s="9" t="n"/>
      <c r="J17" s="9" t="n"/>
      <c r="K17" s="9" t="n"/>
      <c r="L17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Net Income (Loss)</t>
        </is>
      </c>
      <c r="B2" s="4" t="n">
        <v>0</v>
      </c>
      <c r="C2" s="4" t="n">
        <v>14352</v>
      </c>
      <c r="D2" s="4" t="n">
        <v>14793</v>
      </c>
      <c r="E2" s="4" t="n">
        <v>14738</v>
      </c>
      <c r="F2" s="4" t="n">
        <v>14974</v>
      </c>
      <c r="G2" s="4" t="n">
        <v>16065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Depreciation &amp; Amortization</t>
        </is>
      </c>
      <c r="B3" s="4" t="n">
        <v>0</v>
      </c>
      <c r="C3" s="4" t="n">
        <v>2735</v>
      </c>
      <c r="D3" s="4" t="n">
        <v>2807</v>
      </c>
      <c r="E3" s="4" t="n">
        <v>2714</v>
      </c>
      <c r="F3" s="4" t="n">
        <v>2896</v>
      </c>
      <c r="G3" s="4" t="n">
        <v>2847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Gain (Loss) on Extinguishment of Debt</t>
        </is>
      </c>
      <c r="B4" s="4" t="n">
        <v>0</v>
      </c>
      <c r="C4" s="4" t="n">
        <v>-512</v>
      </c>
      <c r="D4" s="4" t="n">
        <v>0</v>
      </c>
      <c r="E4" s="4" t="n">
        <v>0</v>
      </c>
      <c r="F4" s="4" t="n">
        <v>0</v>
      </c>
      <c r="G4" s="4" t="n">
        <v>0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Stock-Based Compensation</t>
        </is>
      </c>
      <c r="B5" s="4" t="n">
        <v>0</v>
      </c>
      <c r="C5" s="4" t="n">
        <v>540</v>
      </c>
      <c r="D5" s="4" t="n">
        <v>528</v>
      </c>
      <c r="E5" s="4" t="n">
        <v>545</v>
      </c>
      <c r="F5" s="4" t="n">
        <v>562</v>
      </c>
      <c r="G5" s="4" t="n">
        <v>476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(Benefit) Provision for Deferred Income Taxes</t>
        </is>
      </c>
      <c r="B6" s="4" t="n">
        <v>0</v>
      </c>
      <c r="C6" s="4" t="n">
        <v>-258</v>
      </c>
      <c r="D6" s="4" t="n">
        <v>-402</v>
      </c>
      <c r="E6" s="4" t="n">
        <v>-453</v>
      </c>
      <c r="F6" s="4" t="n">
        <v>-244</v>
      </c>
      <c r="G6" s="4" t="n">
        <v>149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Gain (Loss) on Disposal of PP&amp;E</t>
        </is>
      </c>
      <c r="B7" s="4" t="n">
        <v>0</v>
      </c>
      <c r="C7" s="4" t="n">
        <v>16</v>
      </c>
      <c r="D7" s="4" t="n">
        <v>-85</v>
      </c>
      <c r="E7" s="4" t="n">
        <v>-40</v>
      </c>
      <c r="F7" s="4" t="n">
        <v>-215</v>
      </c>
      <c r="G7" s="4" t="n">
        <v>-755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1341</v>
      </c>
      <c r="G8" s="4" t="n">
        <v>0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Accounts Receivable</t>
        </is>
      </c>
      <c r="B9" s="4" t="n">
        <v>0</v>
      </c>
      <c r="C9" s="4" t="n">
        <v>-342</v>
      </c>
      <c r="D9" s="4" t="n">
        <v>-694</v>
      </c>
      <c r="E9" s="4" t="n">
        <v>-307</v>
      </c>
      <c r="F9" s="4" t="n">
        <v>-766</v>
      </c>
      <c r="G9" s="4" t="n">
        <v>-45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Inventories</t>
        </is>
      </c>
      <c r="B10" s="4" t="n">
        <v>0</v>
      </c>
      <c r="C10" s="4" t="n">
        <v>-309</v>
      </c>
      <c r="D10" s="4" t="n">
        <v>-1247</v>
      </c>
      <c r="E10" s="4" t="n">
        <v>-119</v>
      </c>
      <c r="F10" s="4" t="n">
        <v>-70</v>
      </c>
      <c r="G10" s="4" t="n">
        <v>-324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Accounts Payable</t>
        </is>
      </c>
      <c r="B11" s="4" t="n">
        <v>0</v>
      </c>
      <c r="C11" s="4" t="n">
        <v>1391</v>
      </c>
      <c r="D11" s="4" t="n">
        <v>1429</v>
      </c>
      <c r="E11" s="4" t="n">
        <v>-447</v>
      </c>
      <c r="F11" s="4" t="n">
        <v>878</v>
      </c>
      <c r="G11" s="4" t="n">
        <v>-542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Net Change in Other Working Capital</t>
        </is>
      </c>
      <c r="B12" s="4" t="n">
        <v>0</v>
      </c>
      <c r="C12" s="4" t="n">
        <v>-369</v>
      </c>
      <c r="D12" s="4" t="n">
        <v>-635</v>
      </c>
      <c r="E12" s="4" t="n">
        <v>-1107</v>
      </c>
      <c r="F12" s="4" t="n">
        <v>-1414</v>
      </c>
      <c r="G12" s="4" t="n">
        <v>0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Other Operating Items</t>
        </is>
      </c>
      <c r="B13" s="4" t="n">
        <v>0</v>
      </c>
      <c r="C13" s="4" t="n">
        <v>135</v>
      </c>
      <c r="D13" s="4" t="n">
        <v>229</v>
      </c>
      <c r="E13" s="4" t="n">
        <v>-217</v>
      </c>
      <c r="F13" s="4" t="n">
        <v>-491</v>
      </c>
      <c r="G13" s="4" t="n">
        <v>-1653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  <c r="M14" s="7">
        <f>SUM(M2:M13)</f>
        <v/>
      </c>
    </row>
    <row r="15">
      <c r="A15" s="3" t="inlineStr">
        <is>
          <t>Purchase of PP&amp;E</t>
        </is>
      </c>
      <c r="B15" s="4" t="n">
        <v>0</v>
      </c>
      <c r="C15" s="4" t="n">
        <v>-2787</v>
      </c>
      <c r="D15" s="4" t="n">
        <v>-3156</v>
      </c>
      <c r="E15" s="4" t="n">
        <v>-3062</v>
      </c>
      <c r="F15" s="4" t="n">
        <v>-3322</v>
      </c>
      <c r="G15" s="4" t="n">
        <v>-3773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Proceeds from Sale of Assets</t>
        </is>
      </c>
      <c r="B16" s="4" t="n">
        <v>0</v>
      </c>
      <c r="C16" s="4" t="n">
        <v>42</v>
      </c>
      <c r="D16" s="4" t="n">
        <v>110</v>
      </c>
      <c r="E16" s="4" t="n">
        <v>46</v>
      </c>
      <c r="F16" s="4" t="n">
        <v>346</v>
      </c>
      <c r="G16" s="4" t="n">
        <v>107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Acquisitions, Net of Cash Acquired</t>
        </is>
      </c>
      <c r="B17" s="4" t="n">
        <v>0</v>
      </c>
      <c r="C17" s="4" t="n">
        <v>-34</v>
      </c>
      <c r="D17" s="4" t="n">
        <v>-1381</v>
      </c>
      <c r="E17" s="4" t="n">
        <v>-765</v>
      </c>
      <c r="F17" s="4" t="n">
        <v>-21</v>
      </c>
      <c r="G17" s="4" t="n">
        <v>-11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Other Investing Activities</t>
        </is>
      </c>
      <c r="B18" s="4" t="n">
        <v>0</v>
      </c>
      <c r="C18" s="4" t="n">
        <v>-55</v>
      </c>
      <c r="D18" s="4" t="n">
        <v>-3</v>
      </c>
      <c r="E18" s="4" t="n">
        <v>-281</v>
      </c>
      <c r="F18" s="4" t="n">
        <v>-507</v>
      </c>
      <c r="G18" s="4" t="n">
        <v>-141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6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</row>
    <row r="20">
      <c r="A20" s="3" t="inlineStr">
        <is>
          <t>Common Dividends</t>
        </is>
      </c>
      <c r="B20" s="4" t="n">
        <v>0</v>
      </c>
      <c r="C20" s="4" t="n">
        <v>-8263</v>
      </c>
      <c r="D20" s="4" t="n">
        <v>-8770</v>
      </c>
      <c r="E20" s="4" t="n">
        <v>-8999</v>
      </c>
      <c r="F20" s="4" t="n">
        <v>-9312</v>
      </c>
      <c r="G20" s="4" t="n">
        <v>-9872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Proceeds from Short-Term Debt</t>
        </is>
      </c>
      <c r="B21" s="4" t="n">
        <v>0</v>
      </c>
      <c r="C21" s="4" t="n">
        <v>7675</v>
      </c>
      <c r="D21" s="4" t="n">
        <v>10411</v>
      </c>
      <c r="E21" s="4" t="n">
        <v>17168</v>
      </c>
      <c r="F21" s="4" t="n">
        <v>3528</v>
      </c>
      <c r="G21" s="4" t="n">
        <v>8020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Repayments of Short-Term Debt</t>
        </is>
      </c>
      <c r="B22" s="4" t="n">
        <v>0</v>
      </c>
      <c r="C22" s="4" t="n">
        <v>-7577</v>
      </c>
      <c r="D22" s="4" t="n">
        <v>-11478</v>
      </c>
      <c r="E22" s="4" t="n">
        <v>-13031</v>
      </c>
      <c r="F22" s="4" t="n">
        <v>-7689</v>
      </c>
      <c r="G22" s="4" t="n">
        <v>-6512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Net Change in Other Short-Term Debt</t>
        </is>
      </c>
      <c r="B23" s="4" t="n">
        <v>0</v>
      </c>
      <c r="C23" s="4" t="n">
        <v>-3431</v>
      </c>
      <c r="D23" s="4" t="n">
        <v>917</v>
      </c>
      <c r="E23" s="4" t="n">
        <v>-3319</v>
      </c>
      <c r="F23" s="4" t="n">
        <v>857</v>
      </c>
      <c r="G23" s="4" t="n">
        <v>-1138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Proceeds from Issuance of Long-Term Debt</t>
        </is>
      </c>
      <c r="B24" s="4" t="n">
        <v>0</v>
      </c>
      <c r="C24" s="4" t="n">
        <v>4417</v>
      </c>
      <c r="D24" s="4" t="n">
        <v>4385</v>
      </c>
      <c r="E24" s="4" t="n">
        <v>3997</v>
      </c>
      <c r="F24" s="4" t="n">
        <v>3197</v>
      </c>
      <c r="G24" s="4" t="n">
        <v>2237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Repayments of Long-Term Debt</t>
        </is>
      </c>
      <c r="B25" s="4" t="n">
        <v>0</v>
      </c>
      <c r="C25" s="4" t="n">
        <v>-4987</v>
      </c>
      <c r="D25" s="4" t="n">
        <v>-2343</v>
      </c>
      <c r="E25" s="4" t="n">
        <v>-1878</v>
      </c>
      <c r="F25" s="4" t="n">
        <v>-2335</v>
      </c>
      <c r="G25" s="4" t="n">
        <v>-1977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Share Repurchases</t>
        </is>
      </c>
      <c r="B26" s="4" t="n">
        <v>0</v>
      </c>
      <c r="C26" s="4" t="n">
        <v>-11009</v>
      </c>
      <c r="D26" s="4" t="n">
        <v>-10003</v>
      </c>
      <c r="E26" s="4" t="n">
        <v>-7353</v>
      </c>
      <c r="F26" s="4" t="n">
        <v>-5006</v>
      </c>
      <c r="G26" s="4" t="n">
        <v>-6500</v>
      </c>
      <c r="H26" s="5" t="n"/>
      <c r="I26" s="5" t="n"/>
      <c r="J26" s="5" t="n"/>
      <c r="K26" s="5" t="n"/>
      <c r="L26" s="5" t="n"/>
      <c r="M26" s="5" t="n"/>
    </row>
    <row r="27">
      <c r="A27" s="3" t="inlineStr">
        <is>
          <t>Stock Options &amp; Other Financing Activities</t>
        </is>
      </c>
      <c r="B27" s="4" t="n">
        <v>0</v>
      </c>
      <c r="C27" s="4" t="n">
        <v>1644</v>
      </c>
      <c r="D27" s="4" t="n">
        <v>2005</v>
      </c>
      <c r="E27" s="4" t="n">
        <v>1269</v>
      </c>
      <c r="F27" s="4" t="n">
        <v>1905</v>
      </c>
      <c r="G27" s="4" t="n">
        <v>1707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  <c r="M28" s="7">
        <f>SUM(M20:M27)</f>
        <v/>
      </c>
    </row>
    <row r="29">
      <c r="A29" s="3" t="inlineStr">
        <is>
          <t>FX Effect on Cash</t>
        </is>
      </c>
      <c r="B29" s="4" t="n">
        <v>16181</v>
      </c>
      <c r="C29" s="4" t="n">
        <v>10288</v>
      </c>
      <c r="D29" s="4" t="n">
        <v>7214</v>
      </c>
      <c r="E29" s="4" t="n">
        <v>8076</v>
      </c>
      <c r="F29" s="4" t="n">
        <v>9231</v>
      </c>
      <c r="G29" s="4" t="n">
        <v>9668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  <c r="M30" s="7">
        <f>M14+M19+M28+M29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4" t="n">
        <v>5035</v>
      </c>
      <c r="C10" s="4" t="n">
        <v>10274</v>
      </c>
      <c r="D10" s="4" t="n">
        <v>14345</v>
      </c>
      <c r="E10" s="4" t="n">
        <v>4997</v>
      </c>
      <c r="F10" s="4" t="n">
        <v>9832</v>
      </c>
      <c r="G10" s="4" t="n">
        <v>14120</v>
      </c>
      <c r="H10" s="4" t="n">
        <v>5802</v>
      </c>
      <c r="I10" s="4" t="n">
        <v>10299</v>
      </c>
      <c r="J10" s="4" t="n">
        <v>14891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  <c r="N11" s="6">
        <f>N7+SUM(N8:N10)</f>
        <v/>
      </c>
      <c r="O11" s="6">
        <f>O7+SUM(O8:O10)</f>
        <v/>
      </c>
    </row>
    <row r="12">
      <c r="A12" s="3" t="inlineStr">
        <is>
          <t>Income Tax (Expense) Benefit</t>
        </is>
      </c>
      <c r="B12" s="4" t="n">
        <v>-909</v>
      </c>
      <c r="C12" s="4" t="n">
        <v>-1906</v>
      </c>
      <c r="D12" s="4" t="n">
        <v>-2610</v>
      </c>
      <c r="E12" s="4" t="n">
        <v>-1034</v>
      </c>
      <c r="F12" s="4" t="n">
        <v>-1910</v>
      </c>
      <c r="G12" s="4" t="n">
        <v>-2774</v>
      </c>
      <c r="H12" s="4" t="n">
        <v>-1246</v>
      </c>
      <c r="I12" s="4" t="n">
        <v>-2250</v>
      </c>
      <c r="J12" s="4" t="n">
        <v>-3061</v>
      </c>
      <c r="K12" s="4" t="n">
        <v>-1152</v>
      </c>
      <c r="L12" s="4" t="n">
        <v>-2339</v>
      </c>
      <c r="M12" s="4" t="n">
        <v>-3207</v>
      </c>
      <c r="N12" s="4" t="n">
        <v>-1253</v>
      </c>
      <c r="O12" s="4" t="n">
        <v>-2343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  <c r="O13" s="6">
        <f>O11+O12</f>
        <v/>
      </c>
    </row>
    <row r="14">
      <c r="A14" s="3" t="inlineStr">
        <is>
          <t>Net Income (Loss) Attributable to Noncontrolling Interest</t>
        </is>
      </c>
      <c r="B14" s="4" t="n">
        <v>14</v>
      </c>
      <c r="C14" s="4" t="n">
        <v>33</v>
      </c>
      <c r="D14" s="4" t="n">
        <v>45</v>
      </c>
      <c r="E14" s="4" t="n">
        <v>24</v>
      </c>
      <c r="F14" s="4" t="n">
        <v>50</v>
      </c>
      <c r="G14" s="4" t="n">
        <v>77</v>
      </c>
      <c r="H14" s="4" t="n">
        <v>35</v>
      </c>
      <c r="I14" s="4" t="n">
        <v>60</v>
      </c>
      <c r="J14" s="4" t="n">
        <v>88</v>
      </c>
      <c r="K14" s="4" t="n">
        <v>28</v>
      </c>
      <c r="L14" s="4" t="n">
        <v>56</v>
      </c>
      <c r="M14" s="4" t="n">
        <v>80</v>
      </c>
      <c r="N14" s="4" t="n">
        <v>31</v>
      </c>
      <c r="O14" s="4" t="n">
        <v>42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  <c r="O15" s="6">
        <f>O13-O14</f>
        <v/>
      </c>
    </row>
    <row r="16">
      <c r="A16" s="3" t="inlineStr">
        <is>
          <t>Basic Earnings (Loss) per Share</t>
        </is>
      </c>
      <c r="B16" s="8" t="n">
        <v>1.66</v>
      </c>
      <c r="C16" s="8" t="n">
        <v>3.39</v>
      </c>
      <c r="D16" s="8" t="n">
        <v>4.76</v>
      </c>
      <c r="E16" s="8" t="n">
        <v>1.62</v>
      </c>
      <c r="F16" s="8" t="n">
        <v>3.25</v>
      </c>
      <c r="G16" s="8" t="n">
        <v>4.67</v>
      </c>
      <c r="H16" s="8" t="n">
        <v>1.89</v>
      </c>
      <c r="I16" s="8" t="n">
        <v>3.33</v>
      </c>
      <c r="J16" s="8" t="n">
        <v>4.89</v>
      </c>
      <c r="K16" s="8" t="n">
        <v>1.65</v>
      </c>
      <c r="L16" s="8" t="n">
        <v>3.59</v>
      </c>
      <c r="M16" s="8" t="n">
        <v>5.16</v>
      </c>
      <c r="N16" s="8" t="n">
        <v>2</v>
      </c>
      <c r="O16" s="8" t="n">
        <v>3.82</v>
      </c>
    </row>
    <row r="17">
      <c r="A17" s="3" t="inlineStr">
        <is>
          <t>Diluted Earnings (Loss) per Share</t>
        </is>
      </c>
      <c r="B17" s="8" t="n">
        <v>1.61</v>
      </c>
      <c r="C17" s="8" t="n">
        <v>3.27</v>
      </c>
      <c r="D17" s="8" t="n">
        <v>4.59</v>
      </c>
      <c r="E17" s="8" t="n">
        <v>1.57</v>
      </c>
      <c r="F17" s="8" t="n">
        <v>3.16</v>
      </c>
      <c r="G17" s="8" t="n">
        <v>4.53</v>
      </c>
      <c r="H17" s="8" t="n">
        <v>1.83</v>
      </c>
      <c r="I17" s="8" t="n">
        <v>3.23</v>
      </c>
      <c r="J17" s="8" t="n">
        <v>4.75</v>
      </c>
      <c r="K17" s="8" t="n">
        <v>1.61</v>
      </c>
      <c r="L17" s="8" t="n">
        <v>3.49</v>
      </c>
      <c r="M17" s="8" t="n">
        <v>5.03</v>
      </c>
      <c r="N17" s="8" t="n">
        <v>1.95</v>
      </c>
      <c r="O17" s="8" t="n">
        <v>3.73</v>
      </c>
    </row>
    <row r="18">
      <c r="A18" s="3" t="inlineStr">
        <is>
          <t>Weighted Average Shares Outstanding (Basic)</t>
        </is>
      </c>
      <c r="B18" s="4" t="n">
        <v>2558900000</v>
      </c>
      <c r="C18" s="4" t="n">
        <v>2551600000</v>
      </c>
      <c r="D18" s="4" t="n">
        <v>2544400000</v>
      </c>
      <c r="E18" s="4" t="n">
        <v>2503600000</v>
      </c>
      <c r="F18" s="4" t="n">
        <v>2492400000</v>
      </c>
      <c r="G18" s="4" t="n">
        <v>2486000000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-794</v>
      </c>
      <c r="L6" s="4" t="n">
        <v>-787</v>
      </c>
      <c r="M6" s="4" t="n">
        <v>-782</v>
      </c>
      <c r="N6" s="4" t="n">
        <v>-3</v>
      </c>
      <c r="O6" s="4" t="n">
        <v>-1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90</v>
      </c>
      <c r="L10" s="4" t="n">
        <v>-286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-1264</v>
      </c>
      <c r="L12" s="4" t="n">
        <v>-1484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5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Other Investing Activities</t>
        </is>
      </c>
      <c r="B17" s="4" t="n">
        <v>0</v>
      </c>
      <c r="C17" s="4" t="n">
        <v>-352</v>
      </c>
      <c r="D17" s="4" t="n">
        <v>-1385</v>
      </c>
      <c r="E17" s="4" t="n">
        <v>-57</v>
      </c>
      <c r="F17" s="4" t="n">
        <v>-420</v>
      </c>
      <c r="G17" s="4" t="n">
        <v>-1045</v>
      </c>
      <c r="H17" s="4" t="n">
        <v>-300</v>
      </c>
      <c r="I17" s="4" t="n">
        <v>-489</v>
      </c>
      <c r="J17" s="4" t="n">
        <v>-503</v>
      </c>
      <c r="K17" s="4" t="n">
        <v>-154</v>
      </c>
      <c r="L17" s="4" t="n">
        <v>-153</v>
      </c>
      <c r="M17" s="4" t="n">
        <v>-33</v>
      </c>
      <c r="N17" s="4" t="n">
        <v>-338</v>
      </c>
      <c r="O17" s="4" t="n">
        <v>-408</v>
      </c>
    </row>
    <row r="18">
      <c r="A18" s="3" t="inlineStr">
        <is>
          <t>Cash Flow from Investing</t>
        </is>
      </c>
      <c r="B18" s="6">
        <f>SUM(B14:B17)</f>
        <v/>
      </c>
      <c r="C18" s="6">
        <f>SUM(C14:C17)</f>
        <v/>
      </c>
      <c r="D18" s="6">
        <f>SUM(D14:D17)</f>
        <v/>
      </c>
      <c r="E18" s="6">
        <f>SUM(E14:E17)</f>
        <v/>
      </c>
      <c r="F18" s="6">
        <f>SUM(F14:F17)</f>
        <v/>
      </c>
      <c r="G18" s="6">
        <f>SUM(G14:G17)</f>
        <v/>
      </c>
      <c r="H18" s="6">
        <f>SUM(H14:H17)</f>
        <v/>
      </c>
      <c r="I18" s="6">
        <f>SUM(I14:I17)</f>
        <v/>
      </c>
      <c r="J18" s="6">
        <f>SUM(J14:J17)</f>
        <v/>
      </c>
      <c r="K18" s="6">
        <f>SUM(K14:K17)</f>
        <v/>
      </c>
      <c r="L18" s="6">
        <f>SUM(L14:L17)</f>
        <v/>
      </c>
      <c r="M18" s="6">
        <f>SUM(M14:M17)</f>
        <v/>
      </c>
      <c r="N18" s="6">
        <f>SUM(N14:N17)</f>
        <v/>
      </c>
      <c r="O18" s="6">
        <f>SUM(O14:O17)</f>
        <v/>
      </c>
    </row>
    <row r="19">
      <c r="A19" s="3" t="inlineStr">
        <is>
          <t>Common Dividends</t>
        </is>
      </c>
      <c r="B19" s="4" t="n">
        <v>-2182</v>
      </c>
      <c r="C19" s="4" t="n">
        <v>-4353</v>
      </c>
      <c r="D19" s="4" t="n">
        <v>-6508</v>
      </c>
      <c r="E19" s="4" t="n">
        <v>-2255</v>
      </c>
      <c r="F19" s="4" t="n">
        <v>-4486</v>
      </c>
      <c r="G19" s="4" t="n">
        <v>-6710</v>
      </c>
      <c r="H19" s="4" t="n">
        <v>-2290</v>
      </c>
      <c r="I19" s="4" t="n">
        <v>-4578</v>
      </c>
      <c r="J19" s="4" t="n">
        <v>-6863</v>
      </c>
      <c r="K19" s="4" t="n">
        <v>-2445</v>
      </c>
      <c r="L19" s="4" t="n">
        <v>-4886</v>
      </c>
      <c r="M19" s="4" t="n">
        <v>-7319</v>
      </c>
      <c r="N19" s="4" t="n">
        <v>-2549</v>
      </c>
      <c r="O19" s="4" t="n">
        <v>-5093</v>
      </c>
    </row>
    <row r="20">
      <c r="A20" s="3" t="inlineStr">
        <is>
          <t>Proceeds from Short-Term Debt</t>
        </is>
      </c>
      <c r="B20" s="4" t="n">
        <v>1792</v>
      </c>
      <c r="C20" s="4" t="n">
        <v>6747</v>
      </c>
      <c r="D20" s="4" t="n">
        <v>10146</v>
      </c>
      <c r="E20" s="4" t="n">
        <v>2975</v>
      </c>
      <c r="F20" s="4" t="n">
        <v>10447</v>
      </c>
      <c r="G20" s="4" t="n">
        <v>13778</v>
      </c>
      <c r="H20" s="4" t="n">
        <v>2179</v>
      </c>
      <c r="I20" s="4" t="n">
        <v>2798</v>
      </c>
      <c r="J20" s="4" t="n">
        <v>2961</v>
      </c>
      <c r="K20" s="4" t="n">
        <v>4090</v>
      </c>
      <c r="L20" s="4" t="n">
        <v>5905</v>
      </c>
      <c r="M20" s="4" t="n">
        <v>5905</v>
      </c>
      <c r="N20" s="4" t="n">
        <v>1123</v>
      </c>
      <c r="O20" s="4" t="n">
        <v>4180</v>
      </c>
    </row>
    <row r="21">
      <c r="A21" s="3" t="inlineStr">
        <is>
          <t>Repayments of Short-Term Debt</t>
        </is>
      </c>
      <c r="B21" s="4" t="n">
        <v>-1422</v>
      </c>
      <c r="C21" s="4" t="n">
        <v>-1730</v>
      </c>
      <c r="D21" s="4" t="n">
        <v>-8163</v>
      </c>
      <c r="E21" s="4" t="n">
        <v>-265</v>
      </c>
      <c r="F21" s="4" t="n">
        <v>-3260</v>
      </c>
      <c r="G21" s="4" t="n">
        <v>-9134</v>
      </c>
      <c r="H21" s="4" t="n">
        <v>-1906</v>
      </c>
      <c r="I21" s="4" t="n">
        <v>-5862</v>
      </c>
      <c r="J21" s="4" t="n">
        <v>-7523</v>
      </c>
      <c r="K21" s="4" t="n">
        <v>-571</v>
      </c>
      <c r="L21" s="4" t="n">
        <v>-571</v>
      </c>
      <c r="M21" s="4" t="n">
        <v>-3781</v>
      </c>
      <c r="N21" s="4" t="n">
        <v>-1800</v>
      </c>
      <c r="O21" s="4" t="n">
        <v>-3270</v>
      </c>
    </row>
    <row r="22">
      <c r="A22" s="3" t="inlineStr">
        <is>
          <t>Net Change in Other Short-Term Debt</t>
        </is>
      </c>
      <c r="B22" s="4" t="n">
        <v>512</v>
      </c>
      <c r="C22" s="4" t="n">
        <v>-1124</v>
      </c>
      <c r="D22" s="4" t="n">
        <v>-849</v>
      </c>
      <c r="E22" s="4" t="n">
        <v>1727</v>
      </c>
      <c r="F22" s="4" t="n">
        <v>-1759</v>
      </c>
      <c r="G22" s="4" t="n">
        <v>-387</v>
      </c>
      <c r="H22" s="4" t="n">
        <v>2172</v>
      </c>
      <c r="I22" s="4" t="n">
        <v>3740</v>
      </c>
      <c r="J22" s="4" t="n">
        <v>2331</v>
      </c>
      <c r="K22" s="4" t="n">
        <v>-444</v>
      </c>
      <c r="L22" s="4" t="n">
        <v>-2705</v>
      </c>
      <c r="M22" s="4" t="n">
        <v>-543</v>
      </c>
      <c r="N22" s="4" t="n">
        <v>2108</v>
      </c>
      <c r="O22" s="4" t="n">
        <v>-471</v>
      </c>
    </row>
    <row r="23">
      <c r="A23" s="3" t="inlineStr">
        <is>
          <t>Proceeds from Issuance of Long-Term Debt</t>
        </is>
      </c>
      <c r="B23" s="4" t="n">
        <v>0</v>
      </c>
      <c r="C23" s="4" t="n">
        <v>2136</v>
      </c>
      <c r="D23" s="4" t="n">
        <v>4385</v>
      </c>
      <c r="E23" s="4" t="n">
        <v>0</v>
      </c>
      <c r="F23" s="4" t="n">
        <v>0</v>
      </c>
      <c r="G23" s="4" t="n">
        <v>2569</v>
      </c>
      <c r="H23" s="4" t="n">
        <v>0</v>
      </c>
      <c r="I23" s="4" t="n">
        <v>254</v>
      </c>
      <c r="J23" s="4" t="n">
        <v>1598</v>
      </c>
      <c r="K23" s="4" t="n">
        <v>0</v>
      </c>
      <c r="L23" s="4" t="n">
        <v>995</v>
      </c>
      <c r="M23" s="4" t="n">
        <v>995</v>
      </c>
      <c r="N23" s="4" t="n">
        <v>0</v>
      </c>
      <c r="O23" s="4" t="n">
        <v>2652</v>
      </c>
    </row>
    <row r="24">
      <c r="A24" s="3" t="inlineStr">
        <is>
          <t>Repayments of Long-Term Debt</t>
        </is>
      </c>
      <c r="B24" s="4" t="n">
        <v>-26</v>
      </c>
      <c r="C24" s="4" t="n">
        <v>-1673</v>
      </c>
      <c r="D24" s="4" t="n">
        <v>-2776</v>
      </c>
      <c r="E24" s="4" t="n">
        <v>-1877</v>
      </c>
      <c r="F24" s="4" t="n">
        <v>-1877</v>
      </c>
      <c r="G24" s="4" t="n">
        <v>-1877</v>
      </c>
      <c r="H24" s="4" t="n">
        <v>-1004</v>
      </c>
      <c r="I24" s="4" t="n">
        <v>-2335</v>
      </c>
      <c r="J24" s="4" t="n">
        <v>-2335</v>
      </c>
      <c r="K24" s="4" t="n">
        <v>-70</v>
      </c>
      <c r="L24" s="4" t="n">
        <v>-1478</v>
      </c>
      <c r="M24" s="4" t="n">
        <v>-1478</v>
      </c>
      <c r="N24" s="4" t="n">
        <v>-3</v>
      </c>
      <c r="O24" s="4" t="n">
        <v>-1005</v>
      </c>
    </row>
    <row r="25">
      <c r="A25" s="3" t="inlineStr">
        <is>
          <t>Share Repurchases</t>
        </is>
      </c>
      <c r="B25" s="4" t="n">
        <v>-2750</v>
      </c>
      <c r="C25" s="4" t="n">
        <v>-7504</v>
      </c>
      <c r="D25" s="4" t="n">
        <v>-8753</v>
      </c>
      <c r="E25" s="4" t="n">
        <v>-4000</v>
      </c>
      <c r="F25" s="4" t="n">
        <v>-6002</v>
      </c>
      <c r="G25" s="4" t="n">
        <v>-7353</v>
      </c>
      <c r="H25" s="4" t="n">
        <v>-1500</v>
      </c>
      <c r="I25" s="4" t="n">
        <v>-2503</v>
      </c>
      <c r="J25" s="4" t="n">
        <v>-3490</v>
      </c>
      <c r="K25" s="4" t="n">
        <v>-1939</v>
      </c>
      <c r="L25" s="4" t="n">
        <v>-4449</v>
      </c>
      <c r="M25" s="4" t="n">
        <v>-5800</v>
      </c>
      <c r="N25" s="4" t="n">
        <v>-1250</v>
      </c>
      <c r="O25" s="4" t="n">
        <v>-3528</v>
      </c>
    </row>
    <row r="26">
      <c r="A26" s="3" t="inlineStr">
        <is>
          <t>Stock Options &amp; Other Financing Activities</t>
        </is>
      </c>
      <c r="B26" s="4" t="n">
        <v>648</v>
      </c>
      <c r="C26" s="4" t="n">
        <v>1215</v>
      </c>
      <c r="D26" s="4" t="n">
        <v>1800</v>
      </c>
      <c r="E26" s="4" t="n">
        <v>188</v>
      </c>
      <c r="F26" s="4" t="n">
        <v>437</v>
      </c>
      <c r="G26" s="4" t="n">
        <v>861</v>
      </c>
      <c r="H26" s="4" t="n">
        <v>312</v>
      </c>
      <c r="I26" s="4" t="n">
        <v>397</v>
      </c>
      <c r="J26" s="4" t="n">
        <v>965</v>
      </c>
      <c r="K26" s="4" t="n">
        <v>745</v>
      </c>
      <c r="L26" s="4" t="n">
        <v>985</v>
      </c>
      <c r="M26" s="4" t="n">
        <v>1601</v>
      </c>
      <c r="N26" s="4" t="n">
        <v>134</v>
      </c>
      <c r="O26" s="4" t="n">
        <v>208</v>
      </c>
    </row>
    <row r="27">
      <c r="A27" s="3" t="inlineStr">
        <is>
          <t>Cash Flow from Financing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</row>
    <row r="28">
      <c r="A28" s="3" t="inlineStr">
        <is>
          <t>FX Effect on Cash</t>
        </is>
      </c>
      <c r="B28" s="4" t="n">
        <v>-127</v>
      </c>
      <c r="C28" s="4" t="n">
        <v>-256</v>
      </c>
      <c r="D28" s="4" t="n">
        <v>-312</v>
      </c>
      <c r="E28" s="4" t="n">
        <v>-235</v>
      </c>
      <c r="F28" s="4" t="n">
        <v>-182</v>
      </c>
      <c r="G28" s="4" t="n">
        <v>-170</v>
      </c>
      <c r="H28" s="4" t="n">
        <v>-156</v>
      </c>
      <c r="I28" s="4" t="n">
        <v>-49</v>
      </c>
      <c r="J28" s="4" t="n">
        <v>-168</v>
      </c>
      <c r="K28" s="4" t="n">
        <v>116</v>
      </c>
      <c r="L28" s="4" t="n">
        <v>-144</v>
      </c>
      <c r="M28" s="4" t="n">
        <v>-22</v>
      </c>
      <c r="N28" s="4" t="n">
        <v>-20</v>
      </c>
      <c r="O28" s="4" t="n">
        <v>-21</v>
      </c>
    </row>
    <row r="29">
      <c r="A29" s="3" t="inlineStr">
        <is>
          <t>Net Change in Cash</t>
        </is>
      </c>
      <c r="B29" s="6">
        <f>B13+B18+B27+B28</f>
        <v/>
      </c>
      <c r="C29" s="6">
        <f>C13+C18+C27+C28</f>
        <v/>
      </c>
      <c r="D29" s="6">
        <f>D13+D18+D27+D28</f>
        <v/>
      </c>
      <c r="E29" s="6">
        <f>E13+E18+E27+E28</f>
        <v/>
      </c>
      <c r="F29" s="6">
        <f>F13+F18+F27+F28</f>
        <v/>
      </c>
      <c r="G29" s="6">
        <f>G13+G18+G27+G28</f>
        <v/>
      </c>
      <c r="H29" s="6">
        <f>H13+H18+H27+H28</f>
        <v/>
      </c>
      <c r="I29" s="6">
        <f>I13+I18+I27+I28</f>
        <v/>
      </c>
      <c r="J29" s="6">
        <f>J13+J18+J27+J28</f>
        <v/>
      </c>
      <c r="K29" s="6">
        <f>K13+K18+K27+K28</f>
        <v/>
      </c>
      <c r="L29" s="6">
        <f>L13+L18+L27+L28</f>
        <v/>
      </c>
      <c r="M29" s="6">
        <f>M13+M18+M27+M28</f>
        <v/>
      </c>
      <c r="N29" s="6">
        <f>N13+N18+N27+N28</f>
        <v/>
      </c>
      <c r="O29" s="6">
        <f>O13+O18+O27+O28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2026-04-25T20:29:28Z</dcterms:created>
  <dcterms:modified xmlns:dcterms="http://purl.org/dc/terms/" xmlns:xsi="http://www.w3.org/2001/XMLSchema-instance" xsi:type="dcterms:W3CDTF">2026-04-25T20:29:28Z</dcterms:modified>
</cp:coreProperties>
</file>